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9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0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11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drawings/drawing12.xml" ContentType="application/vnd.openxmlformats-officedocument.drawing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drawings/drawing13.xml" ContentType="application/vnd.openxmlformats-officedocument.drawing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drawings/drawing14.xml" ContentType="application/vnd.openxmlformats-officedocument.drawing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antacolombaagropecuaria.sharepoint.com/sites/arquivos/Documentos Compartilhados/Sistema de Irrigacao/Suporte Irrigação/"/>
    </mc:Choice>
  </mc:AlternateContent>
  <xr:revisionPtr revIDLastSave="0" documentId="13_ncr:1_{BE14E84B-61C0-45EA-94F6-6EC3D38387FE}" xr6:coauthVersionLast="47" xr6:coauthVersionMax="47" xr10:uidLastSave="{00000000-0000-0000-0000-000000000000}"/>
  <bookViews>
    <workbookView xWindow="-120" yWindow="-120" windowWidth="20730" windowHeight="11160" firstSheet="29" activeTab="34" xr2:uid="{9957A160-E9B6-41FE-B9D2-37B82D39C3C0}"/>
  </bookViews>
  <sheets>
    <sheet name="17122020" sheetId="2" r:id="rId1"/>
    <sheet name="25122020" sheetId="4" r:id="rId2"/>
    <sheet name="02012021 " sheetId="5" r:id="rId3"/>
    <sheet name="14012021" sheetId="6" r:id="rId4"/>
    <sheet name="22012021" sheetId="7" r:id="rId5"/>
    <sheet name="30012021" sheetId="8" r:id="rId6"/>
    <sheet name="07022021" sheetId="9" r:id="rId7"/>
    <sheet name="15022021" sheetId="10" r:id="rId8"/>
    <sheet name="24022021" sheetId="11" r:id="rId9"/>
    <sheet name="03032021" sheetId="12" r:id="rId10"/>
    <sheet name="11032021" sheetId="13" r:id="rId11"/>
    <sheet name="19 03 2021" sheetId="14" r:id="rId12"/>
    <sheet name="27 03 2021" sheetId="15" r:id="rId13"/>
    <sheet name="04 04 2021" sheetId="17" r:id="rId14"/>
    <sheet name="12 04 2021" sheetId="18" r:id="rId15"/>
    <sheet name="30 04 2021" sheetId="19" r:id="rId16"/>
    <sheet name="08 05 2021" sheetId="20" r:id="rId17"/>
    <sheet name="16 05 2021" sheetId="21" r:id="rId18"/>
    <sheet name="24 05 2021" sheetId="22" r:id="rId19"/>
    <sheet name="01 06 2021" sheetId="23" r:id="rId20"/>
    <sheet name="09 06 2021" sheetId="24" r:id="rId21"/>
    <sheet name="17 06 2021" sheetId="25" r:id="rId22"/>
    <sheet name="25 06 2021 " sheetId="26" r:id="rId23"/>
    <sheet name="03 07 2021" sheetId="27" r:id="rId24"/>
    <sheet name="11 07 2021 " sheetId="28" r:id="rId25"/>
    <sheet name="19 07 2021" sheetId="29" r:id="rId26"/>
    <sheet name="27 07 2021" sheetId="30" r:id="rId27"/>
    <sheet name="04 08 2021" sheetId="31" r:id="rId28"/>
    <sheet name="12 08 2021" sheetId="32" r:id="rId29"/>
    <sheet name="20 08 2021" sheetId="33" r:id="rId30"/>
    <sheet name="28 08 2021" sheetId="34" r:id="rId31"/>
    <sheet name="05 09 2021" sheetId="36" r:id="rId32"/>
    <sheet name="13 09 2021 " sheetId="37" r:id="rId33"/>
    <sheet name="21 09 2021" sheetId="38" r:id="rId34"/>
    <sheet name="27 09 2021" sheetId="39" r:id="rId35"/>
    <sheet name="Acumulado" sheetId="16" r:id="rId36"/>
  </sheets>
  <externalReferences>
    <externalReference r:id="rId37"/>
  </externalReferences>
  <definedNames>
    <definedName name="PesquisarQuem">OFFSET('[1]Pesquisa de nome'!$A$3,,,COUNT('[1]Pesquisa de nome'!$B:$B),1)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10" i="39" l="1"/>
  <c r="L9" i="39"/>
  <c r="L8" i="39"/>
  <c r="L7" i="39"/>
  <c r="L6" i="39"/>
  <c r="L5" i="39"/>
  <c r="B4" i="39"/>
  <c r="C3" i="39"/>
  <c r="D3" i="39" s="1"/>
  <c r="B4" i="38"/>
  <c r="L10" i="38" s="1"/>
  <c r="C3" i="38"/>
  <c r="C4" i="38" s="1"/>
  <c r="L10" i="37"/>
  <c r="L9" i="37"/>
  <c r="L8" i="37"/>
  <c r="L7" i="37"/>
  <c r="L6" i="37"/>
  <c r="L5" i="37"/>
  <c r="B4" i="37"/>
  <c r="C3" i="37"/>
  <c r="D3" i="37" s="1"/>
  <c r="L10" i="36"/>
  <c r="L9" i="36"/>
  <c r="L8" i="36"/>
  <c r="L7" i="36"/>
  <c r="L6" i="36"/>
  <c r="L5" i="36"/>
  <c r="B4" i="36"/>
  <c r="C3" i="36"/>
  <c r="D3" i="36" s="1"/>
  <c r="L10" i="34"/>
  <c r="L9" i="34"/>
  <c r="L8" i="34"/>
  <c r="L7" i="34"/>
  <c r="L6" i="34"/>
  <c r="L5" i="34"/>
  <c r="B4" i="34"/>
  <c r="C3" i="34"/>
  <c r="D3" i="34" s="1"/>
  <c r="L10" i="33"/>
  <c r="L9" i="33"/>
  <c r="L8" i="33"/>
  <c r="L7" i="33"/>
  <c r="L6" i="33"/>
  <c r="L5" i="33"/>
  <c r="B4" i="33"/>
  <c r="C3" i="33"/>
  <c r="D3" i="33" s="1"/>
  <c r="L10" i="32"/>
  <c r="L9" i="32"/>
  <c r="L8" i="32"/>
  <c r="L7" i="32"/>
  <c r="L6" i="32"/>
  <c r="L5" i="32"/>
  <c r="B4" i="32"/>
  <c r="C3" i="32"/>
  <c r="D3" i="32" s="1"/>
  <c r="L10" i="31"/>
  <c r="L9" i="31"/>
  <c r="L8" i="31"/>
  <c r="L7" i="31"/>
  <c r="L6" i="31"/>
  <c r="L5" i="31"/>
  <c r="B4" i="31"/>
  <c r="C3" i="31"/>
  <c r="C4" i="31" s="1"/>
  <c r="L10" i="30"/>
  <c r="L9" i="30"/>
  <c r="L8" i="30"/>
  <c r="L7" i="30"/>
  <c r="L6" i="30"/>
  <c r="L5" i="30"/>
  <c r="B4" i="30"/>
  <c r="C3" i="30"/>
  <c r="D3" i="30" s="1"/>
  <c r="L10" i="29"/>
  <c r="L9" i="29"/>
  <c r="L8" i="29"/>
  <c r="L7" i="29"/>
  <c r="L6" i="29"/>
  <c r="L5" i="29"/>
  <c r="B4" i="29"/>
  <c r="C3" i="29"/>
  <c r="C4" i="29" s="1"/>
  <c r="L10" i="28"/>
  <c r="L9" i="28"/>
  <c r="L8" i="28"/>
  <c r="L7" i="28"/>
  <c r="L6" i="28"/>
  <c r="L5" i="28"/>
  <c r="B4" i="28"/>
  <c r="C3" i="28"/>
  <c r="D3" i="28" s="1"/>
  <c r="C4" i="39" l="1"/>
  <c r="L11" i="39"/>
  <c r="E3" i="39"/>
  <c r="D4" i="39"/>
  <c r="L7" i="38"/>
  <c r="L8" i="38"/>
  <c r="L5" i="38"/>
  <c r="L9" i="38"/>
  <c r="L6" i="38"/>
  <c r="D3" i="38"/>
  <c r="L11" i="37"/>
  <c r="D4" i="37"/>
  <c r="E3" i="37"/>
  <c r="C4" i="37"/>
  <c r="L11" i="36"/>
  <c r="D4" i="36"/>
  <c r="E3" i="36"/>
  <c r="C4" i="36"/>
  <c r="L11" i="34"/>
  <c r="D4" i="34"/>
  <c r="E3" i="34"/>
  <c r="C4" i="34"/>
  <c r="L11" i="33"/>
  <c r="D4" i="33"/>
  <c r="E3" i="33"/>
  <c r="C4" i="33"/>
  <c r="L11" i="32"/>
  <c r="D4" i="32"/>
  <c r="E3" i="32"/>
  <c r="C4" i="32"/>
  <c r="L11" i="31"/>
  <c r="D3" i="31"/>
  <c r="L11" i="30"/>
  <c r="D4" i="30"/>
  <c r="E3" i="30"/>
  <c r="C4" i="30"/>
  <c r="L11" i="29"/>
  <c r="D3" i="29"/>
  <c r="L11" i="28"/>
  <c r="D4" i="28"/>
  <c r="E3" i="28"/>
  <c r="C4" i="28"/>
  <c r="L10" i="27"/>
  <c r="L9" i="27"/>
  <c r="L8" i="27"/>
  <c r="L7" i="27"/>
  <c r="L6" i="27"/>
  <c r="L5" i="27"/>
  <c r="B4" i="27"/>
  <c r="C3" i="27"/>
  <c r="D3" i="27" s="1"/>
  <c r="F3" i="39" l="1"/>
  <c r="E4" i="39"/>
  <c r="L11" i="38"/>
  <c r="D4" i="38"/>
  <c r="E3" i="38"/>
  <c r="F3" i="37"/>
  <c r="E4" i="37"/>
  <c r="E4" i="36"/>
  <c r="F3" i="36"/>
  <c r="E4" i="34"/>
  <c r="F3" i="34"/>
  <c r="F3" i="33"/>
  <c r="E4" i="33"/>
  <c r="E4" i="32"/>
  <c r="F3" i="32"/>
  <c r="E3" i="31"/>
  <c r="D4" i="31"/>
  <c r="F3" i="30"/>
  <c r="E4" i="30"/>
  <c r="E3" i="29"/>
  <c r="D4" i="29"/>
  <c r="E4" i="28"/>
  <c r="F3" i="28"/>
  <c r="L11" i="27"/>
  <c r="D4" i="27"/>
  <c r="E3" i="27"/>
  <c r="C4" i="27"/>
  <c r="L10" i="26"/>
  <c r="L9" i="26"/>
  <c r="L8" i="26"/>
  <c r="L7" i="26"/>
  <c r="L6" i="26"/>
  <c r="L5" i="26"/>
  <c r="B4" i="26"/>
  <c r="C3" i="26"/>
  <c r="C4" i="26" s="1"/>
  <c r="L10" i="25"/>
  <c r="L9" i="25"/>
  <c r="L8" i="25"/>
  <c r="L7" i="25"/>
  <c r="L6" i="25"/>
  <c r="L5" i="25"/>
  <c r="B4" i="25"/>
  <c r="C3" i="25"/>
  <c r="D3" i="25" s="1"/>
  <c r="L10" i="24"/>
  <c r="L9" i="24"/>
  <c r="L8" i="24"/>
  <c r="L7" i="24"/>
  <c r="L6" i="24"/>
  <c r="L5" i="24"/>
  <c r="B4" i="24"/>
  <c r="C3" i="24"/>
  <c r="C4" i="24" s="1"/>
  <c r="L10" i="23"/>
  <c r="L9" i="23"/>
  <c r="L8" i="23"/>
  <c r="L7" i="23"/>
  <c r="L6" i="23"/>
  <c r="L5" i="23"/>
  <c r="B4" i="23"/>
  <c r="C3" i="23"/>
  <c r="D3" i="23" s="1"/>
  <c r="L10" i="22"/>
  <c r="L9" i="22"/>
  <c r="L8" i="22"/>
  <c r="L7" i="22"/>
  <c r="L6" i="22"/>
  <c r="L5" i="22"/>
  <c r="B4" i="22"/>
  <c r="C3" i="22"/>
  <c r="D3" i="22" s="1"/>
  <c r="L5" i="20"/>
  <c r="L10" i="21"/>
  <c r="L9" i="21"/>
  <c r="L8" i="21"/>
  <c r="L7" i="21"/>
  <c r="L6" i="21"/>
  <c r="L5" i="21"/>
  <c r="B4" i="21"/>
  <c r="C3" i="21"/>
  <c r="D3" i="21" s="1"/>
  <c r="L10" i="20"/>
  <c r="L9" i="20"/>
  <c r="L8" i="20"/>
  <c r="L7" i="20"/>
  <c r="L6" i="20"/>
  <c r="B4" i="20"/>
  <c r="C3" i="20"/>
  <c r="D3" i="20" s="1"/>
  <c r="L10" i="19"/>
  <c r="L9" i="19"/>
  <c r="L8" i="19"/>
  <c r="L7" i="19"/>
  <c r="L6" i="19"/>
  <c r="L5" i="19"/>
  <c r="B4" i="19"/>
  <c r="C3" i="19"/>
  <c r="D3" i="19" s="1"/>
  <c r="M10" i="18"/>
  <c r="M9" i="18"/>
  <c r="M8" i="18"/>
  <c r="M7" i="18"/>
  <c r="M6" i="18"/>
  <c r="M5" i="18"/>
  <c r="C4" i="18"/>
  <c r="D3" i="18"/>
  <c r="E3" i="18" s="1"/>
  <c r="D3" i="24" l="1"/>
  <c r="E3" i="24" s="1"/>
  <c r="F4" i="39"/>
  <c r="G3" i="39"/>
  <c r="E4" i="38"/>
  <c r="F3" i="38"/>
  <c r="G3" i="37"/>
  <c r="F4" i="37"/>
  <c r="G3" i="36"/>
  <c r="F4" i="36"/>
  <c r="G3" i="34"/>
  <c r="F4" i="34"/>
  <c r="G3" i="33"/>
  <c r="F4" i="33"/>
  <c r="G3" i="32"/>
  <c r="F4" i="32"/>
  <c r="E4" i="31"/>
  <c r="F3" i="31"/>
  <c r="G3" i="30"/>
  <c r="F4" i="30"/>
  <c r="F3" i="29"/>
  <c r="E4" i="29"/>
  <c r="G3" i="28"/>
  <c r="F4" i="28"/>
  <c r="E4" i="27"/>
  <c r="F3" i="27"/>
  <c r="L11" i="26"/>
  <c r="D3" i="26"/>
  <c r="L11" i="25"/>
  <c r="D4" i="25"/>
  <c r="E3" i="25"/>
  <c r="C4" i="25"/>
  <c r="L11" i="24"/>
  <c r="F3" i="24"/>
  <c r="E4" i="24"/>
  <c r="D4" i="24"/>
  <c r="L11" i="23"/>
  <c r="D4" i="23"/>
  <c r="E3" i="23"/>
  <c r="C4" i="23"/>
  <c r="L11" i="22"/>
  <c r="E3" i="22"/>
  <c r="D4" i="22"/>
  <c r="C4" i="22"/>
  <c r="L11" i="21"/>
  <c r="D4" i="21"/>
  <c r="E3" i="21"/>
  <c r="C4" i="21"/>
  <c r="L11" i="20"/>
  <c r="E3" i="20"/>
  <c r="D4" i="20"/>
  <c r="C4" i="20"/>
  <c r="L11" i="19"/>
  <c r="E3" i="19"/>
  <c r="D4" i="19"/>
  <c r="C4" i="19"/>
  <c r="M11" i="18"/>
  <c r="E4" i="18"/>
  <c r="F3" i="18"/>
  <c r="D4" i="18"/>
  <c r="H3" i="39" l="1"/>
  <c r="H4" i="39" s="1"/>
  <c r="G4" i="39"/>
  <c r="F4" i="38"/>
  <c r="G3" i="38"/>
  <c r="H3" i="37"/>
  <c r="G4" i="37"/>
  <c r="H3" i="36"/>
  <c r="G4" i="36"/>
  <c r="H3" i="34"/>
  <c r="G4" i="34"/>
  <c r="H3" i="33"/>
  <c r="G4" i="33"/>
  <c r="H3" i="32"/>
  <c r="G4" i="32"/>
  <c r="G3" i="31"/>
  <c r="F4" i="31"/>
  <c r="H3" i="30"/>
  <c r="G4" i="30"/>
  <c r="G3" i="29"/>
  <c r="F4" i="29"/>
  <c r="H3" i="28"/>
  <c r="G4" i="28"/>
  <c r="G3" i="27"/>
  <c r="F4" i="27"/>
  <c r="D4" i="26"/>
  <c r="E3" i="26"/>
  <c r="F3" i="25"/>
  <c r="E4" i="25"/>
  <c r="G3" i="24"/>
  <c r="F4" i="24"/>
  <c r="E4" i="23"/>
  <c r="F3" i="23"/>
  <c r="E4" i="22"/>
  <c r="F3" i="22"/>
  <c r="E4" i="21"/>
  <c r="F3" i="21"/>
  <c r="F3" i="20"/>
  <c r="E4" i="20"/>
  <c r="E4" i="19"/>
  <c r="F3" i="19"/>
  <c r="G3" i="18"/>
  <c r="F4" i="18"/>
  <c r="G4" i="38" l="1"/>
  <c r="H3" i="38"/>
  <c r="H4" i="38" s="1"/>
  <c r="H4" i="37"/>
  <c r="H4" i="36"/>
  <c r="I3" i="36"/>
  <c r="I4" i="36" s="1"/>
  <c r="H4" i="34"/>
  <c r="I3" i="34"/>
  <c r="I4" i="34" s="1"/>
  <c r="H4" i="33"/>
  <c r="I3" i="33"/>
  <c r="I4" i="33" s="1"/>
  <c r="H4" i="32"/>
  <c r="I3" i="32"/>
  <c r="I4" i="32" s="1"/>
  <c r="G4" i="31"/>
  <c r="H3" i="31"/>
  <c r="H4" i="30"/>
  <c r="I3" i="30"/>
  <c r="I4" i="30" s="1"/>
  <c r="G4" i="29"/>
  <c r="H3" i="29"/>
  <c r="H4" i="28"/>
  <c r="I3" i="28"/>
  <c r="I4" i="28" s="1"/>
  <c r="H3" i="27"/>
  <c r="G4" i="27"/>
  <c r="F3" i="26"/>
  <c r="E4" i="26"/>
  <c r="F4" i="25"/>
  <c r="G3" i="25"/>
  <c r="G4" i="24"/>
  <c r="H3" i="24"/>
  <c r="G3" i="23"/>
  <c r="F4" i="23"/>
  <c r="F4" i="22"/>
  <c r="G3" i="22"/>
  <c r="G3" i="21"/>
  <c r="F4" i="21"/>
  <c r="F4" i="20"/>
  <c r="G3" i="20"/>
  <c r="F4" i="19"/>
  <c r="G3" i="19"/>
  <c r="H3" i="18"/>
  <c r="G4" i="18"/>
  <c r="I3" i="31" l="1"/>
  <c r="I4" i="31" s="1"/>
  <c r="H4" i="31"/>
  <c r="I3" i="29"/>
  <c r="I4" i="29" s="1"/>
  <c r="H4" i="29"/>
  <c r="H4" i="27"/>
  <c r="I3" i="27"/>
  <c r="I4" i="27" s="1"/>
  <c r="G3" i="26"/>
  <c r="F4" i="26"/>
  <c r="H3" i="25"/>
  <c r="G4" i="25"/>
  <c r="I3" i="24"/>
  <c r="I4" i="24" s="1"/>
  <c r="H4" i="24"/>
  <c r="H3" i="23"/>
  <c r="G4" i="23"/>
  <c r="H3" i="22"/>
  <c r="G4" i="22"/>
  <c r="H3" i="21"/>
  <c r="G4" i="21"/>
  <c r="H3" i="20"/>
  <c r="G4" i="20"/>
  <c r="H3" i="19"/>
  <c r="G4" i="19"/>
  <c r="I3" i="18"/>
  <c r="H4" i="18"/>
  <c r="H3" i="26" l="1"/>
  <c r="G4" i="26"/>
  <c r="H4" i="25"/>
  <c r="I3" i="25"/>
  <c r="I4" i="25" s="1"/>
  <c r="H4" i="23"/>
  <c r="I3" i="23"/>
  <c r="I4" i="23" s="1"/>
  <c r="I3" i="22"/>
  <c r="I4" i="22" s="1"/>
  <c r="H4" i="22"/>
  <c r="H4" i="21"/>
  <c r="I3" i="21"/>
  <c r="I4" i="21" s="1"/>
  <c r="I3" i="20"/>
  <c r="I4" i="20" s="1"/>
  <c r="H4" i="20"/>
  <c r="I3" i="19"/>
  <c r="I4" i="19" s="1"/>
  <c r="H4" i="19"/>
  <c r="I4" i="18"/>
  <c r="J3" i="18"/>
  <c r="J4" i="18" s="1"/>
  <c r="H4" i="26" l="1"/>
  <c r="I3" i="26"/>
  <c r="I4" i="26" s="1"/>
  <c r="M10" i="17"/>
  <c r="M9" i="17"/>
  <c r="M8" i="17"/>
  <c r="M7" i="17"/>
  <c r="M6" i="17"/>
  <c r="M5" i="17"/>
  <c r="C4" i="17"/>
  <c r="D3" i="17"/>
  <c r="E3" i="17" s="1"/>
  <c r="M73" i="15"/>
  <c r="M72" i="15"/>
  <c r="M71" i="15"/>
  <c r="M70" i="15"/>
  <c r="M69" i="15"/>
  <c r="M68" i="15"/>
  <c r="M10" i="15"/>
  <c r="M9" i="15"/>
  <c r="M8" i="15"/>
  <c r="M7" i="15"/>
  <c r="M6" i="15"/>
  <c r="M5" i="15"/>
  <c r="C4" i="15"/>
  <c r="D3" i="15"/>
  <c r="D4" i="15" s="1"/>
  <c r="M73" i="14"/>
  <c r="M72" i="14"/>
  <c r="M71" i="14"/>
  <c r="M70" i="14"/>
  <c r="M69" i="14"/>
  <c r="M68" i="14"/>
  <c r="M10" i="14"/>
  <c r="M9" i="14"/>
  <c r="M8" i="14"/>
  <c r="M7" i="14"/>
  <c r="M6" i="14"/>
  <c r="M5" i="14"/>
  <c r="C4" i="14"/>
  <c r="D3" i="14"/>
  <c r="E3" i="14" s="1"/>
  <c r="M73" i="13"/>
  <c r="M72" i="13"/>
  <c r="M71" i="13"/>
  <c r="M70" i="13"/>
  <c r="M69" i="13"/>
  <c r="M68" i="13"/>
  <c r="M10" i="13"/>
  <c r="M9" i="13"/>
  <c r="M8" i="13"/>
  <c r="M7" i="13"/>
  <c r="M6" i="13"/>
  <c r="M5" i="13"/>
  <c r="C4" i="13"/>
  <c r="D3" i="13"/>
  <c r="E3" i="13" s="1"/>
  <c r="M73" i="12"/>
  <c r="M72" i="12"/>
  <c r="M71" i="12"/>
  <c r="M70" i="12"/>
  <c r="M69" i="12"/>
  <c r="M68" i="12"/>
  <c r="M10" i="12"/>
  <c r="M9" i="12"/>
  <c r="M8" i="12"/>
  <c r="M7" i="12"/>
  <c r="M6" i="12"/>
  <c r="M5" i="12"/>
  <c r="C4" i="12"/>
  <c r="D3" i="12"/>
  <c r="E3" i="12" s="1"/>
  <c r="M73" i="11"/>
  <c r="M72" i="11"/>
  <c r="M71" i="11"/>
  <c r="M70" i="11"/>
  <c r="M69" i="11"/>
  <c r="M68" i="11"/>
  <c r="C67" i="11"/>
  <c r="D66" i="11"/>
  <c r="D67" i="11" s="1"/>
  <c r="M10" i="11"/>
  <c r="M9" i="11"/>
  <c r="M8" i="11"/>
  <c r="M7" i="11"/>
  <c r="M6" i="11"/>
  <c r="M5" i="11"/>
  <c r="C4" i="11"/>
  <c r="D3" i="11"/>
  <c r="D4" i="11" s="1"/>
  <c r="M69" i="10"/>
  <c r="M70" i="10"/>
  <c r="M71" i="10"/>
  <c r="M72" i="10"/>
  <c r="M73" i="10"/>
  <c r="M68" i="10"/>
  <c r="C67" i="10"/>
  <c r="E66" i="10"/>
  <c r="E67" i="10" s="1"/>
  <c r="D66" i="10"/>
  <c r="D67" i="10" s="1"/>
  <c r="M10" i="10"/>
  <c r="M9" i="10"/>
  <c r="M8" i="10"/>
  <c r="M7" i="10"/>
  <c r="M6" i="10"/>
  <c r="M5" i="10"/>
  <c r="C4" i="10"/>
  <c r="D3" i="10"/>
  <c r="E3" i="10" s="1"/>
  <c r="M10" i="9"/>
  <c r="M9" i="9"/>
  <c r="M8" i="9"/>
  <c r="M7" i="9"/>
  <c r="M6" i="9"/>
  <c r="M5" i="9"/>
  <c r="C4" i="9"/>
  <c r="D3" i="9"/>
  <c r="D4" i="9" s="1"/>
  <c r="M10" i="8"/>
  <c r="M9" i="8"/>
  <c r="M8" i="8"/>
  <c r="M7" i="8"/>
  <c r="M6" i="8"/>
  <c r="M5" i="8"/>
  <c r="C4" i="8"/>
  <c r="D3" i="8"/>
  <c r="D4" i="8" s="1"/>
  <c r="M10" i="7"/>
  <c r="M9" i="7"/>
  <c r="M8" i="7"/>
  <c r="M7" i="7"/>
  <c r="M6" i="7"/>
  <c r="M5" i="7"/>
  <c r="C4" i="7"/>
  <c r="D3" i="7"/>
  <c r="D4" i="7" s="1"/>
  <c r="M10" i="6"/>
  <c r="M9" i="6"/>
  <c r="M8" i="6"/>
  <c r="M7" i="6"/>
  <c r="M6" i="6"/>
  <c r="M5" i="6"/>
  <c r="C4" i="6"/>
  <c r="D3" i="6"/>
  <c r="E3" i="6" s="1"/>
  <c r="M10" i="5"/>
  <c r="M9" i="5"/>
  <c r="M8" i="5"/>
  <c r="M7" i="5"/>
  <c r="M6" i="5"/>
  <c r="M5" i="5"/>
  <c r="C4" i="5"/>
  <c r="D3" i="5"/>
  <c r="E3" i="5" s="1"/>
  <c r="F66" i="10" l="1"/>
  <c r="G66" i="10" s="1"/>
  <c r="E66" i="11"/>
  <c r="F66" i="11" s="1"/>
  <c r="G66" i="11" s="1"/>
  <c r="E3" i="7"/>
  <c r="F3" i="7" s="1"/>
  <c r="M11" i="17"/>
  <c r="E4" i="17"/>
  <c r="F3" i="17"/>
  <c r="D4" i="17"/>
  <c r="M11" i="15"/>
  <c r="M74" i="15"/>
  <c r="E3" i="15"/>
  <c r="M74" i="14"/>
  <c r="M11" i="14"/>
  <c r="F3" i="14"/>
  <c r="E4" i="14"/>
  <c r="D4" i="14"/>
  <c r="M11" i="13"/>
  <c r="M74" i="13"/>
  <c r="F3" i="13"/>
  <c r="E4" i="13"/>
  <c r="D4" i="13"/>
  <c r="M74" i="12"/>
  <c r="M11" i="12"/>
  <c r="F3" i="12"/>
  <c r="E4" i="12"/>
  <c r="D4" i="12"/>
  <c r="M74" i="11"/>
  <c r="E3" i="11"/>
  <c r="F3" i="11" s="1"/>
  <c r="M11" i="11"/>
  <c r="F67" i="11"/>
  <c r="F4" i="11"/>
  <c r="G3" i="11"/>
  <c r="E4" i="11"/>
  <c r="M74" i="10"/>
  <c r="H66" i="10"/>
  <c r="G67" i="10"/>
  <c r="F67" i="10"/>
  <c r="M11" i="10"/>
  <c r="E4" i="10"/>
  <c r="F3" i="10"/>
  <c r="D4" i="10"/>
  <c r="M11" i="9"/>
  <c r="E3" i="9"/>
  <c r="E4" i="9" s="1"/>
  <c r="M11" i="8"/>
  <c r="E3" i="8"/>
  <c r="M11" i="7"/>
  <c r="G3" i="7"/>
  <c r="F4" i="7"/>
  <c r="E4" i="7"/>
  <c r="M11" i="6"/>
  <c r="E4" i="6"/>
  <c r="F3" i="6"/>
  <c r="D4" i="6"/>
  <c r="M11" i="5"/>
  <c r="E4" i="5"/>
  <c r="F3" i="5"/>
  <c r="D4" i="5"/>
  <c r="M10" i="4"/>
  <c r="M9" i="4"/>
  <c r="M8" i="4"/>
  <c r="M7" i="4"/>
  <c r="M6" i="4"/>
  <c r="M5" i="4"/>
  <c r="C4" i="4"/>
  <c r="D3" i="4"/>
  <c r="D4" i="4" s="1"/>
  <c r="F3" i="9" l="1"/>
  <c r="E67" i="11"/>
  <c r="F4" i="17"/>
  <c r="G3" i="17"/>
  <c r="F3" i="15"/>
  <c r="E4" i="15"/>
  <c r="G3" i="14"/>
  <c r="F4" i="14"/>
  <c r="F4" i="13"/>
  <c r="G3" i="13"/>
  <c r="G3" i="12"/>
  <c r="F4" i="12"/>
  <c r="G4" i="11"/>
  <c r="H3" i="11"/>
  <c r="H66" i="11"/>
  <c r="G67" i="11"/>
  <c r="I66" i="10"/>
  <c r="H67" i="10"/>
  <c r="G3" i="10"/>
  <c r="F4" i="10"/>
  <c r="F4" i="9"/>
  <c r="G3" i="9"/>
  <c r="E4" i="8"/>
  <c r="F3" i="8"/>
  <c r="H3" i="7"/>
  <c r="G4" i="7"/>
  <c r="G3" i="6"/>
  <c r="F4" i="6"/>
  <c r="F4" i="5"/>
  <c r="G3" i="5"/>
  <c r="M11" i="4"/>
  <c r="E3" i="4"/>
  <c r="M6" i="2"/>
  <c r="M7" i="2"/>
  <c r="M8" i="2"/>
  <c r="M9" i="2"/>
  <c r="M10" i="2"/>
  <c r="M5" i="2"/>
  <c r="H3" i="17" l="1"/>
  <c r="G4" i="17"/>
  <c r="F4" i="15"/>
  <c r="G3" i="15"/>
  <c r="G4" i="14"/>
  <c r="H3" i="14"/>
  <c r="G4" i="13"/>
  <c r="H3" i="13"/>
  <c r="G4" i="12"/>
  <c r="H3" i="12"/>
  <c r="H67" i="11"/>
  <c r="I66" i="11"/>
  <c r="I3" i="11"/>
  <c r="H4" i="11"/>
  <c r="I67" i="10"/>
  <c r="J66" i="10"/>
  <c r="J67" i="10" s="1"/>
  <c r="H3" i="10"/>
  <c r="G4" i="10"/>
  <c r="G4" i="9"/>
  <c r="H3" i="9"/>
  <c r="F4" i="8"/>
  <c r="G3" i="8"/>
  <c r="H4" i="7"/>
  <c r="I3" i="7"/>
  <c r="H3" i="6"/>
  <c r="G4" i="6"/>
  <c r="H3" i="5"/>
  <c r="G4" i="5"/>
  <c r="F3" i="4"/>
  <c r="E4" i="4"/>
  <c r="M11" i="2"/>
  <c r="C4" i="2"/>
  <c r="D3" i="2"/>
  <c r="D4" i="2" s="1"/>
  <c r="I3" i="17" l="1"/>
  <c r="H4" i="17"/>
  <c r="H3" i="15"/>
  <c r="G4" i="15"/>
  <c r="I3" i="14"/>
  <c r="H4" i="14"/>
  <c r="I3" i="13"/>
  <c r="H4" i="13"/>
  <c r="I3" i="12"/>
  <c r="H4" i="12"/>
  <c r="J66" i="11"/>
  <c r="J67" i="11" s="1"/>
  <c r="I67" i="11"/>
  <c r="J3" i="11"/>
  <c r="J4" i="11" s="1"/>
  <c r="I4" i="11"/>
  <c r="I3" i="10"/>
  <c r="H4" i="10"/>
  <c r="I3" i="9"/>
  <c r="H4" i="9"/>
  <c r="H3" i="8"/>
  <c r="G4" i="8"/>
  <c r="J3" i="7"/>
  <c r="J4" i="7" s="1"/>
  <c r="I4" i="7"/>
  <c r="I3" i="6"/>
  <c r="H4" i="6"/>
  <c r="I3" i="5"/>
  <c r="H4" i="5"/>
  <c r="F4" i="4"/>
  <c r="G3" i="4"/>
  <c r="E3" i="2"/>
  <c r="F3" i="2" s="1"/>
  <c r="G3" i="2" s="1"/>
  <c r="F4" i="2"/>
  <c r="E4" i="2" l="1"/>
  <c r="I4" i="17"/>
  <c r="J3" i="17"/>
  <c r="J4" i="17" s="1"/>
  <c r="H4" i="15"/>
  <c r="I3" i="15"/>
  <c r="J3" i="14"/>
  <c r="J4" i="14" s="1"/>
  <c r="I4" i="14"/>
  <c r="J3" i="13"/>
  <c r="J4" i="13" s="1"/>
  <c r="I4" i="13"/>
  <c r="J3" i="12"/>
  <c r="J4" i="12" s="1"/>
  <c r="I4" i="12"/>
  <c r="I4" i="10"/>
  <c r="J3" i="10"/>
  <c r="J4" i="10" s="1"/>
  <c r="I4" i="9"/>
  <c r="J3" i="9"/>
  <c r="J4" i="9" s="1"/>
  <c r="I3" i="8"/>
  <c r="H4" i="8"/>
  <c r="I4" i="6"/>
  <c r="J3" i="6"/>
  <c r="J4" i="6" s="1"/>
  <c r="I4" i="5"/>
  <c r="J3" i="5"/>
  <c r="J4" i="5" s="1"/>
  <c r="H3" i="4"/>
  <c r="G4" i="4"/>
  <c r="H3" i="2"/>
  <c r="G4" i="2"/>
  <c r="J3" i="15" l="1"/>
  <c r="J4" i="15" s="1"/>
  <c r="I4" i="15"/>
  <c r="I4" i="8"/>
  <c r="J3" i="8"/>
  <c r="J4" i="8" s="1"/>
  <c r="H4" i="4"/>
  <c r="I3" i="4"/>
  <c r="H4" i="2"/>
  <c r="I3" i="2"/>
  <c r="J3" i="4" l="1"/>
  <c r="J4" i="4" s="1"/>
  <c r="I4" i="4"/>
  <c r="I4" i="2"/>
  <c r="J3" i="2"/>
  <c r="J4" i="2" s="1"/>
  <c r="AJ8" i="16"/>
  <c r="AI8" i="16"/>
  <c r="AH8" i="16"/>
  <c r="C8" i="16"/>
  <c r="D8" i="16"/>
  <c r="E8" i="16"/>
  <c r="F8" i="16"/>
  <c r="G8" i="16"/>
  <c r="H8" i="16"/>
  <c r="I8" i="16"/>
  <c r="J8" i="16"/>
  <c r="K8" i="16"/>
  <c r="L8" i="16"/>
  <c r="M8" i="16"/>
  <c r="N8" i="16"/>
  <c r="O8" i="16"/>
  <c r="P8" i="16"/>
  <c r="Q8" i="16"/>
  <c r="R8" i="16"/>
  <c r="S8" i="16"/>
  <c r="T8" i="16"/>
  <c r="U8" i="16"/>
  <c r="V8" i="16"/>
  <c r="W8" i="16"/>
  <c r="X8" i="16"/>
  <c r="Y8" i="16"/>
  <c r="Z8" i="16"/>
  <c r="AA8" i="16"/>
  <c r="AB8" i="16"/>
  <c r="AC8" i="16"/>
  <c r="AD8" i="16"/>
  <c r="AE8" i="16"/>
  <c r="AF8" i="16"/>
  <c r="AG8" i="16"/>
  <c r="C6" i="16"/>
  <c r="D6" i="16"/>
  <c r="E6" i="16"/>
  <c r="F6" i="16"/>
  <c r="G6" i="16"/>
  <c r="H6" i="16"/>
  <c r="I6" i="16"/>
  <c r="J6" i="16"/>
  <c r="K6" i="16"/>
  <c r="L6" i="16"/>
  <c r="M6" i="16"/>
  <c r="N6" i="16"/>
  <c r="O6" i="16"/>
  <c r="P6" i="16"/>
  <c r="Q6" i="16"/>
  <c r="R6" i="16"/>
  <c r="S6" i="16"/>
  <c r="T6" i="16"/>
  <c r="U6" i="16"/>
  <c r="V6" i="16"/>
  <c r="W6" i="16"/>
  <c r="X6" i="16"/>
  <c r="Y6" i="16"/>
  <c r="Z6" i="16"/>
  <c r="AA6" i="16"/>
  <c r="AB6" i="16"/>
  <c r="AC6" i="16"/>
  <c r="AD6" i="16"/>
  <c r="AE6" i="16"/>
  <c r="AF6" i="16"/>
  <c r="AG6" i="16"/>
  <c r="AH6" i="16"/>
  <c r="AI6" i="16"/>
  <c r="AJ6" i="16"/>
  <c r="AJ3" i="16"/>
  <c r="AI3" i="16"/>
  <c r="C3" i="16"/>
  <c r="D3" i="16"/>
  <c r="E3" i="16"/>
  <c r="F3" i="16"/>
  <c r="G3" i="16"/>
  <c r="H3" i="16"/>
  <c r="I3" i="16"/>
  <c r="J3" i="16"/>
  <c r="K3" i="16"/>
  <c r="L3" i="16"/>
  <c r="M3" i="16"/>
  <c r="N3" i="16"/>
  <c r="O3" i="16"/>
  <c r="P3" i="16"/>
  <c r="Q3" i="16"/>
  <c r="R3" i="16"/>
  <c r="S3" i="16"/>
  <c r="T3" i="16"/>
  <c r="U3" i="16"/>
  <c r="V3" i="16"/>
  <c r="W3" i="16"/>
  <c r="X3" i="16"/>
  <c r="Y3" i="16"/>
  <c r="Z3" i="16"/>
  <c r="AA3" i="16"/>
  <c r="AB3" i="16"/>
  <c r="AC3" i="16"/>
  <c r="AD3" i="16"/>
  <c r="AE3" i="16"/>
  <c r="AF3" i="16"/>
  <c r="AG3" i="16"/>
  <c r="AH3" i="16"/>
  <c r="C7" i="16"/>
  <c r="D7" i="16"/>
  <c r="E7" i="16"/>
  <c r="F7" i="16"/>
  <c r="G7" i="16"/>
  <c r="H7" i="16"/>
  <c r="I7" i="16"/>
  <c r="J7" i="16"/>
  <c r="K7" i="16"/>
  <c r="L7" i="16"/>
  <c r="M7" i="16"/>
  <c r="N7" i="16"/>
  <c r="O7" i="16"/>
  <c r="P7" i="16"/>
  <c r="Q7" i="16"/>
  <c r="R7" i="16"/>
  <c r="S7" i="16"/>
  <c r="T7" i="16"/>
  <c r="U7" i="16"/>
  <c r="V7" i="16"/>
  <c r="W7" i="16"/>
  <c r="X7" i="16"/>
  <c r="Y7" i="16"/>
  <c r="Z7" i="16"/>
  <c r="AA7" i="16"/>
  <c r="AB7" i="16"/>
  <c r="AC7" i="16"/>
  <c r="AD7" i="16"/>
  <c r="AE7" i="16"/>
  <c r="AF7" i="16"/>
  <c r="AG7" i="16"/>
  <c r="AH7" i="16"/>
  <c r="AI7" i="16"/>
  <c r="AJ7" i="16"/>
  <c r="C4" i="16"/>
  <c r="D4" i="16"/>
  <c r="E4" i="16"/>
  <c r="F4" i="16"/>
  <c r="G4" i="16"/>
  <c r="H4" i="16"/>
  <c r="I4" i="16"/>
  <c r="J4" i="16"/>
  <c r="K4" i="16"/>
  <c r="L4" i="16"/>
  <c r="M4" i="16"/>
  <c r="N4" i="16"/>
  <c r="O4" i="16"/>
  <c r="P4" i="16"/>
  <c r="Q4" i="16"/>
  <c r="R4" i="16"/>
  <c r="S4" i="16"/>
  <c r="T4" i="16"/>
  <c r="U4" i="16"/>
  <c r="V4" i="16"/>
  <c r="W4" i="16"/>
  <c r="X4" i="16"/>
  <c r="Y4" i="16"/>
  <c r="Z4" i="16"/>
  <c r="AA4" i="16"/>
  <c r="AB4" i="16"/>
  <c r="AC4" i="16"/>
  <c r="AD4" i="16"/>
  <c r="AE4" i="16"/>
  <c r="AF4" i="16"/>
  <c r="AG4" i="16"/>
  <c r="AH4" i="16"/>
  <c r="AI4" i="16"/>
  <c r="AJ4" i="16"/>
  <c r="C5" i="16"/>
  <c r="D5" i="16"/>
  <c r="E5" i="16"/>
  <c r="F5" i="16"/>
  <c r="G5" i="16"/>
  <c r="H5" i="16"/>
  <c r="I5" i="16"/>
  <c r="J5" i="16"/>
  <c r="K5" i="16"/>
  <c r="L5" i="16"/>
  <c r="M5" i="16"/>
  <c r="N5" i="16"/>
  <c r="O5" i="16"/>
  <c r="P5" i="16"/>
  <c r="Q5" i="16"/>
  <c r="R5" i="16"/>
  <c r="S5" i="16"/>
  <c r="T5" i="16"/>
  <c r="U5" i="16"/>
  <c r="V5" i="16"/>
  <c r="W5" i="16"/>
  <c r="X5" i="16"/>
  <c r="Y5" i="16"/>
  <c r="Z5" i="16"/>
  <c r="AA5" i="16"/>
  <c r="AB5" i="16"/>
  <c r="AC5" i="16"/>
  <c r="AD5" i="16"/>
  <c r="AE5" i="16"/>
  <c r="AF5" i="16"/>
  <c r="AG5" i="16"/>
  <c r="AH5" i="16"/>
  <c r="AI5" i="16"/>
  <c r="AJ5" i="16"/>
</calcChain>
</file>

<file path=xl/sharedStrings.xml><?xml version="1.0" encoding="utf-8"?>
<sst xmlns="http://schemas.openxmlformats.org/spreadsheetml/2006/main" count="5114" uniqueCount="15">
  <si>
    <t>Pivô</t>
  </si>
  <si>
    <t>Parametros</t>
  </si>
  <si>
    <t>Mecânico</t>
  </si>
  <si>
    <t>Elétrico</t>
  </si>
  <si>
    <t>Energia</t>
  </si>
  <si>
    <t>Operação</t>
  </si>
  <si>
    <t>Chuva</t>
  </si>
  <si>
    <t>Feito</t>
  </si>
  <si>
    <t>Vedação</t>
  </si>
  <si>
    <t>Mangote</t>
  </si>
  <si>
    <t>Adutora</t>
  </si>
  <si>
    <t>Redutor</t>
  </si>
  <si>
    <t>Castanha</t>
  </si>
  <si>
    <t>Micro</t>
  </si>
  <si>
    <t>feito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</si>
</sst>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1"/>
      <color theme="1"/>
      <name val="Calibri"/>
      <family val="2"/>
      <scheme val="minor"/>
    </font>
    <font>
      <sz val="9"/>
      <color theme="4"/>
      <name val="Calibri Light"/>
      <family val="2"/>
      <scheme val="major"/>
    </font>
    <font>
      <sz val="10"/>
      <color theme="1"/>
      <name val="Calibri Light"/>
      <family val="2"/>
      <scheme val="major"/>
    </font>
    <font>
      <sz val="10"/>
      <name val="Calibri"/>
      <family val="2"/>
      <scheme val="minor"/>
    </font>
    <font>
      <sz val="10"/>
      <color theme="3" tint="9.9917600024414813E-2"/>
      <name val="Arial"/>
      <family val="2"/>
    </font>
    <font>
      <b/>
      <sz val="10"/>
      <name val="Calibri Light"/>
      <family val="2"/>
      <scheme val="major"/>
    </font>
  </fonts>
  <fills count="12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theme="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9">
    <xf numFmtId="0" fontId="0" fillId="0" borderId="0" xfId="0"/>
    <xf numFmtId="14" fontId="3" fillId="0" borderId="0" xfId="0" applyNumberFormat="1" applyFont="1" applyAlignment="1">
      <alignment horizontal="left" indent="1"/>
    </xf>
    <xf numFmtId="0" fontId="4" fillId="0" borderId="0" xfId="0" applyFont="1" applyAlignment="1">
      <alignment horizontal="center" vertical="center" wrapText="1"/>
    </xf>
    <xf numFmtId="14" fontId="6" fillId="0" borderId="0" xfId="1" applyNumberFormat="1" applyFont="1" applyAlignment="1">
      <alignment horizontal="left"/>
    </xf>
    <xf numFmtId="0" fontId="5" fillId="2" borderId="1" xfId="0" applyNumberFormat="1" applyFont="1" applyFill="1" applyBorder="1" applyAlignment="1">
      <alignment horizontal="center" vertical="center"/>
    </xf>
    <xf numFmtId="0" fontId="7" fillId="5" borderId="0" xfId="0" applyFont="1" applyFill="1" applyAlignment="1">
      <alignment horizontal="left" indent="1"/>
    </xf>
    <xf numFmtId="0" fontId="7" fillId="4" borderId="0" xfId="0" applyFont="1" applyFill="1" applyAlignment="1">
      <alignment horizontal="left" indent="1"/>
    </xf>
    <xf numFmtId="0" fontId="7" fillId="6" borderId="0" xfId="0" applyFont="1" applyFill="1" applyAlignment="1">
      <alignment horizontal="left" indent="1"/>
    </xf>
    <xf numFmtId="0" fontId="7" fillId="3" borderId="0" xfId="0" applyFont="1" applyFill="1" applyAlignment="1">
      <alignment horizontal="left" indent="1"/>
    </xf>
    <xf numFmtId="0" fontId="7" fillId="7" borderId="0" xfId="0" applyFont="1" applyFill="1" applyAlignment="1">
      <alignment horizontal="left" indent="1"/>
    </xf>
    <xf numFmtId="0" fontId="7" fillId="8" borderId="0" xfId="0" applyFont="1" applyFill="1" applyAlignment="1">
      <alignment horizontal="left" indent="1"/>
    </xf>
    <xf numFmtId="0" fontId="2" fillId="0" borderId="0" xfId="0" applyFont="1" applyAlignment="1"/>
    <xf numFmtId="0" fontId="7" fillId="9" borderId="0" xfId="0" applyFont="1" applyFill="1" applyAlignment="1">
      <alignment horizontal="left" indent="1"/>
    </xf>
    <xf numFmtId="0" fontId="7" fillId="10" borderId="0" xfId="0" applyFont="1" applyFill="1" applyAlignment="1">
      <alignment horizontal="left" indent="1"/>
    </xf>
    <xf numFmtId="0" fontId="7" fillId="11" borderId="0" xfId="0" applyFont="1" applyFill="1" applyAlignment="1">
      <alignment horizontal="left" indent="1"/>
    </xf>
    <xf numFmtId="0" fontId="7" fillId="2" borderId="0" xfId="0" applyFont="1" applyFill="1" applyAlignment="1">
      <alignment horizontal="left" indent="1"/>
    </xf>
    <xf numFmtId="16" fontId="2" fillId="0" borderId="0" xfId="0" applyNumberFormat="1" applyFont="1"/>
    <xf numFmtId="16" fontId="0" fillId="0" borderId="0" xfId="0" applyNumberFormat="1"/>
    <xf numFmtId="0" fontId="5" fillId="2" borderId="0" xfId="0" applyNumberFormat="1" applyFont="1" applyFill="1" applyBorder="1" applyAlignment="1">
      <alignment horizontal="center" vertical="center"/>
    </xf>
  </cellXfs>
  <cellStyles count="2">
    <cellStyle name="Normal" xfId="0" builtinId="0"/>
    <cellStyle name="Título" xfId="1" builtinId="15"/>
  </cellStyles>
  <dxfs count="556"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7" tint="-0.499984740745262"/>
        </patternFill>
      </fill>
    </dxf>
    <dxf>
      <fill>
        <patternFill>
          <bgColor theme="7" tint="-0.24994659260841701"/>
        </patternFill>
      </fill>
    </dxf>
    <dxf>
      <fill>
        <patternFill>
          <bgColor theme="7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7" tint="-0.499984740745262"/>
        </patternFill>
      </fill>
    </dxf>
    <dxf>
      <fill>
        <patternFill>
          <bgColor theme="7" tint="-0.24994659260841701"/>
        </patternFill>
      </fill>
    </dxf>
    <dxf>
      <fill>
        <patternFill>
          <bgColor theme="7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7" tint="-0.499984740745262"/>
        </patternFill>
      </fill>
    </dxf>
    <dxf>
      <fill>
        <patternFill>
          <bgColor theme="7" tint="-0.24994659260841701"/>
        </patternFill>
      </fill>
    </dxf>
    <dxf>
      <fill>
        <patternFill>
          <bgColor theme="7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7" tint="-0.499984740745262"/>
        </patternFill>
      </fill>
    </dxf>
    <dxf>
      <fill>
        <patternFill>
          <bgColor theme="7" tint="-0.24994659260841701"/>
        </patternFill>
      </fill>
    </dxf>
    <dxf>
      <fill>
        <patternFill>
          <bgColor theme="7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7" tint="-0.499984740745262"/>
        </patternFill>
      </fill>
    </dxf>
    <dxf>
      <fill>
        <patternFill>
          <bgColor theme="7" tint="-0.24994659260841701"/>
        </patternFill>
      </fill>
    </dxf>
    <dxf>
      <fill>
        <patternFill>
          <bgColor theme="7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7" tint="-0.499984740745262"/>
        </patternFill>
      </fill>
    </dxf>
    <dxf>
      <fill>
        <patternFill>
          <bgColor theme="7" tint="-0.24994659260841701"/>
        </patternFill>
      </fill>
    </dxf>
    <dxf>
      <fill>
        <patternFill>
          <bgColor theme="7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colors>
    <mruColors>
      <color rgb="FFFF9900"/>
      <color rgb="FFD6009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externalLink" Target="externalLinks/externalLink1.xml"/><Relationship Id="rId40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00B050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2DE1-4FE8-BF09-D53F21CCBD4F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2DE1-4FE8-BF09-D53F21CCBD4F}"/>
              </c:ext>
            </c:extLst>
          </c:dPt>
          <c:dPt>
            <c:idx val="2"/>
            <c:bubble3D val="0"/>
            <c:spPr>
              <a:solidFill>
                <a:srgbClr val="FF9900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4-2DE1-4FE8-BF09-D53F21CCBD4F}"/>
              </c:ext>
            </c:extLst>
          </c:dPt>
          <c:dPt>
            <c:idx val="3"/>
            <c:bubble3D val="0"/>
            <c:spPr>
              <a:solidFill>
                <a:srgbClr val="FFFF00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2DE1-4FE8-BF09-D53F21CCBD4F}"/>
              </c:ext>
            </c:extLst>
          </c:dPt>
          <c:dPt>
            <c:idx val="4"/>
            <c:bubble3D val="0"/>
            <c:spPr>
              <a:solidFill>
                <a:srgbClr val="0070C0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6-2DE1-4FE8-BF09-D53F21CCBD4F}"/>
              </c:ext>
            </c:extLst>
          </c:dPt>
          <c:dPt>
            <c:idx val="5"/>
            <c:bubble3D val="0"/>
            <c:spPr>
              <a:solidFill>
                <a:srgbClr val="7030A0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2DE1-4FE8-BF09-D53F21CCBD4F}"/>
              </c:ext>
            </c:extLst>
          </c:dPt>
          <c:dLbls>
            <c:dLbl>
              <c:idx val="0"/>
              <c:layout>
                <c:manualLayout>
                  <c:x val="6.4102564102562929E-3"/>
                  <c:y val="0"/>
                </c:manualLayout>
              </c:layout>
              <c:spPr>
                <a:solidFill>
                  <a:schemeClr val="bg1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rgbClr val="00B05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2DE1-4FE8-BF09-D53F21CCBD4F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rgbClr val="FF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3-2DE1-4FE8-BF09-D53F21CCBD4F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rgbClr val="FF99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4-2DE1-4FE8-BF09-D53F21CCBD4F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ln w="635" cmpd="sng">
                        <a:solidFill>
                          <a:schemeClr val="tx1">
                            <a:alpha val="4000"/>
                          </a:schemeClr>
                        </a:solidFill>
                        <a:prstDash val="solid"/>
                      </a:ln>
                      <a:solidFill>
                        <a:srgbClr val="FFFF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5-2DE1-4FE8-BF09-D53F21CCBD4F}"/>
                </c:ext>
              </c:extLst>
            </c:dLbl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rgbClr val="0070C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6-2DE1-4FE8-BF09-D53F21CCBD4F}"/>
                </c:ext>
              </c:extLst>
            </c:dLbl>
            <c:dLbl>
              <c:idx val="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rgbClr val="7030A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7-2DE1-4FE8-BF09-D53F21CCBD4F}"/>
                </c:ext>
              </c:extLst>
            </c:dLbl>
            <c:spPr>
              <a:noFill/>
              <a:ln>
                <a:noFill/>
              </a:ln>
              <a:effectLst/>
            </c:sp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'17122020'!$L$5:$L$10</c:f>
              <c:strCache>
                <c:ptCount val="6"/>
                <c:pt idx="0">
                  <c:v>Feito</c:v>
                </c:pt>
                <c:pt idx="1">
                  <c:v>Mecânico</c:v>
                </c:pt>
                <c:pt idx="2">
                  <c:v>Elétrico</c:v>
                </c:pt>
                <c:pt idx="3">
                  <c:v>Energia</c:v>
                </c:pt>
                <c:pt idx="4">
                  <c:v>Chuva</c:v>
                </c:pt>
                <c:pt idx="5">
                  <c:v>Operação</c:v>
                </c:pt>
              </c:strCache>
            </c:strRef>
          </c:cat>
          <c:val>
            <c:numRef>
              <c:f>'17122020'!$M$5:$M$10</c:f>
              <c:numCache>
                <c:formatCode>General</c:formatCode>
                <c:ptCount val="6"/>
                <c:pt idx="0">
                  <c:v>81</c:v>
                </c:pt>
                <c:pt idx="1">
                  <c:v>12</c:v>
                </c:pt>
                <c:pt idx="2">
                  <c:v>3</c:v>
                </c:pt>
                <c:pt idx="3">
                  <c:v>12</c:v>
                </c:pt>
                <c:pt idx="4">
                  <c:v>24</c:v>
                </c:pt>
                <c:pt idx="5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DE1-4FE8-BF09-D53F21CCBD4F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00B050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F285-46B4-87AC-C189192E9B92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F285-46B4-87AC-C189192E9B92}"/>
              </c:ext>
            </c:extLst>
          </c:dPt>
          <c:dPt>
            <c:idx val="2"/>
            <c:bubble3D val="0"/>
            <c:spPr>
              <a:solidFill>
                <a:srgbClr val="FF9900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F285-46B4-87AC-C189192E9B92}"/>
              </c:ext>
            </c:extLst>
          </c:dPt>
          <c:dPt>
            <c:idx val="3"/>
            <c:bubble3D val="0"/>
            <c:spPr>
              <a:solidFill>
                <a:srgbClr val="FFFF00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F285-46B4-87AC-C189192E9B92}"/>
              </c:ext>
            </c:extLst>
          </c:dPt>
          <c:dPt>
            <c:idx val="4"/>
            <c:bubble3D val="0"/>
            <c:spPr>
              <a:solidFill>
                <a:srgbClr val="0070C0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F285-46B4-87AC-C189192E9B92}"/>
              </c:ext>
            </c:extLst>
          </c:dPt>
          <c:dPt>
            <c:idx val="5"/>
            <c:bubble3D val="0"/>
            <c:spPr>
              <a:solidFill>
                <a:srgbClr val="7030A0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F285-46B4-87AC-C189192E9B92}"/>
              </c:ext>
            </c:extLst>
          </c:dPt>
          <c:dLbls>
            <c:dLbl>
              <c:idx val="0"/>
              <c:layout>
                <c:manualLayout>
                  <c:x val="6.4102564102562929E-3"/>
                  <c:y val="0"/>
                </c:manualLayout>
              </c:layout>
              <c:spPr>
                <a:solidFill>
                  <a:schemeClr val="bg1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rgbClr val="00B05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285-46B4-87AC-C189192E9B92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rgbClr val="FF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3-F285-46B4-87AC-C189192E9B92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rgbClr val="FF99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5-F285-46B4-87AC-C189192E9B92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ln w="635" cmpd="sng">
                        <a:solidFill>
                          <a:schemeClr val="tx1">
                            <a:alpha val="4000"/>
                          </a:schemeClr>
                        </a:solidFill>
                        <a:prstDash val="solid"/>
                      </a:ln>
                      <a:solidFill>
                        <a:srgbClr val="FFFF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7-F285-46B4-87AC-C189192E9B92}"/>
                </c:ext>
              </c:extLst>
            </c:dLbl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rgbClr val="0070C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9-F285-46B4-87AC-C189192E9B92}"/>
                </c:ext>
              </c:extLst>
            </c:dLbl>
            <c:dLbl>
              <c:idx val="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rgbClr val="7030A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B-F285-46B4-87AC-C189192E9B92}"/>
                </c:ext>
              </c:extLst>
            </c:dLbl>
            <c:spPr>
              <a:noFill/>
              <a:ln>
                <a:noFill/>
              </a:ln>
              <a:effectLst/>
            </c:sp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'25122020'!$L$5:$L$10</c:f>
              <c:strCache>
                <c:ptCount val="6"/>
                <c:pt idx="0">
                  <c:v>Feito</c:v>
                </c:pt>
                <c:pt idx="1">
                  <c:v>Mecânico</c:v>
                </c:pt>
                <c:pt idx="2">
                  <c:v>Elétrico</c:v>
                </c:pt>
                <c:pt idx="3">
                  <c:v>Energia</c:v>
                </c:pt>
                <c:pt idx="4">
                  <c:v>Chuva</c:v>
                </c:pt>
                <c:pt idx="5">
                  <c:v>Operação</c:v>
                </c:pt>
              </c:strCache>
            </c:strRef>
          </c:cat>
          <c:val>
            <c:numRef>
              <c:f>'25122020'!$M$5:$M$10</c:f>
              <c:numCache>
                <c:formatCode>General</c:formatCode>
                <c:ptCount val="6"/>
                <c:pt idx="0">
                  <c:v>101</c:v>
                </c:pt>
                <c:pt idx="1">
                  <c:v>10</c:v>
                </c:pt>
                <c:pt idx="2">
                  <c:v>6</c:v>
                </c:pt>
                <c:pt idx="3">
                  <c:v>2</c:v>
                </c:pt>
                <c:pt idx="4">
                  <c:v>0</c:v>
                </c:pt>
                <c:pt idx="5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F285-46B4-87AC-C189192E9B92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00B050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848A-4FF9-ACEE-8F63C3ED7F6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848A-4FF9-ACEE-8F63C3ED7F61}"/>
              </c:ext>
            </c:extLst>
          </c:dPt>
          <c:dPt>
            <c:idx val="2"/>
            <c:bubble3D val="0"/>
            <c:spPr>
              <a:solidFill>
                <a:srgbClr val="FF9900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848A-4FF9-ACEE-8F63C3ED7F61}"/>
              </c:ext>
            </c:extLst>
          </c:dPt>
          <c:dPt>
            <c:idx val="3"/>
            <c:bubble3D val="0"/>
            <c:spPr>
              <a:solidFill>
                <a:srgbClr val="FFFF00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848A-4FF9-ACEE-8F63C3ED7F61}"/>
              </c:ext>
            </c:extLst>
          </c:dPt>
          <c:dPt>
            <c:idx val="4"/>
            <c:bubble3D val="0"/>
            <c:spPr>
              <a:solidFill>
                <a:srgbClr val="0070C0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848A-4FF9-ACEE-8F63C3ED7F61}"/>
              </c:ext>
            </c:extLst>
          </c:dPt>
          <c:dPt>
            <c:idx val="5"/>
            <c:bubble3D val="0"/>
            <c:spPr>
              <a:solidFill>
                <a:srgbClr val="7030A0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848A-4FF9-ACEE-8F63C3ED7F61}"/>
              </c:ext>
            </c:extLst>
          </c:dPt>
          <c:dLbls>
            <c:dLbl>
              <c:idx val="0"/>
              <c:layout>
                <c:manualLayout>
                  <c:x val="6.4102564102562929E-3"/>
                  <c:y val="0"/>
                </c:manualLayout>
              </c:layout>
              <c:spPr>
                <a:solidFill>
                  <a:schemeClr val="bg1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rgbClr val="00B05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48A-4FF9-ACEE-8F63C3ED7F61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rgbClr val="FF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3-848A-4FF9-ACEE-8F63C3ED7F61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rgbClr val="FF99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5-848A-4FF9-ACEE-8F63C3ED7F61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ln w="635" cmpd="sng">
                        <a:solidFill>
                          <a:schemeClr val="tx1">
                            <a:alpha val="4000"/>
                          </a:schemeClr>
                        </a:solidFill>
                        <a:prstDash val="solid"/>
                      </a:ln>
                      <a:solidFill>
                        <a:srgbClr val="FFFF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7-848A-4FF9-ACEE-8F63C3ED7F61}"/>
                </c:ext>
              </c:extLst>
            </c:dLbl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rgbClr val="0070C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9-848A-4FF9-ACEE-8F63C3ED7F61}"/>
                </c:ext>
              </c:extLst>
            </c:dLbl>
            <c:dLbl>
              <c:idx val="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rgbClr val="7030A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B-848A-4FF9-ACEE-8F63C3ED7F61}"/>
                </c:ext>
              </c:extLst>
            </c:dLbl>
            <c:spPr>
              <a:noFill/>
              <a:ln>
                <a:noFill/>
              </a:ln>
              <a:effectLst/>
            </c:sp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'02012021 '!$L$5:$L$10</c:f>
              <c:strCache>
                <c:ptCount val="6"/>
                <c:pt idx="0">
                  <c:v>Feito</c:v>
                </c:pt>
                <c:pt idx="1">
                  <c:v>Mecânico</c:v>
                </c:pt>
                <c:pt idx="2">
                  <c:v>Elétrico</c:v>
                </c:pt>
                <c:pt idx="3">
                  <c:v>Energia</c:v>
                </c:pt>
                <c:pt idx="4">
                  <c:v>Chuva</c:v>
                </c:pt>
                <c:pt idx="5">
                  <c:v>Operação</c:v>
                </c:pt>
              </c:strCache>
            </c:strRef>
          </c:cat>
          <c:val>
            <c:numRef>
              <c:f>'02012021 '!$M$5:$M$10</c:f>
              <c:numCache>
                <c:formatCode>General</c:formatCode>
                <c:ptCount val="6"/>
                <c:pt idx="0">
                  <c:v>38</c:v>
                </c:pt>
                <c:pt idx="1">
                  <c:v>12</c:v>
                </c:pt>
                <c:pt idx="2">
                  <c:v>12</c:v>
                </c:pt>
                <c:pt idx="3">
                  <c:v>0</c:v>
                </c:pt>
                <c:pt idx="4">
                  <c:v>39</c:v>
                </c:pt>
                <c:pt idx="5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848A-4FF9-ACEE-8F63C3ED7F61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00B050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0D25-4A73-82A9-DC27C74F3987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0D25-4A73-82A9-DC27C74F3987}"/>
              </c:ext>
            </c:extLst>
          </c:dPt>
          <c:dPt>
            <c:idx val="2"/>
            <c:bubble3D val="0"/>
            <c:spPr>
              <a:solidFill>
                <a:srgbClr val="FF9900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0D25-4A73-82A9-DC27C74F3987}"/>
              </c:ext>
            </c:extLst>
          </c:dPt>
          <c:dPt>
            <c:idx val="3"/>
            <c:bubble3D val="0"/>
            <c:spPr>
              <a:solidFill>
                <a:srgbClr val="FFFF00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0D25-4A73-82A9-DC27C74F3987}"/>
              </c:ext>
            </c:extLst>
          </c:dPt>
          <c:dPt>
            <c:idx val="4"/>
            <c:bubble3D val="0"/>
            <c:spPr>
              <a:solidFill>
                <a:srgbClr val="0070C0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0D25-4A73-82A9-DC27C74F3987}"/>
              </c:ext>
            </c:extLst>
          </c:dPt>
          <c:dPt>
            <c:idx val="5"/>
            <c:bubble3D val="0"/>
            <c:spPr>
              <a:solidFill>
                <a:srgbClr val="7030A0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0D25-4A73-82A9-DC27C74F3987}"/>
              </c:ext>
            </c:extLst>
          </c:dPt>
          <c:dLbls>
            <c:dLbl>
              <c:idx val="0"/>
              <c:layout>
                <c:manualLayout>
                  <c:x val="6.4102564102562929E-3"/>
                  <c:y val="0"/>
                </c:manualLayout>
              </c:layout>
              <c:spPr>
                <a:solidFill>
                  <a:schemeClr val="bg1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rgbClr val="00B05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0D25-4A73-82A9-DC27C74F3987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rgbClr val="FF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3-0D25-4A73-82A9-DC27C74F3987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rgbClr val="FF99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5-0D25-4A73-82A9-DC27C74F3987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ln w="635" cmpd="sng">
                        <a:solidFill>
                          <a:schemeClr val="tx1">
                            <a:alpha val="4000"/>
                          </a:schemeClr>
                        </a:solidFill>
                        <a:prstDash val="solid"/>
                      </a:ln>
                      <a:solidFill>
                        <a:srgbClr val="FFFF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7-0D25-4A73-82A9-DC27C74F3987}"/>
                </c:ext>
              </c:extLst>
            </c:dLbl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rgbClr val="0070C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9-0D25-4A73-82A9-DC27C74F3987}"/>
                </c:ext>
              </c:extLst>
            </c:dLbl>
            <c:dLbl>
              <c:idx val="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rgbClr val="7030A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B-0D25-4A73-82A9-DC27C74F3987}"/>
                </c:ext>
              </c:extLst>
            </c:dLbl>
            <c:spPr>
              <a:noFill/>
              <a:ln>
                <a:noFill/>
              </a:ln>
              <a:effectLst/>
            </c:sp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'14012021'!$L$5:$L$10</c:f>
              <c:strCache>
                <c:ptCount val="6"/>
                <c:pt idx="0">
                  <c:v>Feito</c:v>
                </c:pt>
                <c:pt idx="1">
                  <c:v>Mecânico</c:v>
                </c:pt>
                <c:pt idx="2">
                  <c:v>Elétrico</c:v>
                </c:pt>
                <c:pt idx="3">
                  <c:v>Energia</c:v>
                </c:pt>
                <c:pt idx="4">
                  <c:v>Chuva</c:v>
                </c:pt>
                <c:pt idx="5">
                  <c:v>Operação</c:v>
                </c:pt>
              </c:strCache>
            </c:strRef>
          </c:cat>
          <c:val>
            <c:numRef>
              <c:f>'14012021'!$M$5:$M$10</c:f>
              <c:numCache>
                <c:formatCode>General</c:formatCode>
                <c:ptCount val="6"/>
                <c:pt idx="0">
                  <c:v>38</c:v>
                </c:pt>
                <c:pt idx="1">
                  <c:v>13</c:v>
                </c:pt>
                <c:pt idx="2">
                  <c:v>9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0D25-4A73-82A9-DC27C74F3987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00B050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3200-47B8-9083-30629C8472E5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3200-47B8-9083-30629C8472E5}"/>
              </c:ext>
            </c:extLst>
          </c:dPt>
          <c:dPt>
            <c:idx val="2"/>
            <c:bubble3D val="0"/>
            <c:spPr>
              <a:solidFill>
                <a:srgbClr val="FF9900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3200-47B8-9083-30629C8472E5}"/>
              </c:ext>
            </c:extLst>
          </c:dPt>
          <c:dPt>
            <c:idx val="3"/>
            <c:bubble3D val="0"/>
            <c:spPr>
              <a:solidFill>
                <a:srgbClr val="FFFF00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3200-47B8-9083-30629C8472E5}"/>
              </c:ext>
            </c:extLst>
          </c:dPt>
          <c:dPt>
            <c:idx val="4"/>
            <c:bubble3D val="0"/>
            <c:spPr>
              <a:solidFill>
                <a:srgbClr val="0070C0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3200-47B8-9083-30629C8472E5}"/>
              </c:ext>
            </c:extLst>
          </c:dPt>
          <c:dPt>
            <c:idx val="5"/>
            <c:bubble3D val="0"/>
            <c:spPr>
              <a:solidFill>
                <a:srgbClr val="7030A0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3200-47B8-9083-30629C8472E5}"/>
              </c:ext>
            </c:extLst>
          </c:dPt>
          <c:dLbls>
            <c:dLbl>
              <c:idx val="0"/>
              <c:layout>
                <c:manualLayout>
                  <c:x val="6.4102564102562929E-3"/>
                  <c:y val="0"/>
                </c:manualLayout>
              </c:layout>
              <c:spPr>
                <a:solidFill>
                  <a:schemeClr val="bg1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rgbClr val="00B05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3200-47B8-9083-30629C8472E5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rgbClr val="FF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3-3200-47B8-9083-30629C8472E5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rgbClr val="FF99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5-3200-47B8-9083-30629C8472E5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ln w="635" cmpd="sng">
                        <a:solidFill>
                          <a:schemeClr val="tx1">
                            <a:alpha val="4000"/>
                          </a:schemeClr>
                        </a:solidFill>
                        <a:prstDash val="solid"/>
                      </a:ln>
                      <a:solidFill>
                        <a:srgbClr val="FFFF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7-3200-47B8-9083-30629C8472E5}"/>
                </c:ext>
              </c:extLst>
            </c:dLbl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rgbClr val="0070C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9-3200-47B8-9083-30629C8472E5}"/>
                </c:ext>
              </c:extLst>
            </c:dLbl>
            <c:dLbl>
              <c:idx val="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rgbClr val="7030A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B-3200-47B8-9083-30629C8472E5}"/>
                </c:ext>
              </c:extLst>
            </c:dLbl>
            <c:spPr>
              <a:noFill/>
              <a:ln>
                <a:noFill/>
              </a:ln>
              <a:effectLst/>
            </c:sp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'22012021'!$L$5:$L$10</c:f>
              <c:strCache>
                <c:ptCount val="6"/>
                <c:pt idx="0">
                  <c:v>Feito</c:v>
                </c:pt>
                <c:pt idx="1">
                  <c:v>Mecânico</c:v>
                </c:pt>
                <c:pt idx="2">
                  <c:v>Elétrico</c:v>
                </c:pt>
                <c:pt idx="3">
                  <c:v>Energia</c:v>
                </c:pt>
                <c:pt idx="4">
                  <c:v>Chuva</c:v>
                </c:pt>
                <c:pt idx="5">
                  <c:v>Operação</c:v>
                </c:pt>
              </c:strCache>
            </c:strRef>
          </c:cat>
          <c:val>
            <c:numRef>
              <c:f>'22012021'!$M$5:$M$10</c:f>
              <c:numCache>
                <c:formatCode>General</c:formatCode>
                <c:ptCount val="6"/>
                <c:pt idx="0">
                  <c:v>118</c:v>
                </c:pt>
                <c:pt idx="1">
                  <c:v>19</c:v>
                </c:pt>
                <c:pt idx="2">
                  <c:v>4</c:v>
                </c:pt>
                <c:pt idx="3">
                  <c:v>19</c:v>
                </c:pt>
                <c:pt idx="4">
                  <c:v>0</c:v>
                </c:pt>
                <c:pt idx="5">
                  <c:v>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3200-47B8-9083-30629C8472E5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00B050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6201-4C56-8D1A-0D32CB7D1F60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6201-4C56-8D1A-0D32CB7D1F60}"/>
              </c:ext>
            </c:extLst>
          </c:dPt>
          <c:dPt>
            <c:idx val="2"/>
            <c:bubble3D val="0"/>
            <c:spPr>
              <a:solidFill>
                <a:srgbClr val="FF9900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6201-4C56-8D1A-0D32CB7D1F60}"/>
              </c:ext>
            </c:extLst>
          </c:dPt>
          <c:dPt>
            <c:idx val="3"/>
            <c:bubble3D val="0"/>
            <c:spPr>
              <a:solidFill>
                <a:srgbClr val="FFFF00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6201-4C56-8D1A-0D32CB7D1F60}"/>
              </c:ext>
            </c:extLst>
          </c:dPt>
          <c:dPt>
            <c:idx val="4"/>
            <c:bubble3D val="0"/>
            <c:spPr>
              <a:solidFill>
                <a:srgbClr val="0070C0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6201-4C56-8D1A-0D32CB7D1F60}"/>
              </c:ext>
            </c:extLst>
          </c:dPt>
          <c:dPt>
            <c:idx val="5"/>
            <c:bubble3D val="0"/>
            <c:spPr>
              <a:solidFill>
                <a:srgbClr val="7030A0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6201-4C56-8D1A-0D32CB7D1F60}"/>
              </c:ext>
            </c:extLst>
          </c:dPt>
          <c:dLbls>
            <c:dLbl>
              <c:idx val="0"/>
              <c:layout>
                <c:manualLayout>
                  <c:x val="6.4102564102562929E-3"/>
                  <c:y val="0"/>
                </c:manualLayout>
              </c:layout>
              <c:spPr>
                <a:solidFill>
                  <a:schemeClr val="bg1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rgbClr val="00B05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201-4C56-8D1A-0D32CB7D1F60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rgbClr val="FF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3-6201-4C56-8D1A-0D32CB7D1F60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rgbClr val="FF99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5-6201-4C56-8D1A-0D32CB7D1F60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ln w="635" cmpd="sng">
                        <a:solidFill>
                          <a:schemeClr val="tx1">
                            <a:alpha val="4000"/>
                          </a:schemeClr>
                        </a:solidFill>
                        <a:prstDash val="solid"/>
                      </a:ln>
                      <a:solidFill>
                        <a:srgbClr val="FFFF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7-6201-4C56-8D1A-0D32CB7D1F60}"/>
                </c:ext>
              </c:extLst>
            </c:dLbl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rgbClr val="0070C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9-6201-4C56-8D1A-0D32CB7D1F60}"/>
                </c:ext>
              </c:extLst>
            </c:dLbl>
            <c:dLbl>
              <c:idx val="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rgbClr val="7030A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B-6201-4C56-8D1A-0D32CB7D1F60}"/>
                </c:ext>
              </c:extLst>
            </c:dLbl>
            <c:spPr>
              <a:noFill/>
              <a:ln>
                <a:noFill/>
              </a:ln>
              <a:effectLst/>
            </c:sp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'30012021'!$L$5:$L$10</c:f>
              <c:strCache>
                <c:ptCount val="6"/>
                <c:pt idx="0">
                  <c:v>Feito</c:v>
                </c:pt>
                <c:pt idx="1">
                  <c:v>Mecânico</c:v>
                </c:pt>
                <c:pt idx="2">
                  <c:v>Elétrico</c:v>
                </c:pt>
                <c:pt idx="3">
                  <c:v>Energia</c:v>
                </c:pt>
                <c:pt idx="4">
                  <c:v>Chuva</c:v>
                </c:pt>
                <c:pt idx="5">
                  <c:v>Operação</c:v>
                </c:pt>
              </c:strCache>
            </c:strRef>
          </c:cat>
          <c:val>
            <c:numRef>
              <c:f>'30012021'!$M$5:$M$10</c:f>
              <c:numCache>
                <c:formatCode>General</c:formatCode>
                <c:ptCount val="6"/>
                <c:pt idx="0">
                  <c:v>122</c:v>
                </c:pt>
                <c:pt idx="1">
                  <c:v>12</c:v>
                </c:pt>
                <c:pt idx="2">
                  <c:v>0</c:v>
                </c:pt>
                <c:pt idx="3">
                  <c:v>18</c:v>
                </c:pt>
                <c:pt idx="4">
                  <c:v>2</c:v>
                </c:pt>
                <c:pt idx="5">
                  <c:v>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6201-4C56-8D1A-0D32CB7D1F60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00B050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FE87-47E3-8E92-408B82D3FD2E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FE87-47E3-8E92-408B82D3FD2E}"/>
              </c:ext>
            </c:extLst>
          </c:dPt>
          <c:dPt>
            <c:idx val="2"/>
            <c:bubble3D val="0"/>
            <c:spPr>
              <a:solidFill>
                <a:srgbClr val="FF9900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FE87-47E3-8E92-408B82D3FD2E}"/>
              </c:ext>
            </c:extLst>
          </c:dPt>
          <c:dPt>
            <c:idx val="3"/>
            <c:bubble3D val="0"/>
            <c:spPr>
              <a:solidFill>
                <a:srgbClr val="FFFF00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FE87-47E3-8E92-408B82D3FD2E}"/>
              </c:ext>
            </c:extLst>
          </c:dPt>
          <c:dPt>
            <c:idx val="4"/>
            <c:bubble3D val="0"/>
            <c:spPr>
              <a:solidFill>
                <a:srgbClr val="0070C0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FE87-47E3-8E92-408B82D3FD2E}"/>
              </c:ext>
            </c:extLst>
          </c:dPt>
          <c:dPt>
            <c:idx val="5"/>
            <c:bubble3D val="0"/>
            <c:spPr>
              <a:solidFill>
                <a:srgbClr val="7030A0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FE87-47E3-8E92-408B82D3FD2E}"/>
              </c:ext>
            </c:extLst>
          </c:dPt>
          <c:dLbls>
            <c:dLbl>
              <c:idx val="0"/>
              <c:layout>
                <c:manualLayout>
                  <c:x val="6.4102564102562929E-3"/>
                  <c:y val="0"/>
                </c:manualLayout>
              </c:layout>
              <c:spPr>
                <a:solidFill>
                  <a:schemeClr val="bg1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rgbClr val="00B05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E87-47E3-8E92-408B82D3FD2E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rgbClr val="FF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3-FE87-47E3-8E92-408B82D3FD2E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rgbClr val="FF99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5-FE87-47E3-8E92-408B82D3FD2E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ln w="635" cmpd="sng">
                        <a:solidFill>
                          <a:schemeClr val="tx1">
                            <a:alpha val="4000"/>
                          </a:schemeClr>
                        </a:solidFill>
                        <a:prstDash val="solid"/>
                      </a:ln>
                      <a:solidFill>
                        <a:srgbClr val="FFFF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7-FE87-47E3-8E92-408B82D3FD2E}"/>
                </c:ext>
              </c:extLst>
            </c:dLbl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rgbClr val="0070C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9-FE87-47E3-8E92-408B82D3FD2E}"/>
                </c:ext>
              </c:extLst>
            </c:dLbl>
            <c:dLbl>
              <c:idx val="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rgbClr val="7030A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B-FE87-47E3-8E92-408B82D3FD2E}"/>
                </c:ext>
              </c:extLst>
            </c:dLbl>
            <c:spPr>
              <a:noFill/>
              <a:ln>
                <a:noFill/>
              </a:ln>
              <a:effectLst/>
            </c:sp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'07022021'!$L$5:$L$10</c:f>
              <c:strCache>
                <c:ptCount val="6"/>
                <c:pt idx="0">
                  <c:v>Feito</c:v>
                </c:pt>
                <c:pt idx="1">
                  <c:v>Mecânico</c:v>
                </c:pt>
                <c:pt idx="2">
                  <c:v>Elétrico</c:v>
                </c:pt>
                <c:pt idx="3">
                  <c:v>Energia</c:v>
                </c:pt>
                <c:pt idx="4">
                  <c:v>Chuva</c:v>
                </c:pt>
                <c:pt idx="5">
                  <c:v>Operação</c:v>
                </c:pt>
              </c:strCache>
            </c:strRef>
          </c:cat>
          <c:val>
            <c:numRef>
              <c:f>'07022021'!$M$5:$M$10</c:f>
              <c:numCache>
                <c:formatCode>General</c:formatCode>
                <c:ptCount val="6"/>
                <c:pt idx="0">
                  <c:v>10</c:v>
                </c:pt>
                <c:pt idx="1">
                  <c:v>2</c:v>
                </c:pt>
                <c:pt idx="2">
                  <c:v>1</c:v>
                </c:pt>
                <c:pt idx="3">
                  <c:v>0</c:v>
                </c:pt>
                <c:pt idx="4">
                  <c:v>26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FE87-47E3-8E92-408B82D3FD2E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BF5E-4DFA-BFE6-1B32E6338298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BF5E-4DFA-BFE6-1B32E6338298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3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3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3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BF5E-4DFA-BFE6-1B32E6338298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4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4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4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BF5E-4DFA-BFE6-1B32E6338298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5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5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5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BF5E-4DFA-BFE6-1B32E6338298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6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6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6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BF5E-4DFA-BFE6-1B32E6338298}"/>
              </c:ext>
            </c:extLst>
          </c:dPt>
          <c:dLbls>
            <c:dLbl>
              <c:idx val="0"/>
              <c:layout>
                <c:manualLayout>
                  <c:x val="6.4102564102562929E-3"/>
                  <c:y val="0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F5E-4DFA-BFE6-1B32E633829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tx1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'15022021'!$L$5:$L$10</c:f>
              <c:strCache>
                <c:ptCount val="6"/>
                <c:pt idx="0">
                  <c:v>Feito</c:v>
                </c:pt>
                <c:pt idx="1">
                  <c:v>Mecânico</c:v>
                </c:pt>
                <c:pt idx="2">
                  <c:v>Elétrico</c:v>
                </c:pt>
                <c:pt idx="3">
                  <c:v>Energia</c:v>
                </c:pt>
                <c:pt idx="4">
                  <c:v>Chuva</c:v>
                </c:pt>
                <c:pt idx="5">
                  <c:v>Operação</c:v>
                </c:pt>
              </c:strCache>
            </c:strRef>
          </c:cat>
          <c:val>
            <c:numRef>
              <c:f>'15022021'!$M$5:$M$10</c:f>
              <c:numCache>
                <c:formatCode>General</c:formatCode>
                <c:ptCount val="6"/>
                <c:pt idx="0">
                  <c:v>9</c:v>
                </c:pt>
                <c:pt idx="1">
                  <c:v>6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BF5E-4DFA-BFE6-1B32E6338298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823B-4FC8-A413-C4CAE7B1A43F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823B-4FC8-A413-C4CAE7B1A43F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823B-4FC8-A413-C4CAE7B1A43F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823B-4FC8-A413-C4CAE7B1A43F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823B-4FC8-A413-C4CAE7B1A43F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823B-4FC8-A413-C4CAE7B1A43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tx2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'15022021'!$L$68:$L$73</c:f>
              <c:strCache>
                <c:ptCount val="6"/>
                <c:pt idx="0">
                  <c:v>Vedação</c:v>
                </c:pt>
                <c:pt idx="1">
                  <c:v>Mangote</c:v>
                </c:pt>
                <c:pt idx="2">
                  <c:v>Adutora</c:v>
                </c:pt>
                <c:pt idx="3">
                  <c:v>Redutor</c:v>
                </c:pt>
                <c:pt idx="4">
                  <c:v>Castanha</c:v>
                </c:pt>
                <c:pt idx="5">
                  <c:v>Micro</c:v>
                </c:pt>
              </c:strCache>
            </c:strRef>
          </c:cat>
          <c:val>
            <c:numRef>
              <c:f>'15022021'!$M$68:$M$73</c:f>
              <c:numCache>
                <c:formatCode>General</c:formatCode>
                <c:ptCount val="6"/>
                <c:pt idx="0">
                  <c:v>2</c:v>
                </c:pt>
                <c:pt idx="1">
                  <c:v>5</c:v>
                </c:pt>
                <c:pt idx="2">
                  <c:v>5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823B-4FC8-A413-C4CAE7B1A43F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3767-44FE-AD50-F42876C4FBA1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3767-44FE-AD50-F42876C4FBA1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3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3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3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3767-44FE-AD50-F42876C4FBA1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4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4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4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3767-44FE-AD50-F42876C4FBA1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5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5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5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3767-44FE-AD50-F42876C4FBA1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6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6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6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3767-44FE-AD50-F42876C4FBA1}"/>
              </c:ext>
            </c:extLst>
          </c:dPt>
          <c:dLbls>
            <c:dLbl>
              <c:idx val="0"/>
              <c:layout>
                <c:manualLayout>
                  <c:x val="6.4102564102562929E-3"/>
                  <c:y val="0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3767-44FE-AD50-F42876C4FBA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tx1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'24022021'!$L$5:$L$10</c:f>
              <c:strCache>
                <c:ptCount val="6"/>
                <c:pt idx="0">
                  <c:v>Feito</c:v>
                </c:pt>
                <c:pt idx="1">
                  <c:v>Mecânico</c:v>
                </c:pt>
                <c:pt idx="2">
                  <c:v>Elétrico</c:v>
                </c:pt>
                <c:pt idx="3">
                  <c:v>Energia</c:v>
                </c:pt>
                <c:pt idx="4">
                  <c:v>Chuva</c:v>
                </c:pt>
                <c:pt idx="5">
                  <c:v>Operação</c:v>
                </c:pt>
              </c:strCache>
            </c:strRef>
          </c:cat>
          <c:val>
            <c:numRef>
              <c:f>'24022021'!$M$5:$M$10</c:f>
              <c:numCache>
                <c:formatCode>General</c:formatCode>
                <c:ptCount val="6"/>
                <c:pt idx="0">
                  <c:v>14</c:v>
                </c:pt>
                <c:pt idx="1">
                  <c:v>1</c:v>
                </c:pt>
                <c:pt idx="2">
                  <c:v>1</c:v>
                </c:pt>
                <c:pt idx="3">
                  <c:v>0</c:v>
                </c:pt>
                <c:pt idx="4">
                  <c:v>1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3767-44FE-AD50-F42876C4FBA1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0136-40DB-B5F7-92627EF22C37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0136-40DB-B5F7-92627EF22C37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0136-40DB-B5F7-92627EF22C37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0136-40DB-B5F7-92627EF22C37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0136-40DB-B5F7-92627EF22C37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0136-40DB-B5F7-92627EF22C3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tx2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'24022021'!$L$68:$L$73</c:f>
              <c:strCache>
                <c:ptCount val="6"/>
                <c:pt idx="0">
                  <c:v>Vedação</c:v>
                </c:pt>
                <c:pt idx="1">
                  <c:v>Mangote</c:v>
                </c:pt>
                <c:pt idx="2">
                  <c:v>Adutora</c:v>
                </c:pt>
                <c:pt idx="3">
                  <c:v>Redutor</c:v>
                </c:pt>
                <c:pt idx="4">
                  <c:v>Castanha</c:v>
                </c:pt>
                <c:pt idx="5">
                  <c:v>Micro</c:v>
                </c:pt>
              </c:strCache>
            </c:strRef>
          </c:cat>
          <c:val>
            <c:numRef>
              <c:f>'24022021'!$M$68:$M$73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0136-40DB-B5F7-92627EF22C37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64F7-420D-B0DF-A7BA062F661B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64F7-420D-B0DF-A7BA062F661B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3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3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3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64F7-420D-B0DF-A7BA062F661B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4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4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4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64F7-420D-B0DF-A7BA062F661B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5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5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5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64F7-420D-B0DF-A7BA062F661B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6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6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6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64F7-420D-B0DF-A7BA062F661B}"/>
              </c:ext>
            </c:extLst>
          </c:dPt>
          <c:dLbls>
            <c:dLbl>
              <c:idx val="0"/>
              <c:layout>
                <c:manualLayout>
                  <c:x val="6.4102564102562929E-3"/>
                  <c:y val="0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4F7-420D-B0DF-A7BA062F661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tx1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'03032021'!$L$5:$L$10</c:f>
              <c:strCache>
                <c:ptCount val="6"/>
                <c:pt idx="0">
                  <c:v>Feito</c:v>
                </c:pt>
                <c:pt idx="1">
                  <c:v>Mecânico</c:v>
                </c:pt>
                <c:pt idx="2">
                  <c:v>Elétrico</c:v>
                </c:pt>
                <c:pt idx="3">
                  <c:v>Energia</c:v>
                </c:pt>
                <c:pt idx="4">
                  <c:v>Chuva</c:v>
                </c:pt>
                <c:pt idx="5">
                  <c:v>Operação</c:v>
                </c:pt>
              </c:strCache>
            </c:strRef>
          </c:cat>
          <c:val>
            <c:numRef>
              <c:f>'03032021'!$M$5:$M$10</c:f>
              <c:numCache>
                <c:formatCode>General</c:formatCode>
                <c:ptCount val="6"/>
                <c:pt idx="0">
                  <c:v>75</c:v>
                </c:pt>
                <c:pt idx="1">
                  <c:v>12</c:v>
                </c:pt>
                <c:pt idx="2">
                  <c:v>15</c:v>
                </c:pt>
                <c:pt idx="3">
                  <c:v>2</c:v>
                </c:pt>
                <c:pt idx="4">
                  <c:v>11</c:v>
                </c:pt>
                <c:pt idx="5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64F7-420D-B0DF-A7BA062F661B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D8B6-4394-9910-C769536C07F7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D8B6-4394-9910-C769536C07F7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D8B6-4394-9910-C769536C07F7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D8B6-4394-9910-C769536C07F7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D8B6-4394-9910-C769536C07F7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D8B6-4394-9910-C769536C07F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tx2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'03032021'!$L$68:$L$73</c:f>
              <c:strCache>
                <c:ptCount val="6"/>
                <c:pt idx="0">
                  <c:v>Vedação</c:v>
                </c:pt>
                <c:pt idx="1">
                  <c:v>Mangote</c:v>
                </c:pt>
                <c:pt idx="2">
                  <c:v>Adutora</c:v>
                </c:pt>
                <c:pt idx="3">
                  <c:v>Redutor</c:v>
                </c:pt>
                <c:pt idx="4">
                  <c:v>Castanha</c:v>
                </c:pt>
                <c:pt idx="5">
                  <c:v>Micro</c:v>
                </c:pt>
              </c:strCache>
            </c:strRef>
          </c:cat>
          <c:val>
            <c:numRef>
              <c:f>'03032021'!$M$68:$M$73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</c:v>
                </c:pt>
                <c:pt idx="4">
                  <c:v>3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D8B6-4394-9910-C769536C07F7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8F14-4E72-84B0-FF4E0AB085CF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8F14-4E72-84B0-FF4E0AB085CF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3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3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3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8F14-4E72-84B0-FF4E0AB085CF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4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4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4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8F14-4E72-84B0-FF4E0AB085CF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5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5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5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8F14-4E72-84B0-FF4E0AB085CF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6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6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6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8F14-4E72-84B0-FF4E0AB085CF}"/>
              </c:ext>
            </c:extLst>
          </c:dPt>
          <c:dLbls>
            <c:dLbl>
              <c:idx val="0"/>
              <c:layout>
                <c:manualLayout>
                  <c:x val="6.4102564102562929E-3"/>
                  <c:y val="0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F14-4E72-84B0-FF4E0AB085C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tx1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'11032021'!$L$5:$L$10</c:f>
              <c:strCache>
                <c:ptCount val="6"/>
                <c:pt idx="0">
                  <c:v>Feito</c:v>
                </c:pt>
                <c:pt idx="1">
                  <c:v>Mecânico</c:v>
                </c:pt>
                <c:pt idx="2">
                  <c:v>Elétrico</c:v>
                </c:pt>
                <c:pt idx="3">
                  <c:v>Energia</c:v>
                </c:pt>
                <c:pt idx="4">
                  <c:v>Chuva</c:v>
                </c:pt>
                <c:pt idx="5">
                  <c:v>Operação</c:v>
                </c:pt>
              </c:strCache>
            </c:strRef>
          </c:cat>
          <c:val>
            <c:numRef>
              <c:f>'11032021'!$M$5:$M$10</c:f>
              <c:numCache>
                <c:formatCode>General</c:formatCode>
                <c:ptCount val="6"/>
                <c:pt idx="0">
                  <c:v>93</c:v>
                </c:pt>
                <c:pt idx="1">
                  <c:v>9</c:v>
                </c:pt>
                <c:pt idx="2">
                  <c:v>8</c:v>
                </c:pt>
                <c:pt idx="3">
                  <c:v>9</c:v>
                </c:pt>
                <c:pt idx="4">
                  <c:v>0</c:v>
                </c:pt>
                <c:pt idx="5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8F14-4E72-84B0-FF4E0AB085CF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BD18-4907-A6CA-2E13971893C2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BD18-4907-A6CA-2E13971893C2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BD18-4907-A6CA-2E13971893C2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BD18-4907-A6CA-2E13971893C2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BD18-4907-A6CA-2E13971893C2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BD18-4907-A6CA-2E13971893C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tx2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'11032021'!$L$68:$L$73</c:f>
              <c:strCache>
                <c:ptCount val="6"/>
                <c:pt idx="0">
                  <c:v>Vedação</c:v>
                </c:pt>
                <c:pt idx="1">
                  <c:v>Mangote</c:v>
                </c:pt>
                <c:pt idx="2">
                  <c:v>Adutora</c:v>
                </c:pt>
                <c:pt idx="3">
                  <c:v>Redutor</c:v>
                </c:pt>
                <c:pt idx="4">
                  <c:v>Castanha</c:v>
                </c:pt>
                <c:pt idx="5">
                  <c:v>Micro</c:v>
                </c:pt>
              </c:strCache>
            </c:strRef>
          </c:cat>
          <c:val>
            <c:numRef>
              <c:f>'11032021'!$M$68:$M$73</c:f>
              <c:numCache>
                <c:formatCode>General</c:formatCode>
                <c:ptCount val="6"/>
                <c:pt idx="0">
                  <c:v>2</c:v>
                </c:pt>
                <c:pt idx="1">
                  <c:v>0</c:v>
                </c:pt>
                <c:pt idx="2">
                  <c:v>1</c:v>
                </c:pt>
                <c:pt idx="3">
                  <c:v>1</c:v>
                </c:pt>
                <c:pt idx="4">
                  <c:v>0</c:v>
                </c:pt>
                <c:pt idx="5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BD18-4907-A6CA-2E13971893C2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FF8E-4CE6-AFFE-D2C11FB1809E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FF8E-4CE6-AFFE-D2C11FB1809E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3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3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3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FF8E-4CE6-AFFE-D2C11FB1809E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4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4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4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FF8E-4CE6-AFFE-D2C11FB1809E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5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5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5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FF8E-4CE6-AFFE-D2C11FB1809E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6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6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6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FF8E-4CE6-AFFE-D2C11FB1809E}"/>
              </c:ext>
            </c:extLst>
          </c:dPt>
          <c:dLbls>
            <c:dLbl>
              <c:idx val="0"/>
              <c:layout>
                <c:manualLayout>
                  <c:x val="6.4102564102562929E-3"/>
                  <c:y val="0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F8E-4CE6-AFFE-D2C11FB1809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tx1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'19 03 2021'!$L$5:$L$10</c:f>
              <c:strCache>
                <c:ptCount val="6"/>
                <c:pt idx="0">
                  <c:v>Feito</c:v>
                </c:pt>
                <c:pt idx="1">
                  <c:v>Mecânico</c:v>
                </c:pt>
                <c:pt idx="2">
                  <c:v>Elétrico</c:v>
                </c:pt>
                <c:pt idx="3">
                  <c:v>Energia</c:v>
                </c:pt>
                <c:pt idx="4">
                  <c:v>Chuva</c:v>
                </c:pt>
                <c:pt idx="5">
                  <c:v>Operação</c:v>
                </c:pt>
              </c:strCache>
            </c:strRef>
          </c:cat>
          <c:val>
            <c:numRef>
              <c:f>'19 03 2021'!$M$5:$M$10</c:f>
              <c:numCache>
                <c:formatCode>General</c:formatCode>
                <c:ptCount val="6"/>
                <c:pt idx="0">
                  <c:v>113</c:v>
                </c:pt>
                <c:pt idx="1">
                  <c:v>23</c:v>
                </c:pt>
                <c:pt idx="2">
                  <c:v>18</c:v>
                </c:pt>
                <c:pt idx="3">
                  <c:v>0</c:v>
                </c:pt>
                <c:pt idx="4">
                  <c:v>0</c:v>
                </c:pt>
                <c:pt idx="5">
                  <c:v>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FF8E-4CE6-AFFE-D2C11FB1809E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0564-403D-B791-136BBE2083E5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0564-403D-B791-136BBE2083E5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0564-403D-B791-136BBE2083E5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0564-403D-B791-136BBE2083E5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0564-403D-B791-136BBE2083E5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0564-403D-B791-136BBE2083E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tx2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'19 03 2021'!$L$68:$L$73</c:f>
              <c:strCache>
                <c:ptCount val="6"/>
                <c:pt idx="0">
                  <c:v>Vedação</c:v>
                </c:pt>
                <c:pt idx="1">
                  <c:v>Mangote</c:v>
                </c:pt>
                <c:pt idx="2">
                  <c:v>Adutora</c:v>
                </c:pt>
                <c:pt idx="3">
                  <c:v>Redutor</c:v>
                </c:pt>
                <c:pt idx="4">
                  <c:v>Castanha</c:v>
                </c:pt>
                <c:pt idx="5">
                  <c:v>Micro</c:v>
                </c:pt>
              </c:strCache>
            </c:strRef>
          </c:cat>
          <c:val>
            <c:numRef>
              <c:f>'19 03 2021'!$M$68:$M$73</c:f>
              <c:numCache>
                <c:formatCode>General</c:formatCode>
                <c:ptCount val="6"/>
                <c:pt idx="0">
                  <c:v>3</c:v>
                </c:pt>
                <c:pt idx="1">
                  <c:v>0</c:v>
                </c:pt>
                <c:pt idx="2">
                  <c:v>0</c:v>
                </c:pt>
                <c:pt idx="3">
                  <c:v>5</c:v>
                </c:pt>
                <c:pt idx="4">
                  <c:v>2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0564-403D-B791-136BBE2083E5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2C1D-4696-AC5B-07D52332E658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2C1D-4696-AC5B-07D52332E658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3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3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3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2C1D-4696-AC5B-07D52332E658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4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4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4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2C1D-4696-AC5B-07D52332E658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5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5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5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2C1D-4696-AC5B-07D52332E658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6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6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6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2C1D-4696-AC5B-07D52332E658}"/>
              </c:ext>
            </c:extLst>
          </c:dPt>
          <c:dLbls>
            <c:dLbl>
              <c:idx val="0"/>
              <c:layout>
                <c:manualLayout>
                  <c:x val="6.4102564102562929E-3"/>
                  <c:y val="0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C1D-4696-AC5B-07D52332E65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tx1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'27 03 2021'!$L$5:$L$10</c:f>
              <c:strCache>
                <c:ptCount val="6"/>
                <c:pt idx="0">
                  <c:v>Feito</c:v>
                </c:pt>
                <c:pt idx="1">
                  <c:v>Mecânico</c:v>
                </c:pt>
                <c:pt idx="2">
                  <c:v>Elétrico</c:v>
                </c:pt>
                <c:pt idx="3">
                  <c:v>Energia</c:v>
                </c:pt>
                <c:pt idx="4">
                  <c:v>Chuva</c:v>
                </c:pt>
                <c:pt idx="5">
                  <c:v>Operação</c:v>
                </c:pt>
              </c:strCache>
            </c:strRef>
          </c:cat>
          <c:val>
            <c:numRef>
              <c:f>'27 03 2021'!$M$5:$M$10</c:f>
              <c:numCache>
                <c:formatCode>General</c:formatCode>
                <c:ptCount val="6"/>
                <c:pt idx="0">
                  <c:v>139</c:v>
                </c:pt>
                <c:pt idx="1">
                  <c:v>23</c:v>
                </c:pt>
                <c:pt idx="2">
                  <c:v>5</c:v>
                </c:pt>
                <c:pt idx="3">
                  <c:v>0</c:v>
                </c:pt>
                <c:pt idx="4">
                  <c:v>0</c:v>
                </c:pt>
                <c:pt idx="5">
                  <c:v>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2C1D-4696-AC5B-07D52332E658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3BD2-46DC-B232-9F87E8C3CE38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3BD2-46DC-B232-9F87E8C3CE38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3BD2-46DC-B232-9F87E8C3CE38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3BD2-46DC-B232-9F87E8C3CE38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3BD2-46DC-B232-9F87E8C3CE38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3BD2-46DC-B232-9F87E8C3CE3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tx2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'27 03 2021'!$L$68:$L$73</c:f>
              <c:strCache>
                <c:ptCount val="6"/>
                <c:pt idx="0">
                  <c:v>Vedação</c:v>
                </c:pt>
                <c:pt idx="1">
                  <c:v>Mangote</c:v>
                </c:pt>
                <c:pt idx="2">
                  <c:v>Adutora</c:v>
                </c:pt>
                <c:pt idx="3">
                  <c:v>Redutor</c:v>
                </c:pt>
                <c:pt idx="4">
                  <c:v>Castanha</c:v>
                </c:pt>
                <c:pt idx="5">
                  <c:v>Micro</c:v>
                </c:pt>
              </c:strCache>
            </c:strRef>
          </c:cat>
          <c:val>
            <c:numRef>
              <c:f>'27 03 2021'!$M$68:$M$73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3BD2-46DC-B232-9F87E8C3CE38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/>
              <a:t>Atendimento de irrigação. Planejando vs Executado - 1°semestre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Acumulado!$B$3</c:f>
              <c:strCache>
                <c:ptCount val="1"/>
                <c:pt idx="0">
                  <c:v>Feito</c:v>
                </c:pt>
              </c:strCache>
            </c:strRef>
          </c:tx>
          <c:spPr>
            <a:solidFill>
              <a:srgbClr val="00B050"/>
            </a:solidFill>
            <a:ln w="127000">
              <a:solidFill>
                <a:srgbClr val="00B050"/>
              </a:solidFill>
              <a:miter lim="800000"/>
            </a:ln>
            <a:effectLst/>
          </c:spPr>
          <c:invertIfNegative val="0"/>
          <c:cat>
            <c:numRef>
              <c:f>Acumulado!$C$2:$Z$2</c:f>
              <c:numCache>
                <c:formatCode>d\-mmm</c:formatCode>
                <c:ptCount val="24"/>
                <c:pt idx="0">
                  <c:v>44182</c:v>
                </c:pt>
                <c:pt idx="1">
                  <c:v>44190</c:v>
                </c:pt>
                <c:pt idx="2">
                  <c:v>44198</c:v>
                </c:pt>
                <c:pt idx="3">
                  <c:v>44210</c:v>
                </c:pt>
                <c:pt idx="4">
                  <c:v>44218</c:v>
                </c:pt>
                <c:pt idx="5">
                  <c:v>44226</c:v>
                </c:pt>
                <c:pt idx="6">
                  <c:v>44234</c:v>
                </c:pt>
                <c:pt idx="7">
                  <c:v>44242</c:v>
                </c:pt>
                <c:pt idx="8">
                  <c:v>44251</c:v>
                </c:pt>
                <c:pt idx="9">
                  <c:v>44258</c:v>
                </c:pt>
                <c:pt idx="10">
                  <c:v>44266</c:v>
                </c:pt>
                <c:pt idx="11">
                  <c:v>44274</c:v>
                </c:pt>
                <c:pt idx="12">
                  <c:v>44282</c:v>
                </c:pt>
                <c:pt idx="13">
                  <c:v>44290</c:v>
                </c:pt>
                <c:pt idx="14">
                  <c:v>44298</c:v>
                </c:pt>
                <c:pt idx="15">
                  <c:v>44316</c:v>
                </c:pt>
                <c:pt idx="16">
                  <c:v>44324</c:v>
                </c:pt>
                <c:pt idx="17">
                  <c:v>44332</c:v>
                </c:pt>
                <c:pt idx="18">
                  <c:v>44340</c:v>
                </c:pt>
                <c:pt idx="19">
                  <c:v>44348</c:v>
                </c:pt>
                <c:pt idx="20">
                  <c:v>44356</c:v>
                </c:pt>
                <c:pt idx="21">
                  <c:v>44364</c:v>
                </c:pt>
                <c:pt idx="22">
                  <c:v>44372</c:v>
                </c:pt>
                <c:pt idx="23">
                  <c:v>44380</c:v>
                </c:pt>
              </c:numCache>
            </c:numRef>
          </c:cat>
          <c:val>
            <c:numRef>
              <c:f>Acumulado!$C$3:$Z$3</c:f>
              <c:numCache>
                <c:formatCode>General</c:formatCode>
                <c:ptCount val="24"/>
                <c:pt idx="0">
                  <c:v>81</c:v>
                </c:pt>
                <c:pt idx="1">
                  <c:v>101</c:v>
                </c:pt>
                <c:pt idx="2">
                  <c:v>38</c:v>
                </c:pt>
                <c:pt idx="3">
                  <c:v>38</c:v>
                </c:pt>
                <c:pt idx="4">
                  <c:v>118</c:v>
                </c:pt>
                <c:pt idx="5">
                  <c:v>122</c:v>
                </c:pt>
                <c:pt idx="6">
                  <c:v>10</c:v>
                </c:pt>
                <c:pt idx="7">
                  <c:v>9</c:v>
                </c:pt>
                <c:pt idx="8">
                  <c:v>14</c:v>
                </c:pt>
                <c:pt idx="9">
                  <c:v>75</c:v>
                </c:pt>
                <c:pt idx="10">
                  <c:v>93</c:v>
                </c:pt>
                <c:pt idx="11">
                  <c:v>113</c:v>
                </c:pt>
                <c:pt idx="12">
                  <c:v>139</c:v>
                </c:pt>
                <c:pt idx="13">
                  <c:v>49</c:v>
                </c:pt>
                <c:pt idx="14">
                  <c:v>20</c:v>
                </c:pt>
                <c:pt idx="15">
                  <c:v>86</c:v>
                </c:pt>
                <c:pt idx="16">
                  <c:v>109</c:v>
                </c:pt>
                <c:pt idx="17">
                  <c:v>113</c:v>
                </c:pt>
                <c:pt idx="18">
                  <c:v>119</c:v>
                </c:pt>
                <c:pt idx="19">
                  <c:v>100</c:v>
                </c:pt>
                <c:pt idx="20">
                  <c:v>92</c:v>
                </c:pt>
                <c:pt idx="21">
                  <c:v>93</c:v>
                </c:pt>
                <c:pt idx="22">
                  <c:v>95</c:v>
                </c:pt>
                <c:pt idx="23">
                  <c:v>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F6B-48BE-BF8F-F19A994FC378}"/>
            </c:ext>
          </c:extLst>
        </c:ser>
        <c:ser>
          <c:idx val="1"/>
          <c:order val="1"/>
          <c:tx>
            <c:strRef>
              <c:f>Acumulado!$B$4</c:f>
              <c:strCache>
                <c:ptCount val="1"/>
                <c:pt idx="0">
                  <c:v>Mecânico</c:v>
                </c:pt>
              </c:strCache>
            </c:strRef>
          </c:tx>
          <c:spPr>
            <a:solidFill>
              <a:srgbClr val="FF0000"/>
            </a:solidFill>
            <a:ln w="127000">
              <a:solidFill>
                <a:srgbClr val="FF0000"/>
              </a:solidFill>
              <a:miter lim="800000"/>
            </a:ln>
            <a:effectLst/>
          </c:spPr>
          <c:invertIfNegative val="0"/>
          <c:cat>
            <c:numRef>
              <c:f>Acumulado!$C$2:$Z$2</c:f>
              <c:numCache>
                <c:formatCode>d\-mmm</c:formatCode>
                <c:ptCount val="24"/>
                <c:pt idx="0">
                  <c:v>44182</c:v>
                </c:pt>
                <c:pt idx="1">
                  <c:v>44190</c:v>
                </c:pt>
                <c:pt idx="2">
                  <c:v>44198</c:v>
                </c:pt>
                <c:pt idx="3">
                  <c:v>44210</c:v>
                </c:pt>
                <c:pt idx="4">
                  <c:v>44218</c:v>
                </c:pt>
                <c:pt idx="5">
                  <c:v>44226</c:v>
                </c:pt>
                <c:pt idx="6">
                  <c:v>44234</c:v>
                </c:pt>
                <c:pt idx="7">
                  <c:v>44242</c:v>
                </c:pt>
                <c:pt idx="8">
                  <c:v>44251</c:v>
                </c:pt>
                <c:pt idx="9">
                  <c:v>44258</c:v>
                </c:pt>
                <c:pt idx="10">
                  <c:v>44266</c:v>
                </c:pt>
                <c:pt idx="11">
                  <c:v>44274</c:v>
                </c:pt>
                <c:pt idx="12">
                  <c:v>44282</c:v>
                </c:pt>
                <c:pt idx="13">
                  <c:v>44290</c:v>
                </c:pt>
                <c:pt idx="14">
                  <c:v>44298</c:v>
                </c:pt>
                <c:pt idx="15">
                  <c:v>44316</c:v>
                </c:pt>
                <c:pt idx="16">
                  <c:v>44324</c:v>
                </c:pt>
                <c:pt idx="17">
                  <c:v>44332</c:v>
                </c:pt>
                <c:pt idx="18">
                  <c:v>44340</c:v>
                </c:pt>
                <c:pt idx="19">
                  <c:v>44348</c:v>
                </c:pt>
                <c:pt idx="20">
                  <c:v>44356</c:v>
                </c:pt>
                <c:pt idx="21">
                  <c:v>44364</c:v>
                </c:pt>
                <c:pt idx="22">
                  <c:v>44372</c:v>
                </c:pt>
                <c:pt idx="23">
                  <c:v>44380</c:v>
                </c:pt>
              </c:numCache>
            </c:numRef>
          </c:cat>
          <c:val>
            <c:numRef>
              <c:f>Acumulado!$C$4:$Z$4</c:f>
              <c:numCache>
                <c:formatCode>General</c:formatCode>
                <c:ptCount val="24"/>
                <c:pt idx="0">
                  <c:v>12</c:v>
                </c:pt>
                <c:pt idx="1">
                  <c:v>10</c:v>
                </c:pt>
                <c:pt idx="2">
                  <c:v>12</c:v>
                </c:pt>
                <c:pt idx="3">
                  <c:v>13</c:v>
                </c:pt>
                <c:pt idx="4">
                  <c:v>19</c:v>
                </c:pt>
                <c:pt idx="5">
                  <c:v>12</c:v>
                </c:pt>
                <c:pt idx="6">
                  <c:v>2</c:v>
                </c:pt>
                <c:pt idx="7">
                  <c:v>6</c:v>
                </c:pt>
                <c:pt idx="8">
                  <c:v>1</c:v>
                </c:pt>
                <c:pt idx="9">
                  <c:v>12</c:v>
                </c:pt>
                <c:pt idx="10">
                  <c:v>9</c:v>
                </c:pt>
                <c:pt idx="11">
                  <c:v>23</c:v>
                </c:pt>
                <c:pt idx="12">
                  <c:v>23</c:v>
                </c:pt>
                <c:pt idx="13">
                  <c:v>41</c:v>
                </c:pt>
                <c:pt idx="14">
                  <c:v>6</c:v>
                </c:pt>
                <c:pt idx="15">
                  <c:v>7</c:v>
                </c:pt>
                <c:pt idx="16">
                  <c:v>19</c:v>
                </c:pt>
                <c:pt idx="17">
                  <c:v>6</c:v>
                </c:pt>
                <c:pt idx="18">
                  <c:v>9</c:v>
                </c:pt>
                <c:pt idx="19">
                  <c:v>7</c:v>
                </c:pt>
                <c:pt idx="20">
                  <c:v>5</c:v>
                </c:pt>
                <c:pt idx="21">
                  <c:v>5</c:v>
                </c:pt>
                <c:pt idx="22">
                  <c:v>9</c:v>
                </c:pt>
                <c:pt idx="23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F6B-48BE-BF8F-F19A994FC378}"/>
            </c:ext>
          </c:extLst>
        </c:ser>
        <c:ser>
          <c:idx val="2"/>
          <c:order val="2"/>
          <c:tx>
            <c:strRef>
              <c:f>Acumulado!$B$5</c:f>
              <c:strCache>
                <c:ptCount val="1"/>
                <c:pt idx="0">
                  <c:v>Elétrico</c:v>
                </c:pt>
              </c:strCache>
            </c:strRef>
          </c:tx>
          <c:spPr>
            <a:solidFill>
              <a:srgbClr val="FFC000"/>
            </a:solidFill>
            <a:ln w="127000">
              <a:solidFill>
                <a:srgbClr val="FF9900"/>
              </a:solidFill>
              <a:miter lim="800000"/>
            </a:ln>
            <a:effectLst/>
          </c:spPr>
          <c:invertIfNegative val="0"/>
          <c:cat>
            <c:numRef>
              <c:f>Acumulado!$C$2:$Z$2</c:f>
              <c:numCache>
                <c:formatCode>d\-mmm</c:formatCode>
                <c:ptCount val="24"/>
                <c:pt idx="0">
                  <c:v>44182</c:v>
                </c:pt>
                <c:pt idx="1">
                  <c:v>44190</c:v>
                </c:pt>
                <c:pt idx="2">
                  <c:v>44198</c:v>
                </c:pt>
                <c:pt idx="3">
                  <c:v>44210</c:v>
                </c:pt>
                <c:pt idx="4">
                  <c:v>44218</c:v>
                </c:pt>
                <c:pt idx="5">
                  <c:v>44226</c:v>
                </c:pt>
                <c:pt idx="6">
                  <c:v>44234</c:v>
                </c:pt>
                <c:pt idx="7">
                  <c:v>44242</c:v>
                </c:pt>
                <c:pt idx="8">
                  <c:v>44251</c:v>
                </c:pt>
                <c:pt idx="9">
                  <c:v>44258</c:v>
                </c:pt>
                <c:pt idx="10">
                  <c:v>44266</c:v>
                </c:pt>
                <c:pt idx="11">
                  <c:v>44274</c:v>
                </c:pt>
                <c:pt idx="12">
                  <c:v>44282</c:v>
                </c:pt>
                <c:pt idx="13">
                  <c:v>44290</c:v>
                </c:pt>
                <c:pt idx="14">
                  <c:v>44298</c:v>
                </c:pt>
                <c:pt idx="15">
                  <c:v>44316</c:v>
                </c:pt>
                <c:pt idx="16">
                  <c:v>44324</c:v>
                </c:pt>
                <c:pt idx="17">
                  <c:v>44332</c:v>
                </c:pt>
                <c:pt idx="18">
                  <c:v>44340</c:v>
                </c:pt>
                <c:pt idx="19">
                  <c:v>44348</c:v>
                </c:pt>
                <c:pt idx="20">
                  <c:v>44356</c:v>
                </c:pt>
                <c:pt idx="21">
                  <c:v>44364</c:v>
                </c:pt>
                <c:pt idx="22">
                  <c:v>44372</c:v>
                </c:pt>
                <c:pt idx="23">
                  <c:v>44380</c:v>
                </c:pt>
              </c:numCache>
            </c:numRef>
          </c:cat>
          <c:val>
            <c:numRef>
              <c:f>Acumulado!$C$5:$Z$5</c:f>
              <c:numCache>
                <c:formatCode>General</c:formatCode>
                <c:ptCount val="24"/>
                <c:pt idx="0">
                  <c:v>3</c:v>
                </c:pt>
                <c:pt idx="1">
                  <c:v>6</c:v>
                </c:pt>
                <c:pt idx="2">
                  <c:v>12</c:v>
                </c:pt>
                <c:pt idx="3">
                  <c:v>9</c:v>
                </c:pt>
                <c:pt idx="4">
                  <c:v>4</c:v>
                </c:pt>
                <c:pt idx="5">
                  <c:v>0</c:v>
                </c:pt>
                <c:pt idx="6">
                  <c:v>1</c:v>
                </c:pt>
                <c:pt idx="7">
                  <c:v>0</c:v>
                </c:pt>
                <c:pt idx="8">
                  <c:v>1</c:v>
                </c:pt>
                <c:pt idx="9">
                  <c:v>15</c:v>
                </c:pt>
                <c:pt idx="10">
                  <c:v>8</c:v>
                </c:pt>
                <c:pt idx="11">
                  <c:v>18</c:v>
                </c:pt>
                <c:pt idx="12">
                  <c:v>5</c:v>
                </c:pt>
                <c:pt idx="13">
                  <c:v>7</c:v>
                </c:pt>
                <c:pt idx="14">
                  <c:v>1</c:v>
                </c:pt>
                <c:pt idx="15">
                  <c:v>4</c:v>
                </c:pt>
                <c:pt idx="16">
                  <c:v>3</c:v>
                </c:pt>
                <c:pt idx="17">
                  <c:v>5</c:v>
                </c:pt>
                <c:pt idx="18">
                  <c:v>1</c:v>
                </c:pt>
                <c:pt idx="19">
                  <c:v>0</c:v>
                </c:pt>
                <c:pt idx="20">
                  <c:v>4</c:v>
                </c:pt>
                <c:pt idx="21">
                  <c:v>3</c:v>
                </c:pt>
                <c:pt idx="22">
                  <c:v>5</c:v>
                </c:pt>
                <c:pt idx="23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F6B-48BE-BF8F-F19A994FC378}"/>
            </c:ext>
          </c:extLst>
        </c:ser>
        <c:ser>
          <c:idx val="3"/>
          <c:order val="3"/>
          <c:tx>
            <c:strRef>
              <c:f>Acumulado!$B$6</c:f>
              <c:strCache>
                <c:ptCount val="1"/>
                <c:pt idx="0">
                  <c:v>Energia</c:v>
                </c:pt>
              </c:strCache>
            </c:strRef>
          </c:tx>
          <c:spPr>
            <a:solidFill>
              <a:srgbClr val="FFFF00"/>
            </a:solidFill>
            <a:ln w="127000">
              <a:solidFill>
                <a:srgbClr val="FFFF00"/>
              </a:solidFill>
              <a:miter lim="800000"/>
            </a:ln>
            <a:effectLst/>
          </c:spPr>
          <c:invertIfNegative val="0"/>
          <c:cat>
            <c:numRef>
              <c:f>Acumulado!$C$2:$Z$2</c:f>
              <c:numCache>
                <c:formatCode>d\-mmm</c:formatCode>
                <c:ptCount val="24"/>
                <c:pt idx="0">
                  <c:v>44182</c:v>
                </c:pt>
                <c:pt idx="1">
                  <c:v>44190</c:v>
                </c:pt>
                <c:pt idx="2">
                  <c:v>44198</c:v>
                </c:pt>
                <c:pt idx="3">
                  <c:v>44210</c:v>
                </c:pt>
                <c:pt idx="4">
                  <c:v>44218</c:v>
                </c:pt>
                <c:pt idx="5">
                  <c:v>44226</c:v>
                </c:pt>
                <c:pt idx="6">
                  <c:v>44234</c:v>
                </c:pt>
                <c:pt idx="7">
                  <c:v>44242</c:v>
                </c:pt>
                <c:pt idx="8">
                  <c:v>44251</c:v>
                </c:pt>
                <c:pt idx="9">
                  <c:v>44258</c:v>
                </c:pt>
                <c:pt idx="10">
                  <c:v>44266</c:v>
                </c:pt>
                <c:pt idx="11">
                  <c:v>44274</c:v>
                </c:pt>
                <c:pt idx="12">
                  <c:v>44282</c:v>
                </c:pt>
                <c:pt idx="13">
                  <c:v>44290</c:v>
                </c:pt>
                <c:pt idx="14">
                  <c:v>44298</c:v>
                </c:pt>
                <c:pt idx="15">
                  <c:v>44316</c:v>
                </c:pt>
                <c:pt idx="16">
                  <c:v>44324</c:v>
                </c:pt>
                <c:pt idx="17">
                  <c:v>44332</c:v>
                </c:pt>
                <c:pt idx="18">
                  <c:v>44340</c:v>
                </c:pt>
                <c:pt idx="19">
                  <c:v>44348</c:v>
                </c:pt>
                <c:pt idx="20">
                  <c:v>44356</c:v>
                </c:pt>
                <c:pt idx="21">
                  <c:v>44364</c:v>
                </c:pt>
                <c:pt idx="22">
                  <c:v>44372</c:v>
                </c:pt>
                <c:pt idx="23">
                  <c:v>44380</c:v>
                </c:pt>
              </c:numCache>
            </c:numRef>
          </c:cat>
          <c:val>
            <c:numRef>
              <c:f>Acumulado!$C$6:$Z$6</c:f>
              <c:numCache>
                <c:formatCode>General</c:formatCode>
                <c:ptCount val="24"/>
                <c:pt idx="0">
                  <c:v>12</c:v>
                </c:pt>
                <c:pt idx="1">
                  <c:v>2</c:v>
                </c:pt>
                <c:pt idx="2">
                  <c:v>0</c:v>
                </c:pt>
                <c:pt idx="3">
                  <c:v>0</c:v>
                </c:pt>
                <c:pt idx="4">
                  <c:v>19</c:v>
                </c:pt>
                <c:pt idx="5">
                  <c:v>18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2</c:v>
                </c:pt>
                <c:pt idx="10">
                  <c:v>9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7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F6B-48BE-BF8F-F19A994FC378}"/>
            </c:ext>
          </c:extLst>
        </c:ser>
        <c:ser>
          <c:idx val="4"/>
          <c:order val="4"/>
          <c:tx>
            <c:strRef>
              <c:f>Acumulado!$B$7</c:f>
              <c:strCache>
                <c:ptCount val="1"/>
                <c:pt idx="0">
                  <c:v>Chuva</c:v>
                </c:pt>
              </c:strCache>
            </c:strRef>
          </c:tx>
          <c:spPr>
            <a:solidFill>
              <a:srgbClr val="00B0F0"/>
            </a:solidFill>
            <a:ln w="127000">
              <a:solidFill>
                <a:srgbClr val="00B0F0"/>
              </a:solidFill>
              <a:miter lim="800000"/>
            </a:ln>
            <a:effectLst/>
          </c:spPr>
          <c:invertIfNegative val="0"/>
          <c:cat>
            <c:numRef>
              <c:f>Acumulado!$C$2:$Z$2</c:f>
              <c:numCache>
                <c:formatCode>d\-mmm</c:formatCode>
                <c:ptCount val="24"/>
                <c:pt idx="0">
                  <c:v>44182</c:v>
                </c:pt>
                <c:pt idx="1">
                  <c:v>44190</c:v>
                </c:pt>
                <c:pt idx="2">
                  <c:v>44198</c:v>
                </c:pt>
                <c:pt idx="3">
                  <c:v>44210</c:v>
                </c:pt>
                <c:pt idx="4">
                  <c:v>44218</c:v>
                </c:pt>
                <c:pt idx="5">
                  <c:v>44226</c:v>
                </c:pt>
                <c:pt idx="6">
                  <c:v>44234</c:v>
                </c:pt>
                <c:pt idx="7">
                  <c:v>44242</c:v>
                </c:pt>
                <c:pt idx="8">
                  <c:v>44251</c:v>
                </c:pt>
                <c:pt idx="9">
                  <c:v>44258</c:v>
                </c:pt>
                <c:pt idx="10">
                  <c:v>44266</c:v>
                </c:pt>
                <c:pt idx="11">
                  <c:v>44274</c:v>
                </c:pt>
                <c:pt idx="12">
                  <c:v>44282</c:v>
                </c:pt>
                <c:pt idx="13">
                  <c:v>44290</c:v>
                </c:pt>
                <c:pt idx="14">
                  <c:v>44298</c:v>
                </c:pt>
                <c:pt idx="15">
                  <c:v>44316</c:v>
                </c:pt>
                <c:pt idx="16">
                  <c:v>44324</c:v>
                </c:pt>
                <c:pt idx="17">
                  <c:v>44332</c:v>
                </c:pt>
                <c:pt idx="18">
                  <c:v>44340</c:v>
                </c:pt>
                <c:pt idx="19">
                  <c:v>44348</c:v>
                </c:pt>
                <c:pt idx="20">
                  <c:v>44356</c:v>
                </c:pt>
                <c:pt idx="21">
                  <c:v>44364</c:v>
                </c:pt>
                <c:pt idx="22">
                  <c:v>44372</c:v>
                </c:pt>
                <c:pt idx="23">
                  <c:v>44380</c:v>
                </c:pt>
              </c:numCache>
            </c:numRef>
          </c:cat>
          <c:val>
            <c:numRef>
              <c:f>Acumulado!$C$7:$Z$7</c:f>
              <c:numCache>
                <c:formatCode>General</c:formatCode>
                <c:ptCount val="24"/>
                <c:pt idx="0">
                  <c:v>24</c:v>
                </c:pt>
                <c:pt idx="1">
                  <c:v>0</c:v>
                </c:pt>
                <c:pt idx="2">
                  <c:v>39</c:v>
                </c:pt>
                <c:pt idx="3">
                  <c:v>0</c:v>
                </c:pt>
                <c:pt idx="4">
                  <c:v>0</c:v>
                </c:pt>
                <c:pt idx="5">
                  <c:v>2</c:v>
                </c:pt>
                <c:pt idx="6">
                  <c:v>26</c:v>
                </c:pt>
                <c:pt idx="7">
                  <c:v>1</c:v>
                </c:pt>
                <c:pt idx="8">
                  <c:v>1</c:v>
                </c:pt>
                <c:pt idx="9">
                  <c:v>11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34</c:v>
                </c:pt>
                <c:pt idx="14">
                  <c:v>38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7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F6B-48BE-BF8F-F19A994FC378}"/>
            </c:ext>
          </c:extLst>
        </c:ser>
        <c:ser>
          <c:idx val="5"/>
          <c:order val="5"/>
          <c:tx>
            <c:strRef>
              <c:f>Acumulado!$B$8</c:f>
              <c:strCache>
                <c:ptCount val="1"/>
                <c:pt idx="0">
                  <c:v>Operação</c:v>
                </c:pt>
              </c:strCache>
            </c:strRef>
          </c:tx>
          <c:spPr>
            <a:solidFill>
              <a:srgbClr val="7030A0"/>
            </a:solidFill>
            <a:ln w="127000">
              <a:solidFill>
                <a:srgbClr val="7030A0"/>
              </a:solidFill>
              <a:miter lim="800000"/>
            </a:ln>
            <a:effectLst/>
          </c:spPr>
          <c:invertIfNegative val="0"/>
          <c:cat>
            <c:numRef>
              <c:f>Acumulado!$C$2:$Z$2</c:f>
              <c:numCache>
                <c:formatCode>d\-mmm</c:formatCode>
                <c:ptCount val="24"/>
                <c:pt idx="0">
                  <c:v>44182</c:v>
                </c:pt>
                <c:pt idx="1">
                  <c:v>44190</c:v>
                </c:pt>
                <c:pt idx="2">
                  <c:v>44198</c:v>
                </c:pt>
                <c:pt idx="3">
                  <c:v>44210</c:v>
                </c:pt>
                <c:pt idx="4">
                  <c:v>44218</c:v>
                </c:pt>
                <c:pt idx="5">
                  <c:v>44226</c:v>
                </c:pt>
                <c:pt idx="6">
                  <c:v>44234</c:v>
                </c:pt>
                <c:pt idx="7">
                  <c:v>44242</c:v>
                </c:pt>
                <c:pt idx="8">
                  <c:v>44251</c:v>
                </c:pt>
                <c:pt idx="9">
                  <c:v>44258</c:v>
                </c:pt>
                <c:pt idx="10">
                  <c:v>44266</c:v>
                </c:pt>
                <c:pt idx="11">
                  <c:v>44274</c:v>
                </c:pt>
                <c:pt idx="12">
                  <c:v>44282</c:v>
                </c:pt>
                <c:pt idx="13">
                  <c:v>44290</c:v>
                </c:pt>
                <c:pt idx="14">
                  <c:v>44298</c:v>
                </c:pt>
                <c:pt idx="15">
                  <c:v>44316</c:v>
                </c:pt>
                <c:pt idx="16">
                  <c:v>44324</c:v>
                </c:pt>
                <c:pt idx="17">
                  <c:v>44332</c:v>
                </c:pt>
                <c:pt idx="18">
                  <c:v>44340</c:v>
                </c:pt>
                <c:pt idx="19">
                  <c:v>44348</c:v>
                </c:pt>
                <c:pt idx="20">
                  <c:v>44356</c:v>
                </c:pt>
                <c:pt idx="21">
                  <c:v>44364</c:v>
                </c:pt>
                <c:pt idx="22">
                  <c:v>44372</c:v>
                </c:pt>
                <c:pt idx="23">
                  <c:v>44380</c:v>
                </c:pt>
              </c:numCache>
            </c:numRef>
          </c:cat>
          <c:val>
            <c:numRef>
              <c:f>Acumulado!$C$8:$Z$8</c:f>
              <c:numCache>
                <c:formatCode>General</c:formatCode>
                <c:ptCount val="24"/>
                <c:pt idx="0">
                  <c:v>2</c:v>
                </c:pt>
                <c:pt idx="1">
                  <c:v>7</c:v>
                </c:pt>
                <c:pt idx="2">
                  <c:v>8</c:v>
                </c:pt>
                <c:pt idx="3">
                  <c:v>1</c:v>
                </c:pt>
                <c:pt idx="4">
                  <c:v>19</c:v>
                </c:pt>
                <c:pt idx="5">
                  <c:v>21</c:v>
                </c:pt>
                <c:pt idx="6">
                  <c:v>1</c:v>
                </c:pt>
                <c:pt idx="7">
                  <c:v>2</c:v>
                </c:pt>
                <c:pt idx="8">
                  <c:v>0</c:v>
                </c:pt>
                <c:pt idx="9">
                  <c:v>12</c:v>
                </c:pt>
                <c:pt idx="10">
                  <c:v>11</c:v>
                </c:pt>
                <c:pt idx="11">
                  <c:v>37</c:v>
                </c:pt>
                <c:pt idx="12">
                  <c:v>47</c:v>
                </c:pt>
                <c:pt idx="13">
                  <c:v>15</c:v>
                </c:pt>
                <c:pt idx="14">
                  <c:v>12</c:v>
                </c:pt>
                <c:pt idx="15">
                  <c:v>45</c:v>
                </c:pt>
                <c:pt idx="16">
                  <c:v>37</c:v>
                </c:pt>
                <c:pt idx="17">
                  <c:v>41</c:v>
                </c:pt>
                <c:pt idx="18">
                  <c:v>20</c:v>
                </c:pt>
                <c:pt idx="19">
                  <c:v>21</c:v>
                </c:pt>
                <c:pt idx="20">
                  <c:v>14</c:v>
                </c:pt>
                <c:pt idx="21">
                  <c:v>14</c:v>
                </c:pt>
                <c:pt idx="22">
                  <c:v>15</c:v>
                </c:pt>
                <c:pt idx="23">
                  <c:v>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FF6B-48BE-BF8F-F19A994FC3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100"/>
        <c:axId val="1207490255"/>
        <c:axId val="1207491087"/>
      </c:barChart>
      <c:dateAx>
        <c:axId val="1207490255"/>
        <c:scaling>
          <c:orientation val="minMax"/>
          <c:max val="44387"/>
          <c:min val="44180"/>
        </c:scaling>
        <c:delete val="0"/>
        <c:axPos val="b"/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07491087"/>
        <c:crosses val="autoZero"/>
        <c:auto val="1"/>
        <c:lblOffset val="100"/>
        <c:baseTimeUnit val="days"/>
        <c:majorUnit val="9"/>
        <c:majorTimeUnit val="days"/>
      </c:dateAx>
      <c:valAx>
        <c:axId val="12074910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074902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/>
              <a:t>Atendimento de irrigação. Planejando vs Executado - 2°semestre</a:t>
            </a:r>
          </a:p>
        </c:rich>
      </c:tx>
      <c:layout>
        <c:manualLayout>
          <c:xMode val="edge"/>
          <c:yMode val="edge"/>
          <c:x val="0.10965705297818547"/>
          <c:y val="5.392156862745098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Acumulado!$B$3</c:f>
              <c:strCache>
                <c:ptCount val="1"/>
                <c:pt idx="0">
                  <c:v>Feito</c:v>
                </c:pt>
              </c:strCache>
            </c:strRef>
          </c:tx>
          <c:spPr>
            <a:solidFill>
              <a:srgbClr val="00B050"/>
            </a:solidFill>
            <a:ln w="127000">
              <a:solidFill>
                <a:srgbClr val="00B050"/>
              </a:solidFill>
              <a:miter lim="800000"/>
            </a:ln>
            <a:effectLst/>
          </c:spPr>
          <c:invertIfNegative val="0"/>
          <c:cat>
            <c:numRef>
              <c:f>Acumulado!$Z$2:$AJ$2</c:f>
              <c:numCache>
                <c:formatCode>d\-mmm</c:formatCode>
                <c:ptCount val="11"/>
                <c:pt idx="0">
                  <c:v>44380</c:v>
                </c:pt>
                <c:pt idx="1">
                  <c:v>44394</c:v>
                </c:pt>
                <c:pt idx="2">
                  <c:v>44404</c:v>
                </c:pt>
                <c:pt idx="3">
                  <c:v>44412</c:v>
                </c:pt>
                <c:pt idx="4">
                  <c:v>44420</c:v>
                </c:pt>
                <c:pt idx="5">
                  <c:v>44428</c:v>
                </c:pt>
                <c:pt idx="6">
                  <c:v>44436</c:v>
                </c:pt>
                <c:pt idx="7">
                  <c:v>44444</c:v>
                </c:pt>
                <c:pt idx="8">
                  <c:v>44452</c:v>
                </c:pt>
                <c:pt idx="9">
                  <c:v>44460</c:v>
                </c:pt>
                <c:pt idx="10">
                  <c:v>44466</c:v>
                </c:pt>
              </c:numCache>
            </c:numRef>
          </c:cat>
          <c:val>
            <c:numRef>
              <c:f>Acumulado!$Z$3:$AJ$3</c:f>
              <c:numCache>
                <c:formatCode>General</c:formatCode>
                <c:ptCount val="11"/>
                <c:pt idx="0">
                  <c:v>80</c:v>
                </c:pt>
                <c:pt idx="1">
                  <c:v>92</c:v>
                </c:pt>
                <c:pt idx="2">
                  <c:v>83</c:v>
                </c:pt>
                <c:pt idx="3">
                  <c:v>102</c:v>
                </c:pt>
                <c:pt idx="4">
                  <c:v>98</c:v>
                </c:pt>
                <c:pt idx="5">
                  <c:v>112</c:v>
                </c:pt>
                <c:pt idx="6">
                  <c:v>153</c:v>
                </c:pt>
                <c:pt idx="7">
                  <c:v>194</c:v>
                </c:pt>
                <c:pt idx="8">
                  <c:v>66</c:v>
                </c:pt>
                <c:pt idx="9">
                  <c:v>127</c:v>
                </c:pt>
                <c:pt idx="10">
                  <c:v>152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23-4129-88E9-A7E5F247FF2F}"/>
            </c:ext>
          </c:extLst>
        </c:ser>
        <c:ser>
          <c:idx val="1"/>
          <c:order val="1"/>
          <c:tx>
            <c:strRef>
              <c:f>Acumulado!$B$4</c:f>
              <c:strCache>
                <c:ptCount val="1"/>
                <c:pt idx="0">
                  <c:v>Mecânico</c:v>
                </c:pt>
              </c:strCache>
            </c:strRef>
          </c:tx>
          <c:spPr>
            <a:solidFill>
              <a:srgbClr val="FF0000"/>
            </a:solidFill>
            <a:ln w="127000">
              <a:solidFill>
                <a:srgbClr val="FF0000"/>
              </a:solidFill>
              <a:miter lim="800000"/>
            </a:ln>
            <a:effectLst/>
          </c:spPr>
          <c:invertIfNegative val="0"/>
          <c:cat>
            <c:numRef>
              <c:f>Acumulado!$Z$2:$AJ$2</c:f>
              <c:numCache>
                <c:formatCode>d\-mmm</c:formatCode>
                <c:ptCount val="11"/>
                <c:pt idx="0">
                  <c:v>44380</c:v>
                </c:pt>
                <c:pt idx="1">
                  <c:v>44394</c:v>
                </c:pt>
                <c:pt idx="2">
                  <c:v>44404</c:v>
                </c:pt>
                <c:pt idx="3">
                  <c:v>44412</c:v>
                </c:pt>
                <c:pt idx="4">
                  <c:v>44420</c:v>
                </c:pt>
                <c:pt idx="5">
                  <c:v>44428</c:v>
                </c:pt>
                <c:pt idx="6">
                  <c:v>44436</c:v>
                </c:pt>
                <c:pt idx="7">
                  <c:v>44444</c:v>
                </c:pt>
                <c:pt idx="8">
                  <c:v>44452</c:v>
                </c:pt>
                <c:pt idx="9">
                  <c:v>44460</c:v>
                </c:pt>
                <c:pt idx="10">
                  <c:v>44466</c:v>
                </c:pt>
              </c:numCache>
            </c:numRef>
          </c:cat>
          <c:val>
            <c:numRef>
              <c:f>Acumulado!$Z$4:$AJ$4</c:f>
              <c:numCache>
                <c:formatCode>General</c:formatCode>
                <c:ptCount val="11"/>
                <c:pt idx="0">
                  <c:v>5</c:v>
                </c:pt>
                <c:pt idx="1">
                  <c:v>8</c:v>
                </c:pt>
                <c:pt idx="2">
                  <c:v>2</c:v>
                </c:pt>
                <c:pt idx="3">
                  <c:v>6</c:v>
                </c:pt>
                <c:pt idx="4">
                  <c:v>11</c:v>
                </c:pt>
                <c:pt idx="5">
                  <c:v>4</c:v>
                </c:pt>
                <c:pt idx="6">
                  <c:v>7</c:v>
                </c:pt>
                <c:pt idx="7">
                  <c:v>4</c:v>
                </c:pt>
                <c:pt idx="8">
                  <c:v>2</c:v>
                </c:pt>
                <c:pt idx="9">
                  <c:v>3</c:v>
                </c:pt>
                <c:pt idx="10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A23-4129-88E9-A7E5F247FF2F}"/>
            </c:ext>
          </c:extLst>
        </c:ser>
        <c:ser>
          <c:idx val="2"/>
          <c:order val="2"/>
          <c:tx>
            <c:strRef>
              <c:f>Acumulado!$B$5</c:f>
              <c:strCache>
                <c:ptCount val="1"/>
                <c:pt idx="0">
                  <c:v>Elétrico</c:v>
                </c:pt>
              </c:strCache>
            </c:strRef>
          </c:tx>
          <c:spPr>
            <a:solidFill>
              <a:srgbClr val="FFC000"/>
            </a:solidFill>
            <a:ln w="127000">
              <a:solidFill>
                <a:srgbClr val="FF9900"/>
              </a:solidFill>
              <a:miter lim="800000"/>
            </a:ln>
            <a:effectLst/>
          </c:spPr>
          <c:invertIfNegative val="0"/>
          <c:cat>
            <c:numRef>
              <c:f>Acumulado!$Z$2:$AJ$2</c:f>
              <c:numCache>
                <c:formatCode>d\-mmm</c:formatCode>
                <c:ptCount val="11"/>
                <c:pt idx="0">
                  <c:v>44380</c:v>
                </c:pt>
                <c:pt idx="1">
                  <c:v>44394</c:v>
                </c:pt>
                <c:pt idx="2">
                  <c:v>44404</c:v>
                </c:pt>
                <c:pt idx="3">
                  <c:v>44412</c:v>
                </c:pt>
                <c:pt idx="4">
                  <c:v>44420</c:v>
                </c:pt>
                <c:pt idx="5">
                  <c:v>44428</c:v>
                </c:pt>
                <c:pt idx="6">
                  <c:v>44436</c:v>
                </c:pt>
                <c:pt idx="7">
                  <c:v>44444</c:v>
                </c:pt>
                <c:pt idx="8">
                  <c:v>44452</c:v>
                </c:pt>
                <c:pt idx="9">
                  <c:v>44460</c:v>
                </c:pt>
                <c:pt idx="10">
                  <c:v>44466</c:v>
                </c:pt>
              </c:numCache>
            </c:numRef>
          </c:cat>
          <c:val>
            <c:numRef>
              <c:f>Acumulado!$Z$5:$AJ$5</c:f>
              <c:numCache>
                <c:formatCode>General</c:formatCode>
                <c:ptCount val="11"/>
                <c:pt idx="0">
                  <c:v>3</c:v>
                </c:pt>
                <c:pt idx="1">
                  <c:v>2</c:v>
                </c:pt>
                <c:pt idx="2">
                  <c:v>0</c:v>
                </c:pt>
                <c:pt idx="3">
                  <c:v>3</c:v>
                </c:pt>
                <c:pt idx="4">
                  <c:v>7</c:v>
                </c:pt>
                <c:pt idx="5">
                  <c:v>3</c:v>
                </c:pt>
                <c:pt idx="6">
                  <c:v>1</c:v>
                </c:pt>
                <c:pt idx="7">
                  <c:v>2</c:v>
                </c:pt>
                <c:pt idx="8">
                  <c:v>4</c:v>
                </c:pt>
                <c:pt idx="9">
                  <c:v>4</c:v>
                </c:pt>
                <c:pt idx="1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A23-4129-88E9-A7E5F247FF2F}"/>
            </c:ext>
          </c:extLst>
        </c:ser>
        <c:ser>
          <c:idx val="3"/>
          <c:order val="3"/>
          <c:tx>
            <c:strRef>
              <c:f>Acumulado!$B$6</c:f>
              <c:strCache>
                <c:ptCount val="1"/>
                <c:pt idx="0">
                  <c:v>Energia</c:v>
                </c:pt>
              </c:strCache>
            </c:strRef>
          </c:tx>
          <c:spPr>
            <a:solidFill>
              <a:srgbClr val="FFFF00"/>
            </a:solidFill>
            <a:ln w="127000">
              <a:solidFill>
                <a:srgbClr val="FFFF00"/>
              </a:solidFill>
              <a:miter lim="800000"/>
            </a:ln>
            <a:effectLst/>
          </c:spPr>
          <c:invertIfNegative val="0"/>
          <c:cat>
            <c:numRef>
              <c:f>Acumulado!$Z$2:$AJ$2</c:f>
              <c:numCache>
                <c:formatCode>d\-mmm</c:formatCode>
                <c:ptCount val="11"/>
                <c:pt idx="0">
                  <c:v>44380</c:v>
                </c:pt>
                <c:pt idx="1">
                  <c:v>44394</c:v>
                </c:pt>
                <c:pt idx="2">
                  <c:v>44404</c:v>
                </c:pt>
                <c:pt idx="3">
                  <c:v>44412</c:v>
                </c:pt>
                <c:pt idx="4">
                  <c:v>44420</c:v>
                </c:pt>
                <c:pt idx="5">
                  <c:v>44428</c:v>
                </c:pt>
                <c:pt idx="6">
                  <c:v>44436</c:v>
                </c:pt>
                <c:pt idx="7">
                  <c:v>44444</c:v>
                </c:pt>
                <c:pt idx="8">
                  <c:v>44452</c:v>
                </c:pt>
                <c:pt idx="9">
                  <c:v>44460</c:v>
                </c:pt>
                <c:pt idx="10">
                  <c:v>44466</c:v>
                </c:pt>
              </c:numCache>
            </c:numRef>
          </c:cat>
          <c:val>
            <c:numRef>
              <c:f>Acumulado!$Z$6:$AI$6</c:f>
              <c:numCache>
                <c:formatCode>General</c:formatCode>
                <c:ptCount val="10"/>
                <c:pt idx="0">
                  <c:v>0</c:v>
                </c:pt>
                <c:pt idx="1">
                  <c:v>3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A23-4129-88E9-A7E5F247FF2F}"/>
            </c:ext>
          </c:extLst>
        </c:ser>
        <c:ser>
          <c:idx val="4"/>
          <c:order val="4"/>
          <c:tx>
            <c:strRef>
              <c:f>Acumulado!$B$7</c:f>
              <c:strCache>
                <c:ptCount val="1"/>
                <c:pt idx="0">
                  <c:v>Chuva</c:v>
                </c:pt>
              </c:strCache>
            </c:strRef>
          </c:tx>
          <c:spPr>
            <a:solidFill>
              <a:srgbClr val="00B0F0"/>
            </a:solidFill>
            <a:ln w="127000">
              <a:solidFill>
                <a:srgbClr val="00B0F0"/>
              </a:solidFill>
              <a:miter lim="800000"/>
            </a:ln>
            <a:effectLst/>
          </c:spPr>
          <c:invertIfNegative val="0"/>
          <c:cat>
            <c:numRef>
              <c:f>Acumulado!$Z$2:$AJ$2</c:f>
              <c:numCache>
                <c:formatCode>d\-mmm</c:formatCode>
                <c:ptCount val="11"/>
                <c:pt idx="0">
                  <c:v>44380</c:v>
                </c:pt>
                <c:pt idx="1">
                  <c:v>44394</c:v>
                </c:pt>
                <c:pt idx="2">
                  <c:v>44404</c:v>
                </c:pt>
                <c:pt idx="3">
                  <c:v>44412</c:v>
                </c:pt>
                <c:pt idx="4">
                  <c:v>44420</c:v>
                </c:pt>
                <c:pt idx="5">
                  <c:v>44428</c:v>
                </c:pt>
                <c:pt idx="6">
                  <c:v>44436</c:v>
                </c:pt>
                <c:pt idx="7">
                  <c:v>44444</c:v>
                </c:pt>
                <c:pt idx="8">
                  <c:v>44452</c:v>
                </c:pt>
                <c:pt idx="9">
                  <c:v>44460</c:v>
                </c:pt>
                <c:pt idx="10">
                  <c:v>44466</c:v>
                </c:pt>
              </c:numCache>
            </c:numRef>
          </c:cat>
          <c:val>
            <c:numRef>
              <c:f>Acumulado!$Z$7:$AA$7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A23-4129-88E9-A7E5F247FF2F}"/>
            </c:ext>
          </c:extLst>
        </c:ser>
        <c:ser>
          <c:idx val="5"/>
          <c:order val="5"/>
          <c:tx>
            <c:strRef>
              <c:f>Acumulado!$B$8</c:f>
              <c:strCache>
                <c:ptCount val="1"/>
                <c:pt idx="0">
                  <c:v>Operação</c:v>
                </c:pt>
              </c:strCache>
            </c:strRef>
          </c:tx>
          <c:spPr>
            <a:solidFill>
              <a:srgbClr val="7030A0"/>
            </a:solidFill>
            <a:ln w="127000">
              <a:solidFill>
                <a:srgbClr val="7030A0"/>
              </a:solidFill>
              <a:miter lim="800000"/>
            </a:ln>
            <a:effectLst/>
          </c:spPr>
          <c:invertIfNegative val="0"/>
          <c:cat>
            <c:numRef>
              <c:f>Acumulado!$Z$2:$AJ$2</c:f>
              <c:numCache>
                <c:formatCode>d\-mmm</c:formatCode>
                <c:ptCount val="11"/>
                <c:pt idx="0">
                  <c:v>44380</c:v>
                </c:pt>
                <c:pt idx="1">
                  <c:v>44394</c:v>
                </c:pt>
                <c:pt idx="2">
                  <c:v>44404</c:v>
                </c:pt>
                <c:pt idx="3">
                  <c:v>44412</c:v>
                </c:pt>
                <c:pt idx="4">
                  <c:v>44420</c:v>
                </c:pt>
                <c:pt idx="5">
                  <c:v>44428</c:v>
                </c:pt>
                <c:pt idx="6">
                  <c:v>44436</c:v>
                </c:pt>
                <c:pt idx="7">
                  <c:v>44444</c:v>
                </c:pt>
                <c:pt idx="8">
                  <c:v>44452</c:v>
                </c:pt>
                <c:pt idx="9">
                  <c:v>44460</c:v>
                </c:pt>
                <c:pt idx="10">
                  <c:v>44466</c:v>
                </c:pt>
              </c:numCache>
            </c:numRef>
          </c:cat>
          <c:val>
            <c:numRef>
              <c:f>Acumulado!$Z$8:$AJ$8</c:f>
              <c:numCache>
                <c:formatCode>General</c:formatCode>
                <c:ptCount val="11"/>
                <c:pt idx="0">
                  <c:v>22</c:v>
                </c:pt>
                <c:pt idx="1">
                  <c:v>20</c:v>
                </c:pt>
                <c:pt idx="2">
                  <c:v>18</c:v>
                </c:pt>
                <c:pt idx="3">
                  <c:v>22</c:v>
                </c:pt>
                <c:pt idx="4">
                  <c:v>19</c:v>
                </c:pt>
                <c:pt idx="5">
                  <c:v>28</c:v>
                </c:pt>
                <c:pt idx="6">
                  <c:v>36</c:v>
                </c:pt>
                <c:pt idx="7">
                  <c:v>18</c:v>
                </c:pt>
                <c:pt idx="8">
                  <c:v>7</c:v>
                </c:pt>
                <c:pt idx="9">
                  <c:v>26</c:v>
                </c:pt>
                <c:pt idx="10">
                  <c:v>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FA23-4129-88E9-A7E5F247FF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100"/>
        <c:axId val="1207490255"/>
        <c:axId val="1207491087"/>
      </c:barChart>
      <c:dateAx>
        <c:axId val="1207490255"/>
        <c:scaling>
          <c:orientation val="minMax"/>
          <c:min val="44378"/>
        </c:scaling>
        <c:delete val="0"/>
        <c:axPos val="b"/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07491087"/>
        <c:crosses val="autoZero"/>
        <c:auto val="1"/>
        <c:lblOffset val="100"/>
        <c:baseTimeUnit val="days"/>
        <c:majorUnit val="7"/>
        <c:majorTimeUnit val="days"/>
      </c:dateAx>
      <c:valAx>
        <c:axId val="12074910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074902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54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/>
    <cs:fillRef idx="2">
      <cs:styleClr val="auto"/>
    </cs:fillRef>
    <cs:effectRef idx="1"/>
    <cs:fontRef idx="minor">
      <a:schemeClr val="dk1"/>
    </cs:fontRef>
    <cs:spPr/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55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54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/>
    <cs:fillRef idx="2">
      <cs:styleClr val="auto"/>
    </cs:fillRef>
    <cs:effectRef idx="1"/>
    <cs:fontRef idx="minor">
      <a:schemeClr val="dk1"/>
    </cs:fontRef>
    <cs:spPr/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255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254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/>
    <cs:fillRef idx="2">
      <cs:styleClr val="auto"/>
    </cs:fillRef>
    <cs:effectRef idx="1"/>
    <cs:fontRef idx="minor">
      <a:schemeClr val="dk1"/>
    </cs:fontRef>
    <cs:spPr/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255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14.xml><?xml version="1.0" encoding="utf-8"?>
<cs:chartStyle xmlns:cs="http://schemas.microsoft.com/office/drawing/2012/chartStyle" xmlns:a="http://schemas.openxmlformats.org/drawingml/2006/main" id="254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/>
    <cs:fillRef idx="2">
      <cs:styleClr val="auto"/>
    </cs:fillRef>
    <cs:effectRef idx="1"/>
    <cs:fontRef idx="minor">
      <a:schemeClr val="dk1"/>
    </cs:fontRef>
    <cs:spPr/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5.xml><?xml version="1.0" encoding="utf-8"?>
<cs:chartStyle xmlns:cs="http://schemas.microsoft.com/office/drawing/2012/chartStyle" xmlns:a="http://schemas.openxmlformats.org/drawingml/2006/main" id="255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16.xml><?xml version="1.0" encoding="utf-8"?>
<cs:chartStyle xmlns:cs="http://schemas.microsoft.com/office/drawing/2012/chartStyle" xmlns:a="http://schemas.openxmlformats.org/drawingml/2006/main" id="254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/>
    <cs:fillRef idx="2">
      <cs:styleClr val="auto"/>
    </cs:fillRef>
    <cs:effectRef idx="1"/>
    <cs:fontRef idx="minor">
      <a:schemeClr val="dk1"/>
    </cs:fontRef>
    <cs:spPr/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7.xml><?xml version="1.0" encoding="utf-8"?>
<cs:chartStyle xmlns:cs="http://schemas.microsoft.com/office/drawing/2012/chartStyle" xmlns:a="http://schemas.openxmlformats.org/drawingml/2006/main" id="255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18.xml><?xml version="1.0" encoding="utf-8"?>
<cs:chartStyle xmlns:cs="http://schemas.microsoft.com/office/drawing/2012/chartStyle" xmlns:a="http://schemas.openxmlformats.org/drawingml/2006/main" id="254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/>
    <cs:fillRef idx="2">
      <cs:styleClr val="auto"/>
    </cs:fillRef>
    <cs:effectRef idx="1"/>
    <cs:fontRef idx="minor">
      <a:schemeClr val="dk1"/>
    </cs:fontRef>
    <cs:spPr/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9.xml><?xml version="1.0" encoding="utf-8"?>
<cs:chartStyle xmlns:cs="http://schemas.microsoft.com/office/drawing/2012/chartStyle" xmlns:a="http://schemas.openxmlformats.org/drawingml/2006/main" id="255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0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3.xml"/><Relationship Id="rId1" Type="http://schemas.openxmlformats.org/officeDocument/2006/relationships/chart" Target="../charts/chart12.xml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5.xml"/><Relationship Id="rId1" Type="http://schemas.openxmlformats.org/officeDocument/2006/relationships/chart" Target="../charts/chart14.xml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7.xml"/><Relationship Id="rId1" Type="http://schemas.openxmlformats.org/officeDocument/2006/relationships/chart" Target="../charts/chart16.xml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9.xml"/><Relationship Id="rId1" Type="http://schemas.openxmlformats.org/officeDocument/2006/relationships/chart" Target="../charts/chart18.xml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1.xml"/><Relationship Id="rId1" Type="http://schemas.openxmlformats.org/officeDocument/2006/relationships/chart" Target="../charts/chart2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482601</xdr:colOff>
      <xdr:row>15</xdr:row>
      <xdr:rowOff>29009</xdr:rowOff>
    </xdr:from>
    <xdr:to>
      <xdr:col>16</xdr:col>
      <xdr:colOff>379846</xdr:colOff>
      <xdr:row>30</xdr:row>
      <xdr:rowOff>75047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A955E09A-608F-46F0-B386-617E0CECC1A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409575</xdr:colOff>
      <xdr:row>11</xdr:row>
      <xdr:rowOff>104774</xdr:rowOff>
    </xdr:from>
    <xdr:to>
      <xdr:col>18</xdr:col>
      <xdr:colOff>76200</xdr:colOff>
      <xdr:row>29</xdr:row>
      <xdr:rowOff>76199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9D8E82FF-001A-4EB8-99D1-682169C9248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409575</xdr:colOff>
      <xdr:row>11</xdr:row>
      <xdr:rowOff>104774</xdr:rowOff>
    </xdr:from>
    <xdr:to>
      <xdr:col>18</xdr:col>
      <xdr:colOff>76200</xdr:colOff>
      <xdr:row>29</xdr:row>
      <xdr:rowOff>76199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B6817FE-21F2-42E8-8FCA-47172536C6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409575</xdr:colOff>
      <xdr:row>11</xdr:row>
      <xdr:rowOff>104774</xdr:rowOff>
    </xdr:from>
    <xdr:to>
      <xdr:col>18</xdr:col>
      <xdr:colOff>76200</xdr:colOff>
      <xdr:row>29</xdr:row>
      <xdr:rowOff>76199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5702AEE8-E2EA-4818-8BBC-D7351815028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409575</xdr:colOff>
      <xdr:row>11</xdr:row>
      <xdr:rowOff>104774</xdr:rowOff>
    </xdr:from>
    <xdr:to>
      <xdr:col>18</xdr:col>
      <xdr:colOff>76200</xdr:colOff>
      <xdr:row>29</xdr:row>
      <xdr:rowOff>76199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45813238-4B42-4975-8D2D-1527070BC25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409575</xdr:colOff>
      <xdr:row>11</xdr:row>
      <xdr:rowOff>104774</xdr:rowOff>
    </xdr:from>
    <xdr:to>
      <xdr:col>18</xdr:col>
      <xdr:colOff>76200</xdr:colOff>
      <xdr:row>29</xdr:row>
      <xdr:rowOff>76199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1A2491C-AA33-4B05-AA34-E40F932EABB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409575</xdr:colOff>
      <xdr:row>11</xdr:row>
      <xdr:rowOff>104774</xdr:rowOff>
    </xdr:from>
    <xdr:to>
      <xdr:col>18</xdr:col>
      <xdr:colOff>76200</xdr:colOff>
      <xdr:row>29</xdr:row>
      <xdr:rowOff>76199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88EB9DCC-F9EE-4EAB-AE40-C0260171EA6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13</xdr:row>
      <xdr:rowOff>38100</xdr:rowOff>
    </xdr:from>
    <xdr:to>
      <xdr:col>17</xdr:col>
      <xdr:colOff>581025</xdr:colOff>
      <xdr:row>26</xdr:row>
      <xdr:rowOff>142876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DD729BA0-B426-4888-B39E-9D8F85F8377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438150</xdr:colOff>
      <xdr:row>74</xdr:row>
      <xdr:rowOff>114300</xdr:rowOff>
    </xdr:from>
    <xdr:to>
      <xdr:col>15</xdr:col>
      <xdr:colOff>485775</xdr:colOff>
      <xdr:row>92</xdr:row>
      <xdr:rowOff>85725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AFB143A3-F5E1-4BE0-B404-D0EF9D51A7F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13</xdr:row>
      <xdr:rowOff>38100</xdr:rowOff>
    </xdr:from>
    <xdr:to>
      <xdr:col>17</xdr:col>
      <xdr:colOff>581025</xdr:colOff>
      <xdr:row>26</xdr:row>
      <xdr:rowOff>142876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660DEF3B-3A9B-489D-B2CB-B6F064E2EFF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438150</xdr:colOff>
      <xdr:row>74</xdr:row>
      <xdr:rowOff>114300</xdr:rowOff>
    </xdr:from>
    <xdr:to>
      <xdr:col>15</xdr:col>
      <xdr:colOff>485775</xdr:colOff>
      <xdr:row>92</xdr:row>
      <xdr:rowOff>85725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29B8FFF-89AA-49F0-809F-2BB85CCC320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13</xdr:row>
      <xdr:rowOff>38100</xdr:rowOff>
    </xdr:from>
    <xdr:to>
      <xdr:col>17</xdr:col>
      <xdr:colOff>581025</xdr:colOff>
      <xdr:row>26</xdr:row>
      <xdr:rowOff>142876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4E72034-DE40-4D68-AD8E-97F5D1A0041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438150</xdr:colOff>
      <xdr:row>74</xdr:row>
      <xdr:rowOff>114300</xdr:rowOff>
    </xdr:from>
    <xdr:to>
      <xdr:col>15</xdr:col>
      <xdr:colOff>485775</xdr:colOff>
      <xdr:row>92</xdr:row>
      <xdr:rowOff>85725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C20DD61-FFBE-45F6-9E24-BA450973316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13</xdr:row>
      <xdr:rowOff>38100</xdr:rowOff>
    </xdr:from>
    <xdr:to>
      <xdr:col>17</xdr:col>
      <xdr:colOff>581025</xdr:colOff>
      <xdr:row>26</xdr:row>
      <xdr:rowOff>142876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C933390-CCAA-4DEB-AF42-269FAD0312D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466725</xdr:colOff>
      <xdr:row>74</xdr:row>
      <xdr:rowOff>114301</xdr:rowOff>
    </xdr:from>
    <xdr:to>
      <xdr:col>15</xdr:col>
      <xdr:colOff>304800</xdr:colOff>
      <xdr:row>86</xdr:row>
      <xdr:rowOff>165101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190C3E75-D39B-4F4D-89A8-60F150B352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79376</xdr:colOff>
      <xdr:row>11</xdr:row>
      <xdr:rowOff>12700</xdr:rowOff>
    </xdr:from>
    <xdr:to>
      <xdr:col>15</xdr:col>
      <xdr:colOff>101600</xdr:colOff>
      <xdr:row>24</xdr:row>
      <xdr:rowOff>123826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367F247-A0EC-4C40-9B7B-F343D8AA4F0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466725</xdr:colOff>
      <xdr:row>74</xdr:row>
      <xdr:rowOff>114300</xdr:rowOff>
    </xdr:from>
    <xdr:to>
      <xdr:col>17</xdr:col>
      <xdr:colOff>57150</xdr:colOff>
      <xdr:row>92</xdr:row>
      <xdr:rowOff>85725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285879F-7C31-4D41-A2CE-10258884960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269876</xdr:colOff>
      <xdr:row>10</xdr:row>
      <xdr:rowOff>171450</xdr:rowOff>
    </xdr:from>
    <xdr:to>
      <xdr:col>16</xdr:col>
      <xdr:colOff>292100</xdr:colOff>
      <xdr:row>24</xdr:row>
      <xdr:rowOff>98426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B41F746A-5D17-4FE9-8EAF-E58B3ED0EE0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466725</xdr:colOff>
      <xdr:row>74</xdr:row>
      <xdr:rowOff>114300</xdr:rowOff>
    </xdr:from>
    <xdr:to>
      <xdr:col>17</xdr:col>
      <xdr:colOff>57150</xdr:colOff>
      <xdr:row>92</xdr:row>
      <xdr:rowOff>85725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0EF1855-E525-48B1-A088-D767446B4A2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112278</xdr:colOff>
      <xdr:row>10</xdr:row>
      <xdr:rowOff>160769</xdr:rowOff>
    </xdr:from>
    <xdr:to>
      <xdr:col>19</xdr:col>
      <xdr:colOff>36368</xdr:colOff>
      <xdr:row>25</xdr:row>
      <xdr:rowOff>119495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D44F7B3-0C0B-418C-99E9-7112D15B862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20</xdr:col>
      <xdr:colOff>17316</xdr:colOff>
      <xdr:row>10</xdr:row>
      <xdr:rowOff>19050</xdr:rowOff>
    </xdr:from>
    <xdr:to>
      <xdr:col>26</xdr:col>
      <xdr:colOff>361950</xdr:colOff>
      <xdr:row>27</xdr:row>
      <xdr:rowOff>19050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1ECC92F2-D622-4D85-B261-3D69430B1DF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personal/debora_camargo_santacolomba_com_br/Documents/Documents/Gest&#227;o%20H&#237;drica/Cronograma%20Karitel/Cronograma%20de%20irriga&#231;&#227;o%20RDM%2014%2011%20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ogramaçao "/>
      <sheetName val="Lamina"/>
      <sheetName val="Pesquisa de nome"/>
    </sheetNames>
    <sheetDataSet>
      <sheetData sheetId="0"/>
      <sheetData sheetId="1"/>
      <sheetData sheetId="2">
        <row r="2">
          <cell r="B2" t="str">
            <v>NÚMERO DA LINHA</v>
          </cell>
        </row>
        <row r="3">
          <cell r="A3" t="str">
            <v/>
          </cell>
          <cell r="B3" t="str">
            <v/>
          </cell>
        </row>
        <row r="4">
          <cell r="B4" t="str">
            <v/>
          </cell>
        </row>
        <row r="5">
          <cell r="B5" t="str">
            <v/>
          </cell>
        </row>
        <row r="6">
          <cell r="B6" t="str">
            <v/>
          </cell>
        </row>
        <row r="7">
          <cell r="B7" t="str">
            <v/>
          </cell>
        </row>
        <row r="8">
          <cell r="B8" t="str">
            <v/>
          </cell>
        </row>
        <row r="9">
          <cell r="B9" t="str">
            <v/>
          </cell>
        </row>
        <row r="10">
          <cell r="B10" t="str">
            <v/>
          </cell>
        </row>
        <row r="11">
          <cell r="B11" t="str">
            <v/>
          </cell>
        </row>
        <row r="12">
          <cell r="B12" t="str">
            <v/>
          </cell>
        </row>
        <row r="13">
          <cell r="B13" t="str">
            <v/>
          </cell>
        </row>
        <row r="14">
          <cell r="B14" t="str">
            <v/>
          </cell>
        </row>
        <row r="15">
          <cell r="B15" t="str">
            <v/>
          </cell>
        </row>
        <row r="16">
          <cell r="B16" t="str">
            <v/>
          </cell>
        </row>
        <row r="17">
          <cell r="B17" t="str">
            <v/>
          </cell>
        </row>
        <row r="18">
          <cell r="B18" t="str">
            <v/>
          </cell>
        </row>
        <row r="19">
          <cell r="B19" t="str">
            <v/>
          </cell>
        </row>
        <row r="20">
          <cell r="B20" t="str">
            <v/>
          </cell>
        </row>
        <row r="21">
          <cell r="B21" t="str">
            <v/>
          </cell>
        </row>
        <row r="22">
          <cell r="B22" t="str">
            <v/>
          </cell>
        </row>
        <row r="23">
          <cell r="B23" t="str">
            <v/>
          </cell>
        </row>
        <row r="24">
          <cell r="B24" t="str">
            <v/>
          </cell>
        </row>
        <row r="25">
          <cell r="B25" t="str">
            <v/>
          </cell>
        </row>
        <row r="26">
          <cell r="B26" t="str">
            <v/>
          </cell>
        </row>
        <row r="27">
          <cell r="B27" t="str">
            <v/>
          </cell>
        </row>
        <row r="28">
          <cell r="B28" t="str">
            <v/>
          </cell>
        </row>
        <row r="29">
          <cell r="B29" t="str">
            <v/>
          </cell>
        </row>
        <row r="30">
          <cell r="B30" t="str">
            <v/>
          </cell>
        </row>
        <row r="31">
          <cell r="B31" t="str">
            <v/>
          </cell>
        </row>
        <row r="32">
          <cell r="B32" t="str">
            <v/>
          </cell>
        </row>
        <row r="33">
          <cell r="B33" t="str">
            <v/>
          </cell>
        </row>
        <row r="34">
          <cell r="B34" t="str">
            <v/>
          </cell>
        </row>
        <row r="35">
          <cell r="B35" t="str">
            <v/>
          </cell>
        </row>
        <row r="36">
          <cell r="B36" t="str">
            <v/>
          </cell>
        </row>
        <row r="37">
          <cell r="B37" t="str">
            <v/>
          </cell>
        </row>
        <row r="38">
          <cell r="B38" t="str">
            <v/>
          </cell>
        </row>
        <row r="39">
          <cell r="B39" t="str">
            <v/>
          </cell>
        </row>
        <row r="40">
          <cell r="B40" t="str">
            <v/>
          </cell>
        </row>
        <row r="41">
          <cell r="B41" t="str">
            <v/>
          </cell>
        </row>
        <row r="42">
          <cell r="B42" t="str">
            <v/>
          </cell>
        </row>
        <row r="43">
          <cell r="B43" t="str">
            <v/>
          </cell>
        </row>
        <row r="44">
          <cell r="B44" t="str">
            <v/>
          </cell>
        </row>
        <row r="45">
          <cell r="B45" t="str">
            <v/>
          </cell>
        </row>
        <row r="46">
          <cell r="B46" t="str">
            <v/>
          </cell>
        </row>
        <row r="47">
          <cell r="B47" t="str">
            <v/>
          </cell>
        </row>
        <row r="48">
          <cell r="B48" t="str">
            <v/>
          </cell>
        </row>
        <row r="49">
          <cell r="B49" t="str">
            <v/>
          </cell>
        </row>
        <row r="50">
          <cell r="B50" t="str">
            <v/>
          </cell>
        </row>
        <row r="51">
          <cell r="B51" t="str">
            <v/>
          </cell>
        </row>
        <row r="52">
          <cell r="B52" t="str">
            <v/>
          </cell>
        </row>
        <row r="53">
          <cell r="B53" t="str">
            <v/>
          </cell>
        </row>
        <row r="54">
          <cell r="B54" t="str">
            <v/>
          </cell>
        </row>
        <row r="55">
          <cell r="B55" t="str">
            <v/>
          </cell>
        </row>
        <row r="56">
          <cell r="B56" t="str">
            <v/>
          </cell>
        </row>
        <row r="57">
          <cell r="B57" t="str">
            <v/>
          </cell>
        </row>
        <row r="58">
          <cell r="B58" t="str">
            <v/>
          </cell>
        </row>
        <row r="59">
          <cell r="B59" t="str">
            <v/>
          </cell>
        </row>
        <row r="60">
          <cell r="B60" t="str">
            <v/>
          </cell>
        </row>
        <row r="61">
          <cell r="B61" t="str">
            <v/>
          </cell>
        </row>
        <row r="62">
          <cell r="B62" t="str">
            <v/>
          </cell>
        </row>
        <row r="63">
          <cell r="B63" t="str">
            <v/>
          </cell>
        </row>
        <row r="64">
          <cell r="B64" t="str">
            <v/>
          </cell>
        </row>
        <row r="65">
          <cell r="B65" t="str">
            <v/>
          </cell>
        </row>
        <row r="66">
          <cell r="B66" t="str">
            <v/>
          </cell>
        </row>
        <row r="67">
          <cell r="B67" t="str">
            <v/>
          </cell>
        </row>
        <row r="68">
          <cell r="B68" t="str">
            <v/>
          </cell>
        </row>
        <row r="69">
          <cell r="B69" t="str">
            <v/>
          </cell>
        </row>
        <row r="70">
          <cell r="B70" t="str">
            <v/>
          </cell>
        </row>
        <row r="71">
          <cell r="B71" t="str">
            <v/>
          </cell>
        </row>
        <row r="72">
          <cell r="B72" t="str">
            <v/>
          </cell>
        </row>
        <row r="73">
          <cell r="B73" t="str">
            <v/>
          </cell>
        </row>
        <row r="74">
          <cell r="B74" t="str">
            <v/>
          </cell>
        </row>
        <row r="75">
          <cell r="B75" t="str">
            <v/>
          </cell>
        </row>
        <row r="76">
          <cell r="B76" t="str">
            <v/>
          </cell>
        </row>
        <row r="77">
          <cell r="B77" t="str">
            <v/>
          </cell>
        </row>
        <row r="78">
          <cell r="B78" t="str">
            <v/>
          </cell>
        </row>
        <row r="79">
          <cell r="B79" t="str">
            <v/>
          </cell>
        </row>
        <row r="80">
          <cell r="B80" t="str">
            <v/>
          </cell>
        </row>
        <row r="81">
          <cell r="B81" t="str">
            <v/>
          </cell>
        </row>
        <row r="82">
          <cell r="B82" t="str">
            <v/>
          </cell>
        </row>
        <row r="83">
          <cell r="B83" t="str">
            <v/>
          </cell>
        </row>
        <row r="84">
          <cell r="B84" t="str">
            <v/>
          </cell>
        </row>
        <row r="85">
          <cell r="B85" t="str">
            <v/>
          </cell>
        </row>
        <row r="86">
          <cell r="B86" t="str">
            <v/>
          </cell>
        </row>
        <row r="87">
          <cell r="B87" t="str">
            <v/>
          </cell>
        </row>
        <row r="88">
          <cell r="B88" t="str">
            <v/>
          </cell>
        </row>
        <row r="89">
          <cell r="B89" t="str">
            <v/>
          </cell>
        </row>
        <row r="90">
          <cell r="B90" t="str">
            <v/>
          </cell>
        </row>
        <row r="91">
          <cell r="B91" t="str">
            <v/>
          </cell>
        </row>
        <row r="92">
          <cell r="B92" t="str">
            <v/>
          </cell>
        </row>
        <row r="93">
          <cell r="B93" t="str">
            <v/>
          </cell>
        </row>
        <row r="94">
          <cell r="B94" t="str">
            <v/>
          </cell>
        </row>
        <row r="95">
          <cell r="B95" t="str">
            <v/>
          </cell>
        </row>
        <row r="96">
          <cell r="B96" t="str">
            <v/>
          </cell>
        </row>
        <row r="97">
          <cell r="B97" t="str">
            <v/>
          </cell>
        </row>
        <row r="98">
          <cell r="B98" t="str">
            <v/>
          </cell>
        </row>
        <row r="99">
          <cell r="B99" t="str">
            <v/>
          </cell>
        </row>
        <row r="100">
          <cell r="B100" t="str">
            <v/>
          </cell>
        </row>
        <row r="101">
          <cell r="B101" t="str">
            <v/>
          </cell>
        </row>
        <row r="102">
          <cell r="B102" t="str">
            <v/>
          </cell>
        </row>
        <row r="103">
          <cell r="B103" t="str">
            <v/>
          </cell>
        </row>
        <row r="104">
          <cell r="B104" t="str">
            <v/>
          </cell>
        </row>
        <row r="105">
          <cell r="B105" t="str">
            <v/>
          </cell>
        </row>
        <row r="106">
          <cell r="B106" t="str">
            <v/>
          </cell>
        </row>
        <row r="107">
          <cell r="B107" t="str">
            <v/>
          </cell>
        </row>
        <row r="108">
          <cell r="B108" t="str">
            <v/>
          </cell>
        </row>
        <row r="109">
          <cell r="B109" t="str">
            <v/>
          </cell>
        </row>
        <row r="110">
          <cell r="B110" t="str">
            <v/>
          </cell>
        </row>
        <row r="111">
          <cell r="B111" t="str">
            <v/>
          </cell>
        </row>
        <row r="112">
          <cell r="B112" t="str">
            <v/>
          </cell>
        </row>
        <row r="113">
          <cell r="B113" t="str">
            <v/>
          </cell>
        </row>
        <row r="114">
          <cell r="B114" t="str">
            <v/>
          </cell>
        </row>
        <row r="115">
          <cell r="B115" t="str">
            <v/>
          </cell>
        </row>
        <row r="116">
          <cell r="B116" t="str">
            <v/>
          </cell>
        </row>
        <row r="117">
          <cell r="B117" t="str">
            <v/>
          </cell>
        </row>
        <row r="118">
          <cell r="B118" t="str">
            <v/>
          </cell>
        </row>
        <row r="119">
          <cell r="B119" t="str">
            <v/>
          </cell>
        </row>
        <row r="120">
          <cell r="B120" t="str">
            <v/>
          </cell>
        </row>
        <row r="121">
          <cell r="B121" t="str">
            <v/>
          </cell>
        </row>
        <row r="122">
          <cell r="B122" t="str">
            <v/>
          </cell>
        </row>
        <row r="123">
          <cell r="B123" t="str">
            <v/>
          </cell>
        </row>
        <row r="124">
          <cell r="B124" t="str">
            <v/>
          </cell>
        </row>
        <row r="125">
          <cell r="B125" t="str">
            <v/>
          </cell>
        </row>
        <row r="126">
          <cell r="B126" t="str">
            <v/>
          </cell>
        </row>
        <row r="127">
          <cell r="B127" t="str">
            <v/>
          </cell>
        </row>
        <row r="128">
          <cell r="B128" t="str">
            <v/>
          </cell>
        </row>
        <row r="129">
          <cell r="B129" t="str">
            <v/>
          </cell>
        </row>
        <row r="130">
          <cell r="B130" t="str">
            <v/>
          </cell>
        </row>
        <row r="131">
          <cell r="B131" t="str">
            <v/>
          </cell>
        </row>
      </sheetData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2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3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4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5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6.bin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6A020D-567C-494A-BB25-265816799A62}">
  <dimension ref="B3:M60"/>
  <sheetViews>
    <sheetView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L5" sqref="L5:M10"/>
    </sheetView>
  </sheetViews>
  <sheetFormatPr defaultRowHeight="15" x14ac:dyDescent="0.25"/>
  <cols>
    <col min="3" max="3" width="11.85546875" customWidth="1"/>
    <col min="4" max="4" width="12.42578125" customWidth="1"/>
    <col min="5" max="5" width="12.85546875" customWidth="1"/>
    <col min="6" max="6" width="11" customWidth="1"/>
    <col min="7" max="7" width="12.85546875" customWidth="1"/>
    <col min="8" max="8" width="11.85546875" customWidth="1"/>
    <col min="9" max="9" width="11.42578125" customWidth="1"/>
    <col min="10" max="10" width="10.28515625" customWidth="1"/>
    <col min="12" max="12" width="15.7109375" customWidth="1"/>
  </cols>
  <sheetData>
    <row r="3" spans="2:13" x14ac:dyDescent="0.25">
      <c r="C3" s="3">
        <v>44182</v>
      </c>
      <c r="D3" s="3">
        <f>C3+1</f>
        <v>44183</v>
      </c>
      <c r="E3" s="3">
        <f t="shared" ref="E3:J3" si="0">D3+1</f>
        <v>44184</v>
      </c>
      <c r="F3" s="3">
        <f t="shared" si="0"/>
        <v>44185</v>
      </c>
      <c r="G3" s="3">
        <f t="shared" si="0"/>
        <v>44186</v>
      </c>
      <c r="H3" s="3">
        <f t="shared" si="0"/>
        <v>44187</v>
      </c>
      <c r="I3" s="3">
        <f t="shared" si="0"/>
        <v>44188</v>
      </c>
      <c r="J3" s="3">
        <f t="shared" si="0"/>
        <v>44189</v>
      </c>
    </row>
    <row r="4" spans="2:13" x14ac:dyDescent="0.25">
      <c r="B4" s="2" t="s">
        <v>0</v>
      </c>
      <c r="C4" s="1" t="str">
        <f>TEXT(C3,"ddd")</f>
        <v>qui</v>
      </c>
      <c r="D4" s="1" t="str">
        <f t="shared" ref="D4:J4" si="1">TEXT(D3,"ddd")</f>
        <v>sex</v>
      </c>
      <c r="E4" s="1" t="str">
        <f t="shared" si="1"/>
        <v>sáb</v>
      </c>
      <c r="F4" s="1" t="str">
        <f t="shared" si="1"/>
        <v>dom</v>
      </c>
      <c r="G4" s="1" t="str">
        <f t="shared" si="1"/>
        <v>seg</v>
      </c>
      <c r="H4" s="1" t="str">
        <f t="shared" si="1"/>
        <v>ter</v>
      </c>
      <c r="I4" s="1" t="str">
        <f t="shared" si="1"/>
        <v>qua</v>
      </c>
      <c r="J4" s="1" t="str">
        <f t="shared" si="1"/>
        <v>qui</v>
      </c>
      <c r="L4" s="11" t="s">
        <v>1</v>
      </c>
    </row>
    <row r="5" spans="2:13" x14ac:dyDescent="0.25">
      <c r="B5" s="4">
        <v>1</v>
      </c>
      <c r="C5" t="s">
        <v>7</v>
      </c>
      <c r="D5" t="s">
        <v>7</v>
      </c>
      <c r="F5" t="s">
        <v>6</v>
      </c>
      <c r="G5" t="s">
        <v>4</v>
      </c>
      <c r="H5" t="s">
        <v>7</v>
      </c>
      <c r="I5" t="s">
        <v>7</v>
      </c>
      <c r="L5" s="5" t="s">
        <v>7</v>
      </c>
      <c r="M5">
        <f>COUNTIF($C$5:$J$60,L5)</f>
        <v>81</v>
      </c>
    </row>
    <row r="6" spans="2:13" x14ac:dyDescent="0.25">
      <c r="B6" s="4">
        <v>2</v>
      </c>
      <c r="L6" s="6" t="s">
        <v>2</v>
      </c>
      <c r="M6">
        <f t="shared" ref="M6:M10" si="2">COUNTIF($C$5:$J$60,L6)</f>
        <v>12</v>
      </c>
    </row>
    <row r="7" spans="2:13" x14ac:dyDescent="0.25">
      <c r="B7" s="4">
        <v>3</v>
      </c>
      <c r="L7" s="7" t="s">
        <v>3</v>
      </c>
      <c r="M7">
        <f t="shared" si="2"/>
        <v>3</v>
      </c>
    </row>
    <row r="8" spans="2:13" x14ac:dyDescent="0.25">
      <c r="B8" s="4">
        <v>4</v>
      </c>
      <c r="C8" t="s">
        <v>2</v>
      </c>
      <c r="E8" t="s">
        <v>7</v>
      </c>
      <c r="F8" t="s">
        <v>6</v>
      </c>
      <c r="I8" t="s">
        <v>7</v>
      </c>
      <c r="L8" s="8" t="s">
        <v>4</v>
      </c>
      <c r="M8">
        <f t="shared" si="2"/>
        <v>12</v>
      </c>
    </row>
    <row r="9" spans="2:13" x14ac:dyDescent="0.25">
      <c r="B9" s="4">
        <v>5</v>
      </c>
      <c r="C9" t="s">
        <v>7</v>
      </c>
      <c r="E9" t="s">
        <v>7</v>
      </c>
      <c r="I9" t="s">
        <v>6</v>
      </c>
      <c r="L9" s="9" t="s">
        <v>6</v>
      </c>
      <c r="M9">
        <f t="shared" si="2"/>
        <v>24</v>
      </c>
    </row>
    <row r="10" spans="2:13" x14ac:dyDescent="0.25">
      <c r="B10" s="4">
        <v>6</v>
      </c>
      <c r="C10" t="s">
        <v>7</v>
      </c>
      <c r="E10" t="s">
        <v>7</v>
      </c>
      <c r="H10" t="s">
        <v>7</v>
      </c>
      <c r="L10" s="10" t="s">
        <v>5</v>
      </c>
      <c r="M10">
        <f t="shared" si="2"/>
        <v>2</v>
      </c>
    </row>
    <row r="11" spans="2:13" x14ac:dyDescent="0.25">
      <c r="B11" s="4">
        <v>7</v>
      </c>
      <c r="C11" t="s">
        <v>2</v>
      </c>
      <c r="F11" t="s">
        <v>6</v>
      </c>
      <c r="I11" t="s">
        <v>6</v>
      </c>
      <c r="M11">
        <f>SUM(M5:M10)</f>
        <v>134</v>
      </c>
    </row>
    <row r="12" spans="2:13" x14ac:dyDescent="0.25">
      <c r="B12" s="4">
        <v>8</v>
      </c>
      <c r="C12" t="s">
        <v>7</v>
      </c>
      <c r="E12" t="s">
        <v>7</v>
      </c>
      <c r="H12" t="s">
        <v>7</v>
      </c>
    </row>
    <row r="13" spans="2:13" x14ac:dyDescent="0.25">
      <c r="B13" s="4">
        <v>9</v>
      </c>
      <c r="C13" t="s">
        <v>5</v>
      </c>
      <c r="D13" t="s">
        <v>7</v>
      </c>
      <c r="F13" t="s">
        <v>6</v>
      </c>
      <c r="H13" t="s">
        <v>7</v>
      </c>
    </row>
    <row r="14" spans="2:13" x14ac:dyDescent="0.25">
      <c r="B14" s="4">
        <v>10</v>
      </c>
      <c r="E14" t="s">
        <v>7</v>
      </c>
      <c r="I14" t="s">
        <v>6</v>
      </c>
    </row>
    <row r="15" spans="2:13" x14ac:dyDescent="0.25">
      <c r="B15" s="4">
        <v>11</v>
      </c>
      <c r="C15" t="s">
        <v>7</v>
      </c>
      <c r="E15" t="s">
        <v>7</v>
      </c>
      <c r="H15" t="s">
        <v>7</v>
      </c>
    </row>
    <row r="16" spans="2:13" x14ac:dyDescent="0.25">
      <c r="B16" s="4">
        <v>12</v>
      </c>
      <c r="C16" t="s">
        <v>7</v>
      </c>
      <c r="F16" t="s">
        <v>6</v>
      </c>
      <c r="H16" t="s">
        <v>7</v>
      </c>
    </row>
    <row r="17" spans="2:10" x14ac:dyDescent="0.25">
      <c r="B17" s="4">
        <v>13</v>
      </c>
      <c r="D17" t="s">
        <v>7</v>
      </c>
      <c r="E17" t="s">
        <v>7</v>
      </c>
      <c r="G17" t="s">
        <v>4</v>
      </c>
      <c r="H17" t="s">
        <v>7</v>
      </c>
      <c r="I17" t="s">
        <v>7</v>
      </c>
      <c r="J17" t="s">
        <v>7</v>
      </c>
    </row>
    <row r="18" spans="2:10" x14ac:dyDescent="0.25">
      <c r="B18" s="4">
        <v>14</v>
      </c>
      <c r="C18" t="s">
        <v>7</v>
      </c>
      <c r="D18" t="s">
        <v>7</v>
      </c>
      <c r="E18" t="s">
        <v>7</v>
      </c>
      <c r="I18" t="s">
        <v>6</v>
      </c>
    </row>
    <row r="19" spans="2:10" x14ac:dyDescent="0.25">
      <c r="B19" s="4">
        <v>15</v>
      </c>
      <c r="D19" t="s">
        <v>7</v>
      </c>
      <c r="F19" t="s">
        <v>6</v>
      </c>
    </row>
    <row r="20" spans="2:10" x14ac:dyDescent="0.25">
      <c r="B20" s="4">
        <v>16</v>
      </c>
      <c r="G20" t="s">
        <v>4</v>
      </c>
    </row>
    <row r="21" spans="2:10" x14ac:dyDescent="0.25">
      <c r="B21" s="4">
        <v>17</v>
      </c>
      <c r="D21" t="s">
        <v>2</v>
      </c>
      <c r="F21" t="s">
        <v>7</v>
      </c>
      <c r="G21" t="s">
        <v>4</v>
      </c>
    </row>
    <row r="22" spans="2:10" x14ac:dyDescent="0.25">
      <c r="B22" s="4">
        <v>18</v>
      </c>
    </row>
    <row r="23" spans="2:10" x14ac:dyDescent="0.25">
      <c r="B23" s="4">
        <v>19</v>
      </c>
      <c r="D23" t="s">
        <v>2</v>
      </c>
      <c r="E23" t="s">
        <v>2</v>
      </c>
      <c r="F23" t="s">
        <v>2</v>
      </c>
      <c r="G23" t="s">
        <v>2</v>
      </c>
      <c r="I23" t="s">
        <v>7</v>
      </c>
      <c r="J23" t="s">
        <v>7</v>
      </c>
    </row>
    <row r="24" spans="2:10" x14ac:dyDescent="0.25">
      <c r="B24" s="4">
        <v>20</v>
      </c>
    </row>
    <row r="25" spans="2:10" x14ac:dyDescent="0.25">
      <c r="B25" s="4">
        <v>21</v>
      </c>
      <c r="C25" t="s">
        <v>7</v>
      </c>
      <c r="E25" t="s">
        <v>3</v>
      </c>
      <c r="H25" t="s">
        <v>7</v>
      </c>
    </row>
    <row r="26" spans="2:10" x14ac:dyDescent="0.25">
      <c r="B26" s="4">
        <v>22</v>
      </c>
    </row>
    <row r="27" spans="2:10" x14ac:dyDescent="0.25">
      <c r="B27" s="4">
        <v>23</v>
      </c>
      <c r="D27" t="s">
        <v>7</v>
      </c>
      <c r="F27" t="s">
        <v>6</v>
      </c>
      <c r="I27" t="s">
        <v>6</v>
      </c>
    </row>
    <row r="28" spans="2:10" x14ac:dyDescent="0.25">
      <c r="B28" s="4">
        <v>24</v>
      </c>
    </row>
    <row r="29" spans="2:10" x14ac:dyDescent="0.25">
      <c r="B29" s="4">
        <v>25</v>
      </c>
      <c r="C29" t="s">
        <v>7</v>
      </c>
      <c r="D29" t="s">
        <v>7</v>
      </c>
      <c r="E29" t="s">
        <v>7</v>
      </c>
      <c r="F29" t="s">
        <v>7</v>
      </c>
      <c r="G29" t="s">
        <v>4</v>
      </c>
      <c r="H29" t="s">
        <v>7</v>
      </c>
      <c r="I29" t="s">
        <v>7</v>
      </c>
    </row>
    <row r="30" spans="2:10" x14ac:dyDescent="0.25">
      <c r="B30" s="4">
        <v>26</v>
      </c>
      <c r="D30" t="s">
        <v>7</v>
      </c>
      <c r="E30" t="s">
        <v>7</v>
      </c>
      <c r="I30" t="s">
        <v>6</v>
      </c>
    </row>
    <row r="31" spans="2:10" x14ac:dyDescent="0.25">
      <c r="B31" s="4">
        <v>27</v>
      </c>
      <c r="D31" t="s">
        <v>7</v>
      </c>
      <c r="F31" t="s">
        <v>6</v>
      </c>
      <c r="I31" t="s">
        <v>6</v>
      </c>
    </row>
    <row r="32" spans="2:10" x14ac:dyDescent="0.25">
      <c r="B32" s="4">
        <v>28</v>
      </c>
    </row>
    <row r="33" spans="2:7" x14ac:dyDescent="0.25">
      <c r="B33" s="4">
        <v>29</v>
      </c>
      <c r="C33" t="s">
        <v>7</v>
      </c>
      <c r="D33" t="s">
        <v>7</v>
      </c>
      <c r="E33" t="s">
        <v>7</v>
      </c>
      <c r="F33" t="s">
        <v>6</v>
      </c>
    </row>
    <row r="34" spans="2:7" x14ac:dyDescent="0.25">
      <c r="B34" s="4">
        <v>30</v>
      </c>
    </row>
    <row r="35" spans="2:7" x14ac:dyDescent="0.25">
      <c r="B35" s="4">
        <v>31</v>
      </c>
      <c r="F35" t="s">
        <v>6</v>
      </c>
    </row>
    <row r="36" spans="2:7" x14ac:dyDescent="0.25">
      <c r="B36" s="4">
        <v>32</v>
      </c>
    </row>
    <row r="37" spans="2:7" x14ac:dyDescent="0.25">
      <c r="B37" s="4">
        <v>33</v>
      </c>
      <c r="C37" t="s">
        <v>7</v>
      </c>
      <c r="F37" t="s">
        <v>6</v>
      </c>
    </row>
    <row r="38" spans="2:7" x14ac:dyDescent="0.25">
      <c r="B38" s="4">
        <v>34</v>
      </c>
      <c r="E38" t="s">
        <v>2</v>
      </c>
      <c r="F38" t="s">
        <v>2</v>
      </c>
    </row>
    <row r="39" spans="2:7" x14ac:dyDescent="0.25">
      <c r="B39" s="4">
        <v>35</v>
      </c>
    </row>
    <row r="40" spans="2:7" x14ac:dyDescent="0.25">
      <c r="B40" s="4">
        <v>36</v>
      </c>
      <c r="D40" t="s">
        <v>7</v>
      </c>
      <c r="E40" t="s">
        <v>2</v>
      </c>
      <c r="F40" t="s">
        <v>2</v>
      </c>
    </row>
    <row r="41" spans="2:7" x14ac:dyDescent="0.25">
      <c r="B41" s="4">
        <v>37</v>
      </c>
      <c r="D41" t="s">
        <v>7</v>
      </c>
      <c r="F41" t="s">
        <v>6</v>
      </c>
    </row>
    <row r="42" spans="2:7" x14ac:dyDescent="0.25">
      <c r="B42" s="4">
        <v>38</v>
      </c>
      <c r="D42" t="s">
        <v>7</v>
      </c>
      <c r="F42" t="s">
        <v>6</v>
      </c>
    </row>
    <row r="43" spans="2:7" x14ac:dyDescent="0.25">
      <c r="B43" s="4">
        <v>39</v>
      </c>
      <c r="D43" t="s">
        <v>7</v>
      </c>
      <c r="E43" t="s">
        <v>7</v>
      </c>
      <c r="G43" t="s">
        <v>4</v>
      </c>
    </row>
    <row r="44" spans="2:7" x14ac:dyDescent="0.25">
      <c r="B44" s="4">
        <v>40</v>
      </c>
      <c r="D44" t="s">
        <v>7</v>
      </c>
      <c r="E44" t="s">
        <v>7</v>
      </c>
      <c r="G44" t="s">
        <v>4</v>
      </c>
    </row>
    <row r="45" spans="2:7" x14ac:dyDescent="0.25">
      <c r="B45" s="4">
        <v>41</v>
      </c>
    </row>
    <row r="46" spans="2:7" x14ac:dyDescent="0.25">
      <c r="B46" s="4">
        <v>42</v>
      </c>
      <c r="D46" t="s">
        <v>7</v>
      </c>
      <c r="E46" t="s">
        <v>7</v>
      </c>
    </row>
    <row r="47" spans="2:7" x14ac:dyDescent="0.25">
      <c r="B47" s="4">
        <v>43</v>
      </c>
    </row>
    <row r="48" spans="2:7" x14ac:dyDescent="0.25">
      <c r="B48" s="4">
        <v>44</v>
      </c>
    </row>
    <row r="49" spans="2:9" x14ac:dyDescent="0.25">
      <c r="B49" s="4">
        <v>45</v>
      </c>
      <c r="D49" t="s">
        <v>5</v>
      </c>
      <c r="E49" t="s">
        <v>7</v>
      </c>
      <c r="F49" t="s">
        <v>7</v>
      </c>
      <c r="G49" t="s">
        <v>4</v>
      </c>
      <c r="H49" t="s">
        <v>7</v>
      </c>
    </row>
    <row r="50" spans="2:9" x14ac:dyDescent="0.25">
      <c r="B50" s="4">
        <v>46</v>
      </c>
      <c r="D50" t="s">
        <v>2</v>
      </c>
      <c r="E50" t="s">
        <v>7</v>
      </c>
      <c r="F50" t="s">
        <v>7</v>
      </c>
      <c r="G50" t="s">
        <v>4</v>
      </c>
      <c r="H50" t="s">
        <v>7</v>
      </c>
    </row>
    <row r="51" spans="2:9" x14ac:dyDescent="0.25">
      <c r="B51" s="4">
        <v>47</v>
      </c>
      <c r="C51" t="s">
        <v>7</v>
      </c>
      <c r="D51" t="s">
        <v>3</v>
      </c>
      <c r="E51" t="s">
        <v>7</v>
      </c>
      <c r="F51" t="s">
        <v>7</v>
      </c>
      <c r="G51" t="s">
        <v>4</v>
      </c>
      <c r="H51" t="s">
        <v>7</v>
      </c>
    </row>
    <row r="52" spans="2:9" x14ac:dyDescent="0.25">
      <c r="B52" s="4">
        <v>48</v>
      </c>
      <c r="C52" t="s">
        <v>3</v>
      </c>
      <c r="D52" t="s">
        <v>7</v>
      </c>
      <c r="E52" t="s">
        <v>7</v>
      </c>
      <c r="F52" t="s">
        <v>6</v>
      </c>
      <c r="G52" t="s">
        <v>4</v>
      </c>
      <c r="H52" t="s">
        <v>7</v>
      </c>
    </row>
    <row r="53" spans="2:9" x14ac:dyDescent="0.25">
      <c r="B53" s="4">
        <v>49</v>
      </c>
      <c r="C53" t="s">
        <v>7</v>
      </c>
      <c r="D53" t="s">
        <v>7</v>
      </c>
      <c r="E53" t="s">
        <v>7</v>
      </c>
      <c r="F53" t="s">
        <v>6</v>
      </c>
      <c r="G53" t="s">
        <v>4</v>
      </c>
      <c r="H53" t="s">
        <v>7</v>
      </c>
    </row>
    <row r="54" spans="2:9" x14ac:dyDescent="0.25">
      <c r="B54" s="4">
        <v>50</v>
      </c>
      <c r="D54" t="s">
        <v>7</v>
      </c>
      <c r="H54" t="s">
        <v>7</v>
      </c>
      <c r="I54" t="s">
        <v>7</v>
      </c>
    </row>
    <row r="55" spans="2:9" x14ac:dyDescent="0.25">
      <c r="B55" s="4">
        <v>51</v>
      </c>
    </row>
    <row r="56" spans="2:9" x14ac:dyDescent="0.25">
      <c r="B56" s="4">
        <v>52</v>
      </c>
      <c r="E56" t="s">
        <v>7</v>
      </c>
      <c r="F56" t="s">
        <v>6</v>
      </c>
      <c r="H56" t="s">
        <v>7</v>
      </c>
      <c r="I56" t="s">
        <v>6</v>
      </c>
    </row>
    <row r="57" spans="2:9" x14ac:dyDescent="0.25">
      <c r="B57" s="4">
        <v>53</v>
      </c>
    </row>
    <row r="58" spans="2:9" x14ac:dyDescent="0.25">
      <c r="B58" s="4">
        <v>54</v>
      </c>
    </row>
    <row r="59" spans="2:9" x14ac:dyDescent="0.25">
      <c r="B59" s="4">
        <v>55</v>
      </c>
    </row>
    <row r="60" spans="2:9" x14ac:dyDescent="0.25">
      <c r="B60" s="4">
        <v>56</v>
      </c>
    </row>
  </sheetData>
  <conditionalFormatting sqref="C5:H11">
    <cfRule type="cellIs" dxfId="555" priority="8" operator="equal">
      <formula>"Energia"</formula>
    </cfRule>
  </conditionalFormatting>
  <conditionalFormatting sqref="C5:J60">
    <cfRule type="cellIs" dxfId="554" priority="1" operator="equal">
      <formula>"Energia"</formula>
    </cfRule>
    <cfRule type="cellIs" dxfId="553" priority="3" operator="equal">
      <formula>"Operação"</formula>
    </cfRule>
    <cfRule type="cellIs" dxfId="552" priority="4" operator="equal">
      <formula>"Chuva"</formula>
    </cfRule>
    <cfRule type="cellIs" dxfId="551" priority="5" operator="equal">
      <formula>"Elétrico"</formula>
    </cfRule>
    <cfRule type="cellIs" dxfId="550" priority="6" operator="equal">
      <formula>"Mecânico"</formula>
    </cfRule>
    <cfRule type="cellIs" dxfId="549" priority="7" operator="equal">
      <formula>"Ok"</formula>
    </cfRule>
  </conditionalFormatting>
  <conditionalFormatting sqref="C5:J61">
    <cfRule type="cellIs" dxfId="548" priority="2" operator="equal">
      <formula>"Feito"</formula>
    </cfRule>
  </conditionalFormatting>
  <dataValidations count="1">
    <dataValidation type="list" allowBlank="1" showInputMessage="1" showErrorMessage="1" sqref="C5:K60" xr:uid="{829CF24D-6313-4CC8-9CA0-26382985A51E}">
      <formula1>$L$5:$L$10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24194D-724E-406B-AAD4-567886832C4C}">
  <dimension ref="B3:M60"/>
  <sheetViews>
    <sheetView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M5" sqref="M5:M10"/>
    </sheetView>
  </sheetViews>
  <sheetFormatPr defaultRowHeight="15" x14ac:dyDescent="0.25"/>
  <cols>
    <col min="3" max="3" width="11.85546875" customWidth="1"/>
    <col min="4" max="4" width="12.42578125" customWidth="1"/>
    <col min="5" max="5" width="12.85546875" customWidth="1"/>
    <col min="6" max="6" width="11" customWidth="1"/>
    <col min="7" max="7" width="12.85546875" customWidth="1"/>
    <col min="8" max="8" width="11.85546875" customWidth="1"/>
    <col min="9" max="9" width="11.42578125" customWidth="1"/>
    <col min="10" max="10" width="10.28515625" customWidth="1"/>
    <col min="12" max="12" width="15.7109375" customWidth="1"/>
  </cols>
  <sheetData>
    <row r="3" spans="2:13" x14ac:dyDescent="0.25">
      <c r="C3" s="3">
        <v>44190</v>
      </c>
      <c r="D3" s="3">
        <f>C3+1</f>
        <v>44191</v>
      </c>
      <c r="E3" s="3">
        <f t="shared" ref="E3:J3" si="0">D3+1</f>
        <v>44192</v>
      </c>
      <c r="F3" s="3">
        <f t="shared" si="0"/>
        <v>44193</v>
      </c>
      <c r="G3" s="3">
        <f t="shared" si="0"/>
        <v>44194</v>
      </c>
      <c r="H3" s="3">
        <f t="shared" si="0"/>
        <v>44195</v>
      </c>
      <c r="I3" s="3">
        <f t="shared" si="0"/>
        <v>44196</v>
      </c>
      <c r="J3" s="3">
        <f t="shared" si="0"/>
        <v>44197</v>
      </c>
    </row>
    <row r="4" spans="2:13" x14ac:dyDescent="0.25">
      <c r="B4" s="2" t="s">
        <v>0</v>
      </c>
      <c r="C4" s="1" t="str">
        <f>TEXT(C3,"ddd")</f>
        <v>sex</v>
      </c>
      <c r="D4" s="1" t="str">
        <f t="shared" ref="D4:J4" si="1">TEXT(D3,"ddd")</f>
        <v>sáb</v>
      </c>
      <c r="E4" s="1" t="str">
        <f t="shared" si="1"/>
        <v>dom</v>
      </c>
      <c r="F4" s="1" t="str">
        <f t="shared" si="1"/>
        <v>seg</v>
      </c>
      <c r="G4" s="1" t="str">
        <f t="shared" si="1"/>
        <v>ter</v>
      </c>
      <c r="H4" s="1" t="str">
        <f t="shared" si="1"/>
        <v>qua</v>
      </c>
      <c r="I4" s="1" t="str">
        <f t="shared" si="1"/>
        <v>qui</v>
      </c>
      <c r="J4" s="1" t="str">
        <f t="shared" si="1"/>
        <v>sex</v>
      </c>
      <c r="L4" s="11" t="s">
        <v>1</v>
      </c>
    </row>
    <row r="5" spans="2:13" x14ac:dyDescent="0.25">
      <c r="B5" s="4">
        <v>1</v>
      </c>
      <c r="F5" t="s">
        <v>2</v>
      </c>
      <c r="H5" t="s">
        <v>3</v>
      </c>
      <c r="L5" s="5" t="s">
        <v>7</v>
      </c>
      <c r="M5">
        <f>COUNTIF($C$5:$J$60,L5)</f>
        <v>101</v>
      </c>
    </row>
    <row r="6" spans="2:13" x14ac:dyDescent="0.25">
      <c r="B6" s="4">
        <v>2</v>
      </c>
      <c r="L6" s="6" t="s">
        <v>2</v>
      </c>
      <c r="M6">
        <f t="shared" ref="M6:M10" si="2">COUNTIF($C$5:$J$60,L6)</f>
        <v>10</v>
      </c>
    </row>
    <row r="7" spans="2:13" x14ac:dyDescent="0.25">
      <c r="B7" s="4">
        <v>3</v>
      </c>
      <c r="L7" s="7" t="s">
        <v>3</v>
      </c>
      <c r="M7">
        <f t="shared" si="2"/>
        <v>6</v>
      </c>
    </row>
    <row r="8" spans="2:13" x14ac:dyDescent="0.25">
      <c r="B8" s="4">
        <v>4</v>
      </c>
      <c r="F8" t="s">
        <v>7</v>
      </c>
      <c r="G8" t="s">
        <v>7</v>
      </c>
      <c r="H8" t="s">
        <v>7</v>
      </c>
      <c r="I8" t="s">
        <v>7</v>
      </c>
      <c r="J8" t="s">
        <v>7</v>
      </c>
      <c r="L8" s="8" t="s">
        <v>4</v>
      </c>
      <c r="M8">
        <f t="shared" si="2"/>
        <v>2</v>
      </c>
    </row>
    <row r="9" spans="2:13" x14ac:dyDescent="0.25">
      <c r="B9" s="4">
        <v>5</v>
      </c>
      <c r="E9" t="s">
        <v>7</v>
      </c>
      <c r="G9" t="s">
        <v>7</v>
      </c>
      <c r="I9" t="s">
        <v>7</v>
      </c>
      <c r="L9" s="9" t="s">
        <v>6</v>
      </c>
      <c r="M9">
        <f t="shared" si="2"/>
        <v>0</v>
      </c>
    </row>
    <row r="10" spans="2:13" x14ac:dyDescent="0.25">
      <c r="B10" s="4">
        <v>6</v>
      </c>
      <c r="F10" t="s">
        <v>5</v>
      </c>
      <c r="H10" t="s">
        <v>7</v>
      </c>
      <c r="J10" t="s">
        <v>7</v>
      </c>
      <c r="L10" s="10" t="s">
        <v>5</v>
      </c>
      <c r="M10">
        <f t="shared" si="2"/>
        <v>7</v>
      </c>
    </row>
    <row r="11" spans="2:13" x14ac:dyDescent="0.25">
      <c r="B11" s="4">
        <v>7</v>
      </c>
      <c r="E11" t="s">
        <v>7</v>
      </c>
      <c r="G11" t="s">
        <v>7</v>
      </c>
      <c r="I11" t="s">
        <v>7</v>
      </c>
      <c r="M11">
        <f>SUM(M5:M10)</f>
        <v>126</v>
      </c>
    </row>
    <row r="12" spans="2:13" x14ac:dyDescent="0.25">
      <c r="B12" s="4">
        <v>8</v>
      </c>
      <c r="F12" t="s">
        <v>7</v>
      </c>
      <c r="H12" t="s">
        <v>5</v>
      </c>
      <c r="J12" t="s">
        <v>7</v>
      </c>
    </row>
    <row r="13" spans="2:13" x14ac:dyDescent="0.25">
      <c r="B13" s="4">
        <v>9</v>
      </c>
      <c r="E13" t="s">
        <v>7</v>
      </c>
      <c r="G13" t="s">
        <v>7</v>
      </c>
    </row>
    <row r="14" spans="2:13" x14ac:dyDescent="0.25">
      <c r="B14" s="4">
        <v>10</v>
      </c>
      <c r="F14" t="s">
        <v>7</v>
      </c>
      <c r="H14" t="s">
        <v>7</v>
      </c>
      <c r="J14" t="s">
        <v>2</v>
      </c>
    </row>
    <row r="15" spans="2:13" x14ac:dyDescent="0.25">
      <c r="B15" s="4">
        <v>11</v>
      </c>
      <c r="E15" t="s">
        <v>7</v>
      </c>
      <c r="G15" t="s">
        <v>7</v>
      </c>
      <c r="I15" t="s">
        <v>7</v>
      </c>
    </row>
    <row r="16" spans="2:13" x14ac:dyDescent="0.25">
      <c r="B16" s="4">
        <v>12</v>
      </c>
      <c r="F16" t="s">
        <v>7</v>
      </c>
      <c r="G16" t="s">
        <v>7</v>
      </c>
      <c r="H16" t="s">
        <v>7</v>
      </c>
      <c r="J16" t="s">
        <v>7</v>
      </c>
    </row>
    <row r="17" spans="2:10" x14ac:dyDescent="0.25">
      <c r="B17" s="4">
        <v>13</v>
      </c>
      <c r="E17" t="s">
        <v>7</v>
      </c>
      <c r="G17" t="s">
        <v>7</v>
      </c>
      <c r="I17" t="s">
        <v>7</v>
      </c>
    </row>
    <row r="18" spans="2:10" x14ac:dyDescent="0.25">
      <c r="B18" s="4">
        <v>14</v>
      </c>
      <c r="F18" t="s">
        <v>5</v>
      </c>
      <c r="G18" t="s">
        <v>7</v>
      </c>
      <c r="H18" t="s">
        <v>7</v>
      </c>
      <c r="I18" t="s">
        <v>7</v>
      </c>
    </row>
    <row r="19" spans="2:10" x14ac:dyDescent="0.25">
      <c r="B19" s="4">
        <v>15</v>
      </c>
      <c r="E19" t="s">
        <v>7</v>
      </c>
      <c r="G19" t="s">
        <v>2</v>
      </c>
      <c r="H19" t="s">
        <v>2</v>
      </c>
      <c r="J19" t="s">
        <v>3</v>
      </c>
    </row>
    <row r="20" spans="2:10" x14ac:dyDescent="0.25">
      <c r="B20" s="4">
        <v>16</v>
      </c>
    </row>
    <row r="21" spans="2:10" x14ac:dyDescent="0.25">
      <c r="B21" s="4">
        <v>17</v>
      </c>
      <c r="F21" t="s">
        <v>7</v>
      </c>
      <c r="G21" t="s">
        <v>5</v>
      </c>
      <c r="H21" t="s">
        <v>7</v>
      </c>
      <c r="J21" t="s">
        <v>7</v>
      </c>
    </row>
    <row r="22" spans="2:10" x14ac:dyDescent="0.25">
      <c r="B22" s="4">
        <v>18</v>
      </c>
    </row>
    <row r="23" spans="2:10" x14ac:dyDescent="0.25">
      <c r="B23" s="4">
        <v>19</v>
      </c>
      <c r="D23" t="s">
        <v>7</v>
      </c>
      <c r="E23" t="s">
        <v>7</v>
      </c>
      <c r="I23" t="s">
        <v>7</v>
      </c>
    </row>
    <row r="24" spans="2:10" x14ac:dyDescent="0.25">
      <c r="B24" s="4">
        <v>20</v>
      </c>
    </row>
    <row r="25" spans="2:10" x14ac:dyDescent="0.25">
      <c r="B25" s="4">
        <v>21</v>
      </c>
      <c r="F25" t="s">
        <v>2</v>
      </c>
      <c r="G25" t="s">
        <v>3</v>
      </c>
      <c r="I25" t="s">
        <v>4</v>
      </c>
      <c r="J25" t="s">
        <v>3</v>
      </c>
    </row>
    <row r="26" spans="2:10" x14ac:dyDescent="0.25">
      <c r="B26" s="4">
        <v>22</v>
      </c>
    </row>
    <row r="27" spans="2:10" x14ac:dyDescent="0.25">
      <c r="B27" s="4">
        <v>23</v>
      </c>
      <c r="E27" t="s">
        <v>7</v>
      </c>
      <c r="I27" t="s">
        <v>4</v>
      </c>
      <c r="J27" t="s">
        <v>3</v>
      </c>
    </row>
    <row r="28" spans="2:10" x14ac:dyDescent="0.25">
      <c r="B28" s="4">
        <v>24</v>
      </c>
      <c r="I28" t="s">
        <v>7</v>
      </c>
      <c r="J28" t="s">
        <v>2</v>
      </c>
    </row>
    <row r="29" spans="2:10" x14ac:dyDescent="0.25">
      <c r="B29" s="4">
        <v>25</v>
      </c>
      <c r="E29" t="s">
        <v>7</v>
      </c>
      <c r="F29" t="s">
        <v>7</v>
      </c>
      <c r="G29" t="s">
        <v>7</v>
      </c>
      <c r="H29" t="s">
        <v>7</v>
      </c>
      <c r="I29" t="s">
        <v>7</v>
      </c>
      <c r="J29" t="s">
        <v>7</v>
      </c>
    </row>
    <row r="30" spans="2:10" x14ac:dyDescent="0.25">
      <c r="B30" s="4">
        <v>26</v>
      </c>
      <c r="E30" t="s">
        <v>7</v>
      </c>
      <c r="G30" t="s">
        <v>7</v>
      </c>
    </row>
    <row r="31" spans="2:10" x14ac:dyDescent="0.25">
      <c r="B31" s="4">
        <v>27</v>
      </c>
      <c r="E31" t="s">
        <v>7</v>
      </c>
      <c r="G31" t="s">
        <v>7</v>
      </c>
    </row>
    <row r="32" spans="2:10" x14ac:dyDescent="0.25">
      <c r="B32" s="4">
        <v>28</v>
      </c>
    </row>
    <row r="33" spans="2:10" x14ac:dyDescent="0.25">
      <c r="B33" s="4">
        <v>29</v>
      </c>
      <c r="E33" t="s">
        <v>7</v>
      </c>
      <c r="F33" t="s">
        <v>7</v>
      </c>
      <c r="H33" t="s">
        <v>7</v>
      </c>
      <c r="I33" t="s">
        <v>5</v>
      </c>
      <c r="J33" t="s">
        <v>7</v>
      </c>
    </row>
    <row r="34" spans="2:10" x14ac:dyDescent="0.25">
      <c r="B34" s="4">
        <v>30</v>
      </c>
      <c r="H34" t="s">
        <v>2</v>
      </c>
      <c r="I34" t="s">
        <v>2</v>
      </c>
      <c r="J34" t="s">
        <v>2</v>
      </c>
    </row>
    <row r="35" spans="2:10" x14ac:dyDescent="0.25">
      <c r="B35" s="4">
        <v>31</v>
      </c>
    </row>
    <row r="36" spans="2:10" x14ac:dyDescent="0.25">
      <c r="B36" s="4">
        <v>32</v>
      </c>
    </row>
    <row r="37" spans="2:10" x14ac:dyDescent="0.25">
      <c r="B37" s="4">
        <v>33</v>
      </c>
      <c r="J37" t="s">
        <v>7</v>
      </c>
    </row>
    <row r="38" spans="2:10" x14ac:dyDescent="0.25">
      <c r="B38" s="4">
        <v>34</v>
      </c>
      <c r="H38" t="s">
        <v>5</v>
      </c>
      <c r="I38" t="s">
        <v>7</v>
      </c>
      <c r="J38" t="s">
        <v>7</v>
      </c>
    </row>
    <row r="39" spans="2:10" x14ac:dyDescent="0.25">
      <c r="B39" s="4">
        <v>35</v>
      </c>
    </row>
    <row r="40" spans="2:10" x14ac:dyDescent="0.25">
      <c r="B40" s="4">
        <v>36</v>
      </c>
      <c r="E40" t="s">
        <v>7</v>
      </c>
      <c r="G40" t="s">
        <v>3</v>
      </c>
      <c r="I40" t="s">
        <v>7</v>
      </c>
    </row>
    <row r="41" spans="2:10" x14ac:dyDescent="0.25">
      <c r="B41" s="4">
        <v>37</v>
      </c>
      <c r="F41" t="s">
        <v>7</v>
      </c>
      <c r="H41" t="s">
        <v>7</v>
      </c>
      <c r="J41" t="s">
        <v>7</v>
      </c>
    </row>
    <row r="42" spans="2:10" x14ac:dyDescent="0.25">
      <c r="B42" s="4">
        <v>38</v>
      </c>
      <c r="F42" t="s">
        <v>7</v>
      </c>
      <c r="H42" t="s">
        <v>7</v>
      </c>
      <c r="J42" t="s">
        <v>7</v>
      </c>
    </row>
    <row r="43" spans="2:10" x14ac:dyDescent="0.25">
      <c r="B43" s="4">
        <v>39</v>
      </c>
      <c r="E43" t="s">
        <v>7</v>
      </c>
      <c r="G43" t="s">
        <v>7</v>
      </c>
      <c r="I43" t="s">
        <v>7</v>
      </c>
    </row>
    <row r="44" spans="2:10" x14ac:dyDescent="0.25">
      <c r="B44" s="4">
        <v>40</v>
      </c>
      <c r="E44" t="s">
        <v>7</v>
      </c>
      <c r="G44" t="s">
        <v>7</v>
      </c>
      <c r="I44" t="s">
        <v>7</v>
      </c>
    </row>
    <row r="45" spans="2:10" x14ac:dyDescent="0.25">
      <c r="B45" s="4">
        <v>41</v>
      </c>
    </row>
    <row r="46" spans="2:10" x14ac:dyDescent="0.25">
      <c r="B46" s="4">
        <v>42</v>
      </c>
      <c r="D46" t="s">
        <v>7</v>
      </c>
      <c r="F46" t="s">
        <v>7</v>
      </c>
      <c r="H46" t="s">
        <v>7</v>
      </c>
      <c r="J46" t="s">
        <v>7</v>
      </c>
    </row>
    <row r="47" spans="2:10" x14ac:dyDescent="0.25">
      <c r="B47" s="4">
        <v>43</v>
      </c>
      <c r="F47" t="s">
        <v>5</v>
      </c>
      <c r="G47" t="s">
        <v>2</v>
      </c>
      <c r="H47" t="s">
        <v>7</v>
      </c>
      <c r="I47" t="s">
        <v>7</v>
      </c>
      <c r="J47" t="s">
        <v>7</v>
      </c>
    </row>
    <row r="48" spans="2:10" x14ac:dyDescent="0.25">
      <c r="B48" s="4">
        <v>44</v>
      </c>
    </row>
    <row r="49" spans="2:10" x14ac:dyDescent="0.25">
      <c r="B49" s="4">
        <v>45</v>
      </c>
      <c r="F49" t="s">
        <v>7</v>
      </c>
      <c r="G49" t="s">
        <v>7</v>
      </c>
      <c r="H49" t="s">
        <v>7</v>
      </c>
      <c r="I49" t="s">
        <v>7</v>
      </c>
    </row>
    <row r="50" spans="2:10" x14ac:dyDescent="0.25">
      <c r="B50" s="4">
        <v>46</v>
      </c>
      <c r="E50" t="s">
        <v>7</v>
      </c>
      <c r="G50" t="s">
        <v>7</v>
      </c>
    </row>
    <row r="51" spans="2:10" x14ac:dyDescent="0.25">
      <c r="B51" s="4">
        <v>47</v>
      </c>
      <c r="E51" t="s">
        <v>7</v>
      </c>
      <c r="G51" t="s">
        <v>7</v>
      </c>
    </row>
    <row r="52" spans="2:10" x14ac:dyDescent="0.25">
      <c r="B52" s="4">
        <v>48</v>
      </c>
      <c r="D52" t="s">
        <v>7</v>
      </c>
      <c r="F52" t="s">
        <v>7</v>
      </c>
      <c r="G52" t="s">
        <v>7</v>
      </c>
    </row>
    <row r="53" spans="2:10" x14ac:dyDescent="0.25">
      <c r="B53" s="4">
        <v>49</v>
      </c>
      <c r="D53" t="s">
        <v>7</v>
      </c>
      <c r="F53" t="s">
        <v>7</v>
      </c>
      <c r="H53" t="s">
        <v>7</v>
      </c>
    </row>
    <row r="54" spans="2:10" x14ac:dyDescent="0.25">
      <c r="B54" s="4">
        <v>50</v>
      </c>
      <c r="F54" t="s">
        <v>7</v>
      </c>
      <c r="H54" t="s">
        <v>7</v>
      </c>
      <c r="J54" t="s">
        <v>7</v>
      </c>
    </row>
    <row r="55" spans="2:10" x14ac:dyDescent="0.25">
      <c r="B55" s="4">
        <v>51</v>
      </c>
    </row>
    <row r="56" spans="2:10" x14ac:dyDescent="0.25">
      <c r="B56" s="4">
        <v>52</v>
      </c>
      <c r="E56" t="s">
        <v>7</v>
      </c>
      <c r="I56" t="s">
        <v>7</v>
      </c>
    </row>
    <row r="57" spans="2:10" x14ac:dyDescent="0.25">
      <c r="B57" s="4">
        <v>53</v>
      </c>
      <c r="J57" t="s">
        <v>7</v>
      </c>
    </row>
    <row r="58" spans="2:10" x14ac:dyDescent="0.25">
      <c r="B58" s="4">
        <v>54</v>
      </c>
    </row>
    <row r="59" spans="2:10" x14ac:dyDescent="0.25">
      <c r="B59" s="4">
        <v>55</v>
      </c>
      <c r="J59" t="s">
        <v>7</v>
      </c>
    </row>
    <row r="60" spans="2:10" x14ac:dyDescent="0.25">
      <c r="B60" s="4">
        <v>56</v>
      </c>
      <c r="I60" t="s">
        <v>7</v>
      </c>
    </row>
  </sheetData>
  <conditionalFormatting sqref="C5:H11">
    <cfRule type="cellIs" dxfId="547" priority="8" operator="equal">
      <formula>"Energia"</formula>
    </cfRule>
  </conditionalFormatting>
  <conditionalFormatting sqref="C5:J60">
    <cfRule type="cellIs" dxfId="546" priority="1" operator="equal">
      <formula>"Energia"</formula>
    </cfRule>
    <cfRule type="cellIs" dxfId="545" priority="3" operator="equal">
      <formula>"Operação"</formula>
    </cfRule>
    <cfRule type="cellIs" dxfId="544" priority="4" operator="equal">
      <formula>"Chuva"</formula>
    </cfRule>
    <cfRule type="cellIs" dxfId="543" priority="5" operator="equal">
      <formula>"Elétrico"</formula>
    </cfRule>
    <cfRule type="cellIs" dxfId="542" priority="6" operator="equal">
      <formula>"Mecânico"</formula>
    </cfRule>
    <cfRule type="cellIs" dxfId="541" priority="7" operator="equal">
      <formula>"Ok"</formula>
    </cfRule>
  </conditionalFormatting>
  <conditionalFormatting sqref="C5:J61">
    <cfRule type="cellIs" dxfId="540" priority="2" operator="equal">
      <formula>"Feito"</formula>
    </cfRule>
  </conditionalFormatting>
  <dataValidations count="1">
    <dataValidation type="list" allowBlank="1" showInputMessage="1" showErrorMessage="1" sqref="C5:K60" xr:uid="{29CA9DB4-6411-4B4C-8986-BA958C068C91}">
      <formula1>$L$5:$L$10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91AD52-014A-4FBB-BCE6-7FC915F68AE7}">
  <dimension ref="B3:M60"/>
  <sheetViews>
    <sheetView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M5" sqref="M5:M10"/>
    </sheetView>
  </sheetViews>
  <sheetFormatPr defaultRowHeight="15" x14ac:dyDescent="0.25"/>
  <cols>
    <col min="3" max="3" width="11.85546875" customWidth="1"/>
    <col min="4" max="4" width="12.42578125" customWidth="1"/>
    <col min="5" max="5" width="12.85546875" customWidth="1"/>
    <col min="6" max="6" width="11" customWidth="1"/>
    <col min="7" max="7" width="12.85546875" customWidth="1"/>
    <col min="8" max="8" width="11.85546875" customWidth="1"/>
    <col min="9" max="9" width="11.42578125" customWidth="1"/>
    <col min="10" max="10" width="10.28515625" customWidth="1"/>
    <col min="12" max="12" width="15.7109375" customWidth="1"/>
  </cols>
  <sheetData>
    <row r="3" spans="2:13" x14ac:dyDescent="0.25">
      <c r="C3" s="3">
        <v>44198</v>
      </c>
      <c r="D3" s="3">
        <f>C3+1</f>
        <v>44199</v>
      </c>
      <c r="E3" s="3">
        <f t="shared" ref="E3:J3" si="0">D3+1</f>
        <v>44200</v>
      </c>
      <c r="F3" s="3">
        <f t="shared" si="0"/>
        <v>44201</v>
      </c>
      <c r="G3" s="3">
        <f t="shared" si="0"/>
        <v>44202</v>
      </c>
      <c r="H3" s="3">
        <f t="shared" si="0"/>
        <v>44203</v>
      </c>
      <c r="I3" s="3">
        <f t="shared" si="0"/>
        <v>44204</v>
      </c>
      <c r="J3" s="3">
        <f t="shared" si="0"/>
        <v>44205</v>
      </c>
    </row>
    <row r="4" spans="2:13" x14ac:dyDescent="0.25">
      <c r="B4" s="2" t="s">
        <v>0</v>
      </c>
      <c r="C4" s="1" t="str">
        <f>TEXT(C3,"ddd")</f>
        <v>sáb</v>
      </c>
      <c r="D4" s="1" t="str">
        <f t="shared" ref="D4:J4" si="1">TEXT(D3,"ddd")</f>
        <v>dom</v>
      </c>
      <c r="E4" s="1" t="str">
        <f t="shared" si="1"/>
        <v>seg</v>
      </c>
      <c r="F4" s="1" t="str">
        <f t="shared" si="1"/>
        <v>ter</v>
      </c>
      <c r="G4" s="1" t="str">
        <f t="shared" si="1"/>
        <v>qua</v>
      </c>
      <c r="H4" s="1" t="str">
        <f t="shared" si="1"/>
        <v>qui</v>
      </c>
      <c r="I4" s="1" t="str">
        <f t="shared" si="1"/>
        <v>sex</v>
      </c>
      <c r="J4" s="1" t="str">
        <f t="shared" si="1"/>
        <v>sáb</v>
      </c>
      <c r="L4" s="11" t="s">
        <v>1</v>
      </c>
    </row>
    <row r="5" spans="2:13" x14ac:dyDescent="0.25">
      <c r="B5" s="4">
        <v>1</v>
      </c>
      <c r="C5" t="s">
        <v>6</v>
      </c>
      <c r="H5" t="s">
        <v>2</v>
      </c>
      <c r="I5" t="s">
        <v>2</v>
      </c>
      <c r="L5" s="5" t="s">
        <v>7</v>
      </c>
      <c r="M5">
        <f>COUNTIF($C$5:$J$60,L5)</f>
        <v>38</v>
      </c>
    </row>
    <row r="6" spans="2:13" x14ac:dyDescent="0.25">
      <c r="B6" s="4">
        <v>2</v>
      </c>
      <c r="H6" t="s">
        <v>7</v>
      </c>
      <c r="I6" t="s">
        <v>7</v>
      </c>
      <c r="L6" s="6" t="s">
        <v>2</v>
      </c>
      <c r="M6">
        <f t="shared" ref="M6:M10" si="2">COUNTIF($C$5:$J$60,L6)</f>
        <v>12</v>
      </c>
    </row>
    <row r="7" spans="2:13" x14ac:dyDescent="0.25">
      <c r="B7" s="4">
        <v>3</v>
      </c>
      <c r="F7" t="s">
        <v>7</v>
      </c>
      <c r="G7" t="s">
        <v>7</v>
      </c>
      <c r="H7" t="s">
        <v>5</v>
      </c>
      <c r="L7" s="7" t="s">
        <v>3</v>
      </c>
      <c r="M7">
        <f t="shared" si="2"/>
        <v>12</v>
      </c>
    </row>
    <row r="8" spans="2:13" x14ac:dyDescent="0.25">
      <c r="B8" s="4">
        <v>4</v>
      </c>
      <c r="D8" t="s">
        <v>6</v>
      </c>
      <c r="G8" t="s">
        <v>7</v>
      </c>
      <c r="H8" t="s">
        <v>2</v>
      </c>
      <c r="L8" s="8" t="s">
        <v>4</v>
      </c>
      <c r="M8">
        <f t="shared" si="2"/>
        <v>0</v>
      </c>
    </row>
    <row r="9" spans="2:13" x14ac:dyDescent="0.25">
      <c r="B9" s="4">
        <v>5</v>
      </c>
      <c r="C9" t="s">
        <v>6</v>
      </c>
      <c r="L9" s="9" t="s">
        <v>6</v>
      </c>
      <c r="M9">
        <f t="shared" si="2"/>
        <v>39</v>
      </c>
    </row>
    <row r="10" spans="2:13" x14ac:dyDescent="0.25">
      <c r="B10" s="4">
        <v>6</v>
      </c>
      <c r="D10" t="s">
        <v>6</v>
      </c>
      <c r="L10" s="10" t="s">
        <v>5</v>
      </c>
      <c r="M10">
        <f t="shared" si="2"/>
        <v>8</v>
      </c>
    </row>
    <row r="11" spans="2:13" x14ac:dyDescent="0.25">
      <c r="B11" s="4">
        <v>7</v>
      </c>
      <c r="I11" t="s">
        <v>7</v>
      </c>
      <c r="M11">
        <f>SUM(M5:M10)</f>
        <v>109</v>
      </c>
    </row>
    <row r="12" spans="2:13" x14ac:dyDescent="0.25">
      <c r="B12" s="4">
        <v>8</v>
      </c>
      <c r="H12" t="s">
        <v>5</v>
      </c>
      <c r="I12" t="s">
        <v>2</v>
      </c>
    </row>
    <row r="13" spans="2:13" x14ac:dyDescent="0.25">
      <c r="B13" s="4">
        <v>9</v>
      </c>
      <c r="C13" t="s">
        <v>6</v>
      </c>
      <c r="D13" t="s">
        <v>6</v>
      </c>
      <c r="F13" t="s">
        <v>7</v>
      </c>
      <c r="G13" t="s">
        <v>7</v>
      </c>
    </row>
    <row r="14" spans="2:13" x14ac:dyDescent="0.25">
      <c r="B14" s="4">
        <v>10</v>
      </c>
      <c r="H14" t="s">
        <v>5</v>
      </c>
    </row>
    <row r="15" spans="2:13" x14ac:dyDescent="0.25">
      <c r="B15" s="4">
        <v>11</v>
      </c>
      <c r="C15" t="s">
        <v>6</v>
      </c>
    </row>
    <row r="16" spans="2:13" x14ac:dyDescent="0.25">
      <c r="B16" s="4">
        <v>12</v>
      </c>
      <c r="D16" t="s">
        <v>6</v>
      </c>
      <c r="G16" t="s">
        <v>7</v>
      </c>
      <c r="H16" t="s">
        <v>5</v>
      </c>
      <c r="I16" t="s">
        <v>7</v>
      </c>
    </row>
    <row r="17" spans="2:9" x14ac:dyDescent="0.25">
      <c r="B17" s="4">
        <v>13</v>
      </c>
      <c r="C17" t="s">
        <v>6</v>
      </c>
      <c r="G17" t="s">
        <v>7</v>
      </c>
      <c r="I17" t="s">
        <v>7</v>
      </c>
    </row>
    <row r="18" spans="2:9" x14ac:dyDescent="0.25">
      <c r="B18" s="4">
        <v>14</v>
      </c>
      <c r="D18" t="s">
        <v>6</v>
      </c>
      <c r="H18" t="s">
        <v>3</v>
      </c>
    </row>
    <row r="19" spans="2:9" x14ac:dyDescent="0.25">
      <c r="B19" s="4">
        <v>15</v>
      </c>
      <c r="D19" t="s">
        <v>6</v>
      </c>
      <c r="G19" t="s">
        <v>3</v>
      </c>
      <c r="I19" t="s">
        <v>3</v>
      </c>
    </row>
    <row r="20" spans="2:9" x14ac:dyDescent="0.25">
      <c r="B20" s="4">
        <v>16</v>
      </c>
    </row>
    <row r="21" spans="2:9" x14ac:dyDescent="0.25">
      <c r="B21" s="4">
        <v>17</v>
      </c>
      <c r="D21" t="s">
        <v>6</v>
      </c>
    </row>
    <row r="22" spans="2:9" x14ac:dyDescent="0.25">
      <c r="B22" s="4">
        <v>18</v>
      </c>
    </row>
    <row r="23" spans="2:9" x14ac:dyDescent="0.25">
      <c r="B23" s="4">
        <v>19</v>
      </c>
      <c r="C23" t="s">
        <v>6</v>
      </c>
    </row>
    <row r="24" spans="2:9" x14ac:dyDescent="0.25">
      <c r="B24" s="4">
        <v>20</v>
      </c>
      <c r="I24" t="s">
        <v>5</v>
      </c>
    </row>
    <row r="25" spans="2:9" x14ac:dyDescent="0.25">
      <c r="B25" s="4">
        <v>21</v>
      </c>
    </row>
    <row r="26" spans="2:9" x14ac:dyDescent="0.25">
      <c r="B26" s="4">
        <v>22</v>
      </c>
      <c r="H26" t="s">
        <v>5</v>
      </c>
      <c r="I26" t="s">
        <v>5</v>
      </c>
    </row>
    <row r="27" spans="2:9" x14ac:dyDescent="0.25">
      <c r="B27" s="4">
        <v>23</v>
      </c>
      <c r="C27" t="s">
        <v>6</v>
      </c>
    </row>
    <row r="28" spans="2:9" x14ac:dyDescent="0.25">
      <c r="B28" s="4">
        <v>24</v>
      </c>
      <c r="C28" t="s">
        <v>6</v>
      </c>
      <c r="D28" t="s">
        <v>6</v>
      </c>
      <c r="G28" t="s">
        <v>2</v>
      </c>
      <c r="H28" t="s">
        <v>7</v>
      </c>
      <c r="I28" t="s">
        <v>7</v>
      </c>
    </row>
    <row r="29" spans="2:9" x14ac:dyDescent="0.25">
      <c r="B29" s="4">
        <v>25</v>
      </c>
      <c r="C29" t="s">
        <v>6</v>
      </c>
      <c r="D29" t="s">
        <v>6</v>
      </c>
      <c r="H29" t="s">
        <v>7</v>
      </c>
      <c r="I29" t="s">
        <v>7</v>
      </c>
    </row>
    <row r="30" spans="2:9" x14ac:dyDescent="0.25">
      <c r="B30" s="4">
        <v>26</v>
      </c>
      <c r="C30" t="s">
        <v>6</v>
      </c>
    </row>
    <row r="31" spans="2:9" x14ac:dyDescent="0.25">
      <c r="B31" s="4">
        <v>27</v>
      </c>
      <c r="C31" t="s">
        <v>6</v>
      </c>
      <c r="G31" t="s">
        <v>7</v>
      </c>
    </row>
    <row r="32" spans="2:9" x14ac:dyDescent="0.25">
      <c r="B32" s="4">
        <v>28</v>
      </c>
      <c r="D32" t="s">
        <v>6</v>
      </c>
      <c r="G32" t="s">
        <v>2</v>
      </c>
      <c r="I32" t="s">
        <v>2</v>
      </c>
    </row>
    <row r="33" spans="2:9" x14ac:dyDescent="0.25">
      <c r="B33" s="4">
        <v>29</v>
      </c>
      <c r="C33" t="s">
        <v>6</v>
      </c>
      <c r="H33" t="s">
        <v>7</v>
      </c>
      <c r="I33" t="s">
        <v>7</v>
      </c>
    </row>
    <row r="34" spans="2:9" x14ac:dyDescent="0.25">
      <c r="B34" s="4">
        <v>30</v>
      </c>
      <c r="C34" t="s">
        <v>2</v>
      </c>
      <c r="D34" t="s">
        <v>2</v>
      </c>
      <c r="G34" t="s">
        <v>2</v>
      </c>
      <c r="H34" t="s">
        <v>7</v>
      </c>
      <c r="I34" t="s">
        <v>7</v>
      </c>
    </row>
    <row r="35" spans="2:9" x14ac:dyDescent="0.25">
      <c r="B35" s="4">
        <v>31</v>
      </c>
      <c r="C35" t="s">
        <v>6</v>
      </c>
    </row>
    <row r="36" spans="2:9" x14ac:dyDescent="0.25">
      <c r="B36" s="4">
        <v>32</v>
      </c>
      <c r="G36" t="s">
        <v>7</v>
      </c>
      <c r="H36" t="s">
        <v>7</v>
      </c>
      <c r="I36" t="s">
        <v>7</v>
      </c>
    </row>
    <row r="37" spans="2:9" x14ac:dyDescent="0.25">
      <c r="B37" s="4">
        <v>33</v>
      </c>
    </row>
    <row r="38" spans="2:9" x14ac:dyDescent="0.25">
      <c r="B38" s="4">
        <v>34</v>
      </c>
      <c r="C38" t="s">
        <v>6</v>
      </c>
      <c r="D38" t="s">
        <v>6</v>
      </c>
      <c r="G38" t="s">
        <v>7</v>
      </c>
      <c r="H38" t="s">
        <v>2</v>
      </c>
      <c r="I38" t="s">
        <v>2</v>
      </c>
    </row>
    <row r="39" spans="2:9" x14ac:dyDescent="0.25">
      <c r="B39" s="4">
        <v>35</v>
      </c>
    </row>
    <row r="40" spans="2:9" x14ac:dyDescent="0.25">
      <c r="B40" s="4">
        <v>36</v>
      </c>
      <c r="C40" t="s">
        <v>6</v>
      </c>
      <c r="H40" t="s">
        <v>7</v>
      </c>
    </row>
    <row r="41" spans="2:9" x14ac:dyDescent="0.25">
      <c r="B41" s="4">
        <v>37</v>
      </c>
      <c r="D41" t="s">
        <v>6</v>
      </c>
      <c r="H41" t="s">
        <v>7</v>
      </c>
    </row>
    <row r="42" spans="2:9" x14ac:dyDescent="0.25">
      <c r="B42" s="4">
        <v>38</v>
      </c>
    </row>
    <row r="43" spans="2:9" x14ac:dyDescent="0.25">
      <c r="B43" s="4">
        <v>39</v>
      </c>
      <c r="C43" t="s">
        <v>6</v>
      </c>
      <c r="H43" t="s">
        <v>3</v>
      </c>
    </row>
    <row r="44" spans="2:9" x14ac:dyDescent="0.25">
      <c r="B44" s="4">
        <v>40</v>
      </c>
      <c r="C44" t="s">
        <v>6</v>
      </c>
    </row>
    <row r="45" spans="2:9" x14ac:dyDescent="0.25">
      <c r="B45" s="4">
        <v>41</v>
      </c>
    </row>
    <row r="46" spans="2:9" x14ac:dyDescent="0.25">
      <c r="B46" s="4">
        <v>42</v>
      </c>
      <c r="G46" t="s">
        <v>7</v>
      </c>
    </row>
    <row r="47" spans="2:9" x14ac:dyDescent="0.25">
      <c r="B47" s="4">
        <v>43</v>
      </c>
      <c r="C47" t="s">
        <v>6</v>
      </c>
      <c r="D47" t="s">
        <v>6</v>
      </c>
      <c r="G47" t="s">
        <v>7</v>
      </c>
      <c r="H47" t="s">
        <v>7</v>
      </c>
    </row>
    <row r="48" spans="2:9" x14ac:dyDescent="0.25">
      <c r="B48" s="4">
        <v>44</v>
      </c>
    </row>
    <row r="49" spans="2:9" x14ac:dyDescent="0.25">
      <c r="B49" s="4">
        <v>45</v>
      </c>
      <c r="D49" t="s">
        <v>6</v>
      </c>
      <c r="H49" t="s">
        <v>3</v>
      </c>
    </row>
    <row r="50" spans="2:9" x14ac:dyDescent="0.25">
      <c r="B50" s="4">
        <v>46</v>
      </c>
      <c r="C50" t="s">
        <v>6</v>
      </c>
      <c r="G50" t="s">
        <v>7</v>
      </c>
      <c r="I50" t="s">
        <v>7</v>
      </c>
    </row>
    <row r="51" spans="2:9" x14ac:dyDescent="0.25">
      <c r="B51" s="4">
        <v>47</v>
      </c>
      <c r="C51" t="s">
        <v>6</v>
      </c>
      <c r="F51" t="s">
        <v>3</v>
      </c>
      <c r="H51" t="s">
        <v>7</v>
      </c>
      <c r="I51" t="s">
        <v>7</v>
      </c>
    </row>
    <row r="52" spans="2:9" x14ac:dyDescent="0.25">
      <c r="B52" s="4">
        <v>48</v>
      </c>
      <c r="C52" t="s">
        <v>6</v>
      </c>
      <c r="F52" t="s">
        <v>3</v>
      </c>
      <c r="I52" t="s">
        <v>3</v>
      </c>
    </row>
    <row r="53" spans="2:9" x14ac:dyDescent="0.25">
      <c r="B53" s="4">
        <v>49</v>
      </c>
      <c r="D53" t="s">
        <v>6</v>
      </c>
      <c r="F53" t="s">
        <v>3</v>
      </c>
      <c r="I53" t="s">
        <v>5</v>
      </c>
    </row>
    <row r="54" spans="2:9" x14ac:dyDescent="0.25">
      <c r="B54" s="4">
        <v>50</v>
      </c>
      <c r="D54" t="s">
        <v>6</v>
      </c>
      <c r="G54" t="s">
        <v>3</v>
      </c>
      <c r="I54" t="s">
        <v>7</v>
      </c>
    </row>
    <row r="55" spans="2:9" x14ac:dyDescent="0.25">
      <c r="B55" s="4">
        <v>51</v>
      </c>
    </row>
    <row r="56" spans="2:9" x14ac:dyDescent="0.25">
      <c r="B56" s="4">
        <v>52</v>
      </c>
      <c r="C56" t="s">
        <v>6</v>
      </c>
      <c r="F56" t="s">
        <v>7</v>
      </c>
      <c r="G56" t="s">
        <v>7</v>
      </c>
    </row>
    <row r="57" spans="2:9" x14ac:dyDescent="0.25">
      <c r="B57" s="4">
        <v>53</v>
      </c>
    </row>
    <row r="58" spans="2:9" x14ac:dyDescent="0.25">
      <c r="B58" s="4">
        <v>54</v>
      </c>
      <c r="C58" t="s">
        <v>6</v>
      </c>
      <c r="I58" t="s">
        <v>3</v>
      </c>
    </row>
    <row r="59" spans="2:9" x14ac:dyDescent="0.25">
      <c r="B59" s="4">
        <v>55</v>
      </c>
      <c r="I59" t="s">
        <v>3</v>
      </c>
    </row>
    <row r="60" spans="2:9" x14ac:dyDescent="0.25">
      <c r="B60" s="4">
        <v>56</v>
      </c>
      <c r="I60" t="s">
        <v>7</v>
      </c>
    </row>
  </sheetData>
  <conditionalFormatting sqref="C5:H11">
    <cfRule type="cellIs" dxfId="539" priority="8" operator="equal">
      <formula>"Energia"</formula>
    </cfRule>
  </conditionalFormatting>
  <conditionalFormatting sqref="C5:J60">
    <cfRule type="cellIs" dxfId="538" priority="1" operator="equal">
      <formula>"Energia"</formula>
    </cfRule>
    <cfRule type="cellIs" dxfId="537" priority="3" operator="equal">
      <formula>"Operação"</formula>
    </cfRule>
    <cfRule type="cellIs" dxfId="536" priority="4" operator="equal">
      <formula>"Chuva"</formula>
    </cfRule>
    <cfRule type="cellIs" dxfId="535" priority="5" operator="equal">
      <formula>"Elétrico"</formula>
    </cfRule>
    <cfRule type="cellIs" dxfId="534" priority="6" operator="equal">
      <formula>"Mecânico"</formula>
    </cfRule>
    <cfRule type="cellIs" dxfId="533" priority="7" operator="equal">
      <formula>"Ok"</formula>
    </cfRule>
  </conditionalFormatting>
  <conditionalFormatting sqref="C5:J61">
    <cfRule type="cellIs" dxfId="532" priority="2" operator="equal">
      <formula>"Feito"</formula>
    </cfRule>
  </conditionalFormatting>
  <dataValidations count="1">
    <dataValidation type="list" allowBlank="1" showInputMessage="1" showErrorMessage="1" sqref="C5:K60" xr:uid="{86F72E46-BDC5-497D-A6C2-D76D4FC4FD33}">
      <formula1>$L$5:$L$10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3AD8CD-BBBE-4919-9A26-FF35E26A2A25}">
  <dimension ref="B3:M60"/>
  <sheetViews>
    <sheetView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M5" sqref="M5:M10"/>
    </sheetView>
  </sheetViews>
  <sheetFormatPr defaultRowHeight="15" x14ac:dyDescent="0.25"/>
  <cols>
    <col min="3" max="3" width="11.85546875" customWidth="1"/>
    <col min="4" max="4" width="12.42578125" customWidth="1"/>
    <col min="5" max="5" width="12.85546875" customWidth="1"/>
    <col min="6" max="6" width="11" customWidth="1"/>
    <col min="7" max="7" width="12.85546875" customWidth="1"/>
    <col min="8" max="8" width="11.85546875" customWidth="1"/>
    <col min="9" max="9" width="11.42578125" customWidth="1"/>
    <col min="10" max="10" width="10.28515625" customWidth="1"/>
    <col min="12" max="12" width="15.7109375" customWidth="1"/>
  </cols>
  <sheetData>
    <row r="3" spans="2:13" x14ac:dyDescent="0.25">
      <c r="C3" s="3">
        <v>44210</v>
      </c>
      <c r="D3" s="3">
        <f>C3+1</f>
        <v>44211</v>
      </c>
      <c r="E3" s="3">
        <f t="shared" ref="E3:J3" si="0">D3+1</f>
        <v>44212</v>
      </c>
      <c r="F3" s="3">
        <f t="shared" si="0"/>
        <v>44213</v>
      </c>
      <c r="G3" s="3">
        <f t="shared" si="0"/>
        <v>44214</v>
      </c>
      <c r="H3" s="3">
        <f t="shared" si="0"/>
        <v>44215</v>
      </c>
      <c r="I3" s="3">
        <f t="shared" si="0"/>
        <v>44216</v>
      </c>
      <c r="J3" s="3">
        <f t="shared" si="0"/>
        <v>44217</v>
      </c>
    </row>
    <row r="4" spans="2:13" x14ac:dyDescent="0.25">
      <c r="B4" s="2" t="s">
        <v>0</v>
      </c>
      <c r="C4" s="1" t="str">
        <f>TEXT(C3,"ddd")</f>
        <v>qui</v>
      </c>
      <c r="D4" s="1" t="str">
        <f t="shared" ref="D4:J4" si="1">TEXT(D3,"ddd")</f>
        <v>sex</v>
      </c>
      <c r="E4" s="1" t="str">
        <f t="shared" si="1"/>
        <v>sáb</v>
      </c>
      <c r="F4" s="1" t="str">
        <f t="shared" si="1"/>
        <v>dom</v>
      </c>
      <c r="G4" s="1" t="str">
        <f t="shared" si="1"/>
        <v>seg</v>
      </c>
      <c r="H4" s="1" t="str">
        <f t="shared" si="1"/>
        <v>ter</v>
      </c>
      <c r="I4" s="1" t="str">
        <f t="shared" si="1"/>
        <v>qua</v>
      </c>
      <c r="J4" s="1" t="str">
        <f t="shared" si="1"/>
        <v>qui</v>
      </c>
      <c r="L4" s="11" t="s">
        <v>1</v>
      </c>
    </row>
    <row r="5" spans="2:13" x14ac:dyDescent="0.25">
      <c r="B5" s="4">
        <v>1</v>
      </c>
      <c r="C5" t="s">
        <v>2</v>
      </c>
      <c r="L5" s="5" t="s">
        <v>7</v>
      </c>
      <c r="M5">
        <f>COUNTIF($C$5:$J$60,L5)</f>
        <v>38</v>
      </c>
    </row>
    <row r="6" spans="2:13" x14ac:dyDescent="0.25">
      <c r="B6" s="4">
        <v>2</v>
      </c>
      <c r="L6" s="6" t="s">
        <v>2</v>
      </c>
      <c r="M6">
        <f t="shared" ref="M6:M10" si="2">COUNTIF($C$5:$J$60,L6)</f>
        <v>13</v>
      </c>
    </row>
    <row r="7" spans="2:13" x14ac:dyDescent="0.25">
      <c r="B7" s="4">
        <v>3</v>
      </c>
      <c r="L7" s="7" t="s">
        <v>3</v>
      </c>
      <c r="M7">
        <f t="shared" si="2"/>
        <v>9</v>
      </c>
    </row>
    <row r="8" spans="2:13" x14ac:dyDescent="0.25">
      <c r="B8" s="4">
        <v>4</v>
      </c>
      <c r="H8" t="s">
        <v>7</v>
      </c>
      <c r="J8" t="s">
        <v>7</v>
      </c>
      <c r="L8" s="8" t="s">
        <v>4</v>
      </c>
      <c r="M8">
        <f t="shared" si="2"/>
        <v>0</v>
      </c>
    </row>
    <row r="9" spans="2:13" x14ac:dyDescent="0.25">
      <c r="B9" s="4">
        <v>5</v>
      </c>
      <c r="J9" t="s">
        <v>7</v>
      </c>
      <c r="L9" s="9" t="s">
        <v>6</v>
      </c>
      <c r="M9">
        <f t="shared" si="2"/>
        <v>0</v>
      </c>
    </row>
    <row r="10" spans="2:13" x14ac:dyDescent="0.25">
      <c r="B10" s="4">
        <v>6</v>
      </c>
      <c r="I10" t="s">
        <v>2</v>
      </c>
      <c r="L10" s="10" t="s">
        <v>5</v>
      </c>
      <c r="M10">
        <f t="shared" si="2"/>
        <v>1</v>
      </c>
    </row>
    <row r="11" spans="2:13" x14ac:dyDescent="0.25">
      <c r="B11" s="4">
        <v>7</v>
      </c>
      <c r="I11" t="s">
        <v>7</v>
      </c>
      <c r="M11">
        <f>SUM(M5:M10)</f>
        <v>61</v>
      </c>
    </row>
    <row r="12" spans="2:13" x14ac:dyDescent="0.25">
      <c r="B12" s="4">
        <v>8</v>
      </c>
      <c r="J12" t="s">
        <v>7</v>
      </c>
    </row>
    <row r="13" spans="2:13" x14ac:dyDescent="0.25">
      <c r="B13" s="4">
        <v>9</v>
      </c>
      <c r="I13" t="s">
        <v>7</v>
      </c>
      <c r="J13" t="s">
        <v>7</v>
      </c>
    </row>
    <row r="14" spans="2:13" x14ac:dyDescent="0.25">
      <c r="B14" s="4">
        <v>10</v>
      </c>
      <c r="G14" t="s">
        <v>7</v>
      </c>
      <c r="H14" t="s">
        <v>7</v>
      </c>
      <c r="I14" t="s">
        <v>3</v>
      </c>
    </row>
    <row r="15" spans="2:13" x14ac:dyDescent="0.25">
      <c r="B15" s="4">
        <v>11</v>
      </c>
      <c r="I15" t="s">
        <v>7</v>
      </c>
      <c r="J15" t="s">
        <v>7</v>
      </c>
    </row>
    <row r="16" spans="2:13" x14ac:dyDescent="0.25">
      <c r="B16" s="4">
        <v>12</v>
      </c>
      <c r="G16" t="s">
        <v>7</v>
      </c>
      <c r="H16" t="s">
        <v>7</v>
      </c>
      <c r="J16" t="s">
        <v>7</v>
      </c>
    </row>
    <row r="17" spans="2:10" x14ac:dyDescent="0.25">
      <c r="B17" s="4">
        <v>13</v>
      </c>
      <c r="I17" t="s">
        <v>7</v>
      </c>
    </row>
    <row r="18" spans="2:10" x14ac:dyDescent="0.25">
      <c r="B18" s="4">
        <v>14</v>
      </c>
      <c r="H18" t="s">
        <v>7</v>
      </c>
      <c r="I18" t="s">
        <v>7</v>
      </c>
      <c r="J18" t="s">
        <v>3</v>
      </c>
    </row>
    <row r="19" spans="2:10" x14ac:dyDescent="0.25">
      <c r="B19" s="4">
        <v>15</v>
      </c>
      <c r="J19" t="s">
        <v>2</v>
      </c>
    </row>
    <row r="20" spans="2:10" x14ac:dyDescent="0.25">
      <c r="B20" s="4">
        <v>16</v>
      </c>
      <c r="C20" t="s">
        <v>2</v>
      </c>
      <c r="H20" t="s">
        <v>2</v>
      </c>
      <c r="I20" t="s">
        <v>2</v>
      </c>
      <c r="J20" t="s">
        <v>2</v>
      </c>
    </row>
    <row r="21" spans="2:10" x14ac:dyDescent="0.25">
      <c r="B21" s="4">
        <v>17</v>
      </c>
    </row>
    <row r="22" spans="2:10" x14ac:dyDescent="0.25">
      <c r="B22" s="4">
        <v>18</v>
      </c>
      <c r="C22" t="s">
        <v>2</v>
      </c>
      <c r="H22" t="s">
        <v>7</v>
      </c>
      <c r="J22" t="s">
        <v>7</v>
      </c>
    </row>
    <row r="23" spans="2:10" x14ac:dyDescent="0.25">
      <c r="B23" s="4">
        <v>19</v>
      </c>
    </row>
    <row r="24" spans="2:10" x14ac:dyDescent="0.25">
      <c r="B24" s="4">
        <v>20</v>
      </c>
      <c r="C24" t="s">
        <v>7</v>
      </c>
      <c r="J24" t="s">
        <v>7</v>
      </c>
    </row>
    <row r="25" spans="2:10" x14ac:dyDescent="0.25">
      <c r="B25" s="4">
        <v>21</v>
      </c>
    </row>
    <row r="26" spans="2:10" x14ac:dyDescent="0.25">
      <c r="B26" s="4">
        <v>22</v>
      </c>
      <c r="I26" t="s">
        <v>3</v>
      </c>
    </row>
    <row r="27" spans="2:10" x14ac:dyDescent="0.25">
      <c r="B27" s="4">
        <v>23</v>
      </c>
    </row>
    <row r="28" spans="2:10" x14ac:dyDescent="0.25">
      <c r="B28" s="4">
        <v>24</v>
      </c>
    </row>
    <row r="29" spans="2:10" x14ac:dyDescent="0.25">
      <c r="B29" s="4">
        <v>25</v>
      </c>
      <c r="H29" t="s">
        <v>7</v>
      </c>
      <c r="I29" t="s">
        <v>7</v>
      </c>
      <c r="J29" t="s">
        <v>7</v>
      </c>
    </row>
    <row r="30" spans="2:10" x14ac:dyDescent="0.25">
      <c r="B30" s="4">
        <v>26</v>
      </c>
    </row>
    <row r="31" spans="2:10" x14ac:dyDescent="0.25">
      <c r="B31" s="4">
        <v>27</v>
      </c>
      <c r="J31" t="s">
        <v>2</v>
      </c>
    </row>
    <row r="32" spans="2:10" x14ac:dyDescent="0.25">
      <c r="B32" s="4">
        <v>28</v>
      </c>
      <c r="C32" t="s">
        <v>2</v>
      </c>
    </row>
    <row r="33" spans="2:10" x14ac:dyDescent="0.25">
      <c r="B33" s="4">
        <v>29</v>
      </c>
      <c r="H33" t="s">
        <v>7</v>
      </c>
      <c r="J33" t="s">
        <v>7</v>
      </c>
    </row>
    <row r="34" spans="2:10" x14ac:dyDescent="0.25">
      <c r="B34" s="4">
        <v>30</v>
      </c>
      <c r="I34" t="s">
        <v>2</v>
      </c>
    </row>
    <row r="35" spans="2:10" x14ac:dyDescent="0.25">
      <c r="B35" s="4">
        <v>31</v>
      </c>
    </row>
    <row r="36" spans="2:10" x14ac:dyDescent="0.25">
      <c r="B36" s="4">
        <v>32</v>
      </c>
      <c r="I36" t="s">
        <v>7</v>
      </c>
    </row>
    <row r="37" spans="2:10" x14ac:dyDescent="0.25">
      <c r="B37" s="4">
        <v>33</v>
      </c>
    </row>
    <row r="38" spans="2:10" x14ac:dyDescent="0.25">
      <c r="B38" s="4">
        <v>34</v>
      </c>
      <c r="C38" t="s">
        <v>2</v>
      </c>
    </row>
    <row r="39" spans="2:10" x14ac:dyDescent="0.25">
      <c r="B39" s="4">
        <v>35</v>
      </c>
    </row>
    <row r="40" spans="2:10" x14ac:dyDescent="0.25">
      <c r="B40" s="4">
        <v>36</v>
      </c>
      <c r="H40" t="s">
        <v>3</v>
      </c>
      <c r="J40" t="s">
        <v>3</v>
      </c>
    </row>
    <row r="41" spans="2:10" x14ac:dyDescent="0.25">
      <c r="B41" s="4">
        <v>37</v>
      </c>
      <c r="I41" t="s">
        <v>7</v>
      </c>
    </row>
    <row r="42" spans="2:10" x14ac:dyDescent="0.25">
      <c r="B42" s="4">
        <v>38</v>
      </c>
    </row>
    <row r="43" spans="2:10" x14ac:dyDescent="0.25">
      <c r="B43" s="4">
        <v>39</v>
      </c>
    </row>
    <row r="44" spans="2:10" x14ac:dyDescent="0.25">
      <c r="B44" s="4">
        <v>40</v>
      </c>
    </row>
    <row r="45" spans="2:10" x14ac:dyDescent="0.25">
      <c r="B45" s="4">
        <v>41</v>
      </c>
      <c r="H45" t="s">
        <v>7</v>
      </c>
      <c r="I45" t="s">
        <v>7</v>
      </c>
      <c r="J45" t="s">
        <v>7</v>
      </c>
    </row>
    <row r="46" spans="2:10" x14ac:dyDescent="0.25">
      <c r="B46" s="4">
        <v>42</v>
      </c>
    </row>
    <row r="47" spans="2:10" x14ac:dyDescent="0.25">
      <c r="B47" s="4">
        <v>43</v>
      </c>
      <c r="J47" t="s">
        <v>7</v>
      </c>
    </row>
    <row r="48" spans="2:10" x14ac:dyDescent="0.25">
      <c r="B48" s="4">
        <v>44</v>
      </c>
    </row>
    <row r="49" spans="2:10" x14ac:dyDescent="0.25">
      <c r="B49" s="4">
        <v>45</v>
      </c>
      <c r="G49" t="s">
        <v>7</v>
      </c>
      <c r="H49" t="s">
        <v>7</v>
      </c>
      <c r="J49" t="s">
        <v>7</v>
      </c>
    </row>
    <row r="50" spans="2:10" x14ac:dyDescent="0.25">
      <c r="B50" s="4">
        <v>46</v>
      </c>
      <c r="I50" t="s">
        <v>7</v>
      </c>
      <c r="J50" t="s">
        <v>7</v>
      </c>
    </row>
    <row r="51" spans="2:10" x14ac:dyDescent="0.25">
      <c r="B51" s="4">
        <v>47</v>
      </c>
      <c r="I51" t="s">
        <v>3</v>
      </c>
    </row>
    <row r="52" spans="2:10" x14ac:dyDescent="0.25">
      <c r="B52" s="4">
        <v>48</v>
      </c>
      <c r="C52" t="s">
        <v>2</v>
      </c>
    </row>
    <row r="53" spans="2:10" x14ac:dyDescent="0.25">
      <c r="B53" s="4">
        <v>49</v>
      </c>
    </row>
    <row r="54" spans="2:10" x14ac:dyDescent="0.25">
      <c r="B54" s="4">
        <v>50</v>
      </c>
      <c r="J54" t="s">
        <v>3</v>
      </c>
    </row>
    <row r="55" spans="2:10" x14ac:dyDescent="0.25">
      <c r="B55" s="4">
        <v>51</v>
      </c>
      <c r="H55" t="s">
        <v>5</v>
      </c>
      <c r="I55" t="s">
        <v>3</v>
      </c>
      <c r="J55" t="s">
        <v>3</v>
      </c>
    </row>
    <row r="56" spans="2:10" x14ac:dyDescent="0.25">
      <c r="B56" s="4">
        <v>52</v>
      </c>
      <c r="G56" t="s">
        <v>7</v>
      </c>
    </row>
    <row r="57" spans="2:10" x14ac:dyDescent="0.25">
      <c r="B57" s="4">
        <v>53</v>
      </c>
    </row>
    <row r="58" spans="2:10" x14ac:dyDescent="0.25">
      <c r="B58" s="4">
        <v>54</v>
      </c>
    </row>
    <row r="59" spans="2:10" x14ac:dyDescent="0.25">
      <c r="B59" s="4">
        <v>55</v>
      </c>
    </row>
    <row r="60" spans="2:10" x14ac:dyDescent="0.25">
      <c r="B60" s="4">
        <v>56</v>
      </c>
    </row>
  </sheetData>
  <conditionalFormatting sqref="C5:H11">
    <cfRule type="cellIs" dxfId="531" priority="8" operator="equal">
      <formula>"Energia"</formula>
    </cfRule>
  </conditionalFormatting>
  <conditionalFormatting sqref="C5:J60">
    <cfRule type="cellIs" dxfId="530" priority="1" operator="equal">
      <formula>"Energia"</formula>
    </cfRule>
    <cfRule type="cellIs" dxfId="529" priority="3" operator="equal">
      <formula>"Operação"</formula>
    </cfRule>
    <cfRule type="cellIs" dxfId="528" priority="4" operator="equal">
      <formula>"Chuva"</formula>
    </cfRule>
    <cfRule type="cellIs" dxfId="527" priority="5" operator="equal">
      <formula>"Elétrico"</formula>
    </cfRule>
    <cfRule type="cellIs" dxfId="526" priority="6" operator="equal">
      <formula>"Mecânico"</formula>
    </cfRule>
    <cfRule type="cellIs" dxfId="525" priority="7" operator="equal">
      <formula>"Ok"</formula>
    </cfRule>
  </conditionalFormatting>
  <conditionalFormatting sqref="C5:J61">
    <cfRule type="cellIs" dxfId="524" priority="2" operator="equal">
      <formula>"Feito"</formula>
    </cfRule>
  </conditionalFormatting>
  <dataValidations count="1">
    <dataValidation type="list" allowBlank="1" showInputMessage="1" showErrorMessage="1" sqref="C5:K60" xr:uid="{4A5ED36B-7128-4A53-9642-E802562463A1}">
      <formula1>$L$5:$L$10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76DF22-1F94-4D83-B158-E2B009902C68}">
  <dimension ref="B3:M60"/>
  <sheetViews>
    <sheetView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M5" sqref="M5:M10"/>
    </sheetView>
  </sheetViews>
  <sheetFormatPr defaultRowHeight="15" x14ac:dyDescent="0.25"/>
  <cols>
    <col min="3" max="3" width="11.85546875" customWidth="1"/>
    <col min="4" max="4" width="12.42578125" customWidth="1"/>
    <col min="5" max="5" width="12.85546875" customWidth="1"/>
    <col min="6" max="6" width="11" customWidth="1"/>
    <col min="7" max="7" width="12.85546875" customWidth="1"/>
    <col min="8" max="8" width="11.85546875" customWidth="1"/>
    <col min="9" max="9" width="11.42578125" customWidth="1"/>
    <col min="10" max="10" width="10.28515625" customWidth="1"/>
    <col min="12" max="12" width="15.7109375" customWidth="1"/>
  </cols>
  <sheetData>
    <row r="3" spans="2:13" x14ac:dyDescent="0.25">
      <c r="C3" s="3">
        <v>44218</v>
      </c>
      <c r="D3" s="3">
        <f>C3+1</f>
        <v>44219</v>
      </c>
      <c r="E3" s="3">
        <f t="shared" ref="E3:J3" si="0">D3+1</f>
        <v>44220</v>
      </c>
      <c r="F3" s="3">
        <f t="shared" si="0"/>
        <v>44221</v>
      </c>
      <c r="G3" s="3">
        <f t="shared" si="0"/>
        <v>44222</v>
      </c>
      <c r="H3" s="3">
        <f t="shared" si="0"/>
        <v>44223</v>
      </c>
      <c r="I3" s="3">
        <f t="shared" si="0"/>
        <v>44224</v>
      </c>
      <c r="J3" s="3">
        <f t="shared" si="0"/>
        <v>44225</v>
      </c>
    </row>
    <row r="4" spans="2:13" x14ac:dyDescent="0.25">
      <c r="B4" s="2" t="s">
        <v>0</v>
      </c>
      <c r="C4" s="1" t="str">
        <f>TEXT(C3,"ddd")</f>
        <v>sex</v>
      </c>
      <c r="D4" s="1" t="str">
        <f t="shared" ref="D4:J4" si="1">TEXT(D3,"ddd")</f>
        <v>sáb</v>
      </c>
      <c r="E4" s="1" t="str">
        <f t="shared" si="1"/>
        <v>dom</v>
      </c>
      <c r="F4" s="1" t="str">
        <f t="shared" si="1"/>
        <v>seg</v>
      </c>
      <c r="G4" s="1" t="str">
        <f t="shared" si="1"/>
        <v>ter</v>
      </c>
      <c r="H4" s="1" t="str">
        <f t="shared" si="1"/>
        <v>qua</v>
      </c>
      <c r="I4" s="1" t="str">
        <f t="shared" si="1"/>
        <v>qui</v>
      </c>
      <c r="J4" s="1" t="str">
        <f t="shared" si="1"/>
        <v>sex</v>
      </c>
      <c r="L4" s="11" t="s">
        <v>1</v>
      </c>
    </row>
    <row r="5" spans="2:13" x14ac:dyDescent="0.25">
      <c r="B5" s="4">
        <v>1</v>
      </c>
      <c r="C5" t="s">
        <v>2</v>
      </c>
      <c r="F5" t="s">
        <v>2</v>
      </c>
      <c r="J5" t="s">
        <v>5</v>
      </c>
      <c r="L5" s="5" t="s">
        <v>7</v>
      </c>
      <c r="M5">
        <f>COUNTIF($C$5:$J$60,L5)</f>
        <v>118</v>
      </c>
    </row>
    <row r="6" spans="2:13" x14ac:dyDescent="0.25">
      <c r="B6" s="4">
        <v>2</v>
      </c>
      <c r="I6" t="s">
        <v>7</v>
      </c>
      <c r="L6" s="6" t="s">
        <v>2</v>
      </c>
      <c r="M6">
        <f t="shared" ref="M6:M10" si="2">COUNTIF($C$5:$J$60,L6)</f>
        <v>19</v>
      </c>
    </row>
    <row r="7" spans="2:13" x14ac:dyDescent="0.25">
      <c r="B7" s="4">
        <v>3</v>
      </c>
      <c r="L7" s="7" t="s">
        <v>3</v>
      </c>
      <c r="M7">
        <f t="shared" si="2"/>
        <v>4</v>
      </c>
    </row>
    <row r="8" spans="2:13" x14ac:dyDescent="0.25">
      <c r="B8" s="4">
        <v>4</v>
      </c>
      <c r="D8" t="s">
        <v>7</v>
      </c>
      <c r="F8" t="s">
        <v>7</v>
      </c>
      <c r="L8" s="8" t="s">
        <v>4</v>
      </c>
      <c r="M8">
        <f t="shared" si="2"/>
        <v>19</v>
      </c>
    </row>
    <row r="9" spans="2:13" x14ac:dyDescent="0.25">
      <c r="B9" s="4">
        <v>5</v>
      </c>
      <c r="D9" t="s">
        <v>7</v>
      </c>
      <c r="F9" t="s">
        <v>7</v>
      </c>
      <c r="H9" t="s">
        <v>7</v>
      </c>
      <c r="J9" t="s">
        <v>5</v>
      </c>
      <c r="L9" s="9" t="s">
        <v>6</v>
      </c>
      <c r="M9">
        <f t="shared" si="2"/>
        <v>0</v>
      </c>
    </row>
    <row r="10" spans="2:13" x14ac:dyDescent="0.25">
      <c r="B10" s="4">
        <v>6</v>
      </c>
      <c r="C10" t="s">
        <v>7</v>
      </c>
      <c r="E10" t="s">
        <v>7</v>
      </c>
      <c r="F10" t="s">
        <v>7</v>
      </c>
      <c r="G10" t="s">
        <v>7</v>
      </c>
      <c r="I10" t="s">
        <v>7</v>
      </c>
      <c r="L10" s="10" t="s">
        <v>5</v>
      </c>
      <c r="M10">
        <f t="shared" si="2"/>
        <v>19</v>
      </c>
    </row>
    <row r="11" spans="2:13" x14ac:dyDescent="0.25">
      <c r="B11" s="4">
        <v>7</v>
      </c>
      <c r="C11" t="s">
        <v>7</v>
      </c>
      <c r="E11" t="s">
        <v>7</v>
      </c>
      <c r="G11" t="s">
        <v>4</v>
      </c>
      <c r="I11" t="s">
        <v>7</v>
      </c>
      <c r="M11">
        <f>SUM(M5:M10)</f>
        <v>179</v>
      </c>
    </row>
    <row r="12" spans="2:13" x14ac:dyDescent="0.25">
      <c r="B12" s="4">
        <v>8</v>
      </c>
      <c r="D12" t="s">
        <v>7</v>
      </c>
      <c r="F12" t="s">
        <v>2</v>
      </c>
      <c r="H12" t="s">
        <v>7</v>
      </c>
      <c r="I12" t="s">
        <v>7</v>
      </c>
      <c r="J12" t="s">
        <v>7</v>
      </c>
    </row>
    <row r="13" spans="2:13" x14ac:dyDescent="0.25">
      <c r="B13" s="4">
        <v>9</v>
      </c>
      <c r="C13" t="s">
        <v>7</v>
      </c>
      <c r="E13" t="s">
        <v>7</v>
      </c>
      <c r="G13" t="s">
        <v>2</v>
      </c>
      <c r="J13" t="s">
        <v>5</v>
      </c>
    </row>
    <row r="14" spans="2:13" x14ac:dyDescent="0.25">
      <c r="B14" s="4">
        <v>10</v>
      </c>
      <c r="C14" t="s">
        <v>2</v>
      </c>
      <c r="E14" t="s">
        <v>2</v>
      </c>
      <c r="G14" t="s">
        <v>5</v>
      </c>
      <c r="I14" t="s">
        <v>7</v>
      </c>
    </row>
    <row r="15" spans="2:13" x14ac:dyDescent="0.25">
      <c r="B15" s="4">
        <v>11</v>
      </c>
      <c r="C15" t="s">
        <v>7</v>
      </c>
      <c r="E15" t="s">
        <v>7</v>
      </c>
      <c r="G15" t="s">
        <v>7</v>
      </c>
      <c r="I15" t="s">
        <v>7</v>
      </c>
    </row>
    <row r="16" spans="2:13" x14ac:dyDescent="0.25">
      <c r="B16" s="4">
        <v>12</v>
      </c>
      <c r="D16" t="s">
        <v>7</v>
      </c>
      <c r="F16" t="s">
        <v>7</v>
      </c>
      <c r="H16" t="s">
        <v>7</v>
      </c>
      <c r="J16" t="s">
        <v>5</v>
      </c>
    </row>
    <row r="17" spans="2:10" x14ac:dyDescent="0.25">
      <c r="B17" s="4">
        <v>13</v>
      </c>
      <c r="C17" t="s">
        <v>7</v>
      </c>
      <c r="E17" t="s">
        <v>7</v>
      </c>
      <c r="G17" t="s">
        <v>7</v>
      </c>
      <c r="I17" t="s">
        <v>7</v>
      </c>
    </row>
    <row r="18" spans="2:10" x14ac:dyDescent="0.25">
      <c r="B18" s="4">
        <v>14</v>
      </c>
      <c r="D18" t="s">
        <v>3</v>
      </c>
      <c r="F18" t="s">
        <v>7</v>
      </c>
      <c r="H18" t="s">
        <v>5</v>
      </c>
      <c r="J18" t="s">
        <v>7</v>
      </c>
    </row>
    <row r="19" spans="2:10" x14ac:dyDescent="0.25">
      <c r="B19" s="4">
        <v>15</v>
      </c>
    </row>
    <row r="20" spans="2:10" x14ac:dyDescent="0.25">
      <c r="B20" s="4">
        <v>16</v>
      </c>
      <c r="C20" t="s">
        <v>7</v>
      </c>
      <c r="F20" t="s">
        <v>7</v>
      </c>
      <c r="I20" t="s">
        <v>2</v>
      </c>
    </row>
    <row r="21" spans="2:10" x14ac:dyDescent="0.25">
      <c r="B21" s="4">
        <v>17</v>
      </c>
      <c r="F21" t="s">
        <v>7</v>
      </c>
      <c r="G21" t="s">
        <v>7</v>
      </c>
      <c r="H21" t="s">
        <v>7</v>
      </c>
      <c r="I21" t="s">
        <v>7</v>
      </c>
      <c r="J21" t="s">
        <v>7</v>
      </c>
    </row>
    <row r="22" spans="2:10" x14ac:dyDescent="0.25">
      <c r="B22" s="4">
        <v>18</v>
      </c>
      <c r="E22" t="s">
        <v>7</v>
      </c>
      <c r="H22" t="s">
        <v>7</v>
      </c>
      <c r="I22" t="s">
        <v>7</v>
      </c>
    </row>
    <row r="23" spans="2:10" x14ac:dyDescent="0.25">
      <c r="B23" s="4">
        <v>19</v>
      </c>
      <c r="F23" t="s">
        <v>7</v>
      </c>
      <c r="G23" t="s">
        <v>7</v>
      </c>
      <c r="H23" t="s">
        <v>7</v>
      </c>
      <c r="I23" t="s">
        <v>4</v>
      </c>
      <c r="J23" t="s">
        <v>4</v>
      </c>
    </row>
    <row r="24" spans="2:10" x14ac:dyDescent="0.25">
      <c r="B24" s="4">
        <v>20</v>
      </c>
      <c r="E24" t="s">
        <v>7</v>
      </c>
      <c r="H24" t="s">
        <v>4</v>
      </c>
      <c r="J24" t="s">
        <v>5</v>
      </c>
    </row>
    <row r="25" spans="2:10" x14ac:dyDescent="0.25">
      <c r="B25" s="4">
        <v>21</v>
      </c>
      <c r="E25" t="s">
        <v>7</v>
      </c>
      <c r="F25" t="s">
        <v>2</v>
      </c>
      <c r="G25" t="s">
        <v>4</v>
      </c>
      <c r="H25" t="s">
        <v>4</v>
      </c>
      <c r="I25" t="s">
        <v>4</v>
      </c>
      <c r="J25" t="s">
        <v>4</v>
      </c>
    </row>
    <row r="26" spans="2:10" x14ac:dyDescent="0.25">
      <c r="B26" s="4">
        <v>22</v>
      </c>
      <c r="C26" t="s">
        <v>3</v>
      </c>
      <c r="D26" t="s">
        <v>3</v>
      </c>
      <c r="F26" t="s">
        <v>2</v>
      </c>
      <c r="I26" t="s">
        <v>7</v>
      </c>
    </row>
    <row r="27" spans="2:10" x14ac:dyDescent="0.25">
      <c r="B27" s="4">
        <v>23</v>
      </c>
      <c r="E27" t="s">
        <v>7</v>
      </c>
      <c r="F27" t="s">
        <v>7</v>
      </c>
      <c r="G27" t="s">
        <v>7</v>
      </c>
      <c r="H27" t="s">
        <v>5</v>
      </c>
      <c r="I27" t="s">
        <v>7</v>
      </c>
      <c r="J27" t="s">
        <v>7</v>
      </c>
    </row>
    <row r="28" spans="2:10" x14ac:dyDescent="0.25">
      <c r="B28" s="4">
        <v>24</v>
      </c>
      <c r="E28" t="s">
        <v>7</v>
      </c>
      <c r="H28" t="s">
        <v>5</v>
      </c>
    </row>
    <row r="29" spans="2:10" x14ac:dyDescent="0.25">
      <c r="B29" s="4">
        <v>25</v>
      </c>
      <c r="C29" t="s">
        <v>7</v>
      </c>
      <c r="D29" t="s">
        <v>7</v>
      </c>
      <c r="E29" t="s">
        <v>7</v>
      </c>
      <c r="F29" t="s">
        <v>7</v>
      </c>
      <c r="G29" t="s">
        <v>7</v>
      </c>
      <c r="H29" t="s">
        <v>2</v>
      </c>
      <c r="I29" t="s">
        <v>2</v>
      </c>
      <c r="J29" t="s">
        <v>4</v>
      </c>
    </row>
    <row r="30" spans="2:10" x14ac:dyDescent="0.25">
      <c r="B30" s="4">
        <v>26</v>
      </c>
      <c r="D30" t="s">
        <v>7</v>
      </c>
      <c r="E30" t="s">
        <v>2</v>
      </c>
      <c r="F30" t="s">
        <v>7</v>
      </c>
      <c r="G30" t="s">
        <v>7</v>
      </c>
      <c r="H30" t="s">
        <v>7</v>
      </c>
      <c r="I30" t="s">
        <v>7</v>
      </c>
      <c r="J30" t="s">
        <v>7</v>
      </c>
    </row>
    <row r="31" spans="2:10" x14ac:dyDescent="0.25">
      <c r="B31" s="4">
        <v>27</v>
      </c>
    </row>
    <row r="32" spans="2:10" x14ac:dyDescent="0.25">
      <c r="B32" s="4">
        <v>28</v>
      </c>
      <c r="H32" t="s">
        <v>7</v>
      </c>
    </row>
    <row r="33" spans="2:10" x14ac:dyDescent="0.25">
      <c r="B33" s="4">
        <v>29</v>
      </c>
      <c r="D33" t="s">
        <v>7</v>
      </c>
      <c r="F33" t="s">
        <v>7</v>
      </c>
      <c r="H33" t="s">
        <v>7</v>
      </c>
      <c r="J33" t="s">
        <v>5</v>
      </c>
    </row>
    <row r="34" spans="2:10" x14ac:dyDescent="0.25">
      <c r="B34" s="4">
        <v>30</v>
      </c>
      <c r="D34" t="s">
        <v>2</v>
      </c>
      <c r="G34" t="s">
        <v>7</v>
      </c>
      <c r="I34" t="s">
        <v>5</v>
      </c>
    </row>
    <row r="35" spans="2:10" x14ac:dyDescent="0.25">
      <c r="B35" s="4">
        <v>31</v>
      </c>
      <c r="J35" t="s">
        <v>7</v>
      </c>
    </row>
    <row r="36" spans="2:10" x14ac:dyDescent="0.25">
      <c r="B36" s="4">
        <v>32</v>
      </c>
      <c r="C36" t="s">
        <v>7</v>
      </c>
      <c r="F36" t="s">
        <v>2</v>
      </c>
      <c r="J36" t="s">
        <v>5</v>
      </c>
    </row>
    <row r="37" spans="2:10" x14ac:dyDescent="0.25">
      <c r="B37" s="4">
        <v>33</v>
      </c>
    </row>
    <row r="38" spans="2:10" x14ac:dyDescent="0.25">
      <c r="B38" s="4">
        <v>34</v>
      </c>
      <c r="H38" t="s">
        <v>2</v>
      </c>
      <c r="I38" t="s">
        <v>5</v>
      </c>
    </row>
    <row r="39" spans="2:10" x14ac:dyDescent="0.25">
      <c r="B39" s="4">
        <v>35</v>
      </c>
    </row>
    <row r="40" spans="2:10" x14ac:dyDescent="0.25">
      <c r="B40" s="4">
        <v>36</v>
      </c>
      <c r="D40" t="s">
        <v>7</v>
      </c>
      <c r="F40" t="s">
        <v>7</v>
      </c>
      <c r="H40" t="s">
        <v>7</v>
      </c>
      <c r="I40" t="s">
        <v>7</v>
      </c>
    </row>
    <row r="41" spans="2:10" x14ac:dyDescent="0.25">
      <c r="B41" s="4">
        <v>37</v>
      </c>
      <c r="C41" t="s">
        <v>7</v>
      </c>
      <c r="E41" t="s">
        <v>7</v>
      </c>
      <c r="G41" t="s">
        <v>7</v>
      </c>
    </row>
    <row r="42" spans="2:10" x14ac:dyDescent="0.25">
      <c r="B42" s="4">
        <v>38</v>
      </c>
      <c r="H42" t="s">
        <v>7</v>
      </c>
      <c r="I42" t="s">
        <v>7</v>
      </c>
      <c r="J42" t="s">
        <v>7</v>
      </c>
    </row>
    <row r="43" spans="2:10" x14ac:dyDescent="0.25">
      <c r="B43" s="4">
        <v>39</v>
      </c>
      <c r="G43" t="s">
        <v>7</v>
      </c>
      <c r="H43" t="s">
        <v>2</v>
      </c>
      <c r="I43" t="s">
        <v>7</v>
      </c>
      <c r="J43" t="s">
        <v>7</v>
      </c>
    </row>
    <row r="44" spans="2:10" x14ac:dyDescent="0.25">
      <c r="B44" s="4">
        <v>40</v>
      </c>
      <c r="H44" t="s">
        <v>7</v>
      </c>
      <c r="I44" t="s">
        <v>7</v>
      </c>
      <c r="J44" t="s">
        <v>7</v>
      </c>
    </row>
    <row r="45" spans="2:10" x14ac:dyDescent="0.25">
      <c r="B45" s="4">
        <v>41</v>
      </c>
      <c r="C45" t="s">
        <v>7</v>
      </c>
      <c r="D45" t="s">
        <v>7</v>
      </c>
      <c r="E45" t="s">
        <v>7</v>
      </c>
      <c r="F45" t="s">
        <v>7</v>
      </c>
      <c r="H45" t="s">
        <v>7</v>
      </c>
      <c r="J45" t="s">
        <v>7</v>
      </c>
    </row>
    <row r="46" spans="2:10" x14ac:dyDescent="0.25">
      <c r="B46" s="4">
        <v>42</v>
      </c>
      <c r="I46" t="s">
        <v>7</v>
      </c>
      <c r="J46" t="s">
        <v>7</v>
      </c>
    </row>
    <row r="47" spans="2:10" x14ac:dyDescent="0.25">
      <c r="B47" s="4">
        <v>43</v>
      </c>
      <c r="E47" t="s">
        <v>4</v>
      </c>
      <c r="H47" t="s">
        <v>7</v>
      </c>
    </row>
    <row r="48" spans="2:10" x14ac:dyDescent="0.25">
      <c r="B48" s="4">
        <v>44</v>
      </c>
    </row>
    <row r="49" spans="2:10" x14ac:dyDescent="0.25">
      <c r="B49" s="4">
        <v>45</v>
      </c>
      <c r="E49" t="s">
        <v>4</v>
      </c>
      <c r="F49" t="s">
        <v>7</v>
      </c>
      <c r="G49" t="s">
        <v>7</v>
      </c>
      <c r="I49" t="s">
        <v>7</v>
      </c>
    </row>
    <row r="50" spans="2:10" x14ac:dyDescent="0.25">
      <c r="B50" s="4">
        <v>46</v>
      </c>
      <c r="C50" t="s">
        <v>7</v>
      </c>
      <c r="F50" t="s">
        <v>5</v>
      </c>
      <c r="I50" t="s">
        <v>7</v>
      </c>
      <c r="J50" t="s">
        <v>7</v>
      </c>
    </row>
    <row r="51" spans="2:10" x14ac:dyDescent="0.25">
      <c r="B51" s="4">
        <v>47</v>
      </c>
      <c r="D51" t="s">
        <v>7</v>
      </c>
      <c r="G51" t="s">
        <v>4</v>
      </c>
      <c r="I51" t="s">
        <v>5</v>
      </c>
      <c r="J51" t="s">
        <v>5</v>
      </c>
    </row>
    <row r="52" spans="2:10" x14ac:dyDescent="0.25">
      <c r="B52" s="4">
        <v>48</v>
      </c>
      <c r="E52" t="s">
        <v>4</v>
      </c>
      <c r="G52" t="s">
        <v>4</v>
      </c>
      <c r="H52" t="s">
        <v>7</v>
      </c>
      <c r="I52" t="s">
        <v>7</v>
      </c>
      <c r="J52" t="s">
        <v>7</v>
      </c>
    </row>
    <row r="53" spans="2:10" x14ac:dyDescent="0.25">
      <c r="B53" s="4">
        <v>49</v>
      </c>
      <c r="G53" t="s">
        <v>4</v>
      </c>
      <c r="I53" t="s">
        <v>7</v>
      </c>
      <c r="J53" t="s">
        <v>7</v>
      </c>
    </row>
    <row r="54" spans="2:10" x14ac:dyDescent="0.25">
      <c r="B54" s="4">
        <v>50</v>
      </c>
      <c r="D54" t="s">
        <v>7</v>
      </c>
      <c r="F54" t="s">
        <v>3</v>
      </c>
      <c r="H54" t="s">
        <v>2</v>
      </c>
      <c r="J54" t="s">
        <v>7</v>
      </c>
    </row>
    <row r="55" spans="2:10" x14ac:dyDescent="0.25">
      <c r="B55" s="4">
        <v>51</v>
      </c>
      <c r="C55" t="s">
        <v>7</v>
      </c>
      <c r="D55" t="s">
        <v>7</v>
      </c>
      <c r="E55" t="s">
        <v>4</v>
      </c>
      <c r="F55" t="s">
        <v>5</v>
      </c>
      <c r="H55" t="s">
        <v>2</v>
      </c>
      <c r="I55" t="s">
        <v>2</v>
      </c>
      <c r="J55" t="s">
        <v>7</v>
      </c>
    </row>
    <row r="56" spans="2:10" x14ac:dyDescent="0.25">
      <c r="B56" s="4">
        <v>52</v>
      </c>
      <c r="F56" t="s">
        <v>5</v>
      </c>
      <c r="I56" t="s">
        <v>5</v>
      </c>
      <c r="J56" t="s">
        <v>4</v>
      </c>
    </row>
    <row r="57" spans="2:10" x14ac:dyDescent="0.25">
      <c r="B57" s="4">
        <v>53</v>
      </c>
      <c r="E57" t="s">
        <v>4</v>
      </c>
      <c r="J57" t="s">
        <v>7</v>
      </c>
    </row>
    <row r="58" spans="2:10" x14ac:dyDescent="0.25">
      <c r="B58" s="4">
        <v>54</v>
      </c>
      <c r="E58" t="s">
        <v>4</v>
      </c>
      <c r="J58" t="s">
        <v>7</v>
      </c>
    </row>
    <row r="59" spans="2:10" x14ac:dyDescent="0.25">
      <c r="B59" s="4">
        <v>55</v>
      </c>
    </row>
    <row r="60" spans="2:10" x14ac:dyDescent="0.25">
      <c r="B60" s="4">
        <v>56</v>
      </c>
    </row>
  </sheetData>
  <conditionalFormatting sqref="C5:H11">
    <cfRule type="cellIs" dxfId="523" priority="8" operator="equal">
      <formula>"Energia"</formula>
    </cfRule>
  </conditionalFormatting>
  <conditionalFormatting sqref="C5:J60">
    <cfRule type="cellIs" dxfId="522" priority="1" operator="equal">
      <formula>"Energia"</formula>
    </cfRule>
    <cfRule type="cellIs" dxfId="521" priority="3" operator="equal">
      <formula>"Operação"</formula>
    </cfRule>
    <cfRule type="cellIs" dxfId="520" priority="4" operator="equal">
      <formula>"Chuva"</formula>
    </cfRule>
    <cfRule type="cellIs" dxfId="519" priority="5" operator="equal">
      <formula>"Elétrico"</formula>
    </cfRule>
    <cfRule type="cellIs" dxfId="518" priority="6" operator="equal">
      <formula>"Mecânico"</formula>
    </cfRule>
    <cfRule type="cellIs" dxfId="517" priority="7" operator="equal">
      <formula>"Ok"</formula>
    </cfRule>
  </conditionalFormatting>
  <conditionalFormatting sqref="C5:J61">
    <cfRule type="cellIs" dxfId="516" priority="2" operator="equal">
      <formula>"Feito"</formula>
    </cfRule>
  </conditionalFormatting>
  <dataValidations count="1">
    <dataValidation type="list" allowBlank="1" showInputMessage="1" showErrorMessage="1" sqref="C5:K60" xr:uid="{2A5913B1-31ED-4315-9302-8306AE7CC42B}">
      <formula1>$L$5:$L$10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F023-EB72-47F7-8D46-EE7FBACCB41F}">
  <dimension ref="B3:M60"/>
  <sheetViews>
    <sheetView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M5" sqref="M5:M10"/>
    </sheetView>
  </sheetViews>
  <sheetFormatPr defaultRowHeight="15" x14ac:dyDescent="0.25"/>
  <cols>
    <col min="3" max="3" width="11.85546875" customWidth="1"/>
    <col min="4" max="4" width="12.42578125" customWidth="1"/>
    <col min="5" max="5" width="12.85546875" customWidth="1"/>
    <col min="6" max="6" width="11" customWidth="1"/>
    <col min="7" max="7" width="12.85546875" customWidth="1"/>
    <col min="8" max="8" width="11.85546875" customWidth="1"/>
    <col min="9" max="9" width="11.42578125" customWidth="1"/>
    <col min="10" max="10" width="10.28515625" customWidth="1"/>
    <col min="12" max="12" width="15.7109375" customWidth="1"/>
  </cols>
  <sheetData>
    <row r="3" spans="2:13" x14ac:dyDescent="0.25">
      <c r="C3" s="3">
        <v>44226</v>
      </c>
      <c r="D3" s="3">
        <f>C3+1</f>
        <v>44227</v>
      </c>
      <c r="E3" s="3">
        <f t="shared" ref="E3:J3" si="0">D3+1</f>
        <v>44228</v>
      </c>
      <c r="F3" s="3">
        <f t="shared" si="0"/>
        <v>44229</v>
      </c>
      <c r="G3" s="3">
        <f t="shared" si="0"/>
        <v>44230</v>
      </c>
      <c r="H3" s="3">
        <f t="shared" si="0"/>
        <v>44231</v>
      </c>
      <c r="I3" s="3">
        <f t="shared" si="0"/>
        <v>44232</v>
      </c>
      <c r="J3" s="3">
        <f t="shared" si="0"/>
        <v>44233</v>
      </c>
    </row>
    <row r="4" spans="2:13" x14ac:dyDescent="0.25">
      <c r="B4" s="2" t="s">
        <v>0</v>
      </c>
      <c r="C4" s="1" t="str">
        <f>TEXT(C3,"ddd")</f>
        <v>sáb</v>
      </c>
      <c r="D4" s="1" t="str">
        <f t="shared" ref="D4:J4" si="1">TEXT(D3,"ddd")</f>
        <v>dom</v>
      </c>
      <c r="E4" s="1" t="str">
        <f t="shared" si="1"/>
        <v>seg</v>
      </c>
      <c r="F4" s="1" t="str">
        <f t="shared" si="1"/>
        <v>ter</v>
      </c>
      <c r="G4" s="1" t="str">
        <f t="shared" si="1"/>
        <v>qua</v>
      </c>
      <c r="H4" s="1" t="str">
        <f t="shared" si="1"/>
        <v>qui</v>
      </c>
      <c r="I4" s="1" t="str">
        <f t="shared" si="1"/>
        <v>sex</v>
      </c>
      <c r="J4" s="1" t="str">
        <f t="shared" si="1"/>
        <v>sáb</v>
      </c>
      <c r="L4" s="11" t="s">
        <v>1</v>
      </c>
    </row>
    <row r="5" spans="2:13" x14ac:dyDescent="0.25">
      <c r="B5" s="4">
        <v>1</v>
      </c>
      <c r="D5" t="s">
        <v>5</v>
      </c>
      <c r="G5" t="s">
        <v>7</v>
      </c>
      <c r="L5" s="5" t="s">
        <v>7</v>
      </c>
      <c r="M5">
        <f>COUNTIF($C$5:$J$60,L5)</f>
        <v>122</v>
      </c>
    </row>
    <row r="6" spans="2:13" x14ac:dyDescent="0.25">
      <c r="B6" s="4">
        <v>2</v>
      </c>
      <c r="G6" t="s">
        <v>2</v>
      </c>
      <c r="L6" s="6" t="s">
        <v>2</v>
      </c>
      <c r="M6">
        <f t="shared" ref="M6:M10" si="2">COUNTIF($C$5:$J$60,L6)</f>
        <v>12</v>
      </c>
    </row>
    <row r="7" spans="2:13" x14ac:dyDescent="0.25">
      <c r="B7" s="4">
        <v>3</v>
      </c>
      <c r="L7" s="7" t="s">
        <v>3</v>
      </c>
      <c r="M7">
        <f t="shared" si="2"/>
        <v>0</v>
      </c>
    </row>
    <row r="8" spans="2:13" x14ac:dyDescent="0.25">
      <c r="B8" s="4">
        <v>4</v>
      </c>
      <c r="I8" t="s">
        <v>5</v>
      </c>
      <c r="J8" t="s">
        <v>7</v>
      </c>
      <c r="L8" s="8" t="s">
        <v>4</v>
      </c>
      <c r="M8">
        <f t="shared" si="2"/>
        <v>18</v>
      </c>
    </row>
    <row r="9" spans="2:13" x14ac:dyDescent="0.25">
      <c r="B9" s="4">
        <v>5</v>
      </c>
      <c r="D9" t="s">
        <v>7</v>
      </c>
      <c r="G9" t="s">
        <v>7</v>
      </c>
      <c r="I9" t="s">
        <v>7</v>
      </c>
      <c r="L9" s="9" t="s">
        <v>6</v>
      </c>
      <c r="M9">
        <f t="shared" si="2"/>
        <v>2</v>
      </c>
    </row>
    <row r="10" spans="2:13" x14ac:dyDescent="0.25">
      <c r="B10" s="4">
        <v>6</v>
      </c>
      <c r="C10" t="s">
        <v>7</v>
      </c>
      <c r="F10" t="s">
        <v>7</v>
      </c>
      <c r="H10" t="s">
        <v>7</v>
      </c>
      <c r="J10" t="s">
        <v>7</v>
      </c>
      <c r="L10" s="10" t="s">
        <v>5</v>
      </c>
      <c r="M10">
        <f t="shared" si="2"/>
        <v>21</v>
      </c>
    </row>
    <row r="11" spans="2:13" x14ac:dyDescent="0.25">
      <c r="B11" s="4">
        <v>7</v>
      </c>
      <c r="C11" t="s">
        <v>7</v>
      </c>
      <c r="F11" t="s">
        <v>7</v>
      </c>
      <c r="I11" t="s">
        <v>7</v>
      </c>
      <c r="M11">
        <f>SUM(M5:M10)</f>
        <v>175</v>
      </c>
    </row>
    <row r="12" spans="2:13" x14ac:dyDescent="0.25">
      <c r="B12" s="4">
        <v>8</v>
      </c>
      <c r="D12" t="s">
        <v>2</v>
      </c>
      <c r="F12" t="s">
        <v>7</v>
      </c>
      <c r="H12" t="s">
        <v>7</v>
      </c>
      <c r="J12" t="s">
        <v>7</v>
      </c>
    </row>
    <row r="13" spans="2:13" x14ac:dyDescent="0.25">
      <c r="B13" s="4">
        <v>9</v>
      </c>
      <c r="D13" t="s">
        <v>2</v>
      </c>
      <c r="F13" t="s">
        <v>5</v>
      </c>
      <c r="H13" t="s">
        <v>7</v>
      </c>
      <c r="J13" t="s">
        <v>7</v>
      </c>
    </row>
    <row r="14" spans="2:13" x14ac:dyDescent="0.25">
      <c r="B14" s="4">
        <v>10</v>
      </c>
      <c r="C14" t="s">
        <v>5</v>
      </c>
      <c r="G14" t="s">
        <v>7</v>
      </c>
      <c r="I14" t="s">
        <v>7</v>
      </c>
    </row>
    <row r="15" spans="2:13" x14ac:dyDescent="0.25">
      <c r="B15" s="4">
        <v>11</v>
      </c>
      <c r="C15" t="s">
        <v>7</v>
      </c>
      <c r="F15" t="s">
        <v>7</v>
      </c>
      <c r="H15" t="s">
        <v>7</v>
      </c>
      <c r="J15" t="s">
        <v>7</v>
      </c>
    </row>
    <row r="16" spans="2:13" x14ac:dyDescent="0.25">
      <c r="B16" s="4">
        <v>12</v>
      </c>
      <c r="D16" t="s">
        <v>7</v>
      </c>
      <c r="G16" t="s">
        <v>7</v>
      </c>
      <c r="I16" t="s">
        <v>7</v>
      </c>
    </row>
    <row r="17" spans="2:10" x14ac:dyDescent="0.25">
      <c r="B17" s="4">
        <v>13</v>
      </c>
      <c r="C17" t="s">
        <v>7</v>
      </c>
      <c r="D17" t="s">
        <v>7</v>
      </c>
      <c r="F17" t="s">
        <v>7</v>
      </c>
      <c r="G17" t="s">
        <v>7</v>
      </c>
      <c r="H17" t="s">
        <v>7</v>
      </c>
      <c r="I17" t="s">
        <v>7</v>
      </c>
      <c r="J17" t="s">
        <v>7</v>
      </c>
    </row>
    <row r="18" spans="2:10" x14ac:dyDescent="0.25">
      <c r="B18" s="4">
        <v>14</v>
      </c>
      <c r="D18" t="s">
        <v>7</v>
      </c>
      <c r="G18" t="s">
        <v>2</v>
      </c>
      <c r="J18" t="s">
        <v>7</v>
      </c>
    </row>
    <row r="19" spans="2:10" x14ac:dyDescent="0.25">
      <c r="B19" s="4">
        <v>15</v>
      </c>
      <c r="I19" t="s">
        <v>7</v>
      </c>
    </row>
    <row r="20" spans="2:10" x14ac:dyDescent="0.25">
      <c r="B20" s="4">
        <v>16</v>
      </c>
      <c r="C20" t="s">
        <v>5</v>
      </c>
      <c r="G20" t="s">
        <v>7</v>
      </c>
    </row>
    <row r="21" spans="2:10" x14ac:dyDescent="0.25">
      <c r="B21" s="4">
        <v>17</v>
      </c>
      <c r="C21" t="s">
        <v>7</v>
      </c>
      <c r="D21" t="s">
        <v>7</v>
      </c>
      <c r="F21" t="s">
        <v>7</v>
      </c>
      <c r="J21" t="s">
        <v>7</v>
      </c>
    </row>
    <row r="22" spans="2:10" x14ac:dyDescent="0.25">
      <c r="B22" s="4">
        <v>18</v>
      </c>
      <c r="D22" t="s">
        <v>5</v>
      </c>
      <c r="E22" t="s">
        <v>7</v>
      </c>
      <c r="J22" t="s">
        <v>7</v>
      </c>
    </row>
    <row r="23" spans="2:10" x14ac:dyDescent="0.25">
      <c r="B23" s="4">
        <v>19</v>
      </c>
      <c r="C23" t="s">
        <v>4</v>
      </c>
      <c r="D23" t="s">
        <v>7</v>
      </c>
      <c r="F23" t="s">
        <v>5</v>
      </c>
    </row>
    <row r="24" spans="2:10" x14ac:dyDescent="0.25">
      <c r="B24" s="4">
        <v>20</v>
      </c>
      <c r="F24" t="s">
        <v>5</v>
      </c>
    </row>
    <row r="25" spans="2:10" x14ac:dyDescent="0.25">
      <c r="B25" s="4">
        <v>21</v>
      </c>
      <c r="C25" t="s">
        <v>4</v>
      </c>
      <c r="D25" t="s">
        <v>4</v>
      </c>
      <c r="E25" t="s">
        <v>7</v>
      </c>
      <c r="F25" t="s">
        <v>4</v>
      </c>
      <c r="J25" t="s">
        <v>7</v>
      </c>
    </row>
    <row r="26" spans="2:10" x14ac:dyDescent="0.25">
      <c r="B26" s="4">
        <v>22</v>
      </c>
      <c r="D26" t="s">
        <v>7</v>
      </c>
      <c r="G26" t="s">
        <v>7</v>
      </c>
    </row>
    <row r="27" spans="2:10" x14ac:dyDescent="0.25">
      <c r="B27" s="4">
        <v>23</v>
      </c>
      <c r="C27" t="s">
        <v>7</v>
      </c>
      <c r="D27" t="s">
        <v>7</v>
      </c>
      <c r="G27" t="s">
        <v>7</v>
      </c>
    </row>
    <row r="28" spans="2:10" x14ac:dyDescent="0.25">
      <c r="B28" s="4">
        <v>24</v>
      </c>
      <c r="C28" t="s">
        <v>5</v>
      </c>
      <c r="H28" t="s">
        <v>5</v>
      </c>
    </row>
    <row r="29" spans="2:10" x14ac:dyDescent="0.25">
      <c r="B29" s="4">
        <v>25</v>
      </c>
      <c r="C29" t="s">
        <v>7</v>
      </c>
      <c r="D29" t="s">
        <v>4</v>
      </c>
      <c r="E29" t="s">
        <v>7</v>
      </c>
      <c r="F29" t="s">
        <v>4</v>
      </c>
      <c r="H29" t="s">
        <v>7</v>
      </c>
      <c r="I29" t="s">
        <v>7</v>
      </c>
      <c r="J29" t="s">
        <v>6</v>
      </c>
    </row>
    <row r="30" spans="2:10" x14ac:dyDescent="0.25">
      <c r="B30" s="4">
        <v>26</v>
      </c>
      <c r="C30" t="s">
        <v>7</v>
      </c>
      <c r="D30" t="s">
        <v>7</v>
      </c>
      <c r="G30" t="s">
        <v>5</v>
      </c>
      <c r="J30" t="s">
        <v>7</v>
      </c>
    </row>
    <row r="31" spans="2:10" x14ac:dyDescent="0.25">
      <c r="B31" s="4">
        <v>27</v>
      </c>
      <c r="J31" t="s">
        <v>2</v>
      </c>
    </row>
    <row r="32" spans="2:10" x14ac:dyDescent="0.25">
      <c r="B32" s="4">
        <v>28</v>
      </c>
      <c r="C32" t="s">
        <v>5</v>
      </c>
      <c r="G32" t="s">
        <v>7</v>
      </c>
    </row>
    <row r="33" spans="2:10" x14ac:dyDescent="0.25">
      <c r="B33" s="4">
        <v>29</v>
      </c>
      <c r="D33" t="s">
        <v>7</v>
      </c>
      <c r="G33" t="s">
        <v>7</v>
      </c>
      <c r="H33" t="s">
        <v>7</v>
      </c>
    </row>
    <row r="34" spans="2:10" x14ac:dyDescent="0.25">
      <c r="B34" s="4">
        <v>30</v>
      </c>
      <c r="C34" t="s">
        <v>7</v>
      </c>
      <c r="F34" t="s">
        <v>2</v>
      </c>
      <c r="G34" t="s">
        <v>5</v>
      </c>
      <c r="J34" t="s">
        <v>7</v>
      </c>
    </row>
    <row r="35" spans="2:10" x14ac:dyDescent="0.25">
      <c r="B35" s="4">
        <v>31</v>
      </c>
      <c r="D35" t="s">
        <v>2</v>
      </c>
      <c r="E35" t="s">
        <v>7</v>
      </c>
      <c r="F35" t="s">
        <v>2</v>
      </c>
      <c r="G35" t="s">
        <v>7</v>
      </c>
      <c r="H35" t="s">
        <v>7</v>
      </c>
      <c r="J35" t="s">
        <v>7</v>
      </c>
    </row>
    <row r="36" spans="2:10" x14ac:dyDescent="0.25">
      <c r="B36" s="4">
        <v>32</v>
      </c>
      <c r="F36" t="s">
        <v>7</v>
      </c>
      <c r="H36" t="s">
        <v>6</v>
      </c>
    </row>
    <row r="37" spans="2:10" x14ac:dyDescent="0.25">
      <c r="B37" s="4">
        <v>33</v>
      </c>
    </row>
    <row r="38" spans="2:10" x14ac:dyDescent="0.25">
      <c r="B38" s="4">
        <v>34</v>
      </c>
      <c r="C38" t="s">
        <v>7</v>
      </c>
      <c r="G38" t="s">
        <v>7</v>
      </c>
      <c r="H38" t="s">
        <v>7</v>
      </c>
    </row>
    <row r="39" spans="2:10" x14ac:dyDescent="0.25">
      <c r="B39" s="4">
        <v>35</v>
      </c>
    </row>
    <row r="40" spans="2:10" x14ac:dyDescent="0.25">
      <c r="B40" s="4">
        <v>36</v>
      </c>
      <c r="C40" t="s">
        <v>7</v>
      </c>
      <c r="F40" t="s">
        <v>7</v>
      </c>
      <c r="I40" t="s">
        <v>2</v>
      </c>
    </row>
    <row r="41" spans="2:10" x14ac:dyDescent="0.25">
      <c r="B41" s="4">
        <v>37</v>
      </c>
    </row>
    <row r="42" spans="2:10" x14ac:dyDescent="0.25">
      <c r="B42" s="4">
        <v>38</v>
      </c>
      <c r="C42" t="s">
        <v>7</v>
      </c>
      <c r="D42" t="s">
        <v>7</v>
      </c>
      <c r="F42" t="s">
        <v>7</v>
      </c>
      <c r="H42" t="s">
        <v>7</v>
      </c>
      <c r="J42" t="s">
        <v>7</v>
      </c>
    </row>
    <row r="43" spans="2:10" x14ac:dyDescent="0.25">
      <c r="B43" s="4">
        <v>39</v>
      </c>
      <c r="C43" t="s">
        <v>7</v>
      </c>
      <c r="D43" t="s">
        <v>7</v>
      </c>
      <c r="G43" t="s">
        <v>7</v>
      </c>
    </row>
    <row r="44" spans="2:10" x14ac:dyDescent="0.25">
      <c r="B44" s="4">
        <v>40</v>
      </c>
      <c r="C44" t="s">
        <v>7</v>
      </c>
      <c r="D44" t="s">
        <v>7</v>
      </c>
      <c r="F44" t="s">
        <v>7</v>
      </c>
      <c r="J44" t="s">
        <v>7</v>
      </c>
    </row>
    <row r="45" spans="2:10" x14ac:dyDescent="0.25">
      <c r="B45" s="4">
        <v>41</v>
      </c>
      <c r="D45" t="s">
        <v>7</v>
      </c>
      <c r="G45" t="s">
        <v>7</v>
      </c>
    </row>
    <row r="46" spans="2:10" x14ac:dyDescent="0.25">
      <c r="B46" s="4">
        <v>42</v>
      </c>
      <c r="C46" t="s">
        <v>7</v>
      </c>
      <c r="D46" t="s">
        <v>7</v>
      </c>
      <c r="F46" t="s">
        <v>7</v>
      </c>
      <c r="H46" t="s">
        <v>7</v>
      </c>
    </row>
    <row r="47" spans="2:10" x14ac:dyDescent="0.25">
      <c r="B47" s="4">
        <v>43</v>
      </c>
      <c r="C47" t="s">
        <v>7</v>
      </c>
      <c r="G47" t="s">
        <v>7</v>
      </c>
    </row>
    <row r="48" spans="2:10" x14ac:dyDescent="0.25">
      <c r="B48" s="4">
        <v>44</v>
      </c>
      <c r="J48" t="s">
        <v>2</v>
      </c>
    </row>
    <row r="49" spans="2:10" x14ac:dyDescent="0.25">
      <c r="B49" s="4">
        <v>45</v>
      </c>
      <c r="C49" t="s">
        <v>4</v>
      </c>
      <c r="F49" t="s">
        <v>7</v>
      </c>
      <c r="H49" t="s">
        <v>7</v>
      </c>
      <c r="I49" t="s">
        <v>7</v>
      </c>
    </row>
    <row r="50" spans="2:10" x14ac:dyDescent="0.25">
      <c r="B50" s="4">
        <v>46</v>
      </c>
      <c r="D50" t="s">
        <v>5</v>
      </c>
      <c r="E50" t="s">
        <v>7</v>
      </c>
      <c r="G50" t="s">
        <v>7</v>
      </c>
      <c r="I50" t="s">
        <v>7</v>
      </c>
    </row>
    <row r="51" spans="2:10" x14ac:dyDescent="0.25">
      <c r="B51" s="4">
        <v>47</v>
      </c>
      <c r="C51" t="s">
        <v>4</v>
      </c>
      <c r="F51" t="s">
        <v>4</v>
      </c>
      <c r="H51" t="s">
        <v>4</v>
      </c>
      <c r="J51" t="s">
        <v>7</v>
      </c>
    </row>
    <row r="52" spans="2:10" x14ac:dyDescent="0.25">
      <c r="B52" s="4">
        <v>48</v>
      </c>
      <c r="D52" t="s">
        <v>5</v>
      </c>
      <c r="E52" t="s">
        <v>7</v>
      </c>
      <c r="H52" t="s">
        <v>4</v>
      </c>
      <c r="J52" t="s">
        <v>7</v>
      </c>
    </row>
    <row r="53" spans="2:10" x14ac:dyDescent="0.25">
      <c r="B53" s="4">
        <v>49</v>
      </c>
      <c r="C53" t="s">
        <v>4</v>
      </c>
      <c r="G53" t="s">
        <v>7</v>
      </c>
      <c r="I53" t="s">
        <v>7</v>
      </c>
    </row>
    <row r="54" spans="2:10" x14ac:dyDescent="0.25">
      <c r="B54" s="4">
        <v>50</v>
      </c>
      <c r="D54" t="s">
        <v>5</v>
      </c>
      <c r="E54" t="s">
        <v>7</v>
      </c>
      <c r="G54" t="s">
        <v>4</v>
      </c>
      <c r="I54" t="s">
        <v>7</v>
      </c>
      <c r="J54" t="s">
        <v>7</v>
      </c>
    </row>
    <row r="55" spans="2:10" x14ac:dyDescent="0.25">
      <c r="B55" s="4">
        <v>51</v>
      </c>
      <c r="C55" t="s">
        <v>4</v>
      </c>
      <c r="F55" t="s">
        <v>7</v>
      </c>
      <c r="J55" t="s">
        <v>7</v>
      </c>
    </row>
    <row r="56" spans="2:10" x14ac:dyDescent="0.25">
      <c r="B56" s="4">
        <v>52</v>
      </c>
      <c r="D56" t="s">
        <v>5</v>
      </c>
      <c r="E56" t="s">
        <v>7</v>
      </c>
      <c r="J56" t="s">
        <v>7</v>
      </c>
    </row>
    <row r="57" spans="2:10" x14ac:dyDescent="0.25">
      <c r="B57" s="4">
        <v>53</v>
      </c>
      <c r="C57" t="s">
        <v>4</v>
      </c>
      <c r="F57" t="s">
        <v>2</v>
      </c>
      <c r="G57" t="s">
        <v>5</v>
      </c>
      <c r="H57" t="s">
        <v>7</v>
      </c>
    </row>
    <row r="58" spans="2:10" x14ac:dyDescent="0.25">
      <c r="B58" s="4">
        <v>54</v>
      </c>
      <c r="C58" t="s">
        <v>4</v>
      </c>
      <c r="F58" t="s">
        <v>7</v>
      </c>
      <c r="G58" t="s">
        <v>5</v>
      </c>
      <c r="J58" t="s">
        <v>7</v>
      </c>
    </row>
    <row r="59" spans="2:10" x14ac:dyDescent="0.25">
      <c r="B59" s="4">
        <v>55</v>
      </c>
      <c r="C59" t="s">
        <v>4</v>
      </c>
      <c r="F59" t="s">
        <v>7</v>
      </c>
      <c r="G59" t="s">
        <v>7</v>
      </c>
      <c r="H59" t="s">
        <v>5</v>
      </c>
      <c r="I59" t="s">
        <v>7</v>
      </c>
      <c r="J59" t="s">
        <v>7</v>
      </c>
    </row>
    <row r="60" spans="2:10" x14ac:dyDescent="0.25">
      <c r="B60" s="4">
        <v>56</v>
      </c>
      <c r="C60" t="s">
        <v>4</v>
      </c>
      <c r="F60" t="s">
        <v>7</v>
      </c>
      <c r="G60" t="s">
        <v>2</v>
      </c>
      <c r="H60" t="s">
        <v>5</v>
      </c>
      <c r="I60" t="s">
        <v>7</v>
      </c>
      <c r="J60" t="s">
        <v>7</v>
      </c>
    </row>
  </sheetData>
  <conditionalFormatting sqref="C5:H11">
    <cfRule type="cellIs" dxfId="515" priority="8" operator="equal">
      <formula>"Energia"</formula>
    </cfRule>
  </conditionalFormatting>
  <conditionalFormatting sqref="C5:J60">
    <cfRule type="cellIs" dxfId="514" priority="1" operator="equal">
      <formula>"Energia"</formula>
    </cfRule>
    <cfRule type="cellIs" dxfId="513" priority="3" operator="equal">
      <formula>"Operação"</formula>
    </cfRule>
    <cfRule type="cellIs" dxfId="512" priority="4" operator="equal">
      <formula>"Chuva"</formula>
    </cfRule>
    <cfRule type="cellIs" dxfId="511" priority="5" operator="equal">
      <formula>"Elétrico"</formula>
    </cfRule>
    <cfRule type="cellIs" dxfId="510" priority="6" operator="equal">
      <formula>"Mecânico"</formula>
    </cfRule>
    <cfRule type="cellIs" dxfId="509" priority="7" operator="equal">
      <formula>"Ok"</formula>
    </cfRule>
  </conditionalFormatting>
  <conditionalFormatting sqref="C5:J61">
    <cfRule type="cellIs" dxfId="508" priority="2" operator="equal">
      <formula>"Feito"</formula>
    </cfRule>
  </conditionalFormatting>
  <dataValidations count="1">
    <dataValidation type="list" allowBlank="1" showInputMessage="1" showErrorMessage="1" sqref="C5:K60" xr:uid="{6281C197-BAD3-4311-973E-B03CC4B4503A}">
      <formula1>$L$5:$L$10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3591CF-0C1F-4E3F-9C45-DCA42B46C7BA}">
  <dimension ref="B3:M60"/>
  <sheetViews>
    <sheetView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M5" sqref="M5:M10"/>
    </sheetView>
  </sheetViews>
  <sheetFormatPr defaultRowHeight="15" x14ac:dyDescent="0.25"/>
  <cols>
    <col min="3" max="3" width="11.85546875" customWidth="1"/>
    <col min="4" max="4" width="12.42578125" customWidth="1"/>
    <col min="5" max="5" width="12.85546875" customWidth="1"/>
    <col min="6" max="6" width="11" customWidth="1"/>
    <col min="7" max="7" width="12.85546875" customWidth="1"/>
    <col min="8" max="8" width="11.85546875" customWidth="1"/>
    <col min="9" max="9" width="11.42578125" customWidth="1"/>
    <col min="10" max="10" width="10.28515625" customWidth="1"/>
    <col min="12" max="12" width="15.7109375" customWidth="1"/>
  </cols>
  <sheetData>
    <row r="3" spans="2:13" x14ac:dyDescent="0.25">
      <c r="C3" s="3">
        <v>44234</v>
      </c>
      <c r="D3" s="3">
        <f>C3+1</f>
        <v>44235</v>
      </c>
      <c r="E3" s="3">
        <f t="shared" ref="E3:J3" si="0">D3+1</f>
        <v>44236</v>
      </c>
      <c r="F3" s="3">
        <f t="shared" si="0"/>
        <v>44237</v>
      </c>
      <c r="G3" s="3">
        <f t="shared" si="0"/>
        <v>44238</v>
      </c>
      <c r="H3" s="3">
        <f t="shared" si="0"/>
        <v>44239</v>
      </c>
      <c r="I3" s="3">
        <f t="shared" si="0"/>
        <v>44240</v>
      </c>
      <c r="J3" s="3">
        <f t="shared" si="0"/>
        <v>44241</v>
      </c>
    </row>
    <row r="4" spans="2:13" x14ac:dyDescent="0.25">
      <c r="B4" s="2" t="s">
        <v>0</v>
      </c>
      <c r="C4" s="1" t="str">
        <f>TEXT(C3,"ddd")</f>
        <v>dom</v>
      </c>
      <c r="D4" s="1" t="str">
        <f t="shared" ref="D4:J4" si="1">TEXT(D3,"ddd")</f>
        <v>seg</v>
      </c>
      <c r="E4" s="1" t="str">
        <f t="shared" si="1"/>
        <v>ter</v>
      </c>
      <c r="F4" s="1" t="str">
        <f t="shared" si="1"/>
        <v>qua</v>
      </c>
      <c r="G4" s="1" t="str">
        <f t="shared" si="1"/>
        <v>qui</v>
      </c>
      <c r="H4" s="1" t="str">
        <f t="shared" si="1"/>
        <v>sex</v>
      </c>
      <c r="I4" s="1" t="str">
        <f t="shared" si="1"/>
        <v>sáb</v>
      </c>
      <c r="J4" s="1" t="str">
        <f t="shared" si="1"/>
        <v>dom</v>
      </c>
      <c r="L4" s="11" t="s">
        <v>1</v>
      </c>
    </row>
    <row r="5" spans="2:13" x14ac:dyDescent="0.25">
      <c r="B5" s="4">
        <v>1</v>
      </c>
      <c r="C5" t="s">
        <v>5</v>
      </c>
      <c r="L5" s="5" t="s">
        <v>7</v>
      </c>
      <c r="M5">
        <f>COUNTIF($C$5:$J$60,L5)</f>
        <v>10</v>
      </c>
    </row>
    <row r="6" spans="2:13" x14ac:dyDescent="0.25">
      <c r="B6" s="4">
        <v>2</v>
      </c>
      <c r="C6" t="s">
        <v>6</v>
      </c>
      <c r="I6" t="s">
        <v>7</v>
      </c>
      <c r="L6" s="6" t="s">
        <v>2</v>
      </c>
      <c r="M6">
        <f t="shared" ref="M6:M10" si="2">COUNTIF($C$5:$J$60,L6)</f>
        <v>2</v>
      </c>
    </row>
    <row r="7" spans="2:13" x14ac:dyDescent="0.25">
      <c r="B7" s="4">
        <v>3</v>
      </c>
      <c r="L7" s="7" t="s">
        <v>3</v>
      </c>
      <c r="M7">
        <f t="shared" si="2"/>
        <v>1</v>
      </c>
    </row>
    <row r="8" spans="2:13" x14ac:dyDescent="0.25">
      <c r="B8" s="4">
        <v>4</v>
      </c>
      <c r="L8" s="8" t="s">
        <v>4</v>
      </c>
      <c r="M8">
        <f t="shared" si="2"/>
        <v>0</v>
      </c>
    </row>
    <row r="9" spans="2:13" x14ac:dyDescent="0.25">
      <c r="B9" s="4">
        <v>5</v>
      </c>
      <c r="C9" t="s">
        <v>6</v>
      </c>
      <c r="L9" s="9" t="s">
        <v>6</v>
      </c>
      <c r="M9">
        <f t="shared" si="2"/>
        <v>26</v>
      </c>
    </row>
    <row r="10" spans="2:13" x14ac:dyDescent="0.25">
      <c r="B10" s="4">
        <v>6</v>
      </c>
      <c r="L10" s="10" t="s">
        <v>5</v>
      </c>
      <c r="M10">
        <f t="shared" si="2"/>
        <v>1</v>
      </c>
    </row>
    <row r="11" spans="2:13" x14ac:dyDescent="0.25">
      <c r="B11" s="4">
        <v>7</v>
      </c>
      <c r="C11" t="s">
        <v>6</v>
      </c>
      <c r="M11">
        <f>SUM(M5:M10)</f>
        <v>40</v>
      </c>
    </row>
    <row r="12" spans="2:13" x14ac:dyDescent="0.25">
      <c r="B12" s="4">
        <v>8</v>
      </c>
    </row>
    <row r="13" spans="2:13" x14ac:dyDescent="0.25">
      <c r="B13" s="4">
        <v>9</v>
      </c>
    </row>
    <row r="14" spans="2:13" x14ac:dyDescent="0.25">
      <c r="B14" s="4">
        <v>10</v>
      </c>
      <c r="C14" t="s">
        <v>6</v>
      </c>
    </row>
    <row r="15" spans="2:13" x14ac:dyDescent="0.25">
      <c r="B15" s="4">
        <v>11</v>
      </c>
    </row>
    <row r="16" spans="2:13" x14ac:dyDescent="0.25">
      <c r="B16" s="4">
        <v>12</v>
      </c>
      <c r="C16" t="s">
        <v>6</v>
      </c>
    </row>
    <row r="17" spans="2:9" x14ac:dyDescent="0.25">
      <c r="B17" s="4">
        <v>13</v>
      </c>
      <c r="C17" t="s">
        <v>7</v>
      </c>
    </row>
    <row r="18" spans="2:9" x14ac:dyDescent="0.25">
      <c r="B18" s="4">
        <v>14</v>
      </c>
    </row>
    <row r="19" spans="2:9" x14ac:dyDescent="0.25">
      <c r="B19" s="4">
        <v>15</v>
      </c>
      <c r="C19" t="s">
        <v>6</v>
      </c>
    </row>
    <row r="20" spans="2:9" x14ac:dyDescent="0.25">
      <c r="B20" s="4">
        <v>16</v>
      </c>
      <c r="C20" t="s">
        <v>7</v>
      </c>
    </row>
    <row r="21" spans="2:9" x14ac:dyDescent="0.25">
      <c r="B21" s="4">
        <v>17</v>
      </c>
      <c r="I21" t="s">
        <v>7</v>
      </c>
    </row>
    <row r="22" spans="2:9" x14ac:dyDescent="0.25">
      <c r="B22" s="4">
        <v>18</v>
      </c>
    </row>
    <row r="23" spans="2:9" x14ac:dyDescent="0.25">
      <c r="B23" s="4">
        <v>19</v>
      </c>
      <c r="C23" t="s">
        <v>6</v>
      </c>
    </row>
    <row r="24" spans="2:9" x14ac:dyDescent="0.25">
      <c r="B24" s="4">
        <v>20</v>
      </c>
      <c r="C24" t="s">
        <v>6</v>
      </c>
    </row>
    <row r="25" spans="2:9" x14ac:dyDescent="0.25">
      <c r="B25" s="4">
        <v>21</v>
      </c>
    </row>
    <row r="26" spans="2:9" x14ac:dyDescent="0.25">
      <c r="B26" s="4">
        <v>22</v>
      </c>
    </row>
    <row r="27" spans="2:9" x14ac:dyDescent="0.25">
      <c r="B27" s="4">
        <v>23</v>
      </c>
      <c r="C27" t="s">
        <v>6</v>
      </c>
    </row>
    <row r="28" spans="2:9" x14ac:dyDescent="0.25">
      <c r="B28" s="4">
        <v>24</v>
      </c>
    </row>
    <row r="29" spans="2:9" x14ac:dyDescent="0.25">
      <c r="B29" s="4">
        <v>25</v>
      </c>
      <c r="C29" t="s">
        <v>6</v>
      </c>
      <c r="I29" t="s">
        <v>7</v>
      </c>
    </row>
    <row r="30" spans="2:9" x14ac:dyDescent="0.25">
      <c r="B30" s="4">
        <v>26</v>
      </c>
    </row>
    <row r="31" spans="2:9" x14ac:dyDescent="0.25">
      <c r="B31" s="4">
        <v>27</v>
      </c>
      <c r="C31" t="s">
        <v>6</v>
      </c>
    </row>
    <row r="32" spans="2:9" x14ac:dyDescent="0.25">
      <c r="B32" s="4">
        <v>28</v>
      </c>
    </row>
    <row r="33" spans="2:9" x14ac:dyDescent="0.25">
      <c r="B33" s="4">
        <v>29</v>
      </c>
      <c r="C33" t="s">
        <v>7</v>
      </c>
    </row>
    <row r="34" spans="2:9" x14ac:dyDescent="0.25">
      <c r="B34" s="4">
        <v>30</v>
      </c>
    </row>
    <row r="35" spans="2:9" x14ac:dyDescent="0.25">
      <c r="B35" s="4">
        <v>31</v>
      </c>
      <c r="C35" t="s">
        <v>6</v>
      </c>
    </row>
    <row r="36" spans="2:9" x14ac:dyDescent="0.25">
      <c r="B36" s="4">
        <v>32</v>
      </c>
    </row>
    <row r="37" spans="2:9" x14ac:dyDescent="0.25">
      <c r="B37" s="4">
        <v>33</v>
      </c>
    </row>
    <row r="38" spans="2:9" x14ac:dyDescent="0.25">
      <c r="B38" s="4">
        <v>34</v>
      </c>
      <c r="C38" t="s">
        <v>6</v>
      </c>
    </row>
    <row r="39" spans="2:9" x14ac:dyDescent="0.25">
      <c r="B39" s="4">
        <v>35</v>
      </c>
      <c r="C39" t="s">
        <v>6</v>
      </c>
    </row>
    <row r="40" spans="2:9" x14ac:dyDescent="0.25">
      <c r="B40" s="4">
        <v>36</v>
      </c>
      <c r="C40" t="s">
        <v>6</v>
      </c>
    </row>
    <row r="41" spans="2:9" x14ac:dyDescent="0.25">
      <c r="B41" s="4">
        <v>37</v>
      </c>
    </row>
    <row r="42" spans="2:9" x14ac:dyDescent="0.25">
      <c r="B42" s="4">
        <v>38</v>
      </c>
      <c r="I42" t="s">
        <v>7</v>
      </c>
    </row>
    <row r="43" spans="2:9" x14ac:dyDescent="0.25">
      <c r="B43" s="4">
        <v>39</v>
      </c>
      <c r="C43" t="s">
        <v>3</v>
      </c>
      <c r="I43" t="s">
        <v>2</v>
      </c>
    </row>
    <row r="44" spans="2:9" x14ac:dyDescent="0.25">
      <c r="B44" s="4">
        <v>40</v>
      </c>
    </row>
    <row r="45" spans="2:9" x14ac:dyDescent="0.25">
      <c r="B45" s="4">
        <v>41</v>
      </c>
      <c r="C45" t="s">
        <v>6</v>
      </c>
    </row>
    <row r="46" spans="2:9" x14ac:dyDescent="0.25">
      <c r="B46" s="4">
        <v>42</v>
      </c>
      <c r="I46" t="s">
        <v>7</v>
      </c>
    </row>
    <row r="47" spans="2:9" x14ac:dyDescent="0.25">
      <c r="B47" s="4">
        <v>43</v>
      </c>
      <c r="C47" t="s">
        <v>6</v>
      </c>
    </row>
    <row r="48" spans="2:9" x14ac:dyDescent="0.25">
      <c r="B48" s="4">
        <v>44</v>
      </c>
      <c r="C48" t="s">
        <v>6</v>
      </c>
    </row>
    <row r="49" spans="2:9" x14ac:dyDescent="0.25">
      <c r="B49" s="4">
        <v>45</v>
      </c>
      <c r="C49" t="s">
        <v>6</v>
      </c>
    </row>
    <row r="50" spans="2:9" x14ac:dyDescent="0.25">
      <c r="B50" s="4">
        <v>46</v>
      </c>
      <c r="C50" t="s">
        <v>6</v>
      </c>
    </row>
    <row r="51" spans="2:9" x14ac:dyDescent="0.25">
      <c r="B51" s="4">
        <v>47</v>
      </c>
    </row>
    <row r="52" spans="2:9" x14ac:dyDescent="0.25">
      <c r="B52" s="4">
        <v>48</v>
      </c>
    </row>
    <row r="53" spans="2:9" x14ac:dyDescent="0.25">
      <c r="B53" s="4">
        <v>49</v>
      </c>
      <c r="C53" t="s">
        <v>6</v>
      </c>
    </row>
    <row r="54" spans="2:9" x14ac:dyDescent="0.25">
      <c r="B54" s="4">
        <v>50</v>
      </c>
      <c r="C54" t="s">
        <v>6</v>
      </c>
      <c r="I54" t="s">
        <v>7</v>
      </c>
    </row>
    <row r="55" spans="2:9" x14ac:dyDescent="0.25">
      <c r="B55" s="4">
        <v>51</v>
      </c>
      <c r="C55" t="s">
        <v>6</v>
      </c>
      <c r="I55" t="s">
        <v>7</v>
      </c>
    </row>
    <row r="56" spans="2:9" x14ac:dyDescent="0.25">
      <c r="B56" s="4">
        <v>52</v>
      </c>
    </row>
    <row r="57" spans="2:9" x14ac:dyDescent="0.25">
      <c r="B57" s="4">
        <v>53</v>
      </c>
      <c r="C57" t="s">
        <v>6</v>
      </c>
    </row>
    <row r="58" spans="2:9" x14ac:dyDescent="0.25">
      <c r="B58" s="4">
        <v>54</v>
      </c>
      <c r="C58" t="s">
        <v>6</v>
      </c>
    </row>
    <row r="59" spans="2:9" x14ac:dyDescent="0.25">
      <c r="B59" s="4">
        <v>55</v>
      </c>
      <c r="C59" t="s">
        <v>6</v>
      </c>
    </row>
    <row r="60" spans="2:9" x14ac:dyDescent="0.25">
      <c r="B60" s="4">
        <v>56</v>
      </c>
      <c r="C60" t="s">
        <v>2</v>
      </c>
    </row>
  </sheetData>
  <conditionalFormatting sqref="C5:H11">
    <cfRule type="cellIs" dxfId="507" priority="8" operator="equal">
      <formula>"Energia"</formula>
    </cfRule>
  </conditionalFormatting>
  <conditionalFormatting sqref="C5:J60">
    <cfRule type="cellIs" dxfId="506" priority="1" operator="equal">
      <formula>"Energia"</formula>
    </cfRule>
    <cfRule type="cellIs" dxfId="505" priority="3" operator="equal">
      <formula>"Operação"</formula>
    </cfRule>
    <cfRule type="cellIs" dxfId="504" priority="4" operator="equal">
      <formula>"Chuva"</formula>
    </cfRule>
    <cfRule type="cellIs" dxfId="503" priority="5" operator="equal">
      <formula>"Elétrico"</formula>
    </cfRule>
    <cfRule type="cellIs" dxfId="502" priority="6" operator="equal">
      <formula>"Mecânico"</formula>
    </cfRule>
    <cfRule type="cellIs" dxfId="501" priority="7" operator="equal">
      <formula>"Ok"</formula>
    </cfRule>
  </conditionalFormatting>
  <conditionalFormatting sqref="C5:J61">
    <cfRule type="cellIs" dxfId="500" priority="2" operator="equal">
      <formula>"Feito"</formula>
    </cfRule>
  </conditionalFormatting>
  <dataValidations count="1">
    <dataValidation type="list" allowBlank="1" showInputMessage="1" showErrorMessage="1" sqref="C5:K60" xr:uid="{D3497DA1-9B27-4E4A-A747-7631B4AA880F}">
      <formula1>$L$5:$L$10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2C581B-727E-4481-ACE8-BBC47BD32569}">
  <dimension ref="B3:M123"/>
  <sheetViews>
    <sheetView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M5" sqref="M5:M10"/>
    </sheetView>
  </sheetViews>
  <sheetFormatPr defaultRowHeight="15" x14ac:dyDescent="0.25"/>
  <cols>
    <col min="3" max="3" width="11.85546875" customWidth="1"/>
    <col min="4" max="4" width="12.42578125" customWidth="1"/>
    <col min="5" max="5" width="12.85546875" customWidth="1"/>
    <col min="6" max="6" width="11" customWidth="1"/>
    <col min="7" max="7" width="12.85546875" customWidth="1"/>
    <col min="8" max="8" width="11.85546875" customWidth="1"/>
    <col min="9" max="9" width="11.42578125" customWidth="1"/>
    <col min="10" max="10" width="10.28515625" customWidth="1"/>
    <col min="12" max="12" width="15.7109375" customWidth="1"/>
  </cols>
  <sheetData>
    <row r="3" spans="2:13" x14ac:dyDescent="0.25">
      <c r="C3" s="3">
        <v>44242</v>
      </c>
      <c r="D3" s="3">
        <f>C3+1</f>
        <v>44243</v>
      </c>
      <c r="E3" s="3">
        <f t="shared" ref="E3:J3" si="0">D3+1</f>
        <v>44244</v>
      </c>
      <c r="F3" s="3">
        <f t="shared" si="0"/>
        <v>44245</v>
      </c>
      <c r="G3" s="3">
        <f t="shared" si="0"/>
        <v>44246</v>
      </c>
      <c r="H3" s="3">
        <f t="shared" si="0"/>
        <v>44247</v>
      </c>
      <c r="I3" s="3">
        <f t="shared" si="0"/>
        <v>44248</v>
      </c>
      <c r="J3" s="3">
        <f t="shared" si="0"/>
        <v>44249</v>
      </c>
    </row>
    <row r="4" spans="2:13" x14ac:dyDescent="0.25">
      <c r="B4" s="2" t="s">
        <v>0</v>
      </c>
      <c r="C4" s="1" t="str">
        <f>TEXT(C3,"ddd")</f>
        <v>seg</v>
      </c>
      <c r="D4" s="1" t="str">
        <f t="shared" ref="D4:J4" si="1">TEXT(D3,"ddd")</f>
        <v>ter</v>
      </c>
      <c r="E4" s="1" t="str">
        <f t="shared" si="1"/>
        <v>qua</v>
      </c>
      <c r="F4" s="1" t="str">
        <f t="shared" si="1"/>
        <v>qui</v>
      </c>
      <c r="G4" s="1" t="str">
        <f t="shared" si="1"/>
        <v>sex</v>
      </c>
      <c r="H4" s="1" t="str">
        <f t="shared" si="1"/>
        <v>sáb</v>
      </c>
      <c r="I4" s="1" t="str">
        <f t="shared" si="1"/>
        <v>dom</v>
      </c>
      <c r="J4" s="1" t="str">
        <f t="shared" si="1"/>
        <v>seg</v>
      </c>
      <c r="L4" s="11" t="s">
        <v>1</v>
      </c>
    </row>
    <row r="5" spans="2:13" x14ac:dyDescent="0.25">
      <c r="B5" s="4">
        <v>1</v>
      </c>
      <c r="L5" s="5" t="s">
        <v>7</v>
      </c>
      <c r="M5">
        <f>COUNTIF($C$5:$J$60,L5)</f>
        <v>9</v>
      </c>
    </row>
    <row r="6" spans="2:13" x14ac:dyDescent="0.25">
      <c r="B6" s="4">
        <v>2</v>
      </c>
      <c r="C6" t="s">
        <v>7</v>
      </c>
      <c r="J6" t="s">
        <v>7</v>
      </c>
      <c r="L6" s="6" t="s">
        <v>2</v>
      </c>
      <c r="M6">
        <f t="shared" ref="M6:M10" si="2">COUNTIF($C$5:$J$60,L6)</f>
        <v>6</v>
      </c>
    </row>
    <row r="7" spans="2:13" x14ac:dyDescent="0.25">
      <c r="B7" s="4">
        <v>3</v>
      </c>
      <c r="E7" t="s">
        <v>7</v>
      </c>
      <c r="F7" t="s">
        <v>7</v>
      </c>
      <c r="L7" s="7" t="s">
        <v>3</v>
      </c>
      <c r="M7">
        <f t="shared" si="2"/>
        <v>0</v>
      </c>
    </row>
    <row r="8" spans="2:13" x14ac:dyDescent="0.25">
      <c r="B8" s="4">
        <v>4</v>
      </c>
      <c r="L8" s="8" t="s">
        <v>4</v>
      </c>
      <c r="M8">
        <f t="shared" si="2"/>
        <v>0</v>
      </c>
    </row>
    <row r="9" spans="2:13" x14ac:dyDescent="0.25">
      <c r="B9" s="4">
        <v>5</v>
      </c>
      <c r="L9" s="9" t="s">
        <v>6</v>
      </c>
      <c r="M9">
        <f t="shared" si="2"/>
        <v>1</v>
      </c>
    </row>
    <row r="10" spans="2:13" x14ac:dyDescent="0.25">
      <c r="B10" s="4">
        <v>6</v>
      </c>
      <c r="L10" s="10" t="s">
        <v>5</v>
      </c>
      <c r="M10">
        <f t="shared" si="2"/>
        <v>2</v>
      </c>
    </row>
    <row r="11" spans="2:13" x14ac:dyDescent="0.25">
      <c r="B11" s="4">
        <v>7</v>
      </c>
      <c r="M11">
        <f>SUM(M5:M10)</f>
        <v>18</v>
      </c>
    </row>
    <row r="12" spans="2:13" x14ac:dyDescent="0.25">
      <c r="B12" s="4">
        <v>8</v>
      </c>
    </row>
    <row r="13" spans="2:13" x14ac:dyDescent="0.25">
      <c r="B13" s="4">
        <v>9</v>
      </c>
    </row>
    <row r="14" spans="2:13" x14ac:dyDescent="0.25">
      <c r="B14" s="4">
        <v>10</v>
      </c>
    </row>
    <row r="15" spans="2:13" x14ac:dyDescent="0.25">
      <c r="B15" s="4">
        <v>11</v>
      </c>
    </row>
    <row r="16" spans="2:13" x14ac:dyDescent="0.25">
      <c r="B16" s="4">
        <v>12</v>
      </c>
    </row>
    <row r="17" spans="2:10" x14ac:dyDescent="0.25">
      <c r="B17" s="4">
        <v>13</v>
      </c>
    </row>
    <row r="18" spans="2:10" x14ac:dyDescent="0.25">
      <c r="B18" s="4">
        <v>14</v>
      </c>
    </row>
    <row r="19" spans="2:10" x14ac:dyDescent="0.25">
      <c r="B19" s="4">
        <v>15</v>
      </c>
    </row>
    <row r="20" spans="2:10" x14ac:dyDescent="0.25">
      <c r="B20" s="4">
        <v>16</v>
      </c>
    </row>
    <row r="21" spans="2:10" x14ac:dyDescent="0.25">
      <c r="B21" s="4">
        <v>17</v>
      </c>
    </row>
    <row r="22" spans="2:10" x14ac:dyDescent="0.25">
      <c r="B22" s="4">
        <v>18</v>
      </c>
      <c r="J22" t="s">
        <v>7</v>
      </c>
    </row>
    <row r="23" spans="2:10" x14ac:dyDescent="0.25">
      <c r="B23" s="4">
        <v>19</v>
      </c>
      <c r="C23" t="s">
        <v>6</v>
      </c>
      <c r="G23" t="s">
        <v>7</v>
      </c>
    </row>
    <row r="24" spans="2:10" x14ac:dyDescent="0.25">
      <c r="B24" s="4">
        <v>20</v>
      </c>
      <c r="F24" t="s">
        <v>5</v>
      </c>
    </row>
    <row r="25" spans="2:10" x14ac:dyDescent="0.25">
      <c r="B25" s="4">
        <v>21</v>
      </c>
    </row>
    <row r="26" spans="2:10" x14ac:dyDescent="0.25">
      <c r="B26" s="4">
        <v>22</v>
      </c>
    </row>
    <row r="27" spans="2:10" x14ac:dyDescent="0.25">
      <c r="B27" s="4">
        <v>23</v>
      </c>
    </row>
    <row r="28" spans="2:10" x14ac:dyDescent="0.25">
      <c r="B28" s="4">
        <v>24</v>
      </c>
      <c r="E28" t="s">
        <v>2</v>
      </c>
    </row>
    <row r="29" spans="2:10" x14ac:dyDescent="0.25">
      <c r="B29" s="4">
        <v>25</v>
      </c>
      <c r="C29" t="s">
        <v>7</v>
      </c>
    </row>
    <row r="30" spans="2:10" x14ac:dyDescent="0.25">
      <c r="B30" s="4">
        <v>26</v>
      </c>
    </row>
    <row r="31" spans="2:10" x14ac:dyDescent="0.25">
      <c r="B31" s="4">
        <v>27</v>
      </c>
    </row>
    <row r="32" spans="2:10" x14ac:dyDescent="0.25">
      <c r="B32" s="4">
        <v>28</v>
      </c>
    </row>
    <row r="33" spans="2:10" x14ac:dyDescent="0.25">
      <c r="B33" s="4">
        <v>29</v>
      </c>
      <c r="C33" t="s">
        <v>7</v>
      </c>
      <c r="D33" t="s">
        <v>7</v>
      </c>
    </row>
    <row r="34" spans="2:10" x14ac:dyDescent="0.25">
      <c r="B34" s="4">
        <v>30</v>
      </c>
    </row>
    <row r="35" spans="2:10" x14ac:dyDescent="0.25">
      <c r="B35" s="4">
        <v>31</v>
      </c>
    </row>
    <row r="36" spans="2:10" x14ac:dyDescent="0.25">
      <c r="B36" s="4">
        <v>32</v>
      </c>
      <c r="C36" t="s">
        <v>2</v>
      </c>
      <c r="D36" t="s">
        <v>2</v>
      </c>
      <c r="E36" t="s">
        <v>2</v>
      </c>
      <c r="F36" t="s">
        <v>2</v>
      </c>
      <c r="G36" t="s">
        <v>2</v>
      </c>
      <c r="J36" t="s">
        <v>5</v>
      </c>
    </row>
    <row r="37" spans="2:10" x14ac:dyDescent="0.25">
      <c r="B37" s="4">
        <v>33</v>
      </c>
    </row>
    <row r="38" spans="2:10" x14ac:dyDescent="0.25">
      <c r="B38" s="4">
        <v>34</v>
      </c>
    </row>
    <row r="39" spans="2:10" x14ac:dyDescent="0.25">
      <c r="B39" s="4">
        <v>35</v>
      </c>
    </row>
    <row r="40" spans="2:10" x14ac:dyDescent="0.25">
      <c r="B40" s="4">
        <v>36</v>
      </c>
    </row>
    <row r="41" spans="2:10" x14ac:dyDescent="0.25">
      <c r="B41" s="4">
        <v>37</v>
      </c>
    </row>
    <row r="42" spans="2:10" x14ac:dyDescent="0.25">
      <c r="B42" s="4">
        <v>38</v>
      </c>
    </row>
    <row r="43" spans="2:10" x14ac:dyDescent="0.25">
      <c r="B43" s="4">
        <v>39</v>
      </c>
    </row>
    <row r="44" spans="2:10" x14ac:dyDescent="0.25">
      <c r="B44" s="4">
        <v>40</v>
      </c>
    </row>
    <row r="45" spans="2:10" x14ac:dyDescent="0.25">
      <c r="B45" s="4">
        <v>41</v>
      </c>
    </row>
    <row r="46" spans="2:10" x14ac:dyDescent="0.25">
      <c r="B46" s="4">
        <v>42</v>
      </c>
    </row>
    <row r="47" spans="2:10" x14ac:dyDescent="0.25">
      <c r="B47" s="4">
        <v>43</v>
      </c>
    </row>
    <row r="48" spans="2:10" x14ac:dyDescent="0.25">
      <c r="B48" s="4">
        <v>44</v>
      </c>
    </row>
    <row r="49" spans="2:2" x14ac:dyDescent="0.25">
      <c r="B49" s="4">
        <v>45</v>
      </c>
    </row>
    <row r="50" spans="2:2" x14ac:dyDescent="0.25">
      <c r="B50" s="4">
        <v>46</v>
      </c>
    </row>
    <row r="51" spans="2:2" x14ac:dyDescent="0.25">
      <c r="B51" s="4">
        <v>47</v>
      </c>
    </row>
    <row r="52" spans="2:2" x14ac:dyDescent="0.25">
      <c r="B52" s="4">
        <v>48</v>
      </c>
    </row>
    <row r="53" spans="2:2" x14ac:dyDescent="0.25">
      <c r="B53" s="4">
        <v>49</v>
      </c>
    </row>
    <row r="54" spans="2:2" x14ac:dyDescent="0.25">
      <c r="B54" s="4">
        <v>50</v>
      </c>
    </row>
    <row r="55" spans="2:2" x14ac:dyDescent="0.25">
      <c r="B55" s="4">
        <v>51</v>
      </c>
    </row>
    <row r="56" spans="2:2" x14ac:dyDescent="0.25">
      <c r="B56" s="4">
        <v>52</v>
      </c>
    </row>
    <row r="57" spans="2:2" x14ac:dyDescent="0.25">
      <c r="B57" s="4">
        <v>53</v>
      </c>
    </row>
    <row r="58" spans="2:2" x14ac:dyDescent="0.25">
      <c r="B58" s="4">
        <v>54</v>
      </c>
    </row>
    <row r="59" spans="2:2" x14ac:dyDescent="0.25">
      <c r="B59" s="4">
        <v>55</v>
      </c>
    </row>
    <row r="60" spans="2:2" x14ac:dyDescent="0.25">
      <c r="B60" s="4">
        <v>56</v>
      </c>
    </row>
    <row r="66" spans="2:13" x14ac:dyDescent="0.25">
      <c r="C66" s="3">
        <v>44242</v>
      </c>
      <c r="D66" s="3">
        <f>C66+1</f>
        <v>44243</v>
      </c>
      <c r="E66" s="3">
        <f t="shared" ref="E66" si="3">D66+1</f>
        <v>44244</v>
      </c>
      <c r="F66" s="3">
        <f t="shared" ref="F66" si="4">E66+1</f>
        <v>44245</v>
      </c>
      <c r="G66" s="3">
        <f t="shared" ref="G66" si="5">F66+1</f>
        <v>44246</v>
      </c>
      <c r="H66" s="3">
        <f t="shared" ref="H66" si="6">G66+1</f>
        <v>44247</v>
      </c>
      <c r="I66" s="3">
        <f t="shared" ref="I66" si="7">H66+1</f>
        <v>44248</v>
      </c>
      <c r="J66" s="3">
        <f t="shared" ref="J66" si="8">I66+1</f>
        <v>44249</v>
      </c>
    </row>
    <row r="67" spans="2:13" x14ac:dyDescent="0.25">
      <c r="B67" s="2" t="s">
        <v>0</v>
      </c>
      <c r="C67" s="1" t="str">
        <f>TEXT(C66,"ddd")</f>
        <v>seg</v>
      </c>
      <c r="D67" s="1" t="str">
        <f t="shared" ref="D67:J67" si="9">TEXT(D66,"ddd")</f>
        <v>ter</v>
      </c>
      <c r="E67" s="1" t="str">
        <f t="shared" si="9"/>
        <v>qua</v>
      </c>
      <c r="F67" s="1" t="str">
        <f t="shared" si="9"/>
        <v>qui</v>
      </c>
      <c r="G67" s="1" t="str">
        <f t="shared" si="9"/>
        <v>sex</v>
      </c>
      <c r="H67" s="1" t="str">
        <f t="shared" si="9"/>
        <v>sáb</v>
      </c>
      <c r="I67" s="1" t="str">
        <f t="shared" si="9"/>
        <v>dom</v>
      </c>
      <c r="J67" s="1" t="str">
        <f t="shared" si="9"/>
        <v>seg</v>
      </c>
      <c r="L67" s="11" t="s">
        <v>2</v>
      </c>
    </row>
    <row r="68" spans="2:13" x14ac:dyDescent="0.25">
      <c r="B68" s="4">
        <v>1</v>
      </c>
      <c r="L68" s="12" t="s">
        <v>8</v>
      </c>
      <c r="M68">
        <f>COUNTIF($C$68:$J$123,L68)</f>
        <v>2</v>
      </c>
    </row>
    <row r="69" spans="2:13" x14ac:dyDescent="0.25">
      <c r="B69" s="4">
        <v>2</v>
      </c>
      <c r="L69" s="13" t="s">
        <v>9</v>
      </c>
      <c r="M69">
        <f t="shared" ref="M69:M73" si="10">COUNTIF($C$68:$J$123,L69)</f>
        <v>5</v>
      </c>
    </row>
    <row r="70" spans="2:13" x14ac:dyDescent="0.25">
      <c r="B70" s="4">
        <v>3</v>
      </c>
      <c r="L70" s="7" t="s">
        <v>10</v>
      </c>
      <c r="M70">
        <f t="shared" si="10"/>
        <v>5</v>
      </c>
    </row>
    <row r="71" spans="2:13" x14ac:dyDescent="0.25">
      <c r="B71" s="4">
        <v>4</v>
      </c>
      <c r="L71" s="8" t="s">
        <v>11</v>
      </c>
      <c r="M71">
        <f t="shared" si="10"/>
        <v>0</v>
      </c>
    </row>
    <row r="72" spans="2:13" x14ac:dyDescent="0.25">
      <c r="B72" s="4">
        <v>5</v>
      </c>
      <c r="L72" s="14" t="s">
        <v>12</v>
      </c>
      <c r="M72">
        <f t="shared" si="10"/>
        <v>0</v>
      </c>
    </row>
    <row r="73" spans="2:13" x14ac:dyDescent="0.25">
      <c r="B73" s="4">
        <v>6</v>
      </c>
      <c r="L73" s="15" t="s">
        <v>13</v>
      </c>
      <c r="M73">
        <f t="shared" si="10"/>
        <v>0</v>
      </c>
    </row>
    <row r="74" spans="2:13" x14ac:dyDescent="0.25">
      <c r="B74" s="4">
        <v>7</v>
      </c>
      <c r="M74">
        <f>SUM(M68:M73)</f>
        <v>12</v>
      </c>
    </row>
    <row r="75" spans="2:13" x14ac:dyDescent="0.25">
      <c r="B75" s="4">
        <v>8</v>
      </c>
    </row>
    <row r="76" spans="2:13" x14ac:dyDescent="0.25">
      <c r="B76" s="4">
        <v>9</v>
      </c>
    </row>
    <row r="77" spans="2:13" x14ac:dyDescent="0.25">
      <c r="B77" s="4">
        <v>10</v>
      </c>
    </row>
    <row r="78" spans="2:13" x14ac:dyDescent="0.25">
      <c r="B78" s="4">
        <v>11</v>
      </c>
    </row>
    <row r="79" spans="2:13" x14ac:dyDescent="0.25">
      <c r="B79" s="4">
        <v>12</v>
      </c>
    </row>
    <row r="80" spans="2:13" x14ac:dyDescent="0.25">
      <c r="B80" s="4">
        <v>13</v>
      </c>
    </row>
    <row r="81" spans="2:9" x14ac:dyDescent="0.25">
      <c r="B81" s="4">
        <v>14</v>
      </c>
    </row>
    <row r="82" spans="2:9" x14ac:dyDescent="0.25">
      <c r="B82" s="4">
        <v>15</v>
      </c>
    </row>
    <row r="83" spans="2:9" x14ac:dyDescent="0.25">
      <c r="B83" s="4">
        <v>16</v>
      </c>
    </row>
    <row r="84" spans="2:9" x14ac:dyDescent="0.25">
      <c r="B84" s="4">
        <v>17</v>
      </c>
    </row>
    <row r="85" spans="2:9" x14ac:dyDescent="0.25">
      <c r="B85" s="4">
        <v>18</v>
      </c>
    </row>
    <row r="86" spans="2:9" x14ac:dyDescent="0.25">
      <c r="B86" s="4">
        <v>19</v>
      </c>
    </row>
    <row r="87" spans="2:9" x14ac:dyDescent="0.25">
      <c r="B87" s="4">
        <v>20</v>
      </c>
    </row>
    <row r="88" spans="2:9" x14ac:dyDescent="0.25">
      <c r="B88" s="4">
        <v>21</v>
      </c>
    </row>
    <row r="89" spans="2:9" x14ac:dyDescent="0.25">
      <c r="B89" s="4">
        <v>22</v>
      </c>
    </row>
    <row r="90" spans="2:9" x14ac:dyDescent="0.25">
      <c r="B90" s="4">
        <v>23</v>
      </c>
    </row>
    <row r="91" spans="2:9" x14ac:dyDescent="0.25">
      <c r="B91" s="4">
        <v>24</v>
      </c>
      <c r="E91" t="s">
        <v>10</v>
      </c>
      <c r="F91" t="s">
        <v>10</v>
      </c>
      <c r="G91" t="s">
        <v>10</v>
      </c>
      <c r="H91" t="s">
        <v>10</v>
      </c>
      <c r="I91" t="s">
        <v>10</v>
      </c>
    </row>
    <row r="92" spans="2:9" x14ac:dyDescent="0.25">
      <c r="B92" s="4">
        <v>25</v>
      </c>
    </row>
    <row r="93" spans="2:9" x14ac:dyDescent="0.25">
      <c r="B93" s="4">
        <v>26</v>
      </c>
    </row>
    <row r="94" spans="2:9" x14ac:dyDescent="0.25">
      <c r="B94" s="4">
        <v>27</v>
      </c>
    </row>
    <row r="95" spans="2:9" x14ac:dyDescent="0.25">
      <c r="B95" s="4">
        <v>28</v>
      </c>
    </row>
    <row r="96" spans="2:9" x14ac:dyDescent="0.25">
      <c r="B96" s="4">
        <v>29</v>
      </c>
    </row>
    <row r="97" spans="2:9" x14ac:dyDescent="0.25">
      <c r="B97" s="4">
        <v>30</v>
      </c>
    </row>
    <row r="98" spans="2:9" x14ac:dyDescent="0.25">
      <c r="B98" s="4">
        <v>31</v>
      </c>
    </row>
    <row r="99" spans="2:9" x14ac:dyDescent="0.25">
      <c r="B99" s="4">
        <v>32</v>
      </c>
      <c r="C99" t="s">
        <v>8</v>
      </c>
      <c r="D99" t="s">
        <v>8</v>
      </c>
      <c r="E99" t="s">
        <v>9</v>
      </c>
      <c r="F99" t="s">
        <v>9</v>
      </c>
      <c r="G99" t="s">
        <v>9</v>
      </c>
      <c r="H99" t="s">
        <v>9</v>
      </c>
      <c r="I99" t="s">
        <v>9</v>
      </c>
    </row>
    <row r="100" spans="2:9" x14ac:dyDescent="0.25">
      <c r="B100" s="4">
        <v>33</v>
      </c>
    </row>
    <row r="101" spans="2:9" x14ac:dyDescent="0.25">
      <c r="B101" s="4">
        <v>34</v>
      </c>
    </row>
    <row r="102" spans="2:9" x14ac:dyDescent="0.25">
      <c r="B102" s="4">
        <v>35</v>
      </c>
    </row>
    <row r="103" spans="2:9" x14ac:dyDescent="0.25">
      <c r="B103" s="4">
        <v>36</v>
      </c>
    </row>
    <row r="104" spans="2:9" x14ac:dyDescent="0.25">
      <c r="B104" s="4">
        <v>37</v>
      </c>
    </row>
    <row r="105" spans="2:9" x14ac:dyDescent="0.25">
      <c r="B105" s="4">
        <v>38</v>
      </c>
    </row>
    <row r="106" spans="2:9" x14ac:dyDescent="0.25">
      <c r="B106" s="4">
        <v>39</v>
      </c>
    </row>
    <row r="107" spans="2:9" x14ac:dyDescent="0.25">
      <c r="B107" s="4">
        <v>40</v>
      </c>
    </row>
    <row r="108" spans="2:9" x14ac:dyDescent="0.25">
      <c r="B108" s="4">
        <v>41</v>
      </c>
    </row>
    <row r="109" spans="2:9" x14ac:dyDescent="0.25">
      <c r="B109" s="4">
        <v>42</v>
      </c>
    </row>
    <row r="110" spans="2:9" x14ac:dyDescent="0.25">
      <c r="B110" s="4">
        <v>43</v>
      </c>
    </row>
    <row r="111" spans="2:9" x14ac:dyDescent="0.25">
      <c r="B111" s="4">
        <v>44</v>
      </c>
    </row>
    <row r="112" spans="2:9" x14ac:dyDescent="0.25">
      <c r="B112" s="4">
        <v>45</v>
      </c>
    </row>
    <row r="113" spans="2:2" x14ac:dyDescent="0.25">
      <c r="B113" s="4">
        <v>46</v>
      </c>
    </row>
    <row r="114" spans="2:2" x14ac:dyDescent="0.25">
      <c r="B114" s="4">
        <v>47</v>
      </c>
    </row>
    <row r="115" spans="2:2" x14ac:dyDescent="0.25">
      <c r="B115" s="4">
        <v>48</v>
      </c>
    </row>
    <row r="116" spans="2:2" x14ac:dyDescent="0.25">
      <c r="B116" s="4">
        <v>49</v>
      </c>
    </row>
    <row r="117" spans="2:2" x14ac:dyDescent="0.25">
      <c r="B117" s="4">
        <v>50</v>
      </c>
    </row>
    <row r="118" spans="2:2" x14ac:dyDescent="0.25">
      <c r="B118" s="4">
        <v>51</v>
      </c>
    </row>
    <row r="119" spans="2:2" x14ac:dyDescent="0.25">
      <c r="B119" s="4">
        <v>52</v>
      </c>
    </row>
    <row r="120" spans="2:2" x14ac:dyDescent="0.25">
      <c r="B120" s="4">
        <v>53</v>
      </c>
    </row>
    <row r="121" spans="2:2" x14ac:dyDescent="0.25">
      <c r="B121" s="4">
        <v>54</v>
      </c>
    </row>
    <row r="122" spans="2:2" x14ac:dyDescent="0.25">
      <c r="B122" s="4">
        <v>55</v>
      </c>
    </row>
    <row r="123" spans="2:2" x14ac:dyDescent="0.25">
      <c r="B123" s="4">
        <v>56</v>
      </c>
    </row>
  </sheetData>
  <conditionalFormatting sqref="C5:H11">
    <cfRule type="cellIs" dxfId="499" priority="24" operator="equal">
      <formula>"Energia"</formula>
    </cfRule>
  </conditionalFormatting>
  <conditionalFormatting sqref="C5:J60">
    <cfRule type="cellIs" dxfId="498" priority="17" operator="equal">
      <formula>"Energia"</formula>
    </cfRule>
    <cfRule type="cellIs" dxfId="497" priority="19" operator="equal">
      <formula>"Operação"</formula>
    </cfRule>
    <cfRule type="cellIs" dxfId="496" priority="20" operator="equal">
      <formula>"Chuva"</formula>
    </cfRule>
    <cfRule type="cellIs" dxfId="495" priority="21" operator="equal">
      <formula>"Elétrico"</formula>
    </cfRule>
    <cfRule type="cellIs" dxfId="494" priority="22" operator="equal">
      <formula>"Mecânico"</formula>
    </cfRule>
    <cfRule type="cellIs" dxfId="493" priority="23" operator="equal">
      <formula>"Ok"</formula>
    </cfRule>
  </conditionalFormatting>
  <conditionalFormatting sqref="C5:J61">
    <cfRule type="cellIs" dxfId="492" priority="18" operator="equal">
      <formula>"Feito"</formula>
    </cfRule>
  </conditionalFormatting>
  <conditionalFormatting sqref="C68:H74">
    <cfRule type="cellIs" dxfId="491" priority="16" operator="equal">
      <formula>"Energia"</formula>
    </cfRule>
  </conditionalFormatting>
  <conditionalFormatting sqref="C68:J123">
    <cfRule type="cellIs" dxfId="490" priority="1" operator="equal">
      <formula>"Micro"</formula>
    </cfRule>
    <cfRule type="cellIs" dxfId="489" priority="2" operator="equal">
      <formula>"Castanha"</formula>
    </cfRule>
    <cfRule type="cellIs" dxfId="488" priority="3" operator="equal">
      <formula>"Redutor"</formula>
    </cfRule>
    <cfRule type="cellIs" dxfId="487" priority="4" operator="equal">
      <formula>"Adutora"</formula>
    </cfRule>
    <cfRule type="cellIs" dxfId="486" priority="5" operator="equal">
      <formula>"Mangote"</formula>
    </cfRule>
    <cfRule type="cellIs" dxfId="485" priority="6" operator="equal">
      <formula>"Vedação"</formula>
    </cfRule>
    <cfRule type="dataBar" priority="8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{05D25334-D3C7-4F6B-BB7B-F46E8B95E10E}</x14:id>
        </ext>
      </extLst>
    </cfRule>
    <cfRule type="cellIs" dxfId="484" priority="9" operator="equal">
      <formula>"Energia"</formula>
    </cfRule>
    <cfRule type="cellIs" dxfId="483" priority="11" operator="equal">
      <formula>"Operação"</formula>
    </cfRule>
    <cfRule type="cellIs" dxfId="482" priority="12" operator="equal">
      <formula>"Chuva"</formula>
    </cfRule>
    <cfRule type="cellIs" dxfId="481" priority="13" operator="equal">
      <formula>"Elétrico"</formula>
    </cfRule>
    <cfRule type="cellIs" dxfId="480" priority="14" operator="equal">
      <formula>"Mecânico"</formula>
    </cfRule>
    <cfRule type="cellIs" dxfId="479" priority="15" operator="equal">
      <formula>"Ok"</formula>
    </cfRule>
  </conditionalFormatting>
  <conditionalFormatting sqref="C68:J123">
    <cfRule type="cellIs" dxfId="478" priority="10" operator="equal">
      <formula>"Feito"</formula>
    </cfRule>
  </conditionalFormatting>
  <conditionalFormatting sqref="L7">
    <cfRule type="iconSet" priority="7">
      <iconSet iconSet="3Arrows">
        <cfvo type="percent" val="0"/>
        <cfvo type="percent" val="33"/>
        <cfvo type="percent" val="67"/>
      </iconSet>
    </cfRule>
  </conditionalFormatting>
  <dataValidations count="2">
    <dataValidation type="list" allowBlank="1" showInputMessage="1" showErrorMessage="1" sqref="C5:K60 K68:K123" xr:uid="{C4867145-83A6-4481-8ACC-623BF4482CDB}">
      <formula1>$L$5:$L$10</formula1>
    </dataValidation>
    <dataValidation type="list" allowBlank="1" showInputMessage="1" showErrorMessage="1" sqref="C68:J123" xr:uid="{37D508E7-8BC4-412F-8B7A-1DDE4F68C286}">
      <formula1>$L$68:$L$73</formula1>
    </dataValidation>
  </dataValidations>
  <pageMargins left="0.511811024" right="0.511811024" top="0.78740157499999996" bottom="0.78740157499999996" header="0.31496062000000002" footer="0.31496062000000002"/>
  <pageSetup paperSize="9" orientation="portrait" horizontalDpi="0" verticalDpi="0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5D25334-D3C7-4F6B-BB7B-F46E8B95E10E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C68:J123</xm:sqref>
        </x14:conditionalFormatting>
      </x14:conditionalFormatting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50DFBE-EF39-4938-9242-7055C79DFF96}">
  <dimension ref="B3:M123"/>
  <sheetViews>
    <sheetView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M5" sqref="M5:M10"/>
    </sheetView>
  </sheetViews>
  <sheetFormatPr defaultRowHeight="15" x14ac:dyDescent="0.25"/>
  <cols>
    <col min="3" max="3" width="11.85546875" customWidth="1"/>
    <col min="4" max="4" width="12.42578125" customWidth="1"/>
    <col min="5" max="5" width="12.85546875" customWidth="1"/>
    <col min="6" max="6" width="11" customWidth="1"/>
    <col min="7" max="7" width="12.85546875" customWidth="1"/>
    <col min="8" max="8" width="11.85546875" customWidth="1"/>
    <col min="9" max="9" width="11.42578125" customWidth="1"/>
    <col min="10" max="10" width="10.28515625" customWidth="1"/>
    <col min="12" max="12" width="15.7109375" customWidth="1"/>
  </cols>
  <sheetData>
    <row r="3" spans="2:13" x14ac:dyDescent="0.25">
      <c r="C3" s="3">
        <v>44250</v>
      </c>
      <c r="D3" s="3">
        <f>C3+1</f>
        <v>44251</v>
      </c>
      <c r="E3" s="3">
        <f t="shared" ref="E3:J3" si="0">D3+1</f>
        <v>44252</v>
      </c>
      <c r="F3" s="3">
        <f t="shared" si="0"/>
        <v>44253</v>
      </c>
      <c r="G3" s="3">
        <f t="shared" si="0"/>
        <v>44254</v>
      </c>
      <c r="H3" s="3">
        <f t="shared" si="0"/>
        <v>44255</v>
      </c>
      <c r="I3" s="3">
        <f t="shared" si="0"/>
        <v>44256</v>
      </c>
      <c r="J3" s="3">
        <f t="shared" si="0"/>
        <v>44257</v>
      </c>
    </row>
    <row r="4" spans="2:13" x14ac:dyDescent="0.25">
      <c r="B4" s="2" t="s">
        <v>0</v>
      </c>
      <c r="C4" s="1" t="str">
        <f>TEXT(C3,"ddd")</f>
        <v>ter</v>
      </c>
      <c r="D4" s="1" t="str">
        <f t="shared" ref="D4:J4" si="1">TEXT(D3,"ddd")</f>
        <v>qua</v>
      </c>
      <c r="E4" s="1" t="str">
        <f t="shared" si="1"/>
        <v>qui</v>
      </c>
      <c r="F4" s="1" t="str">
        <f t="shared" si="1"/>
        <v>sex</v>
      </c>
      <c r="G4" s="1" t="str">
        <f t="shared" si="1"/>
        <v>sáb</v>
      </c>
      <c r="H4" s="1" t="str">
        <f t="shared" si="1"/>
        <v>dom</v>
      </c>
      <c r="I4" s="1" t="str">
        <f t="shared" si="1"/>
        <v>seg</v>
      </c>
      <c r="J4" s="1" t="str">
        <f t="shared" si="1"/>
        <v>ter</v>
      </c>
      <c r="L4" s="11" t="s">
        <v>1</v>
      </c>
    </row>
    <row r="5" spans="2:13" x14ac:dyDescent="0.25">
      <c r="B5" s="4">
        <v>1</v>
      </c>
      <c r="L5" s="5" t="s">
        <v>7</v>
      </c>
      <c r="M5">
        <f>COUNTIF($C$5:$J$60,L5)</f>
        <v>14</v>
      </c>
    </row>
    <row r="6" spans="2:13" x14ac:dyDescent="0.25">
      <c r="B6" s="4">
        <v>2</v>
      </c>
      <c r="C6" t="s">
        <v>7</v>
      </c>
      <c r="J6" t="s">
        <v>7</v>
      </c>
      <c r="L6" s="6" t="s">
        <v>2</v>
      </c>
      <c r="M6">
        <f t="shared" ref="M6:M10" si="2">COUNTIF($C$5:$J$60,L6)</f>
        <v>1</v>
      </c>
    </row>
    <row r="7" spans="2:13" x14ac:dyDescent="0.25">
      <c r="B7" s="4">
        <v>3</v>
      </c>
      <c r="D7" t="s">
        <v>6</v>
      </c>
      <c r="E7" t="s">
        <v>7</v>
      </c>
      <c r="I7" t="s">
        <v>7</v>
      </c>
      <c r="L7" s="7" t="s">
        <v>3</v>
      </c>
      <c r="M7">
        <f t="shared" si="2"/>
        <v>1</v>
      </c>
    </row>
    <row r="8" spans="2:13" x14ac:dyDescent="0.25">
      <c r="B8" s="4">
        <v>4</v>
      </c>
      <c r="L8" s="8" t="s">
        <v>4</v>
      </c>
      <c r="M8">
        <f t="shared" si="2"/>
        <v>0</v>
      </c>
    </row>
    <row r="9" spans="2:13" x14ac:dyDescent="0.25">
      <c r="B9" s="4">
        <v>5</v>
      </c>
      <c r="L9" s="9" t="s">
        <v>6</v>
      </c>
      <c r="M9">
        <f t="shared" si="2"/>
        <v>1</v>
      </c>
    </row>
    <row r="10" spans="2:13" x14ac:dyDescent="0.25">
      <c r="B10" s="4">
        <v>6</v>
      </c>
      <c r="L10" s="10" t="s">
        <v>5</v>
      </c>
      <c r="M10">
        <f t="shared" si="2"/>
        <v>0</v>
      </c>
    </row>
    <row r="11" spans="2:13" x14ac:dyDescent="0.25">
      <c r="B11" s="4">
        <v>7</v>
      </c>
      <c r="M11">
        <f>SUM(M5:M10)</f>
        <v>17</v>
      </c>
    </row>
    <row r="12" spans="2:13" x14ac:dyDescent="0.25">
      <c r="B12" s="4">
        <v>8</v>
      </c>
    </row>
    <row r="13" spans="2:13" x14ac:dyDescent="0.25">
      <c r="B13" s="4">
        <v>9</v>
      </c>
    </row>
    <row r="14" spans="2:13" x14ac:dyDescent="0.25">
      <c r="B14" s="4">
        <v>10</v>
      </c>
    </row>
    <row r="15" spans="2:13" x14ac:dyDescent="0.25">
      <c r="B15" s="4">
        <v>11</v>
      </c>
    </row>
    <row r="16" spans="2:13" x14ac:dyDescent="0.25">
      <c r="B16" s="4">
        <v>12</v>
      </c>
    </row>
    <row r="17" spans="2:10" x14ac:dyDescent="0.25">
      <c r="B17" s="4">
        <v>13</v>
      </c>
    </row>
    <row r="18" spans="2:10" x14ac:dyDescent="0.25">
      <c r="B18" s="4">
        <v>14</v>
      </c>
    </row>
    <row r="19" spans="2:10" x14ac:dyDescent="0.25">
      <c r="B19" s="4">
        <v>15</v>
      </c>
    </row>
    <row r="20" spans="2:10" x14ac:dyDescent="0.25">
      <c r="B20" s="4">
        <v>16</v>
      </c>
      <c r="D20" t="s">
        <v>7</v>
      </c>
      <c r="E20" t="s">
        <v>7</v>
      </c>
    </row>
    <row r="21" spans="2:10" x14ac:dyDescent="0.25">
      <c r="B21" s="4">
        <v>17</v>
      </c>
    </row>
    <row r="22" spans="2:10" x14ac:dyDescent="0.25">
      <c r="B22" s="4">
        <v>18</v>
      </c>
      <c r="C22" t="s">
        <v>7</v>
      </c>
    </row>
    <row r="23" spans="2:10" x14ac:dyDescent="0.25">
      <c r="B23" s="4">
        <v>19</v>
      </c>
    </row>
    <row r="24" spans="2:10" x14ac:dyDescent="0.25">
      <c r="B24" s="4">
        <v>20</v>
      </c>
    </row>
    <row r="25" spans="2:10" x14ac:dyDescent="0.25">
      <c r="B25" s="4">
        <v>21</v>
      </c>
    </row>
    <row r="26" spans="2:10" x14ac:dyDescent="0.25">
      <c r="B26" s="4">
        <v>22</v>
      </c>
      <c r="D26" t="s">
        <v>7</v>
      </c>
      <c r="E26" t="s">
        <v>7</v>
      </c>
    </row>
    <row r="27" spans="2:10" x14ac:dyDescent="0.25">
      <c r="B27" s="4">
        <v>23</v>
      </c>
    </row>
    <row r="28" spans="2:10" x14ac:dyDescent="0.25">
      <c r="B28" s="4">
        <v>24</v>
      </c>
      <c r="F28" t="s">
        <v>2</v>
      </c>
      <c r="J28" t="s">
        <v>3</v>
      </c>
    </row>
    <row r="29" spans="2:10" x14ac:dyDescent="0.25">
      <c r="B29" s="4">
        <v>25</v>
      </c>
      <c r="D29" t="s">
        <v>7</v>
      </c>
    </row>
    <row r="30" spans="2:10" x14ac:dyDescent="0.25">
      <c r="B30" s="4">
        <v>26</v>
      </c>
    </row>
    <row r="31" spans="2:10" x14ac:dyDescent="0.25">
      <c r="B31" s="4">
        <v>27</v>
      </c>
    </row>
    <row r="32" spans="2:10" x14ac:dyDescent="0.25">
      <c r="B32" s="4">
        <v>28</v>
      </c>
      <c r="F32" t="s">
        <v>7</v>
      </c>
    </row>
    <row r="33" spans="2:9" x14ac:dyDescent="0.25">
      <c r="B33" s="4">
        <v>29</v>
      </c>
      <c r="D33" t="s">
        <v>7</v>
      </c>
      <c r="I33" t="s">
        <v>7</v>
      </c>
    </row>
    <row r="34" spans="2:9" x14ac:dyDescent="0.25">
      <c r="B34" s="4">
        <v>30</v>
      </c>
    </row>
    <row r="35" spans="2:9" x14ac:dyDescent="0.25">
      <c r="B35" s="4">
        <v>31</v>
      </c>
    </row>
    <row r="36" spans="2:9" x14ac:dyDescent="0.25">
      <c r="B36" s="4">
        <v>32</v>
      </c>
      <c r="C36" t="s">
        <v>7</v>
      </c>
    </row>
    <row r="37" spans="2:9" x14ac:dyDescent="0.25">
      <c r="B37" s="4">
        <v>33</v>
      </c>
    </row>
    <row r="38" spans="2:9" x14ac:dyDescent="0.25">
      <c r="B38" s="4">
        <v>34</v>
      </c>
    </row>
    <row r="39" spans="2:9" x14ac:dyDescent="0.25">
      <c r="B39" s="4">
        <v>35</v>
      </c>
    </row>
    <row r="40" spans="2:9" x14ac:dyDescent="0.25">
      <c r="B40" s="4">
        <v>36</v>
      </c>
    </row>
    <row r="41" spans="2:9" x14ac:dyDescent="0.25">
      <c r="B41" s="4">
        <v>37</v>
      </c>
    </row>
    <row r="42" spans="2:9" x14ac:dyDescent="0.25">
      <c r="B42" s="4">
        <v>38</v>
      </c>
    </row>
    <row r="43" spans="2:9" x14ac:dyDescent="0.25">
      <c r="B43" s="4">
        <v>39</v>
      </c>
    </row>
    <row r="44" spans="2:9" x14ac:dyDescent="0.25">
      <c r="B44" s="4">
        <v>40</v>
      </c>
    </row>
    <row r="45" spans="2:9" x14ac:dyDescent="0.25">
      <c r="B45" s="4">
        <v>41</v>
      </c>
    </row>
    <row r="46" spans="2:9" x14ac:dyDescent="0.25">
      <c r="B46" s="4">
        <v>42</v>
      </c>
    </row>
    <row r="47" spans="2:9" x14ac:dyDescent="0.25">
      <c r="B47" s="4">
        <v>43</v>
      </c>
    </row>
    <row r="48" spans="2:9" x14ac:dyDescent="0.25">
      <c r="B48" s="4">
        <v>44</v>
      </c>
    </row>
    <row r="49" spans="2:2" x14ac:dyDescent="0.25">
      <c r="B49" s="4">
        <v>45</v>
      </c>
    </row>
    <row r="50" spans="2:2" x14ac:dyDescent="0.25">
      <c r="B50" s="4">
        <v>46</v>
      </c>
    </row>
    <row r="51" spans="2:2" x14ac:dyDescent="0.25">
      <c r="B51" s="4">
        <v>47</v>
      </c>
    </row>
    <row r="52" spans="2:2" x14ac:dyDescent="0.25">
      <c r="B52" s="4">
        <v>48</v>
      </c>
    </row>
    <row r="53" spans="2:2" x14ac:dyDescent="0.25">
      <c r="B53" s="4">
        <v>49</v>
      </c>
    </row>
    <row r="54" spans="2:2" x14ac:dyDescent="0.25">
      <c r="B54" s="4">
        <v>50</v>
      </c>
    </row>
    <row r="55" spans="2:2" x14ac:dyDescent="0.25">
      <c r="B55" s="4">
        <v>51</v>
      </c>
    </row>
    <row r="56" spans="2:2" x14ac:dyDescent="0.25">
      <c r="B56" s="4">
        <v>52</v>
      </c>
    </row>
    <row r="57" spans="2:2" x14ac:dyDescent="0.25">
      <c r="B57" s="4">
        <v>53</v>
      </c>
    </row>
    <row r="58" spans="2:2" x14ac:dyDescent="0.25">
      <c r="B58" s="4">
        <v>54</v>
      </c>
    </row>
    <row r="59" spans="2:2" x14ac:dyDescent="0.25">
      <c r="B59" s="4">
        <v>55</v>
      </c>
    </row>
    <row r="60" spans="2:2" x14ac:dyDescent="0.25">
      <c r="B60" s="4">
        <v>56</v>
      </c>
    </row>
    <row r="66" spans="2:13" x14ac:dyDescent="0.25">
      <c r="C66" s="3">
        <v>44250</v>
      </c>
      <c r="D66" s="3">
        <f>C66+1</f>
        <v>44251</v>
      </c>
      <c r="E66" s="3">
        <f t="shared" ref="E66:J66" si="3">D66+1</f>
        <v>44252</v>
      </c>
      <c r="F66" s="3">
        <f t="shared" si="3"/>
        <v>44253</v>
      </c>
      <c r="G66" s="3">
        <f t="shared" si="3"/>
        <v>44254</v>
      </c>
      <c r="H66" s="3">
        <f t="shared" si="3"/>
        <v>44255</v>
      </c>
      <c r="I66" s="3">
        <f t="shared" si="3"/>
        <v>44256</v>
      </c>
      <c r="J66" s="3">
        <f t="shared" si="3"/>
        <v>44257</v>
      </c>
    </row>
    <row r="67" spans="2:13" x14ac:dyDescent="0.25">
      <c r="B67" s="2" t="s">
        <v>0</v>
      </c>
      <c r="C67" s="1" t="str">
        <f>TEXT(C66,"ddd")</f>
        <v>ter</v>
      </c>
      <c r="D67" s="1" t="str">
        <f t="shared" ref="D67:J67" si="4">TEXT(D66,"ddd")</f>
        <v>qua</v>
      </c>
      <c r="E67" s="1" t="str">
        <f t="shared" si="4"/>
        <v>qui</v>
      </c>
      <c r="F67" s="1" t="str">
        <f t="shared" si="4"/>
        <v>sex</v>
      </c>
      <c r="G67" s="1" t="str">
        <f t="shared" si="4"/>
        <v>sáb</v>
      </c>
      <c r="H67" s="1" t="str">
        <f t="shared" si="4"/>
        <v>dom</v>
      </c>
      <c r="I67" s="1" t="str">
        <f t="shared" si="4"/>
        <v>seg</v>
      </c>
      <c r="J67" s="1" t="str">
        <f t="shared" si="4"/>
        <v>ter</v>
      </c>
      <c r="L67" s="11" t="s">
        <v>2</v>
      </c>
    </row>
    <row r="68" spans="2:13" x14ac:dyDescent="0.25">
      <c r="B68" s="4">
        <v>1</v>
      </c>
      <c r="L68" s="12" t="s">
        <v>8</v>
      </c>
      <c r="M68">
        <f>COUNTIF($C$68:$J$123,L68)</f>
        <v>0</v>
      </c>
    </row>
    <row r="69" spans="2:13" x14ac:dyDescent="0.25">
      <c r="B69" s="4">
        <v>2</v>
      </c>
      <c r="L69" s="13" t="s">
        <v>9</v>
      </c>
      <c r="M69">
        <f t="shared" ref="M69:M73" si="5">COUNTIF($C$68:$J$123,L69)</f>
        <v>0</v>
      </c>
    </row>
    <row r="70" spans="2:13" x14ac:dyDescent="0.25">
      <c r="B70" s="4">
        <v>3</v>
      </c>
      <c r="L70" s="7" t="s">
        <v>10</v>
      </c>
      <c r="M70">
        <f t="shared" si="5"/>
        <v>1</v>
      </c>
    </row>
    <row r="71" spans="2:13" x14ac:dyDescent="0.25">
      <c r="B71" s="4">
        <v>4</v>
      </c>
      <c r="L71" s="8" t="s">
        <v>11</v>
      </c>
      <c r="M71">
        <f t="shared" si="5"/>
        <v>0</v>
      </c>
    </row>
    <row r="72" spans="2:13" x14ac:dyDescent="0.25">
      <c r="B72" s="4">
        <v>5</v>
      </c>
      <c r="L72" s="14" t="s">
        <v>12</v>
      </c>
      <c r="M72">
        <f t="shared" si="5"/>
        <v>0</v>
      </c>
    </row>
    <row r="73" spans="2:13" x14ac:dyDescent="0.25">
      <c r="B73" s="4">
        <v>6</v>
      </c>
      <c r="L73" s="15" t="s">
        <v>13</v>
      </c>
      <c r="M73">
        <f t="shared" si="5"/>
        <v>0</v>
      </c>
    </row>
    <row r="74" spans="2:13" x14ac:dyDescent="0.25">
      <c r="B74" s="4">
        <v>7</v>
      </c>
      <c r="M74">
        <f>SUM(M68:M73)</f>
        <v>1</v>
      </c>
    </row>
    <row r="75" spans="2:13" x14ac:dyDescent="0.25">
      <c r="B75" s="4">
        <v>8</v>
      </c>
    </row>
    <row r="76" spans="2:13" x14ac:dyDescent="0.25">
      <c r="B76" s="4">
        <v>9</v>
      </c>
    </row>
    <row r="77" spans="2:13" x14ac:dyDescent="0.25">
      <c r="B77" s="4">
        <v>10</v>
      </c>
    </row>
    <row r="78" spans="2:13" x14ac:dyDescent="0.25">
      <c r="B78" s="4">
        <v>11</v>
      </c>
    </row>
    <row r="79" spans="2:13" x14ac:dyDescent="0.25">
      <c r="B79" s="4">
        <v>12</v>
      </c>
    </row>
    <row r="80" spans="2:13" x14ac:dyDescent="0.25">
      <c r="B80" s="4">
        <v>13</v>
      </c>
    </row>
    <row r="81" spans="2:6" x14ac:dyDescent="0.25">
      <c r="B81" s="4">
        <v>14</v>
      </c>
    </row>
    <row r="82" spans="2:6" x14ac:dyDescent="0.25">
      <c r="B82" s="4">
        <v>15</v>
      </c>
    </row>
    <row r="83" spans="2:6" x14ac:dyDescent="0.25">
      <c r="B83" s="4">
        <v>16</v>
      </c>
    </row>
    <row r="84" spans="2:6" x14ac:dyDescent="0.25">
      <c r="B84" s="4">
        <v>17</v>
      </c>
    </row>
    <row r="85" spans="2:6" x14ac:dyDescent="0.25">
      <c r="B85" s="4">
        <v>18</v>
      </c>
    </row>
    <row r="86" spans="2:6" x14ac:dyDescent="0.25">
      <c r="B86" s="4">
        <v>19</v>
      </c>
    </row>
    <row r="87" spans="2:6" x14ac:dyDescent="0.25">
      <c r="B87" s="4">
        <v>20</v>
      </c>
    </row>
    <row r="88" spans="2:6" x14ac:dyDescent="0.25">
      <c r="B88" s="4">
        <v>21</v>
      </c>
    </row>
    <row r="89" spans="2:6" x14ac:dyDescent="0.25">
      <c r="B89" s="4">
        <v>22</v>
      </c>
    </row>
    <row r="90" spans="2:6" x14ac:dyDescent="0.25">
      <c r="B90" s="4">
        <v>23</v>
      </c>
    </row>
    <row r="91" spans="2:6" x14ac:dyDescent="0.25">
      <c r="B91" s="4">
        <v>24</v>
      </c>
      <c r="F91" t="s">
        <v>10</v>
      </c>
    </row>
    <row r="92" spans="2:6" x14ac:dyDescent="0.25">
      <c r="B92" s="4">
        <v>25</v>
      </c>
    </row>
    <row r="93" spans="2:6" x14ac:dyDescent="0.25">
      <c r="B93" s="4">
        <v>26</v>
      </c>
    </row>
    <row r="94" spans="2:6" x14ac:dyDescent="0.25">
      <c r="B94" s="4">
        <v>27</v>
      </c>
    </row>
    <row r="95" spans="2:6" x14ac:dyDescent="0.25">
      <c r="B95" s="4">
        <v>28</v>
      </c>
    </row>
    <row r="96" spans="2:6" x14ac:dyDescent="0.25">
      <c r="B96" s="4">
        <v>29</v>
      </c>
    </row>
    <row r="97" spans="2:2" x14ac:dyDescent="0.25">
      <c r="B97" s="4">
        <v>30</v>
      </c>
    </row>
    <row r="98" spans="2:2" x14ac:dyDescent="0.25">
      <c r="B98" s="4">
        <v>31</v>
      </c>
    </row>
    <row r="99" spans="2:2" x14ac:dyDescent="0.25">
      <c r="B99" s="4">
        <v>32</v>
      </c>
    </row>
    <row r="100" spans="2:2" x14ac:dyDescent="0.25">
      <c r="B100" s="4">
        <v>33</v>
      </c>
    </row>
    <row r="101" spans="2:2" x14ac:dyDescent="0.25">
      <c r="B101" s="4">
        <v>34</v>
      </c>
    </row>
    <row r="102" spans="2:2" x14ac:dyDescent="0.25">
      <c r="B102" s="4">
        <v>35</v>
      </c>
    </row>
    <row r="103" spans="2:2" x14ac:dyDescent="0.25">
      <c r="B103" s="4">
        <v>36</v>
      </c>
    </row>
    <row r="104" spans="2:2" x14ac:dyDescent="0.25">
      <c r="B104" s="4">
        <v>37</v>
      </c>
    </row>
    <row r="105" spans="2:2" x14ac:dyDescent="0.25">
      <c r="B105" s="4">
        <v>38</v>
      </c>
    </row>
    <row r="106" spans="2:2" x14ac:dyDescent="0.25">
      <c r="B106" s="4">
        <v>39</v>
      </c>
    </row>
    <row r="107" spans="2:2" x14ac:dyDescent="0.25">
      <c r="B107" s="4">
        <v>40</v>
      </c>
    </row>
    <row r="108" spans="2:2" x14ac:dyDescent="0.25">
      <c r="B108" s="4">
        <v>41</v>
      </c>
    </row>
    <row r="109" spans="2:2" x14ac:dyDescent="0.25">
      <c r="B109" s="4">
        <v>42</v>
      </c>
    </row>
    <row r="110" spans="2:2" x14ac:dyDescent="0.25">
      <c r="B110" s="4">
        <v>43</v>
      </c>
    </row>
    <row r="111" spans="2:2" x14ac:dyDescent="0.25">
      <c r="B111" s="4">
        <v>44</v>
      </c>
    </row>
    <row r="112" spans="2:2" x14ac:dyDescent="0.25">
      <c r="B112" s="4">
        <v>45</v>
      </c>
    </row>
    <row r="113" spans="2:2" x14ac:dyDescent="0.25">
      <c r="B113" s="4">
        <v>46</v>
      </c>
    </row>
    <row r="114" spans="2:2" x14ac:dyDescent="0.25">
      <c r="B114" s="4">
        <v>47</v>
      </c>
    </row>
    <row r="115" spans="2:2" x14ac:dyDescent="0.25">
      <c r="B115" s="4">
        <v>48</v>
      </c>
    </row>
    <row r="116" spans="2:2" x14ac:dyDescent="0.25">
      <c r="B116" s="4">
        <v>49</v>
      </c>
    </row>
    <row r="117" spans="2:2" x14ac:dyDescent="0.25">
      <c r="B117" s="4">
        <v>50</v>
      </c>
    </row>
    <row r="118" spans="2:2" x14ac:dyDescent="0.25">
      <c r="B118" s="4">
        <v>51</v>
      </c>
    </row>
    <row r="119" spans="2:2" x14ac:dyDescent="0.25">
      <c r="B119" s="4">
        <v>52</v>
      </c>
    </row>
    <row r="120" spans="2:2" x14ac:dyDescent="0.25">
      <c r="B120" s="4">
        <v>53</v>
      </c>
    </row>
    <row r="121" spans="2:2" x14ac:dyDescent="0.25">
      <c r="B121" s="4">
        <v>54</v>
      </c>
    </row>
    <row r="122" spans="2:2" x14ac:dyDescent="0.25">
      <c r="B122" s="4">
        <v>55</v>
      </c>
    </row>
    <row r="123" spans="2:2" x14ac:dyDescent="0.25">
      <c r="B123" s="4">
        <v>56</v>
      </c>
    </row>
  </sheetData>
  <conditionalFormatting sqref="C5:H11">
    <cfRule type="cellIs" dxfId="477" priority="24" operator="equal">
      <formula>"Energia"</formula>
    </cfRule>
  </conditionalFormatting>
  <conditionalFormatting sqref="C5:J60">
    <cfRule type="cellIs" dxfId="476" priority="17" operator="equal">
      <formula>"Energia"</formula>
    </cfRule>
    <cfRule type="cellIs" dxfId="475" priority="19" operator="equal">
      <formula>"Operação"</formula>
    </cfRule>
    <cfRule type="cellIs" dxfId="474" priority="20" operator="equal">
      <formula>"Chuva"</formula>
    </cfRule>
    <cfRule type="cellIs" dxfId="473" priority="21" operator="equal">
      <formula>"Elétrico"</formula>
    </cfRule>
    <cfRule type="cellIs" dxfId="472" priority="22" operator="equal">
      <formula>"Mecânico"</formula>
    </cfRule>
    <cfRule type="cellIs" dxfId="471" priority="23" operator="equal">
      <formula>"Ok"</formula>
    </cfRule>
  </conditionalFormatting>
  <conditionalFormatting sqref="C5:J61">
    <cfRule type="cellIs" dxfId="470" priority="18" operator="equal">
      <formula>"Feito"</formula>
    </cfRule>
  </conditionalFormatting>
  <conditionalFormatting sqref="C68:H74">
    <cfRule type="cellIs" dxfId="469" priority="16" operator="equal">
      <formula>"Energia"</formula>
    </cfRule>
  </conditionalFormatting>
  <conditionalFormatting sqref="C68:J123">
    <cfRule type="cellIs" dxfId="468" priority="1" operator="equal">
      <formula>"Micro"</formula>
    </cfRule>
    <cfRule type="cellIs" dxfId="467" priority="2" operator="equal">
      <formula>"Castanha"</formula>
    </cfRule>
    <cfRule type="cellIs" dxfId="466" priority="3" operator="equal">
      <formula>"Redutor"</formula>
    </cfRule>
    <cfRule type="cellIs" dxfId="465" priority="4" operator="equal">
      <formula>"Adutora"</formula>
    </cfRule>
    <cfRule type="cellIs" dxfId="464" priority="5" operator="equal">
      <formula>"Mangote"</formula>
    </cfRule>
    <cfRule type="cellIs" dxfId="463" priority="6" operator="equal">
      <formula>"Vedação"</formula>
    </cfRule>
    <cfRule type="dataBar" priority="8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{9DA24045-D511-4B98-9923-3EEDAEA4E5DF}</x14:id>
        </ext>
      </extLst>
    </cfRule>
    <cfRule type="cellIs" dxfId="462" priority="9" operator="equal">
      <formula>"Energia"</formula>
    </cfRule>
    <cfRule type="cellIs" dxfId="461" priority="11" operator="equal">
      <formula>"Operação"</formula>
    </cfRule>
    <cfRule type="cellIs" dxfId="460" priority="12" operator="equal">
      <formula>"Chuva"</formula>
    </cfRule>
    <cfRule type="cellIs" dxfId="459" priority="13" operator="equal">
      <formula>"Elétrico"</formula>
    </cfRule>
    <cfRule type="cellIs" dxfId="458" priority="14" operator="equal">
      <formula>"Mecânico"</formula>
    </cfRule>
    <cfRule type="cellIs" dxfId="457" priority="15" operator="equal">
      <formula>"Ok"</formula>
    </cfRule>
  </conditionalFormatting>
  <conditionalFormatting sqref="C68:J123">
    <cfRule type="cellIs" dxfId="456" priority="10" operator="equal">
      <formula>"Feito"</formula>
    </cfRule>
  </conditionalFormatting>
  <conditionalFormatting sqref="L7">
    <cfRule type="iconSet" priority="7">
      <iconSet iconSet="3Arrows">
        <cfvo type="percent" val="0"/>
        <cfvo type="percent" val="33"/>
        <cfvo type="percent" val="67"/>
      </iconSet>
    </cfRule>
  </conditionalFormatting>
  <dataValidations count="2">
    <dataValidation type="list" allowBlank="1" showInputMessage="1" showErrorMessage="1" sqref="C68:J123" xr:uid="{6708D51C-8810-49B8-852D-18A9BB7571F9}">
      <formula1>$L$68:$L$73</formula1>
    </dataValidation>
    <dataValidation type="list" allowBlank="1" showInputMessage="1" showErrorMessage="1" sqref="C5:K60 K68:K123" xr:uid="{5A92BEC2-2529-40D6-B263-6FCA099203A7}">
      <formula1>$L$5:$L$10</formula1>
    </dataValidation>
  </dataValidations>
  <pageMargins left="0.511811024" right="0.511811024" top="0.78740157499999996" bottom="0.78740157499999996" header="0.31496062000000002" footer="0.31496062000000002"/>
  <pageSetup paperSize="9" orientation="portrait" horizontalDpi="0" verticalDpi="0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DA24045-D511-4B98-9923-3EEDAEA4E5DF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C68:J123</xm:sqref>
        </x14:conditionalFormatting>
      </x14:conditionalFormatting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CDECBA-A364-4EE5-A495-A49BD59D1142}">
  <dimension ref="B3:M123"/>
  <sheetViews>
    <sheetView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M5" sqref="M5:M10"/>
    </sheetView>
  </sheetViews>
  <sheetFormatPr defaultRowHeight="15" x14ac:dyDescent="0.25"/>
  <cols>
    <col min="3" max="3" width="11.85546875" customWidth="1"/>
    <col min="4" max="4" width="12.42578125" customWidth="1"/>
    <col min="5" max="5" width="12.85546875" customWidth="1"/>
    <col min="6" max="6" width="11" customWidth="1"/>
    <col min="7" max="7" width="12.85546875" customWidth="1"/>
    <col min="8" max="8" width="11.85546875" customWidth="1"/>
    <col min="9" max="9" width="11.42578125" customWidth="1"/>
    <col min="10" max="10" width="10.28515625" customWidth="1"/>
    <col min="12" max="12" width="15.7109375" customWidth="1"/>
  </cols>
  <sheetData>
    <row r="3" spans="2:13" x14ac:dyDescent="0.25">
      <c r="C3" s="3">
        <v>44258</v>
      </c>
      <c r="D3" s="3">
        <f>C3+1</f>
        <v>44259</v>
      </c>
      <c r="E3" s="3">
        <f t="shared" ref="E3:J3" si="0">D3+1</f>
        <v>44260</v>
      </c>
      <c r="F3" s="3">
        <f t="shared" si="0"/>
        <v>44261</v>
      </c>
      <c r="G3" s="3">
        <f t="shared" si="0"/>
        <v>44262</v>
      </c>
      <c r="H3" s="3">
        <f t="shared" si="0"/>
        <v>44263</v>
      </c>
      <c r="I3" s="3">
        <f t="shared" si="0"/>
        <v>44264</v>
      </c>
      <c r="J3" s="3">
        <f t="shared" si="0"/>
        <v>44265</v>
      </c>
    </row>
    <row r="4" spans="2:13" x14ac:dyDescent="0.25">
      <c r="B4" s="2" t="s">
        <v>0</v>
      </c>
      <c r="C4" s="1" t="str">
        <f>TEXT(C3,"ddd")</f>
        <v>qua</v>
      </c>
      <c r="D4" s="1" t="str">
        <f t="shared" ref="D4:J4" si="1">TEXT(D3,"ddd")</f>
        <v>qui</v>
      </c>
      <c r="E4" s="1" t="str">
        <f t="shared" si="1"/>
        <v>sex</v>
      </c>
      <c r="F4" s="1" t="str">
        <f t="shared" si="1"/>
        <v>sáb</v>
      </c>
      <c r="G4" s="1" t="str">
        <f t="shared" si="1"/>
        <v>dom</v>
      </c>
      <c r="H4" s="1" t="str">
        <f t="shared" si="1"/>
        <v>seg</v>
      </c>
      <c r="I4" s="1" t="str">
        <f t="shared" si="1"/>
        <v>ter</v>
      </c>
      <c r="J4" s="1" t="str">
        <f t="shared" si="1"/>
        <v>qua</v>
      </c>
      <c r="L4" s="11" t="s">
        <v>1</v>
      </c>
    </row>
    <row r="5" spans="2:13" x14ac:dyDescent="0.25">
      <c r="B5" s="4">
        <v>1</v>
      </c>
      <c r="D5" t="s">
        <v>7</v>
      </c>
      <c r="G5" t="s">
        <v>7</v>
      </c>
      <c r="L5" s="5" t="s">
        <v>7</v>
      </c>
      <c r="M5">
        <f>COUNTIF($C$5:$J$60,L5)</f>
        <v>75</v>
      </c>
    </row>
    <row r="6" spans="2:13" x14ac:dyDescent="0.25">
      <c r="B6" s="4">
        <v>2</v>
      </c>
      <c r="C6" t="s">
        <v>7</v>
      </c>
      <c r="E6" t="s">
        <v>5</v>
      </c>
      <c r="G6" t="s">
        <v>7</v>
      </c>
      <c r="J6" t="s">
        <v>7</v>
      </c>
      <c r="L6" s="6" t="s">
        <v>2</v>
      </c>
      <c r="M6">
        <f t="shared" ref="M6:M10" si="2">COUNTIF($C$5:$J$60,L6)</f>
        <v>12</v>
      </c>
    </row>
    <row r="7" spans="2:13" x14ac:dyDescent="0.25">
      <c r="B7" s="4">
        <v>3</v>
      </c>
      <c r="D7" t="s">
        <v>7</v>
      </c>
      <c r="E7" t="s">
        <v>7</v>
      </c>
      <c r="F7" t="s">
        <v>7</v>
      </c>
      <c r="H7" t="s">
        <v>7</v>
      </c>
      <c r="L7" s="7" t="s">
        <v>3</v>
      </c>
      <c r="M7">
        <f t="shared" si="2"/>
        <v>15</v>
      </c>
    </row>
    <row r="8" spans="2:13" x14ac:dyDescent="0.25">
      <c r="B8" s="4">
        <v>4</v>
      </c>
      <c r="D8" t="s">
        <v>7</v>
      </c>
      <c r="E8" t="s">
        <v>7</v>
      </c>
      <c r="F8" t="s">
        <v>7</v>
      </c>
      <c r="G8" t="s">
        <v>7</v>
      </c>
      <c r="H8" t="s">
        <v>7</v>
      </c>
      <c r="J8" t="s">
        <v>6</v>
      </c>
      <c r="L8" s="8" t="s">
        <v>4</v>
      </c>
      <c r="M8">
        <f t="shared" si="2"/>
        <v>2</v>
      </c>
    </row>
    <row r="9" spans="2:13" x14ac:dyDescent="0.25">
      <c r="B9" s="4">
        <v>5</v>
      </c>
      <c r="L9" s="9" t="s">
        <v>6</v>
      </c>
      <c r="M9">
        <f t="shared" si="2"/>
        <v>11</v>
      </c>
    </row>
    <row r="10" spans="2:13" x14ac:dyDescent="0.25">
      <c r="B10" s="4">
        <v>6</v>
      </c>
      <c r="L10" s="10" t="s">
        <v>5</v>
      </c>
      <c r="M10">
        <f t="shared" si="2"/>
        <v>12</v>
      </c>
    </row>
    <row r="11" spans="2:13" x14ac:dyDescent="0.25">
      <c r="B11" s="4">
        <v>7</v>
      </c>
      <c r="M11">
        <f>SUM(M5:M10)</f>
        <v>127</v>
      </c>
    </row>
    <row r="12" spans="2:13" x14ac:dyDescent="0.25">
      <c r="B12" s="4">
        <v>8</v>
      </c>
    </row>
    <row r="13" spans="2:13" x14ac:dyDescent="0.25">
      <c r="B13" s="4">
        <v>9</v>
      </c>
    </row>
    <row r="14" spans="2:13" x14ac:dyDescent="0.25">
      <c r="B14" s="4">
        <v>10</v>
      </c>
    </row>
    <row r="15" spans="2:13" x14ac:dyDescent="0.25">
      <c r="B15" s="4">
        <v>11</v>
      </c>
    </row>
    <row r="16" spans="2:13" x14ac:dyDescent="0.25">
      <c r="B16" s="4">
        <v>12</v>
      </c>
    </row>
    <row r="17" spans="2:10" x14ac:dyDescent="0.25">
      <c r="B17" s="4">
        <v>13</v>
      </c>
      <c r="D17" t="s">
        <v>7</v>
      </c>
      <c r="E17" t="s">
        <v>7</v>
      </c>
      <c r="F17" t="s">
        <v>7</v>
      </c>
      <c r="G17" t="s">
        <v>7</v>
      </c>
    </row>
    <row r="18" spans="2:10" x14ac:dyDescent="0.25">
      <c r="B18" s="4">
        <v>14</v>
      </c>
      <c r="D18" t="s">
        <v>7</v>
      </c>
      <c r="F18" t="s">
        <v>2</v>
      </c>
      <c r="H18" t="s">
        <v>2</v>
      </c>
      <c r="I18" t="s">
        <v>6</v>
      </c>
      <c r="J18" t="s">
        <v>7</v>
      </c>
    </row>
    <row r="19" spans="2:10" x14ac:dyDescent="0.25">
      <c r="B19" s="4">
        <v>15</v>
      </c>
      <c r="E19" t="s">
        <v>7</v>
      </c>
    </row>
    <row r="20" spans="2:10" x14ac:dyDescent="0.25">
      <c r="B20" s="4">
        <v>16</v>
      </c>
      <c r="E20" t="s">
        <v>7</v>
      </c>
      <c r="F20" t="s">
        <v>7</v>
      </c>
    </row>
    <row r="21" spans="2:10" x14ac:dyDescent="0.25">
      <c r="B21" s="4">
        <v>17</v>
      </c>
      <c r="D21" t="s">
        <v>7</v>
      </c>
      <c r="F21" t="s">
        <v>3</v>
      </c>
    </row>
    <row r="22" spans="2:10" x14ac:dyDescent="0.25">
      <c r="B22" s="4">
        <v>18</v>
      </c>
      <c r="D22" t="s">
        <v>5</v>
      </c>
      <c r="E22" t="s">
        <v>2</v>
      </c>
      <c r="F22" t="s">
        <v>2</v>
      </c>
      <c r="G22" t="s">
        <v>7</v>
      </c>
    </row>
    <row r="23" spans="2:10" x14ac:dyDescent="0.25">
      <c r="B23" s="4">
        <v>19</v>
      </c>
      <c r="E23" t="s">
        <v>7</v>
      </c>
      <c r="H23" t="s">
        <v>6</v>
      </c>
    </row>
    <row r="24" spans="2:10" x14ac:dyDescent="0.25">
      <c r="B24" s="4">
        <v>20</v>
      </c>
      <c r="D24" t="s">
        <v>5</v>
      </c>
      <c r="G24" t="s">
        <v>7</v>
      </c>
    </row>
    <row r="25" spans="2:10" x14ac:dyDescent="0.25">
      <c r="B25" s="4">
        <v>21</v>
      </c>
      <c r="D25" t="s">
        <v>3</v>
      </c>
      <c r="F25" t="s">
        <v>3</v>
      </c>
    </row>
    <row r="26" spans="2:10" x14ac:dyDescent="0.25">
      <c r="B26" s="4">
        <v>22</v>
      </c>
      <c r="E26" t="s">
        <v>7</v>
      </c>
      <c r="H26" t="s">
        <v>6</v>
      </c>
      <c r="J26" t="s">
        <v>7</v>
      </c>
    </row>
    <row r="27" spans="2:10" x14ac:dyDescent="0.25">
      <c r="B27" s="4">
        <v>23</v>
      </c>
      <c r="C27" t="s">
        <v>7</v>
      </c>
      <c r="F27" t="s">
        <v>3</v>
      </c>
      <c r="H27" t="s">
        <v>6</v>
      </c>
    </row>
    <row r="28" spans="2:10" x14ac:dyDescent="0.25">
      <c r="B28" s="4">
        <v>24</v>
      </c>
      <c r="C28" t="s">
        <v>2</v>
      </c>
      <c r="G28" t="s">
        <v>7</v>
      </c>
    </row>
    <row r="29" spans="2:10" x14ac:dyDescent="0.25">
      <c r="B29" s="4">
        <v>25</v>
      </c>
      <c r="C29" t="s">
        <v>7</v>
      </c>
      <c r="D29" t="s">
        <v>7</v>
      </c>
      <c r="E29" t="s">
        <v>7</v>
      </c>
      <c r="F29" t="s">
        <v>7</v>
      </c>
      <c r="G29" t="s">
        <v>7</v>
      </c>
      <c r="H29" t="s">
        <v>5</v>
      </c>
      <c r="J29" t="s">
        <v>6</v>
      </c>
    </row>
    <row r="30" spans="2:10" x14ac:dyDescent="0.25">
      <c r="B30" s="4">
        <v>26</v>
      </c>
      <c r="C30" t="s">
        <v>7</v>
      </c>
      <c r="F30" t="s">
        <v>5</v>
      </c>
    </row>
    <row r="31" spans="2:10" x14ac:dyDescent="0.25">
      <c r="B31" s="4">
        <v>27</v>
      </c>
      <c r="E31" t="s">
        <v>7</v>
      </c>
    </row>
    <row r="32" spans="2:10" x14ac:dyDescent="0.25">
      <c r="B32" s="4">
        <v>28</v>
      </c>
      <c r="D32" t="s">
        <v>7</v>
      </c>
      <c r="G32" t="s">
        <v>7</v>
      </c>
      <c r="H32" t="s">
        <v>5</v>
      </c>
      <c r="I32" t="s">
        <v>6</v>
      </c>
      <c r="J32" t="s">
        <v>7</v>
      </c>
    </row>
    <row r="33" spans="2:10" x14ac:dyDescent="0.25">
      <c r="B33" s="4">
        <v>29</v>
      </c>
      <c r="D33" t="s">
        <v>7</v>
      </c>
      <c r="F33" t="s">
        <v>7</v>
      </c>
    </row>
    <row r="34" spans="2:10" x14ac:dyDescent="0.25">
      <c r="B34" s="4">
        <v>30</v>
      </c>
      <c r="C34" t="s">
        <v>7</v>
      </c>
      <c r="E34" t="s">
        <v>7</v>
      </c>
      <c r="G34" t="s">
        <v>7</v>
      </c>
    </row>
    <row r="35" spans="2:10" x14ac:dyDescent="0.25">
      <c r="B35" s="4">
        <v>31</v>
      </c>
    </row>
    <row r="36" spans="2:10" x14ac:dyDescent="0.25">
      <c r="B36" s="4">
        <v>32</v>
      </c>
      <c r="D36" t="s">
        <v>3</v>
      </c>
      <c r="E36" t="s">
        <v>5</v>
      </c>
      <c r="G36" t="s">
        <v>7</v>
      </c>
    </row>
    <row r="37" spans="2:10" x14ac:dyDescent="0.25">
      <c r="B37" s="4">
        <v>33</v>
      </c>
    </row>
    <row r="38" spans="2:10" x14ac:dyDescent="0.25">
      <c r="B38" s="4">
        <v>34</v>
      </c>
      <c r="F38" t="s">
        <v>5</v>
      </c>
      <c r="H38" t="s">
        <v>7</v>
      </c>
    </row>
    <row r="39" spans="2:10" x14ac:dyDescent="0.25">
      <c r="B39" s="4">
        <v>35</v>
      </c>
    </row>
    <row r="40" spans="2:10" x14ac:dyDescent="0.25">
      <c r="B40" s="4">
        <v>36</v>
      </c>
    </row>
    <row r="41" spans="2:10" x14ac:dyDescent="0.25">
      <c r="B41" s="4">
        <v>37</v>
      </c>
      <c r="G41" t="s">
        <v>7</v>
      </c>
      <c r="H41" t="s">
        <v>7</v>
      </c>
      <c r="J41" t="s">
        <v>7</v>
      </c>
    </row>
    <row r="42" spans="2:10" x14ac:dyDescent="0.25">
      <c r="B42" s="4">
        <v>38</v>
      </c>
      <c r="E42" t="s">
        <v>7</v>
      </c>
    </row>
    <row r="43" spans="2:10" x14ac:dyDescent="0.25">
      <c r="B43" s="4">
        <v>39</v>
      </c>
      <c r="D43" t="s">
        <v>7</v>
      </c>
      <c r="G43" t="s">
        <v>7</v>
      </c>
    </row>
    <row r="44" spans="2:10" x14ac:dyDescent="0.25">
      <c r="B44" s="4">
        <v>40</v>
      </c>
      <c r="D44" t="s">
        <v>7</v>
      </c>
      <c r="F44" t="s">
        <v>7</v>
      </c>
    </row>
    <row r="45" spans="2:10" x14ac:dyDescent="0.25">
      <c r="B45" s="4">
        <v>41</v>
      </c>
      <c r="E45" t="s">
        <v>7</v>
      </c>
      <c r="G45" t="s">
        <v>7</v>
      </c>
    </row>
    <row r="46" spans="2:10" x14ac:dyDescent="0.25">
      <c r="B46" s="4">
        <v>42</v>
      </c>
      <c r="D46" t="s">
        <v>5</v>
      </c>
      <c r="E46" t="s">
        <v>5</v>
      </c>
      <c r="H46" t="s">
        <v>2</v>
      </c>
    </row>
    <row r="47" spans="2:10" x14ac:dyDescent="0.25">
      <c r="B47" s="4">
        <v>43</v>
      </c>
      <c r="D47" t="s">
        <v>7</v>
      </c>
      <c r="E47" t="s">
        <v>7</v>
      </c>
      <c r="G47" t="s">
        <v>7</v>
      </c>
    </row>
    <row r="48" spans="2:10" x14ac:dyDescent="0.25">
      <c r="B48" s="4">
        <v>44</v>
      </c>
      <c r="D48" t="s">
        <v>5</v>
      </c>
      <c r="G48" t="s">
        <v>7</v>
      </c>
    </row>
    <row r="49" spans="2:10" x14ac:dyDescent="0.25">
      <c r="B49" s="4">
        <v>45</v>
      </c>
      <c r="C49" t="s">
        <v>3</v>
      </c>
      <c r="F49" t="s">
        <v>7</v>
      </c>
      <c r="H49" t="s">
        <v>6</v>
      </c>
    </row>
    <row r="50" spans="2:10" x14ac:dyDescent="0.25">
      <c r="B50" s="4">
        <v>46</v>
      </c>
      <c r="C50" t="s">
        <v>3</v>
      </c>
      <c r="F50" t="s">
        <v>7</v>
      </c>
      <c r="H50" t="s">
        <v>6</v>
      </c>
    </row>
    <row r="51" spans="2:10" x14ac:dyDescent="0.25">
      <c r="B51" s="4">
        <v>47</v>
      </c>
      <c r="C51" t="s">
        <v>3</v>
      </c>
      <c r="G51" t="s">
        <v>4</v>
      </c>
    </row>
    <row r="52" spans="2:10" x14ac:dyDescent="0.25">
      <c r="B52" s="4">
        <v>48</v>
      </c>
      <c r="C52" t="s">
        <v>3</v>
      </c>
      <c r="D52" t="s">
        <v>5</v>
      </c>
      <c r="G52" t="s">
        <v>4</v>
      </c>
    </row>
    <row r="53" spans="2:10" x14ac:dyDescent="0.25">
      <c r="B53" s="4">
        <v>49</v>
      </c>
      <c r="C53" t="s">
        <v>3</v>
      </c>
      <c r="G53" t="s">
        <v>7</v>
      </c>
    </row>
    <row r="54" spans="2:10" x14ac:dyDescent="0.25">
      <c r="B54" s="4">
        <v>50</v>
      </c>
      <c r="D54" t="s">
        <v>3</v>
      </c>
      <c r="E54" t="s">
        <v>7</v>
      </c>
      <c r="F54" t="s">
        <v>7</v>
      </c>
      <c r="G54" t="s">
        <v>7</v>
      </c>
      <c r="H54" t="s">
        <v>7</v>
      </c>
    </row>
    <row r="55" spans="2:10" x14ac:dyDescent="0.25">
      <c r="B55" s="4">
        <v>51</v>
      </c>
      <c r="E55" t="s">
        <v>2</v>
      </c>
      <c r="F55" t="s">
        <v>2</v>
      </c>
      <c r="G55" t="s">
        <v>7</v>
      </c>
      <c r="J55" t="s">
        <v>7</v>
      </c>
    </row>
    <row r="56" spans="2:10" x14ac:dyDescent="0.25">
      <c r="B56" s="4">
        <v>52</v>
      </c>
      <c r="C56" t="s">
        <v>3</v>
      </c>
      <c r="D56" t="s">
        <v>3</v>
      </c>
      <c r="E56" t="s">
        <v>3</v>
      </c>
      <c r="F56" t="s">
        <v>3</v>
      </c>
      <c r="H56" t="s">
        <v>6</v>
      </c>
    </row>
    <row r="57" spans="2:10" x14ac:dyDescent="0.25">
      <c r="B57" s="4">
        <v>53</v>
      </c>
      <c r="E57" t="s">
        <v>2</v>
      </c>
      <c r="H57" t="s">
        <v>2</v>
      </c>
      <c r="I57" t="s">
        <v>2</v>
      </c>
    </row>
    <row r="58" spans="2:10" x14ac:dyDescent="0.25">
      <c r="B58" s="4">
        <v>54</v>
      </c>
      <c r="F58" t="s">
        <v>7</v>
      </c>
    </row>
    <row r="59" spans="2:10" x14ac:dyDescent="0.25">
      <c r="B59" s="4">
        <v>55</v>
      </c>
      <c r="D59" t="s">
        <v>7</v>
      </c>
      <c r="G59" t="s">
        <v>7</v>
      </c>
    </row>
    <row r="60" spans="2:10" x14ac:dyDescent="0.25">
      <c r="B60" s="4">
        <v>56</v>
      </c>
      <c r="E60" t="s">
        <v>7</v>
      </c>
      <c r="H60" t="s">
        <v>6</v>
      </c>
      <c r="J60" t="s">
        <v>2</v>
      </c>
    </row>
    <row r="66" spans="2:13" x14ac:dyDescent="0.25">
      <c r="C66" s="3"/>
      <c r="D66" s="3"/>
      <c r="E66" s="3"/>
      <c r="F66" s="3"/>
      <c r="G66" s="3"/>
      <c r="H66" s="3"/>
      <c r="I66" s="3"/>
      <c r="J66" s="3"/>
    </row>
    <row r="67" spans="2:13" x14ac:dyDescent="0.25">
      <c r="B67" s="2" t="s">
        <v>0</v>
      </c>
      <c r="C67" s="1"/>
      <c r="D67" s="1"/>
      <c r="E67" s="1"/>
      <c r="F67" s="1"/>
      <c r="G67" s="1"/>
      <c r="H67" s="1"/>
      <c r="I67" s="1"/>
      <c r="J67" s="1"/>
      <c r="L67" s="11" t="s">
        <v>2</v>
      </c>
    </row>
    <row r="68" spans="2:13" x14ac:dyDescent="0.25">
      <c r="B68" s="4">
        <v>1</v>
      </c>
      <c r="L68" s="12" t="s">
        <v>8</v>
      </c>
      <c r="M68">
        <f>COUNTIF($C$68:$J$123,L68)</f>
        <v>0</v>
      </c>
    </row>
    <row r="69" spans="2:13" x14ac:dyDescent="0.25">
      <c r="B69" s="4">
        <v>2</v>
      </c>
      <c r="L69" s="13" t="s">
        <v>9</v>
      </c>
      <c r="M69">
        <f t="shared" ref="M69:M73" si="3">COUNTIF($C$68:$J$123,L69)</f>
        <v>0</v>
      </c>
    </row>
    <row r="70" spans="2:13" x14ac:dyDescent="0.25">
      <c r="B70" s="4">
        <v>3</v>
      </c>
      <c r="L70" s="7" t="s">
        <v>10</v>
      </c>
      <c r="M70">
        <f t="shared" si="3"/>
        <v>0</v>
      </c>
    </row>
    <row r="71" spans="2:13" x14ac:dyDescent="0.25">
      <c r="B71" s="4">
        <v>4</v>
      </c>
      <c r="L71" s="8" t="s">
        <v>11</v>
      </c>
      <c r="M71">
        <f t="shared" si="3"/>
        <v>4</v>
      </c>
    </row>
    <row r="72" spans="2:13" x14ac:dyDescent="0.25">
      <c r="B72" s="4">
        <v>5</v>
      </c>
      <c r="L72" s="14" t="s">
        <v>12</v>
      </c>
      <c r="M72">
        <f t="shared" si="3"/>
        <v>3</v>
      </c>
    </row>
    <row r="73" spans="2:13" x14ac:dyDescent="0.25">
      <c r="B73" s="4">
        <v>6</v>
      </c>
      <c r="L73" s="15" t="s">
        <v>13</v>
      </c>
      <c r="M73">
        <f t="shared" si="3"/>
        <v>1</v>
      </c>
    </row>
    <row r="74" spans="2:13" x14ac:dyDescent="0.25">
      <c r="B74" s="4">
        <v>7</v>
      </c>
      <c r="M74">
        <f>SUM(M68:M73)</f>
        <v>8</v>
      </c>
    </row>
    <row r="75" spans="2:13" x14ac:dyDescent="0.25">
      <c r="B75" s="4">
        <v>8</v>
      </c>
    </row>
    <row r="76" spans="2:13" x14ac:dyDescent="0.25">
      <c r="B76" s="4">
        <v>9</v>
      </c>
    </row>
    <row r="77" spans="2:13" x14ac:dyDescent="0.25">
      <c r="B77" s="4">
        <v>10</v>
      </c>
    </row>
    <row r="78" spans="2:13" x14ac:dyDescent="0.25">
      <c r="B78" s="4">
        <v>11</v>
      </c>
    </row>
    <row r="79" spans="2:13" x14ac:dyDescent="0.25">
      <c r="B79" s="4">
        <v>12</v>
      </c>
    </row>
    <row r="80" spans="2:13" x14ac:dyDescent="0.25">
      <c r="B80" s="4">
        <v>13</v>
      </c>
    </row>
    <row r="81" spans="2:8" x14ac:dyDescent="0.25">
      <c r="B81" s="4">
        <v>14</v>
      </c>
      <c r="F81" t="s">
        <v>12</v>
      </c>
      <c r="H81" t="s">
        <v>11</v>
      </c>
    </row>
    <row r="82" spans="2:8" x14ac:dyDescent="0.25">
      <c r="B82" s="4">
        <v>15</v>
      </c>
    </row>
    <row r="83" spans="2:8" x14ac:dyDescent="0.25">
      <c r="B83" s="4">
        <v>16</v>
      </c>
    </row>
    <row r="84" spans="2:8" x14ac:dyDescent="0.25">
      <c r="B84" s="4">
        <v>17</v>
      </c>
    </row>
    <row r="85" spans="2:8" x14ac:dyDescent="0.25">
      <c r="B85" s="4">
        <v>18</v>
      </c>
      <c r="E85" t="s">
        <v>11</v>
      </c>
    </row>
    <row r="86" spans="2:8" x14ac:dyDescent="0.25">
      <c r="B86" s="4">
        <v>19</v>
      </c>
    </row>
    <row r="87" spans="2:8" x14ac:dyDescent="0.25">
      <c r="B87" s="4">
        <v>20</v>
      </c>
    </row>
    <row r="88" spans="2:8" x14ac:dyDescent="0.25">
      <c r="B88" s="4">
        <v>21</v>
      </c>
    </row>
    <row r="89" spans="2:8" x14ac:dyDescent="0.25">
      <c r="B89" s="4">
        <v>22</v>
      </c>
    </row>
    <row r="90" spans="2:8" x14ac:dyDescent="0.25">
      <c r="B90" s="4">
        <v>23</v>
      </c>
    </row>
    <row r="91" spans="2:8" x14ac:dyDescent="0.25">
      <c r="B91" s="4">
        <v>24</v>
      </c>
    </row>
    <row r="92" spans="2:8" x14ac:dyDescent="0.25">
      <c r="B92" s="4">
        <v>25</v>
      </c>
    </row>
    <row r="93" spans="2:8" x14ac:dyDescent="0.25">
      <c r="B93" s="4">
        <v>26</v>
      </c>
    </row>
    <row r="94" spans="2:8" x14ac:dyDescent="0.25">
      <c r="B94" s="4">
        <v>27</v>
      </c>
    </row>
    <row r="95" spans="2:8" x14ac:dyDescent="0.25">
      <c r="B95" s="4">
        <v>28</v>
      </c>
    </row>
    <row r="96" spans="2:8" x14ac:dyDescent="0.25">
      <c r="B96" s="4">
        <v>29</v>
      </c>
    </row>
    <row r="97" spans="2:8" x14ac:dyDescent="0.25">
      <c r="B97" s="4">
        <v>30</v>
      </c>
    </row>
    <row r="98" spans="2:8" x14ac:dyDescent="0.25">
      <c r="B98" s="4">
        <v>31</v>
      </c>
    </row>
    <row r="99" spans="2:8" x14ac:dyDescent="0.25">
      <c r="B99" s="4">
        <v>32</v>
      </c>
    </row>
    <row r="100" spans="2:8" x14ac:dyDescent="0.25">
      <c r="B100" s="4">
        <v>33</v>
      </c>
    </row>
    <row r="101" spans="2:8" x14ac:dyDescent="0.25">
      <c r="B101" s="4">
        <v>34</v>
      </c>
    </row>
    <row r="102" spans="2:8" x14ac:dyDescent="0.25">
      <c r="B102" s="4">
        <v>35</v>
      </c>
    </row>
    <row r="103" spans="2:8" x14ac:dyDescent="0.25">
      <c r="B103" s="4">
        <v>36</v>
      </c>
    </row>
    <row r="104" spans="2:8" x14ac:dyDescent="0.25">
      <c r="B104" s="4">
        <v>37</v>
      </c>
    </row>
    <row r="105" spans="2:8" x14ac:dyDescent="0.25">
      <c r="B105" s="4">
        <v>38</v>
      </c>
    </row>
    <row r="106" spans="2:8" x14ac:dyDescent="0.25">
      <c r="B106" s="4">
        <v>39</v>
      </c>
    </row>
    <row r="107" spans="2:8" x14ac:dyDescent="0.25">
      <c r="B107" s="4">
        <v>40</v>
      </c>
    </row>
    <row r="108" spans="2:8" x14ac:dyDescent="0.25">
      <c r="B108" s="4">
        <v>41</v>
      </c>
    </row>
    <row r="109" spans="2:8" x14ac:dyDescent="0.25">
      <c r="B109" s="4">
        <v>42</v>
      </c>
      <c r="H109" t="s">
        <v>12</v>
      </c>
    </row>
    <row r="110" spans="2:8" x14ac:dyDescent="0.25">
      <c r="B110" s="4">
        <v>43</v>
      </c>
    </row>
    <row r="111" spans="2:8" x14ac:dyDescent="0.25">
      <c r="B111" s="4">
        <v>44</v>
      </c>
    </row>
    <row r="112" spans="2:8" x14ac:dyDescent="0.25">
      <c r="B112" s="4">
        <v>45</v>
      </c>
    </row>
    <row r="113" spans="2:10" x14ac:dyDescent="0.25">
      <c r="B113" s="4">
        <v>46</v>
      </c>
    </row>
    <row r="114" spans="2:10" x14ac:dyDescent="0.25">
      <c r="B114" s="4">
        <v>47</v>
      </c>
    </row>
    <row r="115" spans="2:10" x14ac:dyDescent="0.25">
      <c r="B115" s="4">
        <v>48</v>
      </c>
    </row>
    <row r="116" spans="2:10" x14ac:dyDescent="0.25">
      <c r="B116" s="4">
        <v>49</v>
      </c>
    </row>
    <row r="117" spans="2:10" x14ac:dyDescent="0.25">
      <c r="B117" s="4">
        <v>50</v>
      </c>
    </row>
    <row r="118" spans="2:10" x14ac:dyDescent="0.25">
      <c r="B118" s="4">
        <v>51</v>
      </c>
    </row>
    <row r="119" spans="2:10" x14ac:dyDescent="0.25">
      <c r="B119" s="4">
        <v>52</v>
      </c>
    </row>
    <row r="120" spans="2:10" x14ac:dyDescent="0.25">
      <c r="B120" s="4">
        <v>53</v>
      </c>
      <c r="E120" t="s">
        <v>12</v>
      </c>
      <c r="H120" t="s">
        <v>11</v>
      </c>
      <c r="I120" t="s">
        <v>11</v>
      </c>
    </row>
    <row r="121" spans="2:10" x14ac:dyDescent="0.25">
      <c r="B121" s="4">
        <v>54</v>
      </c>
    </row>
    <row r="122" spans="2:10" x14ac:dyDescent="0.25">
      <c r="B122" s="4">
        <v>55</v>
      </c>
    </row>
    <row r="123" spans="2:10" x14ac:dyDescent="0.25">
      <c r="B123" s="4">
        <v>56</v>
      </c>
      <c r="J123" t="s">
        <v>13</v>
      </c>
    </row>
  </sheetData>
  <conditionalFormatting sqref="C5:H11">
    <cfRule type="cellIs" dxfId="455" priority="24" operator="equal">
      <formula>"Energia"</formula>
    </cfRule>
  </conditionalFormatting>
  <conditionalFormatting sqref="C5:J60">
    <cfRule type="cellIs" dxfId="454" priority="17" operator="equal">
      <formula>"Energia"</formula>
    </cfRule>
    <cfRule type="cellIs" dxfId="453" priority="19" operator="equal">
      <formula>"Operação"</formula>
    </cfRule>
    <cfRule type="cellIs" dxfId="452" priority="20" operator="equal">
      <formula>"Chuva"</formula>
    </cfRule>
    <cfRule type="cellIs" dxfId="451" priority="21" operator="equal">
      <formula>"Elétrico"</formula>
    </cfRule>
    <cfRule type="cellIs" dxfId="450" priority="22" operator="equal">
      <formula>"Mecânico"</formula>
    </cfRule>
    <cfRule type="cellIs" dxfId="449" priority="23" operator="equal">
      <formula>"Ok"</formula>
    </cfRule>
  </conditionalFormatting>
  <conditionalFormatting sqref="C5:J61">
    <cfRule type="cellIs" dxfId="448" priority="18" operator="equal">
      <formula>"Feito"</formula>
    </cfRule>
  </conditionalFormatting>
  <conditionalFormatting sqref="C68:H74">
    <cfRule type="cellIs" dxfId="447" priority="16" operator="equal">
      <formula>"Energia"</formula>
    </cfRule>
  </conditionalFormatting>
  <conditionalFormatting sqref="C68:J123">
    <cfRule type="cellIs" dxfId="446" priority="1" operator="equal">
      <formula>"Micro"</formula>
    </cfRule>
    <cfRule type="cellIs" dxfId="445" priority="2" operator="equal">
      <formula>"Castanha"</formula>
    </cfRule>
    <cfRule type="cellIs" dxfId="444" priority="3" operator="equal">
      <formula>"Redutor"</formula>
    </cfRule>
    <cfRule type="cellIs" dxfId="443" priority="4" operator="equal">
      <formula>"Adutora"</formula>
    </cfRule>
    <cfRule type="cellIs" dxfId="442" priority="5" operator="equal">
      <formula>"Mangote"</formula>
    </cfRule>
    <cfRule type="cellIs" dxfId="441" priority="6" operator="equal">
      <formula>"Vedação"</formula>
    </cfRule>
    <cfRule type="dataBar" priority="8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{9907A7D5-EB43-483D-9DB4-35252FB46EBD}</x14:id>
        </ext>
      </extLst>
    </cfRule>
    <cfRule type="cellIs" dxfId="440" priority="9" operator="equal">
      <formula>"Energia"</formula>
    </cfRule>
    <cfRule type="cellIs" dxfId="439" priority="11" operator="equal">
      <formula>"Operação"</formula>
    </cfRule>
    <cfRule type="cellIs" dxfId="438" priority="12" operator="equal">
      <formula>"Chuva"</formula>
    </cfRule>
    <cfRule type="cellIs" dxfId="437" priority="13" operator="equal">
      <formula>"Elétrico"</formula>
    </cfRule>
    <cfRule type="cellIs" dxfId="436" priority="14" operator="equal">
      <formula>"Mecânico"</formula>
    </cfRule>
    <cfRule type="cellIs" dxfId="435" priority="15" operator="equal">
      <formula>"Ok"</formula>
    </cfRule>
  </conditionalFormatting>
  <conditionalFormatting sqref="C68:J123">
    <cfRule type="cellIs" dxfId="434" priority="10" operator="equal">
      <formula>"Feito"</formula>
    </cfRule>
  </conditionalFormatting>
  <conditionalFormatting sqref="L7">
    <cfRule type="iconSet" priority="7">
      <iconSet iconSet="3Arrows">
        <cfvo type="percent" val="0"/>
        <cfvo type="percent" val="33"/>
        <cfvo type="percent" val="67"/>
      </iconSet>
    </cfRule>
  </conditionalFormatting>
  <dataValidations count="2">
    <dataValidation type="list" allowBlank="1" showInputMessage="1" showErrorMessage="1" sqref="C5:K60 K68:K123" xr:uid="{16B09683-A315-47D3-9CA5-FA5163C1ED6C}">
      <formula1>$L$5:$L$10</formula1>
    </dataValidation>
    <dataValidation type="list" allowBlank="1" showInputMessage="1" showErrorMessage="1" sqref="C68:J123" xr:uid="{B7C9C20E-98E3-4493-A4A5-A86162294C08}">
      <formula1>$L$68:$L$73</formula1>
    </dataValidation>
  </dataValidations>
  <pageMargins left="0.511811024" right="0.511811024" top="0.78740157499999996" bottom="0.78740157499999996" header="0.31496062000000002" footer="0.31496062000000002"/>
  <pageSetup paperSize="9" orientation="portrait" horizontalDpi="0" verticalDpi="0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907A7D5-EB43-483D-9DB4-35252FB46EBD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C68:J123</xm:sqref>
        </x14:conditionalFormatting>
      </x14:conditionalFormatting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F4DCC7-60C0-45DC-B90B-089105BCADB0}">
  <dimension ref="B3:M123"/>
  <sheetViews>
    <sheetView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M5" sqref="M5:M10"/>
    </sheetView>
  </sheetViews>
  <sheetFormatPr defaultRowHeight="15" x14ac:dyDescent="0.25"/>
  <cols>
    <col min="3" max="3" width="11.85546875" customWidth="1"/>
    <col min="4" max="4" width="12.42578125" customWidth="1"/>
    <col min="5" max="5" width="12.85546875" customWidth="1"/>
    <col min="6" max="6" width="11" customWidth="1"/>
    <col min="7" max="7" width="12.85546875" customWidth="1"/>
    <col min="8" max="8" width="11.85546875" customWidth="1"/>
    <col min="9" max="9" width="11.42578125" customWidth="1"/>
    <col min="10" max="10" width="10.28515625" customWidth="1"/>
    <col min="12" max="12" width="15.7109375" customWidth="1"/>
  </cols>
  <sheetData>
    <row r="3" spans="2:13" x14ac:dyDescent="0.25">
      <c r="C3" s="3">
        <v>44266</v>
      </c>
      <c r="D3" s="3">
        <f>C3+1</f>
        <v>44267</v>
      </c>
      <c r="E3" s="3">
        <f t="shared" ref="E3:J3" si="0">D3+1</f>
        <v>44268</v>
      </c>
      <c r="F3" s="3">
        <f t="shared" si="0"/>
        <v>44269</v>
      </c>
      <c r="G3" s="3">
        <f t="shared" si="0"/>
        <v>44270</v>
      </c>
      <c r="H3" s="3">
        <f t="shared" si="0"/>
        <v>44271</v>
      </c>
      <c r="I3" s="3">
        <f t="shared" si="0"/>
        <v>44272</v>
      </c>
      <c r="J3" s="3">
        <f t="shared" si="0"/>
        <v>44273</v>
      </c>
    </row>
    <row r="4" spans="2:13" x14ac:dyDescent="0.25">
      <c r="B4" s="2" t="s">
        <v>0</v>
      </c>
      <c r="C4" s="1" t="str">
        <f>TEXT(C3,"ddd")</f>
        <v>qui</v>
      </c>
      <c r="D4" s="1" t="str">
        <f t="shared" ref="D4:J4" si="1">TEXT(D3,"ddd")</f>
        <v>sex</v>
      </c>
      <c r="E4" s="1" t="str">
        <f t="shared" si="1"/>
        <v>sáb</v>
      </c>
      <c r="F4" s="1" t="str">
        <f t="shared" si="1"/>
        <v>dom</v>
      </c>
      <c r="G4" s="1" t="str">
        <f t="shared" si="1"/>
        <v>seg</v>
      </c>
      <c r="H4" s="1" t="str">
        <f t="shared" si="1"/>
        <v>ter</v>
      </c>
      <c r="I4" s="1" t="str">
        <f t="shared" si="1"/>
        <v>qua</v>
      </c>
      <c r="J4" s="1" t="str">
        <f t="shared" si="1"/>
        <v>qui</v>
      </c>
      <c r="L4" s="11" t="s">
        <v>1</v>
      </c>
    </row>
    <row r="5" spans="2:13" x14ac:dyDescent="0.25">
      <c r="B5" s="4">
        <v>1</v>
      </c>
      <c r="F5" t="s">
        <v>7</v>
      </c>
      <c r="H5" t="s">
        <v>7</v>
      </c>
      <c r="J5" t="s">
        <v>7</v>
      </c>
      <c r="L5" s="5" t="s">
        <v>7</v>
      </c>
      <c r="M5">
        <f>COUNTIF($C$5:$J$60,L5)</f>
        <v>93</v>
      </c>
    </row>
    <row r="6" spans="2:13" x14ac:dyDescent="0.25">
      <c r="B6" s="4">
        <v>2</v>
      </c>
      <c r="G6" t="s">
        <v>2</v>
      </c>
      <c r="L6" s="6" t="s">
        <v>2</v>
      </c>
      <c r="M6">
        <f t="shared" ref="M6:M10" si="2">COUNTIF($C$5:$J$60,L6)</f>
        <v>9</v>
      </c>
    </row>
    <row r="7" spans="2:13" x14ac:dyDescent="0.25">
      <c r="B7" s="4">
        <v>3</v>
      </c>
      <c r="C7" t="s">
        <v>7</v>
      </c>
      <c r="F7" t="s">
        <v>7</v>
      </c>
      <c r="I7" t="s">
        <v>7</v>
      </c>
      <c r="L7" s="7" t="s">
        <v>3</v>
      </c>
      <c r="M7">
        <f t="shared" si="2"/>
        <v>8</v>
      </c>
    </row>
    <row r="8" spans="2:13" x14ac:dyDescent="0.25">
      <c r="B8" s="4">
        <v>4</v>
      </c>
      <c r="D8" t="s">
        <v>7</v>
      </c>
      <c r="E8" t="s">
        <v>7</v>
      </c>
      <c r="F8" t="s">
        <v>7</v>
      </c>
      <c r="G8" t="s">
        <v>7</v>
      </c>
      <c r="H8" t="s">
        <v>7</v>
      </c>
      <c r="I8" t="s">
        <v>7</v>
      </c>
      <c r="J8" t="s">
        <v>7</v>
      </c>
      <c r="L8" s="8" t="s">
        <v>4</v>
      </c>
      <c r="M8">
        <f t="shared" si="2"/>
        <v>9</v>
      </c>
    </row>
    <row r="9" spans="2:13" x14ac:dyDescent="0.25">
      <c r="B9" s="4">
        <v>5</v>
      </c>
      <c r="J9" t="s">
        <v>5</v>
      </c>
      <c r="L9" s="9" t="s">
        <v>6</v>
      </c>
      <c r="M9">
        <f t="shared" si="2"/>
        <v>0</v>
      </c>
    </row>
    <row r="10" spans="2:13" x14ac:dyDescent="0.25">
      <c r="B10" s="4">
        <v>6</v>
      </c>
      <c r="L10" s="10" t="s">
        <v>5</v>
      </c>
      <c r="M10">
        <f t="shared" si="2"/>
        <v>11</v>
      </c>
    </row>
    <row r="11" spans="2:13" x14ac:dyDescent="0.25">
      <c r="B11" s="4">
        <v>7</v>
      </c>
      <c r="M11">
        <f>SUM(M5:M10)</f>
        <v>130</v>
      </c>
    </row>
    <row r="12" spans="2:13" x14ac:dyDescent="0.25">
      <c r="B12" s="4">
        <v>8</v>
      </c>
    </row>
    <row r="13" spans="2:13" x14ac:dyDescent="0.25">
      <c r="B13" s="4">
        <v>9</v>
      </c>
    </row>
    <row r="14" spans="2:13" x14ac:dyDescent="0.25">
      <c r="B14" s="4">
        <v>10</v>
      </c>
    </row>
    <row r="15" spans="2:13" x14ac:dyDescent="0.25">
      <c r="B15" s="4">
        <v>11</v>
      </c>
    </row>
    <row r="16" spans="2:13" x14ac:dyDescent="0.25">
      <c r="B16" s="4">
        <v>12</v>
      </c>
    </row>
    <row r="17" spans="2:10" x14ac:dyDescent="0.25">
      <c r="B17" s="4">
        <v>13</v>
      </c>
      <c r="F17" t="s">
        <v>2</v>
      </c>
      <c r="G17" t="s">
        <v>2</v>
      </c>
      <c r="H17" t="s">
        <v>3</v>
      </c>
      <c r="J17" t="s">
        <v>7</v>
      </c>
    </row>
    <row r="18" spans="2:10" x14ac:dyDescent="0.25">
      <c r="B18" s="4">
        <v>14</v>
      </c>
      <c r="C18" t="s">
        <v>7</v>
      </c>
      <c r="G18" t="s">
        <v>7</v>
      </c>
      <c r="I18" t="s">
        <v>7</v>
      </c>
    </row>
    <row r="19" spans="2:10" x14ac:dyDescent="0.25">
      <c r="B19" s="4">
        <v>15</v>
      </c>
      <c r="G19" t="s">
        <v>7</v>
      </c>
      <c r="J19" t="s">
        <v>7</v>
      </c>
    </row>
    <row r="20" spans="2:10" x14ac:dyDescent="0.25">
      <c r="B20" s="4">
        <v>16</v>
      </c>
      <c r="F20" t="s">
        <v>7</v>
      </c>
      <c r="G20" t="s">
        <v>7</v>
      </c>
      <c r="I20" t="s">
        <v>2</v>
      </c>
      <c r="J20" t="s">
        <v>2</v>
      </c>
    </row>
    <row r="21" spans="2:10" x14ac:dyDescent="0.25">
      <c r="B21" s="4">
        <v>17</v>
      </c>
      <c r="H21" t="s">
        <v>7</v>
      </c>
    </row>
    <row r="22" spans="2:10" x14ac:dyDescent="0.25">
      <c r="B22" s="4">
        <v>18</v>
      </c>
      <c r="F22" t="s">
        <v>7</v>
      </c>
      <c r="J22" t="s">
        <v>2</v>
      </c>
    </row>
    <row r="23" spans="2:10" x14ac:dyDescent="0.25">
      <c r="B23" s="4">
        <v>19</v>
      </c>
      <c r="F23" t="s">
        <v>7</v>
      </c>
      <c r="H23" t="s">
        <v>5</v>
      </c>
      <c r="I23" t="s">
        <v>7</v>
      </c>
    </row>
    <row r="24" spans="2:10" x14ac:dyDescent="0.25">
      <c r="B24" s="4">
        <v>20</v>
      </c>
      <c r="D24" t="s">
        <v>7</v>
      </c>
      <c r="G24" t="s">
        <v>7</v>
      </c>
      <c r="J24" t="s">
        <v>7</v>
      </c>
    </row>
    <row r="25" spans="2:10" x14ac:dyDescent="0.25">
      <c r="B25" s="4">
        <v>21</v>
      </c>
      <c r="D25" t="s">
        <v>7</v>
      </c>
      <c r="H25" t="s">
        <v>4</v>
      </c>
    </row>
    <row r="26" spans="2:10" x14ac:dyDescent="0.25">
      <c r="B26" s="4">
        <v>22</v>
      </c>
      <c r="C26" t="s">
        <v>7</v>
      </c>
      <c r="G26" t="s">
        <v>7</v>
      </c>
      <c r="J26" t="s">
        <v>7</v>
      </c>
    </row>
    <row r="27" spans="2:10" x14ac:dyDescent="0.25">
      <c r="B27" s="4">
        <v>23</v>
      </c>
      <c r="H27" t="s">
        <v>4</v>
      </c>
    </row>
    <row r="28" spans="2:10" x14ac:dyDescent="0.25">
      <c r="B28" s="4">
        <v>24</v>
      </c>
      <c r="C28" t="s">
        <v>7</v>
      </c>
      <c r="G28" t="s">
        <v>7</v>
      </c>
      <c r="I28" t="s">
        <v>2</v>
      </c>
    </row>
    <row r="29" spans="2:10" x14ac:dyDescent="0.25">
      <c r="B29" s="4">
        <v>25</v>
      </c>
      <c r="C29" t="s">
        <v>7</v>
      </c>
      <c r="D29" t="s">
        <v>7</v>
      </c>
      <c r="F29" t="s">
        <v>7</v>
      </c>
      <c r="G29" t="s">
        <v>7</v>
      </c>
      <c r="H29" t="s">
        <v>7</v>
      </c>
      <c r="I29" t="s">
        <v>7</v>
      </c>
      <c r="J29" t="s">
        <v>7</v>
      </c>
    </row>
    <row r="30" spans="2:10" x14ac:dyDescent="0.25">
      <c r="B30" s="4">
        <v>26</v>
      </c>
      <c r="H30" t="s">
        <v>4</v>
      </c>
    </row>
    <row r="31" spans="2:10" x14ac:dyDescent="0.25">
      <c r="B31" s="4">
        <v>27</v>
      </c>
      <c r="G31" t="s">
        <v>7</v>
      </c>
      <c r="J31" t="s">
        <v>7</v>
      </c>
    </row>
    <row r="32" spans="2:10" x14ac:dyDescent="0.25">
      <c r="B32" s="4">
        <v>28</v>
      </c>
      <c r="G32" t="s">
        <v>7</v>
      </c>
      <c r="J32" t="s">
        <v>7</v>
      </c>
    </row>
    <row r="33" spans="2:10" x14ac:dyDescent="0.25">
      <c r="B33" s="4">
        <v>29</v>
      </c>
      <c r="D33" t="s">
        <v>7</v>
      </c>
      <c r="F33" t="s">
        <v>7</v>
      </c>
      <c r="H33" t="s">
        <v>7</v>
      </c>
      <c r="I33" t="s">
        <v>7</v>
      </c>
      <c r="J33" t="s">
        <v>7</v>
      </c>
    </row>
    <row r="34" spans="2:10" x14ac:dyDescent="0.25">
      <c r="B34" s="4">
        <v>30</v>
      </c>
      <c r="F34" t="s">
        <v>7</v>
      </c>
      <c r="H34" t="s">
        <v>4</v>
      </c>
      <c r="J34" t="s">
        <v>5</v>
      </c>
    </row>
    <row r="35" spans="2:10" x14ac:dyDescent="0.25">
      <c r="B35" s="4">
        <v>31</v>
      </c>
    </row>
    <row r="36" spans="2:10" x14ac:dyDescent="0.25">
      <c r="B36" s="4">
        <v>32</v>
      </c>
      <c r="F36" t="s">
        <v>7</v>
      </c>
      <c r="G36" t="s">
        <v>7</v>
      </c>
      <c r="I36" t="s">
        <v>7</v>
      </c>
      <c r="J36" t="s">
        <v>7</v>
      </c>
    </row>
    <row r="37" spans="2:10" x14ac:dyDescent="0.25">
      <c r="B37" s="4">
        <v>33</v>
      </c>
    </row>
    <row r="38" spans="2:10" x14ac:dyDescent="0.25">
      <c r="B38" s="4">
        <v>34</v>
      </c>
      <c r="F38" t="s">
        <v>7</v>
      </c>
      <c r="H38" t="s">
        <v>4</v>
      </c>
      <c r="J38" t="s">
        <v>7</v>
      </c>
    </row>
    <row r="39" spans="2:10" x14ac:dyDescent="0.25">
      <c r="B39" s="4">
        <v>35</v>
      </c>
      <c r="H39" t="s">
        <v>3</v>
      </c>
      <c r="I39" t="s">
        <v>7</v>
      </c>
      <c r="J39" t="s">
        <v>3</v>
      </c>
    </row>
    <row r="40" spans="2:10" x14ac:dyDescent="0.25">
      <c r="B40" s="4">
        <v>36</v>
      </c>
    </row>
    <row r="41" spans="2:10" x14ac:dyDescent="0.25">
      <c r="B41" s="4">
        <v>37</v>
      </c>
      <c r="D41" t="s">
        <v>7</v>
      </c>
      <c r="E41" t="s">
        <v>7</v>
      </c>
      <c r="F41" t="s">
        <v>7</v>
      </c>
      <c r="G41" t="s">
        <v>7</v>
      </c>
      <c r="H41" t="s">
        <v>7</v>
      </c>
      <c r="I41" t="s">
        <v>7</v>
      </c>
      <c r="J41" t="s">
        <v>7</v>
      </c>
    </row>
    <row r="42" spans="2:10" x14ac:dyDescent="0.25">
      <c r="B42" s="4">
        <v>38</v>
      </c>
      <c r="G42" t="s">
        <v>7</v>
      </c>
      <c r="J42" t="s">
        <v>5</v>
      </c>
    </row>
    <row r="43" spans="2:10" x14ac:dyDescent="0.25">
      <c r="B43" s="4">
        <v>39</v>
      </c>
      <c r="F43" t="s">
        <v>7</v>
      </c>
      <c r="I43" t="s">
        <v>7</v>
      </c>
    </row>
    <row r="44" spans="2:10" x14ac:dyDescent="0.25">
      <c r="B44" s="4">
        <v>40</v>
      </c>
      <c r="G44" t="s">
        <v>7</v>
      </c>
      <c r="J44" t="s">
        <v>5</v>
      </c>
    </row>
    <row r="45" spans="2:10" x14ac:dyDescent="0.25">
      <c r="B45" s="4">
        <v>41</v>
      </c>
      <c r="F45" t="s">
        <v>7</v>
      </c>
      <c r="I45" t="s">
        <v>7</v>
      </c>
    </row>
    <row r="46" spans="2:10" x14ac:dyDescent="0.25">
      <c r="B46" s="4">
        <v>42</v>
      </c>
      <c r="G46" t="s">
        <v>7</v>
      </c>
      <c r="J46" t="s">
        <v>7</v>
      </c>
    </row>
    <row r="47" spans="2:10" x14ac:dyDescent="0.25">
      <c r="B47" s="4">
        <v>43</v>
      </c>
      <c r="F47" t="s">
        <v>7</v>
      </c>
      <c r="I47" t="s">
        <v>7</v>
      </c>
    </row>
    <row r="48" spans="2:10" x14ac:dyDescent="0.25">
      <c r="B48" s="4">
        <v>44</v>
      </c>
      <c r="C48" t="s">
        <v>3</v>
      </c>
      <c r="H48" t="s">
        <v>7</v>
      </c>
    </row>
    <row r="49" spans="2:10" x14ac:dyDescent="0.25">
      <c r="B49" s="4">
        <v>45</v>
      </c>
      <c r="F49" t="s">
        <v>7</v>
      </c>
      <c r="H49" t="s">
        <v>7</v>
      </c>
      <c r="J49" t="s">
        <v>7</v>
      </c>
    </row>
    <row r="50" spans="2:10" x14ac:dyDescent="0.25">
      <c r="B50" s="4">
        <v>46</v>
      </c>
      <c r="G50" t="s">
        <v>3</v>
      </c>
      <c r="I50" t="s">
        <v>4</v>
      </c>
    </row>
    <row r="51" spans="2:10" x14ac:dyDescent="0.25">
      <c r="B51" s="4">
        <v>47</v>
      </c>
      <c r="F51" t="s">
        <v>5</v>
      </c>
      <c r="H51" t="s">
        <v>4</v>
      </c>
      <c r="J51" t="s">
        <v>5</v>
      </c>
    </row>
    <row r="52" spans="2:10" x14ac:dyDescent="0.25">
      <c r="B52" s="4">
        <v>48</v>
      </c>
      <c r="G52" t="s">
        <v>7</v>
      </c>
      <c r="I52" t="s">
        <v>7</v>
      </c>
    </row>
    <row r="53" spans="2:10" x14ac:dyDescent="0.25">
      <c r="B53" s="4">
        <v>49</v>
      </c>
      <c r="F53" t="s">
        <v>7</v>
      </c>
      <c r="G53" t="s">
        <v>7</v>
      </c>
      <c r="H53" t="s">
        <v>7</v>
      </c>
      <c r="J53" t="s">
        <v>7</v>
      </c>
    </row>
    <row r="54" spans="2:10" x14ac:dyDescent="0.25">
      <c r="B54" s="4">
        <v>50</v>
      </c>
      <c r="F54" t="s">
        <v>7</v>
      </c>
      <c r="G54" t="s">
        <v>7</v>
      </c>
      <c r="I54" t="s">
        <v>7</v>
      </c>
    </row>
    <row r="55" spans="2:10" x14ac:dyDescent="0.25">
      <c r="B55" s="4">
        <v>51</v>
      </c>
      <c r="F55" t="s">
        <v>2</v>
      </c>
      <c r="G55" t="s">
        <v>2</v>
      </c>
      <c r="I55" t="s">
        <v>5</v>
      </c>
      <c r="J55" t="s">
        <v>5</v>
      </c>
    </row>
    <row r="56" spans="2:10" x14ac:dyDescent="0.25">
      <c r="B56" s="4">
        <v>52</v>
      </c>
      <c r="F56" t="s">
        <v>3</v>
      </c>
      <c r="H56" t="s">
        <v>5</v>
      </c>
      <c r="I56" t="s">
        <v>7</v>
      </c>
      <c r="J56" t="s">
        <v>7</v>
      </c>
    </row>
    <row r="57" spans="2:10" x14ac:dyDescent="0.25">
      <c r="B57" s="4">
        <v>53</v>
      </c>
      <c r="C57" t="s">
        <v>3</v>
      </c>
      <c r="H57" t="s">
        <v>7</v>
      </c>
      <c r="J57" t="s">
        <v>5</v>
      </c>
    </row>
    <row r="58" spans="2:10" x14ac:dyDescent="0.25">
      <c r="B58" s="4">
        <v>54</v>
      </c>
      <c r="G58" t="s">
        <v>7</v>
      </c>
    </row>
    <row r="59" spans="2:10" x14ac:dyDescent="0.25">
      <c r="B59" s="4">
        <v>55</v>
      </c>
      <c r="H59" t="s">
        <v>4</v>
      </c>
      <c r="J59" t="s">
        <v>7</v>
      </c>
    </row>
    <row r="60" spans="2:10" x14ac:dyDescent="0.25">
      <c r="B60" s="4">
        <v>56</v>
      </c>
      <c r="H60" t="s">
        <v>4</v>
      </c>
      <c r="J60" t="s">
        <v>3</v>
      </c>
    </row>
    <row r="66" spans="2:13" x14ac:dyDescent="0.25">
      <c r="C66" s="3"/>
      <c r="D66" s="3"/>
      <c r="E66" s="3"/>
      <c r="F66" s="3"/>
      <c r="G66" s="3"/>
      <c r="H66" s="3"/>
      <c r="I66" s="3"/>
      <c r="J66" s="3"/>
    </row>
    <row r="67" spans="2:13" x14ac:dyDescent="0.25">
      <c r="B67" s="2" t="s">
        <v>0</v>
      </c>
      <c r="C67" s="1"/>
      <c r="D67" s="1"/>
      <c r="E67" s="1"/>
      <c r="F67" s="1"/>
      <c r="G67" s="1"/>
      <c r="H67" s="1"/>
      <c r="I67" s="1"/>
      <c r="J67" s="1"/>
      <c r="L67" s="11" t="s">
        <v>2</v>
      </c>
    </row>
    <row r="68" spans="2:13" x14ac:dyDescent="0.25">
      <c r="B68" s="4">
        <v>1</v>
      </c>
      <c r="L68" s="12" t="s">
        <v>8</v>
      </c>
      <c r="M68">
        <f>COUNTIF($C$68:$J$123,L68)</f>
        <v>2</v>
      </c>
    </row>
    <row r="69" spans="2:13" x14ac:dyDescent="0.25">
      <c r="B69" s="4">
        <v>2</v>
      </c>
      <c r="G69" t="s">
        <v>10</v>
      </c>
      <c r="L69" s="13" t="s">
        <v>9</v>
      </c>
      <c r="M69">
        <f t="shared" ref="M69:M73" si="3">COUNTIF($C$68:$J$123,L69)</f>
        <v>0</v>
      </c>
    </row>
    <row r="70" spans="2:13" x14ac:dyDescent="0.25">
      <c r="B70" s="4">
        <v>3</v>
      </c>
      <c r="L70" s="7" t="s">
        <v>10</v>
      </c>
      <c r="M70">
        <f t="shared" si="3"/>
        <v>1</v>
      </c>
    </row>
    <row r="71" spans="2:13" x14ac:dyDescent="0.25">
      <c r="B71" s="4">
        <v>4</v>
      </c>
      <c r="L71" s="8" t="s">
        <v>11</v>
      </c>
      <c r="M71">
        <f t="shared" si="3"/>
        <v>1</v>
      </c>
    </row>
    <row r="72" spans="2:13" x14ac:dyDescent="0.25">
      <c r="B72" s="4">
        <v>5</v>
      </c>
      <c r="L72" s="14" t="s">
        <v>12</v>
      </c>
      <c r="M72">
        <f t="shared" si="3"/>
        <v>0</v>
      </c>
    </row>
    <row r="73" spans="2:13" x14ac:dyDescent="0.25">
      <c r="B73" s="4">
        <v>6</v>
      </c>
      <c r="L73" s="15" t="s">
        <v>13</v>
      </c>
      <c r="M73">
        <f t="shared" si="3"/>
        <v>2</v>
      </c>
    </row>
    <row r="74" spans="2:13" x14ac:dyDescent="0.25">
      <c r="B74" s="4">
        <v>7</v>
      </c>
      <c r="M74">
        <f>SUM(M68:M73)</f>
        <v>6</v>
      </c>
    </row>
    <row r="75" spans="2:13" x14ac:dyDescent="0.25">
      <c r="B75" s="4">
        <v>8</v>
      </c>
    </row>
    <row r="76" spans="2:13" x14ac:dyDescent="0.25">
      <c r="B76" s="4">
        <v>9</v>
      </c>
    </row>
    <row r="77" spans="2:13" x14ac:dyDescent="0.25">
      <c r="B77" s="4">
        <v>10</v>
      </c>
    </row>
    <row r="78" spans="2:13" x14ac:dyDescent="0.25">
      <c r="B78" s="4">
        <v>11</v>
      </c>
    </row>
    <row r="79" spans="2:13" x14ac:dyDescent="0.25">
      <c r="B79" s="4">
        <v>12</v>
      </c>
    </row>
    <row r="80" spans="2:13" x14ac:dyDescent="0.25">
      <c r="B80" s="4">
        <v>13</v>
      </c>
      <c r="F80" t="s">
        <v>13</v>
      </c>
      <c r="G80" t="s">
        <v>13</v>
      </c>
    </row>
    <row r="81" spans="2:10" x14ac:dyDescent="0.25">
      <c r="B81" s="4">
        <v>14</v>
      </c>
    </row>
    <row r="82" spans="2:10" x14ac:dyDescent="0.25">
      <c r="B82" s="4">
        <v>15</v>
      </c>
    </row>
    <row r="83" spans="2:10" x14ac:dyDescent="0.25">
      <c r="B83" s="4">
        <v>16</v>
      </c>
      <c r="I83" t="s">
        <v>8</v>
      </c>
    </row>
    <row r="84" spans="2:10" x14ac:dyDescent="0.25">
      <c r="B84" s="4">
        <v>17</v>
      </c>
    </row>
    <row r="85" spans="2:10" x14ac:dyDescent="0.25">
      <c r="B85" s="4">
        <v>18</v>
      </c>
      <c r="J85" t="s">
        <v>11</v>
      </c>
    </row>
    <row r="86" spans="2:10" x14ac:dyDescent="0.25">
      <c r="B86" s="4">
        <v>19</v>
      </c>
    </row>
    <row r="87" spans="2:10" x14ac:dyDescent="0.25">
      <c r="B87" s="4">
        <v>20</v>
      </c>
    </row>
    <row r="88" spans="2:10" x14ac:dyDescent="0.25">
      <c r="B88" s="4">
        <v>21</v>
      </c>
    </row>
    <row r="89" spans="2:10" x14ac:dyDescent="0.25">
      <c r="B89" s="4">
        <v>22</v>
      </c>
    </row>
    <row r="90" spans="2:10" x14ac:dyDescent="0.25">
      <c r="B90" s="4">
        <v>23</v>
      </c>
    </row>
    <row r="91" spans="2:10" x14ac:dyDescent="0.25">
      <c r="B91" s="4">
        <v>24</v>
      </c>
      <c r="I91" t="s">
        <v>8</v>
      </c>
    </row>
    <row r="92" spans="2:10" x14ac:dyDescent="0.25">
      <c r="B92" s="4">
        <v>25</v>
      </c>
    </row>
    <row r="93" spans="2:10" x14ac:dyDescent="0.25">
      <c r="B93" s="4">
        <v>26</v>
      </c>
    </row>
    <row r="94" spans="2:10" x14ac:dyDescent="0.25">
      <c r="B94" s="4">
        <v>27</v>
      </c>
    </row>
    <row r="95" spans="2:10" x14ac:dyDescent="0.25">
      <c r="B95" s="4">
        <v>28</v>
      </c>
    </row>
    <row r="96" spans="2:10" x14ac:dyDescent="0.25">
      <c r="B96" s="4">
        <v>29</v>
      </c>
    </row>
    <row r="97" spans="2:2" x14ac:dyDescent="0.25">
      <c r="B97" s="4">
        <v>30</v>
      </c>
    </row>
    <row r="98" spans="2:2" x14ac:dyDescent="0.25">
      <c r="B98" s="4">
        <v>31</v>
      </c>
    </row>
    <row r="99" spans="2:2" x14ac:dyDescent="0.25">
      <c r="B99" s="4">
        <v>32</v>
      </c>
    </row>
    <row r="100" spans="2:2" x14ac:dyDescent="0.25">
      <c r="B100" s="4">
        <v>33</v>
      </c>
    </row>
    <row r="101" spans="2:2" x14ac:dyDescent="0.25">
      <c r="B101" s="4">
        <v>34</v>
      </c>
    </row>
    <row r="102" spans="2:2" x14ac:dyDescent="0.25">
      <c r="B102" s="4">
        <v>35</v>
      </c>
    </row>
    <row r="103" spans="2:2" x14ac:dyDescent="0.25">
      <c r="B103" s="4">
        <v>36</v>
      </c>
    </row>
    <row r="104" spans="2:2" x14ac:dyDescent="0.25">
      <c r="B104" s="4">
        <v>37</v>
      </c>
    </row>
    <row r="105" spans="2:2" x14ac:dyDescent="0.25">
      <c r="B105" s="4">
        <v>38</v>
      </c>
    </row>
    <row r="106" spans="2:2" x14ac:dyDescent="0.25">
      <c r="B106" s="4">
        <v>39</v>
      </c>
    </row>
    <row r="107" spans="2:2" x14ac:dyDescent="0.25">
      <c r="B107" s="4">
        <v>40</v>
      </c>
    </row>
    <row r="108" spans="2:2" x14ac:dyDescent="0.25">
      <c r="B108" s="4">
        <v>41</v>
      </c>
    </row>
    <row r="109" spans="2:2" x14ac:dyDescent="0.25">
      <c r="B109" s="4">
        <v>42</v>
      </c>
    </row>
    <row r="110" spans="2:2" x14ac:dyDescent="0.25">
      <c r="B110" s="4">
        <v>43</v>
      </c>
    </row>
    <row r="111" spans="2:2" x14ac:dyDescent="0.25">
      <c r="B111" s="4">
        <v>44</v>
      </c>
    </row>
    <row r="112" spans="2:2" x14ac:dyDescent="0.25">
      <c r="B112" s="4">
        <v>45</v>
      </c>
    </row>
    <row r="113" spans="2:2" x14ac:dyDescent="0.25">
      <c r="B113" s="4">
        <v>46</v>
      </c>
    </row>
    <row r="114" spans="2:2" x14ac:dyDescent="0.25">
      <c r="B114" s="4">
        <v>47</v>
      </c>
    </row>
    <row r="115" spans="2:2" x14ac:dyDescent="0.25">
      <c r="B115" s="4">
        <v>48</v>
      </c>
    </row>
    <row r="116" spans="2:2" x14ac:dyDescent="0.25">
      <c r="B116" s="4">
        <v>49</v>
      </c>
    </row>
    <row r="117" spans="2:2" x14ac:dyDescent="0.25">
      <c r="B117" s="4">
        <v>50</v>
      </c>
    </row>
    <row r="118" spans="2:2" x14ac:dyDescent="0.25">
      <c r="B118" s="4">
        <v>51</v>
      </c>
    </row>
    <row r="119" spans="2:2" x14ac:dyDescent="0.25">
      <c r="B119" s="4">
        <v>52</v>
      </c>
    </row>
    <row r="120" spans="2:2" x14ac:dyDescent="0.25">
      <c r="B120" s="4">
        <v>53</v>
      </c>
    </row>
    <row r="121" spans="2:2" x14ac:dyDescent="0.25">
      <c r="B121" s="4">
        <v>54</v>
      </c>
    </row>
    <row r="122" spans="2:2" x14ac:dyDescent="0.25">
      <c r="B122" s="4">
        <v>55</v>
      </c>
    </row>
    <row r="123" spans="2:2" x14ac:dyDescent="0.25">
      <c r="B123" s="4">
        <v>56</v>
      </c>
    </row>
  </sheetData>
  <conditionalFormatting sqref="C5:H11">
    <cfRule type="cellIs" dxfId="433" priority="24" operator="equal">
      <formula>"Energia"</formula>
    </cfRule>
  </conditionalFormatting>
  <conditionalFormatting sqref="C5:J60">
    <cfRule type="cellIs" dxfId="432" priority="17" operator="equal">
      <formula>"Energia"</formula>
    </cfRule>
    <cfRule type="cellIs" dxfId="431" priority="19" operator="equal">
      <formula>"Operação"</formula>
    </cfRule>
    <cfRule type="cellIs" dxfId="430" priority="20" operator="equal">
      <formula>"Chuva"</formula>
    </cfRule>
    <cfRule type="cellIs" dxfId="429" priority="21" operator="equal">
      <formula>"Elétrico"</formula>
    </cfRule>
    <cfRule type="cellIs" dxfId="428" priority="22" operator="equal">
      <formula>"Mecânico"</formula>
    </cfRule>
    <cfRule type="cellIs" dxfId="427" priority="23" operator="equal">
      <formula>"Ok"</formula>
    </cfRule>
  </conditionalFormatting>
  <conditionalFormatting sqref="C5:J61">
    <cfRule type="cellIs" dxfId="426" priority="18" operator="equal">
      <formula>"Feito"</formula>
    </cfRule>
  </conditionalFormatting>
  <conditionalFormatting sqref="C68:H74">
    <cfRule type="cellIs" dxfId="425" priority="16" operator="equal">
      <formula>"Energia"</formula>
    </cfRule>
  </conditionalFormatting>
  <conditionalFormatting sqref="C68:J123">
    <cfRule type="cellIs" dxfId="424" priority="1" operator="equal">
      <formula>"Micro"</formula>
    </cfRule>
    <cfRule type="cellIs" dxfId="423" priority="2" operator="equal">
      <formula>"Castanha"</formula>
    </cfRule>
    <cfRule type="cellIs" dxfId="422" priority="3" operator="equal">
      <formula>"Redutor"</formula>
    </cfRule>
    <cfRule type="cellIs" dxfId="421" priority="4" operator="equal">
      <formula>"Adutora"</formula>
    </cfRule>
    <cfRule type="cellIs" dxfId="420" priority="5" operator="equal">
      <formula>"Mangote"</formula>
    </cfRule>
    <cfRule type="cellIs" dxfId="419" priority="6" operator="equal">
      <formula>"Vedação"</formula>
    </cfRule>
    <cfRule type="dataBar" priority="8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{6560899C-59EC-45CC-9AE1-1E906E2FA91A}</x14:id>
        </ext>
      </extLst>
    </cfRule>
    <cfRule type="cellIs" dxfId="418" priority="9" operator="equal">
      <formula>"Energia"</formula>
    </cfRule>
    <cfRule type="cellIs" dxfId="417" priority="11" operator="equal">
      <formula>"Operação"</formula>
    </cfRule>
    <cfRule type="cellIs" dxfId="416" priority="12" operator="equal">
      <formula>"Chuva"</formula>
    </cfRule>
    <cfRule type="cellIs" dxfId="415" priority="13" operator="equal">
      <formula>"Elétrico"</formula>
    </cfRule>
    <cfRule type="cellIs" dxfId="414" priority="14" operator="equal">
      <formula>"Mecânico"</formula>
    </cfRule>
    <cfRule type="cellIs" dxfId="413" priority="15" operator="equal">
      <formula>"Ok"</formula>
    </cfRule>
  </conditionalFormatting>
  <conditionalFormatting sqref="C68:J123">
    <cfRule type="cellIs" dxfId="412" priority="10" operator="equal">
      <formula>"Feito"</formula>
    </cfRule>
  </conditionalFormatting>
  <conditionalFormatting sqref="L7">
    <cfRule type="iconSet" priority="7">
      <iconSet iconSet="3Arrows">
        <cfvo type="percent" val="0"/>
        <cfvo type="percent" val="33"/>
        <cfvo type="percent" val="67"/>
      </iconSet>
    </cfRule>
  </conditionalFormatting>
  <dataValidations count="2">
    <dataValidation type="list" allowBlank="1" showInputMessage="1" showErrorMessage="1" sqref="C68:J123" xr:uid="{5EAE98AE-594E-49A2-B068-33AEA41DE8BF}">
      <formula1>$L$68:$L$73</formula1>
    </dataValidation>
    <dataValidation type="list" allowBlank="1" showInputMessage="1" showErrorMessage="1" sqref="C5:K60 K68:K123" xr:uid="{85F40332-B41C-44FB-B949-74A40E98F70D}">
      <formula1>$L$5:$L$10</formula1>
    </dataValidation>
  </dataValidations>
  <pageMargins left="0.511811024" right="0.511811024" top="0.78740157499999996" bottom="0.78740157499999996" header="0.31496062000000002" footer="0.31496062000000002"/>
  <pageSetup paperSize="9" orientation="portrait" horizontalDpi="0" verticalDpi="0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560899C-59EC-45CC-9AE1-1E906E2FA91A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C68:J123</xm:sqref>
        </x14:conditionalFormatting>
      </x14:conditionalFormatting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6A05ED-5463-4B5F-B70E-544ED7FBFC01}">
  <dimension ref="B3:M123"/>
  <sheetViews>
    <sheetView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M5" sqref="M5:M10"/>
    </sheetView>
  </sheetViews>
  <sheetFormatPr defaultRowHeight="15" x14ac:dyDescent="0.25"/>
  <cols>
    <col min="3" max="3" width="11.85546875" customWidth="1"/>
    <col min="4" max="4" width="12.42578125" customWidth="1"/>
    <col min="5" max="5" width="12.85546875" customWidth="1"/>
    <col min="6" max="6" width="11" customWidth="1"/>
    <col min="7" max="7" width="12.85546875" customWidth="1"/>
    <col min="8" max="8" width="11.85546875" customWidth="1"/>
    <col min="9" max="9" width="11.42578125" customWidth="1"/>
    <col min="10" max="10" width="10.28515625" customWidth="1"/>
    <col min="12" max="12" width="15.7109375" customWidth="1"/>
  </cols>
  <sheetData>
    <row r="3" spans="2:13" x14ac:dyDescent="0.25">
      <c r="C3" s="3">
        <v>44274</v>
      </c>
      <c r="D3" s="3">
        <f>C3+1</f>
        <v>44275</v>
      </c>
      <c r="E3" s="3">
        <f t="shared" ref="E3:J3" si="0">D3+1</f>
        <v>44276</v>
      </c>
      <c r="F3" s="3">
        <f t="shared" si="0"/>
        <v>44277</v>
      </c>
      <c r="G3" s="3">
        <f t="shared" si="0"/>
        <v>44278</v>
      </c>
      <c r="H3" s="3">
        <f t="shared" si="0"/>
        <v>44279</v>
      </c>
      <c r="I3" s="3">
        <f t="shared" si="0"/>
        <v>44280</v>
      </c>
      <c r="J3" s="3">
        <f t="shared" si="0"/>
        <v>44281</v>
      </c>
    </row>
    <row r="4" spans="2:13" x14ac:dyDescent="0.25">
      <c r="B4" s="2" t="s">
        <v>0</v>
      </c>
      <c r="C4" s="1" t="str">
        <f>TEXT(C3,"ddd")</f>
        <v>sex</v>
      </c>
      <c r="D4" s="1" t="str">
        <f t="shared" ref="D4:J4" si="1">TEXT(D3,"ddd")</f>
        <v>sáb</v>
      </c>
      <c r="E4" s="1" t="str">
        <f t="shared" si="1"/>
        <v>dom</v>
      </c>
      <c r="F4" s="1" t="str">
        <f t="shared" si="1"/>
        <v>seg</v>
      </c>
      <c r="G4" s="1" t="str">
        <f t="shared" si="1"/>
        <v>ter</v>
      </c>
      <c r="H4" s="1" t="str">
        <f t="shared" si="1"/>
        <v>qua</v>
      </c>
      <c r="I4" s="1" t="str">
        <f t="shared" si="1"/>
        <v>qui</v>
      </c>
      <c r="J4" s="1" t="str">
        <f t="shared" si="1"/>
        <v>sex</v>
      </c>
      <c r="L4" s="11" t="s">
        <v>1</v>
      </c>
    </row>
    <row r="5" spans="2:13" x14ac:dyDescent="0.25">
      <c r="B5" s="4">
        <v>1</v>
      </c>
      <c r="D5" t="s">
        <v>7</v>
      </c>
      <c r="F5" t="s">
        <v>7</v>
      </c>
      <c r="J5" t="s">
        <v>7</v>
      </c>
      <c r="L5" s="5" t="s">
        <v>7</v>
      </c>
      <c r="M5">
        <f>COUNTIF($C$5:$J$60,L5)</f>
        <v>113</v>
      </c>
    </row>
    <row r="6" spans="2:13" x14ac:dyDescent="0.25">
      <c r="B6" s="4">
        <v>2</v>
      </c>
      <c r="C6" t="s">
        <v>7</v>
      </c>
      <c r="D6" t="s">
        <v>7</v>
      </c>
      <c r="E6" t="s">
        <v>7</v>
      </c>
      <c r="F6" t="s">
        <v>2</v>
      </c>
      <c r="G6" t="s">
        <v>7</v>
      </c>
      <c r="H6" t="s">
        <v>5</v>
      </c>
      <c r="J6" t="s">
        <v>7</v>
      </c>
      <c r="L6" s="6" t="s">
        <v>2</v>
      </c>
      <c r="M6">
        <f t="shared" ref="M6:M10" si="2">COUNTIF($C$5:$J$60,L6)</f>
        <v>23</v>
      </c>
    </row>
    <row r="7" spans="2:13" x14ac:dyDescent="0.25">
      <c r="B7" s="4">
        <v>3</v>
      </c>
      <c r="C7" t="s">
        <v>7</v>
      </c>
      <c r="H7" t="s">
        <v>7</v>
      </c>
      <c r="I7" t="s">
        <v>7</v>
      </c>
      <c r="L7" s="7" t="s">
        <v>3</v>
      </c>
      <c r="M7">
        <f t="shared" si="2"/>
        <v>18</v>
      </c>
    </row>
    <row r="8" spans="2:13" x14ac:dyDescent="0.25">
      <c r="B8" s="4">
        <v>4</v>
      </c>
      <c r="C8" t="s">
        <v>2</v>
      </c>
      <c r="D8" t="s">
        <v>7</v>
      </c>
      <c r="E8" t="s">
        <v>7</v>
      </c>
      <c r="G8" t="s">
        <v>7</v>
      </c>
      <c r="I8" t="s">
        <v>7</v>
      </c>
      <c r="J8" t="s">
        <v>7</v>
      </c>
      <c r="L8" s="8" t="s">
        <v>4</v>
      </c>
      <c r="M8">
        <f t="shared" si="2"/>
        <v>0</v>
      </c>
    </row>
    <row r="9" spans="2:13" x14ac:dyDescent="0.25">
      <c r="B9" s="4">
        <v>5</v>
      </c>
      <c r="I9" t="s">
        <v>7</v>
      </c>
      <c r="L9" s="9" t="s">
        <v>6</v>
      </c>
      <c r="M9">
        <f t="shared" si="2"/>
        <v>0</v>
      </c>
    </row>
    <row r="10" spans="2:13" x14ac:dyDescent="0.25">
      <c r="B10" s="4">
        <v>6</v>
      </c>
      <c r="D10" t="s">
        <v>3</v>
      </c>
      <c r="I10" t="s">
        <v>7</v>
      </c>
      <c r="L10" s="10" t="s">
        <v>5</v>
      </c>
      <c r="M10">
        <f t="shared" si="2"/>
        <v>37</v>
      </c>
    </row>
    <row r="11" spans="2:13" x14ac:dyDescent="0.25">
      <c r="B11" s="4">
        <v>7</v>
      </c>
      <c r="D11" t="s">
        <v>7</v>
      </c>
      <c r="M11">
        <f>SUM(M5:M10)</f>
        <v>191</v>
      </c>
    </row>
    <row r="12" spans="2:13" x14ac:dyDescent="0.25">
      <c r="B12" s="4">
        <v>8</v>
      </c>
      <c r="G12" t="s">
        <v>5</v>
      </c>
    </row>
    <row r="13" spans="2:13" x14ac:dyDescent="0.25">
      <c r="B13" s="4">
        <v>9</v>
      </c>
    </row>
    <row r="14" spans="2:13" x14ac:dyDescent="0.25">
      <c r="B14" s="4">
        <v>10</v>
      </c>
    </row>
    <row r="15" spans="2:13" x14ac:dyDescent="0.25">
      <c r="B15" s="4">
        <v>11</v>
      </c>
    </row>
    <row r="16" spans="2:13" x14ac:dyDescent="0.25">
      <c r="B16" s="4">
        <v>12</v>
      </c>
      <c r="I16" t="s">
        <v>7</v>
      </c>
      <c r="J16" t="s">
        <v>7</v>
      </c>
    </row>
    <row r="17" spans="2:10" x14ac:dyDescent="0.25">
      <c r="B17" s="4">
        <v>13</v>
      </c>
      <c r="D17" t="s">
        <v>7</v>
      </c>
    </row>
    <row r="18" spans="2:10" x14ac:dyDescent="0.25">
      <c r="B18" s="4">
        <v>14</v>
      </c>
      <c r="C18" t="s">
        <v>2</v>
      </c>
      <c r="E18" t="s">
        <v>7</v>
      </c>
      <c r="H18" t="s">
        <v>5</v>
      </c>
      <c r="J18" t="s">
        <v>5</v>
      </c>
    </row>
    <row r="19" spans="2:10" x14ac:dyDescent="0.25">
      <c r="B19" s="4">
        <v>15</v>
      </c>
      <c r="C19" t="s">
        <v>5</v>
      </c>
      <c r="E19" t="s">
        <v>7</v>
      </c>
      <c r="H19" t="s">
        <v>7</v>
      </c>
    </row>
    <row r="20" spans="2:10" x14ac:dyDescent="0.25">
      <c r="B20" s="4">
        <v>16</v>
      </c>
      <c r="C20" t="s">
        <v>2</v>
      </c>
      <c r="D20" t="s">
        <v>2</v>
      </c>
      <c r="E20" t="s">
        <v>2</v>
      </c>
      <c r="F20" t="s">
        <v>2</v>
      </c>
      <c r="G20" t="s">
        <v>2</v>
      </c>
      <c r="H20" t="s">
        <v>2</v>
      </c>
      <c r="I20" t="s">
        <v>2</v>
      </c>
      <c r="J20" t="s">
        <v>2</v>
      </c>
    </row>
    <row r="21" spans="2:10" x14ac:dyDescent="0.25">
      <c r="B21" s="4">
        <v>17</v>
      </c>
      <c r="C21" t="s">
        <v>7</v>
      </c>
      <c r="E21" t="s">
        <v>7</v>
      </c>
      <c r="G21" t="s">
        <v>7</v>
      </c>
      <c r="H21" t="s">
        <v>7</v>
      </c>
    </row>
    <row r="22" spans="2:10" x14ac:dyDescent="0.25">
      <c r="B22" s="4">
        <v>18</v>
      </c>
      <c r="D22" t="s">
        <v>7</v>
      </c>
      <c r="G22" t="s">
        <v>7</v>
      </c>
      <c r="J22" t="s">
        <v>7</v>
      </c>
    </row>
    <row r="23" spans="2:10" x14ac:dyDescent="0.25">
      <c r="B23" s="4">
        <v>19</v>
      </c>
      <c r="C23" t="s">
        <v>7</v>
      </c>
      <c r="F23" t="s">
        <v>5</v>
      </c>
      <c r="G23" t="s">
        <v>5</v>
      </c>
      <c r="J23" t="s">
        <v>7</v>
      </c>
    </row>
    <row r="24" spans="2:10" x14ac:dyDescent="0.25">
      <c r="B24" s="4">
        <v>20</v>
      </c>
      <c r="E24" t="s">
        <v>5</v>
      </c>
      <c r="H24" t="s">
        <v>7</v>
      </c>
    </row>
    <row r="25" spans="2:10" x14ac:dyDescent="0.25">
      <c r="B25" s="4">
        <v>21</v>
      </c>
      <c r="C25" t="s">
        <v>3</v>
      </c>
      <c r="G25" t="s">
        <v>3</v>
      </c>
      <c r="I25" t="s">
        <v>3</v>
      </c>
    </row>
    <row r="26" spans="2:10" x14ac:dyDescent="0.25">
      <c r="B26" s="4">
        <v>22</v>
      </c>
      <c r="E26" t="s">
        <v>5</v>
      </c>
      <c r="I26" t="s">
        <v>7</v>
      </c>
    </row>
    <row r="27" spans="2:10" x14ac:dyDescent="0.25">
      <c r="B27" s="4">
        <v>23</v>
      </c>
      <c r="C27" t="s">
        <v>3</v>
      </c>
      <c r="F27" t="s">
        <v>3</v>
      </c>
      <c r="I27" t="s">
        <v>3</v>
      </c>
    </row>
    <row r="28" spans="2:10" x14ac:dyDescent="0.25">
      <c r="B28" s="4">
        <v>24</v>
      </c>
      <c r="D28" t="s">
        <v>5</v>
      </c>
      <c r="G28" t="s">
        <v>5</v>
      </c>
      <c r="I28" t="s">
        <v>5</v>
      </c>
      <c r="J28" t="s">
        <v>7</v>
      </c>
    </row>
    <row r="29" spans="2:10" x14ac:dyDescent="0.25">
      <c r="B29" s="4">
        <v>25</v>
      </c>
      <c r="C29" t="s">
        <v>7</v>
      </c>
      <c r="D29" t="s">
        <v>7</v>
      </c>
      <c r="E29" t="s">
        <v>7</v>
      </c>
      <c r="F29" t="s">
        <v>7</v>
      </c>
      <c r="G29" t="s">
        <v>7</v>
      </c>
      <c r="H29" t="s">
        <v>7</v>
      </c>
      <c r="I29" t="s">
        <v>7</v>
      </c>
      <c r="J29" t="s">
        <v>7</v>
      </c>
    </row>
    <row r="30" spans="2:10" x14ac:dyDescent="0.25">
      <c r="B30" s="4">
        <v>26</v>
      </c>
      <c r="C30" t="s">
        <v>7</v>
      </c>
      <c r="F30" t="s">
        <v>7</v>
      </c>
      <c r="I30" t="s">
        <v>7</v>
      </c>
    </row>
    <row r="31" spans="2:10" x14ac:dyDescent="0.25">
      <c r="B31" s="4">
        <v>27</v>
      </c>
      <c r="C31" t="s">
        <v>5</v>
      </c>
      <c r="F31" t="s">
        <v>7</v>
      </c>
      <c r="I31" t="s">
        <v>7</v>
      </c>
    </row>
    <row r="32" spans="2:10" x14ac:dyDescent="0.25">
      <c r="B32" s="4">
        <v>28</v>
      </c>
      <c r="E32" t="s">
        <v>7</v>
      </c>
      <c r="H32" t="s">
        <v>5</v>
      </c>
      <c r="I32" t="s">
        <v>7</v>
      </c>
      <c r="J32" t="s">
        <v>5</v>
      </c>
    </row>
    <row r="33" spans="2:10" x14ac:dyDescent="0.25">
      <c r="B33" s="4">
        <v>29</v>
      </c>
      <c r="C33" t="s">
        <v>7</v>
      </c>
      <c r="D33" t="s">
        <v>7</v>
      </c>
      <c r="E33" t="s">
        <v>7</v>
      </c>
      <c r="F33" t="s">
        <v>2</v>
      </c>
      <c r="G33" t="s">
        <v>5</v>
      </c>
      <c r="H33" t="s">
        <v>7</v>
      </c>
      <c r="I33" t="s">
        <v>7</v>
      </c>
      <c r="J33" t="s">
        <v>7</v>
      </c>
    </row>
    <row r="34" spans="2:10" x14ac:dyDescent="0.25">
      <c r="B34" s="4">
        <v>30</v>
      </c>
      <c r="D34" t="s">
        <v>5</v>
      </c>
      <c r="E34" t="s">
        <v>2</v>
      </c>
      <c r="F34" t="s">
        <v>2</v>
      </c>
      <c r="G34" t="s">
        <v>2</v>
      </c>
      <c r="H34" t="s">
        <v>2</v>
      </c>
      <c r="I34" t="s">
        <v>2</v>
      </c>
      <c r="J34" t="s">
        <v>7</v>
      </c>
    </row>
    <row r="35" spans="2:10" x14ac:dyDescent="0.25">
      <c r="B35" s="4">
        <v>31</v>
      </c>
    </row>
    <row r="36" spans="2:10" x14ac:dyDescent="0.25">
      <c r="B36" s="4">
        <v>32</v>
      </c>
      <c r="D36" t="s">
        <v>7</v>
      </c>
      <c r="E36" t="s">
        <v>7</v>
      </c>
      <c r="G36" t="s">
        <v>7</v>
      </c>
      <c r="H36" t="s">
        <v>2</v>
      </c>
      <c r="I36" t="s">
        <v>2</v>
      </c>
      <c r="J36" t="s">
        <v>2</v>
      </c>
    </row>
    <row r="37" spans="2:10" x14ac:dyDescent="0.25">
      <c r="B37" s="4">
        <v>33</v>
      </c>
      <c r="I37" t="s">
        <v>3</v>
      </c>
      <c r="J37" t="s">
        <v>7</v>
      </c>
    </row>
    <row r="38" spans="2:10" x14ac:dyDescent="0.25">
      <c r="B38" s="4">
        <v>34</v>
      </c>
      <c r="D38" t="s">
        <v>5</v>
      </c>
      <c r="G38" t="s">
        <v>7</v>
      </c>
      <c r="J38" t="s">
        <v>7</v>
      </c>
    </row>
    <row r="39" spans="2:10" x14ac:dyDescent="0.25">
      <c r="B39" s="4">
        <v>35</v>
      </c>
      <c r="C39" t="s">
        <v>2</v>
      </c>
      <c r="D39" t="s">
        <v>3</v>
      </c>
      <c r="E39" t="s">
        <v>3</v>
      </c>
      <c r="F39" t="s">
        <v>7</v>
      </c>
      <c r="G39" t="s">
        <v>7</v>
      </c>
      <c r="H39" t="s">
        <v>7</v>
      </c>
      <c r="I39" t="s">
        <v>7</v>
      </c>
      <c r="J39" t="s">
        <v>7</v>
      </c>
    </row>
    <row r="40" spans="2:10" x14ac:dyDescent="0.25">
      <c r="B40" s="4">
        <v>36</v>
      </c>
      <c r="D40" t="s">
        <v>2</v>
      </c>
      <c r="F40" t="s">
        <v>7</v>
      </c>
      <c r="G40" t="s">
        <v>3</v>
      </c>
      <c r="H40" t="s">
        <v>5</v>
      </c>
      <c r="I40" t="s">
        <v>7</v>
      </c>
      <c r="J40" t="s">
        <v>7</v>
      </c>
    </row>
    <row r="41" spans="2:10" x14ac:dyDescent="0.25">
      <c r="B41" s="4">
        <v>37</v>
      </c>
      <c r="D41" t="s">
        <v>5</v>
      </c>
      <c r="E41" t="s">
        <v>7</v>
      </c>
      <c r="J41" t="s">
        <v>7</v>
      </c>
    </row>
    <row r="42" spans="2:10" x14ac:dyDescent="0.25">
      <c r="B42" s="4">
        <v>38</v>
      </c>
      <c r="E42" t="s">
        <v>7</v>
      </c>
      <c r="H42" t="s">
        <v>5</v>
      </c>
    </row>
    <row r="43" spans="2:10" x14ac:dyDescent="0.25">
      <c r="B43" s="4">
        <v>39</v>
      </c>
      <c r="C43" t="s">
        <v>5</v>
      </c>
      <c r="D43" t="s">
        <v>7</v>
      </c>
      <c r="F43" t="s">
        <v>7</v>
      </c>
      <c r="H43" t="s">
        <v>7</v>
      </c>
      <c r="I43" t="s">
        <v>7</v>
      </c>
    </row>
    <row r="44" spans="2:10" x14ac:dyDescent="0.25">
      <c r="B44" s="4">
        <v>40</v>
      </c>
      <c r="E44" t="s">
        <v>7</v>
      </c>
      <c r="H44" t="s">
        <v>7</v>
      </c>
      <c r="J44" t="s">
        <v>5</v>
      </c>
    </row>
    <row r="45" spans="2:10" x14ac:dyDescent="0.25">
      <c r="B45" s="4">
        <v>41</v>
      </c>
      <c r="D45" t="s">
        <v>7</v>
      </c>
      <c r="F45" t="s">
        <v>7</v>
      </c>
      <c r="G45" t="s">
        <v>5</v>
      </c>
      <c r="I45" t="s">
        <v>5</v>
      </c>
    </row>
    <row r="46" spans="2:10" x14ac:dyDescent="0.25">
      <c r="B46" s="4">
        <v>42</v>
      </c>
      <c r="E46" t="s">
        <v>7</v>
      </c>
      <c r="H46" t="s">
        <v>7</v>
      </c>
      <c r="J46" t="s">
        <v>7</v>
      </c>
    </row>
    <row r="47" spans="2:10" x14ac:dyDescent="0.25">
      <c r="B47" s="4">
        <v>43</v>
      </c>
      <c r="D47" t="s">
        <v>7</v>
      </c>
      <c r="F47" t="s">
        <v>5</v>
      </c>
      <c r="G47" t="s">
        <v>5</v>
      </c>
      <c r="I47" t="s">
        <v>7</v>
      </c>
    </row>
    <row r="48" spans="2:10" x14ac:dyDescent="0.25">
      <c r="B48" s="4">
        <v>44</v>
      </c>
      <c r="C48" t="s">
        <v>7</v>
      </c>
      <c r="H48" t="s">
        <v>2</v>
      </c>
    </row>
    <row r="49" spans="2:10" x14ac:dyDescent="0.25">
      <c r="B49" s="4">
        <v>45</v>
      </c>
      <c r="D49" t="s">
        <v>7</v>
      </c>
      <c r="F49" t="s">
        <v>7</v>
      </c>
      <c r="H49" t="s">
        <v>7</v>
      </c>
      <c r="J49" t="s">
        <v>7</v>
      </c>
    </row>
    <row r="50" spans="2:10" x14ac:dyDescent="0.25">
      <c r="B50" s="4">
        <v>46</v>
      </c>
      <c r="C50" t="s">
        <v>3</v>
      </c>
      <c r="E50" t="s">
        <v>3</v>
      </c>
      <c r="G50" t="s">
        <v>7</v>
      </c>
      <c r="I50" t="s">
        <v>7</v>
      </c>
      <c r="J50" t="s">
        <v>7</v>
      </c>
    </row>
    <row r="51" spans="2:10" x14ac:dyDescent="0.25">
      <c r="B51" s="4">
        <v>47</v>
      </c>
      <c r="C51" t="s">
        <v>7</v>
      </c>
      <c r="D51" t="s">
        <v>3</v>
      </c>
      <c r="F51" t="s">
        <v>7</v>
      </c>
      <c r="G51" t="s">
        <v>5</v>
      </c>
      <c r="I51" t="s">
        <v>3</v>
      </c>
    </row>
    <row r="52" spans="2:10" x14ac:dyDescent="0.25">
      <c r="B52" s="4">
        <v>48</v>
      </c>
      <c r="C52" t="s">
        <v>5</v>
      </c>
      <c r="E52" t="s">
        <v>5</v>
      </c>
      <c r="G52" t="s">
        <v>7</v>
      </c>
      <c r="H52" t="s">
        <v>7</v>
      </c>
      <c r="I52" t="s">
        <v>7</v>
      </c>
    </row>
    <row r="53" spans="2:10" x14ac:dyDescent="0.25">
      <c r="B53" s="4">
        <v>49</v>
      </c>
      <c r="D53" t="s">
        <v>7</v>
      </c>
      <c r="F53" t="s">
        <v>7</v>
      </c>
      <c r="H53" t="s">
        <v>7</v>
      </c>
      <c r="J53" t="s">
        <v>7</v>
      </c>
    </row>
    <row r="54" spans="2:10" x14ac:dyDescent="0.25">
      <c r="B54" s="4">
        <v>50</v>
      </c>
      <c r="C54" t="s">
        <v>3</v>
      </c>
      <c r="D54" t="s">
        <v>7</v>
      </c>
      <c r="E54" t="s">
        <v>5</v>
      </c>
      <c r="G54" t="s">
        <v>7</v>
      </c>
    </row>
    <row r="55" spans="2:10" x14ac:dyDescent="0.25">
      <c r="B55" s="4">
        <v>51</v>
      </c>
      <c r="D55" t="s">
        <v>3</v>
      </c>
      <c r="E55" t="s">
        <v>5</v>
      </c>
      <c r="G55" t="s">
        <v>7</v>
      </c>
    </row>
    <row r="56" spans="2:10" x14ac:dyDescent="0.25">
      <c r="B56" s="4">
        <v>52</v>
      </c>
      <c r="C56" t="s">
        <v>3</v>
      </c>
      <c r="E56" t="s">
        <v>5</v>
      </c>
    </row>
    <row r="57" spans="2:10" x14ac:dyDescent="0.25">
      <c r="B57" s="4">
        <v>53</v>
      </c>
      <c r="F57" t="s">
        <v>7</v>
      </c>
    </row>
    <row r="58" spans="2:10" x14ac:dyDescent="0.25">
      <c r="B58" s="4">
        <v>54</v>
      </c>
      <c r="C58" t="s">
        <v>7</v>
      </c>
      <c r="E58" t="s">
        <v>7</v>
      </c>
      <c r="H58" t="s">
        <v>7</v>
      </c>
    </row>
    <row r="59" spans="2:10" x14ac:dyDescent="0.25">
      <c r="B59" s="4">
        <v>55</v>
      </c>
      <c r="F59" t="s">
        <v>5</v>
      </c>
      <c r="I59" t="s">
        <v>5</v>
      </c>
    </row>
    <row r="60" spans="2:10" x14ac:dyDescent="0.25">
      <c r="B60" s="4">
        <v>56</v>
      </c>
      <c r="F60" t="s">
        <v>5</v>
      </c>
      <c r="I60" t="s">
        <v>5</v>
      </c>
    </row>
    <row r="66" spans="2:13" x14ac:dyDescent="0.25">
      <c r="C66" s="3"/>
      <c r="D66" s="3"/>
      <c r="E66" s="3"/>
      <c r="F66" s="3"/>
      <c r="G66" s="3"/>
      <c r="H66" s="3"/>
      <c r="I66" s="3"/>
      <c r="J66" s="3"/>
    </row>
    <row r="67" spans="2:13" x14ac:dyDescent="0.25">
      <c r="B67" s="2" t="s">
        <v>0</v>
      </c>
      <c r="C67" s="1"/>
      <c r="D67" s="1"/>
      <c r="E67" s="1"/>
      <c r="F67" s="1"/>
      <c r="G67" s="1"/>
      <c r="H67" s="1"/>
      <c r="I67" s="1"/>
      <c r="J67" s="1"/>
      <c r="L67" s="11" t="s">
        <v>2</v>
      </c>
    </row>
    <row r="68" spans="2:13" x14ac:dyDescent="0.25">
      <c r="B68" s="4">
        <v>1</v>
      </c>
      <c r="L68" s="12" t="s">
        <v>8</v>
      </c>
      <c r="M68">
        <f>COUNTIF($C$68:$J$123,L68)</f>
        <v>3</v>
      </c>
    </row>
    <row r="69" spans="2:13" x14ac:dyDescent="0.25">
      <c r="B69" s="4">
        <v>2</v>
      </c>
      <c r="L69" s="13" t="s">
        <v>9</v>
      </c>
      <c r="M69">
        <f t="shared" ref="M69:M73" si="3">COUNTIF($C$68:$J$123,L69)</f>
        <v>0</v>
      </c>
    </row>
    <row r="70" spans="2:13" x14ac:dyDescent="0.25">
      <c r="B70" s="4">
        <v>3</v>
      </c>
      <c r="L70" s="7" t="s">
        <v>10</v>
      </c>
      <c r="M70">
        <f t="shared" si="3"/>
        <v>0</v>
      </c>
    </row>
    <row r="71" spans="2:13" x14ac:dyDescent="0.25">
      <c r="B71" s="4">
        <v>4</v>
      </c>
      <c r="C71" t="s">
        <v>11</v>
      </c>
      <c r="L71" s="8" t="s">
        <v>11</v>
      </c>
      <c r="M71">
        <f t="shared" si="3"/>
        <v>5</v>
      </c>
    </row>
    <row r="72" spans="2:13" x14ac:dyDescent="0.25">
      <c r="B72" s="4">
        <v>5</v>
      </c>
      <c r="L72" s="14" t="s">
        <v>12</v>
      </c>
      <c r="M72">
        <f t="shared" si="3"/>
        <v>2</v>
      </c>
    </row>
    <row r="73" spans="2:13" x14ac:dyDescent="0.25">
      <c r="B73" s="4">
        <v>6</v>
      </c>
      <c r="L73" s="15" t="s">
        <v>13</v>
      </c>
      <c r="M73">
        <f t="shared" si="3"/>
        <v>0</v>
      </c>
    </row>
    <row r="74" spans="2:13" x14ac:dyDescent="0.25">
      <c r="B74" s="4">
        <v>7</v>
      </c>
      <c r="M74">
        <f>SUM(M68:M73)</f>
        <v>10</v>
      </c>
    </row>
    <row r="75" spans="2:13" x14ac:dyDescent="0.25">
      <c r="B75" s="4">
        <v>8</v>
      </c>
    </row>
    <row r="76" spans="2:13" x14ac:dyDescent="0.25">
      <c r="B76" s="4">
        <v>9</v>
      </c>
    </row>
    <row r="77" spans="2:13" x14ac:dyDescent="0.25">
      <c r="B77" s="4">
        <v>10</v>
      </c>
    </row>
    <row r="78" spans="2:13" x14ac:dyDescent="0.25">
      <c r="B78" s="4">
        <v>11</v>
      </c>
    </row>
    <row r="79" spans="2:13" x14ac:dyDescent="0.25">
      <c r="B79" s="4">
        <v>12</v>
      </c>
    </row>
    <row r="80" spans="2:13" x14ac:dyDescent="0.25">
      <c r="B80" s="4">
        <v>13</v>
      </c>
    </row>
    <row r="81" spans="2:8" x14ac:dyDescent="0.25">
      <c r="B81" s="4">
        <v>14</v>
      </c>
      <c r="C81" t="s">
        <v>12</v>
      </c>
    </row>
    <row r="82" spans="2:8" x14ac:dyDescent="0.25">
      <c r="B82" s="4">
        <v>15</v>
      </c>
    </row>
    <row r="83" spans="2:8" x14ac:dyDescent="0.25">
      <c r="B83" s="4">
        <v>16</v>
      </c>
      <c r="F83" t="s">
        <v>8</v>
      </c>
      <c r="G83" t="s">
        <v>8</v>
      </c>
      <c r="H83" t="s">
        <v>8</v>
      </c>
    </row>
    <row r="84" spans="2:8" x14ac:dyDescent="0.25">
      <c r="B84" s="4">
        <v>17</v>
      </c>
    </row>
    <row r="85" spans="2:8" x14ac:dyDescent="0.25">
      <c r="B85" s="4">
        <v>18</v>
      </c>
    </row>
    <row r="86" spans="2:8" x14ac:dyDescent="0.25">
      <c r="B86" s="4">
        <v>19</v>
      </c>
    </row>
    <row r="87" spans="2:8" x14ac:dyDescent="0.25">
      <c r="B87" s="4">
        <v>20</v>
      </c>
    </row>
    <row r="88" spans="2:8" x14ac:dyDescent="0.25">
      <c r="B88" s="4">
        <v>21</v>
      </c>
    </row>
    <row r="89" spans="2:8" x14ac:dyDescent="0.25">
      <c r="B89" s="4">
        <v>22</v>
      </c>
    </row>
    <row r="90" spans="2:8" x14ac:dyDescent="0.25">
      <c r="B90" s="4">
        <v>23</v>
      </c>
    </row>
    <row r="91" spans="2:8" x14ac:dyDescent="0.25">
      <c r="B91" s="4">
        <v>24</v>
      </c>
    </row>
    <row r="92" spans="2:8" x14ac:dyDescent="0.25">
      <c r="B92" s="4">
        <v>25</v>
      </c>
    </row>
    <row r="93" spans="2:8" x14ac:dyDescent="0.25">
      <c r="B93" s="4">
        <v>26</v>
      </c>
    </row>
    <row r="94" spans="2:8" x14ac:dyDescent="0.25">
      <c r="B94" s="4">
        <v>27</v>
      </c>
    </row>
    <row r="95" spans="2:8" x14ac:dyDescent="0.25">
      <c r="B95" s="4">
        <v>28</v>
      </c>
    </row>
    <row r="96" spans="2:8" x14ac:dyDescent="0.25">
      <c r="B96" s="4">
        <v>29</v>
      </c>
    </row>
    <row r="97" spans="2:10" x14ac:dyDescent="0.25">
      <c r="B97" s="4">
        <v>30</v>
      </c>
    </row>
    <row r="98" spans="2:10" x14ac:dyDescent="0.25">
      <c r="B98" s="4">
        <v>31</v>
      </c>
    </row>
    <row r="99" spans="2:10" x14ac:dyDescent="0.25">
      <c r="B99" s="4">
        <v>32</v>
      </c>
      <c r="H99" t="s">
        <v>11</v>
      </c>
      <c r="I99" t="s">
        <v>11</v>
      </c>
      <c r="J99" t="s">
        <v>11</v>
      </c>
    </row>
    <row r="100" spans="2:10" x14ac:dyDescent="0.25">
      <c r="B100" s="4">
        <v>33</v>
      </c>
    </row>
    <row r="101" spans="2:10" x14ac:dyDescent="0.25">
      <c r="B101" s="4">
        <v>34</v>
      </c>
    </row>
    <row r="102" spans="2:10" x14ac:dyDescent="0.25">
      <c r="B102" s="4">
        <v>35</v>
      </c>
      <c r="C102" t="s">
        <v>12</v>
      </c>
    </row>
    <row r="103" spans="2:10" x14ac:dyDescent="0.25">
      <c r="B103" s="4">
        <v>36</v>
      </c>
    </row>
    <row r="104" spans="2:10" x14ac:dyDescent="0.25">
      <c r="B104" s="4">
        <v>37</v>
      </c>
    </row>
    <row r="105" spans="2:10" x14ac:dyDescent="0.25">
      <c r="B105" s="4">
        <v>38</v>
      </c>
    </row>
    <row r="106" spans="2:10" x14ac:dyDescent="0.25">
      <c r="B106" s="4">
        <v>39</v>
      </c>
    </row>
    <row r="107" spans="2:10" x14ac:dyDescent="0.25">
      <c r="B107" s="4">
        <v>40</v>
      </c>
    </row>
    <row r="108" spans="2:10" x14ac:dyDescent="0.25">
      <c r="B108" s="4">
        <v>41</v>
      </c>
    </row>
    <row r="109" spans="2:10" x14ac:dyDescent="0.25">
      <c r="B109" s="4">
        <v>42</v>
      </c>
    </row>
    <row r="110" spans="2:10" x14ac:dyDescent="0.25">
      <c r="B110" s="4">
        <v>43</v>
      </c>
    </row>
    <row r="111" spans="2:10" x14ac:dyDescent="0.25">
      <c r="B111" s="4">
        <v>44</v>
      </c>
      <c r="H111" t="s">
        <v>11</v>
      </c>
    </row>
    <row r="112" spans="2:10" x14ac:dyDescent="0.25">
      <c r="B112" s="4">
        <v>45</v>
      </c>
    </row>
    <row r="113" spans="2:2" x14ac:dyDescent="0.25">
      <c r="B113" s="4">
        <v>46</v>
      </c>
    </row>
    <row r="114" spans="2:2" x14ac:dyDescent="0.25">
      <c r="B114" s="4">
        <v>47</v>
      </c>
    </row>
    <row r="115" spans="2:2" x14ac:dyDescent="0.25">
      <c r="B115" s="4">
        <v>48</v>
      </c>
    </row>
    <row r="116" spans="2:2" x14ac:dyDescent="0.25">
      <c r="B116" s="4">
        <v>49</v>
      </c>
    </row>
    <row r="117" spans="2:2" x14ac:dyDescent="0.25">
      <c r="B117" s="4">
        <v>50</v>
      </c>
    </row>
    <row r="118" spans="2:2" x14ac:dyDescent="0.25">
      <c r="B118" s="4">
        <v>51</v>
      </c>
    </row>
    <row r="119" spans="2:2" x14ac:dyDescent="0.25">
      <c r="B119" s="4">
        <v>52</v>
      </c>
    </row>
    <row r="120" spans="2:2" x14ac:dyDescent="0.25">
      <c r="B120" s="4">
        <v>53</v>
      </c>
    </row>
    <row r="121" spans="2:2" x14ac:dyDescent="0.25">
      <c r="B121" s="4">
        <v>54</v>
      </c>
    </row>
    <row r="122" spans="2:2" x14ac:dyDescent="0.25">
      <c r="B122" s="4">
        <v>55</v>
      </c>
    </row>
    <row r="123" spans="2:2" x14ac:dyDescent="0.25">
      <c r="B123" s="4">
        <v>56</v>
      </c>
    </row>
  </sheetData>
  <conditionalFormatting sqref="C5:E11 H5:H11">
    <cfRule type="cellIs" dxfId="411" priority="32" operator="equal">
      <formula>"Energia"</formula>
    </cfRule>
  </conditionalFormatting>
  <conditionalFormatting sqref="C5:E60 H5:J60">
    <cfRule type="cellIs" dxfId="410" priority="25" operator="equal">
      <formula>"Energia"</formula>
    </cfRule>
    <cfRule type="cellIs" dxfId="409" priority="27" operator="equal">
      <formula>"Operação"</formula>
    </cfRule>
    <cfRule type="cellIs" dxfId="408" priority="28" operator="equal">
      <formula>"Chuva"</formula>
    </cfRule>
    <cfRule type="cellIs" dxfId="407" priority="29" operator="equal">
      <formula>"Elétrico"</formula>
    </cfRule>
    <cfRule type="cellIs" dxfId="406" priority="30" operator="equal">
      <formula>"Mecânico"</formula>
    </cfRule>
    <cfRule type="cellIs" dxfId="405" priority="31" operator="equal">
      <formula>"Ok"</formula>
    </cfRule>
  </conditionalFormatting>
  <conditionalFormatting sqref="C61:J61 C5:E60 H5:J60">
    <cfRule type="cellIs" dxfId="404" priority="26" operator="equal">
      <formula>"Feito"</formula>
    </cfRule>
  </conditionalFormatting>
  <conditionalFormatting sqref="C68:H74">
    <cfRule type="cellIs" dxfId="403" priority="24" operator="equal">
      <formula>"Energia"</formula>
    </cfRule>
  </conditionalFormatting>
  <conditionalFormatting sqref="C68:J123">
    <cfRule type="cellIs" dxfId="402" priority="9" operator="equal">
      <formula>"Micro"</formula>
    </cfRule>
    <cfRule type="cellIs" dxfId="401" priority="10" operator="equal">
      <formula>"Castanha"</formula>
    </cfRule>
    <cfRule type="cellIs" dxfId="400" priority="11" operator="equal">
      <formula>"Redutor"</formula>
    </cfRule>
    <cfRule type="cellIs" dxfId="399" priority="12" operator="equal">
      <formula>"Adutora"</formula>
    </cfRule>
    <cfRule type="cellIs" dxfId="398" priority="13" operator="equal">
      <formula>"Mangote"</formula>
    </cfRule>
    <cfRule type="cellIs" dxfId="397" priority="14" operator="equal">
      <formula>"Vedação"</formula>
    </cfRule>
    <cfRule type="dataBar" priority="16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{B6B63773-1D41-44B4-8D66-BF880EF005DC}</x14:id>
        </ext>
      </extLst>
    </cfRule>
    <cfRule type="cellIs" dxfId="396" priority="17" operator="equal">
      <formula>"Energia"</formula>
    </cfRule>
    <cfRule type="cellIs" dxfId="395" priority="19" operator="equal">
      <formula>"Operação"</formula>
    </cfRule>
    <cfRule type="cellIs" dxfId="394" priority="20" operator="equal">
      <formula>"Chuva"</formula>
    </cfRule>
    <cfRule type="cellIs" dxfId="393" priority="21" operator="equal">
      <formula>"Elétrico"</formula>
    </cfRule>
    <cfRule type="cellIs" dxfId="392" priority="22" operator="equal">
      <formula>"Mecânico"</formula>
    </cfRule>
    <cfRule type="cellIs" dxfId="391" priority="23" operator="equal">
      <formula>"Ok"</formula>
    </cfRule>
  </conditionalFormatting>
  <conditionalFormatting sqref="C68:J123">
    <cfRule type="cellIs" dxfId="390" priority="18" operator="equal">
      <formula>"Feito"</formula>
    </cfRule>
  </conditionalFormatting>
  <conditionalFormatting sqref="L7">
    <cfRule type="iconSet" priority="15">
      <iconSet iconSet="3Arrows">
        <cfvo type="percent" val="0"/>
        <cfvo type="percent" val="33"/>
        <cfvo type="percent" val="67"/>
      </iconSet>
    </cfRule>
  </conditionalFormatting>
  <conditionalFormatting sqref="F5:G11">
    <cfRule type="cellIs" dxfId="389" priority="8" operator="equal">
      <formula>"Energia"</formula>
    </cfRule>
  </conditionalFormatting>
  <conditionalFormatting sqref="F5:G60">
    <cfRule type="cellIs" dxfId="388" priority="1" operator="equal">
      <formula>"Energia"</formula>
    </cfRule>
    <cfRule type="cellIs" dxfId="387" priority="3" operator="equal">
      <formula>"Operação"</formula>
    </cfRule>
    <cfRule type="cellIs" dxfId="386" priority="4" operator="equal">
      <formula>"Chuva"</formula>
    </cfRule>
    <cfRule type="cellIs" dxfId="385" priority="5" operator="equal">
      <formula>"Elétrico"</formula>
    </cfRule>
    <cfRule type="cellIs" dxfId="384" priority="6" operator="equal">
      <formula>"Mecânico"</formula>
    </cfRule>
    <cfRule type="cellIs" dxfId="383" priority="7" operator="equal">
      <formula>"Ok"</formula>
    </cfRule>
  </conditionalFormatting>
  <conditionalFormatting sqref="F5:G60">
    <cfRule type="cellIs" dxfId="382" priority="2" operator="equal">
      <formula>"Feito"</formula>
    </cfRule>
  </conditionalFormatting>
  <dataValidations count="2">
    <dataValidation type="list" allowBlank="1" showInputMessage="1" showErrorMessage="1" sqref="K68:K123 C5:K60" xr:uid="{4E337D32-D903-4EAD-9AF1-9EB39C2D1543}">
      <formula1>$L$5:$L$10</formula1>
    </dataValidation>
    <dataValidation type="list" allowBlank="1" showInputMessage="1" showErrorMessage="1" sqref="C68:J123" xr:uid="{F930373B-539D-452B-9FB8-C975B5915F84}">
      <formula1>$L$68:$L$73</formula1>
    </dataValidation>
  </dataValidations>
  <pageMargins left="0.511811024" right="0.511811024" top="0.78740157499999996" bottom="0.78740157499999996" header="0.31496062000000002" footer="0.31496062000000002"/>
  <pageSetup paperSize="9" orientation="portrait" horizontalDpi="0" verticalDpi="0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6B63773-1D41-44B4-8D66-BF880EF005DC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C68:J123</xm:sqref>
        </x14:conditionalFormatting>
      </x14:conditionalFormatting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1BD79F-3FA9-45CC-A246-40CA33C157DE}">
  <dimension ref="B3:M123"/>
  <sheetViews>
    <sheetView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B3" sqref="B3:N60"/>
    </sheetView>
  </sheetViews>
  <sheetFormatPr defaultRowHeight="15" x14ac:dyDescent="0.25"/>
  <cols>
    <col min="3" max="3" width="11.85546875" customWidth="1"/>
    <col min="4" max="4" width="12.42578125" customWidth="1"/>
    <col min="5" max="5" width="12.85546875" customWidth="1"/>
    <col min="6" max="6" width="11" customWidth="1"/>
    <col min="7" max="7" width="12.85546875" customWidth="1"/>
    <col min="8" max="8" width="11.85546875" customWidth="1"/>
    <col min="9" max="9" width="11.42578125" customWidth="1"/>
    <col min="10" max="10" width="10.28515625" customWidth="1"/>
    <col min="12" max="12" width="15.7109375" customWidth="1"/>
  </cols>
  <sheetData>
    <row r="3" spans="2:13" x14ac:dyDescent="0.25">
      <c r="C3" s="3">
        <v>44282</v>
      </c>
      <c r="D3" s="3">
        <f>C3+1</f>
        <v>44283</v>
      </c>
      <c r="E3" s="3">
        <f t="shared" ref="E3:J3" si="0">D3+1</f>
        <v>44284</v>
      </c>
      <c r="F3" s="3">
        <f t="shared" si="0"/>
        <v>44285</v>
      </c>
      <c r="G3" s="3">
        <f t="shared" si="0"/>
        <v>44286</v>
      </c>
      <c r="H3" s="3">
        <f t="shared" si="0"/>
        <v>44287</v>
      </c>
      <c r="I3" s="3">
        <f t="shared" si="0"/>
        <v>44288</v>
      </c>
      <c r="J3" s="3">
        <f t="shared" si="0"/>
        <v>44289</v>
      </c>
    </row>
    <row r="4" spans="2:13" x14ac:dyDescent="0.25">
      <c r="B4" s="2" t="s">
        <v>0</v>
      </c>
      <c r="C4" s="1" t="str">
        <f>TEXT(C3,"ddd")</f>
        <v>sáb</v>
      </c>
      <c r="D4" s="1" t="str">
        <f t="shared" ref="D4:J4" si="1">TEXT(D3,"ddd")</f>
        <v>dom</v>
      </c>
      <c r="E4" s="1" t="str">
        <f t="shared" si="1"/>
        <v>seg</v>
      </c>
      <c r="F4" s="1" t="str">
        <f t="shared" si="1"/>
        <v>ter</v>
      </c>
      <c r="G4" s="1" t="str">
        <f t="shared" si="1"/>
        <v>qua</v>
      </c>
      <c r="H4" s="1" t="str">
        <f t="shared" si="1"/>
        <v>qui</v>
      </c>
      <c r="I4" s="1" t="str">
        <f t="shared" si="1"/>
        <v>sex</v>
      </c>
      <c r="J4" s="1" t="str">
        <f t="shared" si="1"/>
        <v>sáb</v>
      </c>
      <c r="L4" s="11" t="s">
        <v>1</v>
      </c>
    </row>
    <row r="5" spans="2:13" x14ac:dyDescent="0.25">
      <c r="B5" s="4">
        <v>1</v>
      </c>
      <c r="D5" t="s">
        <v>3</v>
      </c>
      <c r="G5" t="s">
        <v>3</v>
      </c>
      <c r="J5" t="s">
        <v>7</v>
      </c>
      <c r="L5" s="5" t="s">
        <v>7</v>
      </c>
      <c r="M5">
        <f>COUNTIF($C$5:$J$60,L5)</f>
        <v>139</v>
      </c>
    </row>
    <row r="6" spans="2:13" x14ac:dyDescent="0.25">
      <c r="B6" s="4">
        <v>2</v>
      </c>
      <c r="C6" t="s">
        <v>7</v>
      </c>
      <c r="D6" t="s">
        <v>7</v>
      </c>
      <c r="E6" t="s">
        <v>7</v>
      </c>
      <c r="F6" t="s">
        <v>7</v>
      </c>
      <c r="G6" t="s">
        <v>7</v>
      </c>
      <c r="H6" t="s">
        <v>7</v>
      </c>
      <c r="I6" t="s">
        <v>7</v>
      </c>
      <c r="J6" t="s">
        <v>7</v>
      </c>
      <c r="L6" s="6" t="s">
        <v>2</v>
      </c>
      <c r="M6">
        <f t="shared" ref="M6:M10" si="2">COUNTIF($C$5:$J$60,L6)</f>
        <v>23</v>
      </c>
    </row>
    <row r="7" spans="2:13" x14ac:dyDescent="0.25">
      <c r="B7" s="4">
        <v>3</v>
      </c>
      <c r="D7" t="s">
        <v>7</v>
      </c>
      <c r="F7" t="s">
        <v>7</v>
      </c>
      <c r="G7" t="s">
        <v>7</v>
      </c>
      <c r="L7" s="7" t="s">
        <v>3</v>
      </c>
      <c r="M7">
        <f t="shared" si="2"/>
        <v>5</v>
      </c>
    </row>
    <row r="8" spans="2:13" x14ac:dyDescent="0.25">
      <c r="B8" s="4">
        <v>4</v>
      </c>
      <c r="E8" t="s">
        <v>2</v>
      </c>
      <c r="G8" t="s">
        <v>7</v>
      </c>
      <c r="H8" t="s">
        <v>7</v>
      </c>
      <c r="I8" t="s">
        <v>7</v>
      </c>
      <c r="L8" s="8" t="s">
        <v>4</v>
      </c>
      <c r="M8">
        <f t="shared" si="2"/>
        <v>0</v>
      </c>
    </row>
    <row r="9" spans="2:13" x14ac:dyDescent="0.25">
      <c r="B9" s="4">
        <v>5</v>
      </c>
      <c r="D9" t="s">
        <v>7</v>
      </c>
      <c r="G9" t="s">
        <v>2</v>
      </c>
      <c r="H9" t="s">
        <v>2</v>
      </c>
      <c r="I9" t="s">
        <v>2</v>
      </c>
      <c r="L9" s="9" t="s">
        <v>6</v>
      </c>
      <c r="M9">
        <f t="shared" si="2"/>
        <v>0</v>
      </c>
    </row>
    <row r="10" spans="2:13" x14ac:dyDescent="0.25">
      <c r="B10" s="4">
        <v>6</v>
      </c>
      <c r="C10" t="s">
        <v>7</v>
      </c>
      <c r="I10" t="s">
        <v>2</v>
      </c>
      <c r="J10" t="s">
        <v>2</v>
      </c>
      <c r="L10" s="10" t="s">
        <v>5</v>
      </c>
      <c r="M10">
        <f t="shared" si="2"/>
        <v>47</v>
      </c>
    </row>
    <row r="11" spans="2:13" x14ac:dyDescent="0.25">
      <c r="B11" s="4">
        <v>7</v>
      </c>
      <c r="J11" t="s">
        <v>7</v>
      </c>
      <c r="M11">
        <f>SUM(M5:M10)</f>
        <v>214</v>
      </c>
    </row>
    <row r="12" spans="2:13" x14ac:dyDescent="0.25">
      <c r="B12" s="4">
        <v>8</v>
      </c>
    </row>
    <row r="13" spans="2:13" x14ac:dyDescent="0.25">
      <c r="B13" s="4">
        <v>9</v>
      </c>
    </row>
    <row r="14" spans="2:13" x14ac:dyDescent="0.25">
      <c r="B14" s="4">
        <v>10</v>
      </c>
    </row>
    <row r="15" spans="2:13" x14ac:dyDescent="0.25">
      <c r="B15" s="4">
        <v>11</v>
      </c>
    </row>
    <row r="16" spans="2:13" x14ac:dyDescent="0.25">
      <c r="B16" s="4">
        <v>12</v>
      </c>
    </row>
    <row r="17" spans="2:10" x14ac:dyDescent="0.25">
      <c r="B17" s="4">
        <v>13</v>
      </c>
    </row>
    <row r="18" spans="2:10" x14ac:dyDescent="0.25">
      <c r="B18" s="4">
        <v>14</v>
      </c>
      <c r="C18" t="s">
        <v>7</v>
      </c>
      <c r="E18" t="s">
        <v>7</v>
      </c>
      <c r="I18" t="s">
        <v>7</v>
      </c>
    </row>
    <row r="19" spans="2:10" x14ac:dyDescent="0.25">
      <c r="B19" s="4">
        <v>15</v>
      </c>
      <c r="D19" t="s">
        <v>2</v>
      </c>
      <c r="G19" t="s">
        <v>7</v>
      </c>
      <c r="H19" t="s">
        <v>5</v>
      </c>
      <c r="J19" t="s">
        <v>7</v>
      </c>
    </row>
    <row r="20" spans="2:10" x14ac:dyDescent="0.25">
      <c r="B20" s="4">
        <v>16</v>
      </c>
      <c r="C20" t="s">
        <v>2</v>
      </c>
      <c r="D20" t="s">
        <v>2</v>
      </c>
      <c r="E20" t="s">
        <v>2</v>
      </c>
      <c r="F20" t="s">
        <v>2</v>
      </c>
      <c r="G20" t="s">
        <v>2</v>
      </c>
      <c r="H20" t="s">
        <v>2</v>
      </c>
      <c r="I20" t="s">
        <v>5</v>
      </c>
      <c r="J20" t="s">
        <v>7</v>
      </c>
    </row>
    <row r="21" spans="2:10" x14ac:dyDescent="0.25">
      <c r="B21" s="4">
        <v>17</v>
      </c>
      <c r="C21" t="s">
        <v>7</v>
      </c>
      <c r="F21" t="s">
        <v>7</v>
      </c>
      <c r="I21" t="s">
        <v>7</v>
      </c>
    </row>
    <row r="22" spans="2:10" x14ac:dyDescent="0.25">
      <c r="B22" s="4">
        <v>18</v>
      </c>
      <c r="E22" t="s">
        <v>5</v>
      </c>
      <c r="H22" t="s">
        <v>2</v>
      </c>
      <c r="I22" t="s">
        <v>2</v>
      </c>
      <c r="J22" t="s">
        <v>2</v>
      </c>
    </row>
    <row r="23" spans="2:10" x14ac:dyDescent="0.25">
      <c r="B23" s="4">
        <v>19</v>
      </c>
      <c r="E23" t="s">
        <v>7</v>
      </c>
      <c r="F23" t="s">
        <v>7</v>
      </c>
      <c r="H23" t="s">
        <v>5</v>
      </c>
      <c r="I23" t="s">
        <v>7</v>
      </c>
    </row>
    <row r="24" spans="2:10" x14ac:dyDescent="0.25">
      <c r="B24" s="4">
        <v>20</v>
      </c>
      <c r="C24" t="s">
        <v>2</v>
      </c>
      <c r="I24" t="s">
        <v>7</v>
      </c>
    </row>
    <row r="25" spans="2:10" x14ac:dyDescent="0.25">
      <c r="B25" s="4">
        <v>21</v>
      </c>
      <c r="D25" t="s">
        <v>5</v>
      </c>
      <c r="G25" t="s">
        <v>3</v>
      </c>
      <c r="J25" t="s">
        <v>7</v>
      </c>
    </row>
    <row r="26" spans="2:10" x14ac:dyDescent="0.25">
      <c r="B26" s="4">
        <v>22</v>
      </c>
      <c r="D26" t="s">
        <v>7</v>
      </c>
      <c r="E26" t="s">
        <v>7</v>
      </c>
      <c r="F26" t="s">
        <v>7</v>
      </c>
      <c r="H26" t="s">
        <v>5</v>
      </c>
    </row>
    <row r="27" spans="2:10" x14ac:dyDescent="0.25">
      <c r="B27" s="4">
        <v>23</v>
      </c>
      <c r="D27" t="s">
        <v>5</v>
      </c>
      <c r="E27" t="s">
        <v>7</v>
      </c>
      <c r="G27" t="s">
        <v>3</v>
      </c>
      <c r="J27" t="s">
        <v>7</v>
      </c>
    </row>
    <row r="28" spans="2:10" x14ac:dyDescent="0.25">
      <c r="B28" s="4">
        <v>24</v>
      </c>
      <c r="D28" t="s">
        <v>7</v>
      </c>
      <c r="G28" t="s">
        <v>5</v>
      </c>
      <c r="J28" t="s">
        <v>7</v>
      </c>
    </row>
    <row r="29" spans="2:10" x14ac:dyDescent="0.25">
      <c r="B29" s="4">
        <v>25</v>
      </c>
      <c r="C29" t="s">
        <v>7</v>
      </c>
      <c r="D29" t="s">
        <v>7</v>
      </c>
      <c r="E29" t="s">
        <v>7</v>
      </c>
      <c r="F29" t="s">
        <v>7</v>
      </c>
      <c r="H29" t="s">
        <v>7</v>
      </c>
      <c r="I29" t="s">
        <v>7</v>
      </c>
      <c r="J29" t="s">
        <v>7</v>
      </c>
    </row>
    <row r="30" spans="2:10" x14ac:dyDescent="0.25">
      <c r="B30" s="4">
        <v>26</v>
      </c>
      <c r="D30" t="s">
        <v>7</v>
      </c>
      <c r="J30" t="s">
        <v>7</v>
      </c>
    </row>
    <row r="31" spans="2:10" x14ac:dyDescent="0.25">
      <c r="B31" s="4">
        <v>27</v>
      </c>
      <c r="C31" t="s">
        <v>5</v>
      </c>
      <c r="E31" t="s">
        <v>5</v>
      </c>
      <c r="J31" t="s">
        <v>7</v>
      </c>
    </row>
    <row r="32" spans="2:10" x14ac:dyDescent="0.25">
      <c r="B32" s="4">
        <v>28</v>
      </c>
      <c r="E32" t="s">
        <v>5</v>
      </c>
      <c r="F32" t="s">
        <v>5</v>
      </c>
      <c r="G32" t="s">
        <v>7</v>
      </c>
      <c r="H32" t="s">
        <v>7</v>
      </c>
      <c r="I32" t="s">
        <v>2</v>
      </c>
      <c r="J32" t="s">
        <v>2</v>
      </c>
    </row>
    <row r="33" spans="2:10" x14ac:dyDescent="0.25">
      <c r="B33" s="4">
        <v>29</v>
      </c>
      <c r="C33" t="s">
        <v>7</v>
      </c>
      <c r="D33" t="s">
        <v>7</v>
      </c>
      <c r="E33" t="s">
        <v>7</v>
      </c>
      <c r="F33" t="s">
        <v>7</v>
      </c>
      <c r="G33" t="s">
        <v>7</v>
      </c>
      <c r="H33" t="s">
        <v>7</v>
      </c>
      <c r="I33" t="s">
        <v>7</v>
      </c>
      <c r="J33" t="s">
        <v>7</v>
      </c>
    </row>
    <row r="34" spans="2:10" x14ac:dyDescent="0.25">
      <c r="B34" s="4">
        <v>30</v>
      </c>
      <c r="C34" t="s">
        <v>7</v>
      </c>
      <c r="D34" t="s">
        <v>7</v>
      </c>
      <c r="F34" t="s">
        <v>7</v>
      </c>
      <c r="H34" t="s">
        <v>7</v>
      </c>
      <c r="J34" t="s">
        <v>7</v>
      </c>
    </row>
    <row r="35" spans="2:10" x14ac:dyDescent="0.25">
      <c r="B35" s="4">
        <v>31</v>
      </c>
      <c r="C35" t="s">
        <v>7</v>
      </c>
      <c r="D35" t="s">
        <v>7</v>
      </c>
      <c r="E35" t="s">
        <v>2</v>
      </c>
      <c r="F35" t="s">
        <v>2</v>
      </c>
      <c r="G35" t="s">
        <v>7</v>
      </c>
      <c r="H35" t="s">
        <v>7</v>
      </c>
      <c r="I35" t="s">
        <v>7</v>
      </c>
      <c r="J35" t="s">
        <v>7</v>
      </c>
    </row>
    <row r="36" spans="2:10" x14ac:dyDescent="0.25">
      <c r="B36" s="4">
        <v>32</v>
      </c>
      <c r="C36" t="s">
        <v>7</v>
      </c>
      <c r="E36" t="s">
        <v>7</v>
      </c>
      <c r="F36" t="s">
        <v>7</v>
      </c>
      <c r="H36" t="s">
        <v>7</v>
      </c>
      <c r="I36" t="s">
        <v>7</v>
      </c>
      <c r="J36" t="s">
        <v>2</v>
      </c>
    </row>
    <row r="37" spans="2:10" x14ac:dyDescent="0.25">
      <c r="B37" s="4">
        <v>33</v>
      </c>
      <c r="C37" t="s">
        <v>7</v>
      </c>
      <c r="D37" t="s">
        <v>7</v>
      </c>
      <c r="E37" t="s">
        <v>7</v>
      </c>
      <c r="F37" t="s">
        <v>7</v>
      </c>
      <c r="G37" t="s">
        <v>7</v>
      </c>
      <c r="I37" t="s">
        <v>7</v>
      </c>
    </row>
    <row r="38" spans="2:10" x14ac:dyDescent="0.25">
      <c r="B38" s="4">
        <v>34</v>
      </c>
      <c r="C38" t="s">
        <v>2</v>
      </c>
      <c r="E38" t="s">
        <v>7</v>
      </c>
      <c r="F38" t="s">
        <v>7</v>
      </c>
      <c r="H38" t="s">
        <v>7</v>
      </c>
      <c r="J38" t="s">
        <v>7</v>
      </c>
    </row>
    <row r="39" spans="2:10" x14ac:dyDescent="0.25">
      <c r="B39" s="4">
        <v>35</v>
      </c>
      <c r="C39" t="s">
        <v>7</v>
      </c>
      <c r="D39" t="s">
        <v>7</v>
      </c>
      <c r="E39" t="s">
        <v>7</v>
      </c>
      <c r="F39" t="s">
        <v>7</v>
      </c>
      <c r="G39" t="s">
        <v>7</v>
      </c>
      <c r="H39" t="s">
        <v>7</v>
      </c>
      <c r="I39" t="s">
        <v>7</v>
      </c>
      <c r="J39" t="s">
        <v>7</v>
      </c>
    </row>
    <row r="40" spans="2:10" x14ac:dyDescent="0.25">
      <c r="B40" s="4">
        <v>36</v>
      </c>
      <c r="C40" t="s">
        <v>7</v>
      </c>
      <c r="D40" t="s">
        <v>7</v>
      </c>
      <c r="E40" t="s">
        <v>7</v>
      </c>
      <c r="F40" t="s">
        <v>7</v>
      </c>
      <c r="G40" t="s">
        <v>7</v>
      </c>
      <c r="H40" t="s">
        <v>7</v>
      </c>
      <c r="I40" t="s">
        <v>7</v>
      </c>
      <c r="J40" t="s">
        <v>7</v>
      </c>
    </row>
    <row r="41" spans="2:10" x14ac:dyDescent="0.25">
      <c r="B41" s="4">
        <v>37</v>
      </c>
      <c r="F41" t="s">
        <v>7</v>
      </c>
      <c r="J41" t="s">
        <v>7</v>
      </c>
    </row>
    <row r="42" spans="2:10" x14ac:dyDescent="0.25">
      <c r="B42" s="4">
        <v>38</v>
      </c>
      <c r="C42" t="s">
        <v>7</v>
      </c>
      <c r="F42" t="s">
        <v>7</v>
      </c>
      <c r="H42" t="s">
        <v>5</v>
      </c>
      <c r="I42" t="s">
        <v>7</v>
      </c>
    </row>
    <row r="43" spans="2:10" x14ac:dyDescent="0.25">
      <c r="B43" s="4">
        <v>39</v>
      </c>
      <c r="D43" t="s">
        <v>7</v>
      </c>
      <c r="H43" t="s">
        <v>7</v>
      </c>
      <c r="I43" t="s">
        <v>7</v>
      </c>
    </row>
    <row r="44" spans="2:10" x14ac:dyDescent="0.25">
      <c r="B44" s="4">
        <v>40</v>
      </c>
      <c r="E44" t="s">
        <v>5</v>
      </c>
      <c r="H44" t="s">
        <v>7</v>
      </c>
      <c r="J44" t="s">
        <v>7</v>
      </c>
    </row>
    <row r="45" spans="2:10" x14ac:dyDescent="0.25">
      <c r="B45" s="4">
        <v>41</v>
      </c>
      <c r="C45" t="s">
        <v>7</v>
      </c>
      <c r="F45" t="s">
        <v>7</v>
      </c>
      <c r="H45" t="s">
        <v>5</v>
      </c>
    </row>
    <row r="46" spans="2:10" x14ac:dyDescent="0.25">
      <c r="B46" s="4">
        <v>42</v>
      </c>
      <c r="E46" t="s">
        <v>7</v>
      </c>
      <c r="I46" t="s">
        <v>7</v>
      </c>
    </row>
    <row r="47" spans="2:10" x14ac:dyDescent="0.25">
      <c r="B47" s="4">
        <v>43</v>
      </c>
      <c r="D47" t="s">
        <v>7</v>
      </c>
      <c r="G47" t="s">
        <v>7</v>
      </c>
      <c r="I47" t="s">
        <v>7</v>
      </c>
    </row>
    <row r="48" spans="2:10" x14ac:dyDescent="0.25">
      <c r="B48" s="4">
        <v>44</v>
      </c>
    </row>
    <row r="49" spans="2:10" x14ac:dyDescent="0.25">
      <c r="B49" s="4">
        <v>45</v>
      </c>
      <c r="D49" t="s">
        <v>7</v>
      </c>
      <c r="F49" t="s">
        <v>7</v>
      </c>
      <c r="J49" t="s">
        <v>7</v>
      </c>
    </row>
    <row r="50" spans="2:10" x14ac:dyDescent="0.25">
      <c r="B50" s="4">
        <v>46</v>
      </c>
      <c r="C50" t="s">
        <v>7</v>
      </c>
      <c r="E50" t="s">
        <v>7</v>
      </c>
      <c r="G50" t="s">
        <v>3</v>
      </c>
      <c r="J50" t="s">
        <v>7</v>
      </c>
    </row>
    <row r="51" spans="2:10" x14ac:dyDescent="0.25">
      <c r="B51" s="4">
        <v>47</v>
      </c>
      <c r="C51" t="s">
        <v>7</v>
      </c>
    </row>
    <row r="52" spans="2:10" x14ac:dyDescent="0.25">
      <c r="B52" s="4">
        <v>48</v>
      </c>
      <c r="C52" t="s">
        <v>7</v>
      </c>
      <c r="E52" t="s">
        <v>7</v>
      </c>
      <c r="G52" t="s">
        <v>7</v>
      </c>
    </row>
    <row r="53" spans="2:10" x14ac:dyDescent="0.25">
      <c r="B53" s="4">
        <v>49</v>
      </c>
      <c r="D53" t="s">
        <v>7</v>
      </c>
      <c r="F53" t="s">
        <v>7</v>
      </c>
    </row>
    <row r="54" spans="2:10" x14ac:dyDescent="0.25">
      <c r="B54" s="4">
        <v>50</v>
      </c>
      <c r="C54" t="s">
        <v>5</v>
      </c>
      <c r="D54" t="s">
        <v>5</v>
      </c>
      <c r="E54" t="s">
        <v>5</v>
      </c>
      <c r="F54" t="s">
        <v>5</v>
      </c>
      <c r="G54" t="s">
        <v>5</v>
      </c>
      <c r="H54" t="s">
        <v>5</v>
      </c>
      <c r="J54" t="s">
        <v>7</v>
      </c>
    </row>
    <row r="55" spans="2:10" x14ac:dyDescent="0.25">
      <c r="B55" s="4">
        <v>51</v>
      </c>
      <c r="C55" t="s">
        <v>5</v>
      </c>
      <c r="D55" t="s">
        <v>5</v>
      </c>
      <c r="E55" t="s">
        <v>5</v>
      </c>
      <c r="F55" t="s">
        <v>5</v>
      </c>
      <c r="G55" t="s">
        <v>5</v>
      </c>
      <c r="H55" t="s">
        <v>5</v>
      </c>
      <c r="I55" t="s">
        <v>7</v>
      </c>
      <c r="J55" t="s">
        <v>7</v>
      </c>
    </row>
    <row r="56" spans="2:10" x14ac:dyDescent="0.25">
      <c r="B56" s="4">
        <v>52</v>
      </c>
      <c r="C56" t="s">
        <v>5</v>
      </c>
      <c r="D56" t="s">
        <v>5</v>
      </c>
      <c r="E56" t="s">
        <v>5</v>
      </c>
      <c r="F56" t="s">
        <v>5</v>
      </c>
      <c r="G56" t="s">
        <v>5</v>
      </c>
      <c r="H56" t="s">
        <v>5</v>
      </c>
      <c r="I56" t="s">
        <v>7</v>
      </c>
      <c r="J56" t="s">
        <v>7</v>
      </c>
    </row>
    <row r="57" spans="2:10" x14ac:dyDescent="0.25">
      <c r="B57" s="4">
        <v>53</v>
      </c>
      <c r="C57" t="s">
        <v>5</v>
      </c>
      <c r="D57" t="s">
        <v>5</v>
      </c>
      <c r="I57" t="s">
        <v>7</v>
      </c>
    </row>
    <row r="58" spans="2:10" x14ac:dyDescent="0.25">
      <c r="B58" s="4">
        <v>54</v>
      </c>
      <c r="C58" t="s">
        <v>5</v>
      </c>
      <c r="D58" t="s">
        <v>5</v>
      </c>
      <c r="F58" t="s">
        <v>5</v>
      </c>
      <c r="H58" t="s">
        <v>5</v>
      </c>
      <c r="I58" t="s">
        <v>7</v>
      </c>
    </row>
    <row r="59" spans="2:10" x14ac:dyDescent="0.25">
      <c r="B59" s="4">
        <v>55</v>
      </c>
      <c r="C59" t="s">
        <v>5</v>
      </c>
      <c r="D59" t="s">
        <v>7</v>
      </c>
      <c r="H59" t="s">
        <v>5</v>
      </c>
      <c r="J59" t="s">
        <v>7</v>
      </c>
    </row>
    <row r="60" spans="2:10" x14ac:dyDescent="0.25">
      <c r="B60" s="4">
        <v>56</v>
      </c>
      <c r="C60" t="s">
        <v>5</v>
      </c>
      <c r="D60" t="s">
        <v>5</v>
      </c>
      <c r="E60" t="s">
        <v>5</v>
      </c>
      <c r="F60" t="s">
        <v>5</v>
      </c>
      <c r="G60" t="s">
        <v>5</v>
      </c>
      <c r="H60" t="s">
        <v>5</v>
      </c>
    </row>
    <row r="66" spans="2:13" x14ac:dyDescent="0.25">
      <c r="C66" s="3"/>
      <c r="D66" s="3"/>
      <c r="E66" s="3"/>
      <c r="F66" s="3"/>
      <c r="G66" s="3"/>
      <c r="H66" s="3"/>
      <c r="I66" s="3"/>
      <c r="J66" s="3"/>
    </row>
    <row r="67" spans="2:13" x14ac:dyDescent="0.25">
      <c r="B67" s="2" t="s">
        <v>0</v>
      </c>
      <c r="C67" s="1"/>
      <c r="D67" s="1"/>
      <c r="E67" s="1"/>
      <c r="F67" s="1"/>
      <c r="G67" s="1"/>
      <c r="H67" s="1"/>
      <c r="I67" s="1"/>
      <c r="J67" s="1"/>
      <c r="L67" s="11" t="s">
        <v>2</v>
      </c>
    </row>
    <row r="68" spans="2:13" x14ac:dyDescent="0.25">
      <c r="B68" s="4">
        <v>1</v>
      </c>
      <c r="L68" s="12" t="s">
        <v>8</v>
      </c>
      <c r="M68">
        <f>COUNTIF($C$68:$J$123,L68)</f>
        <v>0</v>
      </c>
    </row>
    <row r="69" spans="2:13" x14ac:dyDescent="0.25">
      <c r="B69" s="4">
        <v>2</v>
      </c>
      <c r="L69" s="13" t="s">
        <v>9</v>
      </c>
      <c r="M69">
        <f t="shared" ref="M69:M73" si="3">COUNTIF($C$68:$J$123,L69)</f>
        <v>0</v>
      </c>
    </row>
    <row r="70" spans="2:13" x14ac:dyDescent="0.25">
      <c r="B70" s="4">
        <v>3</v>
      </c>
      <c r="L70" s="7" t="s">
        <v>10</v>
      </c>
      <c r="M70">
        <f t="shared" si="3"/>
        <v>0</v>
      </c>
    </row>
    <row r="71" spans="2:13" x14ac:dyDescent="0.25">
      <c r="B71" s="4">
        <v>4</v>
      </c>
      <c r="L71" s="8" t="s">
        <v>11</v>
      </c>
      <c r="M71">
        <f t="shared" si="3"/>
        <v>1</v>
      </c>
    </row>
    <row r="72" spans="2:13" x14ac:dyDescent="0.25">
      <c r="B72" s="4">
        <v>5</v>
      </c>
      <c r="L72" s="14" t="s">
        <v>12</v>
      </c>
      <c r="M72">
        <f t="shared" si="3"/>
        <v>0</v>
      </c>
    </row>
    <row r="73" spans="2:13" x14ac:dyDescent="0.25">
      <c r="B73" s="4">
        <v>6</v>
      </c>
      <c r="L73" s="15" t="s">
        <v>13</v>
      </c>
      <c r="M73">
        <f t="shared" si="3"/>
        <v>0</v>
      </c>
    </row>
    <row r="74" spans="2:13" x14ac:dyDescent="0.25">
      <c r="B74" s="4">
        <v>7</v>
      </c>
      <c r="M74">
        <f>SUM(M68:M73)</f>
        <v>1</v>
      </c>
    </row>
    <row r="75" spans="2:13" x14ac:dyDescent="0.25">
      <c r="B75" s="4">
        <v>8</v>
      </c>
    </row>
    <row r="76" spans="2:13" x14ac:dyDescent="0.25">
      <c r="B76" s="4">
        <v>9</v>
      </c>
    </row>
    <row r="77" spans="2:13" x14ac:dyDescent="0.25">
      <c r="B77" s="4">
        <v>10</v>
      </c>
    </row>
    <row r="78" spans="2:13" x14ac:dyDescent="0.25">
      <c r="B78" s="4">
        <v>11</v>
      </c>
    </row>
    <row r="79" spans="2:13" x14ac:dyDescent="0.25">
      <c r="B79" s="4">
        <v>12</v>
      </c>
    </row>
    <row r="80" spans="2:13" x14ac:dyDescent="0.25">
      <c r="B80" s="4">
        <v>13</v>
      </c>
    </row>
    <row r="81" spans="2:2" x14ac:dyDescent="0.25">
      <c r="B81" s="4">
        <v>14</v>
      </c>
    </row>
    <row r="82" spans="2:2" x14ac:dyDescent="0.25">
      <c r="B82" s="4">
        <v>15</v>
      </c>
    </row>
    <row r="83" spans="2:2" x14ac:dyDescent="0.25">
      <c r="B83" s="4">
        <v>16</v>
      </c>
    </row>
    <row r="84" spans="2:2" x14ac:dyDescent="0.25">
      <c r="B84" s="4">
        <v>17</v>
      </c>
    </row>
    <row r="85" spans="2:2" x14ac:dyDescent="0.25">
      <c r="B85" s="4">
        <v>18</v>
      </c>
    </row>
    <row r="86" spans="2:2" x14ac:dyDescent="0.25">
      <c r="B86" s="4">
        <v>19</v>
      </c>
    </row>
    <row r="87" spans="2:2" x14ac:dyDescent="0.25">
      <c r="B87" s="4">
        <v>20</v>
      </c>
    </row>
    <row r="88" spans="2:2" x14ac:dyDescent="0.25">
      <c r="B88" s="4">
        <v>21</v>
      </c>
    </row>
    <row r="89" spans="2:2" x14ac:dyDescent="0.25">
      <c r="B89" s="4">
        <v>22</v>
      </c>
    </row>
    <row r="90" spans="2:2" x14ac:dyDescent="0.25">
      <c r="B90" s="4">
        <v>23</v>
      </c>
    </row>
    <row r="91" spans="2:2" x14ac:dyDescent="0.25">
      <c r="B91" s="4">
        <v>24</v>
      </c>
    </row>
    <row r="92" spans="2:2" x14ac:dyDescent="0.25">
      <c r="B92" s="4">
        <v>25</v>
      </c>
    </row>
    <row r="93" spans="2:2" x14ac:dyDescent="0.25">
      <c r="B93" s="4">
        <v>26</v>
      </c>
    </row>
    <row r="94" spans="2:2" x14ac:dyDescent="0.25">
      <c r="B94" s="4">
        <v>27</v>
      </c>
    </row>
    <row r="95" spans="2:2" x14ac:dyDescent="0.25">
      <c r="B95" s="4">
        <v>28</v>
      </c>
    </row>
    <row r="96" spans="2:2" x14ac:dyDescent="0.25">
      <c r="B96" s="4">
        <v>29</v>
      </c>
    </row>
    <row r="97" spans="2:3" x14ac:dyDescent="0.25">
      <c r="B97" s="4">
        <v>30</v>
      </c>
    </row>
    <row r="98" spans="2:3" x14ac:dyDescent="0.25">
      <c r="B98" s="4">
        <v>31</v>
      </c>
    </row>
    <row r="99" spans="2:3" x14ac:dyDescent="0.25">
      <c r="B99" s="4">
        <v>32</v>
      </c>
    </row>
    <row r="100" spans="2:3" x14ac:dyDescent="0.25">
      <c r="B100" s="4">
        <v>33</v>
      </c>
    </row>
    <row r="101" spans="2:3" x14ac:dyDescent="0.25">
      <c r="B101" s="4">
        <v>34</v>
      </c>
      <c r="C101" t="s">
        <v>11</v>
      </c>
    </row>
    <row r="102" spans="2:3" x14ac:dyDescent="0.25">
      <c r="B102" s="4">
        <v>35</v>
      </c>
    </row>
    <row r="103" spans="2:3" x14ac:dyDescent="0.25">
      <c r="B103" s="4">
        <v>36</v>
      </c>
    </row>
    <row r="104" spans="2:3" x14ac:dyDescent="0.25">
      <c r="B104" s="4">
        <v>37</v>
      </c>
    </row>
    <row r="105" spans="2:3" x14ac:dyDescent="0.25">
      <c r="B105" s="4">
        <v>38</v>
      </c>
    </row>
    <row r="106" spans="2:3" x14ac:dyDescent="0.25">
      <c r="B106" s="4">
        <v>39</v>
      </c>
    </row>
    <row r="107" spans="2:3" x14ac:dyDescent="0.25">
      <c r="B107" s="4">
        <v>40</v>
      </c>
    </row>
    <row r="108" spans="2:3" x14ac:dyDescent="0.25">
      <c r="B108" s="4">
        <v>41</v>
      </c>
    </row>
    <row r="109" spans="2:3" x14ac:dyDescent="0.25">
      <c r="B109" s="4">
        <v>42</v>
      </c>
    </row>
    <row r="110" spans="2:3" x14ac:dyDescent="0.25">
      <c r="B110" s="4">
        <v>43</v>
      </c>
    </row>
    <row r="111" spans="2:3" x14ac:dyDescent="0.25">
      <c r="B111" s="4">
        <v>44</v>
      </c>
    </row>
    <row r="112" spans="2:3" x14ac:dyDescent="0.25">
      <c r="B112" s="4">
        <v>45</v>
      </c>
    </row>
    <row r="113" spans="2:2" x14ac:dyDescent="0.25">
      <c r="B113" s="4">
        <v>46</v>
      </c>
    </row>
    <row r="114" spans="2:2" x14ac:dyDescent="0.25">
      <c r="B114" s="4">
        <v>47</v>
      </c>
    </row>
    <row r="115" spans="2:2" x14ac:dyDescent="0.25">
      <c r="B115" s="4">
        <v>48</v>
      </c>
    </row>
    <row r="116" spans="2:2" x14ac:dyDescent="0.25">
      <c r="B116" s="4">
        <v>49</v>
      </c>
    </row>
    <row r="117" spans="2:2" x14ac:dyDescent="0.25">
      <c r="B117" s="4">
        <v>50</v>
      </c>
    </row>
    <row r="118" spans="2:2" x14ac:dyDescent="0.25">
      <c r="B118" s="4">
        <v>51</v>
      </c>
    </row>
    <row r="119" spans="2:2" x14ac:dyDescent="0.25">
      <c r="B119" s="4">
        <v>52</v>
      </c>
    </row>
    <row r="120" spans="2:2" x14ac:dyDescent="0.25">
      <c r="B120" s="4">
        <v>53</v>
      </c>
    </row>
    <row r="121" spans="2:2" x14ac:dyDescent="0.25">
      <c r="B121" s="4">
        <v>54</v>
      </c>
    </row>
    <row r="122" spans="2:2" x14ac:dyDescent="0.25">
      <c r="B122" s="4">
        <v>55</v>
      </c>
    </row>
    <row r="123" spans="2:2" x14ac:dyDescent="0.25">
      <c r="B123" s="4">
        <v>56</v>
      </c>
    </row>
  </sheetData>
  <conditionalFormatting sqref="C5:E11 H5:H11">
    <cfRule type="cellIs" dxfId="381" priority="32" operator="equal">
      <formula>"Energia"</formula>
    </cfRule>
  </conditionalFormatting>
  <conditionalFormatting sqref="C5:E60 H5:J60">
    <cfRule type="cellIs" dxfId="380" priority="25" operator="equal">
      <formula>"Energia"</formula>
    </cfRule>
    <cfRule type="cellIs" dxfId="379" priority="27" operator="equal">
      <formula>"Operação"</formula>
    </cfRule>
    <cfRule type="cellIs" dxfId="378" priority="28" operator="equal">
      <formula>"Chuva"</formula>
    </cfRule>
    <cfRule type="cellIs" dxfId="377" priority="29" operator="equal">
      <formula>"Elétrico"</formula>
    </cfRule>
    <cfRule type="cellIs" dxfId="376" priority="30" operator="equal">
      <formula>"Mecânico"</formula>
    </cfRule>
    <cfRule type="cellIs" dxfId="375" priority="31" operator="equal">
      <formula>"Ok"</formula>
    </cfRule>
  </conditionalFormatting>
  <conditionalFormatting sqref="C61:J61 C5:E60 H5:J60">
    <cfRule type="cellIs" dxfId="374" priority="26" operator="equal">
      <formula>"Feito"</formula>
    </cfRule>
  </conditionalFormatting>
  <conditionalFormatting sqref="C68:H74">
    <cfRule type="cellIs" dxfId="373" priority="24" operator="equal">
      <formula>"Energia"</formula>
    </cfRule>
  </conditionalFormatting>
  <conditionalFormatting sqref="C68:J123">
    <cfRule type="cellIs" dxfId="372" priority="9" operator="equal">
      <formula>"Micro"</formula>
    </cfRule>
    <cfRule type="cellIs" dxfId="371" priority="10" operator="equal">
      <formula>"Castanha"</formula>
    </cfRule>
    <cfRule type="cellIs" dxfId="370" priority="11" operator="equal">
      <formula>"Redutor"</formula>
    </cfRule>
    <cfRule type="cellIs" dxfId="369" priority="12" operator="equal">
      <formula>"Adutora"</formula>
    </cfRule>
    <cfRule type="cellIs" dxfId="368" priority="13" operator="equal">
      <formula>"Mangote"</formula>
    </cfRule>
    <cfRule type="cellIs" dxfId="367" priority="14" operator="equal">
      <formula>"Vedação"</formula>
    </cfRule>
    <cfRule type="dataBar" priority="16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{40EA3C11-1478-49FF-B333-EBA008520079}</x14:id>
        </ext>
      </extLst>
    </cfRule>
    <cfRule type="cellIs" dxfId="366" priority="17" operator="equal">
      <formula>"Energia"</formula>
    </cfRule>
    <cfRule type="cellIs" dxfId="365" priority="19" operator="equal">
      <formula>"Operação"</formula>
    </cfRule>
    <cfRule type="cellIs" dxfId="364" priority="20" operator="equal">
      <formula>"Chuva"</formula>
    </cfRule>
    <cfRule type="cellIs" dxfId="363" priority="21" operator="equal">
      <formula>"Elétrico"</formula>
    </cfRule>
    <cfRule type="cellIs" dxfId="362" priority="22" operator="equal">
      <formula>"Mecânico"</formula>
    </cfRule>
    <cfRule type="cellIs" dxfId="361" priority="23" operator="equal">
      <formula>"Ok"</formula>
    </cfRule>
  </conditionalFormatting>
  <conditionalFormatting sqref="C68:J123">
    <cfRule type="cellIs" dxfId="360" priority="18" operator="equal">
      <formula>"Feito"</formula>
    </cfRule>
  </conditionalFormatting>
  <conditionalFormatting sqref="L7">
    <cfRule type="iconSet" priority="15">
      <iconSet iconSet="3Arrows">
        <cfvo type="percent" val="0"/>
        <cfvo type="percent" val="33"/>
        <cfvo type="percent" val="67"/>
      </iconSet>
    </cfRule>
  </conditionalFormatting>
  <conditionalFormatting sqref="F5:G11">
    <cfRule type="cellIs" dxfId="359" priority="8" operator="equal">
      <formula>"Energia"</formula>
    </cfRule>
  </conditionalFormatting>
  <conditionalFormatting sqref="F5:G60">
    <cfRule type="cellIs" dxfId="358" priority="1" operator="equal">
      <formula>"Energia"</formula>
    </cfRule>
    <cfRule type="cellIs" dxfId="357" priority="3" operator="equal">
      <formula>"Operação"</formula>
    </cfRule>
    <cfRule type="cellIs" dxfId="356" priority="4" operator="equal">
      <formula>"Chuva"</formula>
    </cfRule>
    <cfRule type="cellIs" dxfId="355" priority="5" operator="equal">
      <formula>"Elétrico"</formula>
    </cfRule>
    <cfRule type="cellIs" dxfId="354" priority="6" operator="equal">
      <formula>"Mecânico"</formula>
    </cfRule>
    <cfRule type="cellIs" dxfId="353" priority="7" operator="equal">
      <formula>"Ok"</formula>
    </cfRule>
  </conditionalFormatting>
  <conditionalFormatting sqref="F5:G60">
    <cfRule type="cellIs" dxfId="352" priority="2" operator="equal">
      <formula>"Feito"</formula>
    </cfRule>
  </conditionalFormatting>
  <dataValidations count="2">
    <dataValidation type="list" allowBlank="1" showInputMessage="1" showErrorMessage="1" sqref="C68:J123" xr:uid="{5F280A1A-B9EB-44E5-9B1A-8CDC870C7C77}">
      <formula1>$L$68:$L$73</formula1>
    </dataValidation>
    <dataValidation type="list" allowBlank="1" showInputMessage="1" showErrorMessage="1" sqref="K68:K123 C5:K60" xr:uid="{98DC5F78-C415-4A9E-B149-8F86D1FFA37A}">
      <formula1>$L$5:$L$10</formula1>
    </dataValidation>
  </dataValidations>
  <pageMargins left="0.511811024" right="0.511811024" top="0.78740157499999996" bottom="0.78740157499999996" header="0.31496062000000002" footer="0.31496062000000002"/>
  <pageSetup paperSize="9" orientation="portrait" horizontalDpi="0" verticalDpi="0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0EA3C11-1478-49FF-B333-EBA008520079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C68:J123</xm:sqref>
        </x14:conditionalFormatting>
      </x14:conditionalFormatting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F62C9D-CB79-490F-958E-9D004CC1A14C}">
  <dimension ref="B2:M60"/>
  <sheetViews>
    <sheetView workbookViewId="0">
      <selection activeCell="P61" sqref="P61"/>
    </sheetView>
  </sheetViews>
  <sheetFormatPr defaultRowHeight="15" x14ac:dyDescent="0.25"/>
  <cols>
    <col min="3" max="3" width="9.85546875" bestFit="1" customWidth="1"/>
    <col min="4" max="4" width="12.42578125" customWidth="1"/>
    <col min="5" max="5" width="12" customWidth="1"/>
    <col min="6" max="6" width="9.85546875" customWidth="1"/>
    <col min="7" max="7" width="10.5703125" customWidth="1"/>
    <col min="8" max="9" width="10.140625" customWidth="1"/>
    <col min="10" max="10" width="10.5703125" customWidth="1"/>
  </cols>
  <sheetData>
    <row r="2" spans="2:13" x14ac:dyDescent="0.25">
      <c r="C2" s="3"/>
      <c r="D2" s="3"/>
      <c r="E2" s="3"/>
      <c r="F2" s="3"/>
      <c r="G2" s="3"/>
      <c r="H2" s="3"/>
      <c r="I2" s="3"/>
      <c r="J2" s="3"/>
    </row>
    <row r="3" spans="2:13" x14ac:dyDescent="0.25">
      <c r="C3" s="3">
        <v>44290</v>
      </c>
      <c r="D3" s="3">
        <f>C3+1</f>
        <v>44291</v>
      </c>
      <c r="E3" s="3">
        <f t="shared" ref="E3:J3" si="0">D3+1</f>
        <v>44292</v>
      </c>
      <c r="F3" s="3">
        <f t="shared" si="0"/>
        <v>44293</v>
      </c>
      <c r="G3" s="3">
        <f t="shared" si="0"/>
        <v>44294</v>
      </c>
      <c r="H3" s="3">
        <f t="shared" si="0"/>
        <v>44295</v>
      </c>
      <c r="I3" s="3">
        <f t="shared" si="0"/>
        <v>44296</v>
      </c>
      <c r="J3" s="3">
        <f t="shared" si="0"/>
        <v>44297</v>
      </c>
    </row>
    <row r="4" spans="2:13" x14ac:dyDescent="0.25">
      <c r="B4" s="2" t="s">
        <v>0</v>
      </c>
      <c r="C4" s="1" t="str">
        <f>TEXT(C3,"ddd")</f>
        <v>dom</v>
      </c>
      <c r="D4" s="1" t="str">
        <f t="shared" ref="D4:J4" si="1">TEXT(D3,"ddd")</f>
        <v>seg</v>
      </c>
      <c r="E4" s="1" t="str">
        <f t="shared" si="1"/>
        <v>ter</v>
      </c>
      <c r="F4" s="1" t="str">
        <f t="shared" si="1"/>
        <v>qua</v>
      </c>
      <c r="G4" s="1" t="str">
        <f t="shared" si="1"/>
        <v>qui</v>
      </c>
      <c r="H4" s="1" t="str">
        <f t="shared" si="1"/>
        <v>sex</v>
      </c>
      <c r="I4" s="1" t="str">
        <f t="shared" si="1"/>
        <v>sáb</v>
      </c>
      <c r="J4" s="1" t="str">
        <f t="shared" si="1"/>
        <v>dom</v>
      </c>
      <c r="L4" s="11" t="s">
        <v>1</v>
      </c>
    </row>
    <row r="5" spans="2:13" x14ac:dyDescent="0.25">
      <c r="B5" s="4">
        <v>1</v>
      </c>
      <c r="E5" t="s">
        <v>7</v>
      </c>
      <c r="L5" s="5" t="s">
        <v>7</v>
      </c>
      <c r="M5">
        <f>COUNTIF($C$5:$J$60,L5)</f>
        <v>49</v>
      </c>
    </row>
    <row r="6" spans="2:13" x14ac:dyDescent="0.25">
      <c r="B6" s="4">
        <v>2</v>
      </c>
      <c r="C6" t="s">
        <v>2</v>
      </c>
      <c r="D6" t="s">
        <v>7</v>
      </c>
      <c r="E6" t="s">
        <v>7</v>
      </c>
      <c r="F6" t="s">
        <v>6</v>
      </c>
      <c r="G6" t="s">
        <v>6</v>
      </c>
      <c r="L6" s="6" t="s">
        <v>2</v>
      </c>
      <c r="M6">
        <f t="shared" ref="M6:M10" si="2">COUNTIF($C$5:$J$60,L6)</f>
        <v>41</v>
      </c>
    </row>
    <row r="7" spans="2:13" x14ac:dyDescent="0.25">
      <c r="B7" s="4">
        <v>3</v>
      </c>
      <c r="C7" t="s">
        <v>2</v>
      </c>
      <c r="E7" t="s">
        <v>2</v>
      </c>
      <c r="F7" t="s">
        <v>6</v>
      </c>
      <c r="I7" t="s">
        <v>5</v>
      </c>
      <c r="L7" s="7" t="s">
        <v>3</v>
      </c>
      <c r="M7">
        <f t="shared" si="2"/>
        <v>7</v>
      </c>
    </row>
    <row r="8" spans="2:13" x14ac:dyDescent="0.25">
      <c r="B8" s="4">
        <v>4</v>
      </c>
      <c r="D8" t="s">
        <v>7</v>
      </c>
      <c r="J8" t="s">
        <v>2</v>
      </c>
      <c r="L8" s="8" t="s">
        <v>4</v>
      </c>
      <c r="M8">
        <f t="shared" si="2"/>
        <v>0</v>
      </c>
    </row>
    <row r="9" spans="2:13" x14ac:dyDescent="0.25">
      <c r="B9" s="4">
        <v>5</v>
      </c>
      <c r="C9" t="s">
        <v>7</v>
      </c>
      <c r="E9" t="s">
        <v>7</v>
      </c>
      <c r="L9" s="9" t="s">
        <v>6</v>
      </c>
      <c r="M9">
        <f t="shared" si="2"/>
        <v>34</v>
      </c>
    </row>
    <row r="10" spans="2:13" x14ac:dyDescent="0.25">
      <c r="B10" s="4">
        <v>6</v>
      </c>
      <c r="C10" t="s">
        <v>7</v>
      </c>
      <c r="D10" t="s">
        <v>2</v>
      </c>
      <c r="E10" t="s">
        <v>2</v>
      </c>
      <c r="H10" t="s">
        <v>2</v>
      </c>
      <c r="I10" t="s">
        <v>3</v>
      </c>
      <c r="J10" t="s">
        <v>2</v>
      </c>
      <c r="L10" s="10" t="s">
        <v>5</v>
      </c>
      <c r="M10">
        <f t="shared" si="2"/>
        <v>15</v>
      </c>
    </row>
    <row r="11" spans="2:13" x14ac:dyDescent="0.25">
      <c r="B11" s="4">
        <v>7</v>
      </c>
      <c r="C11" t="s">
        <v>7</v>
      </c>
      <c r="M11">
        <f>SUM(M5:M10)</f>
        <v>146</v>
      </c>
    </row>
    <row r="12" spans="2:13" x14ac:dyDescent="0.25">
      <c r="B12" s="4">
        <v>8</v>
      </c>
      <c r="C12" t="s">
        <v>7</v>
      </c>
    </row>
    <row r="13" spans="2:13" x14ac:dyDescent="0.25">
      <c r="B13" s="4">
        <v>9</v>
      </c>
    </row>
    <row r="14" spans="2:13" x14ac:dyDescent="0.25">
      <c r="B14" s="4">
        <v>10</v>
      </c>
    </row>
    <row r="15" spans="2:13" x14ac:dyDescent="0.25">
      <c r="B15" s="4">
        <v>11</v>
      </c>
    </row>
    <row r="16" spans="2:13" x14ac:dyDescent="0.25">
      <c r="B16" s="4">
        <v>12</v>
      </c>
    </row>
    <row r="17" spans="2:10" x14ac:dyDescent="0.25">
      <c r="B17" s="4">
        <v>13</v>
      </c>
    </row>
    <row r="18" spans="2:10" x14ac:dyDescent="0.25">
      <c r="B18" s="4">
        <v>14</v>
      </c>
    </row>
    <row r="19" spans="2:10" x14ac:dyDescent="0.25">
      <c r="B19" s="4">
        <v>15</v>
      </c>
      <c r="E19" t="s">
        <v>7</v>
      </c>
      <c r="F19" t="s">
        <v>6</v>
      </c>
    </row>
    <row r="20" spans="2:10" x14ac:dyDescent="0.25">
      <c r="B20" s="4">
        <v>16</v>
      </c>
      <c r="D20" t="s">
        <v>7</v>
      </c>
      <c r="E20" t="s">
        <v>7</v>
      </c>
      <c r="F20" t="s">
        <v>6</v>
      </c>
      <c r="H20" t="s">
        <v>2</v>
      </c>
      <c r="I20" t="s">
        <v>2</v>
      </c>
      <c r="J20" t="s">
        <v>2</v>
      </c>
    </row>
    <row r="21" spans="2:10" x14ac:dyDescent="0.25">
      <c r="B21" s="4">
        <v>17</v>
      </c>
      <c r="D21" t="s">
        <v>7</v>
      </c>
    </row>
    <row r="22" spans="2:10" x14ac:dyDescent="0.25">
      <c r="B22" s="4">
        <v>18</v>
      </c>
      <c r="C22" t="s">
        <v>2</v>
      </c>
      <c r="D22" t="s">
        <v>2</v>
      </c>
    </row>
    <row r="23" spans="2:10" x14ac:dyDescent="0.25">
      <c r="B23" s="4">
        <v>19</v>
      </c>
      <c r="C23" t="s">
        <v>7</v>
      </c>
      <c r="F23" t="s">
        <v>6</v>
      </c>
      <c r="H23" t="s">
        <v>2</v>
      </c>
      <c r="I23" t="s">
        <v>2</v>
      </c>
      <c r="J23" t="s">
        <v>2</v>
      </c>
    </row>
    <row r="24" spans="2:10" x14ac:dyDescent="0.25">
      <c r="B24" s="4">
        <v>20</v>
      </c>
      <c r="C24" t="s">
        <v>2</v>
      </c>
      <c r="I24" t="s">
        <v>5</v>
      </c>
      <c r="J24" t="s">
        <v>5</v>
      </c>
    </row>
    <row r="25" spans="2:10" x14ac:dyDescent="0.25">
      <c r="B25" s="4">
        <v>21</v>
      </c>
      <c r="D25" t="s">
        <v>2</v>
      </c>
      <c r="E25" t="s">
        <v>7</v>
      </c>
    </row>
    <row r="26" spans="2:10" x14ac:dyDescent="0.25">
      <c r="B26" s="4">
        <v>22</v>
      </c>
      <c r="C26" t="s">
        <v>2</v>
      </c>
      <c r="D26" t="s">
        <v>2</v>
      </c>
      <c r="E26" t="s">
        <v>7</v>
      </c>
      <c r="G26" t="s">
        <v>6</v>
      </c>
      <c r="I26" t="s">
        <v>5</v>
      </c>
      <c r="J26" t="s">
        <v>5</v>
      </c>
    </row>
    <row r="27" spans="2:10" x14ac:dyDescent="0.25">
      <c r="B27" s="4">
        <v>23</v>
      </c>
      <c r="E27" t="s">
        <v>7</v>
      </c>
      <c r="G27" t="s">
        <v>6</v>
      </c>
    </row>
    <row r="28" spans="2:10" x14ac:dyDescent="0.25">
      <c r="B28" s="4">
        <v>24</v>
      </c>
      <c r="E28" t="s">
        <v>7</v>
      </c>
      <c r="G28" t="s">
        <v>6</v>
      </c>
      <c r="I28" t="s">
        <v>5</v>
      </c>
      <c r="J28" t="s">
        <v>5</v>
      </c>
    </row>
    <row r="29" spans="2:10" x14ac:dyDescent="0.25">
      <c r="B29" s="4">
        <v>25</v>
      </c>
      <c r="D29" t="s">
        <v>5</v>
      </c>
      <c r="E29" t="s">
        <v>7</v>
      </c>
      <c r="G29" t="s">
        <v>6</v>
      </c>
    </row>
    <row r="30" spans="2:10" x14ac:dyDescent="0.25">
      <c r="B30" s="4">
        <v>26</v>
      </c>
      <c r="E30" t="s">
        <v>5</v>
      </c>
      <c r="F30" t="s">
        <v>6</v>
      </c>
    </row>
    <row r="31" spans="2:10" x14ac:dyDescent="0.25">
      <c r="B31" s="4">
        <v>27</v>
      </c>
      <c r="D31" t="s">
        <v>5</v>
      </c>
      <c r="E31" t="s">
        <v>5</v>
      </c>
      <c r="G31" t="s">
        <v>6</v>
      </c>
    </row>
    <row r="32" spans="2:10" x14ac:dyDescent="0.25">
      <c r="B32" s="4">
        <v>28</v>
      </c>
      <c r="C32" t="s">
        <v>2</v>
      </c>
      <c r="D32" t="s">
        <v>2</v>
      </c>
      <c r="E32" t="s">
        <v>2</v>
      </c>
      <c r="H32" t="s">
        <v>2</v>
      </c>
      <c r="I32" t="s">
        <v>2</v>
      </c>
      <c r="J32" t="s">
        <v>2</v>
      </c>
    </row>
    <row r="33" spans="2:10" x14ac:dyDescent="0.25">
      <c r="B33" s="4">
        <v>29</v>
      </c>
      <c r="C33" t="s">
        <v>7</v>
      </c>
      <c r="D33" t="s">
        <v>7</v>
      </c>
      <c r="E33" t="s">
        <v>7</v>
      </c>
      <c r="J33" t="s">
        <v>3</v>
      </c>
    </row>
    <row r="34" spans="2:10" x14ac:dyDescent="0.25">
      <c r="B34" s="4">
        <v>30</v>
      </c>
      <c r="D34" t="s">
        <v>7</v>
      </c>
      <c r="F34" t="s">
        <v>6</v>
      </c>
      <c r="H34" t="s">
        <v>3</v>
      </c>
      <c r="I34" t="s">
        <v>2</v>
      </c>
    </row>
    <row r="35" spans="2:10" x14ac:dyDescent="0.25">
      <c r="B35" s="4">
        <v>31</v>
      </c>
      <c r="C35" t="s">
        <v>2</v>
      </c>
      <c r="D35" t="s">
        <v>7</v>
      </c>
      <c r="E35" t="s">
        <v>7</v>
      </c>
      <c r="G35" t="s">
        <v>6</v>
      </c>
      <c r="H35" t="s">
        <v>3</v>
      </c>
      <c r="I35" t="s">
        <v>3</v>
      </c>
      <c r="J35" t="s">
        <v>3</v>
      </c>
    </row>
    <row r="36" spans="2:10" x14ac:dyDescent="0.25">
      <c r="B36" s="4">
        <v>32</v>
      </c>
      <c r="C36" t="s">
        <v>7</v>
      </c>
      <c r="D36" t="s">
        <v>7</v>
      </c>
      <c r="F36" t="s">
        <v>6</v>
      </c>
      <c r="H36" t="s">
        <v>2</v>
      </c>
      <c r="I36" t="s">
        <v>2</v>
      </c>
      <c r="J36" t="s">
        <v>5</v>
      </c>
    </row>
    <row r="37" spans="2:10" x14ac:dyDescent="0.25">
      <c r="B37" s="4">
        <v>33</v>
      </c>
      <c r="C37" t="s">
        <v>2</v>
      </c>
      <c r="E37" t="s">
        <v>2</v>
      </c>
      <c r="F37" t="s">
        <v>6</v>
      </c>
    </row>
    <row r="38" spans="2:10" x14ac:dyDescent="0.25">
      <c r="B38" s="4">
        <v>34</v>
      </c>
      <c r="D38" t="s">
        <v>7</v>
      </c>
      <c r="G38" t="s">
        <v>6</v>
      </c>
    </row>
    <row r="39" spans="2:10" x14ac:dyDescent="0.25">
      <c r="B39" s="4">
        <v>35</v>
      </c>
      <c r="C39" t="s">
        <v>7</v>
      </c>
      <c r="D39" t="s">
        <v>7</v>
      </c>
      <c r="E39" t="s">
        <v>7</v>
      </c>
      <c r="F39" t="s">
        <v>6</v>
      </c>
    </row>
    <row r="40" spans="2:10" x14ac:dyDescent="0.25">
      <c r="B40" s="4">
        <v>36</v>
      </c>
      <c r="C40" t="s">
        <v>7</v>
      </c>
      <c r="E40" t="s">
        <v>7</v>
      </c>
      <c r="G40" t="s">
        <v>6</v>
      </c>
    </row>
    <row r="41" spans="2:10" x14ac:dyDescent="0.25">
      <c r="B41" s="4">
        <v>37</v>
      </c>
      <c r="F41" t="s">
        <v>6</v>
      </c>
      <c r="G41" t="s">
        <v>6</v>
      </c>
    </row>
    <row r="42" spans="2:10" x14ac:dyDescent="0.25">
      <c r="B42" s="4">
        <v>38</v>
      </c>
      <c r="D42" t="s">
        <v>7</v>
      </c>
      <c r="G42" t="s">
        <v>6</v>
      </c>
    </row>
    <row r="43" spans="2:10" x14ac:dyDescent="0.25">
      <c r="B43" s="4">
        <v>39</v>
      </c>
      <c r="D43" t="s">
        <v>7</v>
      </c>
      <c r="F43" t="s">
        <v>6</v>
      </c>
    </row>
    <row r="44" spans="2:10" x14ac:dyDescent="0.25">
      <c r="B44" s="4">
        <v>40</v>
      </c>
      <c r="E44" t="s">
        <v>7</v>
      </c>
      <c r="G44" t="s">
        <v>6</v>
      </c>
    </row>
    <row r="45" spans="2:10" x14ac:dyDescent="0.25">
      <c r="B45" s="4">
        <v>41</v>
      </c>
      <c r="C45" t="s">
        <v>7</v>
      </c>
    </row>
    <row r="46" spans="2:10" x14ac:dyDescent="0.25">
      <c r="B46" s="4">
        <v>42</v>
      </c>
      <c r="D46" t="s">
        <v>7</v>
      </c>
      <c r="F46" t="s">
        <v>6</v>
      </c>
      <c r="J46" t="s">
        <v>7</v>
      </c>
    </row>
    <row r="47" spans="2:10" x14ac:dyDescent="0.25">
      <c r="B47" s="4">
        <v>43</v>
      </c>
      <c r="F47" t="s">
        <v>6</v>
      </c>
      <c r="G47" t="s">
        <v>6</v>
      </c>
    </row>
    <row r="48" spans="2:10" x14ac:dyDescent="0.25">
      <c r="B48" s="4">
        <v>44</v>
      </c>
      <c r="I48" t="s">
        <v>2</v>
      </c>
    </row>
    <row r="49" spans="2:10" x14ac:dyDescent="0.25">
      <c r="B49" s="4">
        <v>45</v>
      </c>
      <c r="D49" t="s">
        <v>7</v>
      </c>
    </row>
    <row r="50" spans="2:10" x14ac:dyDescent="0.25">
      <c r="B50" s="4">
        <v>46</v>
      </c>
      <c r="C50" t="s">
        <v>2</v>
      </c>
      <c r="D50" t="s">
        <v>2</v>
      </c>
      <c r="E50" t="s">
        <v>2</v>
      </c>
      <c r="F50" t="s">
        <v>6</v>
      </c>
      <c r="H50" t="s">
        <v>2</v>
      </c>
    </row>
    <row r="51" spans="2:10" x14ac:dyDescent="0.25">
      <c r="B51" s="4">
        <v>47</v>
      </c>
    </row>
    <row r="52" spans="2:10" x14ac:dyDescent="0.25">
      <c r="B52" s="4">
        <v>48</v>
      </c>
      <c r="C52" t="s">
        <v>7</v>
      </c>
      <c r="E52" t="s">
        <v>2</v>
      </c>
      <c r="G52" t="s">
        <v>6</v>
      </c>
    </row>
    <row r="53" spans="2:10" x14ac:dyDescent="0.25">
      <c r="B53" s="4">
        <v>49</v>
      </c>
      <c r="E53" t="s">
        <v>7</v>
      </c>
      <c r="F53" t="s">
        <v>6</v>
      </c>
    </row>
    <row r="54" spans="2:10" x14ac:dyDescent="0.25">
      <c r="B54" s="4">
        <v>50</v>
      </c>
      <c r="D54" t="s">
        <v>2</v>
      </c>
      <c r="E54" t="s">
        <v>2</v>
      </c>
    </row>
    <row r="55" spans="2:10" x14ac:dyDescent="0.25">
      <c r="B55" s="4">
        <v>51</v>
      </c>
      <c r="C55" t="s">
        <v>7</v>
      </c>
      <c r="E55" t="s">
        <v>7</v>
      </c>
    </row>
    <row r="56" spans="2:10" x14ac:dyDescent="0.25">
      <c r="B56" s="4">
        <v>52</v>
      </c>
      <c r="C56" t="s">
        <v>7</v>
      </c>
      <c r="D56" t="s">
        <v>7</v>
      </c>
      <c r="F56" t="s">
        <v>6</v>
      </c>
      <c r="H56" t="s">
        <v>3</v>
      </c>
      <c r="J56" t="s">
        <v>5</v>
      </c>
    </row>
    <row r="57" spans="2:10" x14ac:dyDescent="0.25">
      <c r="B57" s="4">
        <v>53</v>
      </c>
      <c r="D57" t="s">
        <v>2</v>
      </c>
      <c r="G57" t="s">
        <v>6</v>
      </c>
      <c r="J57" t="s">
        <v>5</v>
      </c>
    </row>
    <row r="58" spans="2:10" x14ac:dyDescent="0.25">
      <c r="B58" s="4">
        <v>54</v>
      </c>
      <c r="D58" t="s">
        <v>7</v>
      </c>
      <c r="F58" t="s">
        <v>6</v>
      </c>
    </row>
    <row r="59" spans="2:10" x14ac:dyDescent="0.25">
      <c r="B59" s="4">
        <v>55</v>
      </c>
      <c r="E59" t="s">
        <v>7</v>
      </c>
      <c r="G59" t="s">
        <v>6</v>
      </c>
      <c r="J59" t="s">
        <v>5</v>
      </c>
    </row>
    <row r="60" spans="2:10" x14ac:dyDescent="0.25">
      <c r="B60" s="4">
        <v>56</v>
      </c>
      <c r="C60" t="s">
        <v>7</v>
      </c>
    </row>
  </sheetData>
  <conditionalFormatting sqref="C5:E11 H5:H11">
    <cfRule type="cellIs" dxfId="351" priority="17" operator="equal">
      <formula>"Energia"</formula>
    </cfRule>
  </conditionalFormatting>
  <conditionalFormatting sqref="C5:E60 H5:J60">
    <cfRule type="cellIs" dxfId="350" priority="10" operator="equal">
      <formula>"Energia"</formula>
    </cfRule>
    <cfRule type="cellIs" dxfId="349" priority="12" operator="equal">
      <formula>"Operação"</formula>
    </cfRule>
    <cfRule type="cellIs" dxfId="348" priority="13" operator="equal">
      <formula>"Chuva"</formula>
    </cfRule>
    <cfRule type="cellIs" dxfId="347" priority="14" operator="equal">
      <formula>"Elétrico"</formula>
    </cfRule>
    <cfRule type="cellIs" dxfId="346" priority="15" operator="equal">
      <formula>"Mecânico"</formula>
    </cfRule>
    <cfRule type="cellIs" dxfId="345" priority="16" operator="equal">
      <formula>"Ok"</formula>
    </cfRule>
  </conditionalFormatting>
  <conditionalFormatting sqref="C5:E60 H5:J60">
    <cfRule type="cellIs" dxfId="344" priority="11" operator="equal">
      <formula>"Feito"</formula>
    </cfRule>
  </conditionalFormatting>
  <conditionalFormatting sqref="L7">
    <cfRule type="iconSet" priority="9">
      <iconSet iconSet="3Arrows">
        <cfvo type="percent" val="0"/>
        <cfvo type="percent" val="33"/>
        <cfvo type="percent" val="67"/>
      </iconSet>
    </cfRule>
  </conditionalFormatting>
  <conditionalFormatting sqref="F5:G11">
    <cfRule type="cellIs" dxfId="343" priority="8" operator="equal">
      <formula>"Energia"</formula>
    </cfRule>
  </conditionalFormatting>
  <conditionalFormatting sqref="F5:G60">
    <cfRule type="cellIs" dxfId="342" priority="1" operator="equal">
      <formula>"Energia"</formula>
    </cfRule>
    <cfRule type="cellIs" dxfId="341" priority="3" operator="equal">
      <formula>"Operação"</formula>
    </cfRule>
    <cfRule type="cellIs" dxfId="340" priority="4" operator="equal">
      <formula>"Chuva"</formula>
    </cfRule>
    <cfRule type="cellIs" dxfId="339" priority="5" operator="equal">
      <formula>"Elétrico"</formula>
    </cfRule>
    <cfRule type="cellIs" dxfId="338" priority="6" operator="equal">
      <formula>"Mecânico"</formula>
    </cfRule>
    <cfRule type="cellIs" dxfId="337" priority="7" operator="equal">
      <formula>"Ok"</formula>
    </cfRule>
  </conditionalFormatting>
  <conditionalFormatting sqref="F5:G60">
    <cfRule type="cellIs" dxfId="336" priority="2" operator="equal">
      <formula>"Feito"</formula>
    </cfRule>
  </conditionalFormatting>
  <dataValidations count="1">
    <dataValidation type="list" allowBlank="1" showInputMessage="1" showErrorMessage="1" sqref="C5:K60" xr:uid="{D32BC04B-0C54-48F6-9014-191922491DFB}">
      <formula1>$L$5:$L$10</formula1>
    </dataValidation>
  </dataValidations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D7443-5550-4E9A-9056-7CE9D7F7FEA9}">
  <dimension ref="B3:M60"/>
  <sheetViews>
    <sheetView workbookViewId="0">
      <selection activeCell="M5" sqref="M5:M10"/>
    </sheetView>
  </sheetViews>
  <sheetFormatPr defaultRowHeight="15" x14ac:dyDescent="0.25"/>
  <cols>
    <col min="3" max="3" width="10.42578125" customWidth="1"/>
    <col min="4" max="4" width="9.7109375" customWidth="1"/>
    <col min="5" max="6" width="10.85546875" customWidth="1"/>
    <col min="7" max="7" width="11.140625" customWidth="1"/>
    <col min="8" max="8" width="10.42578125" customWidth="1"/>
    <col min="9" max="9" width="9.85546875" customWidth="1"/>
    <col min="10" max="10" width="10.28515625" customWidth="1"/>
  </cols>
  <sheetData>
    <row r="3" spans="2:13" x14ac:dyDescent="0.25">
      <c r="C3" s="3">
        <v>44298</v>
      </c>
      <c r="D3" s="3">
        <f>C3+1</f>
        <v>44299</v>
      </c>
      <c r="E3" s="3">
        <f t="shared" ref="E3:J3" si="0">D3+1</f>
        <v>44300</v>
      </c>
      <c r="F3" s="3">
        <f t="shared" si="0"/>
        <v>44301</v>
      </c>
      <c r="G3" s="3">
        <f t="shared" si="0"/>
        <v>44302</v>
      </c>
      <c r="H3" s="3">
        <f t="shared" si="0"/>
        <v>44303</v>
      </c>
      <c r="I3" s="3">
        <f t="shared" si="0"/>
        <v>44304</v>
      </c>
      <c r="J3" s="3">
        <f t="shared" si="0"/>
        <v>44305</v>
      </c>
    </row>
    <row r="4" spans="2:13" x14ac:dyDescent="0.25">
      <c r="B4" s="2" t="s">
        <v>0</v>
      </c>
      <c r="C4" s="1" t="str">
        <f>TEXT(C3,"ddd")</f>
        <v>seg</v>
      </c>
      <c r="D4" s="1" t="str">
        <f t="shared" ref="D4:J4" si="1">TEXT(D3,"ddd")</f>
        <v>ter</v>
      </c>
      <c r="E4" s="1" t="str">
        <f t="shared" si="1"/>
        <v>qua</v>
      </c>
      <c r="F4" s="1" t="str">
        <f t="shared" si="1"/>
        <v>qui</v>
      </c>
      <c r="G4" s="1" t="str">
        <f t="shared" si="1"/>
        <v>sex</v>
      </c>
      <c r="H4" s="1" t="str">
        <f t="shared" si="1"/>
        <v>sáb</v>
      </c>
      <c r="I4" s="1" t="str">
        <f t="shared" si="1"/>
        <v>dom</v>
      </c>
      <c r="J4" s="1" t="str">
        <f t="shared" si="1"/>
        <v>seg</v>
      </c>
      <c r="L4" s="11" t="s">
        <v>1</v>
      </c>
    </row>
    <row r="5" spans="2:13" x14ac:dyDescent="0.25">
      <c r="B5" s="4">
        <v>1</v>
      </c>
      <c r="J5" t="s">
        <v>6</v>
      </c>
      <c r="L5" s="5" t="s">
        <v>7</v>
      </c>
      <c r="M5">
        <f>COUNTIF($C$5:$J$60,L5)</f>
        <v>20</v>
      </c>
    </row>
    <row r="6" spans="2:13" x14ac:dyDescent="0.25">
      <c r="B6" s="4">
        <v>2</v>
      </c>
      <c r="C6" t="s">
        <v>7</v>
      </c>
      <c r="D6" t="s">
        <v>7</v>
      </c>
      <c r="J6" t="s">
        <v>6</v>
      </c>
      <c r="L6" s="6" t="s">
        <v>2</v>
      </c>
      <c r="M6">
        <f t="shared" ref="M6:M10" si="2">COUNTIF($C$5:$J$60,L6)</f>
        <v>6</v>
      </c>
    </row>
    <row r="7" spans="2:13" x14ac:dyDescent="0.25">
      <c r="B7" s="4">
        <v>3</v>
      </c>
      <c r="C7" t="s">
        <v>7</v>
      </c>
      <c r="J7" t="s">
        <v>6</v>
      </c>
      <c r="L7" s="7" t="s">
        <v>3</v>
      </c>
      <c r="M7">
        <f t="shared" si="2"/>
        <v>1</v>
      </c>
    </row>
    <row r="8" spans="2:13" x14ac:dyDescent="0.25">
      <c r="B8" s="4">
        <v>4</v>
      </c>
      <c r="C8" t="s">
        <v>7</v>
      </c>
      <c r="D8" t="s">
        <v>7</v>
      </c>
      <c r="J8" t="s">
        <v>6</v>
      </c>
      <c r="L8" s="8" t="s">
        <v>4</v>
      </c>
      <c r="M8">
        <f t="shared" si="2"/>
        <v>0</v>
      </c>
    </row>
    <row r="9" spans="2:13" x14ac:dyDescent="0.25">
      <c r="B9" s="4">
        <v>5</v>
      </c>
      <c r="C9" t="s">
        <v>7</v>
      </c>
      <c r="L9" s="9" t="s">
        <v>6</v>
      </c>
      <c r="M9">
        <f t="shared" si="2"/>
        <v>38</v>
      </c>
    </row>
    <row r="10" spans="2:13" x14ac:dyDescent="0.25">
      <c r="B10" s="4">
        <v>6</v>
      </c>
      <c r="C10" t="s">
        <v>2</v>
      </c>
      <c r="J10" t="s">
        <v>6</v>
      </c>
      <c r="L10" s="10" t="s">
        <v>5</v>
      </c>
      <c r="M10">
        <f t="shared" si="2"/>
        <v>12</v>
      </c>
    </row>
    <row r="11" spans="2:13" x14ac:dyDescent="0.25">
      <c r="B11" s="4">
        <v>7</v>
      </c>
      <c r="J11" t="s">
        <v>6</v>
      </c>
      <c r="M11">
        <f>SUM(M5:M10)</f>
        <v>77</v>
      </c>
    </row>
    <row r="12" spans="2:13" x14ac:dyDescent="0.25">
      <c r="B12" s="4">
        <v>8</v>
      </c>
      <c r="J12" t="s">
        <v>6</v>
      </c>
    </row>
    <row r="13" spans="2:13" x14ac:dyDescent="0.25">
      <c r="B13" s="4">
        <v>9</v>
      </c>
      <c r="J13" t="s">
        <v>6</v>
      </c>
    </row>
    <row r="14" spans="2:13" x14ac:dyDescent="0.25">
      <c r="B14" s="4">
        <v>10</v>
      </c>
      <c r="J14" t="s">
        <v>6</v>
      </c>
    </row>
    <row r="15" spans="2:13" x14ac:dyDescent="0.25">
      <c r="B15" s="4">
        <v>11</v>
      </c>
      <c r="J15" t="s">
        <v>6</v>
      </c>
    </row>
    <row r="16" spans="2:13" x14ac:dyDescent="0.25">
      <c r="B16" s="4">
        <v>12</v>
      </c>
      <c r="J16" t="s">
        <v>6</v>
      </c>
    </row>
    <row r="17" spans="2:10" x14ac:dyDescent="0.25">
      <c r="B17" s="4">
        <v>13</v>
      </c>
      <c r="J17" t="s">
        <v>6</v>
      </c>
    </row>
    <row r="18" spans="2:10" x14ac:dyDescent="0.25">
      <c r="B18" s="4">
        <v>14</v>
      </c>
      <c r="J18" t="s">
        <v>6</v>
      </c>
    </row>
    <row r="19" spans="2:10" x14ac:dyDescent="0.25">
      <c r="B19" s="4">
        <v>15</v>
      </c>
      <c r="C19" t="s">
        <v>7</v>
      </c>
      <c r="J19" t="s">
        <v>6</v>
      </c>
    </row>
    <row r="20" spans="2:10" x14ac:dyDescent="0.25">
      <c r="B20" s="4">
        <v>16</v>
      </c>
      <c r="C20" t="s">
        <v>2</v>
      </c>
      <c r="J20" t="s">
        <v>6</v>
      </c>
    </row>
    <row r="21" spans="2:10" x14ac:dyDescent="0.25">
      <c r="B21" s="4">
        <v>17</v>
      </c>
      <c r="C21" t="s">
        <v>7</v>
      </c>
      <c r="J21" t="s">
        <v>6</v>
      </c>
    </row>
    <row r="22" spans="2:10" x14ac:dyDescent="0.25">
      <c r="B22" s="4">
        <v>18</v>
      </c>
      <c r="C22" t="s">
        <v>7</v>
      </c>
      <c r="D22" t="s">
        <v>7</v>
      </c>
      <c r="J22" t="s">
        <v>6</v>
      </c>
    </row>
    <row r="23" spans="2:10" x14ac:dyDescent="0.25">
      <c r="B23" s="4">
        <v>19</v>
      </c>
      <c r="J23" t="s">
        <v>6</v>
      </c>
    </row>
    <row r="24" spans="2:10" x14ac:dyDescent="0.25">
      <c r="B24" s="4">
        <v>20</v>
      </c>
      <c r="C24" t="s">
        <v>5</v>
      </c>
      <c r="D24" t="s">
        <v>5</v>
      </c>
      <c r="J24" t="s">
        <v>6</v>
      </c>
    </row>
    <row r="25" spans="2:10" x14ac:dyDescent="0.25">
      <c r="B25" s="4">
        <v>21</v>
      </c>
      <c r="J25" t="s">
        <v>6</v>
      </c>
    </row>
    <row r="26" spans="2:10" x14ac:dyDescent="0.25">
      <c r="B26" s="4">
        <v>22</v>
      </c>
      <c r="C26" t="s">
        <v>5</v>
      </c>
      <c r="D26" t="s">
        <v>5</v>
      </c>
      <c r="J26" t="s">
        <v>6</v>
      </c>
    </row>
    <row r="27" spans="2:10" x14ac:dyDescent="0.25">
      <c r="B27" s="4">
        <v>23</v>
      </c>
      <c r="C27" t="s">
        <v>7</v>
      </c>
      <c r="J27" t="s">
        <v>6</v>
      </c>
    </row>
    <row r="28" spans="2:10" x14ac:dyDescent="0.25">
      <c r="B28" s="4">
        <v>24</v>
      </c>
      <c r="C28" t="s">
        <v>5</v>
      </c>
      <c r="D28" t="s">
        <v>5</v>
      </c>
      <c r="J28" t="s">
        <v>6</v>
      </c>
    </row>
    <row r="29" spans="2:10" x14ac:dyDescent="0.25">
      <c r="B29" s="4">
        <v>25</v>
      </c>
      <c r="D29" t="s">
        <v>7</v>
      </c>
      <c r="J29" t="s">
        <v>6</v>
      </c>
    </row>
    <row r="30" spans="2:10" x14ac:dyDescent="0.25">
      <c r="B30" s="4">
        <v>26</v>
      </c>
      <c r="C30" t="s">
        <v>7</v>
      </c>
      <c r="J30" t="s">
        <v>6</v>
      </c>
    </row>
    <row r="31" spans="2:10" x14ac:dyDescent="0.25">
      <c r="B31" s="4">
        <v>27</v>
      </c>
      <c r="J31" t="s">
        <v>6</v>
      </c>
    </row>
    <row r="32" spans="2:10" x14ac:dyDescent="0.25">
      <c r="B32" s="4">
        <v>28</v>
      </c>
      <c r="C32" t="s">
        <v>2</v>
      </c>
      <c r="J32" t="s">
        <v>6</v>
      </c>
    </row>
    <row r="33" spans="2:10" x14ac:dyDescent="0.25">
      <c r="B33" s="4">
        <v>29</v>
      </c>
      <c r="D33" t="s">
        <v>2</v>
      </c>
      <c r="J33" t="s">
        <v>6</v>
      </c>
    </row>
    <row r="34" spans="2:10" x14ac:dyDescent="0.25">
      <c r="B34" s="4">
        <v>30</v>
      </c>
      <c r="C34" t="s">
        <v>3</v>
      </c>
      <c r="J34" t="s">
        <v>6</v>
      </c>
    </row>
    <row r="35" spans="2:10" x14ac:dyDescent="0.25">
      <c r="B35" s="4">
        <v>31</v>
      </c>
      <c r="D35" t="s">
        <v>2</v>
      </c>
      <c r="J35" t="s">
        <v>6</v>
      </c>
    </row>
    <row r="36" spans="2:10" x14ac:dyDescent="0.25">
      <c r="B36" s="4">
        <v>32</v>
      </c>
      <c r="C36" t="s">
        <v>2</v>
      </c>
      <c r="J36" t="s">
        <v>6</v>
      </c>
    </row>
    <row r="37" spans="2:10" x14ac:dyDescent="0.25">
      <c r="B37" s="4">
        <v>33</v>
      </c>
      <c r="C37" t="s">
        <v>7</v>
      </c>
      <c r="J37" t="s">
        <v>6</v>
      </c>
    </row>
    <row r="38" spans="2:10" x14ac:dyDescent="0.25">
      <c r="B38" s="4">
        <v>34</v>
      </c>
      <c r="D38" t="s">
        <v>7</v>
      </c>
      <c r="J38" t="s">
        <v>6</v>
      </c>
    </row>
    <row r="39" spans="2:10" x14ac:dyDescent="0.25">
      <c r="B39" s="4">
        <v>35</v>
      </c>
      <c r="J39" t="s">
        <v>6</v>
      </c>
    </row>
    <row r="40" spans="2:10" x14ac:dyDescent="0.25">
      <c r="B40" s="4">
        <v>36</v>
      </c>
      <c r="J40" t="s">
        <v>6</v>
      </c>
    </row>
    <row r="41" spans="2:10" x14ac:dyDescent="0.25">
      <c r="B41" s="4">
        <v>37</v>
      </c>
      <c r="J41" t="s">
        <v>6</v>
      </c>
    </row>
    <row r="42" spans="2:10" x14ac:dyDescent="0.25">
      <c r="B42" s="4">
        <v>38</v>
      </c>
      <c r="C42" t="s">
        <v>7</v>
      </c>
      <c r="J42" t="s">
        <v>6</v>
      </c>
    </row>
    <row r="43" spans="2:10" x14ac:dyDescent="0.25">
      <c r="B43" s="4">
        <v>39</v>
      </c>
      <c r="J43" t="s">
        <v>6</v>
      </c>
    </row>
    <row r="44" spans="2:10" x14ac:dyDescent="0.25">
      <c r="B44" s="4">
        <v>40</v>
      </c>
      <c r="C44" t="s">
        <v>7</v>
      </c>
    </row>
    <row r="45" spans="2:10" x14ac:dyDescent="0.25">
      <c r="B45" s="4">
        <v>41</v>
      </c>
    </row>
    <row r="46" spans="2:10" x14ac:dyDescent="0.25">
      <c r="B46" s="4">
        <v>42</v>
      </c>
      <c r="C46" t="s">
        <v>7</v>
      </c>
    </row>
    <row r="47" spans="2:10" x14ac:dyDescent="0.25">
      <c r="B47" s="4">
        <v>43</v>
      </c>
      <c r="D47" t="s">
        <v>7</v>
      </c>
    </row>
    <row r="48" spans="2:10" x14ac:dyDescent="0.25">
      <c r="B48" s="4">
        <v>44</v>
      </c>
    </row>
    <row r="49" spans="2:4" x14ac:dyDescent="0.25">
      <c r="B49" s="4">
        <v>45</v>
      </c>
    </row>
    <row r="50" spans="2:4" x14ac:dyDescent="0.25">
      <c r="B50" s="4">
        <v>46</v>
      </c>
    </row>
    <row r="51" spans="2:4" x14ac:dyDescent="0.25">
      <c r="B51" s="4">
        <v>47</v>
      </c>
      <c r="D51" t="s">
        <v>5</v>
      </c>
    </row>
    <row r="52" spans="2:4" x14ac:dyDescent="0.25">
      <c r="B52" s="4">
        <v>48</v>
      </c>
      <c r="C52" t="s">
        <v>7</v>
      </c>
    </row>
    <row r="53" spans="2:4" x14ac:dyDescent="0.25">
      <c r="B53" s="4">
        <v>49</v>
      </c>
    </row>
    <row r="54" spans="2:4" x14ac:dyDescent="0.25">
      <c r="B54" s="4">
        <v>50</v>
      </c>
      <c r="D54" t="s">
        <v>5</v>
      </c>
    </row>
    <row r="55" spans="2:4" x14ac:dyDescent="0.25">
      <c r="B55" s="4">
        <v>51</v>
      </c>
      <c r="D55" t="s">
        <v>5</v>
      </c>
    </row>
    <row r="56" spans="2:4" x14ac:dyDescent="0.25">
      <c r="B56" s="4">
        <v>52</v>
      </c>
    </row>
    <row r="57" spans="2:4" x14ac:dyDescent="0.25">
      <c r="B57" s="4">
        <v>53</v>
      </c>
    </row>
    <row r="58" spans="2:4" x14ac:dyDescent="0.25">
      <c r="B58" s="4">
        <v>54</v>
      </c>
      <c r="D58" t="s">
        <v>5</v>
      </c>
    </row>
    <row r="59" spans="2:4" x14ac:dyDescent="0.25">
      <c r="B59" s="4">
        <v>55</v>
      </c>
      <c r="C59" t="s">
        <v>5</v>
      </c>
    </row>
    <row r="60" spans="2:4" x14ac:dyDescent="0.25">
      <c r="B60" s="4">
        <v>56</v>
      </c>
      <c r="C60" t="s">
        <v>5</v>
      </c>
    </row>
  </sheetData>
  <conditionalFormatting sqref="C5:E11 H5:H11">
    <cfRule type="cellIs" dxfId="335" priority="17" operator="equal">
      <formula>"Energia"</formula>
    </cfRule>
  </conditionalFormatting>
  <conditionalFormatting sqref="C5:E60 H5:J60">
    <cfRule type="cellIs" dxfId="334" priority="10" operator="equal">
      <formula>"Energia"</formula>
    </cfRule>
    <cfRule type="cellIs" dxfId="333" priority="12" operator="equal">
      <formula>"Operação"</formula>
    </cfRule>
    <cfRule type="cellIs" dxfId="332" priority="13" operator="equal">
      <formula>"Chuva"</formula>
    </cfRule>
    <cfRule type="cellIs" dxfId="331" priority="14" operator="equal">
      <formula>"Elétrico"</formula>
    </cfRule>
    <cfRule type="cellIs" dxfId="330" priority="15" operator="equal">
      <formula>"Mecânico"</formula>
    </cfRule>
    <cfRule type="cellIs" dxfId="329" priority="16" operator="equal">
      <formula>"Ok"</formula>
    </cfRule>
  </conditionalFormatting>
  <conditionalFormatting sqref="C5:E60 H5:J60">
    <cfRule type="cellIs" dxfId="328" priority="11" operator="equal">
      <formula>"Feito"</formula>
    </cfRule>
  </conditionalFormatting>
  <conditionalFormatting sqref="L7">
    <cfRule type="iconSet" priority="9">
      <iconSet iconSet="3Arrows">
        <cfvo type="percent" val="0"/>
        <cfvo type="percent" val="33"/>
        <cfvo type="percent" val="67"/>
      </iconSet>
    </cfRule>
  </conditionalFormatting>
  <conditionalFormatting sqref="F5:G11">
    <cfRule type="cellIs" dxfId="327" priority="8" operator="equal">
      <formula>"Energia"</formula>
    </cfRule>
  </conditionalFormatting>
  <conditionalFormatting sqref="F5:G60">
    <cfRule type="cellIs" dxfId="326" priority="1" operator="equal">
      <formula>"Energia"</formula>
    </cfRule>
    <cfRule type="cellIs" dxfId="325" priority="3" operator="equal">
      <formula>"Operação"</formula>
    </cfRule>
    <cfRule type="cellIs" dxfId="324" priority="4" operator="equal">
      <formula>"Chuva"</formula>
    </cfRule>
    <cfRule type="cellIs" dxfId="323" priority="5" operator="equal">
      <formula>"Elétrico"</formula>
    </cfRule>
    <cfRule type="cellIs" dxfId="322" priority="6" operator="equal">
      <formula>"Mecânico"</formula>
    </cfRule>
    <cfRule type="cellIs" dxfId="321" priority="7" operator="equal">
      <formula>"Ok"</formula>
    </cfRule>
  </conditionalFormatting>
  <conditionalFormatting sqref="F5:G60">
    <cfRule type="cellIs" dxfId="320" priority="2" operator="equal">
      <formula>"Feito"</formula>
    </cfRule>
  </conditionalFormatting>
  <dataValidations count="1">
    <dataValidation type="list" allowBlank="1" showInputMessage="1" showErrorMessage="1" sqref="C5:K60" xr:uid="{E0F24A0B-78CD-4FBA-8DF4-C1F563DDB1F9}">
      <formula1>$L$5:$L$10</formula1>
    </dataValidation>
  </dataValidations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0F3CDB-5E52-4D58-93D9-558E7338E003}">
  <dimension ref="A3:L60"/>
  <sheetViews>
    <sheetView workbookViewId="0">
      <pane xSplit="1" topLeftCell="B1" activePane="topRight" state="frozen"/>
      <selection pane="topRight" activeCell="L5" sqref="L5:L10"/>
    </sheetView>
  </sheetViews>
  <sheetFormatPr defaultRowHeight="15" x14ac:dyDescent="0.25"/>
  <cols>
    <col min="2" max="2" width="10.42578125" customWidth="1"/>
    <col min="3" max="3" width="10.140625" bestFit="1" customWidth="1"/>
    <col min="4" max="5" width="10.85546875" customWidth="1"/>
    <col min="6" max="6" width="11.140625" customWidth="1"/>
    <col min="7" max="7" width="10.42578125" customWidth="1"/>
    <col min="8" max="8" width="9.85546875" customWidth="1"/>
    <col min="9" max="9" width="10.28515625" customWidth="1"/>
  </cols>
  <sheetData>
    <row r="3" spans="1:12" x14ac:dyDescent="0.25">
      <c r="B3" s="3">
        <v>44316</v>
      </c>
      <c r="C3" s="3">
        <f>B3+1</f>
        <v>44317</v>
      </c>
      <c r="D3" s="3">
        <f t="shared" ref="D3:I3" si="0">C3+1</f>
        <v>44318</v>
      </c>
      <c r="E3" s="3">
        <f t="shared" si="0"/>
        <v>44319</v>
      </c>
      <c r="F3" s="3">
        <f t="shared" si="0"/>
        <v>44320</v>
      </c>
      <c r="G3" s="3">
        <f t="shared" si="0"/>
        <v>44321</v>
      </c>
      <c r="H3" s="3">
        <f t="shared" si="0"/>
        <v>44322</v>
      </c>
      <c r="I3" s="3">
        <f t="shared" si="0"/>
        <v>44323</v>
      </c>
    </row>
    <row r="4" spans="1:12" x14ac:dyDescent="0.25">
      <c r="A4" s="2" t="s">
        <v>0</v>
      </c>
      <c r="B4" s="1" t="str">
        <f>TEXT(B3,"ddd")</f>
        <v>sex</v>
      </c>
      <c r="C4" s="1" t="str">
        <f t="shared" ref="C4:I4" si="1">TEXT(C3,"ddd")</f>
        <v>sáb</v>
      </c>
      <c r="D4" s="1" t="str">
        <f t="shared" si="1"/>
        <v>dom</v>
      </c>
      <c r="E4" s="1" t="str">
        <f t="shared" si="1"/>
        <v>seg</v>
      </c>
      <c r="F4" s="1" t="str">
        <f t="shared" si="1"/>
        <v>ter</v>
      </c>
      <c r="G4" s="1" t="str">
        <f t="shared" si="1"/>
        <v>qua</v>
      </c>
      <c r="H4" s="1" t="str">
        <f t="shared" si="1"/>
        <v>qui</v>
      </c>
      <c r="I4" s="1" t="str">
        <f t="shared" si="1"/>
        <v>sex</v>
      </c>
      <c r="K4" s="11" t="s">
        <v>1</v>
      </c>
    </row>
    <row r="5" spans="1:12" x14ac:dyDescent="0.25">
      <c r="A5" s="4">
        <v>1</v>
      </c>
      <c r="K5" s="5" t="s">
        <v>7</v>
      </c>
      <c r="L5">
        <f>COUNTIF($B$5:$I$60,K5)</f>
        <v>86</v>
      </c>
    </row>
    <row r="6" spans="1:12" x14ac:dyDescent="0.25">
      <c r="A6" s="4">
        <v>2</v>
      </c>
      <c r="F6" t="s">
        <v>7</v>
      </c>
      <c r="K6" s="6" t="s">
        <v>2</v>
      </c>
      <c r="L6">
        <f t="shared" ref="L6:L10" si="2">COUNTIF($B$5:$I$60,K6)</f>
        <v>7</v>
      </c>
    </row>
    <row r="7" spans="1:12" x14ac:dyDescent="0.25">
      <c r="A7" s="4">
        <v>3</v>
      </c>
      <c r="F7" t="s">
        <v>7</v>
      </c>
      <c r="G7" t="s">
        <v>7</v>
      </c>
      <c r="I7" t="s">
        <v>7</v>
      </c>
      <c r="K7" s="7" t="s">
        <v>3</v>
      </c>
      <c r="L7">
        <f t="shared" si="2"/>
        <v>4</v>
      </c>
    </row>
    <row r="8" spans="1:12" x14ac:dyDescent="0.25">
      <c r="A8" s="4">
        <v>4</v>
      </c>
      <c r="B8" t="s">
        <v>5</v>
      </c>
      <c r="F8" t="s">
        <v>7</v>
      </c>
      <c r="H8" t="s">
        <v>3</v>
      </c>
      <c r="I8" t="s">
        <v>7</v>
      </c>
      <c r="K8" s="8" t="s">
        <v>4</v>
      </c>
      <c r="L8">
        <f t="shared" si="2"/>
        <v>0</v>
      </c>
    </row>
    <row r="9" spans="1:12" x14ac:dyDescent="0.25">
      <c r="A9" s="4">
        <v>5</v>
      </c>
      <c r="B9" t="s">
        <v>7</v>
      </c>
      <c r="F9" t="s">
        <v>5</v>
      </c>
      <c r="G9" t="s">
        <v>7</v>
      </c>
      <c r="H9" t="s">
        <v>7</v>
      </c>
      <c r="I9" t="s">
        <v>7</v>
      </c>
      <c r="K9" s="9" t="s">
        <v>6</v>
      </c>
      <c r="L9">
        <f t="shared" si="2"/>
        <v>0</v>
      </c>
    </row>
    <row r="10" spans="1:12" x14ac:dyDescent="0.25">
      <c r="A10" s="4">
        <v>6</v>
      </c>
      <c r="F10" t="s">
        <v>5</v>
      </c>
      <c r="K10" s="10" t="s">
        <v>5</v>
      </c>
      <c r="L10">
        <f t="shared" si="2"/>
        <v>45</v>
      </c>
    </row>
    <row r="11" spans="1:12" x14ac:dyDescent="0.25">
      <c r="A11" s="4">
        <v>7</v>
      </c>
      <c r="C11" t="s">
        <v>7</v>
      </c>
      <c r="D11" t="s">
        <v>7</v>
      </c>
      <c r="F11" t="s">
        <v>7</v>
      </c>
      <c r="G11" t="s">
        <v>7</v>
      </c>
      <c r="H11" t="s">
        <v>7</v>
      </c>
      <c r="L11">
        <f>SUM(L5:L10)</f>
        <v>142</v>
      </c>
    </row>
    <row r="12" spans="1:12" x14ac:dyDescent="0.25">
      <c r="A12" s="4">
        <v>8</v>
      </c>
      <c r="B12" t="s">
        <v>5</v>
      </c>
      <c r="C12" t="s">
        <v>7</v>
      </c>
      <c r="D12" t="s">
        <v>7</v>
      </c>
      <c r="E12" t="s">
        <v>5</v>
      </c>
      <c r="F12" t="s">
        <v>7</v>
      </c>
      <c r="G12" t="s">
        <v>7</v>
      </c>
    </row>
    <row r="13" spans="1:12" x14ac:dyDescent="0.25">
      <c r="A13" s="4">
        <v>9</v>
      </c>
      <c r="B13" t="s">
        <v>5</v>
      </c>
      <c r="E13" t="s">
        <v>7</v>
      </c>
      <c r="F13" t="s">
        <v>7</v>
      </c>
      <c r="G13" t="s">
        <v>7</v>
      </c>
      <c r="H13" t="s">
        <v>2</v>
      </c>
      <c r="I13" t="s">
        <v>7</v>
      </c>
    </row>
    <row r="14" spans="1:12" x14ac:dyDescent="0.25">
      <c r="A14" s="4">
        <v>10</v>
      </c>
      <c r="G14" t="s">
        <v>7</v>
      </c>
    </row>
    <row r="15" spans="1:12" x14ac:dyDescent="0.25">
      <c r="A15" s="4">
        <v>11</v>
      </c>
    </row>
    <row r="16" spans="1:12" x14ac:dyDescent="0.25">
      <c r="A16" s="4">
        <v>12</v>
      </c>
    </row>
    <row r="17" spans="1:9" x14ac:dyDescent="0.25">
      <c r="A17" s="4">
        <v>13</v>
      </c>
    </row>
    <row r="18" spans="1:9" x14ac:dyDescent="0.25">
      <c r="A18" s="4">
        <v>14</v>
      </c>
    </row>
    <row r="19" spans="1:9" x14ac:dyDescent="0.25">
      <c r="A19" s="4">
        <v>15</v>
      </c>
      <c r="B19" t="s">
        <v>7</v>
      </c>
      <c r="E19" t="s">
        <v>5</v>
      </c>
      <c r="H19" t="s">
        <v>5</v>
      </c>
    </row>
    <row r="20" spans="1:9" x14ac:dyDescent="0.25">
      <c r="A20" s="4">
        <v>16</v>
      </c>
      <c r="D20" t="s">
        <v>2</v>
      </c>
      <c r="E20" t="s">
        <v>7</v>
      </c>
      <c r="F20" t="s">
        <v>5</v>
      </c>
    </row>
    <row r="21" spans="1:9" x14ac:dyDescent="0.25">
      <c r="A21" s="4">
        <v>17</v>
      </c>
      <c r="B21" t="s">
        <v>7</v>
      </c>
      <c r="E21" t="s">
        <v>5</v>
      </c>
      <c r="H21" t="s">
        <v>7</v>
      </c>
    </row>
    <row r="22" spans="1:9" x14ac:dyDescent="0.25">
      <c r="A22" s="4">
        <v>18</v>
      </c>
      <c r="C22" t="s">
        <v>5</v>
      </c>
      <c r="D22" t="s">
        <v>5</v>
      </c>
      <c r="I22" t="s">
        <v>7</v>
      </c>
    </row>
    <row r="23" spans="1:9" x14ac:dyDescent="0.25">
      <c r="A23" s="4">
        <v>19</v>
      </c>
      <c r="D23" t="s">
        <v>7</v>
      </c>
      <c r="G23" t="s">
        <v>2</v>
      </c>
    </row>
    <row r="24" spans="1:9" x14ac:dyDescent="0.25">
      <c r="A24" s="4">
        <v>20</v>
      </c>
      <c r="C24" t="s">
        <v>5</v>
      </c>
      <c r="D24" t="s">
        <v>5</v>
      </c>
      <c r="F24" t="s">
        <v>5</v>
      </c>
    </row>
    <row r="25" spans="1:9" x14ac:dyDescent="0.25">
      <c r="A25" s="4">
        <v>21</v>
      </c>
      <c r="D25" t="s">
        <v>7</v>
      </c>
      <c r="G25" t="s">
        <v>7</v>
      </c>
    </row>
    <row r="26" spans="1:9" x14ac:dyDescent="0.25">
      <c r="A26" s="4">
        <v>22</v>
      </c>
      <c r="D26" t="s">
        <v>3</v>
      </c>
      <c r="G26" t="s">
        <v>3</v>
      </c>
    </row>
    <row r="27" spans="1:9" x14ac:dyDescent="0.25">
      <c r="A27" s="4">
        <v>23</v>
      </c>
      <c r="B27" t="s">
        <v>7</v>
      </c>
      <c r="E27" t="s">
        <v>5</v>
      </c>
      <c r="H27" t="s">
        <v>7</v>
      </c>
    </row>
    <row r="28" spans="1:9" x14ac:dyDescent="0.25">
      <c r="A28" s="4">
        <v>24</v>
      </c>
      <c r="B28" t="s">
        <v>5</v>
      </c>
      <c r="C28" t="s">
        <v>5</v>
      </c>
      <c r="D28" t="s">
        <v>5</v>
      </c>
      <c r="F28" t="s">
        <v>5</v>
      </c>
    </row>
    <row r="29" spans="1:9" x14ac:dyDescent="0.25">
      <c r="A29" s="4">
        <v>25</v>
      </c>
      <c r="B29" t="s">
        <v>7</v>
      </c>
      <c r="D29" t="s">
        <v>7</v>
      </c>
      <c r="E29" t="s">
        <v>7</v>
      </c>
      <c r="G29" t="s">
        <v>7</v>
      </c>
      <c r="H29" t="s">
        <v>7</v>
      </c>
      <c r="I29" t="s">
        <v>7</v>
      </c>
    </row>
    <row r="30" spans="1:9" x14ac:dyDescent="0.25">
      <c r="A30" s="4">
        <v>26</v>
      </c>
      <c r="C30" t="s">
        <v>7</v>
      </c>
      <c r="F30" t="s">
        <v>7</v>
      </c>
      <c r="I30" t="s">
        <v>7</v>
      </c>
    </row>
    <row r="31" spans="1:9" x14ac:dyDescent="0.25">
      <c r="A31" s="4">
        <v>27</v>
      </c>
      <c r="C31" t="s">
        <v>7</v>
      </c>
      <c r="F31" t="s">
        <v>5</v>
      </c>
      <c r="G31" t="s">
        <v>5</v>
      </c>
    </row>
    <row r="32" spans="1:9" x14ac:dyDescent="0.25">
      <c r="A32" s="4">
        <v>28</v>
      </c>
      <c r="D32" t="s">
        <v>7</v>
      </c>
    </row>
    <row r="33" spans="1:9" x14ac:dyDescent="0.25">
      <c r="A33" s="4">
        <v>29</v>
      </c>
      <c r="B33" t="s">
        <v>7</v>
      </c>
      <c r="D33" t="s">
        <v>7</v>
      </c>
      <c r="F33" t="s">
        <v>7</v>
      </c>
      <c r="H33" t="s">
        <v>3</v>
      </c>
      <c r="I33" t="s">
        <v>7</v>
      </c>
    </row>
    <row r="34" spans="1:9" x14ac:dyDescent="0.25">
      <c r="A34" s="4">
        <v>30</v>
      </c>
    </row>
    <row r="35" spans="1:9" x14ac:dyDescent="0.25">
      <c r="A35" s="4">
        <v>31</v>
      </c>
      <c r="C35" t="s">
        <v>7</v>
      </c>
      <c r="F35" t="s">
        <v>7</v>
      </c>
      <c r="I35" t="s">
        <v>7</v>
      </c>
    </row>
    <row r="36" spans="1:9" x14ac:dyDescent="0.25">
      <c r="A36" s="4">
        <v>32</v>
      </c>
      <c r="B36" t="s">
        <v>7</v>
      </c>
      <c r="C36" t="s">
        <v>7</v>
      </c>
      <c r="E36" t="s">
        <v>7</v>
      </c>
      <c r="F36" t="s">
        <v>2</v>
      </c>
      <c r="H36" t="s">
        <v>7</v>
      </c>
      <c r="I36" t="s">
        <v>2</v>
      </c>
    </row>
    <row r="37" spans="1:9" x14ac:dyDescent="0.25">
      <c r="A37" s="4">
        <v>33</v>
      </c>
      <c r="B37" t="s">
        <v>7</v>
      </c>
      <c r="E37" t="s">
        <v>7</v>
      </c>
      <c r="H37" t="s">
        <v>2</v>
      </c>
      <c r="I37" t="s">
        <v>7</v>
      </c>
    </row>
    <row r="38" spans="1:9" x14ac:dyDescent="0.25">
      <c r="A38" s="4">
        <v>34</v>
      </c>
    </row>
    <row r="39" spans="1:9" x14ac:dyDescent="0.25">
      <c r="A39" s="4">
        <v>35</v>
      </c>
      <c r="C39" t="s">
        <v>7</v>
      </c>
      <c r="G39" t="s">
        <v>7</v>
      </c>
      <c r="H39" t="s">
        <v>5</v>
      </c>
    </row>
    <row r="40" spans="1:9" x14ac:dyDescent="0.25">
      <c r="A40" s="4">
        <v>36</v>
      </c>
      <c r="B40" t="s">
        <v>7</v>
      </c>
      <c r="E40" t="s">
        <v>7</v>
      </c>
      <c r="F40" t="s">
        <v>5</v>
      </c>
      <c r="I40" t="s">
        <v>7</v>
      </c>
    </row>
    <row r="41" spans="1:9" x14ac:dyDescent="0.25">
      <c r="A41" s="4">
        <v>37</v>
      </c>
      <c r="B41" t="s">
        <v>7</v>
      </c>
      <c r="F41" t="s">
        <v>7</v>
      </c>
      <c r="H41" t="s">
        <v>7</v>
      </c>
    </row>
    <row r="42" spans="1:9" x14ac:dyDescent="0.25">
      <c r="A42" s="4">
        <v>38</v>
      </c>
      <c r="B42" t="s">
        <v>7</v>
      </c>
      <c r="E42" t="s">
        <v>5</v>
      </c>
      <c r="H42" t="s">
        <v>5</v>
      </c>
      <c r="I42" t="s">
        <v>7</v>
      </c>
    </row>
    <row r="43" spans="1:9" x14ac:dyDescent="0.25">
      <c r="A43" s="4">
        <v>39</v>
      </c>
      <c r="C43" t="s">
        <v>7</v>
      </c>
      <c r="F43" t="s">
        <v>5</v>
      </c>
    </row>
    <row r="44" spans="1:9" x14ac:dyDescent="0.25">
      <c r="A44" s="4">
        <v>40</v>
      </c>
      <c r="D44" t="s">
        <v>7</v>
      </c>
      <c r="G44" t="s">
        <v>5</v>
      </c>
    </row>
    <row r="45" spans="1:9" x14ac:dyDescent="0.25">
      <c r="A45" s="4">
        <v>41</v>
      </c>
      <c r="C45" t="s">
        <v>7</v>
      </c>
      <c r="F45" t="s">
        <v>7</v>
      </c>
    </row>
    <row r="46" spans="1:9" x14ac:dyDescent="0.25">
      <c r="A46" s="4">
        <v>42</v>
      </c>
      <c r="B46" t="s">
        <v>5</v>
      </c>
      <c r="E46" t="s">
        <v>7</v>
      </c>
      <c r="H46" t="s">
        <v>5</v>
      </c>
    </row>
    <row r="47" spans="1:9" x14ac:dyDescent="0.25">
      <c r="A47" s="4">
        <v>43</v>
      </c>
      <c r="C47" t="s">
        <v>7</v>
      </c>
      <c r="F47" t="s">
        <v>5</v>
      </c>
    </row>
    <row r="48" spans="1:9" x14ac:dyDescent="0.25">
      <c r="A48" s="4">
        <v>44</v>
      </c>
      <c r="D48" t="s">
        <v>7</v>
      </c>
      <c r="G48" t="s">
        <v>7</v>
      </c>
    </row>
    <row r="49" spans="1:9" x14ac:dyDescent="0.25">
      <c r="A49" s="4">
        <v>45</v>
      </c>
    </row>
    <row r="50" spans="1:9" x14ac:dyDescent="0.25">
      <c r="A50" s="4">
        <v>46</v>
      </c>
      <c r="G50" t="s">
        <v>5</v>
      </c>
      <c r="H50" t="s">
        <v>5</v>
      </c>
      <c r="I50" t="s">
        <v>5</v>
      </c>
    </row>
    <row r="51" spans="1:9" x14ac:dyDescent="0.25">
      <c r="A51" s="4">
        <v>47</v>
      </c>
    </row>
    <row r="52" spans="1:9" x14ac:dyDescent="0.25">
      <c r="A52" s="4">
        <v>48</v>
      </c>
    </row>
    <row r="53" spans="1:9" x14ac:dyDescent="0.25">
      <c r="A53" s="4">
        <v>49</v>
      </c>
    </row>
    <row r="54" spans="1:9" x14ac:dyDescent="0.25">
      <c r="A54" s="4">
        <v>50</v>
      </c>
      <c r="B54" t="s">
        <v>7</v>
      </c>
      <c r="E54" t="s">
        <v>7</v>
      </c>
      <c r="H54" t="s">
        <v>5</v>
      </c>
    </row>
    <row r="55" spans="1:9" x14ac:dyDescent="0.25">
      <c r="A55" s="4">
        <v>51</v>
      </c>
      <c r="B55" t="s">
        <v>5</v>
      </c>
      <c r="C55" t="s">
        <v>7</v>
      </c>
      <c r="E55" t="s">
        <v>5</v>
      </c>
      <c r="F55" t="s">
        <v>5</v>
      </c>
      <c r="H55" t="s">
        <v>5</v>
      </c>
      <c r="I55" t="s">
        <v>5</v>
      </c>
    </row>
    <row r="56" spans="1:9" x14ac:dyDescent="0.25">
      <c r="A56" s="4">
        <v>52</v>
      </c>
      <c r="I56" t="s">
        <v>5</v>
      </c>
    </row>
    <row r="57" spans="1:9" x14ac:dyDescent="0.25">
      <c r="A57" s="4">
        <v>53</v>
      </c>
      <c r="B57" t="s">
        <v>7</v>
      </c>
      <c r="E57" t="s">
        <v>7</v>
      </c>
      <c r="H57" t="s">
        <v>7</v>
      </c>
    </row>
    <row r="58" spans="1:9" x14ac:dyDescent="0.25">
      <c r="A58" s="4">
        <v>54</v>
      </c>
      <c r="C58" t="s">
        <v>5</v>
      </c>
      <c r="F58" t="s">
        <v>7</v>
      </c>
      <c r="I58" t="s">
        <v>7</v>
      </c>
    </row>
    <row r="59" spans="1:9" x14ac:dyDescent="0.25">
      <c r="A59" s="4">
        <v>55</v>
      </c>
      <c r="B59" t="s">
        <v>7</v>
      </c>
      <c r="E59" t="s">
        <v>5</v>
      </c>
      <c r="H59" t="s">
        <v>5</v>
      </c>
    </row>
    <row r="60" spans="1:9" x14ac:dyDescent="0.25">
      <c r="A60" s="4">
        <v>56</v>
      </c>
      <c r="D60" t="s">
        <v>2</v>
      </c>
      <c r="G60" t="s">
        <v>5</v>
      </c>
    </row>
  </sheetData>
  <conditionalFormatting sqref="B5:D11 G5:G11">
    <cfRule type="cellIs" dxfId="319" priority="17" operator="equal">
      <formula>"Energia"</formula>
    </cfRule>
  </conditionalFormatting>
  <conditionalFormatting sqref="B5:D60 G5:I60">
    <cfRule type="cellIs" dxfId="318" priority="10" operator="equal">
      <formula>"Energia"</formula>
    </cfRule>
    <cfRule type="cellIs" dxfId="317" priority="12" operator="equal">
      <formula>"Operação"</formula>
    </cfRule>
    <cfRule type="cellIs" dxfId="316" priority="13" operator="equal">
      <formula>"Chuva"</formula>
    </cfRule>
    <cfRule type="cellIs" dxfId="315" priority="14" operator="equal">
      <formula>"Elétrico"</formula>
    </cfRule>
    <cfRule type="cellIs" dxfId="314" priority="15" operator="equal">
      <formula>"Mecânico"</formula>
    </cfRule>
    <cfRule type="cellIs" dxfId="313" priority="16" operator="equal">
      <formula>"Ok"</formula>
    </cfRule>
  </conditionalFormatting>
  <conditionalFormatting sqref="B5:D60 G5:I60">
    <cfRule type="cellIs" dxfId="312" priority="11" operator="equal">
      <formula>"Feito"</formula>
    </cfRule>
  </conditionalFormatting>
  <conditionalFormatting sqref="K7">
    <cfRule type="iconSet" priority="9">
      <iconSet iconSet="3Arrows">
        <cfvo type="percent" val="0"/>
        <cfvo type="percent" val="33"/>
        <cfvo type="percent" val="67"/>
      </iconSet>
    </cfRule>
  </conditionalFormatting>
  <conditionalFormatting sqref="E5:F11">
    <cfRule type="cellIs" dxfId="311" priority="8" operator="equal">
      <formula>"Energia"</formula>
    </cfRule>
  </conditionalFormatting>
  <conditionalFormatting sqref="E5:F60">
    <cfRule type="cellIs" dxfId="310" priority="1" operator="equal">
      <formula>"Energia"</formula>
    </cfRule>
    <cfRule type="cellIs" dxfId="309" priority="3" operator="equal">
      <formula>"Operação"</formula>
    </cfRule>
    <cfRule type="cellIs" dxfId="308" priority="4" operator="equal">
      <formula>"Chuva"</formula>
    </cfRule>
    <cfRule type="cellIs" dxfId="307" priority="5" operator="equal">
      <formula>"Elétrico"</formula>
    </cfRule>
    <cfRule type="cellIs" dxfId="306" priority="6" operator="equal">
      <formula>"Mecânico"</formula>
    </cfRule>
    <cfRule type="cellIs" dxfId="305" priority="7" operator="equal">
      <formula>"Ok"</formula>
    </cfRule>
  </conditionalFormatting>
  <conditionalFormatting sqref="E5:F60">
    <cfRule type="cellIs" dxfId="304" priority="2" operator="equal">
      <formula>"Feito"</formula>
    </cfRule>
  </conditionalFormatting>
  <dataValidations count="1">
    <dataValidation type="list" allowBlank="1" showInputMessage="1" showErrorMessage="1" sqref="B5:J60" xr:uid="{B9A7CD3D-AE59-42F7-A866-80C27BDC5709}">
      <formula1>$K$5:$K$10</formula1>
    </dataValidation>
  </dataValidations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A6E951-AC4B-4952-9E9B-E6D9813AC6C1}">
  <dimension ref="A3:L60"/>
  <sheetViews>
    <sheetView workbookViewId="0">
      <pane xSplit="1" topLeftCell="B1" activePane="topRight" state="frozen"/>
      <selection pane="topRight" activeCell="L5" sqref="L5:L10"/>
    </sheetView>
  </sheetViews>
  <sheetFormatPr defaultRowHeight="15" x14ac:dyDescent="0.25"/>
  <cols>
    <col min="2" max="2" width="10.42578125" customWidth="1"/>
    <col min="3" max="3" width="10.140625" bestFit="1" customWidth="1"/>
    <col min="4" max="5" width="10.85546875" customWidth="1"/>
    <col min="6" max="6" width="11.140625" customWidth="1"/>
    <col min="7" max="7" width="10.42578125" customWidth="1"/>
    <col min="8" max="8" width="9.85546875" customWidth="1"/>
    <col min="9" max="9" width="10.28515625" customWidth="1"/>
  </cols>
  <sheetData>
    <row r="3" spans="1:12" x14ac:dyDescent="0.25">
      <c r="B3" s="3">
        <v>44324</v>
      </c>
      <c r="C3" s="3">
        <f>B3+1</f>
        <v>44325</v>
      </c>
      <c r="D3" s="3">
        <f t="shared" ref="D3:I3" si="0">C3+1</f>
        <v>44326</v>
      </c>
      <c r="E3" s="3">
        <f t="shared" si="0"/>
        <v>44327</v>
      </c>
      <c r="F3" s="3">
        <f t="shared" si="0"/>
        <v>44328</v>
      </c>
      <c r="G3" s="3">
        <f t="shared" si="0"/>
        <v>44329</v>
      </c>
      <c r="H3" s="3">
        <f t="shared" si="0"/>
        <v>44330</v>
      </c>
      <c r="I3" s="3">
        <f t="shared" si="0"/>
        <v>44331</v>
      </c>
    </row>
    <row r="4" spans="1:12" x14ac:dyDescent="0.25">
      <c r="A4" s="2" t="s">
        <v>0</v>
      </c>
      <c r="B4" s="1" t="str">
        <f>TEXT(B3,"ddd")</f>
        <v>sáb</v>
      </c>
      <c r="C4" s="1" t="str">
        <f t="shared" ref="C4:I4" si="1">TEXT(C3,"ddd")</f>
        <v>dom</v>
      </c>
      <c r="D4" s="1" t="str">
        <f t="shared" si="1"/>
        <v>seg</v>
      </c>
      <c r="E4" s="1" t="str">
        <f t="shared" si="1"/>
        <v>ter</v>
      </c>
      <c r="F4" s="1" t="str">
        <f t="shared" si="1"/>
        <v>qua</v>
      </c>
      <c r="G4" s="1" t="str">
        <f t="shared" si="1"/>
        <v>qui</v>
      </c>
      <c r="H4" s="1" t="str">
        <f t="shared" si="1"/>
        <v>sex</v>
      </c>
      <c r="I4" s="1" t="str">
        <f t="shared" si="1"/>
        <v>sáb</v>
      </c>
      <c r="K4" s="11" t="s">
        <v>1</v>
      </c>
    </row>
    <row r="5" spans="1:12" x14ac:dyDescent="0.25">
      <c r="A5" s="4">
        <v>1</v>
      </c>
      <c r="E5" t="s">
        <v>5</v>
      </c>
      <c r="F5" t="s">
        <v>5</v>
      </c>
      <c r="G5" t="s">
        <v>7</v>
      </c>
      <c r="H5" t="s">
        <v>7</v>
      </c>
      <c r="I5" t="s">
        <v>7</v>
      </c>
      <c r="K5" s="5" t="s">
        <v>7</v>
      </c>
      <c r="L5">
        <f>COUNTIF($B$5:$I$60,K5)</f>
        <v>109</v>
      </c>
    </row>
    <row r="6" spans="1:12" x14ac:dyDescent="0.25">
      <c r="A6" s="4">
        <v>2</v>
      </c>
      <c r="C6" t="s">
        <v>7</v>
      </c>
      <c r="I6" t="s">
        <v>7</v>
      </c>
      <c r="K6" s="6" t="s">
        <v>2</v>
      </c>
      <c r="L6">
        <f t="shared" ref="L6:L10" si="2">COUNTIF($B$5:$I$60,K6)</f>
        <v>19</v>
      </c>
    </row>
    <row r="7" spans="1:12" x14ac:dyDescent="0.25">
      <c r="A7" s="4">
        <v>3</v>
      </c>
      <c r="B7" t="s">
        <v>7</v>
      </c>
      <c r="D7" t="s">
        <v>7</v>
      </c>
      <c r="E7" t="s">
        <v>7</v>
      </c>
      <c r="K7" s="7" t="s">
        <v>3</v>
      </c>
      <c r="L7">
        <f t="shared" si="2"/>
        <v>3</v>
      </c>
    </row>
    <row r="8" spans="1:12" x14ac:dyDescent="0.25">
      <c r="A8" s="4">
        <v>4</v>
      </c>
      <c r="B8" t="s">
        <v>7</v>
      </c>
      <c r="C8" t="s">
        <v>7</v>
      </c>
      <c r="D8" t="s">
        <v>7</v>
      </c>
      <c r="E8" t="s">
        <v>7</v>
      </c>
      <c r="F8" t="s">
        <v>7</v>
      </c>
      <c r="G8" t="s">
        <v>7</v>
      </c>
      <c r="K8" s="8" t="s">
        <v>4</v>
      </c>
      <c r="L8">
        <f t="shared" si="2"/>
        <v>0</v>
      </c>
    </row>
    <row r="9" spans="1:12" x14ac:dyDescent="0.25">
      <c r="A9" s="4">
        <v>5</v>
      </c>
      <c r="D9" t="s">
        <v>7</v>
      </c>
      <c r="G9" t="s">
        <v>5</v>
      </c>
      <c r="H9" t="s">
        <v>7</v>
      </c>
      <c r="I9" t="s">
        <v>7</v>
      </c>
      <c r="K9" s="9" t="s">
        <v>6</v>
      </c>
      <c r="L9">
        <f t="shared" si="2"/>
        <v>0</v>
      </c>
    </row>
    <row r="10" spans="1:12" x14ac:dyDescent="0.25">
      <c r="A10" s="4">
        <v>6</v>
      </c>
      <c r="B10" t="s">
        <v>2</v>
      </c>
      <c r="D10" t="s">
        <v>7</v>
      </c>
      <c r="E10" t="s">
        <v>7</v>
      </c>
      <c r="F10" t="s">
        <v>2</v>
      </c>
      <c r="I10" t="s">
        <v>7</v>
      </c>
      <c r="K10" s="10" t="s">
        <v>5</v>
      </c>
      <c r="L10">
        <f t="shared" si="2"/>
        <v>37</v>
      </c>
    </row>
    <row r="11" spans="1:12" x14ac:dyDescent="0.25">
      <c r="A11" s="4">
        <v>7</v>
      </c>
      <c r="D11" t="s">
        <v>7</v>
      </c>
      <c r="G11" t="s">
        <v>7</v>
      </c>
      <c r="H11" t="s">
        <v>5</v>
      </c>
      <c r="L11">
        <f>SUM(L5:L10)</f>
        <v>168</v>
      </c>
    </row>
    <row r="12" spans="1:12" x14ac:dyDescent="0.25">
      <c r="A12" s="4">
        <v>8</v>
      </c>
      <c r="B12" t="s">
        <v>7</v>
      </c>
      <c r="D12" t="s">
        <v>7</v>
      </c>
      <c r="G12" t="s">
        <v>7</v>
      </c>
      <c r="H12" t="s">
        <v>5</v>
      </c>
      <c r="I12" t="s">
        <v>7</v>
      </c>
    </row>
    <row r="13" spans="1:12" x14ac:dyDescent="0.25">
      <c r="A13" s="4">
        <v>9</v>
      </c>
      <c r="B13" t="s">
        <v>7</v>
      </c>
      <c r="C13" t="s">
        <v>7</v>
      </c>
      <c r="D13" t="s">
        <v>7</v>
      </c>
      <c r="E13" t="s">
        <v>7</v>
      </c>
      <c r="F13" t="s">
        <v>2</v>
      </c>
      <c r="G13" t="s">
        <v>2</v>
      </c>
      <c r="H13" t="s">
        <v>7</v>
      </c>
    </row>
    <row r="14" spans="1:12" x14ac:dyDescent="0.25">
      <c r="A14" s="4">
        <v>10</v>
      </c>
      <c r="D14" t="s">
        <v>5</v>
      </c>
      <c r="E14" t="s">
        <v>3</v>
      </c>
      <c r="F14" t="s">
        <v>7</v>
      </c>
      <c r="G14" t="s">
        <v>3</v>
      </c>
      <c r="H14" t="s">
        <v>7</v>
      </c>
      <c r="I14" t="s">
        <v>2</v>
      </c>
    </row>
    <row r="15" spans="1:12" x14ac:dyDescent="0.25">
      <c r="A15" s="4">
        <v>11</v>
      </c>
      <c r="D15" t="s">
        <v>5</v>
      </c>
      <c r="I15" t="s">
        <v>5</v>
      </c>
    </row>
    <row r="16" spans="1:12" x14ac:dyDescent="0.25">
      <c r="A16" s="4">
        <v>12</v>
      </c>
    </row>
    <row r="17" spans="1:9" x14ac:dyDescent="0.25">
      <c r="A17" s="4">
        <v>13</v>
      </c>
    </row>
    <row r="18" spans="1:9" x14ac:dyDescent="0.25">
      <c r="A18" s="4">
        <v>14</v>
      </c>
    </row>
    <row r="19" spans="1:9" x14ac:dyDescent="0.25">
      <c r="A19" s="4">
        <v>15</v>
      </c>
      <c r="C19" t="s">
        <v>7</v>
      </c>
      <c r="F19" t="s">
        <v>7</v>
      </c>
    </row>
    <row r="20" spans="1:9" x14ac:dyDescent="0.25">
      <c r="A20" s="4">
        <v>16</v>
      </c>
      <c r="B20" t="s">
        <v>7</v>
      </c>
      <c r="D20" t="s">
        <v>2</v>
      </c>
      <c r="E20" t="s">
        <v>7</v>
      </c>
      <c r="H20" t="s">
        <v>7</v>
      </c>
    </row>
    <row r="21" spans="1:9" x14ac:dyDescent="0.25">
      <c r="A21" s="4">
        <v>17</v>
      </c>
      <c r="C21" t="s">
        <v>7</v>
      </c>
      <c r="F21" t="s">
        <v>7</v>
      </c>
    </row>
    <row r="22" spans="1:9" x14ac:dyDescent="0.25">
      <c r="A22" s="4">
        <v>18</v>
      </c>
      <c r="D22" t="s">
        <v>2</v>
      </c>
      <c r="G22" t="s">
        <v>5</v>
      </c>
    </row>
    <row r="23" spans="1:9" x14ac:dyDescent="0.25">
      <c r="A23" s="4">
        <v>19</v>
      </c>
      <c r="C23" t="s">
        <v>7</v>
      </c>
      <c r="F23" t="s">
        <v>2</v>
      </c>
    </row>
    <row r="24" spans="1:9" x14ac:dyDescent="0.25">
      <c r="A24" s="4">
        <v>20</v>
      </c>
      <c r="B24" t="s">
        <v>7</v>
      </c>
      <c r="E24" t="s">
        <v>2</v>
      </c>
      <c r="H24" t="s">
        <v>7</v>
      </c>
    </row>
    <row r="25" spans="1:9" x14ac:dyDescent="0.25">
      <c r="A25" s="4">
        <v>21</v>
      </c>
      <c r="C25" t="s">
        <v>7</v>
      </c>
      <c r="F25" t="s">
        <v>5</v>
      </c>
    </row>
    <row r="26" spans="1:9" x14ac:dyDescent="0.25">
      <c r="A26" s="4">
        <v>22</v>
      </c>
      <c r="D26" t="s">
        <v>7</v>
      </c>
      <c r="H26" t="s">
        <v>7</v>
      </c>
    </row>
    <row r="27" spans="1:9" x14ac:dyDescent="0.25">
      <c r="A27" s="4">
        <v>23</v>
      </c>
      <c r="D27" t="s">
        <v>5</v>
      </c>
      <c r="H27" t="s">
        <v>7</v>
      </c>
    </row>
    <row r="28" spans="1:9" x14ac:dyDescent="0.25">
      <c r="A28" s="4">
        <v>24</v>
      </c>
      <c r="B28" t="s">
        <v>7</v>
      </c>
      <c r="C28" t="s">
        <v>5</v>
      </c>
      <c r="F28" t="s">
        <v>7</v>
      </c>
    </row>
    <row r="29" spans="1:9" x14ac:dyDescent="0.25">
      <c r="A29" s="4">
        <v>25</v>
      </c>
      <c r="B29" t="s">
        <v>7</v>
      </c>
      <c r="C29" t="s">
        <v>7</v>
      </c>
      <c r="D29" t="s">
        <v>5</v>
      </c>
      <c r="E29" t="s">
        <v>5</v>
      </c>
      <c r="F29" t="s">
        <v>5</v>
      </c>
      <c r="G29" t="s">
        <v>7</v>
      </c>
      <c r="H29" t="s">
        <v>7</v>
      </c>
      <c r="I29" t="s">
        <v>2</v>
      </c>
    </row>
    <row r="30" spans="1:9" x14ac:dyDescent="0.25">
      <c r="A30" s="4">
        <v>26</v>
      </c>
      <c r="D30" t="s">
        <v>7</v>
      </c>
      <c r="F30" t="s">
        <v>5</v>
      </c>
      <c r="G30" t="s">
        <v>5</v>
      </c>
      <c r="H30" t="s">
        <v>5</v>
      </c>
    </row>
    <row r="31" spans="1:9" x14ac:dyDescent="0.25">
      <c r="A31" s="4">
        <v>27</v>
      </c>
      <c r="B31" t="s">
        <v>7</v>
      </c>
      <c r="E31" t="s">
        <v>7</v>
      </c>
    </row>
    <row r="32" spans="1:9" x14ac:dyDescent="0.25">
      <c r="A32" s="4">
        <v>28</v>
      </c>
      <c r="B32" t="s">
        <v>2</v>
      </c>
      <c r="F32" t="s">
        <v>7</v>
      </c>
    </row>
    <row r="33" spans="1:9" x14ac:dyDescent="0.25">
      <c r="A33" s="4">
        <v>29</v>
      </c>
      <c r="B33" t="s">
        <v>7</v>
      </c>
      <c r="C33" t="s">
        <v>7</v>
      </c>
      <c r="E33" t="s">
        <v>5</v>
      </c>
      <c r="F33" t="s">
        <v>5</v>
      </c>
      <c r="G33" t="s">
        <v>5</v>
      </c>
      <c r="I33" t="s">
        <v>5</v>
      </c>
    </row>
    <row r="34" spans="1:9" x14ac:dyDescent="0.25">
      <c r="A34" s="4">
        <v>30</v>
      </c>
      <c r="E34" t="s">
        <v>2</v>
      </c>
      <c r="F34" t="s">
        <v>2</v>
      </c>
      <c r="G34" t="s">
        <v>2</v>
      </c>
      <c r="H34" t="s">
        <v>5</v>
      </c>
    </row>
    <row r="35" spans="1:9" x14ac:dyDescent="0.25">
      <c r="A35" s="4">
        <v>31</v>
      </c>
      <c r="D35" t="s">
        <v>7</v>
      </c>
      <c r="I35" t="s">
        <v>5</v>
      </c>
    </row>
    <row r="36" spans="1:9" x14ac:dyDescent="0.25">
      <c r="A36" s="4">
        <v>32</v>
      </c>
      <c r="B36" t="s">
        <v>2</v>
      </c>
      <c r="C36" t="s">
        <v>2</v>
      </c>
      <c r="D36" t="s">
        <v>2</v>
      </c>
      <c r="E36" t="s">
        <v>7</v>
      </c>
    </row>
    <row r="37" spans="1:9" x14ac:dyDescent="0.25">
      <c r="A37" s="4">
        <v>33</v>
      </c>
      <c r="D37" t="s">
        <v>7</v>
      </c>
      <c r="G37" t="s">
        <v>5</v>
      </c>
      <c r="I37" t="s">
        <v>5</v>
      </c>
    </row>
    <row r="38" spans="1:9" x14ac:dyDescent="0.25">
      <c r="A38" s="4">
        <v>34</v>
      </c>
    </row>
    <row r="39" spans="1:9" x14ac:dyDescent="0.25">
      <c r="A39" s="4">
        <v>35</v>
      </c>
      <c r="B39" t="s">
        <v>5</v>
      </c>
      <c r="D39" t="s">
        <v>5</v>
      </c>
      <c r="F39" t="s">
        <v>5</v>
      </c>
      <c r="H39" t="s">
        <v>7</v>
      </c>
    </row>
    <row r="40" spans="1:9" x14ac:dyDescent="0.25">
      <c r="A40" s="4">
        <v>36</v>
      </c>
      <c r="C40" t="s">
        <v>7</v>
      </c>
      <c r="E40" t="s">
        <v>5</v>
      </c>
      <c r="G40" t="s">
        <v>5</v>
      </c>
      <c r="I40" t="s">
        <v>7</v>
      </c>
    </row>
    <row r="41" spans="1:9" x14ac:dyDescent="0.25">
      <c r="A41" s="4">
        <v>37</v>
      </c>
      <c r="B41" t="s">
        <v>7</v>
      </c>
      <c r="D41" t="s">
        <v>7</v>
      </c>
      <c r="F41" t="s">
        <v>7</v>
      </c>
    </row>
    <row r="42" spans="1:9" x14ac:dyDescent="0.25">
      <c r="A42" s="4">
        <v>38</v>
      </c>
      <c r="D42" t="s">
        <v>7</v>
      </c>
      <c r="G42" t="s">
        <v>7</v>
      </c>
    </row>
    <row r="43" spans="1:9" x14ac:dyDescent="0.25">
      <c r="A43" s="4">
        <v>39</v>
      </c>
      <c r="B43" t="s">
        <v>5</v>
      </c>
      <c r="E43" t="s">
        <v>7</v>
      </c>
      <c r="H43" t="s">
        <v>7</v>
      </c>
    </row>
    <row r="44" spans="1:9" x14ac:dyDescent="0.25">
      <c r="A44" s="4">
        <v>40</v>
      </c>
      <c r="C44" t="s">
        <v>7</v>
      </c>
      <c r="F44" t="s">
        <v>7</v>
      </c>
    </row>
    <row r="45" spans="1:9" x14ac:dyDescent="0.25">
      <c r="A45" s="4">
        <v>41</v>
      </c>
      <c r="B45" t="s">
        <v>7</v>
      </c>
      <c r="F45" t="s">
        <v>7</v>
      </c>
    </row>
    <row r="46" spans="1:9" x14ac:dyDescent="0.25">
      <c r="A46" s="4">
        <v>42</v>
      </c>
      <c r="C46" t="s">
        <v>7</v>
      </c>
      <c r="E46" t="s">
        <v>7</v>
      </c>
      <c r="G46" t="s">
        <v>7</v>
      </c>
    </row>
    <row r="47" spans="1:9" x14ac:dyDescent="0.25">
      <c r="A47" s="4">
        <v>43</v>
      </c>
      <c r="B47" t="s">
        <v>7</v>
      </c>
      <c r="H47" t="s">
        <v>7</v>
      </c>
    </row>
    <row r="48" spans="1:9" x14ac:dyDescent="0.25">
      <c r="A48" s="4">
        <v>44</v>
      </c>
      <c r="C48" t="s">
        <v>7</v>
      </c>
    </row>
    <row r="49" spans="1:9" x14ac:dyDescent="0.25">
      <c r="A49" s="4">
        <v>45</v>
      </c>
      <c r="C49" t="s">
        <v>2</v>
      </c>
      <c r="D49" t="s">
        <v>5</v>
      </c>
      <c r="E49" t="s">
        <v>7</v>
      </c>
      <c r="F49" t="s">
        <v>7</v>
      </c>
      <c r="G49" t="s">
        <v>7</v>
      </c>
      <c r="H49" t="s">
        <v>7</v>
      </c>
      <c r="I49" t="s">
        <v>7</v>
      </c>
    </row>
    <row r="50" spans="1:9" x14ac:dyDescent="0.25">
      <c r="A50" s="4">
        <v>46</v>
      </c>
      <c r="B50" t="s">
        <v>5</v>
      </c>
      <c r="C50" t="s">
        <v>7</v>
      </c>
      <c r="D50" t="s">
        <v>7</v>
      </c>
      <c r="E50" t="s">
        <v>7</v>
      </c>
      <c r="F50" t="s">
        <v>7</v>
      </c>
      <c r="H50" t="s">
        <v>7</v>
      </c>
    </row>
    <row r="51" spans="1:9" x14ac:dyDescent="0.25">
      <c r="A51" s="4">
        <v>47</v>
      </c>
    </row>
    <row r="52" spans="1:9" x14ac:dyDescent="0.25">
      <c r="A52" s="4">
        <v>48</v>
      </c>
    </row>
    <row r="53" spans="1:9" x14ac:dyDescent="0.25">
      <c r="A53" s="4">
        <v>49</v>
      </c>
    </row>
    <row r="54" spans="1:9" x14ac:dyDescent="0.25">
      <c r="A54" s="4">
        <v>50</v>
      </c>
      <c r="C54" t="s">
        <v>7</v>
      </c>
      <c r="F54" t="s">
        <v>7</v>
      </c>
      <c r="G54" t="s">
        <v>2</v>
      </c>
      <c r="I54" t="s">
        <v>7</v>
      </c>
    </row>
    <row r="55" spans="1:9" x14ac:dyDescent="0.25">
      <c r="A55" s="4">
        <v>51</v>
      </c>
      <c r="D55" t="s">
        <v>7</v>
      </c>
      <c r="E55" t="s">
        <v>5</v>
      </c>
      <c r="H55" t="s">
        <v>7</v>
      </c>
      <c r="I55" t="s">
        <v>3</v>
      </c>
    </row>
    <row r="56" spans="1:9" x14ac:dyDescent="0.25">
      <c r="A56" s="4">
        <v>52</v>
      </c>
      <c r="B56" t="s">
        <v>5</v>
      </c>
      <c r="C56" t="s">
        <v>7</v>
      </c>
      <c r="D56" t="s">
        <v>7</v>
      </c>
      <c r="E56" t="s">
        <v>7</v>
      </c>
      <c r="F56" t="s">
        <v>7</v>
      </c>
      <c r="I56" t="s">
        <v>7</v>
      </c>
    </row>
    <row r="57" spans="1:9" x14ac:dyDescent="0.25">
      <c r="A57" s="4">
        <v>53</v>
      </c>
      <c r="D57" t="s">
        <v>7</v>
      </c>
      <c r="H57" t="s">
        <v>7</v>
      </c>
    </row>
    <row r="58" spans="1:9" x14ac:dyDescent="0.25">
      <c r="A58" s="4">
        <v>54</v>
      </c>
      <c r="E58" t="s">
        <v>5</v>
      </c>
      <c r="I58" t="s">
        <v>7</v>
      </c>
    </row>
    <row r="59" spans="1:9" x14ac:dyDescent="0.25">
      <c r="A59" s="4">
        <v>55</v>
      </c>
      <c r="D59" t="s">
        <v>7</v>
      </c>
      <c r="G59" t="s">
        <v>7</v>
      </c>
    </row>
    <row r="60" spans="1:9" x14ac:dyDescent="0.25">
      <c r="A60" s="4">
        <v>56</v>
      </c>
      <c r="B60" t="s">
        <v>7</v>
      </c>
      <c r="F60" t="s">
        <v>7</v>
      </c>
    </row>
  </sheetData>
  <conditionalFormatting sqref="B5:D11 G5:G11">
    <cfRule type="cellIs" dxfId="303" priority="17" operator="equal">
      <formula>"Energia"</formula>
    </cfRule>
  </conditionalFormatting>
  <conditionalFormatting sqref="B5:D60 G5:I60">
    <cfRule type="cellIs" dxfId="302" priority="10" operator="equal">
      <formula>"Energia"</formula>
    </cfRule>
    <cfRule type="cellIs" dxfId="301" priority="12" operator="equal">
      <formula>"Operação"</formula>
    </cfRule>
    <cfRule type="cellIs" dxfId="300" priority="13" operator="equal">
      <formula>"Chuva"</formula>
    </cfRule>
    <cfRule type="cellIs" dxfId="299" priority="14" operator="equal">
      <formula>"Elétrico"</formula>
    </cfRule>
    <cfRule type="cellIs" dxfId="298" priority="15" operator="equal">
      <formula>"Mecânico"</formula>
    </cfRule>
    <cfRule type="cellIs" dxfId="297" priority="16" operator="equal">
      <formula>"Ok"</formula>
    </cfRule>
  </conditionalFormatting>
  <conditionalFormatting sqref="B5:D60 G5:I60">
    <cfRule type="cellIs" dxfId="296" priority="11" operator="equal">
      <formula>"Feito"</formula>
    </cfRule>
  </conditionalFormatting>
  <conditionalFormatting sqref="K7">
    <cfRule type="iconSet" priority="9">
      <iconSet iconSet="3Arrows">
        <cfvo type="percent" val="0"/>
        <cfvo type="percent" val="33"/>
        <cfvo type="percent" val="67"/>
      </iconSet>
    </cfRule>
  </conditionalFormatting>
  <conditionalFormatting sqref="E5:F11">
    <cfRule type="cellIs" dxfId="295" priority="8" operator="equal">
      <formula>"Energia"</formula>
    </cfRule>
  </conditionalFormatting>
  <conditionalFormatting sqref="E5:F60">
    <cfRule type="cellIs" dxfId="294" priority="1" operator="equal">
      <formula>"Energia"</formula>
    </cfRule>
    <cfRule type="cellIs" dxfId="293" priority="3" operator="equal">
      <formula>"Operação"</formula>
    </cfRule>
    <cfRule type="cellIs" dxfId="292" priority="4" operator="equal">
      <formula>"Chuva"</formula>
    </cfRule>
    <cfRule type="cellIs" dxfId="291" priority="5" operator="equal">
      <formula>"Elétrico"</formula>
    </cfRule>
    <cfRule type="cellIs" dxfId="290" priority="6" operator="equal">
      <formula>"Mecânico"</formula>
    </cfRule>
    <cfRule type="cellIs" dxfId="289" priority="7" operator="equal">
      <formula>"Ok"</formula>
    </cfRule>
  </conditionalFormatting>
  <conditionalFormatting sqref="E5:F60">
    <cfRule type="cellIs" dxfId="288" priority="2" operator="equal">
      <formula>"Feito"</formula>
    </cfRule>
  </conditionalFormatting>
  <dataValidations count="1">
    <dataValidation type="list" allowBlank="1" showInputMessage="1" showErrorMessage="1" sqref="B5:J60" xr:uid="{4A22E46D-9520-49C5-9118-CA27E7563FC4}">
      <formula1>$K$5:$K$10</formula1>
    </dataValidation>
  </dataValidations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56FE8B-BC7C-4CE7-AE33-10A18EBF2289}">
  <dimension ref="A3:L60"/>
  <sheetViews>
    <sheetView workbookViewId="0">
      <pane xSplit="1" topLeftCell="B1" activePane="topRight" state="frozen"/>
      <selection pane="topRight" activeCell="L5" sqref="L5:L10"/>
    </sheetView>
  </sheetViews>
  <sheetFormatPr defaultRowHeight="15" x14ac:dyDescent="0.25"/>
  <cols>
    <col min="2" max="2" width="10.42578125" customWidth="1"/>
    <col min="3" max="3" width="10.140625" bestFit="1" customWidth="1"/>
    <col min="4" max="5" width="10.85546875" customWidth="1"/>
    <col min="6" max="6" width="11.140625" customWidth="1"/>
    <col min="7" max="7" width="10.42578125" customWidth="1"/>
    <col min="8" max="8" width="9.85546875" customWidth="1"/>
    <col min="9" max="9" width="10.28515625" customWidth="1"/>
  </cols>
  <sheetData>
    <row r="3" spans="1:12" x14ac:dyDescent="0.25">
      <c r="B3" s="3">
        <v>44332</v>
      </c>
      <c r="C3" s="3">
        <f>B3+1</f>
        <v>44333</v>
      </c>
      <c r="D3" s="3">
        <f t="shared" ref="D3:I3" si="0">C3+1</f>
        <v>44334</v>
      </c>
      <c r="E3" s="3">
        <f t="shared" si="0"/>
        <v>44335</v>
      </c>
      <c r="F3" s="3">
        <f t="shared" si="0"/>
        <v>44336</v>
      </c>
      <c r="G3" s="3">
        <f t="shared" si="0"/>
        <v>44337</v>
      </c>
      <c r="H3" s="3">
        <f t="shared" si="0"/>
        <v>44338</v>
      </c>
      <c r="I3" s="3">
        <f t="shared" si="0"/>
        <v>44339</v>
      </c>
    </row>
    <row r="4" spans="1:12" x14ac:dyDescent="0.25">
      <c r="A4" s="2" t="s">
        <v>0</v>
      </c>
      <c r="B4" s="1" t="str">
        <f>TEXT(B3,"ddd")</f>
        <v>dom</v>
      </c>
      <c r="C4" s="1" t="str">
        <f t="shared" ref="C4:I4" si="1">TEXT(C3,"ddd")</f>
        <v>seg</v>
      </c>
      <c r="D4" s="1" t="str">
        <f t="shared" si="1"/>
        <v>ter</v>
      </c>
      <c r="E4" s="1" t="str">
        <f t="shared" si="1"/>
        <v>qua</v>
      </c>
      <c r="F4" s="1" t="str">
        <f t="shared" si="1"/>
        <v>qui</v>
      </c>
      <c r="G4" s="1" t="str">
        <f t="shared" si="1"/>
        <v>sex</v>
      </c>
      <c r="H4" s="1" t="str">
        <f t="shared" si="1"/>
        <v>sáb</v>
      </c>
      <c r="I4" s="1" t="str">
        <f t="shared" si="1"/>
        <v>dom</v>
      </c>
      <c r="K4" s="11" t="s">
        <v>1</v>
      </c>
    </row>
    <row r="5" spans="1:12" x14ac:dyDescent="0.25">
      <c r="A5" s="4">
        <v>1</v>
      </c>
      <c r="B5" t="s">
        <v>7</v>
      </c>
      <c r="C5" t="s">
        <v>7</v>
      </c>
      <c r="I5" t="s">
        <v>7</v>
      </c>
      <c r="K5" s="5" t="s">
        <v>7</v>
      </c>
      <c r="L5">
        <f>COUNTIF($B$5:$I$60,K5)</f>
        <v>113</v>
      </c>
    </row>
    <row r="6" spans="1:12" x14ac:dyDescent="0.25">
      <c r="A6" s="4">
        <v>2</v>
      </c>
      <c r="G6" t="s">
        <v>7</v>
      </c>
      <c r="K6" s="6" t="s">
        <v>2</v>
      </c>
      <c r="L6">
        <f t="shared" ref="L6:L10" si="2">COUNTIF($B$5:$I$60,K6)</f>
        <v>6</v>
      </c>
    </row>
    <row r="7" spans="1:12" x14ac:dyDescent="0.25">
      <c r="A7" s="4">
        <v>3</v>
      </c>
      <c r="B7" t="s">
        <v>7</v>
      </c>
      <c r="C7" t="s">
        <v>7</v>
      </c>
      <c r="H7" t="s">
        <v>7</v>
      </c>
      <c r="I7" t="s">
        <v>7</v>
      </c>
      <c r="K7" s="7" t="s">
        <v>3</v>
      </c>
      <c r="L7">
        <f t="shared" si="2"/>
        <v>5</v>
      </c>
    </row>
    <row r="8" spans="1:12" x14ac:dyDescent="0.25">
      <c r="A8" s="4">
        <v>4</v>
      </c>
      <c r="B8" t="s">
        <v>7</v>
      </c>
      <c r="C8" t="s">
        <v>7</v>
      </c>
      <c r="F8" t="s">
        <v>7</v>
      </c>
      <c r="G8" t="s">
        <v>7</v>
      </c>
      <c r="K8" s="8" t="s">
        <v>4</v>
      </c>
      <c r="L8">
        <f t="shared" si="2"/>
        <v>0</v>
      </c>
    </row>
    <row r="9" spans="1:12" x14ac:dyDescent="0.25">
      <c r="A9" s="4">
        <v>5</v>
      </c>
      <c r="C9" t="s">
        <v>7</v>
      </c>
      <c r="D9" t="s">
        <v>7</v>
      </c>
      <c r="F9" t="s">
        <v>7</v>
      </c>
      <c r="G9" t="s">
        <v>7</v>
      </c>
      <c r="I9" t="s">
        <v>7</v>
      </c>
      <c r="K9" s="9" t="s">
        <v>6</v>
      </c>
      <c r="L9">
        <f t="shared" si="2"/>
        <v>0</v>
      </c>
    </row>
    <row r="10" spans="1:12" x14ac:dyDescent="0.25">
      <c r="A10" s="4">
        <v>6</v>
      </c>
      <c r="C10" t="s">
        <v>7</v>
      </c>
      <c r="D10" t="s">
        <v>7</v>
      </c>
      <c r="E10" t="s">
        <v>7</v>
      </c>
      <c r="I10" t="s">
        <v>7</v>
      </c>
      <c r="K10" s="10" t="s">
        <v>5</v>
      </c>
      <c r="L10">
        <f t="shared" si="2"/>
        <v>41</v>
      </c>
    </row>
    <row r="11" spans="1:12" x14ac:dyDescent="0.25">
      <c r="A11" s="4">
        <v>7</v>
      </c>
      <c r="B11" t="s">
        <v>7</v>
      </c>
      <c r="D11" t="s">
        <v>7</v>
      </c>
      <c r="E11" t="s">
        <v>7</v>
      </c>
      <c r="L11">
        <f>SUM(L5:L10)</f>
        <v>165</v>
      </c>
    </row>
    <row r="12" spans="1:12" x14ac:dyDescent="0.25">
      <c r="A12" s="4">
        <v>8</v>
      </c>
      <c r="D12" t="s">
        <v>5</v>
      </c>
      <c r="E12" t="s">
        <v>7</v>
      </c>
      <c r="F12" t="s">
        <v>7</v>
      </c>
    </row>
    <row r="13" spans="1:12" x14ac:dyDescent="0.25">
      <c r="A13" s="4">
        <v>9</v>
      </c>
      <c r="B13" t="s">
        <v>7</v>
      </c>
      <c r="D13" t="s">
        <v>5</v>
      </c>
      <c r="E13" t="s">
        <v>5</v>
      </c>
      <c r="G13" t="s">
        <v>7</v>
      </c>
    </row>
    <row r="14" spans="1:12" x14ac:dyDescent="0.25">
      <c r="A14" s="4">
        <v>10</v>
      </c>
      <c r="B14" t="s">
        <v>7</v>
      </c>
      <c r="C14" t="s">
        <v>3</v>
      </c>
      <c r="D14" t="s">
        <v>7</v>
      </c>
      <c r="E14" t="s">
        <v>7</v>
      </c>
      <c r="H14" t="s">
        <v>7</v>
      </c>
      <c r="I14" t="s">
        <v>7</v>
      </c>
    </row>
    <row r="15" spans="1:12" x14ac:dyDescent="0.25">
      <c r="A15" s="4">
        <v>11</v>
      </c>
      <c r="B15" t="s">
        <v>7</v>
      </c>
      <c r="C15" t="s">
        <v>7</v>
      </c>
      <c r="D15" t="s">
        <v>7</v>
      </c>
      <c r="E15" t="s">
        <v>7</v>
      </c>
      <c r="F15" t="s">
        <v>7</v>
      </c>
      <c r="G15" t="s">
        <v>7</v>
      </c>
      <c r="H15" t="s">
        <v>7</v>
      </c>
    </row>
    <row r="16" spans="1:12" x14ac:dyDescent="0.25">
      <c r="A16" s="4">
        <v>12</v>
      </c>
      <c r="B16" t="s">
        <v>7</v>
      </c>
      <c r="D16" t="s">
        <v>7</v>
      </c>
      <c r="H16" t="s">
        <v>2</v>
      </c>
    </row>
    <row r="17" spans="1:9" x14ac:dyDescent="0.25">
      <c r="A17" s="4">
        <v>13</v>
      </c>
      <c r="G17" t="s">
        <v>5</v>
      </c>
    </row>
    <row r="18" spans="1:9" x14ac:dyDescent="0.25">
      <c r="A18" s="4">
        <v>14</v>
      </c>
      <c r="E18" t="s">
        <v>5</v>
      </c>
      <c r="F18" t="s">
        <v>7</v>
      </c>
      <c r="I18" t="s">
        <v>7</v>
      </c>
    </row>
    <row r="19" spans="1:9" x14ac:dyDescent="0.25">
      <c r="A19" s="4">
        <v>15</v>
      </c>
      <c r="C19" t="s">
        <v>7</v>
      </c>
      <c r="G19" t="s">
        <v>3</v>
      </c>
      <c r="H19" t="s">
        <v>3</v>
      </c>
    </row>
    <row r="20" spans="1:9" x14ac:dyDescent="0.25">
      <c r="A20" s="4">
        <v>16</v>
      </c>
      <c r="D20" t="s">
        <v>5</v>
      </c>
      <c r="H20" t="s">
        <v>2</v>
      </c>
    </row>
    <row r="21" spans="1:9" x14ac:dyDescent="0.25">
      <c r="A21" s="4">
        <v>17</v>
      </c>
      <c r="B21" t="s">
        <v>7</v>
      </c>
      <c r="F21" t="s">
        <v>5</v>
      </c>
    </row>
    <row r="22" spans="1:9" x14ac:dyDescent="0.25">
      <c r="A22" s="4">
        <v>18</v>
      </c>
      <c r="C22" t="s">
        <v>7</v>
      </c>
      <c r="G22" t="s">
        <v>7</v>
      </c>
    </row>
    <row r="23" spans="1:9" x14ac:dyDescent="0.25">
      <c r="A23" s="4">
        <v>19</v>
      </c>
      <c r="B23" t="s">
        <v>7</v>
      </c>
      <c r="F23" t="s">
        <v>7</v>
      </c>
    </row>
    <row r="24" spans="1:9" x14ac:dyDescent="0.25">
      <c r="A24" s="4">
        <v>20</v>
      </c>
      <c r="D24" t="s">
        <v>5</v>
      </c>
      <c r="E24" t="s">
        <v>7</v>
      </c>
      <c r="H24" t="s">
        <v>5</v>
      </c>
    </row>
    <row r="25" spans="1:9" x14ac:dyDescent="0.25">
      <c r="A25" s="4">
        <v>21</v>
      </c>
      <c r="B25" t="s">
        <v>5</v>
      </c>
      <c r="F25" t="s">
        <v>2</v>
      </c>
    </row>
    <row r="26" spans="1:9" x14ac:dyDescent="0.25">
      <c r="A26" s="4">
        <v>22</v>
      </c>
      <c r="D26" t="s">
        <v>2</v>
      </c>
      <c r="E26" t="s">
        <v>7</v>
      </c>
      <c r="H26" t="s">
        <v>7</v>
      </c>
    </row>
    <row r="27" spans="1:9" x14ac:dyDescent="0.25">
      <c r="A27" s="4">
        <v>23</v>
      </c>
      <c r="D27" t="s">
        <v>7</v>
      </c>
      <c r="H27" t="s">
        <v>3</v>
      </c>
    </row>
    <row r="28" spans="1:9" x14ac:dyDescent="0.25">
      <c r="A28" s="4">
        <v>24</v>
      </c>
      <c r="C28" t="s">
        <v>5</v>
      </c>
      <c r="H28" t="s">
        <v>7</v>
      </c>
    </row>
    <row r="29" spans="1:9" x14ac:dyDescent="0.25">
      <c r="A29" s="4">
        <v>25</v>
      </c>
      <c r="B29" t="s">
        <v>7</v>
      </c>
      <c r="C29" t="s">
        <v>7</v>
      </c>
      <c r="D29" t="s">
        <v>5</v>
      </c>
      <c r="E29" t="s">
        <v>7</v>
      </c>
      <c r="F29" t="s">
        <v>7</v>
      </c>
      <c r="G29" t="s">
        <v>7</v>
      </c>
      <c r="H29" t="s">
        <v>7</v>
      </c>
      <c r="I29" t="s">
        <v>7</v>
      </c>
    </row>
    <row r="30" spans="1:9" x14ac:dyDescent="0.25">
      <c r="A30" s="4">
        <v>26</v>
      </c>
      <c r="B30" t="s">
        <v>5</v>
      </c>
      <c r="C30" t="s">
        <v>5</v>
      </c>
      <c r="D30" t="s">
        <v>5</v>
      </c>
      <c r="E30" t="s">
        <v>5</v>
      </c>
      <c r="F30" t="s">
        <v>7</v>
      </c>
    </row>
    <row r="31" spans="1:9" x14ac:dyDescent="0.25">
      <c r="A31" s="4">
        <v>27</v>
      </c>
      <c r="C31" t="s">
        <v>5</v>
      </c>
      <c r="D31" t="s">
        <v>5</v>
      </c>
      <c r="E31" t="s">
        <v>5</v>
      </c>
      <c r="F31" t="s">
        <v>7</v>
      </c>
      <c r="G31" t="s">
        <v>7</v>
      </c>
    </row>
    <row r="32" spans="1:9" x14ac:dyDescent="0.25">
      <c r="A32" s="4">
        <v>28</v>
      </c>
      <c r="H32" t="s">
        <v>2</v>
      </c>
    </row>
    <row r="33" spans="1:9" x14ac:dyDescent="0.25">
      <c r="A33" s="4">
        <v>29</v>
      </c>
      <c r="C33" t="s">
        <v>7</v>
      </c>
      <c r="E33" t="s">
        <v>7</v>
      </c>
      <c r="F33" t="s">
        <v>7</v>
      </c>
      <c r="G33" t="s">
        <v>7</v>
      </c>
      <c r="I33" t="s">
        <v>5</v>
      </c>
    </row>
    <row r="34" spans="1:9" x14ac:dyDescent="0.25">
      <c r="A34" s="4">
        <v>30</v>
      </c>
      <c r="B34" t="s">
        <v>5</v>
      </c>
      <c r="C34" t="s">
        <v>7</v>
      </c>
      <c r="D34" t="s">
        <v>5</v>
      </c>
      <c r="E34" t="s">
        <v>5</v>
      </c>
      <c r="F34" t="s">
        <v>5</v>
      </c>
      <c r="G34" t="s">
        <v>5</v>
      </c>
      <c r="H34" t="s">
        <v>7</v>
      </c>
      <c r="I34" t="s">
        <v>5</v>
      </c>
    </row>
    <row r="35" spans="1:9" x14ac:dyDescent="0.25">
      <c r="A35" s="4">
        <v>31</v>
      </c>
      <c r="D35" t="s">
        <v>5</v>
      </c>
      <c r="G35" t="s">
        <v>7</v>
      </c>
    </row>
    <row r="36" spans="1:9" x14ac:dyDescent="0.25">
      <c r="A36" s="4">
        <v>32</v>
      </c>
      <c r="D36" t="s">
        <v>5</v>
      </c>
      <c r="E36" t="s">
        <v>5</v>
      </c>
    </row>
    <row r="37" spans="1:9" x14ac:dyDescent="0.25">
      <c r="A37" s="4">
        <v>33</v>
      </c>
      <c r="C37" t="s">
        <v>7</v>
      </c>
      <c r="F37" t="s">
        <v>7</v>
      </c>
      <c r="I37" t="s">
        <v>7</v>
      </c>
    </row>
    <row r="38" spans="1:9" x14ac:dyDescent="0.25">
      <c r="A38" s="4">
        <v>34</v>
      </c>
      <c r="F38" t="s">
        <v>5</v>
      </c>
      <c r="H38" t="s">
        <v>7</v>
      </c>
    </row>
    <row r="39" spans="1:9" x14ac:dyDescent="0.25">
      <c r="A39" s="4">
        <v>35</v>
      </c>
      <c r="B39" t="s">
        <v>7</v>
      </c>
      <c r="C39" t="s">
        <v>7</v>
      </c>
      <c r="D39" t="s">
        <v>7</v>
      </c>
      <c r="E39" t="s">
        <v>5</v>
      </c>
      <c r="I39" t="s">
        <v>7</v>
      </c>
    </row>
    <row r="40" spans="1:9" x14ac:dyDescent="0.25">
      <c r="A40" s="4">
        <v>36</v>
      </c>
      <c r="C40" t="s">
        <v>5</v>
      </c>
      <c r="D40" t="s">
        <v>7</v>
      </c>
      <c r="H40" t="s">
        <v>2</v>
      </c>
    </row>
    <row r="41" spans="1:9" x14ac:dyDescent="0.25">
      <c r="A41" s="4">
        <v>37</v>
      </c>
      <c r="B41" t="s">
        <v>7</v>
      </c>
      <c r="F41" t="s">
        <v>7</v>
      </c>
    </row>
    <row r="42" spans="1:9" x14ac:dyDescent="0.25">
      <c r="A42" s="4">
        <v>38</v>
      </c>
      <c r="B42" t="s">
        <v>7</v>
      </c>
      <c r="D42" t="s">
        <v>7</v>
      </c>
      <c r="E42" t="s">
        <v>5</v>
      </c>
      <c r="F42" t="s">
        <v>5</v>
      </c>
    </row>
    <row r="43" spans="1:9" x14ac:dyDescent="0.25">
      <c r="A43" s="4">
        <v>39</v>
      </c>
      <c r="D43" t="s">
        <v>7</v>
      </c>
      <c r="H43" t="s">
        <v>7</v>
      </c>
    </row>
    <row r="44" spans="1:9" x14ac:dyDescent="0.25">
      <c r="A44" s="4">
        <v>40</v>
      </c>
      <c r="B44" t="s">
        <v>7</v>
      </c>
      <c r="F44" t="s">
        <v>5</v>
      </c>
    </row>
    <row r="45" spans="1:9" x14ac:dyDescent="0.25">
      <c r="A45" s="4">
        <v>41</v>
      </c>
      <c r="C45" t="s">
        <v>5</v>
      </c>
      <c r="H45" t="s">
        <v>7</v>
      </c>
    </row>
    <row r="46" spans="1:9" x14ac:dyDescent="0.25">
      <c r="A46" s="4">
        <v>42</v>
      </c>
      <c r="B46" t="s">
        <v>7</v>
      </c>
      <c r="G46" t="s">
        <v>7</v>
      </c>
    </row>
    <row r="47" spans="1:9" x14ac:dyDescent="0.25">
      <c r="A47" s="4">
        <v>43</v>
      </c>
      <c r="D47" t="s">
        <v>7</v>
      </c>
      <c r="H47" t="s">
        <v>7</v>
      </c>
    </row>
    <row r="48" spans="1:9" x14ac:dyDescent="0.25">
      <c r="A48" s="4">
        <v>44</v>
      </c>
      <c r="B48" t="s">
        <v>5</v>
      </c>
      <c r="F48" t="s">
        <v>7</v>
      </c>
    </row>
    <row r="49" spans="1:9" x14ac:dyDescent="0.25">
      <c r="A49" s="4">
        <v>45</v>
      </c>
      <c r="B49" t="s">
        <v>7</v>
      </c>
      <c r="C49" t="s">
        <v>7</v>
      </c>
      <c r="H49" t="s">
        <v>7</v>
      </c>
    </row>
    <row r="50" spans="1:9" x14ac:dyDescent="0.25">
      <c r="A50" s="4">
        <v>46</v>
      </c>
      <c r="C50" t="s">
        <v>3</v>
      </c>
      <c r="F50" t="s">
        <v>7</v>
      </c>
      <c r="I50" t="s">
        <v>7</v>
      </c>
    </row>
    <row r="51" spans="1:9" x14ac:dyDescent="0.25">
      <c r="A51" s="4">
        <v>47</v>
      </c>
    </row>
    <row r="52" spans="1:9" x14ac:dyDescent="0.25">
      <c r="A52" s="4">
        <v>48</v>
      </c>
      <c r="C52" t="s">
        <v>7</v>
      </c>
    </row>
    <row r="53" spans="1:9" x14ac:dyDescent="0.25">
      <c r="A53" s="4">
        <v>49</v>
      </c>
      <c r="C53" t="s">
        <v>5</v>
      </c>
    </row>
    <row r="54" spans="1:9" x14ac:dyDescent="0.25">
      <c r="A54" s="4">
        <v>50</v>
      </c>
      <c r="C54" t="s">
        <v>5</v>
      </c>
      <c r="E54" t="s">
        <v>7</v>
      </c>
      <c r="I54" t="s">
        <v>7</v>
      </c>
    </row>
    <row r="55" spans="1:9" x14ac:dyDescent="0.25">
      <c r="A55" s="4">
        <v>51</v>
      </c>
      <c r="D55" t="s">
        <v>7</v>
      </c>
      <c r="E55" t="s">
        <v>7</v>
      </c>
      <c r="H55" t="s">
        <v>7</v>
      </c>
    </row>
    <row r="56" spans="1:9" x14ac:dyDescent="0.25">
      <c r="A56" s="4">
        <v>52</v>
      </c>
      <c r="D56" t="s">
        <v>5</v>
      </c>
      <c r="G56" t="s">
        <v>5</v>
      </c>
    </row>
    <row r="57" spans="1:9" x14ac:dyDescent="0.25">
      <c r="A57" s="4">
        <v>53</v>
      </c>
      <c r="D57" t="s">
        <v>7</v>
      </c>
      <c r="H57" t="s">
        <v>7</v>
      </c>
    </row>
    <row r="58" spans="1:9" x14ac:dyDescent="0.25">
      <c r="A58" s="4">
        <v>54</v>
      </c>
      <c r="D58" t="s">
        <v>7</v>
      </c>
      <c r="I58" t="s">
        <v>7</v>
      </c>
    </row>
    <row r="59" spans="1:9" x14ac:dyDescent="0.25">
      <c r="A59" s="4">
        <v>55</v>
      </c>
      <c r="C59" t="s">
        <v>7</v>
      </c>
      <c r="G59" t="s">
        <v>7</v>
      </c>
    </row>
    <row r="60" spans="1:9" x14ac:dyDescent="0.25">
      <c r="A60" s="4">
        <v>56</v>
      </c>
      <c r="B60" t="s">
        <v>7</v>
      </c>
      <c r="I60" t="s">
        <v>7</v>
      </c>
    </row>
  </sheetData>
  <conditionalFormatting sqref="B5:D11 G5:G11">
    <cfRule type="cellIs" dxfId="287" priority="17" operator="equal">
      <formula>"Energia"</formula>
    </cfRule>
  </conditionalFormatting>
  <conditionalFormatting sqref="B5:D60 G5:I60">
    <cfRule type="cellIs" dxfId="286" priority="10" operator="equal">
      <formula>"Energia"</formula>
    </cfRule>
    <cfRule type="cellIs" dxfId="285" priority="12" operator="equal">
      <formula>"Operação"</formula>
    </cfRule>
    <cfRule type="cellIs" dxfId="284" priority="13" operator="equal">
      <formula>"Chuva"</formula>
    </cfRule>
    <cfRule type="cellIs" dxfId="283" priority="14" operator="equal">
      <formula>"Elétrico"</formula>
    </cfRule>
    <cfRule type="cellIs" dxfId="282" priority="15" operator="equal">
      <formula>"Mecânico"</formula>
    </cfRule>
    <cfRule type="cellIs" dxfId="281" priority="16" operator="equal">
      <formula>"Ok"</formula>
    </cfRule>
  </conditionalFormatting>
  <conditionalFormatting sqref="B5:D60 G5:I60">
    <cfRule type="cellIs" dxfId="280" priority="11" operator="equal">
      <formula>"Feito"</formula>
    </cfRule>
  </conditionalFormatting>
  <conditionalFormatting sqref="K7">
    <cfRule type="iconSet" priority="9">
      <iconSet iconSet="3Arrows">
        <cfvo type="percent" val="0"/>
        <cfvo type="percent" val="33"/>
        <cfvo type="percent" val="67"/>
      </iconSet>
    </cfRule>
  </conditionalFormatting>
  <conditionalFormatting sqref="E5:F11">
    <cfRule type="cellIs" dxfId="279" priority="8" operator="equal">
      <formula>"Energia"</formula>
    </cfRule>
  </conditionalFormatting>
  <conditionalFormatting sqref="E5:F60">
    <cfRule type="cellIs" dxfId="278" priority="1" operator="equal">
      <formula>"Energia"</formula>
    </cfRule>
    <cfRule type="cellIs" dxfId="277" priority="3" operator="equal">
      <formula>"Operação"</formula>
    </cfRule>
    <cfRule type="cellIs" dxfId="276" priority="4" operator="equal">
      <formula>"Chuva"</formula>
    </cfRule>
    <cfRule type="cellIs" dxfId="275" priority="5" operator="equal">
      <formula>"Elétrico"</formula>
    </cfRule>
    <cfRule type="cellIs" dxfId="274" priority="6" operator="equal">
      <formula>"Mecânico"</formula>
    </cfRule>
    <cfRule type="cellIs" dxfId="273" priority="7" operator="equal">
      <formula>"Ok"</formula>
    </cfRule>
  </conditionalFormatting>
  <conditionalFormatting sqref="E5:F60">
    <cfRule type="cellIs" dxfId="272" priority="2" operator="equal">
      <formula>"Feito"</formula>
    </cfRule>
  </conditionalFormatting>
  <dataValidations count="1">
    <dataValidation type="list" allowBlank="1" showInputMessage="1" showErrorMessage="1" sqref="B5:J60" xr:uid="{528A28F8-4EBD-4594-B8AA-CBAAE8DE9007}">
      <formula1>$K$5:$K$10</formula1>
    </dataValidation>
  </dataValidations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2A30EE-908C-4DDA-99BA-2C45094A3BC8}">
  <dimension ref="A3:L60"/>
  <sheetViews>
    <sheetView workbookViewId="0">
      <pane xSplit="1" topLeftCell="B1" activePane="topRight" state="frozen"/>
      <selection pane="topRight" activeCell="L5" sqref="L5:L10"/>
    </sheetView>
  </sheetViews>
  <sheetFormatPr defaultRowHeight="15" x14ac:dyDescent="0.25"/>
  <cols>
    <col min="2" max="2" width="10.42578125" customWidth="1"/>
    <col min="3" max="3" width="10.140625" bestFit="1" customWidth="1"/>
    <col min="4" max="5" width="10.85546875" customWidth="1"/>
    <col min="6" max="6" width="11.140625" customWidth="1"/>
    <col min="7" max="7" width="10.42578125" customWidth="1"/>
    <col min="8" max="8" width="9.85546875" customWidth="1"/>
    <col min="9" max="9" width="10.28515625" customWidth="1"/>
  </cols>
  <sheetData>
    <row r="3" spans="1:12" x14ac:dyDescent="0.25">
      <c r="B3" s="3">
        <v>44340</v>
      </c>
      <c r="C3" s="3">
        <f>B3+1</f>
        <v>44341</v>
      </c>
      <c r="D3" s="3">
        <f t="shared" ref="D3:I3" si="0">C3+1</f>
        <v>44342</v>
      </c>
      <c r="E3" s="3">
        <f t="shared" si="0"/>
        <v>44343</v>
      </c>
      <c r="F3" s="3">
        <f t="shared" si="0"/>
        <v>44344</v>
      </c>
      <c r="G3" s="3">
        <f t="shared" si="0"/>
        <v>44345</v>
      </c>
      <c r="H3" s="3">
        <f t="shared" si="0"/>
        <v>44346</v>
      </c>
      <c r="I3" s="3">
        <f t="shared" si="0"/>
        <v>44347</v>
      </c>
    </row>
    <row r="4" spans="1:12" x14ac:dyDescent="0.25">
      <c r="A4" s="2" t="s">
        <v>0</v>
      </c>
      <c r="B4" s="1" t="str">
        <f>TEXT(B3,"ddd")</f>
        <v>seg</v>
      </c>
      <c r="C4" s="1" t="str">
        <f t="shared" ref="C4:I4" si="1">TEXT(C3,"ddd")</f>
        <v>ter</v>
      </c>
      <c r="D4" s="1" t="str">
        <f t="shared" si="1"/>
        <v>qua</v>
      </c>
      <c r="E4" s="1" t="str">
        <f t="shared" si="1"/>
        <v>qui</v>
      </c>
      <c r="F4" s="1" t="str">
        <f t="shared" si="1"/>
        <v>sex</v>
      </c>
      <c r="G4" s="1" t="str">
        <f t="shared" si="1"/>
        <v>sáb</v>
      </c>
      <c r="H4" s="1" t="str">
        <f t="shared" si="1"/>
        <v>dom</v>
      </c>
      <c r="I4" s="1" t="str">
        <f t="shared" si="1"/>
        <v>seg</v>
      </c>
      <c r="K4" s="11" t="s">
        <v>1</v>
      </c>
    </row>
    <row r="5" spans="1:12" x14ac:dyDescent="0.25">
      <c r="A5" s="4">
        <v>1</v>
      </c>
      <c r="D5" t="s">
        <v>7</v>
      </c>
      <c r="F5" t="s">
        <v>5</v>
      </c>
      <c r="G5" t="s">
        <v>7</v>
      </c>
      <c r="K5" s="5" t="s">
        <v>7</v>
      </c>
      <c r="L5">
        <f>COUNTIF($B$5:$I$60,K5)</f>
        <v>119</v>
      </c>
    </row>
    <row r="6" spans="1:12" x14ac:dyDescent="0.25">
      <c r="A6" s="4">
        <v>2</v>
      </c>
      <c r="E6" t="s">
        <v>7</v>
      </c>
      <c r="K6" s="6" t="s">
        <v>2</v>
      </c>
      <c r="L6">
        <f t="shared" ref="L6:L10" si="2">COUNTIF($B$5:$I$60,K6)</f>
        <v>9</v>
      </c>
    </row>
    <row r="7" spans="1:12" x14ac:dyDescent="0.25">
      <c r="A7" s="4">
        <v>3</v>
      </c>
      <c r="F7" t="s">
        <v>7</v>
      </c>
      <c r="G7" t="s">
        <v>5</v>
      </c>
      <c r="K7" s="7" t="s">
        <v>3</v>
      </c>
      <c r="L7">
        <f t="shared" si="2"/>
        <v>1</v>
      </c>
    </row>
    <row r="8" spans="1:12" x14ac:dyDescent="0.25">
      <c r="A8" s="4">
        <v>4</v>
      </c>
      <c r="C8" t="s">
        <v>7</v>
      </c>
      <c r="D8" t="s">
        <v>7</v>
      </c>
      <c r="I8" t="s">
        <v>7</v>
      </c>
      <c r="K8" s="8" t="s">
        <v>4</v>
      </c>
      <c r="L8">
        <f t="shared" si="2"/>
        <v>0</v>
      </c>
    </row>
    <row r="9" spans="1:12" x14ac:dyDescent="0.25">
      <c r="A9" s="4">
        <v>5</v>
      </c>
      <c r="C9" t="s">
        <v>5</v>
      </c>
      <c r="E9" t="s">
        <v>7</v>
      </c>
      <c r="F9" t="s">
        <v>7</v>
      </c>
      <c r="H9" t="s">
        <v>7</v>
      </c>
      <c r="K9" s="9" t="s">
        <v>6</v>
      </c>
      <c r="L9">
        <f t="shared" si="2"/>
        <v>0</v>
      </c>
    </row>
    <row r="10" spans="1:12" x14ac:dyDescent="0.25">
      <c r="A10" s="4">
        <v>6</v>
      </c>
      <c r="B10" t="s">
        <v>2</v>
      </c>
      <c r="C10" t="s">
        <v>7</v>
      </c>
      <c r="E10" t="s">
        <v>7</v>
      </c>
      <c r="G10" t="s">
        <v>7</v>
      </c>
      <c r="I10" t="s">
        <v>7</v>
      </c>
      <c r="K10" s="10" t="s">
        <v>5</v>
      </c>
      <c r="L10">
        <f t="shared" si="2"/>
        <v>20</v>
      </c>
    </row>
    <row r="11" spans="1:12" x14ac:dyDescent="0.25">
      <c r="A11" s="4">
        <v>7</v>
      </c>
      <c r="B11" t="s">
        <v>7</v>
      </c>
      <c r="F11" t="s">
        <v>7</v>
      </c>
      <c r="H11" t="s">
        <v>7</v>
      </c>
      <c r="L11">
        <f>SUM(L5:L10)</f>
        <v>149</v>
      </c>
    </row>
    <row r="12" spans="1:12" x14ac:dyDescent="0.25">
      <c r="A12" s="4">
        <v>8</v>
      </c>
      <c r="C12" t="s">
        <v>7</v>
      </c>
      <c r="E12" t="s">
        <v>7</v>
      </c>
      <c r="G12" t="s">
        <v>7</v>
      </c>
      <c r="I12" t="s">
        <v>7</v>
      </c>
    </row>
    <row r="13" spans="1:12" x14ac:dyDescent="0.25">
      <c r="A13" s="4">
        <v>9</v>
      </c>
      <c r="B13" t="s">
        <v>7</v>
      </c>
      <c r="F13" t="s">
        <v>7</v>
      </c>
    </row>
    <row r="14" spans="1:12" x14ac:dyDescent="0.25">
      <c r="A14" s="4">
        <v>10</v>
      </c>
      <c r="C14" t="s">
        <v>7</v>
      </c>
      <c r="E14" t="s">
        <v>7</v>
      </c>
      <c r="H14" t="s">
        <v>7</v>
      </c>
    </row>
    <row r="15" spans="1:12" x14ac:dyDescent="0.25">
      <c r="A15" s="4">
        <v>11</v>
      </c>
      <c r="B15" t="s">
        <v>7</v>
      </c>
      <c r="D15" t="s">
        <v>7</v>
      </c>
      <c r="E15" t="s">
        <v>7</v>
      </c>
      <c r="H15" t="s">
        <v>7</v>
      </c>
    </row>
    <row r="16" spans="1:12" x14ac:dyDescent="0.25">
      <c r="A16" s="4">
        <v>12</v>
      </c>
      <c r="B16" t="s">
        <v>7</v>
      </c>
      <c r="C16" t="s">
        <v>5</v>
      </c>
      <c r="D16" t="s">
        <v>7</v>
      </c>
      <c r="E16" t="s">
        <v>7</v>
      </c>
      <c r="F16" t="s">
        <v>7</v>
      </c>
      <c r="G16" t="s">
        <v>7</v>
      </c>
      <c r="H16" t="s">
        <v>7</v>
      </c>
      <c r="I16" t="s">
        <v>7</v>
      </c>
    </row>
    <row r="17" spans="1:9" x14ac:dyDescent="0.25">
      <c r="A17" s="4">
        <v>13</v>
      </c>
      <c r="E17" t="s">
        <v>7</v>
      </c>
      <c r="F17" t="s">
        <v>5</v>
      </c>
      <c r="G17" t="s">
        <v>7</v>
      </c>
      <c r="H17" t="s">
        <v>7</v>
      </c>
      <c r="I17" t="s">
        <v>7</v>
      </c>
    </row>
    <row r="18" spans="1:9" x14ac:dyDescent="0.25">
      <c r="A18" s="4">
        <v>14</v>
      </c>
      <c r="C18" t="s">
        <v>5</v>
      </c>
    </row>
    <row r="19" spans="1:9" x14ac:dyDescent="0.25">
      <c r="A19" s="4">
        <v>15</v>
      </c>
      <c r="E19" t="s">
        <v>7</v>
      </c>
    </row>
    <row r="20" spans="1:9" x14ac:dyDescent="0.25">
      <c r="A20" s="4">
        <v>16</v>
      </c>
      <c r="F20" t="s">
        <v>2</v>
      </c>
    </row>
    <row r="21" spans="1:9" x14ac:dyDescent="0.25">
      <c r="A21" s="4">
        <v>17</v>
      </c>
      <c r="C21" t="s">
        <v>7</v>
      </c>
    </row>
    <row r="22" spans="1:9" x14ac:dyDescent="0.25">
      <c r="A22" s="4">
        <v>18</v>
      </c>
      <c r="B22" t="s">
        <v>5</v>
      </c>
      <c r="G22" t="s">
        <v>7</v>
      </c>
    </row>
    <row r="23" spans="1:9" x14ac:dyDescent="0.25">
      <c r="A23" s="4">
        <v>19</v>
      </c>
      <c r="C23" t="s">
        <v>7</v>
      </c>
      <c r="I23" t="s">
        <v>7</v>
      </c>
    </row>
    <row r="24" spans="1:9" x14ac:dyDescent="0.25">
      <c r="A24" s="4">
        <v>20</v>
      </c>
      <c r="E24" t="s">
        <v>5</v>
      </c>
    </row>
    <row r="25" spans="1:9" x14ac:dyDescent="0.25">
      <c r="A25" s="4">
        <v>21</v>
      </c>
      <c r="C25" t="s">
        <v>5</v>
      </c>
    </row>
    <row r="26" spans="1:9" x14ac:dyDescent="0.25">
      <c r="A26" s="4">
        <v>22</v>
      </c>
      <c r="E26" t="s">
        <v>2</v>
      </c>
    </row>
    <row r="27" spans="1:9" x14ac:dyDescent="0.25">
      <c r="A27" s="4">
        <v>23</v>
      </c>
      <c r="E27" t="s">
        <v>5</v>
      </c>
    </row>
    <row r="28" spans="1:9" x14ac:dyDescent="0.25">
      <c r="A28" s="4">
        <v>24</v>
      </c>
      <c r="F28" t="s">
        <v>7</v>
      </c>
    </row>
    <row r="29" spans="1:9" x14ac:dyDescent="0.25">
      <c r="A29" s="4">
        <v>25</v>
      </c>
      <c r="B29" t="s">
        <v>7</v>
      </c>
      <c r="C29" t="s">
        <v>7</v>
      </c>
      <c r="D29" t="s">
        <v>7</v>
      </c>
      <c r="E29" t="s">
        <v>7</v>
      </c>
      <c r="F29" t="s">
        <v>7</v>
      </c>
      <c r="G29" t="s">
        <v>7</v>
      </c>
      <c r="H29" t="s">
        <v>2</v>
      </c>
      <c r="I29" t="s">
        <v>2</v>
      </c>
    </row>
    <row r="30" spans="1:9" x14ac:dyDescent="0.25">
      <c r="A30" s="4">
        <v>26</v>
      </c>
      <c r="B30" t="s">
        <v>7</v>
      </c>
      <c r="G30" t="s">
        <v>7</v>
      </c>
    </row>
    <row r="31" spans="1:9" x14ac:dyDescent="0.25">
      <c r="A31" s="4">
        <v>27</v>
      </c>
      <c r="G31" t="s">
        <v>7</v>
      </c>
    </row>
    <row r="32" spans="1:9" x14ac:dyDescent="0.25">
      <c r="A32" s="4">
        <v>28</v>
      </c>
      <c r="C32" t="s">
        <v>2</v>
      </c>
      <c r="D32" t="s">
        <v>2</v>
      </c>
      <c r="H32" t="s">
        <v>7</v>
      </c>
    </row>
    <row r="33" spans="1:9" x14ac:dyDescent="0.25">
      <c r="A33" s="4">
        <v>29</v>
      </c>
      <c r="C33" t="s">
        <v>7</v>
      </c>
      <c r="E33" t="s">
        <v>7</v>
      </c>
      <c r="G33" t="s">
        <v>7</v>
      </c>
      <c r="I33" t="s">
        <v>7</v>
      </c>
    </row>
    <row r="34" spans="1:9" x14ac:dyDescent="0.25">
      <c r="A34" s="4">
        <v>30</v>
      </c>
      <c r="B34" t="s">
        <v>7</v>
      </c>
      <c r="C34" t="s">
        <v>7</v>
      </c>
      <c r="D34" t="s">
        <v>5</v>
      </c>
      <c r="E34" t="s">
        <v>7</v>
      </c>
      <c r="F34" t="s">
        <v>7</v>
      </c>
      <c r="G34" t="s">
        <v>7</v>
      </c>
      <c r="H34" t="s">
        <v>7</v>
      </c>
    </row>
    <row r="35" spans="1:9" x14ac:dyDescent="0.25">
      <c r="A35" s="4">
        <v>31</v>
      </c>
      <c r="B35" t="s">
        <v>7</v>
      </c>
      <c r="C35" t="s">
        <v>7</v>
      </c>
      <c r="E35" t="s">
        <v>7</v>
      </c>
      <c r="G35" t="s">
        <v>7</v>
      </c>
      <c r="I35" t="s">
        <v>7</v>
      </c>
    </row>
    <row r="36" spans="1:9" x14ac:dyDescent="0.25">
      <c r="A36" s="4">
        <v>32</v>
      </c>
      <c r="B36" t="s">
        <v>7</v>
      </c>
      <c r="C36" t="s">
        <v>7</v>
      </c>
      <c r="I36" t="s">
        <v>7</v>
      </c>
    </row>
    <row r="37" spans="1:9" x14ac:dyDescent="0.25">
      <c r="A37" s="4">
        <v>33</v>
      </c>
      <c r="D37" t="s">
        <v>7</v>
      </c>
      <c r="F37" t="s">
        <v>5</v>
      </c>
      <c r="H37" t="s">
        <v>7</v>
      </c>
    </row>
    <row r="38" spans="1:9" x14ac:dyDescent="0.25">
      <c r="A38" s="4">
        <v>34</v>
      </c>
      <c r="G38" t="s">
        <v>7</v>
      </c>
      <c r="H38" t="s">
        <v>7</v>
      </c>
      <c r="I38" t="s">
        <v>7</v>
      </c>
    </row>
    <row r="39" spans="1:9" x14ac:dyDescent="0.25">
      <c r="A39" s="4">
        <v>35</v>
      </c>
      <c r="D39" t="s">
        <v>7</v>
      </c>
      <c r="G39" t="s">
        <v>7</v>
      </c>
    </row>
    <row r="40" spans="1:9" x14ac:dyDescent="0.25">
      <c r="A40" s="4">
        <v>36</v>
      </c>
      <c r="B40" t="s">
        <v>7</v>
      </c>
      <c r="C40" t="s">
        <v>7</v>
      </c>
      <c r="E40" t="s">
        <v>5</v>
      </c>
      <c r="I40" t="s">
        <v>7</v>
      </c>
    </row>
    <row r="41" spans="1:9" x14ac:dyDescent="0.25">
      <c r="A41" s="4">
        <v>37</v>
      </c>
      <c r="C41" t="s">
        <v>7</v>
      </c>
      <c r="H41" t="s">
        <v>7</v>
      </c>
    </row>
    <row r="42" spans="1:9" x14ac:dyDescent="0.25">
      <c r="A42" s="4">
        <v>38</v>
      </c>
      <c r="B42" t="s">
        <v>5</v>
      </c>
      <c r="I42" t="s">
        <v>5</v>
      </c>
    </row>
    <row r="43" spans="1:9" x14ac:dyDescent="0.25">
      <c r="A43" s="4">
        <v>39</v>
      </c>
      <c r="E43" t="s">
        <v>5</v>
      </c>
    </row>
    <row r="44" spans="1:9" x14ac:dyDescent="0.25">
      <c r="A44" s="4">
        <v>40</v>
      </c>
      <c r="C44" t="s">
        <v>7</v>
      </c>
    </row>
    <row r="45" spans="1:9" x14ac:dyDescent="0.25">
      <c r="A45" s="4">
        <v>41</v>
      </c>
      <c r="E45" t="s">
        <v>7</v>
      </c>
      <c r="I45" t="s">
        <v>7</v>
      </c>
    </row>
    <row r="46" spans="1:9" x14ac:dyDescent="0.25">
      <c r="A46" s="4">
        <v>42</v>
      </c>
      <c r="D46" t="s">
        <v>7</v>
      </c>
    </row>
    <row r="47" spans="1:9" x14ac:dyDescent="0.25">
      <c r="A47" s="4">
        <v>43</v>
      </c>
      <c r="E47" t="s">
        <v>7</v>
      </c>
    </row>
    <row r="48" spans="1:9" x14ac:dyDescent="0.25">
      <c r="A48" s="4">
        <v>44</v>
      </c>
      <c r="B48" t="s">
        <v>7</v>
      </c>
      <c r="F48" t="s">
        <v>7</v>
      </c>
      <c r="I48" t="s">
        <v>7</v>
      </c>
    </row>
    <row r="49" spans="1:9" x14ac:dyDescent="0.25">
      <c r="A49" s="4">
        <v>45</v>
      </c>
      <c r="C49" t="s">
        <v>7</v>
      </c>
      <c r="E49" t="s">
        <v>7</v>
      </c>
      <c r="F49" t="s">
        <v>7</v>
      </c>
    </row>
    <row r="50" spans="1:9" x14ac:dyDescent="0.25">
      <c r="A50" s="4">
        <v>46</v>
      </c>
      <c r="C50" t="s">
        <v>7</v>
      </c>
      <c r="D50" t="s">
        <v>7</v>
      </c>
      <c r="F50" t="s">
        <v>7</v>
      </c>
      <c r="H50" t="s">
        <v>7</v>
      </c>
    </row>
    <row r="51" spans="1:9" x14ac:dyDescent="0.25">
      <c r="A51" s="4">
        <v>47</v>
      </c>
      <c r="D51" t="s">
        <v>7</v>
      </c>
    </row>
    <row r="52" spans="1:9" x14ac:dyDescent="0.25">
      <c r="A52" s="4">
        <v>48</v>
      </c>
      <c r="D52" t="s">
        <v>5</v>
      </c>
    </row>
    <row r="53" spans="1:9" x14ac:dyDescent="0.25">
      <c r="A53" s="4">
        <v>49</v>
      </c>
      <c r="C53" t="s">
        <v>5</v>
      </c>
    </row>
    <row r="54" spans="1:9" x14ac:dyDescent="0.25">
      <c r="A54" s="4">
        <v>50</v>
      </c>
      <c r="B54" t="s">
        <v>5</v>
      </c>
      <c r="C54" t="s">
        <v>2</v>
      </c>
      <c r="D54" t="s">
        <v>7</v>
      </c>
      <c r="E54" t="s">
        <v>7</v>
      </c>
      <c r="F54" t="s">
        <v>7</v>
      </c>
      <c r="G54" t="s">
        <v>7</v>
      </c>
      <c r="H54" t="s">
        <v>7</v>
      </c>
      <c r="I54" t="s">
        <v>7</v>
      </c>
    </row>
    <row r="55" spans="1:9" x14ac:dyDescent="0.25">
      <c r="A55" s="4">
        <v>51</v>
      </c>
      <c r="B55" t="s">
        <v>7</v>
      </c>
      <c r="C55" t="s">
        <v>3</v>
      </c>
      <c r="G55" t="s">
        <v>7</v>
      </c>
      <c r="H55" t="s">
        <v>7</v>
      </c>
    </row>
    <row r="56" spans="1:9" x14ac:dyDescent="0.25">
      <c r="A56" s="4">
        <v>52</v>
      </c>
      <c r="B56" t="s">
        <v>7</v>
      </c>
      <c r="D56" t="s">
        <v>7</v>
      </c>
      <c r="G56" t="s">
        <v>2</v>
      </c>
    </row>
    <row r="57" spans="1:9" x14ac:dyDescent="0.25">
      <c r="A57" s="4">
        <v>53</v>
      </c>
      <c r="D57" t="s">
        <v>7</v>
      </c>
      <c r="H57" t="s">
        <v>7</v>
      </c>
    </row>
    <row r="58" spans="1:9" x14ac:dyDescent="0.25">
      <c r="A58" s="4">
        <v>54</v>
      </c>
      <c r="F58" t="s">
        <v>7</v>
      </c>
    </row>
    <row r="59" spans="1:9" x14ac:dyDescent="0.25">
      <c r="A59" s="4">
        <v>55</v>
      </c>
      <c r="C59" t="s">
        <v>5</v>
      </c>
      <c r="H59" t="s">
        <v>7</v>
      </c>
    </row>
    <row r="60" spans="1:9" x14ac:dyDescent="0.25">
      <c r="A60" s="4">
        <v>56</v>
      </c>
      <c r="F60" t="s">
        <v>7</v>
      </c>
    </row>
  </sheetData>
  <conditionalFormatting sqref="B5:D11 G5:G11">
    <cfRule type="cellIs" dxfId="271" priority="17" operator="equal">
      <formula>"Energia"</formula>
    </cfRule>
  </conditionalFormatting>
  <conditionalFormatting sqref="B5:D60 G5:I60">
    <cfRule type="cellIs" dxfId="270" priority="10" operator="equal">
      <formula>"Energia"</formula>
    </cfRule>
    <cfRule type="cellIs" dxfId="269" priority="12" operator="equal">
      <formula>"Operação"</formula>
    </cfRule>
    <cfRule type="cellIs" dxfId="268" priority="13" operator="equal">
      <formula>"Chuva"</formula>
    </cfRule>
    <cfRule type="cellIs" dxfId="267" priority="14" operator="equal">
      <formula>"Elétrico"</formula>
    </cfRule>
    <cfRule type="cellIs" dxfId="266" priority="15" operator="equal">
      <formula>"Mecânico"</formula>
    </cfRule>
    <cfRule type="cellIs" dxfId="265" priority="16" operator="equal">
      <formula>"Ok"</formula>
    </cfRule>
  </conditionalFormatting>
  <conditionalFormatting sqref="B5:D60 G5:I60">
    <cfRule type="cellIs" dxfId="264" priority="11" operator="equal">
      <formula>"Feito"</formula>
    </cfRule>
  </conditionalFormatting>
  <conditionalFormatting sqref="K7">
    <cfRule type="iconSet" priority="9">
      <iconSet iconSet="3Arrows">
        <cfvo type="percent" val="0"/>
        <cfvo type="percent" val="33"/>
        <cfvo type="percent" val="67"/>
      </iconSet>
    </cfRule>
  </conditionalFormatting>
  <conditionalFormatting sqref="E5:F11">
    <cfRule type="cellIs" dxfId="263" priority="8" operator="equal">
      <formula>"Energia"</formula>
    </cfRule>
  </conditionalFormatting>
  <conditionalFormatting sqref="E5:F60">
    <cfRule type="cellIs" dxfId="262" priority="1" operator="equal">
      <formula>"Energia"</formula>
    </cfRule>
    <cfRule type="cellIs" dxfId="261" priority="3" operator="equal">
      <formula>"Operação"</formula>
    </cfRule>
    <cfRule type="cellIs" dxfId="260" priority="4" operator="equal">
      <formula>"Chuva"</formula>
    </cfRule>
    <cfRule type="cellIs" dxfId="259" priority="5" operator="equal">
      <formula>"Elétrico"</formula>
    </cfRule>
    <cfRule type="cellIs" dxfId="258" priority="6" operator="equal">
      <formula>"Mecânico"</formula>
    </cfRule>
    <cfRule type="cellIs" dxfId="257" priority="7" operator="equal">
      <formula>"Ok"</formula>
    </cfRule>
  </conditionalFormatting>
  <conditionalFormatting sqref="E5:F60">
    <cfRule type="cellIs" dxfId="256" priority="2" operator="equal">
      <formula>"Feito"</formula>
    </cfRule>
  </conditionalFormatting>
  <dataValidations count="1">
    <dataValidation type="list" allowBlank="1" showInputMessage="1" showErrorMessage="1" sqref="B5:J60" xr:uid="{95BA3DFC-F3D9-4387-A1CC-4AD1AA8CB717}">
      <formula1>$K$5:$K$10</formula1>
    </dataValidation>
  </dataValidations>
  <pageMargins left="0.511811024" right="0.511811024" top="0.78740157499999996" bottom="0.78740157499999996" header="0.31496062000000002" footer="0.3149606200000000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2EE0A6-0218-442F-B434-EACCB7D0A319}">
  <dimension ref="A3:L60"/>
  <sheetViews>
    <sheetView workbookViewId="0">
      <pane xSplit="1" topLeftCell="B1" activePane="topRight" state="frozen"/>
      <selection pane="topRight" activeCell="I61" sqref="I61:I62"/>
    </sheetView>
  </sheetViews>
  <sheetFormatPr defaultRowHeight="15" x14ac:dyDescent="0.25"/>
  <cols>
    <col min="2" max="2" width="10.42578125" customWidth="1"/>
    <col min="3" max="3" width="10.140625" bestFit="1" customWidth="1"/>
    <col min="4" max="5" width="10.85546875" customWidth="1"/>
    <col min="6" max="6" width="11.140625" customWidth="1"/>
    <col min="7" max="7" width="10.42578125" customWidth="1"/>
    <col min="8" max="8" width="9.85546875" customWidth="1"/>
    <col min="9" max="9" width="10.28515625" customWidth="1"/>
  </cols>
  <sheetData>
    <row r="3" spans="1:12" x14ac:dyDescent="0.25">
      <c r="B3" s="3">
        <v>44348</v>
      </c>
      <c r="C3" s="3">
        <f>B3+1</f>
        <v>44349</v>
      </c>
      <c r="D3" s="3">
        <f t="shared" ref="D3:I3" si="0">C3+1</f>
        <v>44350</v>
      </c>
      <c r="E3" s="3">
        <f t="shared" si="0"/>
        <v>44351</v>
      </c>
      <c r="F3" s="3">
        <f t="shared" si="0"/>
        <v>44352</v>
      </c>
      <c r="G3" s="3">
        <f t="shared" si="0"/>
        <v>44353</v>
      </c>
      <c r="H3" s="3">
        <f t="shared" si="0"/>
        <v>44354</v>
      </c>
      <c r="I3" s="3">
        <f t="shared" si="0"/>
        <v>44355</v>
      </c>
    </row>
    <row r="4" spans="1:12" x14ac:dyDescent="0.25">
      <c r="A4" s="2" t="s">
        <v>0</v>
      </c>
      <c r="B4" s="1" t="str">
        <f>TEXT(B3,"ddd")</f>
        <v>ter</v>
      </c>
      <c r="C4" s="1" t="str">
        <f t="shared" ref="C4:I4" si="1">TEXT(C3,"ddd")</f>
        <v>qua</v>
      </c>
      <c r="D4" s="1" t="str">
        <f t="shared" si="1"/>
        <v>qui</v>
      </c>
      <c r="E4" s="1" t="str">
        <f t="shared" si="1"/>
        <v>sex</v>
      </c>
      <c r="F4" s="1" t="str">
        <f t="shared" si="1"/>
        <v>sáb</v>
      </c>
      <c r="G4" s="1" t="str">
        <f t="shared" si="1"/>
        <v>dom</v>
      </c>
      <c r="H4" s="1" t="str">
        <f t="shared" si="1"/>
        <v>seg</v>
      </c>
      <c r="I4" s="1" t="str">
        <f t="shared" si="1"/>
        <v>ter</v>
      </c>
      <c r="K4" s="11" t="s">
        <v>1</v>
      </c>
    </row>
    <row r="5" spans="1:12" x14ac:dyDescent="0.25">
      <c r="A5" s="4">
        <v>1</v>
      </c>
      <c r="B5" t="s">
        <v>7</v>
      </c>
      <c r="E5" t="s">
        <v>7</v>
      </c>
      <c r="H5" t="s">
        <v>7</v>
      </c>
      <c r="K5" s="5" t="s">
        <v>7</v>
      </c>
      <c r="L5">
        <f>COUNTIF($B$5:$I$60,K5)</f>
        <v>113</v>
      </c>
    </row>
    <row r="6" spans="1:12" x14ac:dyDescent="0.25">
      <c r="A6" s="4">
        <v>2</v>
      </c>
      <c r="B6" t="s">
        <v>7</v>
      </c>
      <c r="F6" t="s">
        <v>7</v>
      </c>
      <c r="K6" s="6" t="s">
        <v>2</v>
      </c>
      <c r="L6">
        <f t="shared" ref="L6:L10" si="2">COUNTIF($B$5:$I$60,K6)</f>
        <v>7</v>
      </c>
    </row>
    <row r="7" spans="1:12" x14ac:dyDescent="0.25">
      <c r="A7" s="4">
        <v>3</v>
      </c>
      <c r="D7" t="s">
        <v>5</v>
      </c>
      <c r="E7" t="s">
        <v>7</v>
      </c>
      <c r="I7" t="s">
        <v>7</v>
      </c>
      <c r="K7" s="7" t="s">
        <v>3</v>
      </c>
      <c r="L7">
        <f t="shared" si="2"/>
        <v>0</v>
      </c>
    </row>
    <row r="8" spans="1:12" x14ac:dyDescent="0.25">
      <c r="A8" s="4">
        <v>4</v>
      </c>
      <c r="F8" t="s">
        <v>7</v>
      </c>
      <c r="K8" s="8" t="s">
        <v>4</v>
      </c>
      <c r="L8">
        <f t="shared" si="2"/>
        <v>0</v>
      </c>
    </row>
    <row r="9" spans="1:12" x14ac:dyDescent="0.25">
      <c r="A9" s="4">
        <v>5</v>
      </c>
      <c r="B9" t="s">
        <v>7</v>
      </c>
      <c r="D9" t="s">
        <v>7</v>
      </c>
      <c r="F9" t="s">
        <v>2</v>
      </c>
      <c r="H9" t="s">
        <v>7</v>
      </c>
      <c r="K9" s="9" t="s">
        <v>6</v>
      </c>
      <c r="L9">
        <f t="shared" si="2"/>
        <v>0</v>
      </c>
    </row>
    <row r="10" spans="1:12" x14ac:dyDescent="0.25">
      <c r="A10" s="4">
        <v>6</v>
      </c>
      <c r="C10" t="s">
        <v>7</v>
      </c>
      <c r="D10" t="s">
        <v>7</v>
      </c>
      <c r="E10" t="s">
        <v>7</v>
      </c>
      <c r="G10" t="s">
        <v>7</v>
      </c>
      <c r="H10" t="s">
        <v>7</v>
      </c>
      <c r="I10" t="s">
        <v>7</v>
      </c>
      <c r="K10" s="10" t="s">
        <v>5</v>
      </c>
      <c r="L10">
        <f t="shared" si="2"/>
        <v>26</v>
      </c>
    </row>
    <row r="11" spans="1:12" x14ac:dyDescent="0.25">
      <c r="A11" s="4">
        <v>7</v>
      </c>
      <c r="C11" t="s">
        <v>7</v>
      </c>
      <c r="E11" t="s">
        <v>7</v>
      </c>
      <c r="G11" t="s">
        <v>7</v>
      </c>
      <c r="H11" t="s">
        <v>7</v>
      </c>
      <c r="I11" t="s">
        <v>7</v>
      </c>
      <c r="L11">
        <f>SUM(L5:L10)</f>
        <v>146</v>
      </c>
    </row>
    <row r="12" spans="1:12" x14ac:dyDescent="0.25">
      <c r="A12" s="4">
        <v>8</v>
      </c>
      <c r="D12" t="s">
        <v>7</v>
      </c>
      <c r="E12" t="s">
        <v>7</v>
      </c>
      <c r="F12" t="s">
        <v>7</v>
      </c>
      <c r="H12" t="s">
        <v>7</v>
      </c>
    </row>
    <row r="13" spans="1:12" x14ac:dyDescent="0.25">
      <c r="A13" s="4">
        <v>9</v>
      </c>
      <c r="B13" t="s">
        <v>7</v>
      </c>
      <c r="E13" t="s">
        <v>7</v>
      </c>
      <c r="F13" t="s">
        <v>7</v>
      </c>
    </row>
    <row r="14" spans="1:12" x14ac:dyDescent="0.25">
      <c r="A14" s="4">
        <v>10</v>
      </c>
      <c r="C14" t="s">
        <v>7</v>
      </c>
      <c r="G14" t="s">
        <v>7</v>
      </c>
    </row>
    <row r="15" spans="1:12" x14ac:dyDescent="0.25">
      <c r="A15" s="4">
        <v>11</v>
      </c>
      <c r="C15" t="s">
        <v>5</v>
      </c>
      <c r="D15" t="s">
        <v>7</v>
      </c>
      <c r="G15" t="s">
        <v>7</v>
      </c>
    </row>
    <row r="16" spans="1:12" x14ac:dyDescent="0.25">
      <c r="A16" s="4">
        <v>12</v>
      </c>
      <c r="C16" t="s">
        <v>7</v>
      </c>
      <c r="E16" t="s">
        <v>7</v>
      </c>
      <c r="H16" t="s">
        <v>7</v>
      </c>
    </row>
    <row r="17" spans="1:9" x14ac:dyDescent="0.25">
      <c r="A17" s="4">
        <v>13</v>
      </c>
      <c r="B17" t="s">
        <v>7</v>
      </c>
      <c r="C17" t="s">
        <v>7</v>
      </c>
      <c r="D17" t="s">
        <v>5</v>
      </c>
      <c r="E17" t="s">
        <v>7</v>
      </c>
      <c r="F17" t="s">
        <v>7</v>
      </c>
      <c r="G17" t="s">
        <v>7</v>
      </c>
      <c r="H17" t="s">
        <v>7</v>
      </c>
      <c r="I17" t="s">
        <v>5</v>
      </c>
    </row>
    <row r="18" spans="1:9" x14ac:dyDescent="0.25">
      <c r="A18" s="4">
        <v>14</v>
      </c>
      <c r="B18" t="s">
        <v>2</v>
      </c>
      <c r="D18" t="s">
        <v>7</v>
      </c>
      <c r="E18" t="s">
        <v>7</v>
      </c>
      <c r="F18" t="s">
        <v>7</v>
      </c>
      <c r="G18" t="s">
        <v>2</v>
      </c>
      <c r="H18" t="s">
        <v>5</v>
      </c>
      <c r="I18" t="s">
        <v>5</v>
      </c>
    </row>
    <row r="19" spans="1:9" x14ac:dyDescent="0.25">
      <c r="A19" s="4">
        <v>15</v>
      </c>
      <c r="C19" t="s">
        <v>7</v>
      </c>
      <c r="H19" t="s">
        <v>7</v>
      </c>
    </row>
    <row r="20" spans="1:9" x14ac:dyDescent="0.25">
      <c r="A20" s="4">
        <v>16</v>
      </c>
      <c r="D20" t="s">
        <v>5</v>
      </c>
      <c r="I20" t="s">
        <v>5</v>
      </c>
    </row>
    <row r="21" spans="1:9" x14ac:dyDescent="0.25">
      <c r="A21" s="4">
        <v>17</v>
      </c>
      <c r="B21" t="s">
        <v>7</v>
      </c>
      <c r="G21" t="s">
        <v>7</v>
      </c>
    </row>
    <row r="22" spans="1:9" x14ac:dyDescent="0.25">
      <c r="A22" s="4">
        <v>18</v>
      </c>
      <c r="D22" t="s">
        <v>7</v>
      </c>
      <c r="I22" t="s">
        <v>7</v>
      </c>
    </row>
    <row r="23" spans="1:9" x14ac:dyDescent="0.25">
      <c r="A23" s="4">
        <v>19</v>
      </c>
      <c r="F23" t="s">
        <v>7</v>
      </c>
    </row>
    <row r="24" spans="1:9" x14ac:dyDescent="0.25">
      <c r="A24" s="4">
        <v>20</v>
      </c>
      <c r="C24" t="s">
        <v>7</v>
      </c>
      <c r="H24" t="s">
        <v>7</v>
      </c>
    </row>
    <row r="25" spans="1:9" x14ac:dyDescent="0.25">
      <c r="A25" s="4">
        <v>21</v>
      </c>
      <c r="B25" t="s">
        <v>5</v>
      </c>
      <c r="G25" t="s">
        <v>7</v>
      </c>
    </row>
    <row r="26" spans="1:9" x14ac:dyDescent="0.25">
      <c r="A26" s="4">
        <v>22</v>
      </c>
      <c r="C26" t="s">
        <v>7</v>
      </c>
      <c r="H26" t="s">
        <v>2</v>
      </c>
    </row>
    <row r="27" spans="1:9" x14ac:dyDescent="0.25">
      <c r="A27" s="4">
        <v>23</v>
      </c>
      <c r="B27" t="s">
        <v>2</v>
      </c>
      <c r="C27" t="s">
        <v>2</v>
      </c>
      <c r="G27" t="s">
        <v>7</v>
      </c>
    </row>
    <row r="28" spans="1:9" x14ac:dyDescent="0.25">
      <c r="A28" s="4">
        <v>24</v>
      </c>
      <c r="D28" t="s">
        <v>7</v>
      </c>
    </row>
    <row r="29" spans="1:9" x14ac:dyDescent="0.25">
      <c r="A29" s="4">
        <v>25</v>
      </c>
      <c r="B29" t="s">
        <v>7</v>
      </c>
      <c r="C29" t="s">
        <v>7</v>
      </c>
      <c r="D29" t="s">
        <v>7</v>
      </c>
      <c r="E29" t="s">
        <v>7</v>
      </c>
      <c r="F29" t="s">
        <v>7</v>
      </c>
      <c r="G29" t="s">
        <v>7</v>
      </c>
      <c r="H29" t="s">
        <v>7</v>
      </c>
      <c r="I29" t="s">
        <v>7</v>
      </c>
    </row>
    <row r="30" spans="1:9" x14ac:dyDescent="0.25">
      <c r="A30" s="4">
        <v>26</v>
      </c>
      <c r="E30" t="s">
        <v>7</v>
      </c>
    </row>
    <row r="31" spans="1:9" x14ac:dyDescent="0.25">
      <c r="A31" s="4">
        <v>27</v>
      </c>
      <c r="D31" t="s">
        <v>7</v>
      </c>
      <c r="I31" t="s">
        <v>7</v>
      </c>
    </row>
    <row r="32" spans="1:9" x14ac:dyDescent="0.25">
      <c r="A32" s="4">
        <v>28</v>
      </c>
    </row>
    <row r="33" spans="1:9" x14ac:dyDescent="0.25">
      <c r="A33" s="4">
        <v>29</v>
      </c>
      <c r="C33" t="s">
        <v>7</v>
      </c>
      <c r="E33" t="s">
        <v>7</v>
      </c>
      <c r="G33" t="s">
        <v>7</v>
      </c>
      <c r="I33" t="s">
        <v>5</v>
      </c>
    </row>
    <row r="34" spans="1:9" x14ac:dyDescent="0.25">
      <c r="A34" s="4">
        <v>30</v>
      </c>
      <c r="B34" t="s">
        <v>5</v>
      </c>
      <c r="C34" t="s">
        <v>7</v>
      </c>
      <c r="D34" t="s">
        <v>7</v>
      </c>
      <c r="G34" t="s">
        <v>7</v>
      </c>
      <c r="I34" t="s">
        <v>7</v>
      </c>
    </row>
    <row r="35" spans="1:9" x14ac:dyDescent="0.25">
      <c r="A35" s="4">
        <v>31</v>
      </c>
      <c r="C35" t="s">
        <v>5</v>
      </c>
      <c r="E35" t="s">
        <v>7</v>
      </c>
      <c r="H35" t="s">
        <v>7</v>
      </c>
    </row>
    <row r="36" spans="1:9" x14ac:dyDescent="0.25">
      <c r="A36" s="4">
        <v>32</v>
      </c>
      <c r="B36" t="s">
        <v>7</v>
      </c>
    </row>
    <row r="37" spans="1:9" x14ac:dyDescent="0.25">
      <c r="A37" s="4">
        <v>33</v>
      </c>
      <c r="B37" t="s">
        <v>7</v>
      </c>
      <c r="D37" t="s">
        <v>7</v>
      </c>
      <c r="F37" t="s">
        <v>7</v>
      </c>
    </row>
    <row r="38" spans="1:9" x14ac:dyDescent="0.25">
      <c r="A38" s="4">
        <v>34</v>
      </c>
      <c r="C38" t="s">
        <v>5</v>
      </c>
      <c r="D38" t="s">
        <v>7</v>
      </c>
    </row>
    <row r="39" spans="1:9" x14ac:dyDescent="0.25">
      <c r="A39" s="4">
        <v>35</v>
      </c>
      <c r="C39" t="s">
        <v>7</v>
      </c>
      <c r="G39" t="s">
        <v>7</v>
      </c>
    </row>
    <row r="40" spans="1:9" x14ac:dyDescent="0.25">
      <c r="A40" s="4">
        <v>36</v>
      </c>
      <c r="E40" t="s">
        <v>7</v>
      </c>
      <c r="I40" t="s">
        <v>7</v>
      </c>
    </row>
    <row r="41" spans="1:9" x14ac:dyDescent="0.25">
      <c r="A41" s="4">
        <v>37</v>
      </c>
      <c r="E41" t="s">
        <v>7</v>
      </c>
    </row>
    <row r="42" spans="1:9" x14ac:dyDescent="0.25">
      <c r="A42" s="4">
        <v>38</v>
      </c>
      <c r="C42" t="s">
        <v>7</v>
      </c>
      <c r="H42" t="s">
        <v>5</v>
      </c>
    </row>
    <row r="43" spans="1:9" x14ac:dyDescent="0.25">
      <c r="A43" s="4">
        <v>39</v>
      </c>
      <c r="G43" t="s">
        <v>5</v>
      </c>
    </row>
    <row r="44" spans="1:9" x14ac:dyDescent="0.25">
      <c r="A44" s="4">
        <v>40</v>
      </c>
      <c r="B44" t="s">
        <v>5</v>
      </c>
      <c r="F44" t="s">
        <v>7</v>
      </c>
    </row>
    <row r="45" spans="1:9" x14ac:dyDescent="0.25">
      <c r="A45" s="4">
        <v>41</v>
      </c>
      <c r="F45" t="s">
        <v>7</v>
      </c>
    </row>
    <row r="46" spans="1:9" x14ac:dyDescent="0.25">
      <c r="A46" s="4">
        <v>42</v>
      </c>
      <c r="B46" t="s">
        <v>7</v>
      </c>
      <c r="G46" t="s">
        <v>7</v>
      </c>
    </row>
    <row r="47" spans="1:9" x14ac:dyDescent="0.25">
      <c r="A47" s="4">
        <v>43</v>
      </c>
    </row>
    <row r="48" spans="1:9" x14ac:dyDescent="0.25">
      <c r="A48" s="4">
        <v>44</v>
      </c>
      <c r="E48" t="s">
        <v>7</v>
      </c>
      <c r="I48" t="s">
        <v>7</v>
      </c>
    </row>
    <row r="49" spans="1:9" x14ac:dyDescent="0.25">
      <c r="A49" s="4">
        <v>45</v>
      </c>
      <c r="B49" t="s">
        <v>7</v>
      </c>
      <c r="E49" t="s">
        <v>7</v>
      </c>
      <c r="F49" t="s">
        <v>5</v>
      </c>
      <c r="H49" t="s">
        <v>7</v>
      </c>
    </row>
    <row r="50" spans="1:9" x14ac:dyDescent="0.25">
      <c r="A50" s="4">
        <v>46</v>
      </c>
      <c r="C50" t="s">
        <v>5</v>
      </c>
      <c r="F50" t="s">
        <v>7</v>
      </c>
      <c r="I50" t="s">
        <v>7</v>
      </c>
    </row>
    <row r="51" spans="1:9" x14ac:dyDescent="0.25">
      <c r="A51" s="4">
        <v>47</v>
      </c>
    </row>
    <row r="52" spans="1:9" x14ac:dyDescent="0.25">
      <c r="A52" s="4">
        <v>48</v>
      </c>
      <c r="I52" t="s">
        <v>7</v>
      </c>
    </row>
    <row r="53" spans="1:9" x14ac:dyDescent="0.25">
      <c r="A53" s="4">
        <v>49</v>
      </c>
      <c r="F53" t="s">
        <v>5</v>
      </c>
      <c r="G53" t="s">
        <v>5</v>
      </c>
    </row>
    <row r="54" spans="1:9" x14ac:dyDescent="0.25">
      <c r="A54" s="4">
        <v>50</v>
      </c>
      <c r="C54" t="s">
        <v>7</v>
      </c>
      <c r="D54" t="s">
        <v>7</v>
      </c>
      <c r="E54" t="s">
        <v>5</v>
      </c>
      <c r="G54" t="s">
        <v>7</v>
      </c>
      <c r="I54" t="s">
        <v>7</v>
      </c>
    </row>
    <row r="55" spans="1:9" x14ac:dyDescent="0.25">
      <c r="A55" s="4">
        <v>51</v>
      </c>
      <c r="C55" t="s">
        <v>7</v>
      </c>
      <c r="D55" t="s">
        <v>2</v>
      </c>
      <c r="H55" t="s">
        <v>7</v>
      </c>
      <c r="I55" t="s">
        <v>5</v>
      </c>
    </row>
    <row r="56" spans="1:9" x14ac:dyDescent="0.25">
      <c r="A56" s="4">
        <v>52</v>
      </c>
      <c r="B56" t="s">
        <v>7</v>
      </c>
      <c r="D56" t="s">
        <v>5</v>
      </c>
      <c r="H56" t="s">
        <v>7</v>
      </c>
    </row>
    <row r="57" spans="1:9" x14ac:dyDescent="0.25">
      <c r="A57" s="4">
        <v>53</v>
      </c>
      <c r="D57" t="s">
        <v>7</v>
      </c>
      <c r="I57" t="s">
        <v>7</v>
      </c>
    </row>
    <row r="58" spans="1:9" x14ac:dyDescent="0.25">
      <c r="A58" s="4">
        <v>54</v>
      </c>
      <c r="C58" t="s">
        <v>7</v>
      </c>
      <c r="G58" t="s">
        <v>7</v>
      </c>
    </row>
    <row r="59" spans="1:9" x14ac:dyDescent="0.25">
      <c r="A59" s="4">
        <v>55</v>
      </c>
      <c r="E59" t="s">
        <v>5</v>
      </c>
    </row>
    <row r="60" spans="1:9" x14ac:dyDescent="0.25">
      <c r="A60" s="4">
        <v>56</v>
      </c>
      <c r="B60" t="s">
        <v>5</v>
      </c>
      <c r="F60" t="s">
        <v>5</v>
      </c>
    </row>
  </sheetData>
  <conditionalFormatting sqref="B5:D11 G5:G11">
    <cfRule type="cellIs" dxfId="255" priority="17" operator="equal">
      <formula>"Energia"</formula>
    </cfRule>
  </conditionalFormatting>
  <conditionalFormatting sqref="B5:D60 G5:I60">
    <cfRule type="cellIs" dxfId="254" priority="10" operator="equal">
      <formula>"Energia"</formula>
    </cfRule>
    <cfRule type="cellIs" dxfId="253" priority="12" operator="equal">
      <formula>"Operação"</formula>
    </cfRule>
    <cfRule type="cellIs" dxfId="252" priority="13" operator="equal">
      <formula>"Chuva"</formula>
    </cfRule>
    <cfRule type="cellIs" dxfId="251" priority="14" operator="equal">
      <formula>"Elétrico"</formula>
    </cfRule>
    <cfRule type="cellIs" dxfId="250" priority="15" operator="equal">
      <formula>"Mecânico"</formula>
    </cfRule>
    <cfRule type="cellIs" dxfId="249" priority="16" operator="equal">
      <formula>"Ok"</formula>
    </cfRule>
  </conditionalFormatting>
  <conditionalFormatting sqref="B5:D60 G5:I60">
    <cfRule type="cellIs" dxfId="248" priority="11" operator="equal">
      <formula>"Feito"</formula>
    </cfRule>
  </conditionalFormatting>
  <conditionalFormatting sqref="K7">
    <cfRule type="iconSet" priority="9">
      <iconSet iconSet="3Arrows">
        <cfvo type="percent" val="0"/>
        <cfvo type="percent" val="33"/>
        <cfvo type="percent" val="67"/>
      </iconSet>
    </cfRule>
  </conditionalFormatting>
  <conditionalFormatting sqref="E5:F11">
    <cfRule type="cellIs" dxfId="247" priority="8" operator="equal">
      <formula>"Energia"</formula>
    </cfRule>
  </conditionalFormatting>
  <conditionalFormatting sqref="E5:F60">
    <cfRule type="cellIs" dxfId="246" priority="1" operator="equal">
      <formula>"Energia"</formula>
    </cfRule>
    <cfRule type="cellIs" dxfId="245" priority="3" operator="equal">
      <formula>"Operação"</formula>
    </cfRule>
    <cfRule type="cellIs" dxfId="244" priority="4" operator="equal">
      <formula>"Chuva"</formula>
    </cfRule>
    <cfRule type="cellIs" dxfId="243" priority="5" operator="equal">
      <formula>"Elétrico"</formula>
    </cfRule>
    <cfRule type="cellIs" dxfId="242" priority="6" operator="equal">
      <formula>"Mecânico"</formula>
    </cfRule>
    <cfRule type="cellIs" dxfId="241" priority="7" operator="equal">
      <formula>"Ok"</formula>
    </cfRule>
  </conditionalFormatting>
  <conditionalFormatting sqref="E5:F60">
    <cfRule type="cellIs" dxfId="240" priority="2" operator="equal">
      <formula>"Feito"</formula>
    </cfRule>
  </conditionalFormatting>
  <dataValidations count="1">
    <dataValidation type="list" allowBlank="1" showInputMessage="1" showErrorMessage="1" sqref="B5:J60" xr:uid="{ADBA3073-97B5-40B7-B273-4DADE079F780}">
      <formula1>$K$5:$K$10</formula1>
    </dataValidation>
  </dataValidations>
  <pageMargins left="0.511811024" right="0.511811024" top="0.78740157499999996" bottom="0.78740157499999996" header="0.31496062000000002" footer="0.3149606200000000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9AE6D4-2B3E-499E-91E9-7B6A2A2D6E2D}">
  <dimension ref="A3:L60"/>
  <sheetViews>
    <sheetView workbookViewId="0">
      <pane xSplit="1" topLeftCell="B1" activePane="topRight" state="frozen"/>
      <selection pane="topRight" activeCell="L5" sqref="L5:L10"/>
    </sheetView>
  </sheetViews>
  <sheetFormatPr defaultRowHeight="15" x14ac:dyDescent="0.25"/>
  <cols>
    <col min="2" max="2" width="10.42578125" customWidth="1"/>
    <col min="3" max="3" width="10.140625" bestFit="1" customWidth="1"/>
    <col min="4" max="5" width="10.85546875" customWidth="1"/>
    <col min="6" max="6" width="11.140625" customWidth="1"/>
    <col min="7" max="7" width="10.42578125" customWidth="1"/>
    <col min="8" max="8" width="9.85546875" customWidth="1"/>
    <col min="9" max="9" width="10.28515625" customWidth="1"/>
    <col min="11" max="11" width="11.140625" bestFit="1" customWidth="1"/>
  </cols>
  <sheetData>
    <row r="3" spans="1:12" x14ac:dyDescent="0.25">
      <c r="B3" s="3">
        <v>44356</v>
      </c>
      <c r="C3" s="3">
        <f>B3+1</f>
        <v>44357</v>
      </c>
      <c r="D3" s="3">
        <f t="shared" ref="D3:I3" si="0">C3+1</f>
        <v>44358</v>
      </c>
      <c r="E3" s="3">
        <f t="shared" si="0"/>
        <v>44359</v>
      </c>
      <c r="F3" s="3">
        <f t="shared" si="0"/>
        <v>44360</v>
      </c>
      <c r="G3" s="3">
        <f t="shared" si="0"/>
        <v>44361</v>
      </c>
      <c r="H3" s="3">
        <f t="shared" si="0"/>
        <v>44362</v>
      </c>
      <c r="I3" s="3">
        <f t="shared" si="0"/>
        <v>44363</v>
      </c>
    </row>
    <row r="4" spans="1:12" x14ac:dyDescent="0.25">
      <c r="A4" s="2" t="s">
        <v>0</v>
      </c>
      <c r="B4" s="1" t="str">
        <f>TEXT(B3,"ddd")</f>
        <v>qua</v>
      </c>
      <c r="C4" s="1" t="str">
        <f t="shared" ref="C4:I4" si="1">TEXT(C3,"ddd")</f>
        <v>qui</v>
      </c>
      <c r="D4" s="1" t="str">
        <f t="shared" si="1"/>
        <v>sex</v>
      </c>
      <c r="E4" s="1" t="str">
        <f t="shared" si="1"/>
        <v>sáb</v>
      </c>
      <c r="F4" s="1" t="str">
        <f t="shared" si="1"/>
        <v>dom</v>
      </c>
      <c r="G4" s="1" t="str">
        <f t="shared" si="1"/>
        <v>seg</v>
      </c>
      <c r="H4" s="1" t="str">
        <f t="shared" si="1"/>
        <v>ter</v>
      </c>
      <c r="I4" s="1" t="str">
        <f t="shared" si="1"/>
        <v>qua</v>
      </c>
      <c r="K4" s="11" t="s">
        <v>1</v>
      </c>
    </row>
    <row r="5" spans="1:12" x14ac:dyDescent="0.25">
      <c r="A5" s="4">
        <v>1</v>
      </c>
      <c r="C5" t="s">
        <v>7</v>
      </c>
      <c r="F5" t="s">
        <v>7</v>
      </c>
      <c r="I5" t="s">
        <v>7</v>
      </c>
      <c r="K5" s="5" t="s">
        <v>7</v>
      </c>
      <c r="L5">
        <f>COUNTIF($B$5:$I$60,K5)</f>
        <v>92</v>
      </c>
    </row>
    <row r="6" spans="1:12" x14ac:dyDescent="0.25">
      <c r="A6" s="4">
        <v>2</v>
      </c>
      <c r="B6" t="s">
        <v>7</v>
      </c>
      <c r="F6" t="s">
        <v>7</v>
      </c>
      <c r="K6" s="6" t="s">
        <v>2</v>
      </c>
      <c r="L6">
        <f t="shared" ref="L6:L10" si="2">COUNTIF($B$5:$I$60,K6)</f>
        <v>5</v>
      </c>
    </row>
    <row r="7" spans="1:12" x14ac:dyDescent="0.25">
      <c r="A7" s="4">
        <v>3</v>
      </c>
      <c r="E7" t="s">
        <v>7</v>
      </c>
      <c r="K7" s="7" t="s">
        <v>3</v>
      </c>
      <c r="L7">
        <f t="shared" si="2"/>
        <v>4</v>
      </c>
    </row>
    <row r="8" spans="1:12" x14ac:dyDescent="0.25">
      <c r="A8" s="4">
        <v>4</v>
      </c>
      <c r="C8" t="s">
        <v>5</v>
      </c>
      <c r="D8" t="s">
        <v>7</v>
      </c>
      <c r="G8" t="s">
        <v>7</v>
      </c>
      <c r="K8" s="8" t="s">
        <v>4</v>
      </c>
      <c r="L8">
        <f t="shared" si="2"/>
        <v>7</v>
      </c>
    </row>
    <row r="9" spans="1:12" x14ac:dyDescent="0.25">
      <c r="A9" s="4">
        <v>5</v>
      </c>
      <c r="B9" t="s">
        <v>7</v>
      </c>
      <c r="D9" t="s">
        <v>7</v>
      </c>
      <c r="F9" t="s">
        <v>7</v>
      </c>
      <c r="H9" t="s">
        <v>6</v>
      </c>
      <c r="K9" s="9" t="s">
        <v>6</v>
      </c>
      <c r="L9">
        <f t="shared" si="2"/>
        <v>7</v>
      </c>
    </row>
    <row r="10" spans="1:12" x14ac:dyDescent="0.25">
      <c r="A10" s="4">
        <v>6</v>
      </c>
      <c r="B10" t="s">
        <v>5</v>
      </c>
      <c r="D10" t="s">
        <v>7</v>
      </c>
      <c r="F10" t="s">
        <v>7</v>
      </c>
      <c r="H10" t="s">
        <v>6</v>
      </c>
      <c r="K10" s="10" t="s">
        <v>5</v>
      </c>
      <c r="L10">
        <f t="shared" si="2"/>
        <v>14</v>
      </c>
    </row>
    <row r="11" spans="1:12" x14ac:dyDescent="0.25">
      <c r="A11" s="4">
        <v>7</v>
      </c>
      <c r="B11" t="s">
        <v>7</v>
      </c>
      <c r="D11" t="s">
        <v>7</v>
      </c>
      <c r="F11" t="s">
        <v>7</v>
      </c>
      <c r="H11" t="s">
        <v>6</v>
      </c>
      <c r="L11">
        <f>SUM(L5:L10)</f>
        <v>129</v>
      </c>
    </row>
    <row r="12" spans="1:12" x14ac:dyDescent="0.25">
      <c r="A12" s="4">
        <v>8</v>
      </c>
      <c r="B12" t="s">
        <v>7</v>
      </c>
      <c r="C12" t="s">
        <v>7</v>
      </c>
      <c r="E12" t="s">
        <v>7</v>
      </c>
      <c r="G12" t="s">
        <v>7</v>
      </c>
      <c r="H12" t="s">
        <v>7</v>
      </c>
    </row>
    <row r="13" spans="1:12" x14ac:dyDescent="0.25">
      <c r="A13" s="4">
        <v>9</v>
      </c>
      <c r="B13" t="s">
        <v>7</v>
      </c>
      <c r="C13" t="s">
        <v>7</v>
      </c>
      <c r="E13" t="s">
        <v>7</v>
      </c>
      <c r="H13" t="s">
        <v>7</v>
      </c>
      <c r="I13" t="s">
        <v>7</v>
      </c>
    </row>
    <row r="14" spans="1:12" x14ac:dyDescent="0.25">
      <c r="A14" s="4">
        <v>10</v>
      </c>
      <c r="C14" t="s">
        <v>7</v>
      </c>
      <c r="D14" t="s">
        <v>7</v>
      </c>
      <c r="H14" t="s">
        <v>6</v>
      </c>
    </row>
    <row r="15" spans="1:12" x14ac:dyDescent="0.25">
      <c r="A15" s="4">
        <v>11</v>
      </c>
      <c r="C15" t="s">
        <v>7</v>
      </c>
      <c r="F15" t="s">
        <v>7</v>
      </c>
    </row>
    <row r="16" spans="1:12" x14ac:dyDescent="0.25">
      <c r="A16" s="4">
        <v>12</v>
      </c>
      <c r="B16" t="s">
        <v>7</v>
      </c>
      <c r="C16" t="s">
        <v>7</v>
      </c>
      <c r="D16" t="s">
        <v>7</v>
      </c>
      <c r="H16" t="s">
        <v>6</v>
      </c>
    </row>
    <row r="17" spans="1:9" x14ac:dyDescent="0.25">
      <c r="A17" s="4">
        <v>13</v>
      </c>
      <c r="C17" t="s">
        <v>7</v>
      </c>
      <c r="E17" t="s">
        <v>7</v>
      </c>
      <c r="F17" t="s">
        <v>7</v>
      </c>
      <c r="I17" t="s">
        <v>7</v>
      </c>
    </row>
    <row r="18" spans="1:9" x14ac:dyDescent="0.25">
      <c r="A18" s="4">
        <v>14</v>
      </c>
      <c r="B18" t="s">
        <v>5</v>
      </c>
      <c r="C18" t="s">
        <v>7</v>
      </c>
      <c r="D18" t="s">
        <v>7</v>
      </c>
      <c r="E18" t="s">
        <v>7</v>
      </c>
      <c r="F18" t="s">
        <v>7</v>
      </c>
      <c r="G18" t="s">
        <v>7</v>
      </c>
      <c r="H18" t="s">
        <v>6</v>
      </c>
    </row>
    <row r="19" spans="1:9" x14ac:dyDescent="0.25">
      <c r="A19" s="4">
        <v>15</v>
      </c>
      <c r="E19" t="s">
        <v>7</v>
      </c>
    </row>
    <row r="20" spans="1:9" x14ac:dyDescent="0.25">
      <c r="A20" s="4">
        <v>16</v>
      </c>
      <c r="F20" t="s">
        <v>7</v>
      </c>
    </row>
    <row r="21" spans="1:9" x14ac:dyDescent="0.25">
      <c r="A21" s="4">
        <v>17</v>
      </c>
      <c r="D21" t="s">
        <v>5</v>
      </c>
      <c r="I21" t="s">
        <v>5</v>
      </c>
    </row>
    <row r="22" spans="1:9" x14ac:dyDescent="0.25">
      <c r="A22" s="4">
        <v>18</v>
      </c>
      <c r="G22" t="s">
        <v>5</v>
      </c>
    </row>
    <row r="23" spans="1:9" x14ac:dyDescent="0.25">
      <c r="A23" s="4">
        <v>19</v>
      </c>
      <c r="C23" t="s">
        <v>7</v>
      </c>
      <c r="H23" t="s">
        <v>2</v>
      </c>
    </row>
    <row r="24" spans="1:9" x14ac:dyDescent="0.25">
      <c r="A24" s="4">
        <v>20</v>
      </c>
      <c r="E24" t="s">
        <v>7</v>
      </c>
    </row>
    <row r="25" spans="1:9" x14ac:dyDescent="0.25">
      <c r="A25" s="4">
        <v>21</v>
      </c>
      <c r="D25" t="s">
        <v>5</v>
      </c>
      <c r="I25" t="s">
        <v>4</v>
      </c>
    </row>
    <row r="26" spans="1:9" x14ac:dyDescent="0.25">
      <c r="A26" s="4">
        <v>22</v>
      </c>
      <c r="F26" t="s">
        <v>7</v>
      </c>
    </row>
    <row r="27" spans="1:9" x14ac:dyDescent="0.25">
      <c r="A27" s="4">
        <v>23</v>
      </c>
      <c r="D27" t="s">
        <v>5</v>
      </c>
      <c r="H27" t="s">
        <v>4</v>
      </c>
    </row>
    <row r="28" spans="1:9" x14ac:dyDescent="0.25">
      <c r="A28" s="4">
        <v>24</v>
      </c>
    </row>
    <row r="29" spans="1:9" x14ac:dyDescent="0.25">
      <c r="A29" s="4">
        <v>25</v>
      </c>
      <c r="B29" t="s">
        <v>7</v>
      </c>
      <c r="C29" t="s">
        <v>7</v>
      </c>
      <c r="D29" t="s">
        <v>7</v>
      </c>
      <c r="E29" t="s">
        <v>7</v>
      </c>
      <c r="F29" t="s">
        <v>7</v>
      </c>
      <c r="G29" t="s">
        <v>7</v>
      </c>
      <c r="H29" t="s">
        <v>7</v>
      </c>
    </row>
    <row r="30" spans="1:9" x14ac:dyDescent="0.25">
      <c r="A30" s="4">
        <v>26</v>
      </c>
      <c r="B30" t="s">
        <v>7</v>
      </c>
      <c r="G30" t="s">
        <v>7</v>
      </c>
    </row>
    <row r="31" spans="1:9" x14ac:dyDescent="0.25">
      <c r="A31" s="4">
        <v>27</v>
      </c>
      <c r="F31" t="s">
        <v>7</v>
      </c>
    </row>
    <row r="32" spans="1:9" x14ac:dyDescent="0.25">
      <c r="A32" s="4">
        <v>28</v>
      </c>
    </row>
    <row r="33" spans="1:9" x14ac:dyDescent="0.25">
      <c r="A33" s="4">
        <v>29</v>
      </c>
      <c r="C33" t="s">
        <v>2</v>
      </c>
      <c r="E33" t="s">
        <v>7</v>
      </c>
      <c r="G33" t="s">
        <v>3</v>
      </c>
      <c r="I33" t="s">
        <v>3</v>
      </c>
    </row>
    <row r="34" spans="1:9" x14ac:dyDescent="0.25">
      <c r="A34" s="4">
        <v>30</v>
      </c>
      <c r="B34" t="s">
        <v>7</v>
      </c>
      <c r="E34" t="s">
        <v>2</v>
      </c>
      <c r="G34" t="s">
        <v>7</v>
      </c>
      <c r="H34" t="s">
        <v>7</v>
      </c>
      <c r="I34" t="s">
        <v>7</v>
      </c>
    </row>
    <row r="35" spans="1:9" x14ac:dyDescent="0.25">
      <c r="A35" s="4">
        <v>31</v>
      </c>
      <c r="C35" t="s">
        <v>7</v>
      </c>
    </row>
    <row r="36" spans="1:9" x14ac:dyDescent="0.25">
      <c r="A36" s="4">
        <v>32</v>
      </c>
    </row>
    <row r="37" spans="1:9" x14ac:dyDescent="0.25">
      <c r="A37" s="4">
        <v>33</v>
      </c>
    </row>
    <row r="38" spans="1:9" x14ac:dyDescent="0.25">
      <c r="A38" s="4">
        <v>34</v>
      </c>
      <c r="C38" t="s">
        <v>2</v>
      </c>
      <c r="E38" t="s">
        <v>7</v>
      </c>
      <c r="F38" t="s">
        <v>7</v>
      </c>
      <c r="G38" t="s">
        <v>5</v>
      </c>
      <c r="H38" t="s">
        <v>5</v>
      </c>
      <c r="I38" t="s">
        <v>7</v>
      </c>
    </row>
    <row r="39" spans="1:9" x14ac:dyDescent="0.25">
      <c r="A39" s="4">
        <v>35</v>
      </c>
      <c r="D39" t="s">
        <v>7</v>
      </c>
      <c r="H39" t="s">
        <v>6</v>
      </c>
    </row>
    <row r="40" spans="1:9" x14ac:dyDescent="0.25">
      <c r="A40" s="4">
        <v>36</v>
      </c>
      <c r="E40" t="s">
        <v>7</v>
      </c>
      <c r="I40" t="s">
        <v>7</v>
      </c>
    </row>
    <row r="41" spans="1:9" x14ac:dyDescent="0.25">
      <c r="A41" s="4">
        <v>37</v>
      </c>
      <c r="B41" t="s">
        <v>7</v>
      </c>
      <c r="E41" t="s">
        <v>7</v>
      </c>
      <c r="I41" t="s">
        <v>7</v>
      </c>
    </row>
    <row r="42" spans="1:9" x14ac:dyDescent="0.25">
      <c r="A42" s="4">
        <v>38</v>
      </c>
      <c r="F42" t="s">
        <v>7</v>
      </c>
    </row>
    <row r="43" spans="1:9" x14ac:dyDescent="0.25">
      <c r="A43" s="4">
        <v>39</v>
      </c>
      <c r="D43" t="s">
        <v>5</v>
      </c>
      <c r="I43" t="s">
        <v>4</v>
      </c>
    </row>
    <row r="44" spans="1:9" x14ac:dyDescent="0.25">
      <c r="A44" s="4">
        <v>40</v>
      </c>
      <c r="C44" t="s">
        <v>5</v>
      </c>
      <c r="H44" t="s">
        <v>2</v>
      </c>
    </row>
    <row r="45" spans="1:9" x14ac:dyDescent="0.25">
      <c r="A45" s="4">
        <v>41</v>
      </c>
      <c r="C45" t="s">
        <v>7</v>
      </c>
      <c r="I45" t="s">
        <v>7</v>
      </c>
    </row>
    <row r="46" spans="1:9" x14ac:dyDescent="0.25">
      <c r="A46" s="4">
        <v>42</v>
      </c>
      <c r="D46" t="s">
        <v>7</v>
      </c>
      <c r="H46" t="s">
        <v>4</v>
      </c>
    </row>
    <row r="47" spans="1:9" x14ac:dyDescent="0.25">
      <c r="A47" s="4">
        <v>43</v>
      </c>
    </row>
    <row r="48" spans="1:9" x14ac:dyDescent="0.25">
      <c r="A48" s="4">
        <v>44</v>
      </c>
      <c r="E48" t="s">
        <v>7</v>
      </c>
    </row>
    <row r="49" spans="1:9" x14ac:dyDescent="0.25">
      <c r="A49" s="4">
        <v>45</v>
      </c>
      <c r="C49" t="s">
        <v>7</v>
      </c>
      <c r="F49" t="s">
        <v>7</v>
      </c>
      <c r="I49" t="s">
        <v>7</v>
      </c>
    </row>
    <row r="50" spans="1:9" x14ac:dyDescent="0.25">
      <c r="A50" s="4">
        <v>46</v>
      </c>
    </row>
    <row r="51" spans="1:9" x14ac:dyDescent="0.25">
      <c r="A51" s="4">
        <v>47</v>
      </c>
    </row>
    <row r="52" spans="1:9" x14ac:dyDescent="0.25">
      <c r="A52" s="4">
        <v>48</v>
      </c>
      <c r="E52" t="s">
        <v>7</v>
      </c>
      <c r="F52" t="s">
        <v>7</v>
      </c>
    </row>
    <row r="53" spans="1:9" x14ac:dyDescent="0.25">
      <c r="A53" s="4">
        <v>49</v>
      </c>
    </row>
    <row r="54" spans="1:9" x14ac:dyDescent="0.25">
      <c r="A54" s="4">
        <v>50</v>
      </c>
      <c r="B54" t="s">
        <v>7</v>
      </c>
      <c r="D54" t="s">
        <v>7</v>
      </c>
      <c r="E54" t="s">
        <v>3</v>
      </c>
      <c r="G54" t="s">
        <v>7</v>
      </c>
    </row>
    <row r="55" spans="1:9" x14ac:dyDescent="0.25">
      <c r="A55" s="4">
        <v>51</v>
      </c>
      <c r="E55" t="s">
        <v>3</v>
      </c>
      <c r="F55" t="s">
        <v>7</v>
      </c>
      <c r="I55" t="s">
        <v>7</v>
      </c>
    </row>
    <row r="56" spans="1:9" x14ac:dyDescent="0.25">
      <c r="A56" s="4">
        <v>52</v>
      </c>
      <c r="C56" t="s">
        <v>7</v>
      </c>
      <c r="F56" t="s">
        <v>7</v>
      </c>
      <c r="I56" t="s">
        <v>4</v>
      </c>
    </row>
    <row r="57" spans="1:9" x14ac:dyDescent="0.25">
      <c r="A57" s="4">
        <v>53</v>
      </c>
      <c r="F57" t="s">
        <v>7</v>
      </c>
    </row>
    <row r="58" spans="1:9" x14ac:dyDescent="0.25">
      <c r="A58" s="4">
        <v>54</v>
      </c>
      <c r="D58" t="s">
        <v>7</v>
      </c>
      <c r="H58" t="s">
        <v>4</v>
      </c>
    </row>
    <row r="59" spans="1:9" x14ac:dyDescent="0.25">
      <c r="A59" s="4">
        <v>55</v>
      </c>
      <c r="B59" t="s">
        <v>7</v>
      </c>
      <c r="G59" t="s">
        <v>5</v>
      </c>
    </row>
    <row r="60" spans="1:9" x14ac:dyDescent="0.25">
      <c r="A60" s="4">
        <v>56</v>
      </c>
      <c r="C60" t="s">
        <v>5</v>
      </c>
      <c r="H60" t="s">
        <v>4</v>
      </c>
    </row>
  </sheetData>
  <conditionalFormatting sqref="B5:D11 G5:G11">
    <cfRule type="cellIs" dxfId="239" priority="17" operator="equal">
      <formula>"Energia"</formula>
    </cfRule>
  </conditionalFormatting>
  <conditionalFormatting sqref="B5:D60 G5:I60">
    <cfRule type="cellIs" dxfId="238" priority="10" operator="equal">
      <formula>"Energia"</formula>
    </cfRule>
    <cfRule type="cellIs" dxfId="237" priority="12" operator="equal">
      <formula>"Operação"</formula>
    </cfRule>
    <cfRule type="cellIs" dxfId="236" priority="13" operator="equal">
      <formula>"Chuva"</formula>
    </cfRule>
    <cfRule type="cellIs" dxfId="235" priority="14" operator="equal">
      <formula>"Elétrico"</formula>
    </cfRule>
    <cfRule type="cellIs" dxfId="234" priority="15" operator="equal">
      <formula>"Mecânico"</formula>
    </cfRule>
    <cfRule type="cellIs" dxfId="233" priority="16" operator="equal">
      <formula>"Ok"</formula>
    </cfRule>
  </conditionalFormatting>
  <conditionalFormatting sqref="B5:D60 G5:I60">
    <cfRule type="cellIs" dxfId="232" priority="11" operator="equal">
      <formula>"Feito"</formula>
    </cfRule>
  </conditionalFormatting>
  <conditionalFormatting sqref="K7">
    <cfRule type="iconSet" priority="9">
      <iconSet iconSet="3Arrows">
        <cfvo type="percent" val="0"/>
        <cfvo type="percent" val="33"/>
        <cfvo type="percent" val="67"/>
      </iconSet>
    </cfRule>
  </conditionalFormatting>
  <conditionalFormatting sqref="E5:F11">
    <cfRule type="cellIs" dxfId="231" priority="8" operator="equal">
      <formula>"Energia"</formula>
    </cfRule>
  </conditionalFormatting>
  <conditionalFormatting sqref="E5:F60">
    <cfRule type="cellIs" dxfId="230" priority="1" operator="equal">
      <formula>"Energia"</formula>
    </cfRule>
    <cfRule type="cellIs" dxfId="229" priority="3" operator="equal">
      <formula>"Operação"</formula>
    </cfRule>
    <cfRule type="cellIs" dxfId="228" priority="4" operator="equal">
      <formula>"Chuva"</formula>
    </cfRule>
    <cfRule type="cellIs" dxfId="227" priority="5" operator="equal">
      <formula>"Elétrico"</formula>
    </cfRule>
    <cfRule type="cellIs" dxfId="226" priority="6" operator="equal">
      <formula>"Mecânico"</formula>
    </cfRule>
    <cfRule type="cellIs" dxfId="225" priority="7" operator="equal">
      <formula>"Ok"</formula>
    </cfRule>
  </conditionalFormatting>
  <conditionalFormatting sqref="E5:F60">
    <cfRule type="cellIs" dxfId="224" priority="2" operator="equal">
      <formula>"Feito"</formula>
    </cfRule>
  </conditionalFormatting>
  <dataValidations count="1">
    <dataValidation type="list" allowBlank="1" showInputMessage="1" showErrorMessage="1" sqref="B5:J60" xr:uid="{D0EDAD2F-A852-42CA-A7B1-D724489B06B7}">
      <formula1>$K$5:$K$10</formula1>
    </dataValidation>
  </dataValidations>
  <pageMargins left="0.511811024" right="0.511811024" top="0.78740157499999996" bottom="0.78740157499999996" header="0.31496062000000002" footer="0.3149606200000000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8DF25C-0B26-45BF-9B0D-CBE9D0501659}">
  <dimension ref="A3:L60"/>
  <sheetViews>
    <sheetView workbookViewId="0">
      <pane xSplit="1" topLeftCell="B1" activePane="topRight" state="frozen"/>
      <selection pane="topRight" activeCell="L5" sqref="L5:L10"/>
    </sheetView>
  </sheetViews>
  <sheetFormatPr defaultRowHeight="15" x14ac:dyDescent="0.25"/>
  <cols>
    <col min="2" max="2" width="10.42578125" customWidth="1"/>
    <col min="3" max="3" width="10.140625" bestFit="1" customWidth="1"/>
    <col min="4" max="5" width="10.85546875" customWidth="1"/>
    <col min="6" max="6" width="11.140625" customWidth="1"/>
    <col min="7" max="7" width="10.42578125" customWidth="1"/>
    <col min="8" max="8" width="9.85546875" customWidth="1"/>
    <col min="9" max="9" width="10.28515625" customWidth="1"/>
    <col min="11" max="11" width="11.140625" bestFit="1" customWidth="1"/>
  </cols>
  <sheetData>
    <row r="3" spans="1:12" x14ac:dyDescent="0.25">
      <c r="B3" s="3">
        <v>44364</v>
      </c>
      <c r="C3" s="3">
        <f>B3+1</f>
        <v>44365</v>
      </c>
      <c r="D3" s="3">
        <f t="shared" ref="D3:I3" si="0">C3+1</f>
        <v>44366</v>
      </c>
      <c r="E3" s="3">
        <f t="shared" si="0"/>
        <v>44367</v>
      </c>
      <c r="F3" s="3">
        <f t="shared" si="0"/>
        <v>44368</v>
      </c>
      <c r="G3" s="3">
        <f t="shared" si="0"/>
        <v>44369</v>
      </c>
      <c r="H3" s="3">
        <f t="shared" si="0"/>
        <v>44370</v>
      </c>
      <c r="I3" s="3">
        <f t="shared" si="0"/>
        <v>44371</v>
      </c>
    </row>
    <row r="4" spans="1:12" x14ac:dyDescent="0.25">
      <c r="A4" s="2" t="s">
        <v>0</v>
      </c>
      <c r="B4" s="1" t="str">
        <f>TEXT(B3,"ddd")</f>
        <v>qui</v>
      </c>
      <c r="C4" s="1" t="str">
        <f t="shared" ref="C4:I4" si="1">TEXT(C3,"ddd")</f>
        <v>sex</v>
      </c>
      <c r="D4" s="1" t="str">
        <f t="shared" si="1"/>
        <v>sáb</v>
      </c>
      <c r="E4" s="1" t="str">
        <f t="shared" si="1"/>
        <v>dom</v>
      </c>
      <c r="F4" s="1" t="str">
        <f t="shared" si="1"/>
        <v>seg</v>
      </c>
      <c r="G4" s="1" t="str">
        <f t="shared" si="1"/>
        <v>ter</v>
      </c>
      <c r="H4" s="1" t="str">
        <f t="shared" si="1"/>
        <v>qua</v>
      </c>
      <c r="I4" s="1" t="str">
        <f t="shared" si="1"/>
        <v>qui</v>
      </c>
      <c r="K4" s="11" t="s">
        <v>1</v>
      </c>
    </row>
    <row r="5" spans="1:12" x14ac:dyDescent="0.25">
      <c r="A5" s="4">
        <v>1</v>
      </c>
      <c r="D5" t="s">
        <v>7</v>
      </c>
      <c r="K5" s="5" t="s">
        <v>7</v>
      </c>
      <c r="L5">
        <f>COUNTIF($B$5:$I$60,K5)</f>
        <v>93</v>
      </c>
    </row>
    <row r="6" spans="1:12" x14ac:dyDescent="0.25">
      <c r="A6" s="4">
        <v>2</v>
      </c>
      <c r="H6" t="s">
        <v>7</v>
      </c>
      <c r="K6" s="6" t="s">
        <v>2</v>
      </c>
      <c r="L6">
        <f t="shared" ref="L6:L10" si="2">COUNTIF($B$5:$I$60,K6)</f>
        <v>5</v>
      </c>
    </row>
    <row r="7" spans="1:12" x14ac:dyDescent="0.25">
      <c r="A7" s="4">
        <v>3</v>
      </c>
      <c r="B7" t="s">
        <v>5</v>
      </c>
      <c r="E7" t="s">
        <v>7</v>
      </c>
      <c r="I7" t="s">
        <v>7</v>
      </c>
      <c r="K7" s="7" t="s">
        <v>3</v>
      </c>
      <c r="L7">
        <f t="shared" si="2"/>
        <v>3</v>
      </c>
    </row>
    <row r="8" spans="1:12" x14ac:dyDescent="0.25">
      <c r="A8" s="4">
        <v>4</v>
      </c>
      <c r="C8" t="s">
        <v>7</v>
      </c>
      <c r="G8" t="s">
        <v>7</v>
      </c>
      <c r="K8" s="8" t="s">
        <v>4</v>
      </c>
      <c r="L8">
        <f t="shared" si="2"/>
        <v>0</v>
      </c>
    </row>
    <row r="9" spans="1:12" x14ac:dyDescent="0.25">
      <c r="A9" s="4">
        <v>5</v>
      </c>
      <c r="B9" t="s">
        <v>7</v>
      </c>
      <c r="D9" t="s">
        <v>7</v>
      </c>
      <c r="G9" t="s">
        <v>7</v>
      </c>
      <c r="K9" s="9" t="s">
        <v>6</v>
      </c>
      <c r="L9">
        <f t="shared" si="2"/>
        <v>0</v>
      </c>
    </row>
    <row r="10" spans="1:12" x14ac:dyDescent="0.25">
      <c r="A10" s="4">
        <v>6</v>
      </c>
      <c r="B10" t="s">
        <v>7</v>
      </c>
      <c r="D10" t="s">
        <v>7</v>
      </c>
      <c r="F10" t="s">
        <v>7</v>
      </c>
      <c r="K10" s="10" t="s">
        <v>5</v>
      </c>
      <c r="L10">
        <f t="shared" si="2"/>
        <v>14</v>
      </c>
    </row>
    <row r="11" spans="1:12" x14ac:dyDescent="0.25">
      <c r="A11" s="4">
        <v>7</v>
      </c>
      <c r="B11" t="s">
        <v>7</v>
      </c>
      <c r="D11" t="s">
        <v>7</v>
      </c>
      <c r="F11" t="s">
        <v>7</v>
      </c>
      <c r="H11" t="s">
        <v>7</v>
      </c>
      <c r="L11">
        <f>SUM(L5:L10)</f>
        <v>115</v>
      </c>
    </row>
    <row r="12" spans="1:12" x14ac:dyDescent="0.25">
      <c r="A12" s="4">
        <v>8</v>
      </c>
      <c r="C12" t="s">
        <v>7</v>
      </c>
      <c r="E12" t="s">
        <v>7</v>
      </c>
      <c r="G12" t="s">
        <v>7</v>
      </c>
      <c r="I12" t="s">
        <v>7</v>
      </c>
    </row>
    <row r="13" spans="1:12" x14ac:dyDescent="0.25">
      <c r="A13" s="4">
        <v>9</v>
      </c>
      <c r="D13" t="s">
        <v>7</v>
      </c>
      <c r="F13" t="s">
        <v>7</v>
      </c>
      <c r="G13" t="s">
        <v>7</v>
      </c>
      <c r="H13" t="s">
        <v>7</v>
      </c>
    </row>
    <row r="14" spans="1:12" x14ac:dyDescent="0.25">
      <c r="A14" s="4">
        <v>10</v>
      </c>
      <c r="B14" t="s">
        <v>7</v>
      </c>
      <c r="C14" t="s">
        <v>7</v>
      </c>
      <c r="E14" t="s">
        <v>7</v>
      </c>
      <c r="H14" t="s">
        <v>7</v>
      </c>
      <c r="I14" t="s">
        <v>7</v>
      </c>
    </row>
    <row r="15" spans="1:12" x14ac:dyDescent="0.25">
      <c r="A15" s="4">
        <v>11</v>
      </c>
      <c r="B15" t="s">
        <v>7</v>
      </c>
      <c r="F15" t="s">
        <v>7</v>
      </c>
      <c r="G15" t="s">
        <v>7</v>
      </c>
    </row>
    <row r="16" spans="1:12" x14ac:dyDescent="0.25">
      <c r="A16" s="4">
        <v>12</v>
      </c>
      <c r="D16" t="s">
        <v>2</v>
      </c>
    </row>
    <row r="17" spans="1:9" x14ac:dyDescent="0.25">
      <c r="A17" s="4">
        <v>13</v>
      </c>
      <c r="E17" t="s">
        <v>7</v>
      </c>
      <c r="H17" t="s">
        <v>7</v>
      </c>
    </row>
    <row r="18" spans="1:9" x14ac:dyDescent="0.25">
      <c r="A18" s="4">
        <v>14</v>
      </c>
      <c r="B18" t="s">
        <v>7</v>
      </c>
      <c r="E18" t="s">
        <v>7</v>
      </c>
      <c r="H18" t="s">
        <v>2</v>
      </c>
    </row>
    <row r="19" spans="1:9" x14ac:dyDescent="0.25">
      <c r="A19" s="4">
        <v>15</v>
      </c>
      <c r="B19" t="s">
        <v>5</v>
      </c>
      <c r="G19" t="s">
        <v>7</v>
      </c>
    </row>
    <row r="20" spans="1:9" x14ac:dyDescent="0.25">
      <c r="A20" s="4">
        <v>16</v>
      </c>
      <c r="C20" t="s">
        <v>5</v>
      </c>
    </row>
    <row r="21" spans="1:9" x14ac:dyDescent="0.25">
      <c r="A21" s="4">
        <v>17</v>
      </c>
      <c r="E21" t="s">
        <v>7</v>
      </c>
    </row>
    <row r="22" spans="1:9" x14ac:dyDescent="0.25">
      <c r="A22" s="4">
        <v>18</v>
      </c>
    </row>
    <row r="23" spans="1:9" x14ac:dyDescent="0.25">
      <c r="A23" s="4">
        <v>19</v>
      </c>
      <c r="E23" t="s">
        <v>7</v>
      </c>
    </row>
    <row r="24" spans="1:9" x14ac:dyDescent="0.25">
      <c r="A24" s="4">
        <v>20</v>
      </c>
      <c r="C24" t="s">
        <v>7</v>
      </c>
    </row>
    <row r="25" spans="1:9" x14ac:dyDescent="0.25">
      <c r="A25" s="4">
        <v>21</v>
      </c>
      <c r="F25" t="s">
        <v>7</v>
      </c>
    </row>
    <row r="26" spans="1:9" x14ac:dyDescent="0.25">
      <c r="A26" s="4">
        <v>22</v>
      </c>
      <c r="D26" t="s">
        <v>7</v>
      </c>
    </row>
    <row r="27" spans="1:9" x14ac:dyDescent="0.25">
      <c r="A27" s="4">
        <v>23</v>
      </c>
      <c r="E27" t="s">
        <v>7</v>
      </c>
    </row>
    <row r="28" spans="1:9" x14ac:dyDescent="0.25">
      <c r="A28" s="4">
        <v>24</v>
      </c>
    </row>
    <row r="29" spans="1:9" x14ac:dyDescent="0.25">
      <c r="A29" s="4">
        <v>25</v>
      </c>
      <c r="B29" t="s">
        <v>7</v>
      </c>
      <c r="D29" t="s">
        <v>7</v>
      </c>
      <c r="E29" t="s">
        <v>7</v>
      </c>
      <c r="F29" t="s">
        <v>7</v>
      </c>
      <c r="G29" t="s">
        <v>7</v>
      </c>
      <c r="H29" t="s">
        <v>7</v>
      </c>
      <c r="I29" t="s">
        <v>7</v>
      </c>
    </row>
    <row r="30" spans="1:9" x14ac:dyDescent="0.25">
      <c r="A30" s="4">
        <v>26</v>
      </c>
      <c r="E30" t="s">
        <v>7</v>
      </c>
    </row>
    <row r="31" spans="1:9" x14ac:dyDescent="0.25">
      <c r="A31" s="4">
        <v>27</v>
      </c>
      <c r="C31" t="s">
        <v>7</v>
      </c>
      <c r="G31" t="s">
        <v>7</v>
      </c>
    </row>
    <row r="32" spans="1:9" x14ac:dyDescent="0.25">
      <c r="A32" s="4">
        <v>28</v>
      </c>
    </row>
    <row r="33" spans="1:9" x14ac:dyDescent="0.25">
      <c r="A33" s="4">
        <v>29</v>
      </c>
      <c r="B33" t="s">
        <v>3</v>
      </c>
      <c r="C33" t="s">
        <v>7</v>
      </c>
      <c r="F33" t="s">
        <v>7</v>
      </c>
      <c r="I33" t="s">
        <v>7</v>
      </c>
    </row>
    <row r="34" spans="1:9" x14ac:dyDescent="0.25">
      <c r="A34" s="4">
        <v>30</v>
      </c>
      <c r="B34" t="s">
        <v>7</v>
      </c>
      <c r="D34" t="s">
        <v>7</v>
      </c>
      <c r="G34" t="s">
        <v>5</v>
      </c>
      <c r="H34" t="s">
        <v>7</v>
      </c>
    </row>
    <row r="35" spans="1:9" x14ac:dyDescent="0.25">
      <c r="A35" s="4">
        <v>31</v>
      </c>
    </row>
    <row r="36" spans="1:9" x14ac:dyDescent="0.25">
      <c r="A36" s="4">
        <v>32</v>
      </c>
    </row>
    <row r="37" spans="1:9" x14ac:dyDescent="0.25">
      <c r="A37" s="4">
        <v>33</v>
      </c>
      <c r="H37" t="s">
        <v>5</v>
      </c>
      <c r="I37" t="s">
        <v>2</v>
      </c>
    </row>
    <row r="38" spans="1:9" x14ac:dyDescent="0.25">
      <c r="A38" s="4">
        <v>34</v>
      </c>
      <c r="B38" t="s">
        <v>5</v>
      </c>
      <c r="C38" t="s">
        <v>5</v>
      </c>
      <c r="D38" t="s">
        <v>5</v>
      </c>
      <c r="E38" t="s">
        <v>7</v>
      </c>
      <c r="F38" t="s">
        <v>7</v>
      </c>
      <c r="G38" t="s">
        <v>7</v>
      </c>
      <c r="I38" t="s">
        <v>7</v>
      </c>
    </row>
    <row r="39" spans="1:9" x14ac:dyDescent="0.25">
      <c r="A39" s="4">
        <v>35</v>
      </c>
      <c r="D39" t="s">
        <v>3</v>
      </c>
      <c r="H39" t="s">
        <v>7</v>
      </c>
    </row>
    <row r="40" spans="1:9" x14ac:dyDescent="0.25">
      <c r="A40" s="4">
        <v>36</v>
      </c>
      <c r="E40" t="s">
        <v>7</v>
      </c>
      <c r="I40" t="s">
        <v>7</v>
      </c>
    </row>
    <row r="41" spans="1:9" x14ac:dyDescent="0.25">
      <c r="A41" s="4">
        <v>37</v>
      </c>
      <c r="E41" t="s">
        <v>7</v>
      </c>
    </row>
    <row r="42" spans="1:9" x14ac:dyDescent="0.25">
      <c r="A42" s="4">
        <v>38</v>
      </c>
      <c r="D42" t="s">
        <v>7</v>
      </c>
      <c r="I42" t="s">
        <v>7</v>
      </c>
    </row>
    <row r="43" spans="1:9" x14ac:dyDescent="0.25">
      <c r="A43" s="4">
        <v>39</v>
      </c>
      <c r="E43" t="s">
        <v>5</v>
      </c>
    </row>
    <row r="44" spans="1:9" x14ac:dyDescent="0.25">
      <c r="A44" s="4">
        <v>40</v>
      </c>
      <c r="E44" t="s">
        <v>7</v>
      </c>
    </row>
    <row r="45" spans="1:9" x14ac:dyDescent="0.25">
      <c r="A45" s="4">
        <v>41</v>
      </c>
      <c r="F45" t="s">
        <v>7</v>
      </c>
    </row>
    <row r="46" spans="1:9" x14ac:dyDescent="0.25">
      <c r="A46" s="4">
        <v>42</v>
      </c>
      <c r="F46" t="s">
        <v>5</v>
      </c>
    </row>
    <row r="47" spans="1:9" x14ac:dyDescent="0.25">
      <c r="A47" s="4">
        <v>43</v>
      </c>
    </row>
    <row r="48" spans="1:9" x14ac:dyDescent="0.25">
      <c r="A48" s="4">
        <v>44</v>
      </c>
      <c r="B48" t="s">
        <v>7</v>
      </c>
      <c r="F48" t="s">
        <v>7</v>
      </c>
    </row>
    <row r="49" spans="1:9" x14ac:dyDescent="0.25">
      <c r="A49" s="4">
        <v>45</v>
      </c>
      <c r="D49" t="s">
        <v>7</v>
      </c>
      <c r="G49" t="s">
        <v>7</v>
      </c>
    </row>
    <row r="50" spans="1:9" x14ac:dyDescent="0.25">
      <c r="A50" s="4">
        <v>46</v>
      </c>
    </row>
    <row r="51" spans="1:9" x14ac:dyDescent="0.25">
      <c r="A51" s="4">
        <v>47</v>
      </c>
    </row>
    <row r="52" spans="1:9" x14ac:dyDescent="0.25">
      <c r="A52" s="4">
        <v>48</v>
      </c>
      <c r="D52" t="s">
        <v>2</v>
      </c>
      <c r="E52" t="s">
        <v>3</v>
      </c>
      <c r="F52" t="s">
        <v>2</v>
      </c>
      <c r="G52" t="s">
        <v>7</v>
      </c>
    </row>
    <row r="53" spans="1:9" x14ac:dyDescent="0.25">
      <c r="A53" s="4">
        <v>49</v>
      </c>
      <c r="B53" t="s">
        <v>5</v>
      </c>
      <c r="D53" t="s">
        <v>7</v>
      </c>
      <c r="E53" t="s">
        <v>7</v>
      </c>
      <c r="F53" t="s">
        <v>7</v>
      </c>
    </row>
    <row r="54" spans="1:9" x14ac:dyDescent="0.25">
      <c r="A54" s="4">
        <v>50</v>
      </c>
      <c r="B54" t="s">
        <v>7</v>
      </c>
      <c r="E54" t="s">
        <v>7</v>
      </c>
      <c r="F54" t="s">
        <v>7</v>
      </c>
      <c r="H54" t="s">
        <v>7</v>
      </c>
    </row>
    <row r="55" spans="1:9" x14ac:dyDescent="0.25">
      <c r="A55" s="4">
        <v>51</v>
      </c>
      <c r="C55" t="s">
        <v>7</v>
      </c>
      <c r="E55" t="s">
        <v>7</v>
      </c>
      <c r="F55" t="s">
        <v>7</v>
      </c>
      <c r="G55" t="s">
        <v>7</v>
      </c>
      <c r="I55" t="s">
        <v>5</v>
      </c>
    </row>
    <row r="56" spans="1:9" x14ac:dyDescent="0.25">
      <c r="A56" s="4">
        <v>52</v>
      </c>
      <c r="D56" t="s">
        <v>7</v>
      </c>
      <c r="H56" t="s">
        <v>5</v>
      </c>
    </row>
    <row r="57" spans="1:9" x14ac:dyDescent="0.25">
      <c r="A57" s="4">
        <v>53</v>
      </c>
      <c r="C57" t="s">
        <v>7</v>
      </c>
      <c r="H57" t="s">
        <v>7</v>
      </c>
    </row>
    <row r="58" spans="1:9" x14ac:dyDescent="0.25">
      <c r="A58" s="4">
        <v>54</v>
      </c>
      <c r="E58" t="s">
        <v>7</v>
      </c>
    </row>
    <row r="59" spans="1:9" x14ac:dyDescent="0.25">
      <c r="A59" s="4">
        <v>55</v>
      </c>
      <c r="D59" t="s">
        <v>7</v>
      </c>
      <c r="I59" t="s">
        <v>5</v>
      </c>
    </row>
    <row r="60" spans="1:9" x14ac:dyDescent="0.25">
      <c r="A60" s="4">
        <v>56</v>
      </c>
      <c r="E60" t="s">
        <v>7</v>
      </c>
    </row>
  </sheetData>
  <conditionalFormatting sqref="B5:D11 G5:G11">
    <cfRule type="cellIs" dxfId="223" priority="17" operator="equal">
      <formula>"Energia"</formula>
    </cfRule>
  </conditionalFormatting>
  <conditionalFormatting sqref="B5:D60 G5:I60">
    <cfRule type="cellIs" dxfId="222" priority="10" operator="equal">
      <formula>"Energia"</formula>
    </cfRule>
    <cfRule type="cellIs" dxfId="221" priority="12" operator="equal">
      <formula>"Operação"</formula>
    </cfRule>
    <cfRule type="cellIs" dxfId="220" priority="13" operator="equal">
      <formula>"Chuva"</formula>
    </cfRule>
    <cfRule type="cellIs" dxfId="219" priority="14" operator="equal">
      <formula>"Elétrico"</formula>
    </cfRule>
    <cfRule type="cellIs" dxfId="218" priority="15" operator="equal">
      <formula>"Mecânico"</formula>
    </cfRule>
    <cfRule type="cellIs" dxfId="217" priority="16" operator="equal">
      <formula>"Ok"</formula>
    </cfRule>
  </conditionalFormatting>
  <conditionalFormatting sqref="B5:D60 G5:I60">
    <cfRule type="cellIs" dxfId="216" priority="11" operator="equal">
      <formula>"Feito"</formula>
    </cfRule>
  </conditionalFormatting>
  <conditionalFormatting sqref="K7">
    <cfRule type="iconSet" priority="9">
      <iconSet iconSet="3Arrows">
        <cfvo type="percent" val="0"/>
        <cfvo type="percent" val="33"/>
        <cfvo type="percent" val="67"/>
      </iconSet>
    </cfRule>
  </conditionalFormatting>
  <conditionalFormatting sqref="E5:F11">
    <cfRule type="cellIs" dxfId="215" priority="8" operator="equal">
      <formula>"Energia"</formula>
    </cfRule>
  </conditionalFormatting>
  <conditionalFormatting sqref="E5:F60">
    <cfRule type="cellIs" dxfId="214" priority="1" operator="equal">
      <formula>"Energia"</formula>
    </cfRule>
    <cfRule type="cellIs" dxfId="213" priority="3" operator="equal">
      <formula>"Operação"</formula>
    </cfRule>
    <cfRule type="cellIs" dxfId="212" priority="4" operator="equal">
      <formula>"Chuva"</formula>
    </cfRule>
    <cfRule type="cellIs" dxfId="211" priority="5" operator="equal">
      <formula>"Elétrico"</formula>
    </cfRule>
    <cfRule type="cellIs" dxfId="210" priority="6" operator="equal">
      <formula>"Mecânico"</formula>
    </cfRule>
    <cfRule type="cellIs" dxfId="209" priority="7" operator="equal">
      <formula>"Ok"</formula>
    </cfRule>
  </conditionalFormatting>
  <conditionalFormatting sqref="E5:F60">
    <cfRule type="cellIs" dxfId="208" priority="2" operator="equal">
      <formula>"Feito"</formula>
    </cfRule>
  </conditionalFormatting>
  <dataValidations count="1">
    <dataValidation type="list" allowBlank="1" showInputMessage="1" showErrorMessage="1" sqref="B5:J60" xr:uid="{E6EFDD94-D453-423F-9EB9-12B1F0A78039}">
      <formula1>$K$5:$K$10</formula1>
    </dataValidation>
  </dataValidations>
  <pageMargins left="0.511811024" right="0.511811024" top="0.78740157499999996" bottom="0.78740157499999996" header="0.31496062000000002" footer="0.3149606200000000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1C4CD6-B2A3-4B2E-B9E7-697CB2FA0510}">
  <dimension ref="A3:L60"/>
  <sheetViews>
    <sheetView workbookViewId="0">
      <pane xSplit="1" topLeftCell="B1" activePane="topRight" state="frozen"/>
      <selection pane="topRight" activeCell="L5" sqref="L5:L10"/>
    </sheetView>
  </sheetViews>
  <sheetFormatPr defaultRowHeight="15" x14ac:dyDescent="0.25"/>
  <cols>
    <col min="2" max="2" width="10.42578125" customWidth="1"/>
    <col min="3" max="3" width="10.140625" bestFit="1" customWidth="1"/>
    <col min="4" max="5" width="10.85546875" customWidth="1"/>
    <col min="6" max="6" width="11.140625" customWidth="1"/>
    <col min="7" max="7" width="10.42578125" customWidth="1"/>
    <col min="8" max="8" width="9.85546875" customWidth="1"/>
    <col min="9" max="9" width="10.28515625" customWidth="1"/>
    <col min="11" max="11" width="11.140625" bestFit="1" customWidth="1"/>
  </cols>
  <sheetData>
    <row r="3" spans="1:12" x14ac:dyDescent="0.25">
      <c r="B3" s="3">
        <v>44372</v>
      </c>
      <c r="C3" s="3">
        <f>B3+1</f>
        <v>44373</v>
      </c>
      <c r="D3" s="3">
        <f t="shared" ref="D3:I3" si="0">C3+1</f>
        <v>44374</v>
      </c>
      <c r="E3" s="3">
        <f t="shared" si="0"/>
        <v>44375</v>
      </c>
      <c r="F3" s="3">
        <f t="shared" si="0"/>
        <v>44376</v>
      </c>
      <c r="G3" s="3">
        <f t="shared" si="0"/>
        <v>44377</v>
      </c>
      <c r="H3" s="3">
        <f t="shared" si="0"/>
        <v>44378</v>
      </c>
      <c r="I3" s="3">
        <f t="shared" si="0"/>
        <v>44379</v>
      </c>
    </row>
    <row r="4" spans="1:12" x14ac:dyDescent="0.25">
      <c r="A4" s="2" t="s">
        <v>0</v>
      </c>
      <c r="B4" s="1" t="str">
        <f>TEXT(B3,"ddd")</f>
        <v>sex</v>
      </c>
      <c r="C4" s="1" t="str">
        <f t="shared" ref="C4:I4" si="1">TEXT(C3,"ddd")</f>
        <v>sáb</v>
      </c>
      <c r="D4" s="1" t="str">
        <f t="shared" si="1"/>
        <v>dom</v>
      </c>
      <c r="E4" s="1" t="str">
        <f t="shared" si="1"/>
        <v>seg</v>
      </c>
      <c r="F4" s="1" t="str">
        <f t="shared" si="1"/>
        <v>ter</v>
      </c>
      <c r="G4" s="1" t="str">
        <f t="shared" si="1"/>
        <v>qua</v>
      </c>
      <c r="H4" s="1" t="str">
        <f t="shared" si="1"/>
        <v>qui</v>
      </c>
      <c r="I4" s="1" t="str">
        <f t="shared" si="1"/>
        <v>sex</v>
      </c>
      <c r="K4" s="11" t="s">
        <v>1</v>
      </c>
    </row>
    <row r="5" spans="1:12" x14ac:dyDescent="0.25">
      <c r="A5" s="4">
        <v>1</v>
      </c>
      <c r="B5" t="s">
        <v>7</v>
      </c>
      <c r="E5" t="s">
        <v>7</v>
      </c>
      <c r="H5" t="s">
        <v>7</v>
      </c>
      <c r="K5" s="5" t="s">
        <v>7</v>
      </c>
      <c r="L5">
        <f>COUNTIF($B$5:$I$60,K5)</f>
        <v>95</v>
      </c>
    </row>
    <row r="6" spans="1:12" x14ac:dyDescent="0.25">
      <c r="A6" s="4">
        <v>2</v>
      </c>
      <c r="H6" t="s">
        <v>7</v>
      </c>
      <c r="K6" s="6" t="s">
        <v>2</v>
      </c>
      <c r="L6">
        <f t="shared" ref="L6:L10" si="2">COUNTIF($B$5:$I$60,K6)</f>
        <v>9</v>
      </c>
    </row>
    <row r="7" spans="1:12" x14ac:dyDescent="0.25">
      <c r="A7" s="4">
        <v>3</v>
      </c>
      <c r="D7" t="s">
        <v>7</v>
      </c>
      <c r="K7" s="7" t="s">
        <v>3</v>
      </c>
      <c r="L7">
        <f t="shared" si="2"/>
        <v>5</v>
      </c>
    </row>
    <row r="8" spans="1:12" x14ac:dyDescent="0.25">
      <c r="A8" s="4">
        <v>4</v>
      </c>
      <c r="C8" t="s">
        <v>7</v>
      </c>
      <c r="H8" t="s">
        <v>7</v>
      </c>
      <c r="K8" s="8" t="s">
        <v>4</v>
      </c>
      <c r="L8">
        <f t="shared" si="2"/>
        <v>0</v>
      </c>
    </row>
    <row r="9" spans="1:12" x14ac:dyDescent="0.25">
      <c r="A9" s="4">
        <v>5</v>
      </c>
      <c r="C9" t="s">
        <v>7</v>
      </c>
      <c r="G9" t="s">
        <v>2</v>
      </c>
      <c r="K9" s="9" t="s">
        <v>6</v>
      </c>
      <c r="L9">
        <f t="shared" si="2"/>
        <v>0</v>
      </c>
    </row>
    <row r="10" spans="1:12" x14ac:dyDescent="0.25">
      <c r="A10" s="4">
        <v>6</v>
      </c>
      <c r="C10" t="s">
        <v>7</v>
      </c>
      <c r="G10" t="s">
        <v>5</v>
      </c>
      <c r="K10" s="10" t="s">
        <v>5</v>
      </c>
      <c r="L10">
        <f t="shared" si="2"/>
        <v>15</v>
      </c>
    </row>
    <row r="11" spans="1:12" x14ac:dyDescent="0.25">
      <c r="A11" s="4">
        <v>7</v>
      </c>
      <c r="B11" t="s">
        <v>7</v>
      </c>
      <c r="D11" t="s">
        <v>7</v>
      </c>
      <c r="G11" t="s">
        <v>7</v>
      </c>
      <c r="L11">
        <f>SUM(L5:L10)</f>
        <v>124</v>
      </c>
    </row>
    <row r="12" spans="1:12" x14ac:dyDescent="0.25">
      <c r="A12" s="4">
        <v>8</v>
      </c>
      <c r="C12" t="s">
        <v>7</v>
      </c>
      <c r="E12" t="s">
        <v>7</v>
      </c>
      <c r="G12" t="s">
        <v>7</v>
      </c>
      <c r="I12" t="s">
        <v>7</v>
      </c>
    </row>
    <row r="13" spans="1:12" x14ac:dyDescent="0.25">
      <c r="A13" s="4">
        <v>9</v>
      </c>
      <c r="B13" t="s">
        <v>7</v>
      </c>
      <c r="C13" t="s">
        <v>7</v>
      </c>
      <c r="E13" t="s">
        <v>7</v>
      </c>
      <c r="F13" t="s">
        <v>2</v>
      </c>
      <c r="G13" t="s">
        <v>2</v>
      </c>
      <c r="H13" t="s">
        <v>5</v>
      </c>
      <c r="I13" t="s">
        <v>7</v>
      </c>
    </row>
    <row r="14" spans="1:12" x14ac:dyDescent="0.25">
      <c r="A14" s="4">
        <v>10</v>
      </c>
      <c r="B14" t="s">
        <v>7</v>
      </c>
      <c r="F14" t="s">
        <v>7</v>
      </c>
      <c r="G14" t="s">
        <v>7</v>
      </c>
      <c r="H14" t="s">
        <v>7</v>
      </c>
    </row>
    <row r="15" spans="1:12" x14ac:dyDescent="0.25">
      <c r="A15" s="4">
        <v>11</v>
      </c>
      <c r="B15" t="s">
        <v>7</v>
      </c>
      <c r="E15" t="s">
        <v>7</v>
      </c>
      <c r="F15" t="s">
        <v>7</v>
      </c>
      <c r="H15" t="s">
        <v>7</v>
      </c>
    </row>
    <row r="16" spans="1:12" x14ac:dyDescent="0.25">
      <c r="A16" s="4">
        <v>12</v>
      </c>
      <c r="B16" t="s">
        <v>7</v>
      </c>
      <c r="G16" t="s">
        <v>7</v>
      </c>
      <c r="H16" t="s">
        <v>7</v>
      </c>
      <c r="I16" t="s">
        <v>7</v>
      </c>
    </row>
    <row r="17" spans="1:9" x14ac:dyDescent="0.25">
      <c r="A17" s="4">
        <v>13</v>
      </c>
      <c r="D17" t="s">
        <v>7</v>
      </c>
      <c r="H17" t="s">
        <v>7</v>
      </c>
      <c r="I17" t="s">
        <v>7</v>
      </c>
    </row>
    <row r="18" spans="1:9" x14ac:dyDescent="0.25">
      <c r="A18" s="4">
        <v>14</v>
      </c>
      <c r="E18" t="s">
        <v>7</v>
      </c>
      <c r="G18" t="s">
        <v>7</v>
      </c>
      <c r="H18" t="s">
        <v>7</v>
      </c>
    </row>
    <row r="19" spans="1:9" x14ac:dyDescent="0.25">
      <c r="A19" s="4">
        <v>15</v>
      </c>
      <c r="D19" t="s">
        <v>7</v>
      </c>
      <c r="I19" t="s">
        <v>5</v>
      </c>
    </row>
    <row r="20" spans="1:9" x14ac:dyDescent="0.25">
      <c r="A20" s="4">
        <v>16</v>
      </c>
    </row>
    <row r="21" spans="1:9" x14ac:dyDescent="0.25">
      <c r="A21" s="4">
        <v>17</v>
      </c>
      <c r="C21" t="s">
        <v>7</v>
      </c>
      <c r="H21" t="s">
        <v>7</v>
      </c>
    </row>
    <row r="22" spans="1:9" x14ac:dyDescent="0.25">
      <c r="A22" s="4">
        <v>18</v>
      </c>
    </row>
    <row r="23" spans="1:9" x14ac:dyDescent="0.25">
      <c r="A23" s="4">
        <v>19</v>
      </c>
      <c r="B23" t="s">
        <v>2</v>
      </c>
      <c r="G23" t="s">
        <v>5</v>
      </c>
      <c r="H23" t="s">
        <v>5</v>
      </c>
    </row>
    <row r="24" spans="1:9" x14ac:dyDescent="0.25">
      <c r="A24" s="4">
        <v>20</v>
      </c>
    </row>
    <row r="25" spans="1:9" x14ac:dyDescent="0.25">
      <c r="A25" s="4">
        <v>21</v>
      </c>
      <c r="D25" t="s">
        <v>7</v>
      </c>
      <c r="I25" t="s">
        <v>5</v>
      </c>
    </row>
    <row r="26" spans="1:9" x14ac:dyDescent="0.25">
      <c r="A26" s="4">
        <v>22</v>
      </c>
    </row>
    <row r="27" spans="1:9" x14ac:dyDescent="0.25">
      <c r="A27" s="4">
        <v>23</v>
      </c>
      <c r="C27" t="s">
        <v>7</v>
      </c>
      <c r="H27" t="s">
        <v>5</v>
      </c>
    </row>
    <row r="28" spans="1:9" x14ac:dyDescent="0.25">
      <c r="A28" s="4">
        <v>24</v>
      </c>
    </row>
    <row r="29" spans="1:9" x14ac:dyDescent="0.25">
      <c r="A29" s="4">
        <v>25</v>
      </c>
      <c r="B29" t="s">
        <v>7</v>
      </c>
      <c r="D29" t="s">
        <v>7</v>
      </c>
      <c r="F29" t="s">
        <v>7</v>
      </c>
      <c r="G29" t="s">
        <v>7</v>
      </c>
      <c r="H29" t="s">
        <v>7</v>
      </c>
    </row>
    <row r="30" spans="1:9" x14ac:dyDescent="0.25">
      <c r="A30" s="4">
        <v>26</v>
      </c>
      <c r="C30" t="s">
        <v>7</v>
      </c>
      <c r="I30" t="s">
        <v>5</v>
      </c>
    </row>
    <row r="31" spans="1:9" x14ac:dyDescent="0.25">
      <c r="A31" s="4">
        <v>27</v>
      </c>
      <c r="D31" t="s">
        <v>3</v>
      </c>
      <c r="I31" t="s">
        <v>7</v>
      </c>
    </row>
    <row r="32" spans="1:9" x14ac:dyDescent="0.25">
      <c r="A32" s="4">
        <v>28</v>
      </c>
    </row>
    <row r="33" spans="1:9" x14ac:dyDescent="0.25">
      <c r="A33" s="4">
        <v>29</v>
      </c>
      <c r="B33" t="s">
        <v>7</v>
      </c>
      <c r="D33" t="s">
        <v>7</v>
      </c>
      <c r="G33" t="s">
        <v>7</v>
      </c>
    </row>
    <row r="34" spans="1:9" x14ac:dyDescent="0.25">
      <c r="A34" s="4">
        <v>30</v>
      </c>
      <c r="B34" t="s">
        <v>7</v>
      </c>
      <c r="E34" t="s">
        <v>7</v>
      </c>
      <c r="G34" t="s">
        <v>7</v>
      </c>
      <c r="I34" t="s">
        <v>7</v>
      </c>
    </row>
    <row r="35" spans="1:9" x14ac:dyDescent="0.25">
      <c r="A35" s="4">
        <v>31</v>
      </c>
      <c r="I35" t="s">
        <v>5</v>
      </c>
    </row>
    <row r="36" spans="1:9" x14ac:dyDescent="0.25">
      <c r="A36" s="4">
        <v>32</v>
      </c>
    </row>
    <row r="37" spans="1:9" x14ac:dyDescent="0.25">
      <c r="A37" s="4">
        <v>33</v>
      </c>
    </row>
    <row r="38" spans="1:9" x14ac:dyDescent="0.25">
      <c r="A38" s="4">
        <v>34</v>
      </c>
      <c r="C38" t="s">
        <v>7</v>
      </c>
      <c r="E38" t="s">
        <v>7</v>
      </c>
      <c r="F38" t="s">
        <v>7</v>
      </c>
      <c r="I38" t="s">
        <v>7</v>
      </c>
    </row>
    <row r="39" spans="1:9" x14ac:dyDescent="0.25">
      <c r="A39" s="4">
        <v>35</v>
      </c>
      <c r="B39" t="s">
        <v>7</v>
      </c>
      <c r="C39" t="s">
        <v>7</v>
      </c>
      <c r="G39" t="s">
        <v>7</v>
      </c>
      <c r="I39" t="s">
        <v>7</v>
      </c>
    </row>
    <row r="40" spans="1:9" x14ac:dyDescent="0.25">
      <c r="A40" s="4">
        <v>36</v>
      </c>
      <c r="E40" t="s">
        <v>2</v>
      </c>
      <c r="I40" t="s">
        <v>7</v>
      </c>
    </row>
    <row r="41" spans="1:9" x14ac:dyDescent="0.25">
      <c r="A41" s="4">
        <v>37</v>
      </c>
      <c r="B41" t="s">
        <v>7</v>
      </c>
      <c r="G41" t="s">
        <v>7</v>
      </c>
    </row>
    <row r="42" spans="1:9" x14ac:dyDescent="0.25">
      <c r="A42" s="4">
        <v>38</v>
      </c>
      <c r="G42" t="s">
        <v>7</v>
      </c>
    </row>
    <row r="43" spans="1:9" x14ac:dyDescent="0.25">
      <c r="A43" s="4">
        <v>39</v>
      </c>
      <c r="B43" t="s">
        <v>7</v>
      </c>
      <c r="H43" t="s">
        <v>7</v>
      </c>
    </row>
    <row r="44" spans="1:9" x14ac:dyDescent="0.25">
      <c r="A44" s="4">
        <v>40</v>
      </c>
      <c r="C44" t="s">
        <v>7</v>
      </c>
      <c r="I44" t="s">
        <v>7</v>
      </c>
    </row>
    <row r="45" spans="1:9" x14ac:dyDescent="0.25">
      <c r="A45" s="4">
        <v>41</v>
      </c>
      <c r="D45" t="s">
        <v>7</v>
      </c>
    </row>
    <row r="46" spans="1:9" x14ac:dyDescent="0.25">
      <c r="A46" s="4">
        <v>42</v>
      </c>
      <c r="C46" t="s">
        <v>7</v>
      </c>
      <c r="H46" t="s">
        <v>7</v>
      </c>
    </row>
    <row r="47" spans="1:9" x14ac:dyDescent="0.25">
      <c r="A47" s="4">
        <v>43</v>
      </c>
    </row>
    <row r="48" spans="1:9" x14ac:dyDescent="0.25">
      <c r="A48" s="4">
        <v>44</v>
      </c>
      <c r="C48" t="s">
        <v>7</v>
      </c>
      <c r="H48" t="s">
        <v>7</v>
      </c>
    </row>
    <row r="49" spans="1:9" x14ac:dyDescent="0.25">
      <c r="A49" s="4">
        <v>45</v>
      </c>
      <c r="B49" t="s">
        <v>7</v>
      </c>
      <c r="E49" t="s">
        <v>7</v>
      </c>
    </row>
    <row r="50" spans="1:9" x14ac:dyDescent="0.25">
      <c r="A50" s="4">
        <v>46</v>
      </c>
      <c r="E50" t="s">
        <v>3</v>
      </c>
      <c r="F50" t="s">
        <v>3</v>
      </c>
      <c r="G50" t="s">
        <v>3</v>
      </c>
      <c r="H50" t="s">
        <v>3</v>
      </c>
    </row>
    <row r="51" spans="1:9" x14ac:dyDescent="0.25">
      <c r="A51" s="4">
        <v>47</v>
      </c>
      <c r="G51" t="s">
        <v>7</v>
      </c>
      <c r="I51" t="s">
        <v>5</v>
      </c>
    </row>
    <row r="52" spans="1:9" x14ac:dyDescent="0.25">
      <c r="A52" s="4">
        <v>48</v>
      </c>
      <c r="B52" t="s">
        <v>5</v>
      </c>
      <c r="C52" t="s">
        <v>7</v>
      </c>
      <c r="D52" t="s">
        <v>7</v>
      </c>
      <c r="E52" t="s">
        <v>2</v>
      </c>
      <c r="F52" t="s">
        <v>5</v>
      </c>
      <c r="G52" t="s">
        <v>2</v>
      </c>
      <c r="H52" t="s">
        <v>5</v>
      </c>
      <c r="I52" t="s">
        <v>5</v>
      </c>
    </row>
    <row r="53" spans="1:9" x14ac:dyDescent="0.25">
      <c r="A53" s="4">
        <v>49</v>
      </c>
      <c r="B53" t="s">
        <v>2</v>
      </c>
      <c r="C53" t="s">
        <v>2</v>
      </c>
      <c r="D53" t="s">
        <v>7</v>
      </c>
      <c r="H53" t="s">
        <v>7</v>
      </c>
    </row>
    <row r="54" spans="1:9" x14ac:dyDescent="0.25">
      <c r="A54" s="4">
        <v>50</v>
      </c>
      <c r="B54" t="s">
        <v>5</v>
      </c>
      <c r="E54" t="s">
        <v>7</v>
      </c>
      <c r="H54" t="s">
        <v>7</v>
      </c>
    </row>
    <row r="55" spans="1:9" x14ac:dyDescent="0.25">
      <c r="A55" s="4">
        <v>51</v>
      </c>
    </row>
    <row r="56" spans="1:9" x14ac:dyDescent="0.25">
      <c r="A56" s="4">
        <v>52</v>
      </c>
      <c r="C56" t="s">
        <v>7</v>
      </c>
      <c r="F56" t="s">
        <v>7</v>
      </c>
    </row>
    <row r="57" spans="1:9" x14ac:dyDescent="0.25">
      <c r="A57" s="4">
        <v>53</v>
      </c>
      <c r="E57" t="s">
        <v>7</v>
      </c>
    </row>
    <row r="58" spans="1:9" x14ac:dyDescent="0.25">
      <c r="A58" s="4">
        <v>54</v>
      </c>
      <c r="B58" t="s">
        <v>7</v>
      </c>
      <c r="G58" t="s">
        <v>7</v>
      </c>
    </row>
    <row r="59" spans="1:9" x14ac:dyDescent="0.25">
      <c r="A59" s="4">
        <v>55</v>
      </c>
      <c r="F59" t="s">
        <v>7</v>
      </c>
    </row>
    <row r="60" spans="1:9" x14ac:dyDescent="0.25">
      <c r="A60" s="4">
        <v>56</v>
      </c>
      <c r="B60" t="s">
        <v>7</v>
      </c>
      <c r="G60" t="s">
        <v>7</v>
      </c>
    </row>
  </sheetData>
  <conditionalFormatting sqref="B5:D11 G5:G11">
    <cfRule type="cellIs" dxfId="207" priority="17" operator="equal">
      <formula>"Energia"</formula>
    </cfRule>
  </conditionalFormatting>
  <conditionalFormatting sqref="B5:D60 G5:I60">
    <cfRule type="cellIs" dxfId="206" priority="10" operator="equal">
      <formula>"Energia"</formula>
    </cfRule>
    <cfRule type="cellIs" dxfId="205" priority="12" operator="equal">
      <formula>"Operação"</formula>
    </cfRule>
    <cfRule type="cellIs" dxfId="204" priority="13" operator="equal">
      <formula>"Chuva"</formula>
    </cfRule>
    <cfRule type="cellIs" dxfId="203" priority="14" operator="equal">
      <formula>"Elétrico"</formula>
    </cfRule>
    <cfRule type="cellIs" dxfId="202" priority="15" operator="equal">
      <formula>"Mecânico"</formula>
    </cfRule>
    <cfRule type="cellIs" dxfId="201" priority="16" operator="equal">
      <formula>"Ok"</formula>
    </cfRule>
  </conditionalFormatting>
  <conditionalFormatting sqref="B5:D60 G5:I60">
    <cfRule type="cellIs" dxfId="200" priority="11" operator="equal">
      <formula>"Feito"</formula>
    </cfRule>
  </conditionalFormatting>
  <conditionalFormatting sqref="K7">
    <cfRule type="iconSet" priority="9">
      <iconSet iconSet="3Arrows">
        <cfvo type="percent" val="0"/>
        <cfvo type="percent" val="33"/>
        <cfvo type="percent" val="67"/>
      </iconSet>
    </cfRule>
  </conditionalFormatting>
  <conditionalFormatting sqref="E5:F11">
    <cfRule type="cellIs" dxfId="199" priority="8" operator="equal">
      <formula>"Energia"</formula>
    </cfRule>
  </conditionalFormatting>
  <conditionalFormatting sqref="E5:F60">
    <cfRule type="cellIs" dxfId="198" priority="1" operator="equal">
      <formula>"Energia"</formula>
    </cfRule>
    <cfRule type="cellIs" dxfId="197" priority="3" operator="equal">
      <formula>"Operação"</formula>
    </cfRule>
    <cfRule type="cellIs" dxfId="196" priority="4" operator="equal">
      <formula>"Chuva"</formula>
    </cfRule>
    <cfRule type="cellIs" dxfId="195" priority="5" operator="equal">
      <formula>"Elétrico"</formula>
    </cfRule>
    <cfRule type="cellIs" dxfId="194" priority="6" operator="equal">
      <formula>"Mecânico"</formula>
    </cfRule>
    <cfRule type="cellIs" dxfId="193" priority="7" operator="equal">
      <formula>"Ok"</formula>
    </cfRule>
  </conditionalFormatting>
  <conditionalFormatting sqref="E5:F60">
    <cfRule type="cellIs" dxfId="192" priority="2" operator="equal">
      <formula>"Feito"</formula>
    </cfRule>
  </conditionalFormatting>
  <dataValidations count="1">
    <dataValidation type="list" allowBlank="1" showInputMessage="1" showErrorMessage="1" sqref="B5:J60" xr:uid="{DA2E99B4-7455-46AE-887A-7F371618639C}">
      <formula1>$K$5:$K$10</formula1>
    </dataValidation>
  </dataValidations>
  <pageMargins left="0.511811024" right="0.511811024" top="0.78740157499999996" bottom="0.78740157499999996" header="0.31496062000000002" footer="0.3149606200000000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0252AD-5E1D-480C-839F-9D669375B5D9}">
  <dimension ref="A3:L60"/>
  <sheetViews>
    <sheetView workbookViewId="0">
      <pane xSplit="1" topLeftCell="B1" activePane="topRight" state="frozen"/>
      <selection pane="topRight" activeCell="L5" sqref="L5:L10"/>
    </sheetView>
  </sheetViews>
  <sheetFormatPr defaultRowHeight="15" x14ac:dyDescent="0.25"/>
  <cols>
    <col min="2" max="2" width="10.42578125" customWidth="1"/>
    <col min="3" max="3" width="10.140625" bestFit="1" customWidth="1"/>
    <col min="4" max="5" width="10.85546875" customWidth="1"/>
    <col min="6" max="6" width="11.140625" customWidth="1"/>
    <col min="7" max="7" width="10.42578125" customWidth="1"/>
    <col min="8" max="8" width="9.85546875" customWidth="1"/>
    <col min="9" max="9" width="10.28515625" customWidth="1"/>
    <col min="11" max="11" width="11.140625" bestFit="1" customWidth="1"/>
  </cols>
  <sheetData>
    <row r="3" spans="1:12" x14ac:dyDescent="0.25">
      <c r="B3" s="3">
        <v>44380</v>
      </c>
      <c r="C3" s="3">
        <f>B3+1</f>
        <v>44381</v>
      </c>
      <c r="D3" s="3">
        <f t="shared" ref="D3:I3" si="0">C3+1</f>
        <v>44382</v>
      </c>
      <c r="E3" s="3">
        <f t="shared" si="0"/>
        <v>44383</v>
      </c>
      <c r="F3" s="3">
        <f t="shared" si="0"/>
        <v>44384</v>
      </c>
      <c r="G3" s="3">
        <f t="shared" si="0"/>
        <v>44385</v>
      </c>
      <c r="H3" s="3">
        <f t="shared" si="0"/>
        <v>44386</v>
      </c>
      <c r="I3" s="3">
        <f t="shared" si="0"/>
        <v>44387</v>
      </c>
    </row>
    <row r="4" spans="1:12" x14ac:dyDescent="0.25">
      <c r="A4" s="2" t="s">
        <v>0</v>
      </c>
      <c r="B4" s="1" t="str">
        <f>TEXT(B3,"ddd")</f>
        <v>sáb</v>
      </c>
      <c r="C4" s="1" t="str">
        <f t="shared" ref="C4:I4" si="1">TEXT(C3,"ddd")</f>
        <v>dom</v>
      </c>
      <c r="D4" s="1" t="str">
        <f t="shared" si="1"/>
        <v>seg</v>
      </c>
      <c r="E4" s="1" t="str">
        <f t="shared" si="1"/>
        <v>ter</v>
      </c>
      <c r="F4" s="1" t="str">
        <f t="shared" si="1"/>
        <v>qua</v>
      </c>
      <c r="G4" s="1" t="str">
        <f t="shared" si="1"/>
        <v>qui</v>
      </c>
      <c r="H4" s="1" t="str">
        <f t="shared" si="1"/>
        <v>sex</v>
      </c>
      <c r="I4" s="1" t="str">
        <f t="shared" si="1"/>
        <v>sáb</v>
      </c>
      <c r="K4" s="11" t="s">
        <v>1</v>
      </c>
    </row>
    <row r="5" spans="1:12" x14ac:dyDescent="0.25">
      <c r="A5" s="4">
        <v>1</v>
      </c>
      <c r="C5" t="s">
        <v>7</v>
      </c>
      <c r="F5" t="s">
        <v>7</v>
      </c>
      <c r="I5" t="s">
        <v>7</v>
      </c>
      <c r="K5" s="5" t="s">
        <v>7</v>
      </c>
      <c r="L5">
        <f>COUNTIF($B$5:$I$60,K5)</f>
        <v>80</v>
      </c>
    </row>
    <row r="6" spans="1:12" x14ac:dyDescent="0.25">
      <c r="A6" s="4">
        <v>2</v>
      </c>
      <c r="H6" t="s">
        <v>5</v>
      </c>
      <c r="K6" s="6" t="s">
        <v>2</v>
      </c>
      <c r="L6">
        <f t="shared" ref="L6:L10" si="2">COUNTIF($B$5:$I$60,K6)</f>
        <v>5</v>
      </c>
    </row>
    <row r="7" spans="1:12" x14ac:dyDescent="0.25">
      <c r="A7" s="4">
        <v>3</v>
      </c>
      <c r="F7" t="s">
        <v>5</v>
      </c>
      <c r="K7" s="7" t="s">
        <v>3</v>
      </c>
      <c r="L7">
        <f t="shared" si="2"/>
        <v>3</v>
      </c>
    </row>
    <row r="8" spans="1:12" x14ac:dyDescent="0.25">
      <c r="A8" s="4">
        <v>4</v>
      </c>
      <c r="D8" t="s">
        <v>7</v>
      </c>
      <c r="F8" t="s">
        <v>5</v>
      </c>
      <c r="G8" t="s">
        <v>7</v>
      </c>
      <c r="K8" s="8" t="s">
        <v>4</v>
      </c>
      <c r="L8">
        <f t="shared" si="2"/>
        <v>0</v>
      </c>
    </row>
    <row r="9" spans="1:12" x14ac:dyDescent="0.25">
      <c r="A9" s="4">
        <v>5</v>
      </c>
      <c r="C9" t="s">
        <v>7</v>
      </c>
      <c r="G9" t="s">
        <v>7</v>
      </c>
      <c r="K9" s="9" t="s">
        <v>6</v>
      </c>
      <c r="L9">
        <f t="shared" si="2"/>
        <v>0</v>
      </c>
    </row>
    <row r="10" spans="1:12" x14ac:dyDescent="0.25">
      <c r="A10" s="4">
        <v>6</v>
      </c>
      <c r="C10" t="s">
        <v>7</v>
      </c>
      <c r="G10" t="s">
        <v>5</v>
      </c>
      <c r="K10" s="10" t="s">
        <v>5</v>
      </c>
      <c r="L10">
        <f t="shared" si="2"/>
        <v>22</v>
      </c>
    </row>
    <row r="11" spans="1:12" x14ac:dyDescent="0.25">
      <c r="A11" s="4">
        <v>7</v>
      </c>
      <c r="B11" t="s">
        <v>7</v>
      </c>
      <c r="E11" t="s">
        <v>7</v>
      </c>
      <c r="H11" t="s">
        <v>7</v>
      </c>
      <c r="L11">
        <f>SUM(L5:L10)</f>
        <v>110</v>
      </c>
    </row>
    <row r="12" spans="1:12" x14ac:dyDescent="0.25">
      <c r="A12" s="4">
        <v>8</v>
      </c>
      <c r="D12" t="s">
        <v>7</v>
      </c>
      <c r="G12" t="s">
        <v>5</v>
      </c>
    </row>
    <row r="13" spans="1:12" x14ac:dyDescent="0.25">
      <c r="A13" s="4">
        <v>9</v>
      </c>
      <c r="C13" t="s">
        <v>7</v>
      </c>
      <c r="E13" t="s">
        <v>7</v>
      </c>
      <c r="G13" t="s">
        <v>5</v>
      </c>
      <c r="I13" t="s">
        <v>7</v>
      </c>
    </row>
    <row r="14" spans="1:12" x14ac:dyDescent="0.25">
      <c r="A14" s="4">
        <v>10</v>
      </c>
      <c r="B14" t="s">
        <v>7</v>
      </c>
      <c r="D14" t="s">
        <v>7</v>
      </c>
      <c r="E14" t="s">
        <v>7</v>
      </c>
      <c r="F14" t="s">
        <v>7</v>
      </c>
      <c r="H14" t="s">
        <v>7</v>
      </c>
    </row>
    <row r="15" spans="1:12" x14ac:dyDescent="0.25">
      <c r="A15" s="4">
        <v>11</v>
      </c>
      <c r="D15" t="s">
        <v>7</v>
      </c>
      <c r="E15" t="s">
        <v>2</v>
      </c>
      <c r="F15" t="s">
        <v>7</v>
      </c>
      <c r="I15" t="s">
        <v>7</v>
      </c>
    </row>
    <row r="16" spans="1:12" x14ac:dyDescent="0.25">
      <c r="A16" s="4">
        <v>12</v>
      </c>
      <c r="E16" t="s">
        <v>7</v>
      </c>
      <c r="G16" t="s">
        <v>7</v>
      </c>
    </row>
    <row r="17" spans="1:9" x14ac:dyDescent="0.25">
      <c r="A17" s="4">
        <v>13</v>
      </c>
      <c r="E17" t="s">
        <v>7</v>
      </c>
      <c r="H17" t="s">
        <v>7</v>
      </c>
    </row>
    <row r="18" spans="1:9" x14ac:dyDescent="0.25">
      <c r="A18" s="4">
        <v>14</v>
      </c>
      <c r="C18" t="s">
        <v>7</v>
      </c>
      <c r="F18" t="s">
        <v>7</v>
      </c>
      <c r="I18" t="s">
        <v>7</v>
      </c>
    </row>
    <row r="19" spans="1:9" x14ac:dyDescent="0.25">
      <c r="A19" s="4">
        <v>15</v>
      </c>
      <c r="F19" t="s">
        <v>5</v>
      </c>
    </row>
    <row r="20" spans="1:9" x14ac:dyDescent="0.25">
      <c r="A20" s="4">
        <v>16</v>
      </c>
    </row>
    <row r="21" spans="1:9" x14ac:dyDescent="0.25">
      <c r="A21" s="4">
        <v>17</v>
      </c>
      <c r="D21" t="s">
        <v>7</v>
      </c>
      <c r="I21" t="s">
        <v>7</v>
      </c>
    </row>
    <row r="22" spans="1:9" x14ac:dyDescent="0.25">
      <c r="A22" s="4">
        <v>18</v>
      </c>
    </row>
    <row r="23" spans="1:9" x14ac:dyDescent="0.25">
      <c r="A23" s="4">
        <v>19</v>
      </c>
      <c r="E23" t="s">
        <v>2</v>
      </c>
    </row>
    <row r="24" spans="1:9" x14ac:dyDescent="0.25">
      <c r="A24" s="4">
        <v>20</v>
      </c>
    </row>
    <row r="25" spans="1:9" x14ac:dyDescent="0.25">
      <c r="A25" s="4">
        <v>21</v>
      </c>
      <c r="G25" t="s">
        <v>5</v>
      </c>
    </row>
    <row r="26" spans="1:9" x14ac:dyDescent="0.25">
      <c r="A26" s="4">
        <v>22</v>
      </c>
    </row>
    <row r="27" spans="1:9" x14ac:dyDescent="0.25">
      <c r="A27" s="4">
        <v>23</v>
      </c>
      <c r="E27" t="s">
        <v>5</v>
      </c>
    </row>
    <row r="28" spans="1:9" x14ac:dyDescent="0.25">
      <c r="A28" s="4">
        <v>24</v>
      </c>
    </row>
    <row r="29" spans="1:9" x14ac:dyDescent="0.25">
      <c r="A29" s="4">
        <v>25</v>
      </c>
      <c r="B29" t="s">
        <v>7</v>
      </c>
      <c r="D29" t="s">
        <v>7</v>
      </c>
      <c r="E29" t="s">
        <v>5</v>
      </c>
      <c r="F29" t="s">
        <v>7</v>
      </c>
      <c r="G29" t="s">
        <v>7</v>
      </c>
      <c r="H29" t="s">
        <v>7</v>
      </c>
      <c r="I29" t="s">
        <v>7</v>
      </c>
    </row>
    <row r="30" spans="1:9" x14ac:dyDescent="0.25">
      <c r="A30" s="4">
        <v>26</v>
      </c>
    </row>
    <row r="31" spans="1:9" x14ac:dyDescent="0.25">
      <c r="A31" s="4">
        <v>27</v>
      </c>
      <c r="E31" t="s">
        <v>7</v>
      </c>
      <c r="I31" t="s">
        <v>7</v>
      </c>
    </row>
    <row r="32" spans="1:9" x14ac:dyDescent="0.25">
      <c r="A32" s="4">
        <v>28</v>
      </c>
    </row>
    <row r="33" spans="1:9" x14ac:dyDescent="0.25">
      <c r="A33" s="4">
        <v>29</v>
      </c>
      <c r="B33" t="s">
        <v>7</v>
      </c>
      <c r="D33" t="s">
        <v>7</v>
      </c>
      <c r="G33" t="s">
        <v>7</v>
      </c>
      <c r="I33" t="s">
        <v>7</v>
      </c>
    </row>
    <row r="34" spans="1:9" x14ac:dyDescent="0.25">
      <c r="A34" s="4">
        <v>30</v>
      </c>
      <c r="D34" t="s">
        <v>7</v>
      </c>
      <c r="F34" t="s">
        <v>7</v>
      </c>
      <c r="G34" t="s">
        <v>7</v>
      </c>
      <c r="H34" t="s">
        <v>7</v>
      </c>
    </row>
    <row r="35" spans="1:9" x14ac:dyDescent="0.25">
      <c r="A35" s="4">
        <v>31</v>
      </c>
      <c r="H35" t="s">
        <v>5</v>
      </c>
    </row>
    <row r="36" spans="1:9" x14ac:dyDescent="0.25">
      <c r="A36" s="4">
        <v>32</v>
      </c>
    </row>
    <row r="37" spans="1:9" x14ac:dyDescent="0.25">
      <c r="A37" s="4">
        <v>33</v>
      </c>
      <c r="F37" t="s">
        <v>5</v>
      </c>
      <c r="G37" t="s">
        <v>5</v>
      </c>
    </row>
    <row r="38" spans="1:9" x14ac:dyDescent="0.25">
      <c r="A38" s="4">
        <v>34</v>
      </c>
      <c r="D38" t="s">
        <v>7</v>
      </c>
      <c r="H38" t="s">
        <v>7</v>
      </c>
    </row>
    <row r="39" spans="1:9" x14ac:dyDescent="0.25">
      <c r="A39" s="4">
        <v>35</v>
      </c>
      <c r="C39" t="s">
        <v>7</v>
      </c>
      <c r="H39" t="s">
        <v>7</v>
      </c>
    </row>
    <row r="40" spans="1:9" x14ac:dyDescent="0.25">
      <c r="A40" s="4">
        <v>36</v>
      </c>
      <c r="F40" t="s">
        <v>7</v>
      </c>
      <c r="I40" t="s">
        <v>7</v>
      </c>
    </row>
    <row r="41" spans="1:9" x14ac:dyDescent="0.25">
      <c r="A41" s="4">
        <v>37</v>
      </c>
      <c r="D41" t="s">
        <v>7</v>
      </c>
      <c r="G41" t="s">
        <v>7</v>
      </c>
    </row>
    <row r="42" spans="1:9" x14ac:dyDescent="0.25">
      <c r="A42" s="4">
        <v>38</v>
      </c>
      <c r="E42" t="s">
        <v>7</v>
      </c>
      <c r="I42" t="s">
        <v>7</v>
      </c>
    </row>
    <row r="43" spans="1:9" x14ac:dyDescent="0.25">
      <c r="A43" s="4">
        <v>39</v>
      </c>
      <c r="E43" t="s">
        <v>5</v>
      </c>
      <c r="I43" t="s">
        <v>7</v>
      </c>
    </row>
    <row r="44" spans="1:9" x14ac:dyDescent="0.25">
      <c r="A44" s="4">
        <v>40</v>
      </c>
      <c r="F44" t="s">
        <v>3</v>
      </c>
    </row>
    <row r="45" spans="1:9" x14ac:dyDescent="0.25">
      <c r="A45" s="4">
        <v>41</v>
      </c>
    </row>
    <row r="46" spans="1:9" x14ac:dyDescent="0.25">
      <c r="A46" s="4">
        <v>42</v>
      </c>
      <c r="D46" t="s">
        <v>5</v>
      </c>
      <c r="H46" t="s">
        <v>5</v>
      </c>
    </row>
    <row r="47" spans="1:9" x14ac:dyDescent="0.25">
      <c r="A47" s="4">
        <v>43</v>
      </c>
    </row>
    <row r="48" spans="1:9" x14ac:dyDescent="0.25">
      <c r="A48" s="4">
        <v>44</v>
      </c>
      <c r="E48" t="s">
        <v>7</v>
      </c>
    </row>
    <row r="49" spans="1:9" x14ac:dyDescent="0.25">
      <c r="A49" s="4">
        <v>45</v>
      </c>
      <c r="E49" t="s">
        <v>7</v>
      </c>
      <c r="H49" t="s">
        <v>7</v>
      </c>
    </row>
    <row r="50" spans="1:9" x14ac:dyDescent="0.25">
      <c r="A50" s="4">
        <v>46</v>
      </c>
    </row>
    <row r="51" spans="1:9" x14ac:dyDescent="0.25">
      <c r="A51" s="4">
        <v>47</v>
      </c>
      <c r="D51" t="s">
        <v>7</v>
      </c>
      <c r="H51" t="s">
        <v>5</v>
      </c>
      <c r="I51" t="s">
        <v>3</v>
      </c>
    </row>
    <row r="52" spans="1:9" x14ac:dyDescent="0.25">
      <c r="A52" s="4">
        <v>48</v>
      </c>
      <c r="B52" t="s">
        <v>7</v>
      </c>
      <c r="C52" t="s">
        <v>7</v>
      </c>
      <c r="D52" t="s">
        <v>7</v>
      </c>
      <c r="E52" t="s">
        <v>2</v>
      </c>
      <c r="F52" t="s">
        <v>7</v>
      </c>
      <c r="G52" t="s">
        <v>2</v>
      </c>
      <c r="H52" t="s">
        <v>2</v>
      </c>
    </row>
    <row r="53" spans="1:9" x14ac:dyDescent="0.25">
      <c r="A53" s="4">
        <v>49</v>
      </c>
      <c r="B53" t="s">
        <v>7</v>
      </c>
      <c r="C53" t="s">
        <v>7</v>
      </c>
      <c r="D53" t="s">
        <v>7</v>
      </c>
      <c r="E53" t="s">
        <v>5</v>
      </c>
      <c r="F53" t="s">
        <v>5</v>
      </c>
      <c r="G53" t="s">
        <v>7</v>
      </c>
      <c r="H53" t="s">
        <v>7</v>
      </c>
      <c r="I53" t="s">
        <v>3</v>
      </c>
    </row>
    <row r="54" spans="1:9" x14ac:dyDescent="0.25">
      <c r="A54" s="4">
        <v>50</v>
      </c>
      <c r="C54" t="s">
        <v>7</v>
      </c>
      <c r="F54" t="s">
        <v>7</v>
      </c>
      <c r="I54" t="s">
        <v>7</v>
      </c>
    </row>
    <row r="55" spans="1:9" x14ac:dyDescent="0.25">
      <c r="A55" s="4">
        <v>51</v>
      </c>
    </row>
    <row r="56" spans="1:9" x14ac:dyDescent="0.25">
      <c r="A56" s="4">
        <v>52</v>
      </c>
      <c r="F56" t="s">
        <v>5</v>
      </c>
    </row>
    <row r="57" spans="1:9" x14ac:dyDescent="0.25">
      <c r="A57" s="4">
        <v>53</v>
      </c>
      <c r="B57" t="s">
        <v>7</v>
      </c>
    </row>
    <row r="58" spans="1:9" x14ac:dyDescent="0.25">
      <c r="A58" s="4">
        <v>54</v>
      </c>
      <c r="C58" t="s">
        <v>7</v>
      </c>
      <c r="G58" t="s">
        <v>7</v>
      </c>
    </row>
    <row r="59" spans="1:9" x14ac:dyDescent="0.25">
      <c r="A59" s="4">
        <v>55</v>
      </c>
      <c r="B59" t="s">
        <v>5</v>
      </c>
      <c r="F59" t="s">
        <v>7</v>
      </c>
    </row>
    <row r="60" spans="1:9" x14ac:dyDescent="0.25">
      <c r="A60" s="4">
        <v>56</v>
      </c>
      <c r="C60" t="s">
        <v>7</v>
      </c>
      <c r="G60" t="s">
        <v>5</v>
      </c>
    </row>
  </sheetData>
  <conditionalFormatting sqref="B5:D11 G5:G11">
    <cfRule type="cellIs" dxfId="191" priority="17" operator="equal">
      <formula>"Energia"</formula>
    </cfRule>
  </conditionalFormatting>
  <conditionalFormatting sqref="B5:D60 G5:I60">
    <cfRule type="cellIs" dxfId="190" priority="10" operator="equal">
      <formula>"Energia"</formula>
    </cfRule>
    <cfRule type="cellIs" dxfId="189" priority="12" operator="equal">
      <formula>"Operação"</formula>
    </cfRule>
    <cfRule type="cellIs" dxfId="188" priority="13" operator="equal">
      <formula>"Chuva"</formula>
    </cfRule>
    <cfRule type="cellIs" dxfId="187" priority="14" operator="equal">
      <formula>"Elétrico"</formula>
    </cfRule>
    <cfRule type="cellIs" dxfId="186" priority="15" operator="equal">
      <formula>"Mecânico"</formula>
    </cfRule>
    <cfRule type="cellIs" dxfId="185" priority="16" operator="equal">
      <formula>"Ok"</formula>
    </cfRule>
  </conditionalFormatting>
  <conditionalFormatting sqref="B5:D60 G5:I60">
    <cfRule type="cellIs" dxfId="184" priority="11" operator="equal">
      <formula>"Feito"</formula>
    </cfRule>
  </conditionalFormatting>
  <conditionalFormatting sqref="K7">
    <cfRule type="iconSet" priority="9">
      <iconSet iconSet="3Arrows">
        <cfvo type="percent" val="0"/>
        <cfvo type="percent" val="33"/>
        <cfvo type="percent" val="67"/>
      </iconSet>
    </cfRule>
  </conditionalFormatting>
  <conditionalFormatting sqref="E5:F11">
    <cfRule type="cellIs" dxfId="183" priority="8" operator="equal">
      <formula>"Energia"</formula>
    </cfRule>
  </conditionalFormatting>
  <conditionalFormatting sqref="E5:F60">
    <cfRule type="cellIs" dxfId="182" priority="1" operator="equal">
      <formula>"Energia"</formula>
    </cfRule>
    <cfRule type="cellIs" dxfId="181" priority="3" operator="equal">
      <formula>"Operação"</formula>
    </cfRule>
    <cfRule type="cellIs" dxfId="180" priority="4" operator="equal">
      <formula>"Chuva"</formula>
    </cfRule>
    <cfRule type="cellIs" dxfId="179" priority="5" operator="equal">
      <formula>"Elétrico"</formula>
    </cfRule>
    <cfRule type="cellIs" dxfId="178" priority="6" operator="equal">
      <formula>"Mecânico"</formula>
    </cfRule>
    <cfRule type="cellIs" dxfId="177" priority="7" operator="equal">
      <formula>"Ok"</formula>
    </cfRule>
  </conditionalFormatting>
  <conditionalFormatting sqref="E5:F60">
    <cfRule type="cellIs" dxfId="176" priority="2" operator="equal">
      <formula>"Feito"</formula>
    </cfRule>
  </conditionalFormatting>
  <dataValidations count="1">
    <dataValidation type="list" allowBlank="1" showInputMessage="1" showErrorMessage="1" sqref="B5:J60" xr:uid="{3010C0CF-86B3-4192-B657-9CF33FB0DC2E}">
      <formula1>$K$5:$K$10</formula1>
    </dataValidation>
  </dataValidations>
  <pageMargins left="0.511811024" right="0.511811024" top="0.78740157499999996" bottom="0.78740157499999996" header="0.31496062000000002" footer="0.3149606200000000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9DF9CB-7B2A-4AE1-A617-ADB8631A76E2}">
  <dimension ref="A3:L60"/>
  <sheetViews>
    <sheetView workbookViewId="0">
      <pane xSplit="1" topLeftCell="B1" activePane="topRight" state="frozen"/>
      <selection pane="topRight" activeCell="N8" sqref="N8"/>
    </sheetView>
  </sheetViews>
  <sheetFormatPr defaultRowHeight="15" x14ac:dyDescent="0.25"/>
  <cols>
    <col min="2" max="2" width="10.42578125" customWidth="1"/>
    <col min="3" max="3" width="10.140625" bestFit="1" customWidth="1"/>
    <col min="4" max="5" width="10.85546875" customWidth="1"/>
    <col min="6" max="6" width="11.140625" customWidth="1"/>
    <col min="7" max="7" width="10.42578125" customWidth="1"/>
    <col min="8" max="8" width="9.85546875" customWidth="1"/>
    <col min="9" max="9" width="10.28515625" customWidth="1"/>
    <col min="11" max="11" width="11.140625" bestFit="1" customWidth="1"/>
  </cols>
  <sheetData>
    <row r="3" spans="1:12" x14ac:dyDescent="0.25">
      <c r="B3" s="3">
        <v>44388</v>
      </c>
      <c r="C3" s="3">
        <f>B3+1</f>
        <v>44389</v>
      </c>
      <c r="D3" s="3">
        <f t="shared" ref="D3:I3" si="0">C3+1</f>
        <v>44390</v>
      </c>
      <c r="E3" s="3">
        <f t="shared" si="0"/>
        <v>44391</v>
      </c>
      <c r="F3" s="3">
        <f t="shared" si="0"/>
        <v>44392</v>
      </c>
      <c r="G3" s="3">
        <f t="shared" si="0"/>
        <v>44393</v>
      </c>
      <c r="H3" s="3">
        <f t="shared" si="0"/>
        <v>44394</v>
      </c>
      <c r="I3" s="3">
        <f t="shared" si="0"/>
        <v>44395</v>
      </c>
    </row>
    <row r="4" spans="1:12" x14ac:dyDescent="0.25">
      <c r="A4" s="2" t="s">
        <v>0</v>
      </c>
      <c r="B4" s="1" t="str">
        <f>TEXT(B3,"ddd")</f>
        <v>dom</v>
      </c>
      <c r="C4" s="1" t="str">
        <f t="shared" ref="C4:I4" si="1">TEXT(C3,"ddd")</f>
        <v>seg</v>
      </c>
      <c r="D4" s="1" t="str">
        <f t="shared" si="1"/>
        <v>ter</v>
      </c>
      <c r="E4" s="1" t="str">
        <f t="shared" si="1"/>
        <v>qua</v>
      </c>
      <c r="F4" s="1" t="str">
        <f t="shared" si="1"/>
        <v>qui</v>
      </c>
      <c r="G4" s="1" t="str">
        <f t="shared" si="1"/>
        <v>sex</v>
      </c>
      <c r="H4" s="1" t="str">
        <f t="shared" si="1"/>
        <v>sáb</v>
      </c>
      <c r="I4" s="1" t="str">
        <f t="shared" si="1"/>
        <v>dom</v>
      </c>
      <c r="K4" s="11" t="s">
        <v>1</v>
      </c>
    </row>
    <row r="5" spans="1:12" x14ac:dyDescent="0.25">
      <c r="A5" s="4">
        <v>1</v>
      </c>
      <c r="D5" t="s">
        <v>7</v>
      </c>
      <c r="G5" t="s">
        <v>7</v>
      </c>
      <c r="K5" s="5" t="s">
        <v>7</v>
      </c>
      <c r="L5">
        <f>COUNTIF($B$5:$I$60,K5)</f>
        <v>79</v>
      </c>
    </row>
    <row r="6" spans="1:12" x14ac:dyDescent="0.25">
      <c r="A6" s="4">
        <v>2</v>
      </c>
      <c r="D6" t="s">
        <v>5</v>
      </c>
      <c r="E6" t="s">
        <v>5</v>
      </c>
      <c r="F6" t="s">
        <v>5</v>
      </c>
      <c r="H6" t="s">
        <v>7</v>
      </c>
      <c r="I6" t="s">
        <v>7</v>
      </c>
      <c r="K6" s="6" t="s">
        <v>2</v>
      </c>
      <c r="L6">
        <f t="shared" ref="L6:L10" si="2">COUNTIF($B$5:$I$60,K6)</f>
        <v>7</v>
      </c>
    </row>
    <row r="7" spans="1:12" x14ac:dyDescent="0.25">
      <c r="A7" s="4">
        <v>3</v>
      </c>
      <c r="C7" t="s">
        <v>5</v>
      </c>
      <c r="E7" t="s">
        <v>5</v>
      </c>
      <c r="H7" t="s">
        <v>5</v>
      </c>
      <c r="K7" s="7" t="s">
        <v>3</v>
      </c>
      <c r="L7">
        <f t="shared" si="2"/>
        <v>3</v>
      </c>
    </row>
    <row r="8" spans="1:12" x14ac:dyDescent="0.25">
      <c r="A8" s="4">
        <v>4</v>
      </c>
      <c r="D8" t="s">
        <v>7</v>
      </c>
      <c r="K8" s="8" t="s">
        <v>4</v>
      </c>
      <c r="L8">
        <f t="shared" si="2"/>
        <v>0</v>
      </c>
    </row>
    <row r="9" spans="1:12" x14ac:dyDescent="0.25">
      <c r="A9" s="4">
        <v>5</v>
      </c>
      <c r="B9" t="s">
        <v>7</v>
      </c>
      <c r="E9" t="s">
        <v>7</v>
      </c>
      <c r="G9" t="s">
        <v>7</v>
      </c>
      <c r="I9" t="s">
        <v>7</v>
      </c>
      <c r="K9" s="9" t="s">
        <v>6</v>
      </c>
      <c r="L9">
        <f t="shared" si="2"/>
        <v>0</v>
      </c>
    </row>
    <row r="10" spans="1:12" x14ac:dyDescent="0.25">
      <c r="A10" s="4">
        <v>6</v>
      </c>
      <c r="B10" t="s">
        <v>7</v>
      </c>
      <c r="E10" t="s">
        <v>7</v>
      </c>
      <c r="G10" t="s">
        <v>2</v>
      </c>
      <c r="K10" s="10" t="s">
        <v>5</v>
      </c>
      <c r="L10">
        <f t="shared" si="2"/>
        <v>30</v>
      </c>
    </row>
    <row r="11" spans="1:12" x14ac:dyDescent="0.25">
      <c r="A11" s="4">
        <v>7</v>
      </c>
      <c r="D11" t="s">
        <v>7</v>
      </c>
      <c r="H11" t="s">
        <v>5</v>
      </c>
      <c r="L11">
        <f>SUM(L5:L10)</f>
        <v>119</v>
      </c>
    </row>
    <row r="12" spans="1:12" x14ac:dyDescent="0.25">
      <c r="A12" s="4">
        <v>8</v>
      </c>
      <c r="B12" t="s">
        <v>7</v>
      </c>
      <c r="F12" t="s">
        <v>7</v>
      </c>
    </row>
    <row r="13" spans="1:12" x14ac:dyDescent="0.25">
      <c r="A13" s="4">
        <v>9</v>
      </c>
      <c r="C13" t="s">
        <v>7</v>
      </c>
      <c r="E13" t="s">
        <v>7</v>
      </c>
      <c r="G13" t="s">
        <v>7</v>
      </c>
      <c r="H13" t="s">
        <v>7</v>
      </c>
    </row>
    <row r="14" spans="1:12" x14ac:dyDescent="0.25">
      <c r="A14" s="4">
        <v>10</v>
      </c>
      <c r="B14" t="s">
        <v>7</v>
      </c>
      <c r="D14" t="s">
        <v>7</v>
      </c>
      <c r="F14" t="s">
        <v>7</v>
      </c>
      <c r="I14" t="s">
        <v>7</v>
      </c>
    </row>
    <row r="15" spans="1:12" x14ac:dyDescent="0.25">
      <c r="A15" s="4">
        <v>11</v>
      </c>
      <c r="C15" t="s">
        <v>7</v>
      </c>
      <c r="E15" t="s">
        <v>7</v>
      </c>
      <c r="G15" t="s">
        <v>7</v>
      </c>
      <c r="H15" t="s">
        <v>7</v>
      </c>
    </row>
    <row r="16" spans="1:12" x14ac:dyDescent="0.25">
      <c r="A16" s="4">
        <v>12</v>
      </c>
      <c r="B16" t="s">
        <v>7</v>
      </c>
      <c r="C16" t="s">
        <v>5</v>
      </c>
      <c r="D16" t="s">
        <v>5</v>
      </c>
      <c r="E16" t="s">
        <v>7</v>
      </c>
      <c r="F16" t="s">
        <v>7</v>
      </c>
      <c r="H16" t="s">
        <v>7</v>
      </c>
    </row>
    <row r="17" spans="1:9" x14ac:dyDescent="0.25">
      <c r="A17" s="4">
        <v>13</v>
      </c>
      <c r="B17" t="s">
        <v>7</v>
      </c>
      <c r="E17" t="s">
        <v>7</v>
      </c>
      <c r="F17" t="s">
        <v>7</v>
      </c>
      <c r="H17" t="s">
        <v>7</v>
      </c>
      <c r="I17" t="s">
        <v>7</v>
      </c>
    </row>
    <row r="18" spans="1:9" x14ac:dyDescent="0.25">
      <c r="A18" s="4">
        <v>14</v>
      </c>
      <c r="C18" t="s">
        <v>5</v>
      </c>
      <c r="D18" t="s">
        <v>2</v>
      </c>
      <c r="E18" t="s">
        <v>7</v>
      </c>
      <c r="G18" t="s">
        <v>7</v>
      </c>
      <c r="I18" t="s">
        <v>7</v>
      </c>
    </row>
    <row r="19" spans="1:9" x14ac:dyDescent="0.25">
      <c r="A19" s="4">
        <v>15</v>
      </c>
      <c r="C19" t="s">
        <v>7</v>
      </c>
      <c r="H19" t="s">
        <v>7</v>
      </c>
    </row>
    <row r="20" spans="1:9" x14ac:dyDescent="0.25">
      <c r="A20" s="4">
        <v>16</v>
      </c>
    </row>
    <row r="21" spans="1:9" x14ac:dyDescent="0.25">
      <c r="A21" s="4">
        <v>17</v>
      </c>
    </row>
    <row r="22" spans="1:9" x14ac:dyDescent="0.25">
      <c r="A22" s="4">
        <v>18</v>
      </c>
    </row>
    <row r="23" spans="1:9" x14ac:dyDescent="0.25">
      <c r="A23" s="4">
        <v>19</v>
      </c>
      <c r="B23" t="s">
        <v>2</v>
      </c>
    </row>
    <row r="24" spans="1:9" x14ac:dyDescent="0.25">
      <c r="A24" s="4">
        <v>20</v>
      </c>
    </row>
    <row r="25" spans="1:9" x14ac:dyDescent="0.25">
      <c r="A25" s="4">
        <v>21</v>
      </c>
    </row>
    <row r="26" spans="1:9" x14ac:dyDescent="0.25">
      <c r="A26" s="4">
        <v>22</v>
      </c>
    </row>
    <row r="27" spans="1:9" x14ac:dyDescent="0.25">
      <c r="A27" s="4">
        <v>23</v>
      </c>
    </row>
    <row r="28" spans="1:9" x14ac:dyDescent="0.25">
      <c r="A28" s="4">
        <v>24</v>
      </c>
    </row>
    <row r="29" spans="1:9" x14ac:dyDescent="0.25">
      <c r="A29" s="4">
        <v>25</v>
      </c>
      <c r="B29" t="s">
        <v>7</v>
      </c>
      <c r="C29" t="s">
        <v>5</v>
      </c>
      <c r="D29" t="s">
        <v>7</v>
      </c>
      <c r="E29" t="s">
        <v>7</v>
      </c>
      <c r="F29" t="s">
        <v>7</v>
      </c>
      <c r="G29" t="s">
        <v>7</v>
      </c>
      <c r="H29" t="s">
        <v>7</v>
      </c>
      <c r="I29" t="s">
        <v>7</v>
      </c>
    </row>
    <row r="30" spans="1:9" x14ac:dyDescent="0.25">
      <c r="A30" s="4">
        <v>26</v>
      </c>
    </row>
    <row r="31" spans="1:9" x14ac:dyDescent="0.25">
      <c r="A31" s="4">
        <v>27</v>
      </c>
      <c r="E31" t="s">
        <v>7</v>
      </c>
      <c r="I31" t="s">
        <v>7</v>
      </c>
    </row>
    <row r="32" spans="1:9" x14ac:dyDescent="0.25">
      <c r="A32" s="4">
        <v>28</v>
      </c>
    </row>
    <row r="33" spans="1:9" x14ac:dyDescent="0.25">
      <c r="A33" s="4">
        <v>29</v>
      </c>
      <c r="D33" t="s">
        <v>7</v>
      </c>
      <c r="F33" t="s">
        <v>5</v>
      </c>
      <c r="G33" t="s">
        <v>7</v>
      </c>
      <c r="I33" t="s">
        <v>7</v>
      </c>
    </row>
    <row r="34" spans="1:9" x14ac:dyDescent="0.25">
      <c r="A34" s="4">
        <v>30</v>
      </c>
      <c r="B34" t="s">
        <v>7</v>
      </c>
      <c r="D34" t="s">
        <v>7</v>
      </c>
      <c r="F34" t="s">
        <v>2</v>
      </c>
      <c r="G34" t="s">
        <v>7</v>
      </c>
      <c r="I34" t="s">
        <v>7</v>
      </c>
    </row>
    <row r="35" spans="1:9" x14ac:dyDescent="0.25">
      <c r="A35" s="4">
        <v>31</v>
      </c>
      <c r="B35" t="s">
        <v>5</v>
      </c>
      <c r="E35" t="s">
        <v>5</v>
      </c>
      <c r="F35" t="s">
        <v>7</v>
      </c>
      <c r="G35" t="s">
        <v>5</v>
      </c>
      <c r="I35" t="s">
        <v>7</v>
      </c>
    </row>
    <row r="36" spans="1:9" x14ac:dyDescent="0.25">
      <c r="A36" s="4">
        <v>32</v>
      </c>
    </row>
    <row r="37" spans="1:9" x14ac:dyDescent="0.25">
      <c r="A37" s="4">
        <v>33</v>
      </c>
      <c r="B37" t="s">
        <v>7</v>
      </c>
      <c r="G37" t="s">
        <v>5</v>
      </c>
      <c r="I37" t="s">
        <v>5</v>
      </c>
    </row>
    <row r="38" spans="1:9" x14ac:dyDescent="0.25">
      <c r="A38" s="4">
        <v>34</v>
      </c>
      <c r="D38" t="s">
        <v>5</v>
      </c>
      <c r="H38" t="s">
        <v>2</v>
      </c>
    </row>
    <row r="39" spans="1:9" x14ac:dyDescent="0.25">
      <c r="A39" s="4">
        <v>35</v>
      </c>
      <c r="D39" t="s">
        <v>7</v>
      </c>
      <c r="H39" t="s">
        <v>7</v>
      </c>
    </row>
    <row r="40" spans="1:9" x14ac:dyDescent="0.25">
      <c r="A40" s="4">
        <v>36</v>
      </c>
      <c r="F40" t="s">
        <v>5</v>
      </c>
      <c r="G40" t="s">
        <v>5</v>
      </c>
    </row>
    <row r="41" spans="1:9" x14ac:dyDescent="0.25">
      <c r="A41" s="4">
        <v>37</v>
      </c>
      <c r="B41" t="s">
        <v>7</v>
      </c>
    </row>
    <row r="42" spans="1:9" x14ac:dyDescent="0.25">
      <c r="A42" s="4">
        <v>38</v>
      </c>
      <c r="F42" t="s">
        <v>7</v>
      </c>
    </row>
    <row r="43" spans="1:9" x14ac:dyDescent="0.25">
      <c r="A43" s="4">
        <v>39</v>
      </c>
      <c r="F43" t="s">
        <v>7</v>
      </c>
    </row>
    <row r="44" spans="1:9" x14ac:dyDescent="0.25">
      <c r="A44" s="4">
        <v>40</v>
      </c>
      <c r="B44" t="s">
        <v>7</v>
      </c>
      <c r="G44" t="s">
        <v>5</v>
      </c>
    </row>
    <row r="45" spans="1:9" x14ac:dyDescent="0.25">
      <c r="A45" s="4">
        <v>41</v>
      </c>
    </row>
    <row r="46" spans="1:9" x14ac:dyDescent="0.25">
      <c r="A46" s="4">
        <v>42</v>
      </c>
      <c r="E46" t="s">
        <v>7</v>
      </c>
    </row>
    <row r="47" spans="1:9" x14ac:dyDescent="0.25">
      <c r="A47" s="4">
        <v>43</v>
      </c>
    </row>
    <row r="48" spans="1:9" x14ac:dyDescent="0.25">
      <c r="A48" s="4">
        <v>44</v>
      </c>
      <c r="B48" t="s">
        <v>7</v>
      </c>
      <c r="F48" t="s">
        <v>7</v>
      </c>
    </row>
    <row r="49" spans="1:9" x14ac:dyDescent="0.25">
      <c r="A49" s="4">
        <v>45</v>
      </c>
      <c r="C49" t="s">
        <v>5</v>
      </c>
      <c r="H49" t="s">
        <v>7</v>
      </c>
    </row>
    <row r="50" spans="1:9" x14ac:dyDescent="0.25">
      <c r="A50" s="4">
        <v>46</v>
      </c>
      <c r="B50" t="s">
        <v>5</v>
      </c>
      <c r="C50" t="s">
        <v>5</v>
      </c>
      <c r="H50" t="s">
        <v>2</v>
      </c>
      <c r="I50" t="s">
        <v>2</v>
      </c>
    </row>
    <row r="51" spans="1:9" x14ac:dyDescent="0.25">
      <c r="A51" s="4">
        <v>47</v>
      </c>
      <c r="B51" t="s">
        <v>3</v>
      </c>
      <c r="D51" t="s">
        <v>7</v>
      </c>
      <c r="E51" t="s">
        <v>7</v>
      </c>
      <c r="F51" t="s">
        <v>7</v>
      </c>
      <c r="G51" t="s">
        <v>5</v>
      </c>
      <c r="H51" t="s">
        <v>5</v>
      </c>
      <c r="I51" t="s">
        <v>5</v>
      </c>
    </row>
    <row r="52" spans="1:9" x14ac:dyDescent="0.25">
      <c r="A52" s="4">
        <v>48</v>
      </c>
      <c r="B52" t="s">
        <v>3</v>
      </c>
      <c r="F52" t="s">
        <v>5</v>
      </c>
      <c r="G52" t="s">
        <v>7</v>
      </c>
    </row>
    <row r="53" spans="1:9" x14ac:dyDescent="0.25">
      <c r="A53" s="4">
        <v>49</v>
      </c>
      <c r="B53" t="s">
        <v>3</v>
      </c>
      <c r="C53" t="s">
        <v>7</v>
      </c>
      <c r="D53" t="s">
        <v>7</v>
      </c>
      <c r="E53" t="s">
        <v>7</v>
      </c>
      <c r="H53" t="s">
        <v>7</v>
      </c>
    </row>
    <row r="54" spans="1:9" x14ac:dyDescent="0.25">
      <c r="A54" s="4">
        <v>50</v>
      </c>
      <c r="D54" t="s">
        <v>7</v>
      </c>
      <c r="G54" t="s">
        <v>7</v>
      </c>
    </row>
    <row r="55" spans="1:9" x14ac:dyDescent="0.25">
      <c r="A55" s="4">
        <v>51</v>
      </c>
    </row>
    <row r="56" spans="1:9" x14ac:dyDescent="0.25">
      <c r="A56" s="4">
        <v>52</v>
      </c>
      <c r="C56" t="s">
        <v>5</v>
      </c>
    </row>
    <row r="57" spans="1:9" x14ac:dyDescent="0.25">
      <c r="A57" s="4">
        <v>53</v>
      </c>
    </row>
    <row r="58" spans="1:9" x14ac:dyDescent="0.25">
      <c r="A58" s="4">
        <v>54</v>
      </c>
    </row>
    <row r="59" spans="1:9" x14ac:dyDescent="0.25">
      <c r="A59" s="4">
        <v>55</v>
      </c>
      <c r="C59" t="s">
        <v>5</v>
      </c>
    </row>
    <row r="60" spans="1:9" x14ac:dyDescent="0.25">
      <c r="A60" s="4">
        <v>56</v>
      </c>
    </row>
  </sheetData>
  <conditionalFormatting sqref="B5:D11 G5:G11">
    <cfRule type="cellIs" dxfId="175" priority="17" operator="equal">
      <formula>"Energia"</formula>
    </cfRule>
  </conditionalFormatting>
  <conditionalFormatting sqref="B5:D60 G5:I60">
    <cfRule type="cellIs" dxfId="174" priority="10" operator="equal">
      <formula>"Energia"</formula>
    </cfRule>
    <cfRule type="cellIs" dxfId="173" priority="12" operator="equal">
      <formula>"Operação"</formula>
    </cfRule>
    <cfRule type="cellIs" dxfId="172" priority="13" operator="equal">
      <formula>"Chuva"</formula>
    </cfRule>
    <cfRule type="cellIs" dxfId="171" priority="14" operator="equal">
      <formula>"Elétrico"</formula>
    </cfRule>
    <cfRule type="cellIs" dxfId="170" priority="15" operator="equal">
      <formula>"Mecânico"</formula>
    </cfRule>
    <cfRule type="cellIs" dxfId="169" priority="16" operator="equal">
      <formula>"Ok"</formula>
    </cfRule>
  </conditionalFormatting>
  <conditionalFormatting sqref="B5:D60 G5:I60">
    <cfRule type="cellIs" dxfId="168" priority="11" operator="equal">
      <formula>"Feito"</formula>
    </cfRule>
  </conditionalFormatting>
  <conditionalFormatting sqref="K7">
    <cfRule type="iconSet" priority="9">
      <iconSet iconSet="3Arrows">
        <cfvo type="percent" val="0"/>
        <cfvo type="percent" val="33"/>
        <cfvo type="percent" val="67"/>
      </iconSet>
    </cfRule>
  </conditionalFormatting>
  <conditionalFormatting sqref="E5:F11">
    <cfRule type="cellIs" dxfId="167" priority="8" operator="equal">
      <formula>"Energia"</formula>
    </cfRule>
  </conditionalFormatting>
  <conditionalFormatting sqref="E5:F60">
    <cfRule type="cellIs" dxfId="166" priority="1" operator="equal">
      <formula>"Energia"</formula>
    </cfRule>
    <cfRule type="cellIs" dxfId="165" priority="3" operator="equal">
      <formula>"Operação"</formula>
    </cfRule>
    <cfRule type="cellIs" dxfId="164" priority="4" operator="equal">
      <formula>"Chuva"</formula>
    </cfRule>
    <cfRule type="cellIs" dxfId="163" priority="5" operator="equal">
      <formula>"Elétrico"</formula>
    </cfRule>
    <cfRule type="cellIs" dxfId="162" priority="6" operator="equal">
      <formula>"Mecânico"</formula>
    </cfRule>
    <cfRule type="cellIs" dxfId="161" priority="7" operator="equal">
      <formula>"Ok"</formula>
    </cfRule>
  </conditionalFormatting>
  <conditionalFormatting sqref="E5:F60">
    <cfRule type="cellIs" dxfId="160" priority="2" operator="equal">
      <formula>"Feito"</formula>
    </cfRule>
  </conditionalFormatting>
  <dataValidations count="1">
    <dataValidation type="list" allowBlank="1" showInputMessage="1" showErrorMessage="1" sqref="B5:J60" xr:uid="{76ACF2D4-E58F-4DD2-90E7-2ABA0CAF957D}">
      <formula1>$K$5:$K$10</formula1>
    </dataValidation>
  </dataValidations>
  <pageMargins left="0.511811024" right="0.511811024" top="0.78740157499999996" bottom="0.78740157499999996" header="0.31496062000000002" footer="0.3149606200000000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27B4B4-E766-42E7-8F99-863B38C98389}">
  <dimension ref="A3:L60"/>
  <sheetViews>
    <sheetView workbookViewId="0">
      <pane xSplit="1" topLeftCell="B1" activePane="topRight" state="frozen"/>
      <selection pane="topRight" activeCell="Q13" sqref="Q13"/>
    </sheetView>
  </sheetViews>
  <sheetFormatPr defaultRowHeight="15" x14ac:dyDescent="0.25"/>
  <cols>
    <col min="2" max="2" width="10.42578125" customWidth="1"/>
    <col min="3" max="3" width="10.140625" bestFit="1" customWidth="1"/>
    <col min="4" max="5" width="10.85546875" customWidth="1"/>
    <col min="6" max="6" width="11.140625" customWidth="1"/>
    <col min="7" max="7" width="10.42578125" customWidth="1"/>
    <col min="8" max="8" width="9.85546875" customWidth="1"/>
    <col min="9" max="9" width="10.28515625" customWidth="1"/>
    <col min="11" max="11" width="11.140625" bestFit="1" customWidth="1"/>
  </cols>
  <sheetData>
    <row r="3" spans="1:12" x14ac:dyDescent="0.25">
      <c r="B3" s="3">
        <v>44396</v>
      </c>
      <c r="C3" s="3">
        <f>B3+1</f>
        <v>44397</v>
      </c>
      <c r="D3" s="3">
        <f t="shared" ref="D3:I3" si="0">C3+1</f>
        <v>44398</v>
      </c>
      <c r="E3" s="3">
        <f t="shared" si="0"/>
        <v>44399</v>
      </c>
      <c r="F3" s="3">
        <f t="shared" si="0"/>
        <v>44400</v>
      </c>
      <c r="G3" s="3">
        <f t="shared" si="0"/>
        <v>44401</v>
      </c>
      <c r="H3" s="3">
        <f t="shared" si="0"/>
        <v>44402</v>
      </c>
      <c r="I3" s="3">
        <f t="shared" si="0"/>
        <v>44403</v>
      </c>
    </row>
    <row r="4" spans="1:12" x14ac:dyDescent="0.25">
      <c r="A4" s="2" t="s">
        <v>0</v>
      </c>
      <c r="B4" s="1" t="str">
        <f>TEXT(B3,"ddd")</f>
        <v>seg</v>
      </c>
      <c r="C4" s="1" t="str">
        <f t="shared" ref="C4:I4" si="1">TEXT(C3,"ddd")</f>
        <v>ter</v>
      </c>
      <c r="D4" s="1" t="str">
        <f t="shared" si="1"/>
        <v>qua</v>
      </c>
      <c r="E4" s="1" t="str">
        <f t="shared" si="1"/>
        <v>qui</v>
      </c>
      <c r="F4" s="1" t="str">
        <f t="shared" si="1"/>
        <v>sex</v>
      </c>
      <c r="G4" s="1" t="str">
        <f t="shared" si="1"/>
        <v>sáb</v>
      </c>
      <c r="H4" s="1" t="str">
        <f t="shared" si="1"/>
        <v>dom</v>
      </c>
      <c r="I4" s="1" t="str">
        <f t="shared" si="1"/>
        <v>seg</v>
      </c>
      <c r="K4" s="11" t="s">
        <v>1</v>
      </c>
    </row>
    <row r="5" spans="1:12" x14ac:dyDescent="0.25">
      <c r="A5" s="4">
        <v>1</v>
      </c>
      <c r="B5" t="s">
        <v>2</v>
      </c>
      <c r="K5" s="5" t="s">
        <v>7</v>
      </c>
      <c r="L5">
        <f>COUNTIF($B$5:$I$60,K5)</f>
        <v>92</v>
      </c>
    </row>
    <row r="6" spans="1:12" x14ac:dyDescent="0.25">
      <c r="A6" s="4">
        <v>2</v>
      </c>
      <c r="B6" t="s">
        <v>5</v>
      </c>
      <c r="C6" t="s">
        <v>7</v>
      </c>
      <c r="D6" t="s">
        <v>7</v>
      </c>
      <c r="E6" t="s">
        <v>7</v>
      </c>
      <c r="F6" t="s">
        <v>7</v>
      </c>
      <c r="G6" t="s">
        <v>7</v>
      </c>
      <c r="H6" t="s">
        <v>7</v>
      </c>
      <c r="K6" s="6" t="s">
        <v>2</v>
      </c>
      <c r="L6">
        <f t="shared" ref="L6:L10" si="2">COUNTIF($B$5:$I$60,K6)</f>
        <v>8</v>
      </c>
    </row>
    <row r="7" spans="1:12" x14ac:dyDescent="0.25">
      <c r="A7" s="4">
        <v>3</v>
      </c>
      <c r="C7" t="s">
        <v>5</v>
      </c>
      <c r="D7" t="s">
        <v>7</v>
      </c>
      <c r="E7" t="s">
        <v>7</v>
      </c>
      <c r="F7" t="s">
        <v>7</v>
      </c>
      <c r="G7" t="s">
        <v>7</v>
      </c>
      <c r="H7" t="s">
        <v>7</v>
      </c>
      <c r="I7" t="s">
        <v>7</v>
      </c>
      <c r="K7" s="7" t="s">
        <v>3</v>
      </c>
      <c r="L7">
        <f t="shared" si="2"/>
        <v>2</v>
      </c>
    </row>
    <row r="8" spans="1:12" x14ac:dyDescent="0.25">
      <c r="A8" s="4">
        <v>4</v>
      </c>
      <c r="C8" t="s">
        <v>7</v>
      </c>
      <c r="K8" s="8" t="s">
        <v>4</v>
      </c>
      <c r="L8">
        <f t="shared" si="2"/>
        <v>3</v>
      </c>
    </row>
    <row r="9" spans="1:12" x14ac:dyDescent="0.25">
      <c r="A9" s="4">
        <v>5</v>
      </c>
      <c r="E9" t="s">
        <v>5</v>
      </c>
      <c r="I9" t="s">
        <v>7</v>
      </c>
      <c r="K9" s="9" t="s">
        <v>6</v>
      </c>
      <c r="L9">
        <f t="shared" si="2"/>
        <v>0</v>
      </c>
    </row>
    <row r="10" spans="1:12" x14ac:dyDescent="0.25">
      <c r="A10" s="4">
        <v>6</v>
      </c>
      <c r="B10" t="s">
        <v>5</v>
      </c>
      <c r="D10" t="s">
        <v>7</v>
      </c>
      <c r="G10" t="s">
        <v>7</v>
      </c>
      <c r="K10" s="10" t="s">
        <v>5</v>
      </c>
      <c r="L10">
        <f t="shared" si="2"/>
        <v>20</v>
      </c>
    </row>
    <row r="11" spans="1:12" x14ac:dyDescent="0.25">
      <c r="A11" s="4">
        <v>7</v>
      </c>
      <c r="D11" t="s">
        <v>5</v>
      </c>
      <c r="H11" t="s">
        <v>7</v>
      </c>
      <c r="L11">
        <f>SUM(L5:L10)</f>
        <v>125</v>
      </c>
    </row>
    <row r="12" spans="1:12" x14ac:dyDescent="0.25">
      <c r="A12" s="4">
        <v>8</v>
      </c>
      <c r="B12" t="s">
        <v>7</v>
      </c>
      <c r="F12" t="s">
        <v>7</v>
      </c>
      <c r="I12" t="s">
        <v>7</v>
      </c>
    </row>
    <row r="13" spans="1:12" x14ac:dyDescent="0.25">
      <c r="A13" s="4">
        <v>9</v>
      </c>
      <c r="B13" t="s">
        <v>7</v>
      </c>
      <c r="E13" t="s">
        <v>7</v>
      </c>
      <c r="H13" t="s">
        <v>7</v>
      </c>
    </row>
    <row r="14" spans="1:12" x14ac:dyDescent="0.25">
      <c r="A14" s="4">
        <v>10</v>
      </c>
      <c r="C14" t="s">
        <v>7</v>
      </c>
      <c r="E14" t="s">
        <v>5</v>
      </c>
      <c r="G14" t="s">
        <v>7</v>
      </c>
    </row>
    <row r="15" spans="1:12" x14ac:dyDescent="0.25">
      <c r="A15" s="4">
        <v>11</v>
      </c>
      <c r="B15" t="s">
        <v>5</v>
      </c>
      <c r="C15" t="s">
        <v>7</v>
      </c>
      <c r="D15" t="s">
        <v>7</v>
      </c>
      <c r="F15" t="s">
        <v>7</v>
      </c>
      <c r="H15" t="s">
        <v>7</v>
      </c>
    </row>
    <row r="16" spans="1:12" x14ac:dyDescent="0.25">
      <c r="A16" s="4">
        <v>12</v>
      </c>
      <c r="B16" t="s">
        <v>7</v>
      </c>
      <c r="D16" t="s">
        <v>7</v>
      </c>
      <c r="F16" t="s">
        <v>7</v>
      </c>
      <c r="H16" t="s">
        <v>7</v>
      </c>
    </row>
    <row r="17" spans="1:9" x14ac:dyDescent="0.25">
      <c r="A17" s="4">
        <v>13</v>
      </c>
      <c r="B17" t="s">
        <v>7</v>
      </c>
      <c r="C17" t="s">
        <v>7</v>
      </c>
      <c r="D17" t="s">
        <v>7</v>
      </c>
      <c r="E17" t="s">
        <v>7</v>
      </c>
      <c r="F17" t="s">
        <v>7</v>
      </c>
      <c r="G17" t="s">
        <v>7</v>
      </c>
      <c r="H17" t="s">
        <v>7</v>
      </c>
      <c r="I17" t="s">
        <v>7</v>
      </c>
    </row>
    <row r="18" spans="1:9" x14ac:dyDescent="0.25">
      <c r="A18" s="4">
        <v>14</v>
      </c>
      <c r="B18" t="s">
        <v>5</v>
      </c>
      <c r="C18" t="s">
        <v>7</v>
      </c>
      <c r="D18" t="s">
        <v>2</v>
      </c>
      <c r="F18" t="s">
        <v>7</v>
      </c>
      <c r="H18" t="s">
        <v>7</v>
      </c>
      <c r="I18" t="s">
        <v>7</v>
      </c>
    </row>
    <row r="19" spans="1:9" x14ac:dyDescent="0.25">
      <c r="A19" s="4">
        <v>15</v>
      </c>
    </row>
    <row r="20" spans="1:9" x14ac:dyDescent="0.25">
      <c r="A20" s="4">
        <v>16</v>
      </c>
    </row>
    <row r="21" spans="1:9" x14ac:dyDescent="0.25">
      <c r="A21" s="4">
        <v>17</v>
      </c>
    </row>
    <row r="22" spans="1:9" x14ac:dyDescent="0.25">
      <c r="A22" s="4">
        <v>18</v>
      </c>
    </row>
    <row r="23" spans="1:9" x14ac:dyDescent="0.25">
      <c r="A23" s="4">
        <v>19</v>
      </c>
    </row>
    <row r="24" spans="1:9" x14ac:dyDescent="0.25">
      <c r="A24" s="4">
        <v>20</v>
      </c>
    </row>
    <row r="25" spans="1:9" x14ac:dyDescent="0.25">
      <c r="A25" s="4">
        <v>21</v>
      </c>
    </row>
    <row r="26" spans="1:9" x14ac:dyDescent="0.25">
      <c r="A26" s="4">
        <v>22</v>
      </c>
    </row>
    <row r="27" spans="1:9" x14ac:dyDescent="0.25">
      <c r="A27" s="4">
        <v>23</v>
      </c>
    </row>
    <row r="28" spans="1:9" x14ac:dyDescent="0.25">
      <c r="A28" s="4">
        <v>24</v>
      </c>
    </row>
    <row r="29" spans="1:9" x14ac:dyDescent="0.25">
      <c r="A29" s="4">
        <v>25</v>
      </c>
      <c r="B29" t="s">
        <v>7</v>
      </c>
      <c r="C29" t="s">
        <v>7</v>
      </c>
      <c r="D29" t="s">
        <v>7</v>
      </c>
      <c r="E29" t="s">
        <v>7</v>
      </c>
      <c r="F29" t="s">
        <v>7</v>
      </c>
      <c r="G29" t="s">
        <v>7</v>
      </c>
      <c r="H29" t="s">
        <v>7</v>
      </c>
      <c r="I29" t="s">
        <v>7</v>
      </c>
    </row>
    <row r="30" spans="1:9" x14ac:dyDescent="0.25">
      <c r="A30" s="4">
        <v>26</v>
      </c>
    </row>
    <row r="31" spans="1:9" x14ac:dyDescent="0.25">
      <c r="A31" s="4">
        <v>27</v>
      </c>
      <c r="E31" t="s">
        <v>7</v>
      </c>
    </row>
    <row r="32" spans="1:9" x14ac:dyDescent="0.25">
      <c r="A32" s="4">
        <v>28</v>
      </c>
    </row>
    <row r="33" spans="1:9" x14ac:dyDescent="0.25">
      <c r="A33" s="4">
        <v>29</v>
      </c>
      <c r="C33" t="s">
        <v>7</v>
      </c>
      <c r="D33" t="s">
        <v>7</v>
      </c>
      <c r="E33" t="s">
        <v>7</v>
      </c>
      <c r="F33" t="s">
        <v>7</v>
      </c>
      <c r="G33" t="s">
        <v>7</v>
      </c>
      <c r="H33" t="s">
        <v>7</v>
      </c>
      <c r="I33" t="s">
        <v>7</v>
      </c>
    </row>
    <row r="34" spans="1:9" x14ac:dyDescent="0.25">
      <c r="A34" s="4">
        <v>30</v>
      </c>
      <c r="C34" t="s">
        <v>7</v>
      </c>
      <c r="E34" t="s">
        <v>5</v>
      </c>
      <c r="F34" t="s">
        <v>7</v>
      </c>
      <c r="G34" t="s">
        <v>7</v>
      </c>
      <c r="H34" t="s">
        <v>7</v>
      </c>
      <c r="I34" t="s">
        <v>7</v>
      </c>
    </row>
    <row r="35" spans="1:9" x14ac:dyDescent="0.25">
      <c r="A35" s="4">
        <v>31</v>
      </c>
      <c r="B35" t="s">
        <v>7</v>
      </c>
      <c r="C35" t="s">
        <v>5</v>
      </c>
      <c r="D35" t="s">
        <v>7</v>
      </c>
      <c r="E35" t="s">
        <v>7</v>
      </c>
      <c r="F35" t="s">
        <v>7</v>
      </c>
      <c r="G35" t="s">
        <v>7</v>
      </c>
      <c r="H35" t="s">
        <v>7</v>
      </c>
      <c r="I35" t="s">
        <v>2</v>
      </c>
    </row>
    <row r="36" spans="1:9" x14ac:dyDescent="0.25">
      <c r="A36" s="4">
        <v>32</v>
      </c>
    </row>
    <row r="37" spans="1:9" x14ac:dyDescent="0.25">
      <c r="A37" s="4">
        <v>33</v>
      </c>
      <c r="C37" t="s">
        <v>5</v>
      </c>
      <c r="D37" t="s">
        <v>5</v>
      </c>
      <c r="E37" t="s">
        <v>5</v>
      </c>
      <c r="F37" t="s">
        <v>5</v>
      </c>
      <c r="G37" t="s">
        <v>2</v>
      </c>
      <c r="H37" t="s">
        <v>7</v>
      </c>
      <c r="I37" t="s">
        <v>7</v>
      </c>
    </row>
    <row r="38" spans="1:9" x14ac:dyDescent="0.25">
      <c r="A38" s="4">
        <v>34</v>
      </c>
      <c r="D38" t="s">
        <v>3</v>
      </c>
      <c r="E38" t="s">
        <v>3</v>
      </c>
      <c r="G38" t="s">
        <v>7</v>
      </c>
    </row>
    <row r="39" spans="1:9" x14ac:dyDescent="0.25">
      <c r="A39" s="4">
        <v>35</v>
      </c>
      <c r="D39" t="s">
        <v>5</v>
      </c>
      <c r="H39" t="s">
        <v>7</v>
      </c>
    </row>
    <row r="40" spans="1:9" x14ac:dyDescent="0.25">
      <c r="A40" s="4">
        <v>36</v>
      </c>
      <c r="B40" t="s">
        <v>7</v>
      </c>
      <c r="F40" t="s">
        <v>2</v>
      </c>
      <c r="I40" t="s">
        <v>2</v>
      </c>
    </row>
    <row r="41" spans="1:9" x14ac:dyDescent="0.25">
      <c r="A41" s="4">
        <v>37</v>
      </c>
      <c r="D41" t="s">
        <v>5</v>
      </c>
    </row>
    <row r="42" spans="1:9" x14ac:dyDescent="0.25">
      <c r="A42" s="4">
        <v>38</v>
      </c>
    </row>
    <row r="43" spans="1:9" x14ac:dyDescent="0.25">
      <c r="A43" s="4">
        <v>39</v>
      </c>
    </row>
    <row r="44" spans="1:9" x14ac:dyDescent="0.25">
      <c r="A44" s="4">
        <v>40</v>
      </c>
    </row>
    <row r="45" spans="1:9" x14ac:dyDescent="0.25">
      <c r="A45" s="4">
        <v>41</v>
      </c>
    </row>
    <row r="46" spans="1:9" x14ac:dyDescent="0.25">
      <c r="A46" s="4">
        <v>42</v>
      </c>
    </row>
    <row r="47" spans="1:9" x14ac:dyDescent="0.25">
      <c r="A47" s="4">
        <v>43</v>
      </c>
    </row>
    <row r="48" spans="1:9" x14ac:dyDescent="0.25">
      <c r="A48" s="4">
        <v>44</v>
      </c>
      <c r="B48" t="s">
        <v>7</v>
      </c>
    </row>
    <row r="49" spans="1:9" x14ac:dyDescent="0.25">
      <c r="A49" s="4">
        <v>45</v>
      </c>
      <c r="C49" t="s">
        <v>4</v>
      </c>
    </row>
    <row r="50" spans="1:9" x14ac:dyDescent="0.25">
      <c r="A50" s="4">
        <v>46</v>
      </c>
      <c r="C50" t="s">
        <v>2</v>
      </c>
      <c r="D50" t="s">
        <v>2</v>
      </c>
      <c r="E50" t="s">
        <v>7</v>
      </c>
      <c r="F50" t="s">
        <v>5</v>
      </c>
      <c r="G50" t="s">
        <v>7</v>
      </c>
      <c r="H50" t="s">
        <v>7</v>
      </c>
      <c r="I50" t="s">
        <v>7</v>
      </c>
    </row>
    <row r="51" spans="1:9" x14ac:dyDescent="0.25">
      <c r="A51" s="4">
        <v>47</v>
      </c>
      <c r="B51" t="s">
        <v>5</v>
      </c>
      <c r="C51" t="s">
        <v>4</v>
      </c>
      <c r="D51" t="s">
        <v>7</v>
      </c>
      <c r="E51" t="s">
        <v>7</v>
      </c>
      <c r="H51" t="s">
        <v>7</v>
      </c>
    </row>
    <row r="52" spans="1:9" x14ac:dyDescent="0.25">
      <c r="A52" s="4">
        <v>48</v>
      </c>
      <c r="B52" t="s">
        <v>7</v>
      </c>
      <c r="F52" t="s">
        <v>7</v>
      </c>
    </row>
    <row r="53" spans="1:9" x14ac:dyDescent="0.25">
      <c r="A53" s="4">
        <v>49</v>
      </c>
      <c r="B53" t="s">
        <v>7</v>
      </c>
      <c r="C53" t="s">
        <v>4</v>
      </c>
      <c r="D53" t="s">
        <v>7</v>
      </c>
      <c r="G53" t="s">
        <v>7</v>
      </c>
    </row>
    <row r="54" spans="1:9" x14ac:dyDescent="0.25">
      <c r="A54" s="4">
        <v>50</v>
      </c>
      <c r="B54" t="s">
        <v>7</v>
      </c>
      <c r="E54" t="s">
        <v>5</v>
      </c>
      <c r="H54" t="s">
        <v>7</v>
      </c>
    </row>
    <row r="55" spans="1:9" x14ac:dyDescent="0.25">
      <c r="A55" s="4">
        <v>51</v>
      </c>
    </row>
    <row r="56" spans="1:9" x14ac:dyDescent="0.25">
      <c r="A56" s="4">
        <v>52</v>
      </c>
      <c r="F56" t="s">
        <v>5</v>
      </c>
    </row>
    <row r="57" spans="1:9" x14ac:dyDescent="0.25">
      <c r="A57" s="4">
        <v>53</v>
      </c>
    </row>
    <row r="58" spans="1:9" x14ac:dyDescent="0.25">
      <c r="A58" s="4">
        <v>54</v>
      </c>
    </row>
    <row r="59" spans="1:9" x14ac:dyDescent="0.25">
      <c r="A59" s="4">
        <v>55</v>
      </c>
    </row>
    <row r="60" spans="1:9" x14ac:dyDescent="0.25">
      <c r="A60" s="4">
        <v>56</v>
      </c>
    </row>
  </sheetData>
  <conditionalFormatting sqref="B5:D11 G5:G11">
    <cfRule type="cellIs" dxfId="159" priority="17" operator="equal">
      <formula>"Energia"</formula>
    </cfRule>
  </conditionalFormatting>
  <conditionalFormatting sqref="B5:D60 G5:I60">
    <cfRule type="cellIs" dxfId="158" priority="10" operator="equal">
      <formula>"Energia"</formula>
    </cfRule>
    <cfRule type="cellIs" dxfId="157" priority="12" operator="equal">
      <formula>"Operação"</formula>
    </cfRule>
    <cfRule type="cellIs" dxfId="156" priority="13" operator="equal">
      <formula>"Chuva"</formula>
    </cfRule>
    <cfRule type="cellIs" dxfId="155" priority="14" operator="equal">
      <formula>"Elétrico"</formula>
    </cfRule>
    <cfRule type="cellIs" dxfId="154" priority="15" operator="equal">
      <formula>"Mecânico"</formula>
    </cfRule>
    <cfRule type="cellIs" dxfId="153" priority="16" operator="equal">
      <formula>"Ok"</formula>
    </cfRule>
  </conditionalFormatting>
  <conditionalFormatting sqref="B5:D60 G5:I60">
    <cfRule type="cellIs" dxfId="152" priority="11" operator="equal">
      <formula>"Feito"</formula>
    </cfRule>
  </conditionalFormatting>
  <conditionalFormatting sqref="K7">
    <cfRule type="iconSet" priority="9">
      <iconSet iconSet="3Arrows">
        <cfvo type="percent" val="0"/>
        <cfvo type="percent" val="33"/>
        <cfvo type="percent" val="67"/>
      </iconSet>
    </cfRule>
  </conditionalFormatting>
  <conditionalFormatting sqref="E5:F11">
    <cfRule type="cellIs" dxfId="151" priority="8" operator="equal">
      <formula>"Energia"</formula>
    </cfRule>
  </conditionalFormatting>
  <conditionalFormatting sqref="E5:F60">
    <cfRule type="cellIs" dxfId="150" priority="1" operator="equal">
      <formula>"Energia"</formula>
    </cfRule>
    <cfRule type="cellIs" dxfId="149" priority="3" operator="equal">
      <formula>"Operação"</formula>
    </cfRule>
    <cfRule type="cellIs" dxfId="148" priority="4" operator="equal">
      <formula>"Chuva"</formula>
    </cfRule>
    <cfRule type="cellIs" dxfId="147" priority="5" operator="equal">
      <formula>"Elétrico"</formula>
    </cfRule>
    <cfRule type="cellIs" dxfId="146" priority="6" operator="equal">
      <formula>"Mecânico"</formula>
    </cfRule>
    <cfRule type="cellIs" dxfId="145" priority="7" operator="equal">
      <formula>"Ok"</formula>
    </cfRule>
  </conditionalFormatting>
  <conditionalFormatting sqref="E5:F60">
    <cfRule type="cellIs" dxfId="144" priority="2" operator="equal">
      <formula>"Feito"</formula>
    </cfRule>
  </conditionalFormatting>
  <dataValidations count="1">
    <dataValidation type="list" allowBlank="1" showInputMessage="1" showErrorMessage="1" sqref="B5:J60" xr:uid="{A3DF2FA6-390F-4B90-B989-04DE16BA0CF8}">
      <formula1>$K$5:$K$10</formula1>
    </dataValidation>
  </dataValidations>
  <pageMargins left="0.511811024" right="0.511811024" top="0.78740157499999996" bottom="0.78740157499999996" header="0.31496062000000002" footer="0.3149606200000000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E9D7EB-00F0-4775-A411-ABA17A4E5C65}">
  <dimension ref="A3:L60"/>
  <sheetViews>
    <sheetView workbookViewId="0">
      <pane xSplit="1" topLeftCell="B1" activePane="topRight" state="frozen"/>
      <selection pane="topRight" activeCell="L10" sqref="L10"/>
    </sheetView>
  </sheetViews>
  <sheetFormatPr defaultRowHeight="15" x14ac:dyDescent="0.25"/>
  <cols>
    <col min="2" max="2" width="10.42578125" customWidth="1"/>
    <col min="3" max="3" width="10.140625" bestFit="1" customWidth="1"/>
    <col min="4" max="5" width="10.85546875" customWidth="1"/>
    <col min="6" max="6" width="11.140625" customWidth="1"/>
    <col min="7" max="7" width="10.42578125" customWidth="1"/>
    <col min="8" max="8" width="9.85546875" customWidth="1"/>
    <col min="9" max="9" width="10.28515625" customWidth="1"/>
    <col min="11" max="11" width="11.140625" bestFit="1" customWidth="1"/>
  </cols>
  <sheetData>
    <row r="3" spans="1:12" x14ac:dyDescent="0.25">
      <c r="B3" s="3">
        <v>44404</v>
      </c>
      <c r="C3" s="3">
        <f>B3+1</f>
        <v>44405</v>
      </c>
      <c r="D3" s="3">
        <f t="shared" ref="D3:I3" si="0">C3+1</f>
        <v>44406</v>
      </c>
      <c r="E3" s="3">
        <f t="shared" si="0"/>
        <v>44407</v>
      </c>
      <c r="F3" s="3">
        <f t="shared" si="0"/>
        <v>44408</v>
      </c>
      <c r="G3" s="3">
        <f t="shared" si="0"/>
        <v>44409</v>
      </c>
      <c r="H3" s="3">
        <f t="shared" si="0"/>
        <v>44410</v>
      </c>
      <c r="I3" s="3">
        <f t="shared" si="0"/>
        <v>44411</v>
      </c>
    </row>
    <row r="4" spans="1:12" x14ac:dyDescent="0.25">
      <c r="A4" s="2" t="s">
        <v>0</v>
      </c>
      <c r="B4" s="1" t="str">
        <f>TEXT(B3,"ddd")</f>
        <v>ter</v>
      </c>
      <c r="C4" s="1" t="str">
        <f t="shared" ref="C4:I4" si="1">TEXT(C3,"ddd")</f>
        <v>qua</v>
      </c>
      <c r="D4" s="1" t="str">
        <f t="shared" si="1"/>
        <v>qui</v>
      </c>
      <c r="E4" s="1" t="str">
        <f t="shared" si="1"/>
        <v>sex</v>
      </c>
      <c r="F4" s="1" t="str">
        <f t="shared" si="1"/>
        <v>sáb</v>
      </c>
      <c r="G4" s="1" t="str">
        <f t="shared" si="1"/>
        <v>dom</v>
      </c>
      <c r="H4" s="1" t="str">
        <f t="shared" si="1"/>
        <v>seg</v>
      </c>
      <c r="I4" s="1" t="str">
        <f t="shared" si="1"/>
        <v>ter</v>
      </c>
      <c r="K4" s="11" t="s">
        <v>1</v>
      </c>
    </row>
    <row r="5" spans="1:12" x14ac:dyDescent="0.25">
      <c r="A5" s="4">
        <v>1</v>
      </c>
      <c r="K5" s="5" t="s">
        <v>7</v>
      </c>
      <c r="L5">
        <f>COUNTIF($B$5:$I$60,K5)</f>
        <v>83</v>
      </c>
    </row>
    <row r="6" spans="1:12" x14ac:dyDescent="0.25">
      <c r="A6" s="4">
        <v>2</v>
      </c>
      <c r="C6" t="s">
        <v>7</v>
      </c>
      <c r="F6" t="s">
        <v>7</v>
      </c>
      <c r="H6" t="s">
        <v>7</v>
      </c>
      <c r="K6" s="6" t="s">
        <v>2</v>
      </c>
      <c r="L6">
        <f t="shared" ref="L6:L10" si="2">COUNTIF($B$5:$I$60,K6)</f>
        <v>2</v>
      </c>
    </row>
    <row r="7" spans="1:12" x14ac:dyDescent="0.25">
      <c r="A7" s="4">
        <v>3</v>
      </c>
      <c r="D7" t="s">
        <v>7</v>
      </c>
      <c r="F7" t="s">
        <v>7</v>
      </c>
      <c r="H7" t="s">
        <v>7</v>
      </c>
      <c r="K7" s="7" t="s">
        <v>3</v>
      </c>
      <c r="L7">
        <f t="shared" si="2"/>
        <v>0</v>
      </c>
    </row>
    <row r="8" spans="1:12" x14ac:dyDescent="0.25">
      <c r="A8" s="4">
        <v>4</v>
      </c>
      <c r="D8" t="s">
        <v>7</v>
      </c>
      <c r="F8" t="s">
        <v>7</v>
      </c>
      <c r="I8" t="s">
        <v>5</v>
      </c>
      <c r="K8" s="8" t="s">
        <v>4</v>
      </c>
      <c r="L8">
        <f t="shared" si="2"/>
        <v>0</v>
      </c>
    </row>
    <row r="9" spans="1:12" x14ac:dyDescent="0.25">
      <c r="A9" s="4">
        <v>5</v>
      </c>
      <c r="E9" t="s">
        <v>7</v>
      </c>
      <c r="K9" s="9" t="s">
        <v>6</v>
      </c>
      <c r="L9">
        <f t="shared" si="2"/>
        <v>0</v>
      </c>
    </row>
    <row r="10" spans="1:12" x14ac:dyDescent="0.25">
      <c r="A10" s="4">
        <v>6</v>
      </c>
      <c r="D10" t="s">
        <v>5</v>
      </c>
      <c r="E10" t="s">
        <v>5</v>
      </c>
      <c r="K10" s="10" t="s">
        <v>5</v>
      </c>
      <c r="L10">
        <f t="shared" si="2"/>
        <v>18</v>
      </c>
    </row>
    <row r="11" spans="1:12" x14ac:dyDescent="0.25">
      <c r="A11" s="4">
        <v>7</v>
      </c>
      <c r="D11" t="s">
        <v>5</v>
      </c>
      <c r="G11" t="s">
        <v>7</v>
      </c>
      <c r="L11">
        <f>SUM(L5:L10)</f>
        <v>103</v>
      </c>
    </row>
    <row r="12" spans="1:12" x14ac:dyDescent="0.25">
      <c r="A12" s="4">
        <v>8</v>
      </c>
      <c r="D12" t="s">
        <v>7</v>
      </c>
      <c r="G12" t="s">
        <v>7</v>
      </c>
    </row>
    <row r="13" spans="1:12" x14ac:dyDescent="0.25">
      <c r="A13" s="4">
        <v>9</v>
      </c>
      <c r="C13" t="s">
        <v>5</v>
      </c>
      <c r="F13" t="s">
        <v>7</v>
      </c>
    </row>
    <row r="14" spans="1:12" x14ac:dyDescent="0.25">
      <c r="A14" s="4">
        <v>10</v>
      </c>
      <c r="B14" t="s">
        <v>7</v>
      </c>
      <c r="E14" t="s">
        <v>7</v>
      </c>
      <c r="H14" t="s">
        <v>7</v>
      </c>
    </row>
    <row r="15" spans="1:12" x14ac:dyDescent="0.25">
      <c r="A15" s="4">
        <v>11</v>
      </c>
      <c r="B15" t="s">
        <v>5</v>
      </c>
      <c r="D15" t="s">
        <v>5</v>
      </c>
      <c r="F15" t="s">
        <v>7</v>
      </c>
      <c r="H15" t="s">
        <v>5</v>
      </c>
    </row>
    <row r="16" spans="1:12" x14ac:dyDescent="0.25">
      <c r="A16" s="4">
        <v>12</v>
      </c>
      <c r="B16" t="s">
        <v>7</v>
      </c>
      <c r="D16" t="s">
        <v>5</v>
      </c>
      <c r="F16" t="s">
        <v>7</v>
      </c>
      <c r="H16" t="s">
        <v>7</v>
      </c>
    </row>
    <row r="17" spans="1:9" x14ac:dyDescent="0.25">
      <c r="A17" s="4">
        <v>13</v>
      </c>
      <c r="B17" t="s">
        <v>7</v>
      </c>
      <c r="C17" t="s">
        <v>7</v>
      </c>
      <c r="D17" t="s">
        <v>7</v>
      </c>
      <c r="E17" t="s">
        <v>7</v>
      </c>
      <c r="F17" t="s">
        <v>7</v>
      </c>
      <c r="G17" t="s">
        <v>7</v>
      </c>
      <c r="I17" t="s">
        <v>7</v>
      </c>
    </row>
    <row r="18" spans="1:9" x14ac:dyDescent="0.25">
      <c r="A18" s="4">
        <v>14</v>
      </c>
      <c r="B18" t="s">
        <v>7</v>
      </c>
      <c r="C18" t="s">
        <v>5</v>
      </c>
      <c r="E18" t="s">
        <v>7</v>
      </c>
      <c r="G18" t="s">
        <v>7</v>
      </c>
      <c r="I18" t="s">
        <v>7</v>
      </c>
    </row>
    <row r="19" spans="1:9" x14ac:dyDescent="0.25">
      <c r="A19" s="4">
        <v>15</v>
      </c>
    </row>
    <row r="20" spans="1:9" x14ac:dyDescent="0.25">
      <c r="A20" s="4">
        <v>16</v>
      </c>
    </row>
    <row r="21" spans="1:9" x14ac:dyDescent="0.25">
      <c r="A21" s="4">
        <v>17</v>
      </c>
    </row>
    <row r="22" spans="1:9" x14ac:dyDescent="0.25">
      <c r="A22" s="4">
        <v>18</v>
      </c>
    </row>
    <row r="23" spans="1:9" x14ac:dyDescent="0.25">
      <c r="A23" s="4">
        <v>19</v>
      </c>
    </row>
    <row r="24" spans="1:9" x14ac:dyDescent="0.25">
      <c r="A24" s="4">
        <v>20</v>
      </c>
    </row>
    <row r="25" spans="1:9" x14ac:dyDescent="0.25">
      <c r="A25" s="4">
        <v>21</v>
      </c>
    </row>
    <row r="26" spans="1:9" x14ac:dyDescent="0.25">
      <c r="A26" s="4">
        <v>22</v>
      </c>
    </row>
    <row r="27" spans="1:9" x14ac:dyDescent="0.25">
      <c r="A27" s="4">
        <v>23</v>
      </c>
    </row>
    <row r="28" spans="1:9" x14ac:dyDescent="0.25">
      <c r="A28" s="4">
        <v>24</v>
      </c>
    </row>
    <row r="29" spans="1:9" x14ac:dyDescent="0.25">
      <c r="A29" s="4">
        <v>25</v>
      </c>
      <c r="B29" t="s">
        <v>7</v>
      </c>
      <c r="C29" t="s">
        <v>7</v>
      </c>
      <c r="D29" t="s">
        <v>7</v>
      </c>
      <c r="E29" t="s">
        <v>7</v>
      </c>
      <c r="F29" t="s">
        <v>7</v>
      </c>
      <c r="G29" t="s">
        <v>7</v>
      </c>
      <c r="H29" t="s">
        <v>7</v>
      </c>
      <c r="I29" t="s">
        <v>7</v>
      </c>
    </row>
    <row r="30" spans="1:9" x14ac:dyDescent="0.25">
      <c r="A30" s="4">
        <v>26</v>
      </c>
    </row>
    <row r="31" spans="1:9" x14ac:dyDescent="0.25">
      <c r="A31" s="4">
        <v>27</v>
      </c>
    </row>
    <row r="32" spans="1:9" x14ac:dyDescent="0.25">
      <c r="A32" s="4">
        <v>28</v>
      </c>
    </row>
    <row r="33" spans="1:9" x14ac:dyDescent="0.25">
      <c r="A33" s="4">
        <v>29</v>
      </c>
      <c r="B33" t="s">
        <v>7</v>
      </c>
      <c r="C33" t="s">
        <v>7</v>
      </c>
      <c r="D33" t="s">
        <v>7</v>
      </c>
      <c r="E33" t="s">
        <v>7</v>
      </c>
      <c r="F33" t="s">
        <v>7</v>
      </c>
      <c r="G33" t="s">
        <v>7</v>
      </c>
      <c r="H33" t="s">
        <v>7</v>
      </c>
      <c r="I33" t="s">
        <v>7</v>
      </c>
    </row>
    <row r="34" spans="1:9" x14ac:dyDescent="0.25">
      <c r="A34" s="4">
        <v>30</v>
      </c>
      <c r="B34" t="s">
        <v>7</v>
      </c>
      <c r="C34" t="s">
        <v>7</v>
      </c>
      <c r="E34" t="s">
        <v>7</v>
      </c>
      <c r="G34" t="s">
        <v>7</v>
      </c>
      <c r="I34" t="s">
        <v>7</v>
      </c>
    </row>
    <row r="35" spans="1:9" x14ac:dyDescent="0.25">
      <c r="A35" s="4">
        <v>31</v>
      </c>
      <c r="D35" t="s">
        <v>7</v>
      </c>
      <c r="F35" t="s">
        <v>7</v>
      </c>
      <c r="I35" t="s">
        <v>7</v>
      </c>
    </row>
    <row r="36" spans="1:9" x14ac:dyDescent="0.25">
      <c r="A36" s="4">
        <v>32</v>
      </c>
    </row>
    <row r="37" spans="1:9" x14ac:dyDescent="0.25">
      <c r="A37" s="4">
        <v>33</v>
      </c>
      <c r="B37" t="s">
        <v>7</v>
      </c>
      <c r="C37" t="s">
        <v>7</v>
      </c>
      <c r="D37" t="s">
        <v>7</v>
      </c>
      <c r="G37" t="s">
        <v>7</v>
      </c>
    </row>
    <row r="38" spans="1:9" x14ac:dyDescent="0.25">
      <c r="A38" s="4">
        <v>34</v>
      </c>
      <c r="C38" t="s">
        <v>7</v>
      </c>
      <c r="D38" t="s">
        <v>7</v>
      </c>
      <c r="G38" t="s">
        <v>7</v>
      </c>
      <c r="I38" t="s">
        <v>2</v>
      </c>
    </row>
    <row r="39" spans="1:9" x14ac:dyDescent="0.25">
      <c r="A39" s="4">
        <v>35</v>
      </c>
      <c r="C39" t="s">
        <v>5</v>
      </c>
    </row>
    <row r="40" spans="1:9" x14ac:dyDescent="0.25">
      <c r="A40" s="4">
        <v>36</v>
      </c>
      <c r="F40" t="s">
        <v>2</v>
      </c>
      <c r="I40" t="s">
        <v>7</v>
      </c>
    </row>
    <row r="41" spans="1:9" x14ac:dyDescent="0.25">
      <c r="A41" s="4">
        <v>37</v>
      </c>
      <c r="D41" t="s">
        <v>7</v>
      </c>
      <c r="F41" t="s">
        <v>7</v>
      </c>
      <c r="G41" t="s">
        <v>5</v>
      </c>
      <c r="H41" t="s">
        <v>7</v>
      </c>
      <c r="I41" t="s">
        <v>7</v>
      </c>
    </row>
    <row r="42" spans="1:9" x14ac:dyDescent="0.25">
      <c r="A42" s="4">
        <v>38</v>
      </c>
    </row>
    <row r="43" spans="1:9" x14ac:dyDescent="0.25">
      <c r="A43" s="4">
        <v>39</v>
      </c>
    </row>
    <row r="44" spans="1:9" x14ac:dyDescent="0.25">
      <c r="A44" s="4">
        <v>40</v>
      </c>
    </row>
    <row r="45" spans="1:9" x14ac:dyDescent="0.25">
      <c r="A45" s="4">
        <v>41</v>
      </c>
    </row>
    <row r="46" spans="1:9" x14ac:dyDescent="0.25">
      <c r="A46" s="4">
        <v>42</v>
      </c>
    </row>
    <row r="47" spans="1:9" x14ac:dyDescent="0.25">
      <c r="A47" s="4">
        <v>43</v>
      </c>
    </row>
    <row r="48" spans="1:9" x14ac:dyDescent="0.25">
      <c r="A48" s="4">
        <v>44</v>
      </c>
    </row>
    <row r="49" spans="1:9" x14ac:dyDescent="0.25">
      <c r="A49" s="4">
        <v>45</v>
      </c>
      <c r="G49" t="s">
        <v>7</v>
      </c>
    </row>
    <row r="50" spans="1:9" x14ac:dyDescent="0.25">
      <c r="A50" s="4">
        <v>46</v>
      </c>
      <c r="B50" t="s">
        <v>7</v>
      </c>
      <c r="C50" t="s">
        <v>7</v>
      </c>
      <c r="D50" t="s">
        <v>7</v>
      </c>
      <c r="E50" t="s">
        <v>7</v>
      </c>
      <c r="F50" t="s">
        <v>5</v>
      </c>
      <c r="I50" t="s">
        <v>7</v>
      </c>
    </row>
    <row r="51" spans="1:9" x14ac:dyDescent="0.25">
      <c r="A51" s="4">
        <v>47</v>
      </c>
      <c r="C51" t="s">
        <v>7</v>
      </c>
      <c r="D51" t="s">
        <v>7</v>
      </c>
      <c r="H51" t="s">
        <v>7</v>
      </c>
    </row>
    <row r="52" spans="1:9" x14ac:dyDescent="0.25">
      <c r="A52" s="4">
        <v>48</v>
      </c>
      <c r="B52" t="s">
        <v>7</v>
      </c>
      <c r="G52" t="s">
        <v>7</v>
      </c>
    </row>
    <row r="53" spans="1:9" x14ac:dyDescent="0.25">
      <c r="A53" s="4">
        <v>49</v>
      </c>
      <c r="C53" t="s">
        <v>7</v>
      </c>
      <c r="H53" t="s">
        <v>7</v>
      </c>
    </row>
    <row r="54" spans="1:9" x14ac:dyDescent="0.25">
      <c r="A54" s="4">
        <v>50</v>
      </c>
      <c r="C54" t="s">
        <v>5</v>
      </c>
      <c r="F54" t="s">
        <v>7</v>
      </c>
      <c r="I54" t="s">
        <v>5</v>
      </c>
    </row>
    <row r="55" spans="1:9" x14ac:dyDescent="0.25">
      <c r="A55" s="4">
        <v>51</v>
      </c>
    </row>
    <row r="56" spans="1:9" x14ac:dyDescent="0.25">
      <c r="A56" s="4">
        <v>52</v>
      </c>
      <c r="D56" t="s">
        <v>7</v>
      </c>
      <c r="F56" t="s">
        <v>5</v>
      </c>
      <c r="H56" t="s">
        <v>5</v>
      </c>
      <c r="I56" t="s">
        <v>5</v>
      </c>
    </row>
    <row r="57" spans="1:9" x14ac:dyDescent="0.25">
      <c r="A57" s="4">
        <v>53</v>
      </c>
    </row>
    <row r="58" spans="1:9" x14ac:dyDescent="0.25">
      <c r="A58" s="4">
        <v>54</v>
      </c>
      <c r="I58" t="s">
        <v>7</v>
      </c>
    </row>
    <row r="59" spans="1:9" x14ac:dyDescent="0.25">
      <c r="A59" s="4">
        <v>55</v>
      </c>
    </row>
    <row r="60" spans="1:9" x14ac:dyDescent="0.25">
      <c r="A60" s="4">
        <v>56</v>
      </c>
    </row>
  </sheetData>
  <conditionalFormatting sqref="B5:D11 G5:G11">
    <cfRule type="cellIs" dxfId="143" priority="17" operator="equal">
      <formula>"Energia"</formula>
    </cfRule>
  </conditionalFormatting>
  <conditionalFormatting sqref="B5:D60 G5:I60">
    <cfRule type="cellIs" dxfId="142" priority="10" operator="equal">
      <formula>"Energia"</formula>
    </cfRule>
    <cfRule type="cellIs" dxfId="141" priority="12" operator="equal">
      <formula>"Operação"</formula>
    </cfRule>
    <cfRule type="cellIs" dxfId="140" priority="13" operator="equal">
      <formula>"Chuva"</formula>
    </cfRule>
    <cfRule type="cellIs" dxfId="139" priority="14" operator="equal">
      <formula>"Elétrico"</formula>
    </cfRule>
    <cfRule type="cellIs" dxfId="138" priority="15" operator="equal">
      <formula>"Mecânico"</formula>
    </cfRule>
    <cfRule type="cellIs" dxfId="137" priority="16" operator="equal">
      <formula>"Ok"</formula>
    </cfRule>
  </conditionalFormatting>
  <conditionalFormatting sqref="B5:D60 G5:I60">
    <cfRule type="cellIs" dxfId="136" priority="11" operator="equal">
      <formula>"Feito"</formula>
    </cfRule>
  </conditionalFormatting>
  <conditionalFormatting sqref="K7">
    <cfRule type="iconSet" priority="9">
      <iconSet iconSet="3Arrows">
        <cfvo type="percent" val="0"/>
        <cfvo type="percent" val="33"/>
        <cfvo type="percent" val="67"/>
      </iconSet>
    </cfRule>
  </conditionalFormatting>
  <conditionalFormatting sqref="E5:F11">
    <cfRule type="cellIs" dxfId="135" priority="8" operator="equal">
      <formula>"Energia"</formula>
    </cfRule>
  </conditionalFormatting>
  <conditionalFormatting sqref="E5:F60">
    <cfRule type="cellIs" dxfId="134" priority="1" operator="equal">
      <formula>"Energia"</formula>
    </cfRule>
    <cfRule type="cellIs" dxfId="133" priority="3" operator="equal">
      <formula>"Operação"</formula>
    </cfRule>
    <cfRule type="cellIs" dxfId="132" priority="4" operator="equal">
      <formula>"Chuva"</formula>
    </cfRule>
    <cfRule type="cellIs" dxfId="131" priority="5" operator="equal">
      <formula>"Elétrico"</formula>
    </cfRule>
    <cfRule type="cellIs" dxfId="130" priority="6" operator="equal">
      <formula>"Mecânico"</formula>
    </cfRule>
    <cfRule type="cellIs" dxfId="129" priority="7" operator="equal">
      <formula>"Ok"</formula>
    </cfRule>
  </conditionalFormatting>
  <conditionalFormatting sqref="E5:F60">
    <cfRule type="cellIs" dxfId="128" priority="2" operator="equal">
      <formula>"Feito"</formula>
    </cfRule>
  </conditionalFormatting>
  <dataValidations count="1">
    <dataValidation type="list" allowBlank="1" showInputMessage="1" showErrorMessage="1" sqref="B5:J60" xr:uid="{AE6CAF13-7181-4942-A537-A132B4DEA626}">
      <formula1>$K$5:$K$10</formula1>
    </dataValidation>
  </dataValidations>
  <pageMargins left="0.511811024" right="0.511811024" top="0.78740157499999996" bottom="0.78740157499999996" header="0.31496062000000002" footer="0.3149606200000000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D08124-1461-44E5-8FEC-0C3521ABE896}">
  <dimension ref="A3:L60"/>
  <sheetViews>
    <sheetView workbookViewId="0">
      <pane xSplit="1" topLeftCell="B1" activePane="topRight" state="frozen"/>
      <selection pane="topRight" activeCell="M20" sqref="M20"/>
    </sheetView>
  </sheetViews>
  <sheetFormatPr defaultRowHeight="15" x14ac:dyDescent="0.25"/>
  <cols>
    <col min="2" max="2" width="10.42578125" customWidth="1"/>
    <col min="3" max="3" width="10.140625" bestFit="1" customWidth="1"/>
    <col min="4" max="5" width="10.85546875" customWidth="1"/>
    <col min="6" max="6" width="11.140625" customWidth="1"/>
    <col min="7" max="7" width="10.42578125" customWidth="1"/>
    <col min="8" max="8" width="9.85546875" customWidth="1"/>
    <col min="9" max="9" width="10.28515625" customWidth="1"/>
    <col min="11" max="11" width="11.140625" bestFit="1" customWidth="1"/>
  </cols>
  <sheetData>
    <row r="3" spans="1:12" x14ac:dyDescent="0.25">
      <c r="B3" s="3">
        <v>44412</v>
      </c>
      <c r="C3" s="3">
        <f>B3+1</f>
        <v>44413</v>
      </c>
      <c r="D3" s="3">
        <f t="shared" ref="D3:I3" si="0">C3+1</f>
        <v>44414</v>
      </c>
      <c r="E3" s="3">
        <f t="shared" si="0"/>
        <v>44415</v>
      </c>
      <c r="F3" s="3">
        <f t="shared" si="0"/>
        <v>44416</v>
      </c>
      <c r="G3" s="3">
        <f t="shared" si="0"/>
        <v>44417</v>
      </c>
      <c r="H3" s="3">
        <f t="shared" si="0"/>
        <v>44418</v>
      </c>
      <c r="I3" s="3">
        <f t="shared" si="0"/>
        <v>44419</v>
      </c>
    </row>
    <row r="4" spans="1:12" x14ac:dyDescent="0.25">
      <c r="A4" s="2" t="s">
        <v>0</v>
      </c>
      <c r="B4" s="1" t="str">
        <f>TEXT(B3,"ddd")</f>
        <v>qua</v>
      </c>
      <c r="C4" s="1" t="str">
        <f t="shared" ref="C4:I4" si="1">TEXT(C3,"ddd")</f>
        <v>qui</v>
      </c>
      <c r="D4" s="1" t="str">
        <f t="shared" si="1"/>
        <v>sex</v>
      </c>
      <c r="E4" s="1" t="str">
        <f t="shared" si="1"/>
        <v>sáb</v>
      </c>
      <c r="F4" s="1" t="str">
        <f t="shared" si="1"/>
        <v>dom</v>
      </c>
      <c r="G4" s="1" t="str">
        <f t="shared" si="1"/>
        <v>seg</v>
      </c>
      <c r="H4" s="1" t="str">
        <f t="shared" si="1"/>
        <v>ter</v>
      </c>
      <c r="I4" s="1" t="str">
        <f t="shared" si="1"/>
        <v>qua</v>
      </c>
      <c r="K4" s="11" t="s">
        <v>1</v>
      </c>
    </row>
    <row r="5" spans="1:12" x14ac:dyDescent="0.25">
      <c r="A5" s="4">
        <v>1</v>
      </c>
      <c r="K5" s="5" t="s">
        <v>7</v>
      </c>
      <c r="L5">
        <f>COUNTIF($B$5:$I$60,K5)</f>
        <v>102</v>
      </c>
    </row>
    <row r="6" spans="1:12" x14ac:dyDescent="0.25">
      <c r="A6" s="4">
        <v>2</v>
      </c>
      <c r="B6" t="s">
        <v>7</v>
      </c>
      <c r="C6" t="s">
        <v>7</v>
      </c>
      <c r="E6" t="s">
        <v>7</v>
      </c>
      <c r="H6" t="s">
        <v>7</v>
      </c>
      <c r="K6" s="6" t="s">
        <v>2</v>
      </c>
      <c r="L6">
        <f t="shared" ref="L6:L10" si="2">COUNTIF($B$5:$I$60,K6)</f>
        <v>6</v>
      </c>
    </row>
    <row r="7" spans="1:12" x14ac:dyDescent="0.25">
      <c r="A7" s="4">
        <v>3</v>
      </c>
      <c r="C7" t="s">
        <v>7</v>
      </c>
      <c r="F7" t="s">
        <v>7</v>
      </c>
      <c r="G7" t="s">
        <v>7</v>
      </c>
      <c r="H7" t="s">
        <v>7</v>
      </c>
      <c r="K7" s="7" t="s">
        <v>3</v>
      </c>
      <c r="L7">
        <f t="shared" si="2"/>
        <v>3</v>
      </c>
    </row>
    <row r="8" spans="1:12" x14ac:dyDescent="0.25">
      <c r="A8" s="4">
        <v>4</v>
      </c>
      <c r="B8" t="s">
        <v>7</v>
      </c>
      <c r="C8" t="s">
        <v>7</v>
      </c>
      <c r="D8" t="s">
        <v>7</v>
      </c>
      <c r="E8" t="s">
        <v>7</v>
      </c>
      <c r="F8" t="s">
        <v>7</v>
      </c>
      <c r="G8" t="s">
        <v>7</v>
      </c>
      <c r="I8" t="s">
        <v>7</v>
      </c>
      <c r="K8" s="8" t="s">
        <v>4</v>
      </c>
      <c r="L8">
        <f t="shared" si="2"/>
        <v>0</v>
      </c>
    </row>
    <row r="9" spans="1:12" x14ac:dyDescent="0.25">
      <c r="A9" s="4">
        <v>5</v>
      </c>
      <c r="B9" t="s">
        <v>7</v>
      </c>
      <c r="F9" t="s">
        <v>7</v>
      </c>
      <c r="I9" t="s">
        <v>7</v>
      </c>
      <c r="K9" s="9" t="s">
        <v>6</v>
      </c>
      <c r="L9">
        <f t="shared" si="2"/>
        <v>0</v>
      </c>
    </row>
    <row r="10" spans="1:12" x14ac:dyDescent="0.25">
      <c r="A10" s="4">
        <v>6</v>
      </c>
      <c r="B10" t="s">
        <v>2</v>
      </c>
      <c r="F10" t="s">
        <v>7</v>
      </c>
      <c r="K10" s="10" t="s">
        <v>5</v>
      </c>
      <c r="L10">
        <f t="shared" si="2"/>
        <v>22</v>
      </c>
    </row>
    <row r="11" spans="1:12" x14ac:dyDescent="0.25">
      <c r="A11" s="4">
        <v>7</v>
      </c>
      <c r="C11" t="s">
        <v>5</v>
      </c>
      <c r="G11" t="s">
        <v>3</v>
      </c>
      <c r="L11">
        <f>SUM(L5:L10)</f>
        <v>133</v>
      </c>
    </row>
    <row r="12" spans="1:12" x14ac:dyDescent="0.25">
      <c r="A12" s="4">
        <v>8</v>
      </c>
      <c r="B12" t="s">
        <v>7</v>
      </c>
      <c r="E12" t="s">
        <v>7</v>
      </c>
      <c r="H12" t="s">
        <v>7</v>
      </c>
    </row>
    <row r="13" spans="1:12" x14ac:dyDescent="0.25">
      <c r="A13" s="4">
        <v>9</v>
      </c>
      <c r="B13" t="s">
        <v>5</v>
      </c>
      <c r="F13" t="s">
        <v>7</v>
      </c>
    </row>
    <row r="14" spans="1:12" x14ac:dyDescent="0.25">
      <c r="A14" s="4">
        <v>10</v>
      </c>
      <c r="C14" t="s">
        <v>7</v>
      </c>
      <c r="G14" t="s">
        <v>7</v>
      </c>
    </row>
    <row r="15" spans="1:12" x14ac:dyDescent="0.25">
      <c r="A15" s="4">
        <v>11</v>
      </c>
      <c r="B15" t="s">
        <v>5</v>
      </c>
      <c r="D15" t="s">
        <v>5</v>
      </c>
      <c r="F15" t="s">
        <v>7</v>
      </c>
      <c r="I15" t="s">
        <v>7</v>
      </c>
    </row>
    <row r="16" spans="1:12" x14ac:dyDescent="0.25">
      <c r="A16" s="4">
        <v>12</v>
      </c>
      <c r="B16" t="s">
        <v>7</v>
      </c>
      <c r="D16" t="s">
        <v>7</v>
      </c>
      <c r="F16" t="s">
        <v>7</v>
      </c>
      <c r="H16" t="s">
        <v>7</v>
      </c>
    </row>
    <row r="17" spans="1:9" x14ac:dyDescent="0.25">
      <c r="A17" s="4">
        <v>13</v>
      </c>
      <c r="B17" t="s">
        <v>7</v>
      </c>
      <c r="C17" t="s">
        <v>7</v>
      </c>
      <c r="D17" t="s">
        <v>7</v>
      </c>
      <c r="E17" t="s">
        <v>7</v>
      </c>
      <c r="F17" t="s">
        <v>7</v>
      </c>
      <c r="G17" t="s">
        <v>7</v>
      </c>
      <c r="H17" t="s">
        <v>7</v>
      </c>
      <c r="I17" t="s">
        <v>7</v>
      </c>
    </row>
    <row r="18" spans="1:9" x14ac:dyDescent="0.25">
      <c r="A18" s="4">
        <v>14</v>
      </c>
      <c r="C18" t="s">
        <v>7</v>
      </c>
      <c r="E18" t="s">
        <v>7</v>
      </c>
      <c r="G18" t="s">
        <v>7</v>
      </c>
      <c r="I18" t="s">
        <v>2</v>
      </c>
    </row>
    <row r="19" spans="1:9" x14ac:dyDescent="0.25">
      <c r="A19" s="4">
        <v>15</v>
      </c>
    </row>
    <row r="20" spans="1:9" x14ac:dyDescent="0.25">
      <c r="A20" s="4">
        <v>16</v>
      </c>
    </row>
    <row r="21" spans="1:9" x14ac:dyDescent="0.25">
      <c r="A21" s="4">
        <v>17</v>
      </c>
    </row>
    <row r="22" spans="1:9" x14ac:dyDescent="0.25">
      <c r="A22" s="4">
        <v>18</v>
      </c>
    </row>
    <row r="23" spans="1:9" x14ac:dyDescent="0.25">
      <c r="A23" s="4">
        <v>19</v>
      </c>
    </row>
    <row r="24" spans="1:9" x14ac:dyDescent="0.25">
      <c r="A24" s="4">
        <v>20</v>
      </c>
    </row>
    <row r="25" spans="1:9" x14ac:dyDescent="0.25">
      <c r="A25" s="4">
        <v>21</v>
      </c>
    </row>
    <row r="26" spans="1:9" x14ac:dyDescent="0.25">
      <c r="A26" s="4">
        <v>22</v>
      </c>
    </row>
    <row r="27" spans="1:9" x14ac:dyDescent="0.25">
      <c r="A27" s="4">
        <v>23</v>
      </c>
    </row>
    <row r="28" spans="1:9" x14ac:dyDescent="0.25">
      <c r="A28" s="4">
        <v>24</v>
      </c>
    </row>
    <row r="29" spans="1:9" x14ac:dyDescent="0.25">
      <c r="A29" s="4">
        <v>25</v>
      </c>
      <c r="B29" t="s">
        <v>7</v>
      </c>
      <c r="C29" t="s">
        <v>7</v>
      </c>
      <c r="D29" t="s">
        <v>7</v>
      </c>
      <c r="E29" t="s">
        <v>7</v>
      </c>
      <c r="F29" t="s">
        <v>2</v>
      </c>
      <c r="G29" t="s">
        <v>7</v>
      </c>
      <c r="H29" t="s">
        <v>5</v>
      </c>
      <c r="I29" t="s">
        <v>7</v>
      </c>
    </row>
    <row r="30" spans="1:9" x14ac:dyDescent="0.25">
      <c r="A30" s="4">
        <v>26</v>
      </c>
    </row>
    <row r="31" spans="1:9" x14ac:dyDescent="0.25">
      <c r="A31" s="4">
        <v>27</v>
      </c>
    </row>
    <row r="32" spans="1:9" x14ac:dyDescent="0.25">
      <c r="A32" s="4">
        <v>28</v>
      </c>
    </row>
    <row r="33" spans="1:9" x14ac:dyDescent="0.25">
      <c r="A33" s="4">
        <v>29</v>
      </c>
      <c r="B33" t="s">
        <v>7</v>
      </c>
      <c r="C33" t="s">
        <v>7</v>
      </c>
      <c r="D33" t="s">
        <v>7</v>
      </c>
      <c r="E33" t="s">
        <v>7</v>
      </c>
      <c r="F33" t="s">
        <v>7</v>
      </c>
      <c r="G33" t="s">
        <v>7</v>
      </c>
      <c r="H33" t="s">
        <v>7</v>
      </c>
      <c r="I33" t="s">
        <v>7</v>
      </c>
    </row>
    <row r="34" spans="1:9" x14ac:dyDescent="0.25">
      <c r="A34" s="4">
        <v>30</v>
      </c>
      <c r="B34" t="s">
        <v>5</v>
      </c>
      <c r="D34" t="s">
        <v>7</v>
      </c>
      <c r="E34" t="s">
        <v>7</v>
      </c>
      <c r="F34" t="s">
        <v>7</v>
      </c>
      <c r="G34" t="s">
        <v>7</v>
      </c>
      <c r="H34" t="s">
        <v>7</v>
      </c>
      <c r="I34" t="s">
        <v>7</v>
      </c>
    </row>
    <row r="35" spans="1:9" x14ac:dyDescent="0.25">
      <c r="A35" s="4">
        <v>31</v>
      </c>
      <c r="D35" t="s">
        <v>7</v>
      </c>
      <c r="F35" t="s">
        <v>7</v>
      </c>
      <c r="H35" t="s">
        <v>7</v>
      </c>
    </row>
    <row r="36" spans="1:9" x14ac:dyDescent="0.25">
      <c r="A36" s="4">
        <v>32</v>
      </c>
      <c r="I36" t="s">
        <v>7</v>
      </c>
    </row>
    <row r="37" spans="1:9" x14ac:dyDescent="0.25">
      <c r="A37" s="4">
        <v>33</v>
      </c>
      <c r="B37" t="s">
        <v>7</v>
      </c>
      <c r="E37" t="s">
        <v>7</v>
      </c>
      <c r="G37" t="s">
        <v>2</v>
      </c>
    </row>
    <row r="38" spans="1:9" x14ac:dyDescent="0.25">
      <c r="A38" s="4">
        <v>34</v>
      </c>
      <c r="B38" t="s">
        <v>7</v>
      </c>
      <c r="C38" t="s">
        <v>7</v>
      </c>
      <c r="F38" t="s">
        <v>7</v>
      </c>
      <c r="G38" t="s">
        <v>7</v>
      </c>
      <c r="H38" t="s">
        <v>7</v>
      </c>
    </row>
    <row r="39" spans="1:9" x14ac:dyDescent="0.25">
      <c r="A39" s="4">
        <v>35</v>
      </c>
      <c r="B39" t="s">
        <v>7</v>
      </c>
      <c r="D39" t="s">
        <v>5</v>
      </c>
      <c r="F39" t="s">
        <v>5</v>
      </c>
      <c r="G39" t="s">
        <v>7</v>
      </c>
      <c r="H39" t="s">
        <v>5</v>
      </c>
      <c r="I39" t="s">
        <v>5</v>
      </c>
    </row>
    <row r="40" spans="1:9" x14ac:dyDescent="0.25">
      <c r="A40" s="4">
        <v>36</v>
      </c>
      <c r="B40" t="s">
        <v>7</v>
      </c>
      <c r="D40" t="s">
        <v>7</v>
      </c>
      <c r="G40" t="s">
        <v>7</v>
      </c>
      <c r="I40" t="s">
        <v>5</v>
      </c>
    </row>
    <row r="41" spans="1:9" x14ac:dyDescent="0.25">
      <c r="A41" s="4">
        <v>37</v>
      </c>
      <c r="B41" t="s">
        <v>7</v>
      </c>
      <c r="C41" t="s">
        <v>7</v>
      </c>
      <c r="D41" t="s">
        <v>7</v>
      </c>
      <c r="E41" t="s">
        <v>7</v>
      </c>
      <c r="F41" t="s">
        <v>7</v>
      </c>
      <c r="H41" t="s">
        <v>7</v>
      </c>
    </row>
    <row r="42" spans="1:9" x14ac:dyDescent="0.25">
      <c r="A42" s="4">
        <v>38</v>
      </c>
    </row>
    <row r="43" spans="1:9" x14ac:dyDescent="0.25">
      <c r="A43" s="4">
        <v>39</v>
      </c>
    </row>
    <row r="44" spans="1:9" x14ac:dyDescent="0.25">
      <c r="A44" s="4">
        <v>40</v>
      </c>
    </row>
    <row r="45" spans="1:9" x14ac:dyDescent="0.25">
      <c r="A45" s="4">
        <v>41</v>
      </c>
    </row>
    <row r="46" spans="1:9" x14ac:dyDescent="0.25">
      <c r="A46" s="4">
        <v>42</v>
      </c>
    </row>
    <row r="47" spans="1:9" x14ac:dyDescent="0.25">
      <c r="A47" s="4">
        <v>43</v>
      </c>
    </row>
    <row r="48" spans="1:9" x14ac:dyDescent="0.25">
      <c r="A48" s="4">
        <v>44</v>
      </c>
    </row>
    <row r="49" spans="1:9" x14ac:dyDescent="0.25">
      <c r="A49" s="4">
        <v>45</v>
      </c>
      <c r="E49" t="s">
        <v>7</v>
      </c>
      <c r="F49" t="s">
        <v>5</v>
      </c>
      <c r="G49" t="s">
        <v>5</v>
      </c>
      <c r="H49" t="s">
        <v>7</v>
      </c>
      <c r="I49" t="s">
        <v>7</v>
      </c>
    </row>
    <row r="50" spans="1:9" x14ac:dyDescent="0.25">
      <c r="A50" s="4">
        <v>46</v>
      </c>
      <c r="C50" t="s">
        <v>7</v>
      </c>
      <c r="D50" t="s">
        <v>7</v>
      </c>
      <c r="E50" t="s">
        <v>7</v>
      </c>
      <c r="G50" t="s">
        <v>3</v>
      </c>
    </row>
    <row r="51" spans="1:9" x14ac:dyDescent="0.25">
      <c r="A51" s="4">
        <v>47</v>
      </c>
      <c r="E51" t="s">
        <v>5</v>
      </c>
    </row>
    <row r="52" spans="1:9" x14ac:dyDescent="0.25">
      <c r="A52" s="4">
        <v>48</v>
      </c>
      <c r="C52" t="s">
        <v>7</v>
      </c>
      <c r="D52" t="s">
        <v>7</v>
      </c>
      <c r="H52" t="s">
        <v>5</v>
      </c>
    </row>
    <row r="53" spans="1:9" x14ac:dyDescent="0.25">
      <c r="A53" s="4">
        <v>49</v>
      </c>
      <c r="E53" t="s">
        <v>7</v>
      </c>
      <c r="I53" t="s">
        <v>5</v>
      </c>
    </row>
    <row r="54" spans="1:9" x14ac:dyDescent="0.25">
      <c r="A54" s="4">
        <v>50</v>
      </c>
      <c r="C54" t="s">
        <v>5</v>
      </c>
      <c r="D54" t="s">
        <v>7</v>
      </c>
      <c r="F54" t="s">
        <v>5</v>
      </c>
      <c r="G54" t="s">
        <v>5</v>
      </c>
    </row>
    <row r="55" spans="1:9" x14ac:dyDescent="0.25">
      <c r="A55" s="4">
        <v>51</v>
      </c>
      <c r="D55" t="s">
        <v>7</v>
      </c>
      <c r="E55" t="s">
        <v>7</v>
      </c>
      <c r="H55" t="s">
        <v>5</v>
      </c>
      <c r="I55" t="s">
        <v>7</v>
      </c>
    </row>
    <row r="56" spans="1:9" x14ac:dyDescent="0.25">
      <c r="A56" s="4">
        <v>52</v>
      </c>
      <c r="B56" t="s">
        <v>5</v>
      </c>
      <c r="C56" t="s">
        <v>7</v>
      </c>
      <c r="D56" t="s">
        <v>7</v>
      </c>
      <c r="E56" t="s">
        <v>7</v>
      </c>
      <c r="F56" t="s">
        <v>7</v>
      </c>
      <c r="G56" t="s">
        <v>7</v>
      </c>
      <c r="H56" t="s">
        <v>3</v>
      </c>
    </row>
    <row r="57" spans="1:9" x14ac:dyDescent="0.25">
      <c r="A57" s="4">
        <v>53</v>
      </c>
    </row>
    <row r="58" spans="1:9" x14ac:dyDescent="0.25">
      <c r="A58" s="4">
        <v>54</v>
      </c>
      <c r="B58" t="s">
        <v>2</v>
      </c>
      <c r="C58" t="s">
        <v>2</v>
      </c>
      <c r="D58" t="s">
        <v>5</v>
      </c>
    </row>
    <row r="59" spans="1:9" x14ac:dyDescent="0.25">
      <c r="A59" s="4">
        <v>55</v>
      </c>
    </row>
    <row r="60" spans="1:9" x14ac:dyDescent="0.25">
      <c r="A60" s="4">
        <v>56</v>
      </c>
    </row>
  </sheetData>
  <conditionalFormatting sqref="B5:D11 G5:G11">
    <cfRule type="cellIs" dxfId="127" priority="17" operator="equal">
      <formula>"Energia"</formula>
    </cfRule>
  </conditionalFormatting>
  <conditionalFormatting sqref="B5:D60 G5:I60">
    <cfRule type="cellIs" dxfId="126" priority="10" operator="equal">
      <formula>"Energia"</formula>
    </cfRule>
    <cfRule type="cellIs" dxfId="125" priority="12" operator="equal">
      <formula>"Operação"</formula>
    </cfRule>
    <cfRule type="cellIs" dxfId="124" priority="13" operator="equal">
      <formula>"Chuva"</formula>
    </cfRule>
    <cfRule type="cellIs" dxfId="123" priority="14" operator="equal">
      <formula>"Elétrico"</formula>
    </cfRule>
    <cfRule type="cellIs" dxfId="122" priority="15" operator="equal">
      <formula>"Mecânico"</formula>
    </cfRule>
    <cfRule type="cellIs" dxfId="121" priority="16" operator="equal">
      <formula>"Ok"</formula>
    </cfRule>
  </conditionalFormatting>
  <conditionalFormatting sqref="B5:D60 G5:I60">
    <cfRule type="cellIs" dxfId="120" priority="11" operator="equal">
      <formula>"Feito"</formula>
    </cfRule>
  </conditionalFormatting>
  <conditionalFormatting sqref="K7">
    <cfRule type="iconSet" priority="9">
      <iconSet iconSet="3Arrows">
        <cfvo type="percent" val="0"/>
        <cfvo type="percent" val="33"/>
        <cfvo type="percent" val="67"/>
      </iconSet>
    </cfRule>
  </conditionalFormatting>
  <conditionalFormatting sqref="E5:F11">
    <cfRule type="cellIs" dxfId="119" priority="8" operator="equal">
      <formula>"Energia"</formula>
    </cfRule>
  </conditionalFormatting>
  <conditionalFormatting sqref="E5:F60">
    <cfRule type="cellIs" dxfId="118" priority="1" operator="equal">
      <formula>"Energia"</formula>
    </cfRule>
    <cfRule type="cellIs" dxfId="117" priority="3" operator="equal">
      <formula>"Operação"</formula>
    </cfRule>
    <cfRule type="cellIs" dxfId="116" priority="4" operator="equal">
      <formula>"Chuva"</formula>
    </cfRule>
    <cfRule type="cellIs" dxfId="115" priority="5" operator="equal">
      <formula>"Elétrico"</formula>
    </cfRule>
    <cfRule type="cellIs" dxfId="114" priority="6" operator="equal">
      <formula>"Mecânico"</formula>
    </cfRule>
    <cfRule type="cellIs" dxfId="113" priority="7" operator="equal">
      <formula>"Ok"</formula>
    </cfRule>
  </conditionalFormatting>
  <conditionalFormatting sqref="E5:F60">
    <cfRule type="cellIs" dxfId="112" priority="2" operator="equal">
      <formula>"Feito"</formula>
    </cfRule>
  </conditionalFormatting>
  <dataValidations count="1">
    <dataValidation type="list" allowBlank="1" showInputMessage="1" showErrorMessage="1" sqref="B5:J60" xr:uid="{5BE70544-1070-4033-B160-2095C3D31A9F}">
      <formula1>$K$5:$K$10</formula1>
    </dataValidation>
  </dataValidations>
  <pageMargins left="0.511811024" right="0.511811024" top="0.78740157499999996" bottom="0.78740157499999996" header="0.31496062000000002" footer="0.3149606200000000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D62D8E-C8E5-49F3-9954-4518387F0359}">
  <dimension ref="A3:L60"/>
  <sheetViews>
    <sheetView workbookViewId="0">
      <pane xSplit="1" topLeftCell="B1" activePane="topRight" state="frozen"/>
      <selection pane="topRight" activeCell="R19" sqref="R19"/>
    </sheetView>
  </sheetViews>
  <sheetFormatPr defaultRowHeight="15" x14ac:dyDescent="0.25"/>
  <cols>
    <col min="2" max="2" width="10.42578125" customWidth="1"/>
    <col min="3" max="3" width="10.140625" bestFit="1" customWidth="1"/>
    <col min="4" max="5" width="10.85546875" customWidth="1"/>
    <col min="6" max="6" width="11.140625" customWidth="1"/>
    <col min="7" max="7" width="10.42578125" customWidth="1"/>
    <col min="8" max="8" width="9.85546875" customWidth="1"/>
    <col min="9" max="9" width="10.28515625" customWidth="1"/>
    <col min="11" max="11" width="11.140625" bestFit="1" customWidth="1"/>
  </cols>
  <sheetData>
    <row r="3" spans="1:12" x14ac:dyDescent="0.25">
      <c r="B3" s="3">
        <v>44420</v>
      </c>
      <c r="C3" s="3">
        <f>B3+1</f>
        <v>44421</v>
      </c>
      <c r="D3" s="3">
        <f t="shared" ref="D3:I3" si="0">C3+1</f>
        <v>44422</v>
      </c>
      <c r="E3" s="3">
        <f t="shared" si="0"/>
        <v>44423</v>
      </c>
      <c r="F3" s="3">
        <f t="shared" si="0"/>
        <v>44424</v>
      </c>
      <c r="G3" s="3">
        <f t="shared" si="0"/>
        <v>44425</v>
      </c>
      <c r="H3" s="3">
        <f t="shared" si="0"/>
        <v>44426</v>
      </c>
      <c r="I3" s="3">
        <f t="shared" si="0"/>
        <v>44427</v>
      </c>
    </row>
    <row r="4" spans="1:12" x14ac:dyDescent="0.25">
      <c r="A4" s="2" t="s">
        <v>0</v>
      </c>
      <c r="B4" s="1" t="str">
        <f>TEXT(B3,"ddd")</f>
        <v>qui</v>
      </c>
      <c r="C4" s="1" t="str">
        <f t="shared" ref="C4:I4" si="1">TEXT(C3,"ddd")</f>
        <v>sex</v>
      </c>
      <c r="D4" s="1" t="str">
        <f t="shared" si="1"/>
        <v>sáb</v>
      </c>
      <c r="E4" s="1" t="str">
        <f t="shared" si="1"/>
        <v>dom</v>
      </c>
      <c r="F4" s="1" t="str">
        <f t="shared" si="1"/>
        <v>seg</v>
      </c>
      <c r="G4" s="1" t="str">
        <f t="shared" si="1"/>
        <v>ter</v>
      </c>
      <c r="H4" s="1" t="str">
        <f t="shared" si="1"/>
        <v>qua</v>
      </c>
      <c r="I4" s="1" t="str">
        <f t="shared" si="1"/>
        <v>qui</v>
      </c>
      <c r="K4" s="11" t="s">
        <v>1</v>
      </c>
    </row>
    <row r="5" spans="1:12" x14ac:dyDescent="0.25">
      <c r="A5" s="4">
        <v>1</v>
      </c>
      <c r="K5" s="5" t="s">
        <v>7</v>
      </c>
      <c r="L5">
        <f>COUNTIF($B$5:$I$60,K5)</f>
        <v>98</v>
      </c>
    </row>
    <row r="6" spans="1:12" x14ac:dyDescent="0.25">
      <c r="A6" s="4">
        <v>2</v>
      </c>
      <c r="C6" t="s">
        <v>7</v>
      </c>
      <c r="F6" t="s">
        <v>7</v>
      </c>
      <c r="H6" t="s">
        <v>7</v>
      </c>
      <c r="I6" t="s">
        <v>7</v>
      </c>
      <c r="K6" s="6" t="s">
        <v>2</v>
      </c>
      <c r="L6">
        <f t="shared" ref="L6:L10" si="2">COUNTIF($B$5:$I$60,K6)</f>
        <v>11</v>
      </c>
    </row>
    <row r="7" spans="1:12" x14ac:dyDescent="0.25">
      <c r="A7" s="4">
        <v>3</v>
      </c>
      <c r="C7" t="s">
        <v>7</v>
      </c>
      <c r="F7" t="s">
        <v>7</v>
      </c>
      <c r="I7" t="s">
        <v>7</v>
      </c>
      <c r="K7" s="7" t="s">
        <v>3</v>
      </c>
      <c r="L7">
        <f t="shared" si="2"/>
        <v>7</v>
      </c>
    </row>
    <row r="8" spans="1:12" x14ac:dyDescent="0.25">
      <c r="A8" s="4">
        <v>4</v>
      </c>
      <c r="D8" t="s">
        <v>7</v>
      </c>
      <c r="G8" t="s">
        <v>7</v>
      </c>
      <c r="H8" t="s">
        <v>7</v>
      </c>
      <c r="K8" s="8" t="s">
        <v>4</v>
      </c>
      <c r="L8">
        <f t="shared" si="2"/>
        <v>0</v>
      </c>
    </row>
    <row r="9" spans="1:12" x14ac:dyDescent="0.25">
      <c r="A9" s="4">
        <v>5</v>
      </c>
      <c r="C9" t="s">
        <v>7</v>
      </c>
      <c r="K9" s="9" t="s">
        <v>6</v>
      </c>
      <c r="L9">
        <f t="shared" si="2"/>
        <v>0</v>
      </c>
    </row>
    <row r="10" spans="1:12" x14ac:dyDescent="0.25">
      <c r="A10" s="4">
        <v>6</v>
      </c>
      <c r="B10" t="s">
        <v>5</v>
      </c>
      <c r="E10" t="s">
        <v>2</v>
      </c>
      <c r="H10" t="s">
        <v>7</v>
      </c>
      <c r="I10" t="s">
        <v>7</v>
      </c>
      <c r="K10" s="10" t="s">
        <v>5</v>
      </c>
      <c r="L10">
        <f t="shared" si="2"/>
        <v>19</v>
      </c>
    </row>
    <row r="11" spans="1:12" x14ac:dyDescent="0.25">
      <c r="A11" s="4">
        <v>7</v>
      </c>
      <c r="D11" t="s">
        <v>3</v>
      </c>
      <c r="H11" t="s">
        <v>7</v>
      </c>
      <c r="L11">
        <f>SUM(L5:L10)</f>
        <v>135</v>
      </c>
    </row>
    <row r="12" spans="1:12" x14ac:dyDescent="0.25">
      <c r="A12" s="4">
        <v>8</v>
      </c>
      <c r="C12" t="s">
        <v>5</v>
      </c>
      <c r="D12" t="s">
        <v>7</v>
      </c>
      <c r="G12" t="s">
        <v>7</v>
      </c>
    </row>
    <row r="13" spans="1:12" x14ac:dyDescent="0.25">
      <c r="A13" s="4">
        <v>9</v>
      </c>
      <c r="B13" t="s">
        <v>7</v>
      </c>
      <c r="E13" t="s">
        <v>7</v>
      </c>
      <c r="I13" t="s">
        <v>2</v>
      </c>
    </row>
    <row r="14" spans="1:12" x14ac:dyDescent="0.25">
      <c r="A14" s="4">
        <v>10</v>
      </c>
      <c r="C14" t="s">
        <v>7</v>
      </c>
      <c r="F14" t="s">
        <v>7</v>
      </c>
      <c r="G14" t="s">
        <v>7</v>
      </c>
    </row>
    <row r="15" spans="1:12" x14ac:dyDescent="0.25">
      <c r="A15" s="4">
        <v>11</v>
      </c>
      <c r="D15" t="s">
        <v>7</v>
      </c>
      <c r="G15" t="s">
        <v>5</v>
      </c>
    </row>
    <row r="16" spans="1:12" x14ac:dyDescent="0.25">
      <c r="A16" s="4">
        <v>12</v>
      </c>
      <c r="C16" t="s">
        <v>7</v>
      </c>
      <c r="E16" t="s">
        <v>7</v>
      </c>
      <c r="H16" t="s">
        <v>7</v>
      </c>
    </row>
    <row r="17" spans="1:9" x14ac:dyDescent="0.25">
      <c r="A17" s="4">
        <v>13</v>
      </c>
      <c r="B17" t="s">
        <v>7</v>
      </c>
      <c r="C17" t="s">
        <v>7</v>
      </c>
      <c r="D17" t="s">
        <v>7</v>
      </c>
      <c r="E17" t="s">
        <v>7</v>
      </c>
      <c r="F17" t="s">
        <v>7</v>
      </c>
      <c r="G17" t="s">
        <v>7</v>
      </c>
      <c r="H17" t="s">
        <v>7</v>
      </c>
      <c r="I17" t="s">
        <v>7</v>
      </c>
    </row>
    <row r="18" spans="1:9" x14ac:dyDescent="0.25">
      <c r="A18" s="4">
        <v>14</v>
      </c>
      <c r="C18" t="s">
        <v>7</v>
      </c>
      <c r="E18" t="s">
        <v>7</v>
      </c>
      <c r="G18" t="s">
        <v>7</v>
      </c>
      <c r="I18" t="s">
        <v>7</v>
      </c>
    </row>
    <row r="19" spans="1:9" x14ac:dyDescent="0.25">
      <c r="A19" s="4">
        <v>15</v>
      </c>
    </row>
    <row r="20" spans="1:9" x14ac:dyDescent="0.25">
      <c r="A20" s="4">
        <v>16</v>
      </c>
    </row>
    <row r="21" spans="1:9" x14ac:dyDescent="0.25">
      <c r="A21" s="4">
        <v>17</v>
      </c>
    </row>
    <row r="22" spans="1:9" x14ac:dyDescent="0.25">
      <c r="A22" s="4">
        <v>18</v>
      </c>
    </row>
    <row r="23" spans="1:9" x14ac:dyDescent="0.25">
      <c r="A23" s="4">
        <v>19</v>
      </c>
    </row>
    <row r="24" spans="1:9" x14ac:dyDescent="0.25">
      <c r="A24" s="4">
        <v>20</v>
      </c>
    </row>
    <row r="25" spans="1:9" x14ac:dyDescent="0.25">
      <c r="A25" s="4">
        <v>21</v>
      </c>
    </row>
    <row r="26" spans="1:9" x14ac:dyDescent="0.25">
      <c r="A26" s="4">
        <v>22</v>
      </c>
    </row>
    <row r="27" spans="1:9" x14ac:dyDescent="0.25">
      <c r="A27" s="4">
        <v>23</v>
      </c>
    </row>
    <row r="28" spans="1:9" x14ac:dyDescent="0.25">
      <c r="A28" s="4">
        <v>24</v>
      </c>
    </row>
    <row r="29" spans="1:9" x14ac:dyDescent="0.25">
      <c r="A29" s="4">
        <v>25</v>
      </c>
      <c r="B29" t="s">
        <v>7</v>
      </c>
      <c r="C29" t="s">
        <v>7</v>
      </c>
      <c r="D29" t="s">
        <v>7</v>
      </c>
      <c r="E29" t="s">
        <v>7</v>
      </c>
      <c r="F29" t="s">
        <v>7</v>
      </c>
      <c r="G29" t="s">
        <v>7</v>
      </c>
      <c r="H29" t="s">
        <v>7</v>
      </c>
      <c r="I29" t="s">
        <v>7</v>
      </c>
    </row>
    <row r="30" spans="1:9" x14ac:dyDescent="0.25">
      <c r="A30" s="4">
        <v>26</v>
      </c>
    </row>
    <row r="31" spans="1:9" x14ac:dyDescent="0.25">
      <c r="A31" s="4">
        <v>27</v>
      </c>
    </row>
    <row r="32" spans="1:9" x14ac:dyDescent="0.25">
      <c r="A32" s="4">
        <v>28</v>
      </c>
    </row>
    <row r="33" spans="1:9" x14ac:dyDescent="0.25">
      <c r="A33" s="4">
        <v>29</v>
      </c>
      <c r="B33" t="s">
        <v>7</v>
      </c>
      <c r="C33" t="s">
        <v>7</v>
      </c>
      <c r="D33" t="s">
        <v>7</v>
      </c>
      <c r="E33" t="s">
        <v>7</v>
      </c>
      <c r="F33" t="s">
        <v>5</v>
      </c>
      <c r="G33" t="s">
        <v>7</v>
      </c>
      <c r="H33" t="s">
        <v>7</v>
      </c>
      <c r="I33" t="s">
        <v>7</v>
      </c>
    </row>
    <row r="34" spans="1:9" x14ac:dyDescent="0.25">
      <c r="A34" s="4">
        <v>30</v>
      </c>
      <c r="B34" t="s">
        <v>2</v>
      </c>
      <c r="C34" t="s">
        <v>2</v>
      </c>
      <c r="D34" t="s">
        <v>7</v>
      </c>
      <c r="E34" t="s">
        <v>5</v>
      </c>
      <c r="F34" t="s">
        <v>7</v>
      </c>
      <c r="G34" t="s">
        <v>7</v>
      </c>
      <c r="H34" t="s">
        <v>7</v>
      </c>
      <c r="I34" t="s">
        <v>7</v>
      </c>
    </row>
    <row r="35" spans="1:9" x14ac:dyDescent="0.25">
      <c r="A35" s="4">
        <v>31</v>
      </c>
      <c r="B35" t="s">
        <v>5</v>
      </c>
      <c r="C35" t="s">
        <v>7</v>
      </c>
      <c r="F35" t="s">
        <v>7</v>
      </c>
      <c r="I35" t="s">
        <v>7</v>
      </c>
    </row>
    <row r="36" spans="1:9" x14ac:dyDescent="0.25">
      <c r="A36" s="4">
        <v>32</v>
      </c>
      <c r="C36" t="s">
        <v>2</v>
      </c>
      <c r="E36" t="s">
        <v>7</v>
      </c>
      <c r="G36" t="s">
        <v>7</v>
      </c>
      <c r="H36" t="s">
        <v>7</v>
      </c>
      <c r="I36" t="s">
        <v>7</v>
      </c>
    </row>
    <row r="37" spans="1:9" x14ac:dyDescent="0.25">
      <c r="A37" s="4">
        <v>33</v>
      </c>
      <c r="C37" t="s">
        <v>7</v>
      </c>
      <c r="E37" t="s">
        <v>7</v>
      </c>
      <c r="F37" t="s">
        <v>7</v>
      </c>
      <c r="I37" t="s">
        <v>7</v>
      </c>
    </row>
    <row r="38" spans="1:9" x14ac:dyDescent="0.25">
      <c r="A38" s="4">
        <v>34</v>
      </c>
      <c r="B38" t="s">
        <v>7</v>
      </c>
      <c r="D38" t="s">
        <v>7</v>
      </c>
      <c r="F38" t="s">
        <v>7</v>
      </c>
      <c r="H38" t="s">
        <v>7</v>
      </c>
    </row>
    <row r="39" spans="1:9" x14ac:dyDescent="0.25">
      <c r="A39" s="4">
        <v>35</v>
      </c>
      <c r="B39" t="s">
        <v>7</v>
      </c>
      <c r="C39" t="s">
        <v>7</v>
      </c>
      <c r="D39" t="s">
        <v>7</v>
      </c>
      <c r="E39" t="s">
        <v>7</v>
      </c>
      <c r="F39" t="s">
        <v>7</v>
      </c>
      <c r="G39" t="s">
        <v>7</v>
      </c>
    </row>
    <row r="40" spans="1:9" x14ac:dyDescent="0.25">
      <c r="A40" s="4">
        <v>36</v>
      </c>
      <c r="B40" t="s">
        <v>5</v>
      </c>
      <c r="C40" t="s">
        <v>7</v>
      </c>
      <c r="D40" t="s">
        <v>7</v>
      </c>
      <c r="E40" t="s">
        <v>7</v>
      </c>
      <c r="F40" t="s">
        <v>5</v>
      </c>
      <c r="G40" t="s">
        <v>5</v>
      </c>
      <c r="I40" t="s">
        <v>7</v>
      </c>
    </row>
    <row r="41" spans="1:9" x14ac:dyDescent="0.25">
      <c r="A41" s="4">
        <v>37</v>
      </c>
      <c r="C41" t="s">
        <v>7</v>
      </c>
      <c r="F41" t="s">
        <v>7</v>
      </c>
      <c r="I41" t="s">
        <v>7</v>
      </c>
    </row>
    <row r="42" spans="1:9" x14ac:dyDescent="0.25">
      <c r="A42" s="4">
        <v>38</v>
      </c>
    </row>
    <row r="43" spans="1:9" x14ac:dyDescent="0.25">
      <c r="A43" s="4">
        <v>39</v>
      </c>
    </row>
    <row r="44" spans="1:9" x14ac:dyDescent="0.25">
      <c r="A44" s="4">
        <v>40</v>
      </c>
    </row>
    <row r="45" spans="1:9" x14ac:dyDescent="0.25">
      <c r="A45" s="4">
        <v>41</v>
      </c>
    </row>
    <row r="46" spans="1:9" x14ac:dyDescent="0.25">
      <c r="A46" s="4">
        <v>42</v>
      </c>
    </row>
    <row r="47" spans="1:9" x14ac:dyDescent="0.25">
      <c r="A47" s="4">
        <v>43</v>
      </c>
      <c r="E47" t="s">
        <v>5</v>
      </c>
    </row>
    <row r="48" spans="1:9" x14ac:dyDescent="0.25">
      <c r="A48" s="4">
        <v>44</v>
      </c>
    </row>
    <row r="49" spans="1:9" x14ac:dyDescent="0.25">
      <c r="A49" s="4">
        <v>45</v>
      </c>
      <c r="B49" t="s">
        <v>7</v>
      </c>
      <c r="C49" t="s">
        <v>7</v>
      </c>
      <c r="D49" t="s">
        <v>7</v>
      </c>
      <c r="E49" t="s">
        <v>7</v>
      </c>
      <c r="F49" t="s">
        <v>7</v>
      </c>
      <c r="G49" t="s">
        <v>7</v>
      </c>
      <c r="H49" t="s">
        <v>2</v>
      </c>
      <c r="I49" t="s">
        <v>2</v>
      </c>
    </row>
    <row r="50" spans="1:9" x14ac:dyDescent="0.25">
      <c r="A50" s="4">
        <v>46</v>
      </c>
      <c r="B50" t="s">
        <v>3</v>
      </c>
      <c r="F50" t="s">
        <v>3</v>
      </c>
    </row>
    <row r="51" spans="1:9" x14ac:dyDescent="0.25">
      <c r="A51" s="4">
        <v>47</v>
      </c>
      <c r="B51" t="s">
        <v>2</v>
      </c>
      <c r="F51" t="s">
        <v>5</v>
      </c>
      <c r="I51" t="s">
        <v>2</v>
      </c>
    </row>
    <row r="52" spans="1:9" x14ac:dyDescent="0.25">
      <c r="A52" s="4">
        <v>48</v>
      </c>
      <c r="C52" t="s">
        <v>7</v>
      </c>
      <c r="E52" t="s">
        <v>7</v>
      </c>
      <c r="G52" t="s">
        <v>5</v>
      </c>
      <c r="I52" t="s">
        <v>5</v>
      </c>
    </row>
    <row r="53" spans="1:9" x14ac:dyDescent="0.25">
      <c r="A53" s="4">
        <v>49</v>
      </c>
      <c r="E53" t="s">
        <v>7</v>
      </c>
      <c r="H53" t="s">
        <v>7</v>
      </c>
    </row>
    <row r="54" spans="1:9" x14ac:dyDescent="0.25">
      <c r="A54" s="4">
        <v>50</v>
      </c>
      <c r="B54" t="s">
        <v>5</v>
      </c>
      <c r="C54" t="s">
        <v>3</v>
      </c>
      <c r="I54" t="s">
        <v>7</v>
      </c>
    </row>
    <row r="55" spans="1:9" x14ac:dyDescent="0.25">
      <c r="A55" s="4">
        <v>51</v>
      </c>
      <c r="B55" t="s">
        <v>5</v>
      </c>
    </row>
    <row r="56" spans="1:9" x14ac:dyDescent="0.25">
      <c r="A56" s="4">
        <v>52</v>
      </c>
      <c r="B56" t="s">
        <v>7</v>
      </c>
      <c r="E56" t="s">
        <v>3</v>
      </c>
      <c r="H56" t="s">
        <v>2</v>
      </c>
      <c r="I56" t="s">
        <v>7</v>
      </c>
    </row>
    <row r="57" spans="1:9" x14ac:dyDescent="0.25">
      <c r="A57" s="4">
        <v>53</v>
      </c>
      <c r="F57" t="s">
        <v>5</v>
      </c>
      <c r="G57" t="s">
        <v>5</v>
      </c>
    </row>
    <row r="58" spans="1:9" x14ac:dyDescent="0.25">
      <c r="A58" s="4">
        <v>54</v>
      </c>
      <c r="D58" t="s">
        <v>2</v>
      </c>
      <c r="G58" t="s">
        <v>5</v>
      </c>
      <c r="H58" t="s">
        <v>3</v>
      </c>
      <c r="I58" t="s">
        <v>3</v>
      </c>
    </row>
    <row r="59" spans="1:9" x14ac:dyDescent="0.25">
      <c r="A59" s="4">
        <v>55</v>
      </c>
    </row>
    <row r="60" spans="1:9" x14ac:dyDescent="0.25">
      <c r="A60" s="4">
        <v>56</v>
      </c>
      <c r="G60" t="s">
        <v>5</v>
      </c>
    </row>
  </sheetData>
  <conditionalFormatting sqref="B5:D11 G5:G11">
    <cfRule type="cellIs" dxfId="111" priority="17" operator="equal">
      <formula>"Energia"</formula>
    </cfRule>
  </conditionalFormatting>
  <conditionalFormatting sqref="B5:D60 G5:I60">
    <cfRule type="cellIs" dxfId="110" priority="10" operator="equal">
      <formula>"Energia"</formula>
    </cfRule>
    <cfRule type="cellIs" dxfId="109" priority="12" operator="equal">
      <formula>"Operação"</formula>
    </cfRule>
    <cfRule type="cellIs" dxfId="108" priority="13" operator="equal">
      <formula>"Chuva"</formula>
    </cfRule>
    <cfRule type="cellIs" dxfId="107" priority="14" operator="equal">
      <formula>"Elétrico"</formula>
    </cfRule>
    <cfRule type="cellIs" dxfId="106" priority="15" operator="equal">
      <formula>"Mecânico"</formula>
    </cfRule>
    <cfRule type="cellIs" dxfId="105" priority="16" operator="equal">
      <formula>"Ok"</formula>
    </cfRule>
  </conditionalFormatting>
  <conditionalFormatting sqref="B5:D60 G5:I60">
    <cfRule type="cellIs" dxfId="104" priority="11" operator="equal">
      <formula>"Feito"</formula>
    </cfRule>
  </conditionalFormatting>
  <conditionalFormatting sqref="K7">
    <cfRule type="iconSet" priority="9">
      <iconSet iconSet="3Arrows">
        <cfvo type="percent" val="0"/>
        <cfvo type="percent" val="33"/>
        <cfvo type="percent" val="67"/>
      </iconSet>
    </cfRule>
  </conditionalFormatting>
  <conditionalFormatting sqref="E5:F11">
    <cfRule type="cellIs" dxfId="103" priority="8" operator="equal">
      <formula>"Energia"</formula>
    </cfRule>
  </conditionalFormatting>
  <conditionalFormatting sqref="E5:F60">
    <cfRule type="cellIs" dxfId="102" priority="1" operator="equal">
      <formula>"Energia"</formula>
    </cfRule>
    <cfRule type="cellIs" dxfId="101" priority="3" operator="equal">
      <formula>"Operação"</formula>
    </cfRule>
    <cfRule type="cellIs" dxfId="100" priority="4" operator="equal">
      <formula>"Chuva"</formula>
    </cfRule>
    <cfRule type="cellIs" dxfId="99" priority="5" operator="equal">
      <formula>"Elétrico"</formula>
    </cfRule>
    <cfRule type="cellIs" dxfId="98" priority="6" operator="equal">
      <formula>"Mecânico"</formula>
    </cfRule>
    <cfRule type="cellIs" dxfId="97" priority="7" operator="equal">
      <formula>"Ok"</formula>
    </cfRule>
  </conditionalFormatting>
  <conditionalFormatting sqref="E5:F60">
    <cfRule type="cellIs" dxfId="96" priority="2" operator="equal">
      <formula>"Feito"</formula>
    </cfRule>
  </conditionalFormatting>
  <dataValidations count="1">
    <dataValidation type="list" allowBlank="1" showInputMessage="1" showErrorMessage="1" sqref="B5:J60" xr:uid="{41E0C6A3-BF9D-4F54-A9FC-F2CB149AE208}">
      <formula1>$K$5:$K$10</formula1>
    </dataValidation>
  </dataValidations>
  <pageMargins left="0.511811024" right="0.511811024" top="0.78740157499999996" bottom="0.78740157499999996" header="0.31496062000000002" footer="0.3149606200000000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FCF3E4-BC9D-42C6-9173-F4DC741904DC}">
  <dimension ref="A3:L60"/>
  <sheetViews>
    <sheetView workbookViewId="0">
      <pane xSplit="1" topLeftCell="B1" activePane="topRight" state="frozen"/>
      <selection pane="topRight" activeCell="O5" sqref="O5"/>
    </sheetView>
  </sheetViews>
  <sheetFormatPr defaultRowHeight="15" x14ac:dyDescent="0.25"/>
  <cols>
    <col min="2" max="2" width="10.42578125" customWidth="1"/>
    <col min="3" max="3" width="10.140625" bestFit="1" customWidth="1"/>
    <col min="4" max="5" width="10.85546875" customWidth="1"/>
    <col min="6" max="6" width="11.140625" customWidth="1"/>
    <col min="7" max="7" width="10.42578125" customWidth="1"/>
    <col min="8" max="8" width="9.85546875" customWidth="1"/>
    <col min="9" max="9" width="10.28515625" customWidth="1"/>
    <col min="11" max="11" width="11.140625" bestFit="1" customWidth="1"/>
  </cols>
  <sheetData>
    <row r="3" spans="1:12" x14ac:dyDescent="0.25">
      <c r="B3" s="3">
        <v>44428</v>
      </c>
      <c r="C3" s="3">
        <f>B3+1</f>
        <v>44429</v>
      </c>
      <c r="D3" s="3">
        <f t="shared" ref="D3:I3" si="0">C3+1</f>
        <v>44430</v>
      </c>
      <c r="E3" s="3">
        <f t="shared" si="0"/>
        <v>44431</v>
      </c>
      <c r="F3" s="3">
        <f t="shared" si="0"/>
        <v>44432</v>
      </c>
      <c r="G3" s="3">
        <f t="shared" si="0"/>
        <v>44433</v>
      </c>
      <c r="H3" s="3">
        <f t="shared" si="0"/>
        <v>44434</v>
      </c>
      <c r="I3" s="3">
        <f t="shared" si="0"/>
        <v>44435</v>
      </c>
    </row>
    <row r="4" spans="1:12" x14ac:dyDescent="0.25">
      <c r="A4" s="2" t="s">
        <v>0</v>
      </c>
      <c r="B4" s="1" t="str">
        <f>TEXT(B3,"ddd")</f>
        <v>sex</v>
      </c>
      <c r="C4" s="1" t="str">
        <f t="shared" ref="C4:I4" si="1">TEXT(C3,"ddd")</f>
        <v>sáb</v>
      </c>
      <c r="D4" s="1" t="str">
        <f t="shared" si="1"/>
        <v>dom</v>
      </c>
      <c r="E4" s="1" t="str">
        <f t="shared" si="1"/>
        <v>seg</v>
      </c>
      <c r="F4" s="1" t="str">
        <f t="shared" si="1"/>
        <v>ter</v>
      </c>
      <c r="G4" s="1" t="str">
        <f t="shared" si="1"/>
        <v>qua</v>
      </c>
      <c r="H4" s="1" t="str">
        <f t="shared" si="1"/>
        <v>qui</v>
      </c>
      <c r="I4" s="1" t="str">
        <f t="shared" si="1"/>
        <v>sex</v>
      </c>
      <c r="K4" s="11" t="s">
        <v>1</v>
      </c>
    </row>
    <row r="5" spans="1:12" x14ac:dyDescent="0.25">
      <c r="A5" s="4">
        <v>1</v>
      </c>
      <c r="C5" t="s">
        <v>5</v>
      </c>
      <c r="F5" t="s">
        <v>5</v>
      </c>
      <c r="G5" t="s">
        <v>7</v>
      </c>
      <c r="H5" t="s">
        <v>5</v>
      </c>
      <c r="I5" t="s">
        <v>5</v>
      </c>
      <c r="K5" s="5" t="s">
        <v>7</v>
      </c>
      <c r="L5">
        <f>COUNTIF($B$5:$I$60,K5)</f>
        <v>112</v>
      </c>
    </row>
    <row r="6" spans="1:12" x14ac:dyDescent="0.25">
      <c r="A6" s="4">
        <v>2</v>
      </c>
      <c r="D6" t="s">
        <v>7</v>
      </c>
      <c r="G6" t="s">
        <v>7</v>
      </c>
      <c r="I6" t="s">
        <v>2</v>
      </c>
      <c r="K6" s="6" t="s">
        <v>2</v>
      </c>
      <c r="L6">
        <f t="shared" ref="L6:L10" si="2">COUNTIF($B$5:$I$60,K6)</f>
        <v>4</v>
      </c>
    </row>
    <row r="7" spans="1:12" x14ac:dyDescent="0.25">
      <c r="A7" s="4">
        <v>3</v>
      </c>
      <c r="D7" t="s">
        <v>7</v>
      </c>
      <c r="F7" t="s">
        <v>7</v>
      </c>
      <c r="G7" t="s">
        <v>7</v>
      </c>
      <c r="I7" t="s">
        <v>5</v>
      </c>
      <c r="K7" s="7" t="s">
        <v>3</v>
      </c>
      <c r="L7">
        <f t="shared" si="2"/>
        <v>3</v>
      </c>
    </row>
    <row r="8" spans="1:12" x14ac:dyDescent="0.25">
      <c r="A8" s="4">
        <v>4</v>
      </c>
      <c r="B8" t="s">
        <v>7</v>
      </c>
      <c r="D8" t="s">
        <v>7</v>
      </c>
      <c r="F8" t="s">
        <v>7</v>
      </c>
      <c r="G8" t="s">
        <v>7</v>
      </c>
      <c r="H8" t="s">
        <v>7</v>
      </c>
      <c r="I8" t="s">
        <v>7</v>
      </c>
      <c r="K8" s="8" t="s">
        <v>4</v>
      </c>
      <c r="L8">
        <f t="shared" si="2"/>
        <v>0</v>
      </c>
    </row>
    <row r="9" spans="1:12" x14ac:dyDescent="0.25">
      <c r="A9" s="4">
        <v>5</v>
      </c>
      <c r="H9" t="s">
        <v>7</v>
      </c>
      <c r="K9" s="9" t="s">
        <v>6</v>
      </c>
      <c r="L9">
        <f t="shared" si="2"/>
        <v>0</v>
      </c>
    </row>
    <row r="10" spans="1:12" x14ac:dyDescent="0.25">
      <c r="A10" s="4">
        <v>6</v>
      </c>
      <c r="B10" t="s">
        <v>7</v>
      </c>
      <c r="D10" t="s">
        <v>7</v>
      </c>
      <c r="K10" s="10" t="s">
        <v>5</v>
      </c>
      <c r="L10">
        <f t="shared" si="2"/>
        <v>28</v>
      </c>
    </row>
    <row r="11" spans="1:12" x14ac:dyDescent="0.25">
      <c r="A11" s="4">
        <v>7</v>
      </c>
      <c r="C11" t="s">
        <v>7</v>
      </c>
      <c r="F11" t="s">
        <v>7</v>
      </c>
      <c r="H11" t="s">
        <v>7</v>
      </c>
      <c r="L11">
        <f>SUM(L5:L10)</f>
        <v>147</v>
      </c>
    </row>
    <row r="12" spans="1:12" x14ac:dyDescent="0.25">
      <c r="A12" s="4">
        <v>8</v>
      </c>
      <c r="C12" t="s">
        <v>7</v>
      </c>
      <c r="G12" t="s">
        <v>5</v>
      </c>
    </row>
    <row r="13" spans="1:12" x14ac:dyDescent="0.25">
      <c r="A13" s="4">
        <v>9</v>
      </c>
      <c r="D13" t="s">
        <v>7</v>
      </c>
      <c r="H13" t="s">
        <v>5</v>
      </c>
    </row>
    <row r="14" spans="1:12" x14ac:dyDescent="0.25">
      <c r="A14" s="4">
        <v>10</v>
      </c>
      <c r="B14" t="s">
        <v>7</v>
      </c>
      <c r="C14" t="s">
        <v>7</v>
      </c>
      <c r="F14" t="s">
        <v>7</v>
      </c>
      <c r="G14" t="s">
        <v>7</v>
      </c>
    </row>
    <row r="15" spans="1:12" x14ac:dyDescent="0.25">
      <c r="A15" s="4">
        <v>11</v>
      </c>
      <c r="B15" t="s">
        <v>5</v>
      </c>
      <c r="E15" t="s">
        <v>5</v>
      </c>
      <c r="H15" t="s">
        <v>7</v>
      </c>
    </row>
    <row r="16" spans="1:12" x14ac:dyDescent="0.25">
      <c r="A16" s="4">
        <v>12</v>
      </c>
      <c r="C16" t="s">
        <v>7</v>
      </c>
      <c r="F16" t="s">
        <v>7</v>
      </c>
      <c r="H16" t="s">
        <v>7</v>
      </c>
      <c r="I16" t="s">
        <v>7</v>
      </c>
    </row>
    <row r="17" spans="1:9" x14ac:dyDescent="0.25">
      <c r="A17" s="4">
        <v>13</v>
      </c>
      <c r="B17" t="s">
        <v>7</v>
      </c>
      <c r="C17" t="s">
        <v>7</v>
      </c>
      <c r="D17" t="s">
        <v>7</v>
      </c>
      <c r="E17" t="s">
        <v>7</v>
      </c>
      <c r="F17" t="s">
        <v>7</v>
      </c>
      <c r="G17" t="s">
        <v>7</v>
      </c>
      <c r="H17" t="s">
        <v>7</v>
      </c>
      <c r="I17" t="s">
        <v>7</v>
      </c>
    </row>
    <row r="18" spans="1:9" x14ac:dyDescent="0.25">
      <c r="A18" s="4">
        <v>14</v>
      </c>
      <c r="C18" t="s">
        <v>7</v>
      </c>
      <c r="E18" t="s">
        <v>7</v>
      </c>
      <c r="G18" t="s">
        <v>7</v>
      </c>
      <c r="I18" t="s">
        <v>5</v>
      </c>
    </row>
    <row r="19" spans="1:9" x14ac:dyDescent="0.25">
      <c r="A19" s="4">
        <v>15</v>
      </c>
    </row>
    <row r="20" spans="1:9" x14ac:dyDescent="0.25">
      <c r="A20" s="4">
        <v>16</v>
      </c>
    </row>
    <row r="21" spans="1:9" x14ac:dyDescent="0.25">
      <c r="A21" s="4">
        <v>17</v>
      </c>
    </row>
    <row r="22" spans="1:9" x14ac:dyDescent="0.25">
      <c r="A22" s="4">
        <v>18</v>
      </c>
    </row>
    <row r="23" spans="1:9" x14ac:dyDescent="0.25">
      <c r="A23" s="4">
        <v>19</v>
      </c>
    </row>
    <row r="24" spans="1:9" x14ac:dyDescent="0.25">
      <c r="A24" s="4">
        <v>20</v>
      </c>
    </row>
    <row r="25" spans="1:9" x14ac:dyDescent="0.25">
      <c r="A25" s="4">
        <v>21</v>
      </c>
    </row>
    <row r="26" spans="1:9" x14ac:dyDescent="0.25">
      <c r="A26" s="4">
        <v>22</v>
      </c>
    </row>
    <row r="27" spans="1:9" x14ac:dyDescent="0.25">
      <c r="A27" s="4">
        <v>23</v>
      </c>
    </row>
    <row r="28" spans="1:9" x14ac:dyDescent="0.25">
      <c r="A28" s="4">
        <v>24</v>
      </c>
    </row>
    <row r="29" spans="1:9" x14ac:dyDescent="0.25">
      <c r="A29" s="4">
        <v>25</v>
      </c>
      <c r="B29" t="s">
        <v>7</v>
      </c>
      <c r="C29" t="s">
        <v>7</v>
      </c>
      <c r="D29" t="s">
        <v>7</v>
      </c>
      <c r="E29" t="s">
        <v>7</v>
      </c>
      <c r="F29" t="s">
        <v>2</v>
      </c>
      <c r="G29" t="s">
        <v>7</v>
      </c>
      <c r="H29" t="s">
        <v>7</v>
      </c>
      <c r="I29" t="s">
        <v>5</v>
      </c>
    </row>
    <row r="30" spans="1:9" x14ac:dyDescent="0.25">
      <c r="A30" s="4">
        <v>26</v>
      </c>
    </row>
    <row r="31" spans="1:9" x14ac:dyDescent="0.25">
      <c r="A31" s="4">
        <v>27</v>
      </c>
    </row>
    <row r="32" spans="1:9" x14ac:dyDescent="0.25">
      <c r="A32" s="4">
        <v>28</v>
      </c>
    </row>
    <row r="33" spans="1:9" x14ac:dyDescent="0.25">
      <c r="A33" s="4">
        <v>29</v>
      </c>
      <c r="B33" t="s">
        <v>7</v>
      </c>
      <c r="C33" t="s">
        <v>7</v>
      </c>
      <c r="D33" t="s">
        <v>7</v>
      </c>
      <c r="E33" t="s">
        <v>7</v>
      </c>
      <c r="F33" t="s">
        <v>7</v>
      </c>
      <c r="G33" t="s">
        <v>7</v>
      </c>
      <c r="H33" t="s">
        <v>7</v>
      </c>
      <c r="I33" t="s">
        <v>5</v>
      </c>
    </row>
    <row r="34" spans="1:9" x14ac:dyDescent="0.25">
      <c r="A34" s="4">
        <v>30</v>
      </c>
      <c r="B34" t="s">
        <v>7</v>
      </c>
      <c r="C34" t="s">
        <v>5</v>
      </c>
      <c r="D34" t="s">
        <v>3</v>
      </c>
      <c r="E34" t="s">
        <v>3</v>
      </c>
      <c r="F34" t="s">
        <v>7</v>
      </c>
      <c r="G34" t="s">
        <v>7</v>
      </c>
      <c r="H34" t="s">
        <v>7</v>
      </c>
      <c r="I34" t="s">
        <v>5</v>
      </c>
    </row>
    <row r="35" spans="1:9" x14ac:dyDescent="0.25">
      <c r="A35" s="4">
        <v>31</v>
      </c>
      <c r="D35" t="s">
        <v>7</v>
      </c>
      <c r="G35" t="s">
        <v>7</v>
      </c>
      <c r="I35" t="s">
        <v>5</v>
      </c>
    </row>
    <row r="36" spans="1:9" x14ac:dyDescent="0.25">
      <c r="A36" s="4">
        <v>32</v>
      </c>
      <c r="B36" t="s">
        <v>7</v>
      </c>
      <c r="D36" t="s">
        <v>5</v>
      </c>
      <c r="E36" t="s">
        <v>5</v>
      </c>
      <c r="F36" t="s">
        <v>7</v>
      </c>
      <c r="G36" t="s">
        <v>7</v>
      </c>
      <c r="H36" t="s">
        <v>7</v>
      </c>
      <c r="I36" t="s">
        <v>2</v>
      </c>
    </row>
    <row r="37" spans="1:9" x14ac:dyDescent="0.25">
      <c r="A37" s="4">
        <v>33</v>
      </c>
      <c r="C37" t="s">
        <v>7</v>
      </c>
      <c r="F37" t="s">
        <v>2</v>
      </c>
      <c r="H37" t="s">
        <v>7</v>
      </c>
      <c r="I37" t="s">
        <v>5</v>
      </c>
    </row>
    <row r="38" spans="1:9" x14ac:dyDescent="0.25">
      <c r="A38" s="4">
        <v>34</v>
      </c>
      <c r="B38" t="s">
        <v>7</v>
      </c>
      <c r="C38" t="s">
        <v>7</v>
      </c>
      <c r="D38" t="s">
        <v>7</v>
      </c>
      <c r="E38" t="s">
        <v>7</v>
      </c>
      <c r="F38" t="s">
        <v>7</v>
      </c>
      <c r="G38" t="s">
        <v>7</v>
      </c>
      <c r="H38" t="s">
        <v>7</v>
      </c>
      <c r="I38" t="s">
        <v>5</v>
      </c>
    </row>
    <row r="39" spans="1:9" x14ac:dyDescent="0.25">
      <c r="A39" s="4">
        <v>35</v>
      </c>
      <c r="B39" t="s">
        <v>7</v>
      </c>
      <c r="D39" t="s">
        <v>7</v>
      </c>
      <c r="G39" t="s">
        <v>7</v>
      </c>
      <c r="I39" t="s">
        <v>7</v>
      </c>
    </row>
    <row r="40" spans="1:9" x14ac:dyDescent="0.25">
      <c r="A40" s="4">
        <v>36</v>
      </c>
      <c r="C40" t="s">
        <v>7</v>
      </c>
      <c r="F40" t="s">
        <v>7</v>
      </c>
      <c r="I40" t="s">
        <v>7</v>
      </c>
    </row>
    <row r="41" spans="1:9" x14ac:dyDescent="0.25">
      <c r="A41" s="4">
        <v>37</v>
      </c>
      <c r="D41" t="s">
        <v>7</v>
      </c>
      <c r="G41" t="s">
        <v>7</v>
      </c>
    </row>
    <row r="42" spans="1:9" x14ac:dyDescent="0.25">
      <c r="A42" s="4">
        <v>38</v>
      </c>
    </row>
    <row r="43" spans="1:9" x14ac:dyDescent="0.25">
      <c r="A43" s="4">
        <v>39</v>
      </c>
    </row>
    <row r="44" spans="1:9" x14ac:dyDescent="0.25">
      <c r="A44" s="4">
        <v>40</v>
      </c>
    </row>
    <row r="45" spans="1:9" x14ac:dyDescent="0.25">
      <c r="A45" s="4">
        <v>41</v>
      </c>
    </row>
    <row r="46" spans="1:9" x14ac:dyDescent="0.25">
      <c r="A46" s="4">
        <v>42</v>
      </c>
    </row>
    <row r="47" spans="1:9" x14ac:dyDescent="0.25">
      <c r="A47" s="4">
        <v>43</v>
      </c>
    </row>
    <row r="48" spans="1:9" x14ac:dyDescent="0.25">
      <c r="A48" s="4">
        <v>44</v>
      </c>
    </row>
    <row r="49" spans="1:9" x14ac:dyDescent="0.25">
      <c r="A49" s="4">
        <v>45</v>
      </c>
      <c r="B49" t="s">
        <v>7</v>
      </c>
      <c r="D49" t="s">
        <v>7</v>
      </c>
      <c r="E49" t="s">
        <v>7</v>
      </c>
      <c r="F49" t="s">
        <v>7</v>
      </c>
      <c r="H49" t="s">
        <v>7</v>
      </c>
    </row>
    <row r="50" spans="1:9" x14ac:dyDescent="0.25">
      <c r="A50" s="4">
        <v>46</v>
      </c>
      <c r="B50" t="s">
        <v>5</v>
      </c>
      <c r="F50" t="s">
        <v>5</v>
      </c>
    </row>
    <row r="51" spans="1:9" x14ac:dyDescent="0.25">
      <c r="A51" s="4">
        <v>47</v>
      </c>
      <c r="E51" t="s">
        <v>7</v>
      </c>
      <c r="H51" t="s">
        <v>7</v>
      </c>
    </row>
    <row r="52" spans="1:9" x14ac:dyDescent="0.25">
      <c r="A52" s="4">
        <v>48</v>
      </c>
      <c r="C52" t="s">
        <v>7</v>
      </c>
      <c r="E52" t="s">
        <v>7</v>
      </c>
      <c r="G52" t="s">
        <v>7</v>
      </c>
      <c r="H52" t="s">
        <v>7</v>
      </c>
      <c r="I52" t="s">
        <v>7</v>
      </c>
    </row>
    <row r="53" spans="1:9" x14ac:dyDescent="0.25">
      <c r="A53" s="4">
        <v>49</v>
      </c>
      <c r="B53" t="s">
        <v>5</v>
      </c>
      <c r="D53" t="s">
        <v>7</v>
      </c>
      <c r="F53" t="s">
        <v>5</v>
      </c>
      <c r="G53" t="s">
        <v>7</v>
      </c>
      <c r="H53" t="s">
        <v>7</v>
      </c>
      <c r="I53" t="s">
        <v>7</v>
      </c>
    </row>
    <row r="54" spans="1:9" x14ac:dyDescent="0.25">
      <c r="A54" s="4">
        <v>50</v>
      </c>
      <c r="D54" t="s">
        <v>7</v>
      </c>
      <c r="E54" t="s">
        <v>7</v>
      </c>
      <c r="F54" t="s">
        <v>3</v>
      </c>
      <c r="G54" t="s">
        <v>5</v>
      </c>
      <c r="H54" t="s">
        <v>7</v>
      </c>
      <c r="I54" t="s">
        <v>7</v>
      </c>
    </row>
    <row r="55" spans="1:9" x14ac:dyDescent="0.25">
      <c r="A55" s="4">
        <v>51</v>
      </c>
      <c r="F55" t="s">
        <v>7</v>
      </c>
      <c r="G55" t="s">
        <v>5</v>
      </c>
      <c r="H55" t="s">
        <v>7</v>
      </c>
    </row>
    <row r="56" spans="1:9" x14ac:dyDescent="0.25">
      <c r="A56" s="4">
        <v>52</v>
      </c>
      <c r="D56" t="s">
        <v>7</v>
      </c>
      <c r="G56" t="s">
        <v>7</v>
      </c>
      <c r="H56" t="s">
        <v>7</v>
      </c>
    </row>
    <row r="57" spans="1:9" x14ac:dyDescent="0.25">
      <c r="A57" s="4">
        <v>53</v>
      </c>
      <c r="E57" t="s">
        <v>5</v>
      </c>
      <c r="F57" t="s">
        <v>7</v>
      </c>
    </row>
    <row r="58" spans="1:9" x14ac:dyDescent="0.25">
      <c r="A58" s="4">
        <v>54</v>
      </c>
      <c r="C58" t="s">
        <v>7</v>
      </c>
      <c r="D58" t="s">
        <v>7</v>
      </c>
      <c r="E58" t="s">
        <v>7</v>
      </c>
      <c r="F58" t="s">
        <v>7</v>
      </c>
      <c r="G58" t="s">
        <v>5</v>
      </c>
      <c r="I58" t="s">
        <v>7</v>
      </c>
    </row>
    <row r="59" spans="1:9" x14ac:dyDescent="0.25">
      <c r="A59" s="4">
        <v>55</v>
      </c>
      <c r="H59" t="s">
        <v>5</v>
      </c>
    </row>
    <row r="60" spans="1:9" x14ac:dyDescent="0.25">
      <c r="A60" s="4">
        <v>56</v>
      </c>
    </row>
  </sheetData>
  <conditionalFormatting sqref="B5:D11 G5:G11">
    <cfRule type="cellIs" dxfId="95" priority="17" operator="equal">
      <formula>"Energia"</formula>
    </cfRule>
  </conditionalFormatting>
  <conditionalFormatting sqref="B5:D60 G5:I60">
    <cfRule type="cellIs" dxfId="94" priority="10" operator="equal">
      <formula>"Energia"</formula>
    </cfRule>
    <cfRule type="cellIs" dxfId="93" priority="12" operator="equal">
      <formula>"Operação"</formula>
    </cfRule>
    <cfRule type="cellIs" dxfId="92" priority="13" operator="equal">
      <formula>"Chuva"</formula>
    </cfRule>
    <cfRule type="cellIs" dxfId="91" priority="14" operator="equal">
      <formula>"Elétrico"</formula>
    </cfRule>
    <cfRule type="cellIs" dxfId="90" priority="15" operator="equal">
      <formula>"Mecânico"</formula>
    </cfRule>
    <cfRule type="cellIs" dxfId="89" priority="16" operator="equal">
      <formula>"Ok"</formula>
    </cfRule>
  </conditionalFormatting>
  <conditionalFormatting sqref="B5:D60 G5:I60">
    <cfRule type="cellIs" dxfId="88" priority="11" operator="equal">
      <formula>"Feito"</formula>
    </cfRule>
  </conditionalFormatting>
  <conditionalFormatting sqref="K7">
    <cfRule type="iconSet" priority="9">
      <iconSet iconSet="3Arrows">
        <cfvo type="percent" val="0"/>
        <cfvo type="percent" val="33"/>
        <cfvo type="percent" val="67"/>
      </iconSet>
    </cfRule>
  </conditionalFormatting>
  <conditionalFormatting sqref="E5:F11">
    <cfRule type="cellIs" dxfId="87" priority="8" operator="equal">
      <formula>"Energia"</formula>
    </cfRule>
  </conditionalFormatting>
  <conditionalFormatting sqref="E5:F60">
    <cfRule type="cellIs" dxfId="86" priority="1" operator="equal">
      <formula>"Energia"</formula>
    </cfRule>
    <cfRule type="cellIs" dxfId="85" priority="3" operator="equal">
      <formula>"Operação"</formula>
    </cfRule>
    <cfRule type="cellIs" dxfId="84" priority="4" operator="equal">
      <formula>"Chuva"</formula>
    </cfRule>
    <cfRule type="cellIs" dxfId="83" priority="5" operator="equal">
      <formula>"Elétrico"</formula>
    </cfRule>
    <cfRule type="cellIs" dxfId="82" priority="6" operator="equal">
      <formula>"Mecânico"</formula>
    </cfRule>
    <cfRule type="cellIs" dxfId="81" priority="7" operator="equal">
      <formula>"Ok"</formula>
    </cfRule>
  </conditionalFormatting>
  <conditionalFormatting sqref="E5:F60">
    <cfRule type="cellIs" dxfId="80" priority="2" operator="equal">
      <formula>"Feito"</formula>
    </cfRule>
  </conditionalFormatting>
  <dataValidations count="1">
    <dataValidation type="list" allowBlank="1" showInputMessage="1" showErrorMessage="1" sqref="B5:J60" xr:uid="{CAE5BEF8-FE99-47F8-971B-08D4395B2A79}">
      <formula1>$K$5:$K$10</formula1>
    </dataValidation>
  </dataValidations>
  <pageMargins left="0.511811024" right="0.511811024" top="0.78740157499999996" bottom="0.78740157499999996" header="0.31496062000000002" footer="0.3149606200000000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5FA0BE-6964-44AF-8CAB-7EE83BEB2BD1}">
  <dimension ref="A3:L60"/>
  <sheetViews>
    <sheetView workbookViewId="0">
      <pane xSplit="1" topLeftCell="B1" activePane="topRight" state="frozen"/>
      <selection pane="topRight" activeCell="O18" sqref="O18"/>
    </sheetView>
  </sheetViews>
  <sheetFormatPr defaultRowHeight="15" x14ac:dyDescent="0.25"/>
  <cols>
    <col min="2" max="2" width="10.42578125" customWidth="1"/>
    <col min="3" max="3" width="10.140625" bestFit="1" customWidth="1"/>
    <col min="4" max="5" width="10.85546875" customWidth="1"/>
    <col min="6" max="6" width="11.140625" customWidth="1"/>
    <col min="7" max="7" width="10.42578125" customWidth="1"/>
    <col min="8" max="8" width="9.85546875" customWidth="1"/>
    <col min="9" max="9" width="10.28515625" customWidth="1"/>
    <col min="11" max="11" width="11.140625" bestFit="1" customWidth="1"/>
  </cols>
  <sheetData>
    <row r="3" spans="1:12" x14ac:dyDescent="0.25">
      <c r="B3" s="3">
        <v>44436</v>
      </c>
      <c r="C3" s="3">
        <f>B3+1</f>
        <v>44437</v>
      </c>
      <c r="D3" s="3">
        <f t="shared" ref="D3:I3" si="0">C3+1</f>
        <v>44438</v>
      </c>
      <c r="E3" s="3">
        <f t="shared" si="0"/>
        <v>44439</v>
      </c>
      <c r="F3" s="3">
        <f t="shared" si="0"/>
        <v>44440</v>
      </c>
      <c r="G3" s="3">
        <f t="shared" si="0"/>
        <v>44441</v>
      </c>
      <c r="H3" s="3">
        <f t="shared" si="0"/>
        <v>44442</v>
      </c>
      <c r="I3" s="3">
        <f t="shared" si="0"/>
        <v>44443</v>
      </c>
    </row>
    <row r="4" spans="1:12" x14ac:dyDescent="0.25">
      <c r="A4" s="2" t="s">
        <v>0</v>
      </c>
      <c r="B4" s="1" t="str">
        <f>TEXT(B3,"ddd")</f>
        <v>sáb</v>
      </c>
      <c r="C4" s="1" t="str">
        <f t="shared" ref="C4:I4" si="1">TEXT(C3,"ddd")</f>
        <v>dom</v>
      </c>
      <c r="D4" s="1" t="str">
        <f t="shared" si="1"/>
        <v>seg</v>
      </c>
      <c r="E4" s="1" t="str">
        <f t="shared" si="1"/>
        <v>ter</v>
      </c>
      <c r="F4" s="1" t="str">
        <f t="shared" si="1"/>
        <v>qua</v>
      </c>
      <c r="G4" s="1" t="str">
        <f t="shared" si="1"/>
        <v>qui</v>
      </c>
      <c r="H4" s="1" t="str">
        <f t="shared" si="1"/>
        <v>sex</v>
      </c>
      <c r="I4" s="1" t="str">
        <f t="shared" si="1"/>
        <v>sáb</v>
      </c>
      <c r="K4" s="11" t="s">
        <v>1</v>
      </c>
    </row>
    <row r="5" spans="1:12" x14ac:dyDescent="0.25">
      <c r="A5" s="4">
        <v>1</v>
      </c>
      <c r="B5" t="s">
        <v>7</v>
      </c>
      <c r="C5" t="s">
        <v>7</v>
      </c>
      <c r="E5" t="s">
        <v>5</v>
      </c>
      <c r="F5" t="s">
        <v>7</v>
      </c>
      <c r="G5" t="s">
        <v>7</v>
      </c>
      <c r="H5" t="s">
        <v>7</v>
      </c>
      <c r="I5" t="s">
        <v>7</v>
      </c>
      <c r="K5" s="5" t="s">
        <v>7</v>
      </c>
      <c r="L5">
        <f>COUNTIF($B$5:$I$60,K5)</f>
        <v>153</v>
      </c>
    </row>
    <row r="6" spans="1:12" x14ac:dyDescent="0.25">
      <c r="A6" s="4">
        <v>2</v>
      </c>
      <c r="C6" t="s">
        <v>7</v>
      </c>
      <c r="D6" t="s">
        <v>5</v>
      </c>
      <c r="E6" t="s">
        <v>7</v>
      </c>
      <c r="F6" t="s">
        <v>7</v>
      </c>
      <c r="G6" t="s">
        <v>7</v>
      </c>
      <c r="H6" t="s">
        <v>7</v>
      </c>
      <c r="I6" t="s">
        <v>7</v>
      </c>
      <c r="K6" s="6" t="s">
        <v>2</v>
      </c>
      <c r="L6">
        <f t="shared" ref="L6:L10" si="2">COUNTIF($B$5:$I$60,K6)</f>
        <v>7</v>
      </c>
    </row>
    <row r="7" spans="1:12" x14ac:dyDescent="0.25">
      <c r="A7" s="4">
        <v>3</v>
      </c>
      <c r="C7" t="s">
        <v>7</v>
      </c>
      <c r="D7" t="s">
        <v>7</v>
      </c>
      <c r="E7" t="s">
        <v>7</v>
      </c>
      <c r="F7" t="s">
        <v>7</v>
      </c>
      <c r="G7" t="s">
        <v>7</v>
      </c>
      <c r="H7" t="s">
        <v>7</v>
      </c>
      <c r="I7" t="s">
        <v>7</v>
      </c>
      <c r="K7" s="7" t="s">
        <v>3</v>
      </c>
      <c r="L7">
        <f t="shared" si="2"/>
        <v>1</v>
      </c>
    </row>
    <row r="8" spans="1:12" x14ac:dyDescent="0.25">
      <c r="A8" s="4">
        <v>4</v>
      </c>
      <c r="B8" t="s">
        <v>5</v>
      </c>
      <c r="D8" t="s">
        <v>7</v>
      </c>
      <c r="E8" t="s">
        <v>7</v>
      </c>
      <c r="F8" t="s">
        <v>7</v>
      </c>
      <c r="G8" t="s">
        <v>7</v>
      </c>
      <c r="H8" t="s">
        <v>7</v>
      </c>
      <c r="I8" t="s">
        <v>7</v>
      </c>
      <c r="K8" s="8" t="s">
        <v>4</v>
      </c>
      <c r="L8">
        <f t="shared" si="2"/>
        <v>0</v>
      </c>
    </row>
    <row r="9" spans="1:12" x14ac:dyDescent="0.25">
      <c r="A9" s="4">
        <v>5</v>
      </c>
      <c r="K9" s="9" t="s">
        <v>6</v>
      </c>
      <c r="L9">
        <f t="shared" si="2"/>
        <v>0</v>
      </c>
    </row>
    <row r="10" spans="1:12" x14ac:dyDescent="0.25">
      <c r="A10" s="4">
        <v>6</v>
      </c>
      <c r="K10" s="10" t="s">
        <v>5</v>
      </c>
      <c r="L10">
        <f t="shared" si="2"/>
        <v>36</v>
      </c>
    </row>
    <row r="11" spans="1:12" x14ac:dyDescent="0.25">
      <c r="A11" s="4">
        <v>7</v>
      </c>
      <c r="C11" t="s">
        <v>7</v>
      </c>
      <c r="L11">
        <f>SUM(L5:L10)</f>
        <v>197</v>
      </c>
    </row>
    <row r="12" spans="1:12" x14ac:dyDescent="0.25">
      <c r="A12" s="4">
        <v>8</v>
      </c>
      <c r="B12" t="s">
        <v>7</v>
      </c>
      <c r="E12" t="s">
        <v>7</v>
      </c>
    </row>
    <row r="13" spans="1:12" x14ac:dyDescent="0.25">
      <c r="A13" s="4">
        <v>9</v>
      </c>
      <c r="C13" t="s">
        <v>7</v>
      </c>
      <c r="D13" t="s">
        <v>7</v>
      </c>
      <c r="F13" t="s">
        <v>7</v>
      </c>
      <c r="G13" t="s">
        <v>7</v>
      </c>
      <c r="I13" t="s">
        <v>7</v>
      </c>
    </row>
    <row r="14" spans="1:12" x14ac:dyDescent="0.25">
      <c r="A14" s="4">
        <v>10</v>
      </c>
      <c r="B14" t="s">
        <v>7</v>
      </c>
      <c r="C14" t="s">
        <v>7</v>
      </c>
      <c r="E14" t="s">
        <v>7</v>
      </c>
      <c r="F14" t="s">
        <v>7</v>
      </c>
      <c r="H14" t="s">
        <v>7</v>
      </c>
      <c r="I14" t="s">
        <v>7</v>
      </c>
    </row>
    <row r="15" spans="1:12" x14ac:dyDescent="0.25">
      <c r="A15" s="4">
        <v>11</v>
      </c>
      <c r="C15" t="s">
        <v>7</v>
      </c>
      <c r="D15" t="s">
        <v>7</v>
      </c>
      <c r="F15" t="s">
        <v>7</v>
      </c>
      <c r="G15" t="s">
        <v>7</v>
      </c>
    </row>
    <row r="16" spans="1:12" x14ac:dyDescent="0.25">
      <c r="A16" s="4">
        <v>12</v>
      </c>
      <c r="C16" t="s">
        <v>7</v>
      </c>
      <c r="D16" t="s">
        <v>7</v>
      </c>
      <c r="F16" t="s">
        <v>2</v>
      </c>
      <c r="G16" t="s">
        <v>2</v>
      </c>
      <c r="I16" t="s">
        <v>7</v>
      </c>
    </row>
    <row r="17" spans="1:9" x14ac:dyDescent="0.25">
      <c r="A17" s="4">
        <v>13</v>
      </c>
      <c r="B17" t="s">
        <v>7</v>
      </c>
      <c r="C17" t="s">
        <v>7</v>
      </c>
      <c r="D17" t="s">
        <v>7</v>
      </c>
      <c r="E17" t="s">
        <v>7</v>
      </c>
      <c r="F17" t="s">
        <v>7</v>
      </c>
      <c r="G17" t="s">
        <v>7</v>
      </c>
      <c r="H17" t="s">
        <v>7</v>
      </c>
      <c r="I17" t="s">
        <v>7</v>
      </c>
    </row>
    <row r="18" spans="1:9" x14ac:dyDescent="0.25">
      <c r="A18" s="4">
        <v>14</v>
      </c>
      <c r="B18" t="s">
        <v>2</v>
      </c>
      <c r="D18" t="s">
        <v>7</v>
      </c>
      <c r="F18" t="s">
        <v>7</v>
      </c>
      <c r="H18" t="s">
        <v>7</v>
      </c>
    </row>
    <row r="19" spans="1:9" x14ac:dyDescent="0.25">
      <c r="A19" s="4">
        <v>15</v>
      </c>
    </row>
    <row r="20" spans="1:9" x14ac:dyDescent="0.25">
      <c r="A20" s="4">
        <v>16</v>
      </c>
    </row>
    <row r="21" spans="1:9" x14ac:dyDescent="0.25">
      <c r="A21" s="4">
        <v>17</v>
      </c>
    </row>
    <row r="22" spans="1:9" x14ac:dyDescent="0.25">
      <c r="A22" s="4">
        <v>18</v>
      </c>
    </row>
    <row r="23" spans="1:9" x14ac:dyDescent="0.25">
      <c r="A23" s="4">
        <v>19</v>
      </c>
    </row>
    <row r="24" spans="1:9" x14ac:dyDescent="0.25">
      <c r="A24" s="4">
        <v>20</v>
      </c>
    </row>
    <row r="25" spans="1:9" x14ac:dyDescent="0.25">
      <c r="A25" s="4">
        <v>21</v>
      </c>
    </row>
    <row r="26" spans="1:9" x14ac:dyDescent="0.25">
      <c r="A26" s="4">
        <v>22</v>
      </c>
    </row>
    <row r="27" spans="1:9" x14ac:dyDescent="0.25">
      <c r="A27" s="4">
        <v>23</v>
      </c>
    </row>
    <row r="28" spans="1:9" x14ac:dyDescent="0.25">
      <c r="A28" s="4">
        <v>24</v>
      </c>
    </row>
    <row r="29" spans="1:9" x14ac:dyDescent="0.25">
      <c r="A29" s="4">
        <v>25</v>
      </c>
      <c r="B29" t="s">
        <v>7</v>
      </c>
      <c r="C29" t="s">
        <v>5</v>
      </c>
      <c r="D29" t="s">
        <v>7</v>
      </c>
      <c r="E29" t="s">
        <v>7</v>
      </c>
      <c r="F29" t="s">
        <v>7</v>
      </c>
      <c r="G29" t="s">
        <v>5</v>
      </c>
      <c r="H29" t="s">
        <v>7</v>
      </c>
      <c r="I29" t="s">
        <v>7</v>
      </c>
    </row>
    <row r="30" spans="1:9" x14ac:dyDescent="0.25">
      <c r="A30" s="4">
        <v>26</v>
      </c>
    </row>
    <row r="31" spans="1:9" x14ac:dyDescent="0.25">
      <c r="A31" s="4">
        <v>27</v>
      </c>
    </row>
    <row r="32" spans="1:9" x14ac:dyDescent="0.25">
      <c r="A32" s="4">
        <v>28</v>
      </c>
    </row>
    <row r="33" spans="1:9" x14ac:dyDescent="0.25">
      <c r="A33" s="4">
        <v>29</v>
      </c>
      <c r="B33" t="s">
        <v>7</v>
      </c>
      <c r="C33" t="s">
        <v>5</v>
      </c>
      <c r="D33" t="s">
        <v>7</v>
      </c>
      <c r="E33" t="s">
        <v>7</v>
      </c>
      <c r="F33" t="s">
        <v>7</v>
      </c>
      <c r="G33" t="s">
        <v>7</v>
      </c>
      <c r="H33" t="s">
        <v>7</v>
      </c>
      <c r="I33" t="s">
        <v>7</v>
      </c>
    </row>
    <row r="34" spans="1:9" x14ac:dyDescent="0.25">
      <c r="A34" s="4">
        <v>30</v>
      </c>
      <c r="B34" t="s">
        <v>7</v>
      </c>
      <c r="C34" t="s">
        <v>5</v>
      </c>
      <c r="D34" t="s">
        <v>5</v>
      </c>
      <c r="E34" t="s">
        <v>3</v>
      </c>
      <c r="F34" t="s">
        <v>2</v>
      </c>
      <c r="G34" t="s">
        <v>5</v>
      </c>
      <c r="H34" t="s">
        <v>5</v>
      </c>
      <c r="I34" t="s">
        <v>5</v>
      </c>
    </row>
    <row r="35" spans="1:9" x14ac:dyDescent="0.25">
      <c r="A35" s="4">
        <v>31</v>
      </c>
      <c r="B35" t="s">
        <v>5</v>
      </c>
      <c r="C35" t="s">
        <v>7</v>
      </c>
      <c r="D35" t="s">
        <v>7</v>
      </c>
      <c r="E35" t="s">
        <v>5</v>
      </c>
      <c r="F35" t="s">
        <v>7</v>
      </c>
      <c r="G35" t="s">
        <v>7</v>
      </c>
      <c r="H35" t="s">
        <v>7</v>
      </c>
      <c r="I35" t="s">
        <v>7</v>
      </c>
    </row>
    <row r="36" spans="1:9" x14ac:dyDescent="0.25">
      <c r="A36" s="4">
        <v>32</v>
      </c>
      <c r="B36" t="s">
        <v>5</v>
      </c>
      <c r="C36" t="s">
        <v>2</v>
      </c>
      <c r="D36" t="s">
        <v>2</v>
      </c>
      <c r="E36" t="s">
        <v>7</v>
      </c>
      <c r="G36" t="s">
        <v>7</v>
      </c>
      <c r="I36" t="s">
        <v>7</v>
      </c>
    </row>
    <row r="37" spans="1:9" x14ac:dyDescent="0.25">
      <c r="A37" s="4">
        <v>33</v>
      </c>
      <c r="B37" t="s">
        <v>5</v>
      </c>
      <c r="C37" t="s">
        <v>5</v>
      </c>
      <c r="D37" t="s">
        <v>5</v>
      </c>
      <c r="E37" t="s">
        <v>5</v>
      </c>
      <c r="F37" t="s">
        <v>5</v>
      </c>
      <c r="G37" t="s">
        <v>7</v>
      </c>
      <c r="H37" t="s">
        <v>7</v>
      </c>
      <c r="I37" t="s">
        <v>5</v>
      </c>
    </row>
    <row r="38" spans="1:9" x14ac:dyDescent="0.25">
      <c r="A38" s="4">
        <v>34</v>
      </c>
      <c r="B38" t="s">
        <v>5</v>
      </c>
      <c r="C38" t="s">
        <v>5</v>
      </c>
      <c r="D38" t="s">
        <v>5</v>
      </c>
      <c r="E38" t="s">
        <v>7</v>
      </c>
      <c r="F38" t="s">
        <v>7</v>
      </c>
      <c r="G38" t="s">
        <v>7</v>
      </c>
      <c r="H38" t="s">
        <v>7</v>
      </c>
      <c r="I38" t="s">
        <v>7</v>
      </c>
    </row>
    <row r="39" spans="1:9" x14ac:dyDescent="0.25">
      <c r="A39" s="4">
        <v>35</v>
      </c>
      <c r="C39" t="s">
        <v>7</v>
      </c>
      <c r="E39" t="s">
        <v>7</v>
      </c>
      <c r="G39" t="s">
        <v>7</v>
      </c>
      <c r="I39" t="s">
        <v>7</v>
      </c>
    </row>
    <row r="40" spans="1:9" x14ac:dyDescent="0.25">
      <c r="A40" s="4">
        <v>36</v>
      </c>
      <c r="C40" t="s">
        <v>7</v>
      </c>
      <c r="E40" t="s">
        <v>7</v>
      </c>
      <c r="G40" t="s">
        <v>7</v>
      </c>
      <c r="I40" t="s">
        <v>7</v>
      </c>
    </row>
    <row r="41" spans="1:9" x14ac:dyDescent="0.25">
      <c r="A41" s="4">
        <v>37</v>
      </c>
      <c r="B41" t="s">
        <v>7</v>
      </c>
      <c r="D41" t="s">
        <v>7</v>
      </c>
      <c r="F41" t="s">
        <v>7</v>
      </c>
      <c r="H41" t="s">
        <v>7</v>
      </c>
    </row>
    <row r="42" spans="1:9" x14ac:dyDescent="0.25">
      <c r="A42" s="4">
        <v>38</v>
      </c>
    </row>
    <row r="43" spans="1:9" x14ac:dyDescent="0.25">
      <c r="A43" s="4">
        <v>39</v>
      </c>
    </row>
    <row r="44" spans="1:9" x14ac:dyDescent="0.25">
      <c r="A44" s="4">
        <v>40</v>
      </c>
    </row>
    <row r="45" spans="1:9" x14ac:dyDescent="0.25">
      <c r="A45" s="4">
        <v>41</v>
      </c>
    </row>
    <row r="46" spans="1:9" x14ac:dyDescent="0.25">
      <c r="A46" s="4">
        <v>42</v>
      </c>
    </row>
    <row r="47" spans="1:9" x14ac:dyDescent="0.25">
      <c r="A47" s="4">
        <v>43</v>
      </c>
      <c r="F47" t="s">
        <v>5</v>
      </c>
    </row>
    <row r="48" spans="1:9" x14ac:dyDescent="0.25">
      <c r="A48" s="4">
        <v>44</v>
      </c>
      <c r="F48" t="s">
        <v>5</v>
      </c>
    </row>
    <row r="49" spans="1:9" x14ac:dyDescent="0.25">
      <c r="A49" s="4">
        <v>45</v>
      </c>
      <c r="D49" t="s">
        <v>7</v>
      </c>
      <c r="H49" t="s">
        <v>7</v>
      </c>
      <c r="I49" t="s">
        <v>7</v>
      </c>
    </row>
    <row r="50" spans="1:9" x14ac:dyDescent="0.25">
      <c r="A50" s="4">
        <v>46</v>
      </c>
      <c r="B50" t="s">
        <v>7</v>
      </c>
      <c r="E50" t="s">
        <v>7</v>
      </c>
      <c r="F50" t="s">
        <v>7</v>
      </c>
      <c r="G50" t="s">
        <v>7</v>
      </c>
      <c r="H50" t="s">
        <v>7</v>
      </c>
      <c r="I50" t="s">
        <v>7</v>
      </c>
    </row>
    <row r="51" spans="1:9" x14ac:dyDescent="0.25">
      <c r="A51" s="4">
        <v>47</v>
      </c>
      <c r="B51" t="s">
        <v>5</v>
      </c>
      <c r="D51" t="s">
        <v>5</v>
      </c>
      <c r="E51" t="s">
        <v>7</v>
      </c>
      <c r="F51" t="s">
        <v>5</v>
      </c>
      <c r="G51" t="s">
        <v>7</v>
      </c>
      <c r="H51" t="s">
        <v>7</v>
      </c>
      <c r="I51" t="s">
        <v>7</v>
      </c>
    </row>
    <row r="52" spans="1:9" x14ac:dyDescent="0.25">
      <c r="A52" s="4">
        <v>48</v>
      </c>
      <c r="B52" t="s">
        <v>7</v>
      </c>
      <c r="C52" t="s">
        <v>7</v>
      </c>
      <c r="D52" t="s">
        <v>2</v>
      </c>
      <c r="E52" t="s">
        <v>7</v>
      </c>
      <c r="F52" t="s">
        <v>7</v>
      </c>
      <c r="G52" t="s">
        <v>5</v>
      </c>
      <c r="H52" t="s">
        <v>7</v>
      </c>
      <c r="I52" t="s">
        <v>7</v>
      </c>
    </row>
    <row r="53" spans="1:9" x14ac:dyDescent="0.25">
      <c r="A53" s="4">
        <v>49</v>
      </c>
      <c r="B53" t="s">
        <v>7</v>
      </c>
      <c r="C53" t="s">
        <v>7</v>
      </c>
      <c r="D53" t="s">
        <v>7</v>
      </c>
      <c r="E53" t="s">
        <v>7</v>
      </c>
      <c r="F53" t="s">
        <v>7</v>
      </c>
      <c r="G53" t="s">
        <v>7</v>
      </c>
      <c r="H53" t="s">
        <v>7</v>
      </c>
      <c r="I53" t="s">
        <v>7</v>
      </c>
    </row>
    <row r="54" spans="1:9" x14ac:dyDescent="0.25">
      <c r="A54" s="4">
        <v>50</v>
      </c>
      <c r="B54" t="s">
        <v>7</v>
      </c>
      <c r="C54" t="s">
        <v>7</v>
      </c>
      <c r="D54" t="s">
        <v>7</v>
      </c>
      <c r="E54" t="s">
        <v>7</v>
      </c>
      <c r="F54" t="s">
        <v>7</v>
      </c>
      <c r="G54" t="s">
        <v>7</v>
      </c>
      <c r="H54" t="s">
        <v>5</v>
      </c>
      <c r="I54" t="s">
        <v>7</v>
      </c>
    </row>
    <row r="55" spans="1:9" x14ac:dyDescent="0.25">
      <c r="A55" s="4">
        <v>51</v>
      </c>
      <c r="B55" t="s">
        <v>7</v>
      </c>
      <c r="C55" t="s">
        <v>5</v>
      </c>
      <c r="D55" t="s">
        <v>5</v>
      </c>
      <c r="E55" t="s">
        <v>7</v>
      </c>
      <c r="F55" t="s">
        <v>5</v>
      </c>
      <c r="G55" t="s">
        <v>7</v>
      </c>
      <c r="H55" t="s">
        <v>7</v>
      </c>
      <c r="I55" t="s">
        <v>7</v>
      </c>
    </row>
    <row r="56" spans="1:9" x14ac:dyDescent="0.25">
      <c r="A56" s="4">
        <v>52</v>
      </c>
      <c r="C56" t="s">
        <v>7</v>
      </c>
      <c r="G56" t="s">
        <v>7</v>
      </c>
    </row>
    <row r="57" spans="1:9" x14ac:dyDescent="0.25">
      <c r="A57" s="4">
        <v>53</v>
      </c>
      <c r="G57" t="s">
        <v>7</v>
      </c>
      <c r="H57" t="s">
        <v>5</v>
      </c>
      <c r="I57" t="s">
        <v>7</v>
      </c>
    </row>
    <row r="58" spans="1:9" x14ac:dyDescent="0.25">
      <c r="A58" s="4">
        <v>54</v>
      </c>
      <c r="B58" t="s">
        <v>7</v>
      </c>
      <c r="C58" t="s">
        <v>7</v>
      </c>
      <c r="D58" t="s">
        <v>7</v>
      </c>
      <c r="E58" t="s">
        <v>7</v>
      </c>
      <c r="F58" t="s">
        <v>7</v>
      </c>
      <c r="G58" t="s">
        <v>7</v>
      </c>
      <c r="H58" t="s">
        <v>7</v>
      </c>
      <c r="I58" t="s">
        <v>7</v>
      </c>
    </row>
    <row r="59" spans="1:9" x14ac:dyDescent="0.25">
      <c r="A59" s="4">
        <v>55</v>
      </c>
      <c r="B59" t="s">
        <v>7</v>
      </c>
      <c r="C59" t="s">
        <v>7</v>
      </c>
    </row>
    <row r="60" spans="1:9" x14ac:dyDescent="0.25">
      <c r="A60" s="4">
        <v>56</v>
      </c>
      <c r="E60" t="s">
        <v>5</v>
      </c>
      <c r="F60" t="s">
        <v>5</v>
      </c>
      <c r="G60" t="s">
        <v>7</v>
      </c>
    </row>
  </sheetData>
  <conditionalFormatting sqref="B5:D11 G5:G11">
    <cfRule type="cellIs" dxfId="79" priority="17" operator="equal">
      <formula>"Energia"</formula>
    </cfRule>
  </conditionalFormatting>
  <conditionalFormatting sqref="B5:D60 G5:I60">
    <cfRule type="cellIs" dxfId="78" priority="10" operator="equal">
      <formula>"Energia"</formula>
    </cfRule>
    <cfRule type="cellIs" dxfId="77" priority="12" operator="equal">
      <formula>"Operação"</formula>
    </cfRule>
    <cfRule type="cellIs" dxfId="76" priority="13" operator="equal">
      <formula>"Chuva"</formula>
    </cfRule>
    <cfRule type="cellIs" dxfId="75" priority="14" operator="equal">
      <formula>"Elétrico"</formula>
    </cfRule>
    <cfRule type="cellIs" dxfId="74" priority="15" operator="equal">
      <formula>"Mecânico"</formula>
    </cfRule>
    <cfRule type="cellIs" dxfId="73" priority="16" operator="equal">
      <formula>"Ok"</formula>
    </cfRule>
  </conditionalFormatting>
  <conditionalFormatting sqref="B5:D60 G5:I60">
    <cfRule type="cellIs" dxfId="72" priority="11" operator="equal">
      <formula>"Feito"</formula>
    </cfRule>
  </conditionalFormatting>
  <conditionalFormatting sqref="K7">
    <cfRule type="iconSet" priority="9">
      <iconSet iconSet="3Arrows">
        <cfvo type="percent" val="0"/>
        <cfvo type="percent" val="33"/>
        <cfvo type="percent" val="67"/>
      </iconSet>
    </cfRule>
  </conditionalFormatting>
  <conditionalFormatting sqref="E5:F11">
    <cfRule type="cellIs" dxfId="71" priority="8" operator="equal">
      <formula>"Energia"</formula>
    </cfRule>
  </conditionalFormatting>
  <conditionalFormatting sqref="E5:F60">
    <cfRule type="cellIs" dxfId="70" priority="1" operator="equal">
      <formula>"Energia"</formula>
    </cfRule>
    <cfRule type="cellIs" dxfId="69" priority="3" operator="equal">
      <formula>"Operação"</formula>
    </cfRule>
    <cfRule type="cellIs" dxfId="68" priority="4" operator="equal">
      <formula>"Chuva"</formula>
    </cfRule>
    <cfRule type="cellIs" dxfId="67" priority="5" operator="equal">
      <formula>"Elétrico"</formula>
    </cfRule>
    <cfRule type="cellIs" dxfId="66" priority="6" operator="equal">
      <formula>"Mecânico"</formula>
    </cfRule>
    <cfRule type="cellIs" dxfId="65" priority="7" operator="equal">
      <formula>"Ok"</formula>
    </cfRule>
  </conditionalFormatting>
  <conditionalFormatting sqref="E5:F60">
    <cfRule type="cellIs" dxfId="64" priority="2" operator="equal">
      <formula>"Feito"</formula>
    </cfRule>
  </conditionalFormatting>
  <dataValidations count="1">
    <dataValidation type="list" allowBlank="1" showInputMessage="1" showErrorMessage="1" sqref="B5:J60" xr:uid="{BC28EC38-74F4-4044-8FDB-5B45B06A59C5}">
      <formula1>$K$5:$K$10</formula1>
    </dataValidation>
  </dataValidations>
  <pageMargins left="0.511811024" right="0.511811024" top="0.78740157499999996" bottom="0.78740157499999996" header="0.31496062000000002" footer="0.3149606200000000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BC6129-B701-4736-9757-A4F80DDF1AA6}">
  <dimension ref="A3:L62"/>
  <sheetViews>
    <sheetView workbookViewId="0">
      <pane xSplit="1" topLeftCell="B1" activePane="topRight" state="frozen"/>
      <selection pane="topRight" activeCell="L5" sqref="L5:L10"/>
    </sheetView>
  </sheetViews>
  <sheetFormatPr defaultRowHeight="15" x14ac:dyDescent="0.25"/>
  <cols>
    <col min="2" max="2" width="10.42578125" customWidth="1"/>
    <col min="3" max="3" width="10.140625" bestFit="1" customWidth="1"/>
    <col min="4" max="5" width="10.85546875" customWidth="1"/>
    <col min="6" max="6" width="11.140625" customWidth="1"/>
    <col min="7" max="7" width="10.42578125" customWidth="1"/>
    <col min="8" max="8" width="9.85546875" customWidth="1"/>
    <col min="9" max="9" width="10.28515625" customWidth="1"/>
    <col min="11" max="11" width="11.140625" bestFit="1" customWidth="1"/>
  </cols>
  <sheetData>
    <row r="3" spans="1:12" x14ac:dyDescent="0.25">
      <c r="B3" s="3">
        <v>44444</v>
      </c>
      <c r="C3" s="3">
        <f>B3+1</f>
        <v>44445</v>
      </c>
      <c r="D3" s="3">
        <f t="shared" ref="D3:I3" si="0">C3+1</f>
        <v>44446</v>
      </c>
      <c r="E3" s="3">
        <f t="shared" si="0"/>
        <v>44447</v>
      </c>
      <c r="F3" s="3">
        <f t="shared" si="0"/>
        <v>44448</v>
      </c>
      <c r="G3" s="3">
        <f t="shared" si="0"/>
        <v>44449</v>
      </c>
      <c r="H3" s="3">
        <f t="shared" si="0"/>
        <v>44450</v>
      </c>
      <c r="I3" s="3">
        <f t="shared" si="0"/>
        <v>44451</v>
      </c>
    </row>
    <row r="4" spans="1:12" x14ac:dyDescent="0.25">
      <c r="A4" s="2" t="s">
        <v>0</v>
      </c>
      <c r="B4" s="1" t="str">
        <f>TEXT(B3,"ddd")</f>
        <v>dom</v>
      </c>
      <c r="C4" s="1" t="str">
        <f t="shared" ref="C4:I4" si="1">TEXT(C3,"ddd")</f>
        <v>seg</v>
      </c>
      <c r="D4" s="1" t="str">
        <f t="shared" si="1"/>
        <v>ter</v>
      </c>
      <c r="E4" s="1" t="str">
        <f t="shared" si="1"/>
        <v>qua</v>
      </c>
      <c r="F4" s="1" t="str">
        <f t="shared" si="1"/>
        <v>qui</v>
      </c>
      <c r="G4" s="1" t="str">
        <f t="shared" si="1"/>
        <v>sex</v>
      </c>
      <c r="H4" s="1" t="str">
        <f t="shared" si="1"/>
        <v>sáb</v>
      </c>
      <c r="I4" s="1" t="str">
        <f t="shared" si="1"/>
        <v>dom</v>
      </c>
      <c r="K4" s="11" t="s">
        <v>1</v>
      </c>
    </row>
    <row r="5" spans="1:12" x14ac:dyDescent="0.25">
      <c r="A5" s="4">
        <v>1</v>
      </c>
      <c r="B5" t="s">
        <v>7</v>
      </c>
      <c r="C5" t="s">
        <v>7</v>
      </c>
      <c r="E5" t="s">
        <v>7</v>
      </c>
      <c r="G5" t="s">
        <v>7</v>
      </c>
      <c r="H5" t="s">
        <v>7</v>
      </c>
      <c r="I5" t="s">
        <v>7</v>
      </c>
      <c r="K5" s="5" t="s">
        <v>7</v>
      </c>
      <c r="L5">
        <f>COUNTIF($B$5:$I$60,K5)</f>
        <v>194</v>
      </c>
    </row>
    <row r="6" spans="1:12" x14ac:dyDescent="0.25">
      <c r="A6" s="4">
        <v>2</v>
      </c>
      <c r="B6" t="s">
        <v>7</v>
      </c>
      <c r="C6" t="s">
        <v>7</v>
      </c>
      <c r="D6" t="s">
        <v>7</v>
      </c>
      <c r="E6" t="s">
        <v>7</v>
      </c>
      <c r="F6" t="s">
        <v>7</v>
      </c>
      <c r="G6" t="s">
        <v>7</v>
      </c>
      <c r="H6" t="s">
        <v>7</v>
      </c>
      <c r="I6" t="s">
        <v>7</v>
      </c>
      <c r="K6" s="6" t="s">
        <v>2</v>
      </c>
      <c r="L6">
        <f t="shared" ref="L6:L10" si="2">COUNTIF($B$5:$I$60,K6)</f>
        <v>4</v>
      </c>
    </row>
    <row r="7" spans="1:12" x14ac:dyDescent="0.25">
      <c r="A7" s="4">
        <v>3</v>
      </c>
      <c r="B7" t="s">
        <v>7</v>
      </c>
      <c r="C7" t="s">
        <v>7</v>
      </c>
      <c r="D7" t="s">
        <v>7</v>
      </c>
      <c r="E7" t="s">
        <v>7</v>
      </c>
      <c r="F7" t="s">
        <v>7</v>
      </c>
      <c r="G7" t="s">
        <v>7</v>
      </c>
      <c r="H7" t="s">
        <v>7</v>
      </c>
      <c r="I7" t="s">
        <v>7</v>
      </c>
      <c r="K7" s="7" t="s">
        <v>3</v>
      </c>
      <c r="L7">
        <f t="shared" si="2"/>
        <v>2</v>
      </c>
    </row>
    <row r="8" spans="1:12" x14ac:dyDescent="0.25">
      <c r="A8" s="4">
        <v>4</v>
      </c>
      <c r="B8" t="s">
        <v>7</v>
      </c>
      <c r="C8" t="s">
        <v>7</v>
      </c>
      <c r="D8" t="s">
        <v>7</v>
      </c>
      <c r="E8" t="s">
        <v>7</v>
      </c>
      <c r="F8" t="s">
        <v>7</v>
      </c>
      <c r="G8" t="s">
        <v>7</v>
      </c>
      <c r="H8" t="s">
        <v>7</v>
      </c>
      <c r="I8" t="s">
        <v>7</v>
      </c>
      <c r="K8" s="8" t="s">
        <v>4</v>
      </c>
      <c r="L8">
        <f t="shared" si="2"/>
        <v>0</v>
      </c>
    </row>
    <row r="9" spans="1:12" x14ac:dyDescent="0.25">
      <c r="A9" s="4">
        <v>5</v>
      </c>
      <c r="K9" s="9" t="s">
        <v>6</v>
      </c>
      <c r="L9">
        <f t="shared" si="2"/>
        <v>0</v>
      </c>
    </row>
    <row r="10" spans="1:12" x14ac:dyDescent="0.25">
      <c r="A10" s="4">
        <v>6</v>
      </c>
      <c r="G10" t="s">
        <v>7</v>
      </c>
      <c r="K10" s="10" t="s">
        <v>5</v>
      </c>
      <c r="L10">
        <f t="shared" si="2"/>
        <v>18</v>
      </c>
    </row>
    <row r="11" spans="1:12" x14ac:dyDescent="0.25">
      <c r="A11" s="4">
        <v>7</v>
      </c>
      <c r="G11" t="s">
        <v>7</v>
      </c>
      <c r="L11">
        <f>SUM(L5:L10)</f>
        <v>218</v>
      </c>
    </row>
    <row r="12" spans="1:12" x14ac:dyDescent="0.25">
      <c r="A12" s="4">
        <v>8</v>
      </c>
      <c r="B12" t="s">
        <v>7</v>
      </c>
      <c r="E12" t="s">
        <v>5</v>
      </c>
      <c r="G12" t="s">
        <v>7</v>
      </c>
    </row>
    <row r="13" spans="1:12" x14ac:dyDescent="0.25">
      <c r="A13" s="4">
        <v>9</v>
      </c>
      <c r="C13" t="s">
        <v>7</v>
      </c>
      <c r="D13" t="s">
        <v>2</v>
      </c>
      <c r="G13" t="s">
        <v>7</v>
      </c>
      <c r="I13" t="s">
        <v>7</v>
      </c>
    </row>
    <row r="14" spans="1:12" x14ac:dyDescent="0.25">
      <c r="A14" s="4">
        <v>10</v>
      </c>
      <c r="D14" t="s">
        <v>7</v>
      </c>
      <c r="F14" t="s">
        <v>7</v>
      </c>
      <c r="G14" t="s">
        <v>7</v>
      </c>
    </row>
    <row r="15" spans="1:12" x14ac:dyDescent="0.25">
      <c r="A15" s="4">
        <v>11</v>
      </c>
      <c r="B15" t="s">
        <v>7</v>
      </c>
      <c r="C15" t="s">
        <v>7</v>
      </c>
      <c r="E15" t="s">
        <v>7</v>
      </c>
      <c r="F15" t="s">
        <v>2</v>
      </c>
      <c r="H15" t="s">
        <v>7</v>
      </c>
    </row>
    <row r="16" spans="1:12" x14ac:dyDescent="0.25">
      <c r="A16" s="4">
        <v>12</v>
      </c>
      <c r="B16" t="s">
        <v>7</v>
      </c>
      <c r="D16" t="s">
        <v>7</v>
      </c>
      <c r="E16" t="s">
        <v>7</v>
      </c>
      <c r="G16" t="s">
        <v>7</v>
      </c>
      <c r="H16" t="s">
        <v>7</v>
      </c>
      <c r="I16" t="s">
        <v>7</v>
      </c>
    </row>
    <row r="17" spans="1:9" x14ac:dyDescent="0.25">
      <c r="A17" s="4">
        <v>13</v>
      </c>
      <c r="B17" t="s">
        <v>7</v>
      </c>
      <c r="C17" t="s">
        <v>7</v>
      </c>
      <c r="D17" t="s">
        <v>7</v>
      </c>
      <c r="E17" t="s">
        <v>7</v>
      </c>
      <c r="F17" t="s">
        <v>7</v>
      </c>
      <c r="G17" t="s">
        <v>7</v>
      </c>
      <c r="H17" t="s">
        <v>7</v>
      </c>
      <c r="I17" t="s">
        <v>7</v>
      </c>
    </row>
    <row r="18" spans="1:9" x14ac:dyDescent="0.25">
      <c r="A18" s="4">
        <v>14</v>
      </c>
      <c r="B18" t="s">
        <v>7</v>
      </c>
      <c r="C18" t="s">
        <v>7</v>
      </c>
      <c r="E18" t="s">
        <v>7</v>
      </c>
      <c r="F18" t="s">
        <v>7</v>
      </c>
      <c r="H18" t="s">
        <v>7</v>
      </c>
      <c r="I18" t="s">
        <v>7</v>
      </c>
    </row>
    <row r="19" spans="1:9" x14ac:dyDescent="0.25">
      <c r="A19" s="4">
        <v>15</v>
      </c>
    </row>
    <row r="20" spans="1:9" x14ac:dyDescent="0.25">
      <c r="A20" s="4">
        <v>16</v>
      </c>
      <c r="D20" t="s">
        <v>5</v>
      </c>
      <c r="H20" t="s">
        <v>7</v>
      </c>
      <c r="I20" t="s">
        <v>7</v>
      </c>
    </row>
    <row r="21" spans="1:9" x14ac:dyDescent="0.25">
      <c r="A21" s="4">
        <v>17</v>
      </c>
    </row>
    <row r="22" spans="1:9" x14ac:dyDescent="0.25">
      <c r="A22" s="4">
        <v>18</v>
      </c>
    </row>
    <row r="23" spans="1:9" x14ac:dyDescent="0.25">
      <c r="A23" s="4">
        <v>19</v>
      </c>
    </row>
    <row r="24" spans="1:9" x14ac:dyDescent="0.25">
      <c r="A24" s="4">
        <v>20</v>
      </c>
    </row>
    <row r="25" spans="1:9" x14ac:dyDescent="0.25">
      <c r="A25" s="4">
        <v>21</v>
      </c>
    </row>
    <row r="26" spans="1:9" x14ac:dyDescent="0.25">
      <c r="A26" s="4">
        <v>22</v>
      </c>
    </row>
    <row r="27" spans="1:9" x14ac:dyDescent="0.25">
      <c r="A27" s="4">
        <v>23</v>
      </c>
    </row>
    <row r="28" spans="1:9" x14ac:dyDescent="0.25">
      <c r="A28" s="4">
        <v>24</v>
      </c>
    </row>
    <row r="29" spans="1:9" x14ac:dyDescent="0.25">
      <c r="A29" s="4">
        <v>25</v>
      </c>
      <c r="B29" t="s">
        <v>7</v>
      </c>
      <c r="C29" t="s">
        <v>7</v>
      </c>
      <c r="D29" t="s">
        <v>7</v>
      </c>
      <c r="E29" t="s">
        <v>7</v>
      </c>
      <c r="F29" t="s">
        <v>2</v>
      </c>
      <c r="G29" t="s">
        <v>7</v>
      </c>
      <c r="H29" t="s">
        <v>7</v>
      </c>
      <c r="I29" t="s">
        <v>7</v>
      </c>
    </row>
    <row r="30" spans="1:9" x14ac:dyDescent="0.25">
      <c r="A30" s="4">
        <v>26</v>
      </c>
    </row>
    <row r="31" spans="1:9" x14ac:dyDescent="0.25">
      <c r="A31" s="4">
        <v>27</v>
      </c>
    </row>
    <row r="32" spans="1:9" x14ac:dyDescent="0.25">
      <c r="A32" s="4">
        <v>28</v>
      </c>
    </row>
    <row r="33" spans="1:9" x14ac:dyDescent="0.25">
      <c r="A33" s="4">
        <v>29</v>
      </c>
      <c r="B33" t="s">
        <v>7</v>
      </c>
      <c r="C33" t="s">
        <v>7</v>
      </c>
      <c r="D33" t="s">
        <v>7</v>
      </c>
      <c r="E33" t="s">
        <v>7</v>
      </c>
      <c r="F33" t="s">
        <v>7</v>
      </c>
      <c r="G33" t="s">
        <v>7</v>
      </c>
      <c r="H33" t="s">
        <v>7</v>
      </c>
      <c r="I33" t="s">
        <v>7</v>
      </c>
    </row>
    <row r="34" spans="1:9" x14ac:dyDescent="0.25">
      <c r="A34" s="4">
        <v>30</v>
      </c>
      <c r="B34" t="s">
        <v>7</v>
      </c>
      <c r="C34" t="s">
        <v>7</v>
      </c>
      <c r="D34" t="s">
        <v>7</v>
      </c>
      <c r="E34" t="s">
        <v>7</v>
      </c>
      <c r="F34" t="s">
        <v>7</v>
      </c>
      <c r="G34" t="s">
        <v>7</v>
      </c>
      <c r="H34" t="s">
        <v>7</v>
      </c>
      <c r="I34" t="s">
        <v>7</v>
      </c>
    </row>
    <row r="35" spans="1:9" x14ac:dyDescent="0.25">
      <c r="A35" s="4">
        <v>31</v>
      </c>
      <c r="B35" t="s">
        <v>7</v>
      </c>
      <c r="C35" t="s">
        <v>7</v>
      </c>
      <c r="D35" t="s">
        <v>7</v>
      </c>
      <c r="E35" t="s">
        <v>7</v>
      </c>
      <c r="F35" t="s">
        <v>7</v>
      </c>
      <c r="G35" t="s">
        <v>5</v>
      </c>
      <c r="H35" t="s">
        <v>5</v>
      </c>
    </row>
    <row r="36" spans="1:9" x14ac:dyDescent="0.25">
      <c r="A36" s="4">
        <v>32</v>
      </c>
      <c r="B36" t="s">
        <v>7</v>
      </c>
      <c r="C36" t="s">
        <v>7</v>
      </c>
      <c r="D36" t="s">
        <v>7</v>
      </c>
      <c r="E36" t="s">
        <v>7</v>
      </c>
      <c r="F36" t="s">
        <v>7</v>
      </c>
      <c r="G36" t="s">
        <v>7</v>
      </c>
      <c r="H36" t="s">
        <v>7</v>
      </c>
      <c r="I36" t="s">
        <v>7</v>
      </c>
    </row>
    <row r="37" spans="1:9" x14ac:dyDescent="0.25">
      <c r="A37" s="4">
        <v>33</v>
      </c>
      <c r="B37" t="s">
        <v>3</v>
      </c>
      <c r="C37" t="s">
        <v>7</v>
      </c>
      <c r="D37" t="s">
        <v>7</v>
      </c>
      <c r="E37" t="s">
        <v>7</v>
      </c>
      <c r="F37" t="s">
        <v>7</v>
      </c>
      <c r="G37" t="s">
        <v>5</v>
      </c>
      <c r="H37" t="s">
        <v>5</v>
      </c>
    </row>
    <row r="38" spans="1:9" x14ac:dyDescent="0.25">
      <c r="A38" s="4">
        <v>34</v>
      </c>
      <c r="B38" t="s">
        <v>7</v>
      </c>
      <c r="C38" t="s">
        <v>7</v>
      </c>
      <c r="D38" t="s">
        <v>7</v>
      </c>
      <c r="E38" t="s">
        <v>7</v>
      </c>
      <c r="F38" t="s">
        <v>7</v>
      </c>
      <c r="G38" t="s">
        <v>7</v>
      </c>
      <c r="H38" t="s">
        <v>7</v>
      </c>
      <c r="I38" t="s">
        <v>7</v>
      </c>
    </row>
    <row r="39" spans="1:9" x14ac:dyDescent="0.25">
      <c r="A39" s="4">
        <v>35</v>
      </c>
      <c r="C39" t="s">
        <v>7</v>
      </c>
    </row>
    <row r="40" spans="1:9" x14ac:dyDescent="0.25">
      <c r="A40" s="4">
        <v>36</v>
      </c>
      <c r="C40" t="s">
        <v>7</v>
      </c>
      <c r="E40" t="s">
        <v>7</v>
      </c>
      <c r="G40" t="s">
        <v>7</v>
      </c>
      <c r="I40" t="s">
        <v>5</v>
      </c>
    </row>
    <row r="41" spans="1:9" x14ac:dyDescent="0.25">
      <c r="A41" s="4">
        <v>37</v>
      </c>
      <c r="B41" t="s">
        <v>7</v>
      </c>
      <c r="D41" t="s">
        <v>7</v>
      </c>
      <c r="F41" t="s">
        <v>7</v>
      </c>
      <c r="H41" t="s">
        <v>7</v>
      </c>
    </row>
    <row r="42" spans="1:9" x14ac:dyDescent="0.25">
      <c r="A42" s="4">
        <v>38</v>
      </c>
      <c r="I42" t="s">
        <v>5</v>
      </c>
    </row>
    <row r="43" spans="1:9" x14ac:dyDescent="0.25">
      <c r="A43" s="4">
        <v>39</v>
      </c>
      <c r="G43" t="s">
        <v>7</v>
      </c>
      <c r="H43" t="s">
        <v>5</v>
      </c>
    </row>
    <row r="44" spans="1:9" x14ac:dyDescent="0.25">
      <c r="A44" s="4">
        <v>40</v>
      </c>
    </row>
    <row r="45" spans="1:9" x14ac:dyDescent="0.25">
      <c r="A45" s="4">
        <v>41</v>
      </c>
      <c r="F45" t="s">
        <v>5</v>
      </c>
    </row>
    <row r="46" spans="1:9" x14ac:dyDescent="0.25">
      <c r="A46" s="4">
        <v>42</v>
      </c>
      <c r="B46" t="s">
        <v>5</v>
      </c>
      <c r="E46" t="s">
        <v>7</v>
      </c>
      <c r="G46" t="s">
        <v>5</v>
      </c>
    </row>
    <row r="47" spans="1:9" x14ac:dyDescent="0.25">
      <c r="A47" s="4">
        <v>43</v>
      </c>
    </row>
    <row r="48" spans="1:9" x14ac:dyDescent="0.25">
      <c r="A48" s="4">
        <v>44</v>
      </c>
      <c r="E48" t="s">
        <v>7</v>
      </c>
    </row>
    <row r="49" spans="1:9" x14ac:dyDescent="0.25">
      <c r="A49" s="4">
        <v>45</v>
      </c>
      <c r="D49" t="s">
        <v>7</v>
      </c>
      <c r="G49" t="s">
        <v>7</v>
      </c>
      <c r="H49" t="s">
        <v>7</v>
      </c>
      <c r="I49" t="s">
        <v>7</v>
      </c>
    </row>
    <row r="50" spans="1:9" x14ac:dyDescent="0.25">
      <c r="A50" s="4">
        <v>46</v>
      </c>
      <c r="B50" t="s">
        <v>7</v>
      </c>
      <c r="C50" t="s">
        <v>7</v>
      </c>
      <c r="D50" t="s">
        <v>7</v>
      </c>
      <c r="E50" t="s">
        <v>7</v>
      </c>
      <c r="F50" t="s">
        <v>7</v>
      </c>
      <c r="G50" t="s">
        <v>7</v>
      </c>
      <c r="H50" t="s">
        <v>7</v>
      </c>
      <c r="I50" t="s">
        <v>7</v>
      </c>
    </row>
    <row r="51" spans="1:9" x14ac:dyDescent="0.25">
      <c r="A51" s="4">
        <v>47</v>
      </c>
      <c r="B51" t="s">
        <v>7</v>
      </c>
      <c r="C51" t="s">
        <v>7</v>
      </c>
      <c r="D51" t="s">
        <v>7</v>
      </c>
      <c r="E51" t="s">
        <v>7</v>
      </c>
      <c r="F51" t="s">
        <v>7</v>
      </c>
      <c r="G51" t="s">
        <v>7</v>
      </c>
      <c r="H51" t="s">
        <v>7</v>
      </c>
      <c r="I51" t="s">
        <v>7</v>
      </c>
    </row>
    <row r="52" spans="1:9" x14ac:dyDescent="0.25">
      <c r="A52" s="4">
        <v>48</v>
      </c>
      <c r="B52" t="s">
        <v>7</v>
      </c>
      <c r="C52" t="s">
        <v>7</v>
      </c>
      <c r="D52" t="s">
        <v>7</v>
      </c>
      <c r="E52" t="s">
        <v>7</v>
      </c>
      <c r="F52" t="s">
        <v>7</v>
      </c>
      <c r="G52" t="s">
        <v>7</v>
      </c>
      <c r="H52" t="s">
        <v>7</v>
      </c>
      <c r="I52" t="s">
        <v>7</v>
      </c>
    </row>
    <row r="53" spans="1:9" x14ac:dyDescent="0.25">
      <c r="A53" s="4">
        <v>49</v>
      </c>
      <c r="B53" t="s">
        <v>7</v>
      </c>
      <c r="C53" t="s">
        <v>7</v>
      </c>
      <c r="D53" t="s">
        <v>7</v>
      </c>
      <c r="E53" t="s">
        <v>7</v>
      </c>
      <c r="F53" t="s">
        <v>7</v>
      </c>
      <c r="G53" t="s">
        <v>7</v>
      </c>
      <c r="H53" t="s">
        <v>7</v>
      </c>
      <c r="I53" t="s">
        <v>7</v>
      </c>
    </row>
    <row r="54" spans="1:9" x14ac:dyDescent="0.25">
      <c r="A54" s="4">
        <v>50</v>
      </c>
      <c r="B54" t="s">
        <v>7</v>
      </c>
      <c r="C54" t="s">
        <v>7</v>
      </c>
      <c r="D54" t="s">
        <v>7</v>
      </c>
      <c r="E54" t="s">
        <v>7</v>
      </c>
      <c r="F54" t="s">
        <v>7</v>
      </c>
      <c r="G54" t="s">
        <v>7</v>
      </c>
      <c r="H54" t="s">
        <v>7</v>
      </c>
      <c r="I54" t="s">
        <v>7</v>
      </c>
    </row>
    <row r="55" spans="1:9" x14ac:dyDescent="0.25">
      <c r="A55" s="4">
        <v>51</v>
      </c>
      <c r="B55" t="s">
        <v>7</v>
      </c>
      <c r="C55" t="s">
        <v>7</v>
      </c>
      <c r="D55" t="s">
        <v>7</v>
      </c>
      <c r="E55" t="s">
        <v>7</v>
      </c>
      <c r="F55" t="s">
        <v>7</v>
      </c>
      <c r="G55" t="s">
        <v>7</v>
      </c>
      <c r="H55" t="s">
        <v>7</v>
      </c>
      <c r="I55" t="s">
        <v>7</v>
      </c>
    </row>
    <row r="56" spans="1:9" x14ac:dyDescent="0.25">
      <c r="A56" s="4">
        <v>52</v>
      </c>
      <c r="B56" t="s">
        <v>7</v>
      </c>
      <c r="D56" t="s">
        <v>7</v>
      </c>
      <c r="E56" t="s">
        <v>2</v>
      </c>
      <c r="G56" t="s">
        <v>7</v>
      </c>
      <c r="I56" t="s">
        <v>7</v>
      </c>
    </row>
    <row r="57" spans="1:9" x14ac:dyDescent="0.25">
      <c r="A57" s="4">
        <v>53</v>
      </c>
      <c r="B57" t="s">
        <v>7</v>
      </c>
      <c r="C57" t="s">
        <v>7</v>
      </c>
      <c r="D57" t="s">
        <v>7</v>
      </c>
    </row>
    <row r="58" spans="1:9" x14ac:dyDescent="0.25">
      <c r="A58" s="4">
        <v>54</v>
      </c>
      <c r="B58" t="s">
        <v>7</v>
      </c>
      <c r="C58" t="s">
        <v>7</v>
      </c>
      <c r="D58" t="s">
        <v>7</v>
      </c>
      <c r="E58" t="s">
        <v>7</v>
      </c>
      <c r="F58" t="s">
        <v>7</v>
      </c>
      <c r="G58" t="s">
        <v>7</v>
      </c>
      <c r="H58" t="s">
        <v>7</v>
      </c>
      <c r="I58" t="s">
        <v>7</v>
      </c>
    </row>
    <row r="59" spans="1:9" x14ac:dyDescent="0.25">
      <c r="A59" s="4">
        <v>55</v>
      </c>
      <c r="B59" t="s">
        <v>5</v>
      </c>
      <c r="F59" t="s">
        <v>7</v>
      </c>
    </row>
    <row r="60" spans="1:9" x14ac:dyDescent="0.25">
      <c r="A60" s="4">
        <v>56</v>
      </c>
      <c r="B60" t="s">
        <v>5</v>
      </c>
      <c r="C60" t="s">
        <v>3</v>
      </c>
      <c r="D60" t="s">
        <v>5</v>
      </c>
      <c r="E60" t="s">
        <v>7</v>
      </c>
      <c r="F60" t="s">
        <v>5</v>
      </c>
      <c r="G60" t="s">
        <v>5</v>
      </c>
      <c r="H60" t="s">
        <v>5</v>
      </c>
    </row>
    <row r="61" spans="1:9" x14ac:dyDescent="0.25">
      <c r="A61" s="18">
        <v>73</v>
      </c>
    </row>
    <row r="62" spans="1:9" x14ac:dyDescent="0.25">
      <c r="A62" s="18">
        <v>74</v>
      </c>
      <c r="I62" t="s">
        <v>5</v>
      </c>
    </row>
  </sheetData>
  <conditionalFormatting sqref="B5:D11 G5:G11">
    <cfRule type="cellIs" dxfId="63" priority="17" operator="equal">
      <formula>"Energia"</formula>
    </cfRule>
  </conditionalFormatting>
  <conditionalFormatting sqref="B5:D60 G5:I60 B61:I62">
    <cfRule type="cellIs" dxfId="62" priority="10" operator="equal">
      <formula>"Energia"</formula>
    </cfRule>
    <cfRule type="cellIs" dxfId="61" priority="12" operator="equal">
      <formula>"Operação"</formula>
    </cfRule>
    <cfRule type="cellIs" dxfId="60" priority="13" operator="equal">
      <formula>"Chuva"</formula>
    </cfRule>
    <cfRule type="cellIs" dxfId="59" priority="14" operator="equal">
      <formula>"Elétrico"</formula>
    </cfRule>
    <cfRule type="cellIs" dxfId="58" priority="15" operator="equal">
      <formula>"Mecânico"</formula>
    </cfRule>
    <cfRule type="cellIs" dxfId="57" priority="16" operator="equal">
      <formula>"Ok"</formula>
    </cfRule>
  </conditionalFormatting>
  <conditionalFormatting sqref="B5:D60 G5:I60 B61:I62">
    <cfRule type="cellIs" dxfId="56" priority="11" operator="equal">
      <formula>"Feito"</formula>
    </cfRule>
  </conditionalFormatting>
  <conditionalFormatting sqref="K7">
    <cfRule type="iconSet" priority="9">
      <iconSet iconSet="3Arrows">
        <cfvo type="percent" val="0"/>
        <cfvo type="percent" val="33"/>
        <cfvo type="percent" val="67"/>
      </iconSet>
    </cfRule>
  </conditionalFormatting>
  <conditionalFormatting sqref="E5:F11">
    <cfRule type="cellIs" dxfId="55" priority="8" operator="equal">
      <formula>"Energia"</formula>
    </cfRule>
  </conditionalFormatting>
  <conditionalFormatting sqref="E5:F60">
    <cfRule type="cellIs" dxfId="54" priority="1" operator="equal">
      <formula>"Energia"</formula>
    </cfRule>
    <cfRule type="cellIs" dxfId="53" priority="3" operator="equal">
      <formula>"Operação"</formula>
    </cfRule>
    <cfRule type="cellIs" dxfId="52" priority="4" operator="equal">
      <formula>"Chuva"</formula>
    </cfRule>
    <cfRule type="cellIs" dxfId="51" priority="5" operator="equal">
      <formula>"Elétrico"</formula>
    </cfRule>
    <cfRule type="cellIs" dxfId="50" priority="6" operator="equal">
      <formula>"Mecânico"</formula>
    </cfRule>
    <cfRule type="cellIs" dxfId="49" priority="7" operator="equal">
      <formula>"Ok"</formula>
    </cfRule>
  </conditionalFormatting>
  <conditionalFormatting sqref="E5:F60">
    <cfRule type="cellIs" dxfId="48" priority="2" operator="equal">
      <formula>"Feito"</formula>
    </cfRule>
  </conditionalFormatting>
  <dataValidations count="1">
    <dataValidation type="list" allowBlank="1" showInputMessage="1" showErrorMessage="1" sqref="B5:J60 B61:I62" xr:uid="{0BE1F21D-4553-4907-8E12-52480F559C4C}">
      <formula1>$K$5:$K$10</formula1>
    </dataValidation>
  </dataValidations>
  <pageMargins left="0.511811024" right="0.511811024" top="0.78740157499999996" bottom="0.78740157499999996" header="0.31496062000000002" footer="0.3149606200000000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E7421D-DDF3-489B-A0A6-D2E1240E9423}">
  <dimension ref="A3:L62"/>
  <sheetViews>
    <sheetView workbookViewId="0">
      <pane xSplit="1" topLeftCell="B1" activePane="topRight" state="frozen"/>
      <selection pane="topRight" activeCell="G60" sqref="G60"/>
    </sheetView>
  </sheetViews>
  <sheetFormatPr defaultRowHeight="15" x14ac:dyDescent="0.25"/>
  <cols>
    <col min="2" max="2" width="10.42578125" customWidth="1"/>
    <col min="3" max="3" width="10.140625" bestFit="1" customWidth="1"/>
    <col min="4" max="5" width="10.85546875" customWidth="1"/>
    <col min="6" max="6" width="11.140625" customWidth="1"/>
    <col min="7" max="7" width="10.42578125" customWidth="1"/>
    <col min="8" max="8" width="9.85546875" customWidth="1"/>
    <col min="9" max="9" width="10.28515625" customWidth="1"/>
    <col min="11" max="11" width="11.140625" bestFit="1" customWidth="1"/>
  </cols>
  <sheetData>
    <row r="3" spans="1:12" x14ac:dyDescent="0.25">
      <c r="B3" s="3">
        <v>44452</v>
      </c>
      <c r="C3" s="3">
        <f>B3+1</f>
        <v>44453</v>
      </c>
      <c r="D3" s="3">
        <f t="shared" ref="D3:H3" si="0">C3+1</f>
        <v>44454</v>
      </c>
      <c r="E3" s="3">
        <f t="shared" si="0"/>
        <v>44455</v>
      </c>
      <c r="F3" s="3">
        <f t="shared" si="0"/>
        <v>44456</v>
      </c>
      <c r="G3" s="3">
        <f t="shared" si="0"/>
        <v>44457</v>
      </c>
      <c r="H3" s="3">
        <f t="shared" si="0"/>
        <v>44458</v>
      </c>
      <c r="I3" s="3"/>
    </row>
    <row r="4" spans="1:12" x14ac:dyDescent="0.25">
      <c r="A4" s="2" t="s">
        <v>0</v>
      </c>
      <c r="B4" s="1" t="str">
        <f>TEXT(B3,"ddd")</f>
        <v>seg</v>
      </c>
      <c r="C4" s="1" t="str">
        <f t="shared" ref="C4:H4" si="1">TEXT(C3,"ddd")</f>
        <v>ter</v>
      </c>
      <c r="D4" s="1" t="str">
        <f t="shared" si="1"/>
        <v>qua</v>
      </c>
      <c r="E4" s="1" t="str">
        <f t="shared" si="1"/>
        <v>qui</v>
      </c>
      <c r="F4" s="1" t="str">
        <f t="shared" si="1"/>
        <v>sex</v>
      </c>
      <c r="G4" s="1" t="str">
        <f t="shared" si="1"/>
        <v>sáb</v>
      </c>
      <c r="H4" s="1" t="str">
        <f t="shared" si="1"/>
        <v>dom</v>
      </c>
      <c r="I4" s="1"/>
      <c r="K4" s="11" t="s">
        <v>1</v>
      </c>
    </row>
    <row r="5" spans="1:12" x14ac:dyDescent="0.25">
      <c r="A5" s="4">
        <v>1</v>
      </c>
      <c r="B5" t="s">
        <v>7</v>
      </c>
      <c r="C5" t="s">
        <v>7</v>
      </c>
      <c r="D5" t="s">
        <v>7</v>
      </c>
      <c r="E5" t="s">
        <v>7</v>
      </c>
      <c r="F5" t="s">
        <v>7</v>
      </c>
      <c r="G5" t="s">
        <v>7</v>
      </c>
      <c r="H5" t="s">
        <v>7</v>
      </c>
      <c r="K5" s="5" t="s">
        <v>7</v>
      </c>
      <c r="L5">
        <f>COUNTIF($B$5:$I$60,K5)</f>
        <v>156</v>
      </c>
    </row>
    <row r="6" spans="1:12" x14ac:dyDescent="0.25">
      <c r="A6" s="4">
        <v>2</v>
      </c>
      <c r="B6" t="s">
        <v>7</v>
      </c>
      <c r="C6" t="s">
        <v>7</v>
      </c>
      <c r="D6" t="s">
        <v>7</v>
      </c>
      <c r="E6" t="s">
        <v>7</v>
      </c>
      <c r="F6" t="s">
        <v>7</v>
      </c>
      <c r="G6" t="s">
        <v>7</v>
      </c>
      <c r="H6" t="s">
        <v>7</v>
      </c>
      <c r="K6" s="6" t="s">
        <v>2</v>
      </c>
      <c r="L6">
        <f t="shared" ref="L6:L10" si="2">COUNTIF($B$5:$I$60,K6)</f>
        <v>7</v>
      </c>
    </row>
    <row r="7" spans="1:12" x14ac:dyDescent="0.25">
      <c r="A7" s="4">
        <v>3</v>
      </c>
      <c r="B7" t="s">
        <v>7</v>
      </c>
      <c r="C7" t="s">
        <v>7</v>
      </c>
      <c r="D7" t="s">
        <v>7</v>
      </c>
      <c r="E7" t="s">
        <v>7</v>
      </c>
      <c r="F7" t="s">
        <v>7</v>
      </c>
      <c r="G7" t="s">
        <v>7</v>
      </c>
      <c r="H7" t="s">
        <v>7</v>
      </c>
      <c r="K7" s="7" t="s">
        <v>3</v>
      </c>
      <c r="L7">
        <f t="shared" si="2"/>
        <v>6</v>
      </c>
    </row>
    <row r="8" spans="1:12" x14ac:dyDescent="0.25">
      <c r="A8" s="4">
        <v>4</v>
      </c>
      <c r="B8" t="s">
        <v>7</v>
      </c>
      <c r="C8" t="s">
        <v>7</v>
      </c>
      <c r="D8" t="s">
        <v>7</v>
      </c>
      <c r="E8" t="s">
        <v>7</v>
      </c>
      <c r="F8" t="s">
        <v>7</v>
      </c>
      <c r="G8" t="s">
        <v>7</v>
      </c>
      <c r="H8" t="s">
        <v>7</v>
      </c>
      <c r="K8" s="8" t="s">
        <v>4</v>
      </c>
      <c r="L8">
        <f t="shared" si="2"/>
        <v>0</v>
      </c>
    </row>
    <row r="9" spans="1:12" x14ac:dyDescent="0.25">
      <c r="A9" s="4">
        <v>5</v>
      </c>
      <c r="K9" s="9" t="s">
        <v>6</v>
      </c>
      <c r="L9">
        <f t="shared" si="2"/>
        <v>0</v>
      </c>
    </row>
    <row r="10" spans="1:12" x14ac:dyDescent="0.25">
      <c r="A10" s="4">
        <v>6</v>
      </c>
      <c r="K10" s="10" t="s">
        <v>5</v>
      </c>
      <c r="L10">
        <f t="shared" si="2"/>
        <v>20</v>
      </c>
    </row>
    <row r="11" spans="1:12" x14ac:dyDescent="0.25">
      <c r="A11" s="4">
        <v>7</v>
      </c>
      <c r="L11">
        <f>SUM(L5:L10)</f>
        <v>189</v>
      </c>
    </row>
    <row r="12" spans="1:12" x14ac:dyDescent="0.25">
      <c r="A12" s="4">
        <v>8</v>
      </c>
    </row>
    <row r="13" spans="1:12" x14ac:dyDescent="0.25">
      <c r="A13" s="4">
        <v>9</v>
      </c>
      <c r="C13" t="s">
        <v>7</v>
      </c>
      <c r="D13" t="s">
        <v>7</v>
      </c>
    </row>
    <row r="14" spans="1:12" x14ac:dyDescent="0.25">
      <c r="A14" s="4">
        <v>10</v>
      </c>
      <c r="B14" t="s">
        <v>7</v>
      </c>
      <c r="D14" t="s">
        <v>7</v>
      </c>
      <c r="E14" t="s">
        <v>7</v>
      </c>
      <c r="G14" t="s">
        <v>7</v>
      </c>
      <c r="H14" t="s">
        <v>7</v>
      </c>
    </row>
    <row r="15" spans="1:12" x14ac:dyDescent="0.25">
      <c r="A15" s="4">
        <v>11</v>
      </c>
      <c r="C15" t="s">
        <v>7</v>
      </c>
      <c r="D15" t="s">
        <v>3</v>
      </c>
      <c r="E15" t="s">
        <v>7</v>
      </c>
      <c r="F15" t="s">
        <v>7</v>
      </c>
      <c r="G15" t="s">
        <v>7</v>
      </c>
      <c r="H15" t="s">
        <v>7</v>
      </c>
    </row>
    <row r="16" spans="1:12" x14ac:dyDescent="0.25">
      <c r="A16" s="4">
        <v>12</v>
      </c>
      <c r="C16" t="s">
        <v>7</v>
      </c>
      <c r="D16" t="s">
        <v>5</v>
      </c>
      <c r="F16" t="s">
        <v>5</v>
      </c>
      <c r="G16" t="s">
        <v>7</v>
      </c>
      <c r="H16" t="s">
        <v>7</v>
      </c>
    </row>
    <row r="17" spans="1:8" x14ac:dyDescent="0.25">
      <c r="A17" s="4">
        <v>13</v>
      </c>
      <c r="B17" t="s">
        <v>7</v>
      </c>
      <c r="C17" t="s">
        <v>7</v>
      </c>
      <c r="D17" t="s">
        <v>7</v>
      </c>
      <c r="E17" t="s">
        <v>7</v>
      </c>
      <c r="F17" t="s">
        <v>7</v>
      </c>
      <c r="G17" t="s">
        <v>7</v>
      </c>
      <c r="H17" t="s">
        <v>7</v>
      </c>
    </row>
    <row r="18" spans="1:8" x14ac:dyDescent="0.25">
      <c r="A18" s="4">
        <v>14</v>
      </c>
      <c r="D18" t="s">
        <v>3</v>
      </c>
      <c r="E18" t="s">
        <v>2</v>
      </c>
      <c r="G18" t="s">
        <v>2</v>
      </c>
      <c r="H18" t="s">
        <v>7</v>
      </c>
    </row>
    <row r="19" spans="1:8" x14ac:dyDescent="0.25">
      <c r="A19" s="4">
        <v>15</v>
      </c>
      <c r="F19" t="s">
        <v>5</v>
      </c>
      <c r="H19" t="s">
        <v>7</v>
      </c>
    </row>
    <row r="20" spans="1:8" x14ac:dyDescent="0.25">
      <c r="A20" s="4">
        <v>16</v>
      </c>
      <c r="C20" t="s">
        <v>7</v>
      </c>
    </row>
    <row r="21" spans="1:8" x14ac:dyDescent="0.25">
      <c r="A21" s="4">
        <v>17</v>
      </c>
      <c r="H21" t="s">
        <v>7</v>
      </c>
    </row>
    <row r="22" spans="1:8" x14ac:dyDescent="0.25">
      <c r="A22" s="4">
        <v>18</v>
      </c>
    </row>
    <row r="23" spans="1:8" x14ac:dyDescent="0.25">
      <c r="A23" s="4">
        <v>19</v>
      </c>
      <c r="H23" t="s">
        <v>7</v>
      </c>
    </row>
    <row r="24" spans="1:8" x14ac:dyDescent="0.25">
      <c r="A24" s="4">
        <v>20</v>
      </c>
      <c r="F24" t="s">
        <v>5</v>
      </c>
    </row>
    <row r="25" spans="1:8" x14ac:dyDescent="0.25">
      <c r="A25" s="4">
        <v>21</v>
      </c>
    </row>
    <row r="26" spans="1:8" x14ac:dyDescent="0.25">
      <c r="A26" s="4">
        <v>22</v>
      </c>
    </row>
    <row r="27" spans="1:8" x14ac:dyDescent="0.25">
      <c r="A27" s="4">
        <v>23</v>
      </c>
    </row>
    <row r="28" spans="1:8" x14ac:dyDescent="0.25">
      <c r="A28" s="4">
        <v>24</v>
      </c>
    </row>
    <row r="29" spans="1:8" x14ac:dyDescent="0.25">
      <c r="A29" s="4">
        <v>25</v>
      </c>
      <c r="B29" t="s">
        <v>7</v>
      </c>
      <c r="C29" t="s">
        <v>7</v>
      </c>
      <c r="D29" t="s">
        <v>7</v>
      </c>
      <c r="E29" t="s">
        <v>7</v>
      </c>
      <c r="F29" t="s">
        <v>7</v>
      </c>
      <c r="G29" t="s">
        <v>7</v>
      </c>
      <c r="H29" t="s">
        <v>7</v>
      </c>
    </row>
    <row r="30" spans="1:8" x14ac:dyDescent="0.25">
      <c r="A30" s="4">
        <v>26</v>
      </c>
    </row>
    <row r="31" spans="1:8" x14ac:dyDescent="0.25">
      <c r="A31" s="4">
        <v>27</v>
      </c>
    </row>
    <row r="32" spans="1:8" x14ac:dyDescent="0.25">
      <c r="A32" s="4">
        <v>28</v>
      </c>
    </row>
    <row r="33" spans="1:8" x14ac:dyDescent="0.25">
      <c r="A33" s="4">
        <v>29</v>
      </c>
      <c r="B33" t="s">
        <v>7</v>
      </c>
      <c r="C33" t="s">
        <v>7</v>
      </c>
      <c r="D33" t="s">
        <v>7</v>
      </c>
      <c r="E33" t="s">
        <v>7</v>
      </c>
      <c r="F33" t="s">
        <v>7</v>
      </c>
      <c r="G33" t="s">
        <v>7</v>
      </c>
      <c r="H33" t="s">
        <v>14</v>
      </c>
    </row>
    <row r="34" spans="1:8" x14ac:dyDescent="0.25">
      <c r="A34" s="4">
        <v>30</v>
      </c>
      <c r="B34" t="s">
        <v>7</v>
      </c>
      <c r="C34" t="s">
        <v>7</v>
      </c>
      <c r="D34" t="s">
        <v>7</v>
      </c>
      <c r="E34" t="s">
        <v>7</v>
      </c>
      <c r="F34" t="s">
        <v>7</v>
      </c>
      <c r="G34" t="s">
        <v>7</v>
      </c>
      <c r="H34" t="s">
        <v>7</v>
      </c>
    </row>
    <row r="35" spans="1:8" x14ac:dyDescent="0.25">
      <c r="A35" s="4">
        <v>31</v>
      </c>
      <c r="B35" t="s">
        <v>7</v>
      </c>
      <c r="C35" t="s">
        <v>7</v>
      </c>
      <c r="D35" t="s">
        <v>7</v>
      </c>
      <c r="E35" t="s">
        <v>2</v>
      </c>
      <c r="F35" t="s">
        <v>7</v>
      </c>
      <c r="G35" t="s">
        <v>5</v>
      </c>
      <c r="H35" t="s">
        <v>7</v>
      </c>
    </row>
    <row r="36" spans="1:8" x14ac:dyDescent="0.25">
      <c r="A36" s="4">
        <v>32</v>
      </c>
      <c r="B36" t="s">
        <v>7</v>
      </c>
      <c r="C36" t="s">
        <v>7</v>
      </c>
      <c r="D36" t="s">
        <v>7</v>
      </c>
      <c r="E36" t="s">
        <v>7</v>
      </c>
      <c r="F36" t="s">
        <v>7</v>
      </c>
      <c r="G36" t="s">
        <v>7</v>
      </c>
      <c r="H36" t="s">
        <v>7</v>
      </c>
    </row>
    <row r="37" spans="1:8" x14ac:dyDescent="0.25">
      <c r="A37" s="4">
        <v>33</v>
      </c>
      <c r="B37" t="s">
        <v>7</v>
      </c>
      <c r="C37" t="s">
        <v>2</v>
      </c>
      <c r="D37" t="s">
        <v>5</v>
      </c>
      <c r="E37" t="s">
        <v>2</v>
      </c>
      <c r="F37" t="s">
        <v>5</v>
      </c>
      <c r="G37" t="s">
        <v>5</v>
      </c>
      <c r="H37" t="s">
        <v>7</v>
      </c>
    </row>
    <row r="38" spans="1:8" x14ac:dyDescent="0.25">
      <c r="A38" s="4">
        <v>34</v>
      </c>
      <c r="B38" t="s">
        <v>7</v>
      </c>
      <c r="C38" t="s">
        <v>7</v>
      </c>
      <c r="D38" t="s">
        <v>7</v>
      </c>
      <c r="E38" t="s">
        <v>7</v>
      </c>
      <c r="F38" t="s">
        <v>7</v>
      </c>
      <c r="H38" t="s">
        <v>7</v>
      </c>
    </row>
    <row r="39" spans="1:8" x14ac:dyDescent="0.25">
      <c r="A39" s="4">
        <v>35</v>
      </c>
    </row>
    <row r="40" spans="1:8" x14ac:dyDescent="0.25">
      <c r="A40" s="4">
        <v>36</v>
      </c>
      <c r="C40" t="s">
        <v>7</v>
      </c>
      <c r="E40" t="s">
        <v>7</v>
      </c>
      <c r="G40" t="s">
        <v>5</v>
      </c>
    </row>
    <row r="41" spans="1:8" x14ac:dyDescent="0.25">
      <c r="A41" s="4">
        <v>37</v>
      </c>
      <c r="B41" t="s">
        <v>7</v>
      </c>
      <c r="D41" t="s">
        <v>7</v>
      </c>
      <c r="F41" t="s">
        <v>7</v>
      </c>
    </row>
    <row r="42" spans="1:8" x14ac:dyDescent="0.25">
      <c r="A42" s="4">
        <v>38</v>
      </c>
      <c r="B42" t="s">
        <v>5</v>
      </c>
      <c r="D42" t="s">
        <v>5</v>
      </c>
    </row>
    <row r="43" spans="1:8" x14ac:dyDescent="0.25">
      <c r="A43" s="4">
        <v>39</v>
      </c>
      <c r="B43" t="s">
        <v>7</v>
      </c>
      <c r="E43" t="s">
        <v>7</v>
      </c>
    </row>
    <row r="44" spans="1:8" x14ac:dyDescent="0.25">
      <c r="A44" s="4">
        <v>40</v>
      </c>
      <c r="C44" t="s">
        <v>5</v>
      </c>
    </row>
    <row r="45" spans="1:8" x14ac:dyDescent="0.25">
      <c r="A45" s="4">
        <v>41</v>
      </c>
      <c r="E45" t="s">
        <v>7</v>
      </c>
    </row>
    <row r="46" spans="1:8" x14ac:dyDescent="0.25">
      <c r="A46" s="4">
        <v>42</v>
      </c>
    </row>
    <row r="47" spans="1:8" x14ac:dyDescent="0.25">
      <c r="A47" s="4">
        <v>43</v>
      </c>
    </row>
    <row r="48" spans="1:8" x14ac:dyDescent="0.25">
      <c r="A48" s="4">
        <v>44</v>
      </c>
      <c r="G48" t="s">
        <v>3</v>
      </c>
    </row>
    <row r="49" spans="1:8" x14ac:dyDescent="0.25">
      <c r="A49" s="4">
        <v>45</v>
      </c>
      <c r="B49" t="s">
        <v>7</v>
      </c>
      <c r="C49" t="s">
        <v>7</v>
      </c>
      <c r="D49" t="s">
        <v>7</v>
      </c>
      <c r="E49" t="s">
        <v>7</v>
      </c>
      <c r="G49" t="s">
        <v>7</v>
      </c>
      <c r="H49" t="s">
        <v>7</v>
      </c>
    </row>
    <row r="50" spans="1:8" x14ac:dyDescent="0.25">
      <c r="A50" s="4">
        <v>46</v>
      </c>
      <c r="B50" t="s">
        <v>7</v>
      </c>
      <c r="C50" t="s">
        <v>7</v>
      </c>
      <c r="D50" t="s">
        <v>7</v>
      </c>
      <c r="E50" t="s">
        <v>7</v>
      </c>
      <c r="F50" t="s">
        <v>7</v>
      </c>
      <c r="G50" t="s">
        <v>5</v>
      </c>
      <c r="H50" t="s">
        <v>7</v>
      </c>
    </row>
    <row r="51" spans="1:8" x14ac:dyDescent="0.25">
      <c r="A51" s="4">
        <v>47</v>
      </c>
      <c r="B51" t="s">
        <v>7</v>
      </c>
      <c r="C51" t="s">
        <v>7</v>
      </c>
      <c r="D51" t="s">
        <v>7</v>
      </c>
      <c r="E51" t="s">
        <v>7</v>
      </c>
      <c r="F51" t="s">
        <v>7</v>
      </c>
      <c r="G51" t="s">
        <v>7</v>
      </c>
      <c r="H51" t="s">
        <v>7</v>
      </c>
    </row>
    <row r="52" spans="1:8" x14ac:dyDescent="0.25">
      <c r="A52" s="4">
        <v>48</v>
      </c>
      <c r="B52" t="s">
        <v>7</v>
      </c>
      <c r="C52" t="s">
        <v>7</v>
      </c>
      <c r="D52" t="s">
        <v>7</v>
      </c>
      <c r="E52" t="s">
        <v>7</v>
      </c>
      <c r="F52" t="s">
        <v>7</v>
      </c>
      <c r="G52" t="s">
        <v>7</v>
      </c>
      <c r="H52" t="s">
        <v>7</v>
      </c>
    </row>
    <row r="53" spans="1:8" x14ac:dyDescent="0.25">
      <c r="A53" s="4">
        <v>49</v>
      </c>
      <c r="B53" t="s">
        <v>7</v>
      </c>
      <c r="C53" t="s">
        <v>7</v>
      </c>
      <c r="D53" t="s">
        <v>7</v>
      </c>
      <c r="E53" t="s">
        <v>7</v>
      </c>
      <c r="F53" t="s">
        <v>7</v>
      </c>
      <c r="G53" t="s">
        <v>5</v>
      </c>
      <c r="H53" t="s">
        <v>7</v>
      </c>
    </row>
    <row r="54" spans="1:8" x14ac:dyDescent="0.25">
      <c r="A54" s="4">
        <v>50</v>
      </c>
      <c r="B54" t="s">
        <v>3</v>
      </c>
      <c r="C54" t="s">
        <v>5</v>
      </c>
      <c r="D54" t="s">
        <v>7</v>
      </c>
      <c r="E54" t="s">
        <v>7</v>
      </c>
      <c r="F54" t="s">
        <v>7</v>
      </c>
      <c r="G54" t="s">
        <v>7</v>
      </c>
      <c r="H54" t="s">
        <v>7</v>
      </c>
    </row>
    <row r="55" spans="1:8" x14ac:dyDescent="0.25">
      <c r="A55" s="4">
        <v>51</v>
      </c>
      <c r="B55" t="s">
        <v>7</v>
      </c>
      <c r="C55" t="s">
        <v>7</v>
      </c>
      <c r="D55" t="s">
        <v>7</v>
      </c>
      <c r="E55" t="s">
        <v>7</v>
      </c>
      <c r="F55" t="s">
        <v>7</v>
      </c>
      <c r="G55" t="s">
        <v>7</v>
      </c>
      <c r="H55" t="s">
        <v>7</v>
      </c>
    </row>
    <row r="56" spans="1:8" x14ac:dyDescent="0.25">
      <c r="A56" s="4">
        <v>52</v>
      </c>
      <c r="F56" t="s">
        <v>7</v>
      </c>
      <c r="G56" t="s">
        <v>7</v>
      </c>
      <c r="H56" t="s">
        <v>7</v>
      </c>
    </row>
    <row r="57" spans="1:8" x14ac:dyDescent="0.25">
      <c r="A57" s="4">
        <v>53</v>
      </c>
    </row>
    <row r="58" spans="1:8" x14ac:dyDescent="0.25">
      <c r="A58" s="4">
        <v>54</v>
      </c>
      <c r="B58" t="s">
        <v>7</v>
      </c>
      <c r="C58" t="s">
        <v>5</v>
      </c>
      <c r="F58" t="s">
        <v>7</v>
      </c>
      <c r="H58" t="s">
        <v>7</v>
      </c>
    </row>
    <row r="59" spans="1:8" x14ac:dyDescent="0.25">
      <c r="A59" s="4">
        <v>55</v>
      </c>
      <c r="B59" t="s">
        <v>3</v>
      </c>
      <c r="E59" t="s">
        <v>5</v>
      </c>
      <c r="H59" t="s">
        <v>3</v>
      </c>
    </row>
    <row r="60" spans="1:8" x14ac:dyDescent="0.25">
      <c r="A60" s="4">
        <v>56</v>
      </c>
      <c r="B60" t="s">
        <v>7</v>
      </c>
      <c r="C60" t="s">
        <v>5</v>
      </c>
      <c r="D60" t="s">
        <v>7</v>
      </c>
      <c r="E60" t="s">
        <v>5</v>
      </c>
      <c r="F60" t="s">
        <v>2</v>
      </c>
      <c r="G60" t="s">
        <v>5</v>
      </c>
      <c r="H60" t="s">
        <v>2</v>
      </c>
    </row>
    <row r="61" spans="1:8" x14ac:dyDescent="0.25">
      <c r="A61" s="18">
        <v>73</v>
      </c>
    </row>
    <row r="62" spans="1:8" x14ac:dyDescent="0.25">
      <c r="A62" s="18">
        <v>74</v>
      </c>
    </row>
  </sheetData>
  <conditionalFormatting sqref="B5:D11 G5:G11">
    <cfRule type="cellIs" dxfId="47" priority="17" operator="equal">
      <formula>"Energia"</formula>
    </cfRule>
  </conditionalFormatting>
  <conditionalFormatting sqref="B5:D60 B61:I62 G5:I60">
    <cfRule type="cellIs" dxfId="46" priority="10" operator="equal">
      <formula>"Energia"</formula>
    </cfRule>
    <cfRule type="cellIs" dxfId="45" priority="12" operator="equal">
      <formula>"Operação"</formula>
    </cfRule>
    <cfRule type="cellIs" dxfId="44" priority="13" operator="equal">
      <formula>"Chuva"</formula>
    </cfRule>
    <cfRule type="cellIs" dxfId="43" priority="14" operator="equal">
      <formula>"Elétrico"</formula>
    </cfRule>
    <cfRule type="cellIs" dxfId="42" priority="15" operator="equal">
      <formula>"Mecânico"</formula>
    </cfRule>
    <cfRule type="cellIs" dxfId="41" priority="16" operator="equal">
      <formula>"Ok"</formula>
    </cfRule>
  </conditionalFormatting>
  <conditionalFormatting sqref="B5:D60 B61:I62 G5:I60">
    <cfRule type="cellIs" dxfId="40" priority="11" operator="equal">
      <formula>"Feito"</formula>
    </cfRule>
  </conditionalFormatting>
  <conditionalFormatting sqref="K7">
    <cfRule type="iconSet" priority="9">
      <iconSet iconSet="3Arrows">
        <cfvo type="percent" val="0"/>
        <cfvo type="percent" val="33"/>
        <cfvo type="percent" val="67"/>
      </iconSet>
    </cfRule>
  </conditionalFormatting>
  <conditionalFormatting sqref="E5:F11">
    <cfRule type="cellIs" dxfId="39" priority="8" operator="equal">
      <formula>"Energia"</formula>
    </cfRule>
  </conditionalFormatting>
  <conditionalFormatting sqref="E5:F60">
    <cfRule type="cellIs" dxfId="38" priority="1" operator="equal">
      <formula>"Energia"</formula>
    </cfRule>
    <cfRule type="cellIs" dxfId="37" priority="3" operator="equal">
      <formula>"Operação"</formula>
    </cfRule>
    <cfRule type="cellIs" dxfId="36" priority="4" operator="equal">
      <formula>"Chuva"</formula>
    </cfRule>
    <cfRule type="cellIs" dxfId="35" priority="5" operator="equal">
      <formula>"Elétrico"</formula>
    </cfRule>
    <cfRule type="cellIs" dxfId="34" priority="6" operator="equal">
      <formula>"Mecânico"</formula>
    </cfRule>
    <cfRule type="cellIs" dxfId="33" priority="7" operator="equal">
      <formula>"Ok"</formula>
    </cfRule>
  </conditionalFormatting>
  <conditionalFormatting sqref="E5:F60">
    <cfRule type="cellIs" dxfId="32" priority="2" operator="equal">
      <formula>"Feito"</formula>
    </cfRule>
  </conditionalFormatting>
  <dataValidations count="1">
    <dataValidation type="list" allowBlank="1" showInputMessage="1" showErrorMessage="1" sqref="B61:I62 B5:J32 B34:J60 B33:G33 I33:J33" xr:uid="{8004C038-B8C7-4B2C-BC2D-485A3B8DAE0F}">
      <formula1>$K$5:$K$10</formula1>
    </dataValidation>
  </dataValidations>
  <pageMargins left="0.511811024" right="0.511811024" top="0.78740157499999996" bottom="0.78740157499999996" header="0.31496062000000002" footer="0.3149606200000000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DB3E92-6885-43C4-90F4-49ADAEC06A1B}">
  <dimension ref="A3:L62"/>
  <sheetViews>
    <sheetView workbookViewId="0">
      <pane xSplit="1" topLeftCell="B1" activePane="topRight" state="frozen"/>
      <selection pane="topRight" activeCell="I3" sqref="I3:I12"/>
    </sheetView>
  </sheetViews>
  <sheetFormatPr defaultRowHeight="15" x14ac:dyDescent="0.25"/>
  <cols>
    <col min="2" max="2" width="10.42578125" customWidth="1"/>
    <col min="3" max="3" width="10.140625" bestFit="1" customWidth="1"/>
    <col min="4" max="5" width="10.85546875" customWidth="1"/>
    <col min="6" max="6" width="11.140625" customWidth="1"/>
    <col min="7" max="7" width="10.42578125" customWidth="1"/>
    <col min="8" max="8" width="9.85546875" customWidth="1"/>
    <col min="9" max="9" width="10.28515625" customWidth="1"/>
    <col min="11" max="11" width="11.140625" bestFit="1" customWidth="1"/>
  </cols>
  <sheetData>
    <row r="3" spans="1:12" x14ac:dyDescent="0.25">
      <c r="B3" s="3">
        <v>44459</v>
      </c>
      <c r="C3" s="3">
        <f>B3+1</f>
        <v>44460</v>
      </c>
      <c r="D3" s="3">
        <f t="shared" ref="D3:H3" si="0">C3+1</f>
        <v>44461</v>
      </c>
      <c r="E3" s="3">
        <f t="shared" si="0"/>
        <v>44462</v>
      </c>
      <c r="F3" s="3">
        <f t="shared" si="0"/>
        <v>44463</v>
      </c>
      <c r="G3" s="3">
        <f t="shared" si="0"/>
        <v>44464</v>
      </c>
      <c r="H3" s="3">
        <f t="shared" si="0"/>
        <v>44465</v>
      </c>
      <c r="I3" s="3"/>
    </row>
    <row r="4" spans="1:12" x14ac:dyDescent="0.25">
      <c r="A4" s="2" t="s">
        <v>0</v>
      </c>
      <c r="B4" s="1" t="str">
        <f>TEXT(B3,"ddd")</f>
        <v>seg</v>
      </c>
      <c r="C4" s="1" t="str">
        <f t="shared" ref="C4:H4" si="1">TEXT(C3,"ddd")</f>
        <v>ter</v>
      </c>
      <c r="D4" s="1" t="str">
        <f t="shared" si="1"/>
        <v>qua</v>
      </c>
      <c r="E4" s="1" t="str">
        <f t="shared" si="1"/>
        <v>qui</v>
      </c>
      <c r="F4" s="1" t="str">
        <f t="shared" si="1"/>
        <v>sex</v>
      </c>
      <c r="G4" s="1" t="str">
        <f t="shared" si="1"/>
        <v>sáb</v>
      </c>
      <c r="H4" s="1" t="str">
        <f t="shared" si="1"/>
        <v>dom</v>
      </c>
      <c r="I4" s="1"/>
      <c r="K4" s="11" t="s">
        <v>1</v>
      </c>
    </row>
    <row r="5" spans="1:12" x14ac:dyDescent="0.25">
      <c r="A5" s="4">
        <v>1</v>
      </c>
      <c r="B5" t="s">
        <v>5</v>
      </c>
      <c r="C5" t="s">
        <v>7</v>
      </c>
      <c r="D5" t="s">
        <v>7</v>
      </c>
      <c r="E5" t="s">
        <v>7</v>
      </c>
      <c r="F5" t="s">
        <v>7</v>
      </c>
      <c r="G5" t="s">
        <v>7</v>
      </c>
      <c r="H5" t="s">
        <v>7</v>
      </c>
      <c r="K5" s="5" t="s">
        <v>7</v>
      </c>
      <c r="L5">
        <f t="shared" ref="L5:L10" si="2">COUNTIF($C$5:$I$60,K5)</f>
        <v>127</v>
      </c>
    </row>
    <row r="6" spans="1:12" x14ac:dyDescent="0.25">
      <c r="A6" s="4">
        <v>2</v>
      </c>
      <c r="B6" t="s">
        <v>7</v>
      </c>
      <c r="C6" t="s">
        <v>7</v>
      </c>
      <c r="D6" t="s">
        <v>7</v>
      </c>
      <c r="E6" t="s">
        <v>3</v>
      </c>
      <c r="F6" t="s">
        <v>7</v>
      </c>
      <c r="G6" t="s">
        <v>7</v>
      </c>
      <c r="H6" t="s">
        <v>7</v>
      </c>
      <c r="K6" s="6" t="s">
        <v>2</v>
      </c>
      <c r="L6">
        <f t="shared" si="2"/>
        <v>3</v>
      </c>
    </row>
    <row r="7" spans="1:12" x14ac:dyDescent="0.25">
      <c r="A7" s="4">
        <v>3</v>
      </c>
      <c r="B7" t="s">
        <v>7</v>
      </c>
      <c r="C7" t="s">
        <v>7</v>
      </c>
      <c r="D7" t="s">
        <v>7</v>
      </c>
      <c r="E7" t="s">
        <v>7</v>
      </c>
      <c r="F7" t="s">
        <v>7</v>
      </c>
      <c r="G7" t="s">
        <v>7</v>
      </c>
      <c r="H7" t="s">
        <v>7</v>
      </c>
      <c r="K7" s="7" t="s">
        <v>3</v>
      </c>
      <c r="L7">
        <f t="shared" si="2"/>
        <v>4</v>
      </c>
    </row>
    <row r="8" spans="1:12" x14ac:dyDescent="0.25">
      <c r="A8" s="4">
        <v>4</v>
      </c>
      <c r="B8" t="s">
        <v>7</v>
      </c>
      <c r="C8" t="s">
        <v>7</v>
      </c>
      <c r="D8" t="s">
        <v>7</v>
      </c>
      <c r="E8" t="s">
        <v>7</v>
      </c>
      <c r="F8" t="s">
        <v>3</v>
      </c>
      <c r="G8" t="s">
        <v>7</v>
      </c>
      <c r="H8" t="s">
        <v>7</v>
      </c>
      <c r="K8" s="8" t="s">
        <v>4</v>
      </c>
      <c r="L8">
        <f t="shared" si="2"/>
        <v>0</v>
      </c>
    </row>
    <row r="9" spans="1:12" x14ac:dyDescent="0.25">
      <c r="A9" s="4">
        <v>5</v>
      </c>
      <c r="C9" t="s">
        <v>7</v>
      </c>
      <c r="K9" s="9" t="s">
        <v>6</v>
      </c>
      <c r="L9">
        <f t="shared" si="2"/>
        <v>0</v>
      </c>
    </row>
    <row r="10" spans="1:12" x14ac:dyDescent="0.25">
      <c r="A10" s="4">
        <v>6</v>
      </c>
      <c r="K10" s="10" t="s">
        <v>5</v>
      </c>
      <c r="L10">
        <f t="shared" si="2"/>
        <v>26</v>
      </c>
    </row>
    <row r="11" spans="1:12" x14ac:dyDescent="0.25">
      <c r="A11" s="4">
        <v>7</v>
      </c>
      <c r="E11" t="s">
        <v>5</v>
      </c>
      <c r="L11">
        <f>SUM(L5:L10)</f>
        <v>160</v>
      </c>
    </row>
    <row r="12" spans="1:12" x14ac:dyDescent="0.25">
      <c r="A12" s="4">
        <v>8</v>
      </c>
      <c r="G12" t="s">
        <v>7</v>
      </c>
    </row>
    <row r="13" spans="1:12" x14ac:dyDescent="0.25">
      <c r="A13" s="4">
        <v>9</v>
      </c>
    </row>
    <row r="14" spans="1:12" x14ac:dyDescent="0.25">
      <c r="A14" s="4">
        <v>10</v>
      </c>
      <c r="C14" t="s">
        <v>7</v>
      </c>
    </row>
    <row r="15" spans="1:12" x14ac:dyDescent="0.25">
      <c r="A15" s="4">
        <v>11</v>
      </c>
      <c r="B15" t="s">
        <v>7</v>
      </c>
      <c r="C15" t="s">
        <v>7</v>
      </c>
      <c r="E15" t="s">
        <v>7</v>
      </c>
      <c r="F15" t="s">
        <v>7</v>
      </c>
      <c r="H15" t="s">
        <v>7</v>
      </c>
    </row>
    <row r="16" spans="1:12" x14ac:dyDescent="0.25">
      <c r="A16" s="4">
        <v>12</v>
      </c>
      <c r="B16" t="s">
        <v>7</v>
      </c>
      <c r="C16" t="s">
        <v>7</v>
      </c>
      <c r="E16" t="s">
        <v>7</v>
      </c>
      <c r="F16" t="s">
        <v>7</v>
      </c>
      <c r="H16" t="s">
        <v>7</v>
      </c>
    </row>
    <row r="17" spans="1:8" x14ac:dyDescent="0.25">
      <c r="A17" s="4">
        <v>13</v>
      </c>
      <c r="B17" t="s">
        <v>7</v>
      </c>
      <c r="C17" t="s">
        <v>5</v>
      </c>
      <c r="D17" t="s">
        <v>7</v>
      </c>
      <c r="E17" t="s">
        <v>2</v>
      </c>
      <c r="F17" t="s">
        <v>3</v>
      </c>
      <c r="H17" t="s">
        <v>7</v>
      </c>
    </row>
    <row r="18" spans="1:8" x14ac:dyDescent="0.25">
      <c r="A18" s="4">
        <v>14</v>
      </c>
      <c r="B18" t="s">
        <v>7</v>
      </c>
      <c r="C18" t="s">
        <v>7</v>
      </c>
      <c r="E18" t="s">
        <v>7</v>
      </c>
      <c r="F18" t="s">
        <v>7</v>
      </c>
      <c r="G18" t="s">
        <v>7</v>
      </c>
      <c r="H18" t="s">
        <v>7</v>
      </c>
    </row>
    <row r="19" spans="1:8" x14ac:dyDescent="0.25">
      <c r="A19" s="4">
        <v>15</v>
      </c>
      <c r="B19" t="s">
        <v>3</v>
      </c>
      <c r="D19" t="s">
        <v>5</v>
      </c>
      <c r="G19" t="s">
        <v>7</v>
      </c>
    </row>
    <row r="20" spans="1:8" x14ac:dyDescent="0.25">
      <c r="A20" s="4">
        <v>16</v>
      </c>
      <c r="B20" t="s">
        <v>3</v>
      </c>
      <c r="G20" t="s">
        <v>7</v>
      </c>
      <c r="H20" t="s">
        <v>7</v>
      </c>
    </row>
    <row r="21" spans="1:8" x14ac:dyDescent="0.25">
      <c r="A21" s="4">
        <v>17</v>
      </c>
      <c r="C21" t="s">
        <v>5</v>
      </c>
      <c r="D21" t="s">
        <v>7</v>
      </c>
      <c r="F21" t="s">
        <v>5</v>
      </c>
      <c r="H21" t="s">
        <v>7</v>
      </c>
    </row>
    <row r="22" spans="1:8" x14ac:dyDescent="0.25">
      <c r="A22" s="4">
        <v>18</v>
      </c>
    </row>
    <row r="23" spans="1:8" x14ac:dyDescent="0.25">
      <c r="A23" s="4">
        <v>19</v>
      </c>
      <c r="C23" t="s">
        <v>5</v>
      </c>
      <c r="D23" t="s">
        <v>5</v>
      </c>
      <c r="F23" t="s">
        <v>7</v>
      </c>
    </row>
    <row r="24" spans="1:8" x14ac:dyDescent="0.25">
      <c r="A24" s="4">
        <v>20</v>
      </c>
    </row>
    <row r="25" spans="1:8" x14ac:dyDescent="0.25">
      <c r="A25" s="4">
        <v>21</v>
      </c>
    </row>
    <row r="26" spans="1:8" x14ac:dyDescent="0.25">
      <c r="A26" s="4">
        <v>22</v>
      </c>
    </row>
    <row r="27" spans="1:8" x14ac:dyDescent="0.25">
      <c r="A27" s="4">
        <v>23</v>
      </c>
    </row>
    <row r="28" spans="1:8" x14ac:dyDescent="0.25">
      <c r="A28" s="4">
        <v>24</v>
      </c>
    </row>
    <row r="29" spans="1:8" x14ac:dyDescent="0.25">
      <c r="A29" s="4">
        <v>25</v>
      </c>
      <c r="B29" t="s">
        <v>7</v>
      </c>
      <c r="C29" t="s">
        <v>7</v>
      </c>
      <c r="D29" t="s">
        <v>5</v>
      </c>
      <c r="E29" t="s">
        <v>7</v>
      </c>
      <c r="F29" t="s">
        <v>7</v>
      </c>
      <c r="G29" t="s">
        <v>2</v>
      </c>
      <c r="H29" t="s">
        <v>5</v>
      </c>
    </row>
    <row r="30" spans="1:8" x14ac:dyDescent="0.25">
      <c r="A30" s="4">
        <v>26</v>
      </c>
    </row>
    <row r="31" spans="1:8" x14ac:dyDescent="0.25">
      <c r="A31" s="4">
        <v>27</v>
      </c>
    </row>
    <row r="32" spans="1:8" x14ac:dyDescent="0.25">
      <c r="A32" s="4">
        <v>28</v>
      </c>
    </row>
    <row r="33" spans="1:8" x14ac:dyDescent="0.25">
      <c r="A33" s="4">
        <v>29</v>
      </c>
      <c r="B33" t="s">
        <v>7</v>
      </c>
      <c r="C33" t="s">
        <v>7</v>
      </c>
      <c r="D33" t="s">
        <v>7</v>
      </c>
      <c r="E33" t="s">
        <v>7</v>
      </c>
      <c r="F33" t="s">
        <v>7</v>
      </c>
      <c r="G33" t="s">
        <v>7</v>
      </c>
      <c r="H33" t="s">
        <v>5</v>
      </c>
    </row>
    <row r="34" spans="1:8" x14ac:dyDescent="0.25">
      <c r="A34" s="4">
        <v>30</v>
      </c>
      <c r="B34" t="s">
        <v>7</v>
      </c>
      <c r="C34" t="s">
        <v>7</v>
      </c>
      <c r="D34" t="s">
        <v>7</v>
      </c>
      <c r="E34" t="s">
        <v>7</v>
      </c>
      <c r="F34" t="s">
        <v>7</v>
      </c>
      <c r="G34" t="s">
        <v>7</v>
      </c>
      <c r="H34" t="s">
        <v>5</v>
      </c>
    </row>
    <row r="35" spans="1:8" x14ac:dyDescent="0.25">
      <c r="A35" s="4">
        <v>31</v>
      </c>
      <c r="B35" t="s">
        <v>5</v>
      </c>
      <c r="D35" t="s">
        <v>7</v>
      </c>
      <c r="E35" t="s">
        <v>7</v>
      </c>
      <c r="F35" t="s">
        <v>7</v>
      </c>
      <c r="G35" t="s">
        <v>5</v>
      </c>
    </row>
    <row r="36" spans="1:8" x14ac:dyDescent="0.25">
      <c r="A36" s="4">
        <v>32</v>
      </c>
      <c r="B36" t="s">
        <v>7</v>
      </c>
      <c r="C36" t="s">
        <v>7</v>
      </c>
      <c r="D36" t="s">
        <v>7</v>
      </c>
      <c r="E36" t="s">
        <v>7</v>
      </c>
      <c r="F36" t="s">
        <v>7</v>
      </c>
      <c r="G36" t="s">
        <v>7</v>
      </c>
    </row>
    <row r="37" spans="1:8" x14ac:dyDescent="0.25">
      <c r="A37" s="4">
        <v>33</v>
      </c>
      <c r="B37" t="s">
        <v>7</v>
      </c>
      <c r="C37" t="s">
        <v>7</v>
      </c>
      <c r="D37" t="s">
        <v>7</v>
      </c>
      <c r="G37" t="s">
        <v>5</v>
      </c>
    </row>
    <row r="38" spans="1:8" x14ac:dyDescent="0.25">
      <c r="A38" s="4">
        <v>34</v>
      </c>
      <c r="B38" t="s">
        <v>7</v>
      </c>
      <c r="D38" t="s">
        <v>5</v>
      </c>
      <c r="E38" t="s">
        <v>7</v>
      </c>
      <c r="G38" t="s">
        <v>2</v>
      </c>
    </row>
    <row r="39" spans="1:8" x14ac:dyDescent="0.25">
      <c r="A39" s="4">
        <v>35</v>
      </c>
    </row>
    <row r="40" spans="1:8" x14ac:dyDescent="0.25">
      <c r="A40" s="4">
        <v>36</v>
      </c>
    </row>
    <row r="41" spans="1:8" x14ac:dyDescent="0.25">
      <c r="A41" s="4">
        <v>37</v>
      </c>
    </row>
    <row r="42" spans="1:8" x14ac:dyDescent="0.25">
      <c r="A42" s="4">
        <v>38</v>
      </c>
      <c r="G42" t="s">
        <v>5</v>
      </c>
    </row>
    <row r="43" spans="1:8" x14ac:dyDescent="0.25">
      <c r="A43" s="4">
        <v>39</v>
      </c>
      <c r="G43" t="s">
        <v>5</v>
      </c>
      <c r="H43" t="s">
        <v>5</v>
      </c>
    </row>
    <row r="44" spans="1:8" x14ac:dyDescent="0.25">
      <c r="A44" s="4">
        <v>40</v>
      </c>
      <c r="G44" t="s">
        <v>7</v>
      </c>
      <c r="H44" t="s">
        <v>5</v>
      </c>
    </row>
    <row r="45" spans="1:8" x14ac:dyDescent="0.25">
      <c r="A45" s="4">
        <v>41</v>
      </c>
      <c r="F45" t="s">
        <v>5</v>
      </c>
      <c r="G45" t="s">
        <v>7</v>
      </c>
      <c r="H45" t="s">
        <v>5</v>
      </c>
    </row>
    <row r="46" spans="1:8" x14ac:dyDescent="0.25">
      <c r="A46" s="4">
        <v>42</v>
      </c>
      <c r="E46" t="s">
        <v>7</v>
      </c>
      <c r="F46" t="s">
        <v>7</v>
      </c>
      <c r="H46" t="s">
        <v>7</v>
      </c>
    </row>
    <row r="47" spans="1:8" x14ac:dyDescent="0.25">
      <c r="A47" s="4">
        <v>43</v>
      </c>
    </row>
    <row r="48" spans="1:8" x14ac:dyDescent="0.25">
      <c r="A48" s="4">
        <v>44</v>
      </c>
      <c r="B48" t="s">
        <v>7</v>
      </c>
      <c r="E48" t="s">
        <v>7</v>
      </c>
    </row>
    <row r="49" spans="1:8" x14ac:dyDescent="0.25">
      <c r="A49" s="4">
        <v>45</v>
      </c>
      <c r="B49" t="s">
        <v>7</v>
      </c>
      <c r="C49" t="s">
        <v>7</v>
      </c>
      <c r="D49" t="s">
        <v>7</v>
      </c>
      <c r="E49" t="s">
        <v>7</v>
      </c>
      <c r="F49" t="s">
        <v>7</v>
      </c>
      <c r="G49" t="s">
        <v>7</v>
      </c>
      <c r="H49" t="s">
        <v>7</v>
      </c>
    </row>
    <row r="50" spans="1:8" x14ac:dyDescent="0.25">
      <c r="A50" s="4">
        <v>46</v>
      </c>
      <c r="B50" t="s">
        <v>5</v>
      </c>
      <c r="C50" t="s">
        <v>7</v>
      </c>
      <c r="D50" t="s">
        <v>7</v>
      </c>
      <c r="E50" t="s">
        <v>7</v>
      </c>
      <c r="F50" t="s">
        <v>5</v>
      </c>
      <c r="G50" t="s">
        <v>7</v>
      </c>
      <c r="H50" t="s">
        <v>5</v>
      </c>
    </row>
    <row r="51" spans="1:8" x14ac:dyDescent="0.25">
      <c r="A51" s="4">
        <v>47</v>
      </c>
      <c r="B51" t="s">
        <v>7</v>
      </c>
      <c r="C51" t="s">
        <v>7</v>
      </c>
      <c r="D51" t="s">
        <v>7</v>
      </c>
      <c r="E51" t="s">
        <v>7</v>
      </c>
      <c r="F51" t="s">
        <v>7</v>
      </c>
      <c r="G51" t="s">
        <v>7</v>
      </c>
      <c r="H51" t="s">
        <v>7</v>
      </c>
    </row>
    <row r="52" spans="1:8" x14ac:dyDescent="0.25">
      <c r="A52" s="4">
        <v>48</v>
      </c>
      <c r="B52" t="s">
        <v>7</v>
      </c>
      <c r="D52" t="s">
        <v>7</v>
      </c>
      <c r="E52" t="s">
        <v>7</v>
      </c>
      <c r="F52" t="s">
        <v>7</v>
      </c>
      <c r="H52" t="s">
        <v>7</v>
      </c>
    </row>
    <row r="53" spans="1:8" x14ac:dyDescent="0.25">
      <c r="A53" s="4">
        <v>49</v>
      </c>
      <c r="B53" t="s">
        <v>7</v>
      </c>
      <c r="C53" t="s">
        <v>7</v>
      </c>
      <c r="D53" t="s">
        <v>7</v>
      </c>
      <c r="E53" t="s">
        <v>7</v>
      </c>
      <c r="F53" t="s">
        <v>3</v>
      </c>
      <c r="G53" t="s">
        <v>5</v>
      </c>
    </row>
    <row r="54" spans="1:8" x14ac:dyDescent="0.25">
      <c r="A54" s="4">
        <v>50</v>
      </c>
      <c r="B54" t="s">
        <v>7</v>
      </c>
      <c r="D54" t="s">
        <v>7</v>
      </c>
      <c r="E54" t="s">
        <v>7</v>
      </c>
      <c r="G54" t="s">
        <v>7</v>
      </c>
      <c r="H54" t="s">
        <v>7</v>
      </c>
    </row>
    <row r="55" spans="1:8" x14ac:dyDescent="0.25">
      <c r="A55" s="4">
        <v>51</v>
      </c>
      <c r="B55" t="s">
        <v>7</v>
      </c>
      <c r="D55" t="s">
        <v>7</v>
      </c>
      <c r="E55" t="s">
        <v>7</v>
      </c>
      <c r="F55" t="s">
        <v>7</v>
      </c>
      <c r="G55" t="s">
        <v>7</v>
      </c>
      <c r="H55" t="s">
        <v>7</v>
      </c>
    </row>
    <row r="56" spans="1:8" x14ac:dyDescent="0.25">
      <c r="A56" s="4">
        <v>52</v>
      </c>
      <c r="B56" t="s">
        <v>7</v>
      </c>
      <c r="C56" t="s">
        <v>7</v>
      </c>
      <c r="D56" t="s">
        <v>7</v>
      </c>
      <c r="E56" t="s">
        <v>7</v>
      </c>
      <c r="F56" t="s">
        <v>7</v>
      </c>
      <c r="G56" t="s">
        <v>7</v>
      </c>
      <c r="H56" t="s">
        <v>5</v>
      </c>
    </row>
    <row r="57" spans="1:8" x14ac:dyDescent="0.25">
      <c r="A57" s="4">
        <v>53</v>
      </c>
      <c r="C57" t="s">
        <v>7</v>
      </c>
    </row>
    <row r="58" spans="1:8" x14ac:dyDescent="0.25">
      <c r="A58" s="4">
        <v>54</v>
      </c>
      <c r="B58" t="s">
        <v>7</v>
      </c>
      <c r="D58" t="s">
        <v>7</v>
      </c>
      <c r="E58" t="s">
        <v>7</v>
      </c>
      <c r="G58" t="s">
        <v>7</v>
      </c>
      <c r="H58" t="s">
        <v>7</v>
      </c>
    </row>
    <row r="59" spans="1:8" x14ac:dyDescent="0.25">
      <c r="A59" s="4">
        <v>55</v>
      </c>
      <c r="B59" t="s">
        <v>3</v>
      </c>
      <c r="C59" t="s">
        <v>5</v>
      </c>
      <c r="D59" t="s">
        <v>7</v>
      </c>
      <c r="E59" t="s">
        <v>7</v>
      </c>
      <c r="F59" t="s">
        <v>7</v>
      </c>
      <c r="H59" t="s">
        <v>5</v>
      </c>
    </row>
    <row r="60" spans="1:8" x14ac:dyDescent="0.25">
      <c r="A60" s="4">
        <v>56</v>
      </c>
      <c r="B60" t="s">
        <v>5</v>
      </c>
      <c r="C60" t="s">
        <v>7</v>
      </c>
      <c r="D60" t="s">
        <v>7</v>
      </c>
      <c r="E60" t="s">
        <v>7</v>
      </c>
      <c r="F60" t="s">
        <v>7</v>
      </c>
      <c r="G60" t="s">
        <v>7</v>
      </c>
      <c r="H60" t="s">
        <v>7</v>
      </c>
    </row>
    <row r="61" spans="1:8" x14ac:dyDescent="0.25">
      <c r="A61" s="18">
        <v>73</v>
      </c>
    </row>
    <row r="62" spans="1:8" x14ac:dyDescent="0.25">
      <c r="A62" s="18">
        <v>74</v>
      </c>
    </row>
  </sheetData>
  <conditionalFormatting sqref="G5:G11 B5:E11">
    <cfRule type="cellIs" dxfId="31" priority="17" operator="equal">
      <formula>"Energia"</formula>
    </cfRule>
  </conditionalFormatting>
  <conditionalFormatting sqref="C5:E60 C61:I62 B5:B62 G5:I60">
    <cfRule type="cellIs" dxfId="30" priority="10" operator="equal">
      <formula>"Energia"</formula>
    </cfRule>
    <cfRule type="cellIs" dxfId="29" priority="12" operator="equal">
      <formula>"Operação"</formula>
    </cfRule>
    <cfRule type="cellIs" dxfId="28" priority="13" operator="equal">
      <formula>"Chuva"</formula>
    </cfRule>
    <cfRule type="cellIs" dxfId="27" priority="14" operator="equal">
      <formula>"Elétrico"</formula>
    </cfRule>
    <cfRule type="cellIs" dxfId="26" priority="15" operator="equal">
      <formula>"Mecânico"</formula>
    </cfRule>
    <cfRule type="cellIs" dxfId="25" priority="16" operator="equal">
      <formula>"Ok"</formula>
    </cfRule>
  </conditionalFormatting>
  <conditionalFormatting sqref="C5:E60 C61:I62 B5:B62 G5:I60">
    <cfRule type="cellIs" dxfId="24" priority="11" operator="equal">
      <formula>"Feito"</formula>
    </cfRule>
  </conditionalFormatting>
  <conditionalFormatting sqref="K7">
    <cfRule type="iconSet" priority="9">
      <iconSet iconSet="3Arrows">
        <cfvo type="percent" val="0"/>
        <cfvo type="percent" val="33"/>
        <cfvo type="percent" val="67"/>
      </iconSet>
    </cfRule>
  </conditionalFormatting>
  <conditionalFormatting sqref="F5:F11">
    <cfRule type="cellIs" dxfId="23" priority="8" operator="equal">
      <formula>"Energia"</formula>
    </cfRule>
  </conditionalFormatting>
  <conditionalFormatting sqref="F5:F60">
    <cfRule type="cellIs" dxfId="22" priority="1" operator="equal">
      <formula>"Energia"</formula>
    </cfRule>
    <cfRule type="cellIs" dxfId="21" priority="3" operator="equal">
      <formula>"Operação"</formula>
    </cfRule>
    <cfRule type="cellIs" dxfId="20" priority="4" operator="equal">
      <formula>"Chuva"</formula>
    </cfRule>
    <cfRule type="cellIs" dxfId="19" priority="5" operator="equal">
      <formula>"Elétrico"</formula>
    </cfRule>
    <cfRule type="cellIs" dxfId="18" priority="6" operator="equal">
      <formula>"Mecânico"</formula>
    </cfRule>
    <cfRule type="cellIs" dxfId="17" priority="7" operator="equal">
      <formula>"Ok"</formula>
    </cfRule>
  </conditionalFormatting>
  <conditionalFormatting sqref="F5:F60">
    <cfRule type="cellIs" dxfId="16" priority="2" operator="equal">
      <formula>"Feito"</formula>
    </cfRule>
  </conditionalFormatting>
  <dataValidations count="1">
    <dataValidation type="list" allowBlank="1" showInputMessage="1" showErrorMessage="1" sqref="B61:I62 B5:J60" xr:uid="{B8FF1127-3CA7-4422-BD50-C9A778D364AF}">
      <formula1>$K$5:$K$10</formula1>
    </dataValidation>
  </dataValidations>
  <pageMargins left="0.511811024" right="0.511811024" top="0.78740157499999996" bottom="0.78740157499999996" header="0.31496062000000002" footer="0.3149606200000000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BCB11B-9386-4224-8954-8043BBFE29BA}">
  <dimension ref="A3:L62"/>
  <sheetViews>
    <sheetView tabSelected="1" workbookViewId="0">
      <pane xSplit="1" topLeftCell="B1" activePane="topRight" state="frozen"/>
      <selection pane="topRight" activeCell="I23" sqref="I23"/>
    </sheetView>
  </sheetViews>
  <sheetFormatPr defaultRowHeight="15" x14ac:dyDescent="0.25"/>
  <cols>
    <col min="2" max="2" width="10.42578125" customWidth="1"/>
    <col min="3" max="3" width="10.140625" bestFit="1" customWidth="1"/>
    <col min="4" max="5" width="10.85546875" customWidth="1"/>
    <col min="6" max="6" width="11.140625" customWidth="1"/>
    <col min="7" max="7" width="10.42578125" customWidth="1"/>
    <col min="8" max="8" width="9.85546875" customWidth="1"/>
    <col min="9" max="9" width="10.28515625" customWidth="1"/>
    <col min="11" max="11" width="11.140625" bestFit="1" customWidth="1"/>
  </cols>
  <sheetData>
    <row r="3" spans="1:12" x14ac:dyDescent="0.25">
      <c r="B3" s="3">
        <v>44466</v>
      </c>
      <c r="C3" s="3">
        <f>B3+1</f>
        <v>44467</v>
      </c>
      <c r="D3" s="3">
        <f t="shared" ref="D3:H3" si="0">C3+1</f>
        <v>44468</v>
      </c>
      <c r="E3" s="3">
        <f t="shared" si="0"/>
        <v>44469</v>
      </c>
      <c r="F3" s="3">
        <f t="shared" si="0"/>
        <v>44470</v>
      </c>
      <c r="G3" s="3">
        <f t="shared" si="0"/>
        <v>44471</v>
      </c>
      <c r="H3" s="3">
        <f t="shared" si="0"/>
        <v>44472</v>
      </c>
      <c r="I3" s="3"/>
    </row>
    <row r="4" spans="1:12" x14ac:dyDescent="0.25">
      <c r="A4" s="2" t="s">
        <v>0</v>
      </c>
      <c r="B4" s="1" t="str">
        <f>TEXT(B3,"ddd")</f>
        <v>seg</v>
      </c>
      <c r="C4" s="1" t="str">
        <f t="shared" ref="C4:H4" si="1">TEXT(C3,"ddd")</f>
        <v>ter</v>
      </c>
      <c r="D4" s="1" t="str">
        <f t="shared" si="1"/>
        <v>qua</v>
      </c>
      <c r="E4" s="1" t="str">
        <f t="shared" si="1"/>
        <v>qui</v>
      </c>
      <c r="F4" s="1" t="str">
        <f t="shared" si="1"/>
        <v>sex</v>
      </c>
      <c r="G4" s="1" t="str">
        <f t="shared" si="1"/>
        <v>sáb</v>
      </c>
      <c r="H4" s="1" t="str">
        <f t="shared" si="1"/>
        <v>dom</v>
      </c>
      <c r="I4" s="1"/>
      <c r="K4" s="11" t="s">
        <v>1</v>
      </c>
    </row>
    <row r="5" spans="1:12" x14ac:dyDescent="0.25">
      <c r="A5" s="4">
        <v>1</v>
      </c>
      <c r="B5" t="s">
        <v>7</v>
      </c>
      <c r="C5" t="s">
        <v>7</v>
      </c>
      <c r="D5" t="s">
        <v>7</v>
      </c>
      <c r="E5" t="s">
        <v>7</v>
      </c>
      <c r="F5" t="s">
        <v>7</v>
      </c>
      <c r="G5" t="s">
        <v>7</v>
      </c>
      <c r="H5" t="s">
        <v>7</v>
      </c>
      <c r="K5" s="5" t="s">
        <v>7</v>
      </c>
      <c r="L5">
        <f t="shared" ref="L5:L10" si="2">COUNTIF($B$5:$I$60,K5)</f>
        <v>152</v>
      </c>
    </row>
    <row r="6" spans="1:12" x14ac:dyDescent="0.25">
      <c r="A6" s="4">
        <v>2</v>
      </c>
      <c r="B6" t="s">
        <v>7</v>
      </c>
      <c r="C6" t="s">
        <v>7</v>
      </c>
      <c r="D6" t="s">
        <v>7</v>
      </c>
      <c r="E6" t="s">
        <v>7</v>
      </c>
      <c r="F6" t="s">
        <v>7</v>
      </c>
      <c r="G6" t="s">
        <v>7</v>
      </c>
      <c r="H6" t="s">
        <v>7</v>
      </c>
      <c r="K6" s="6" t="s">
        <v>2</v>
      </c>
      <c r="L6">
        <f t="shared" si="2"/>
        <v>4</v>
      </c>
    </row>
    <row r="7" spans="1:12" x14ac:dyDescent="0.25">
      <c r="A7" s="4">
        <v>3</v>
      </c>
      <c r="B7" t="s">
        <v>7</v>
      </c>
      <c r="C7" t="s">
        <v>7</v>
      </c>
      <c r="D7" t="s">
        <v>7</v>
      </c>
      <c r="E7" t="s">
        <v>7</v>
      </c>
      <c r="F7" t="s">
        <v>7</v>
      </c>
      <c r="G7" t="s">
        <v>7</v>
      </c>
      <c r="H7" t="s">
        <v>7</v>
      </c>
      <c r="K7" s="7" t="s">
        <v>3</v>
      </c>
      <c r="L7">
        <f t="shared" si="2"/>
        <v>2</v>
      </c>
    </row>
    <row r="8" spans="1:12" x14ac:dyDescent="0.25">
      <c r="A8" s="4">
        <v>4</v>
      </c>
      <c r="B8" t="s">
        <v>7</v>
      </c>
      <c r="C8" t="s">
        <v>7</v>
      </c>
      <c r="D8" t="s">
        <v>7</v>
      </c>
      <c r="E8" t="s">
        <v>7</v>
      </c>
      <c r="F8" t="s">
        <v>7</v>
      </c>
      <c r="G8" t="s">
        <v>7</v>
      </c>
      <c r="H8" t="s">
        <v>7</v>
      </c>
      <c r="K8" s="8" t="s">
        <v>4</v>
      </c>
      <c r="L8">
        <f t="shared" si="2"/>
        <v>0</v>
      </c>
    </row>
    <row r="9" spans="1:12" x14ac:dyDescent="0.25">
      <c r="A9" s="4">
        <v>5</v>
      </c>
      <c r="K9" s="9" t="s">
        <v>6</v>
      </c>
      <c r="L9">
        <f t="shared" si="2"/>
        <v>0</v>
      </c>
    </row>
    <row r="10" spans="1:12" x14ac:dyDescent="0.25">
      <c r="A10" s="4">
        <v>6</v>
      </c>
      <c r="K10" s="10" t="s">
        <v>5</v>
      </c>
      <c r="L10">
        <f t="shared" si="2"/>
        <v>36</v>
      </c>
    </row>
    <row r="11" spans="1:12" x14ac:dyDescent="0.25">
      <c r="A11" s="4">
        <v>7</v>
      </c>
      <c r="L11">
        <f>SUM(L5:L10)</f>
        <v>194</v>
      </c>
    </row>
    <row r="12" spans="1:12" x14ac:dyDescent="0.25">
      <c r="A12" s="4">
        <v>8</v>
      </c>
    </row>
    <row r="13" spans="1:12" x14ac:dyDescent="0.25">
      <c r="A13" s="4">
        <v>9</v>
      </c>
    </row>
    <row r="14" spans="1:12" x14ac:dyDescent="0.25">
      <c r="A14" s="4">
        <v>10</v>
      </c>
    </row>
    <row r="15" spans="1:12" x14ac:dyDescent="0.25">
      <c r="A15" s="4">
        <v>11</v>
      </c>
      <c r="B15" t="s">
        <v>2</v>
      </c>
      <c r="D15" t="s">
        <v>7</v>
      </c>
    </row>
    <row r="16" spans="1:12" x14ac:dyDescent="0.25">
      <c r="A16" s="4">
        <v>12</v>
      </c>
      <c r="B16" t="s">
        <v>7</v>
      </c>
      <c r="D16" t="s">
        <v>7</v>
      </c>
      <c r="E16" t="s">
        <v>7</v>
      </c>
      <c r="H16" t="s">
        <v>7</v>
      </c>
    </row>
    <row r="17" spans="1:8" x14ac:dyDescent="0.25">
      <c r="A17" s="4">
        <v>13</v>
      </c>
      <c r="B17" t="s">
        <v>7</v>
      </c>
      <c r="D17" t="s">
        <v>7</v>
      </c>
      <c r="E17" t="s">
        <v>7</v>
      </c>
      <c r="G17" t="s">
        <v>7</v>
      </c>
      <c r="H17" t="s">
        <v>7</v>
      </c>
    </row>
    <row r="18" spans="1:8" x14ac:dyDescent="0.25">
      <c r="A18" s="4">
        <v>14</v>
      </c>
      <c r="C18" t="s">
        <v>5</v>
      </c>
      <c r="D18" t="s">
        <v>7</v>
      </c>
      <c r="F18" t="s">
        <v>7</v>
      </c>
      <c r="G18" t="s">
        <v>7</v>
      </c>
    </row>
    <row r="19" spans="1:8" x14ac:dyDescent="0.25">
      <c r="A19" s="4">
        <v>15</v>
      </c>
      <c r="B19" t="s">
        <v>5</v>
      </c>
      <c r="E19" t="s">
        <v>5</v>
      </c>
    </row>
    <row r="20" spans="1:8" x14ac:dyDescent="0.25">
      <c r="A20" s="4">
        <v>16</v>
      </c>
      <c r="B20" t="s">
        <v>7</v>
      </c>
      <c r="C20" t="s">
        <v>7</v>
      </c>
      <c r="D20" t="s">
        <v>5</v>
      </c>
      <c r="E20" t="s">
        <v>7</v>
      </c>
      <c r="F20" t="s">
        <v>3</v>
      </c>
      <c r="G20" t="s">
        <v>7</v>
      </c>
      <c r="H20" t="s">
        <v>5</v>
      </c>
    </row>
    <row r="21" spans="1:8" x14ac:dyDescent="0.25">
      <c r="A21" s="4">
        <v>17</v>
      </c>
      <c r="B21" t="s">
        <v>7</v>
      </c>
    </row>
    <row r="22" spans="1:8" x14ac:dyDescent="0.25">
      <c r="A22" s="4">
        <v>18</v>
      </c>
      <c r="F22" t="s">
        <v>2</v>
      </c>
    </row>
    <row r="23" spans="1:8" x14ac:dyDescent="0.25">
      <c r="A23" s="4">
        <v>19</v>
      </c>
      <c r="B23" t="s">
        <v>2</v>
      </c>
    </row>
    <row r="24" spans="1:8" x14ac:dyDescent="0.25">
      <c r="A24" s="4">
        <v>20</v>
      </c>
      <c r="C24" t="s">
        <v>7</v>
      </c>
      <c r="H24" t="s">
        <v>5</v>
      </c>
    </row>
    <row r="25" spans="1:8" x14ac:dyDescent="0.25">
      <c r="A25" s="4">
        <v>21</v>
      </c>
      <c r="C25" t="s">
        <v>5</v>
      </c>
      <c r="F25" t="s">
        <v>7</v>
      </c>
    </row>
    <row r="26" spans="1:8" x14ac:dyDescent="0.25">
      <c r="A26" s="4">
        <v>22</v>
      </c>
    </row>
    <row r="27" spans="1:8" x14ac:dyDescent="0.25">
      <c r="A27" s="4">
        <v>23</v>
      </c>
      <c r="C27" t="s">
        <v>5</v>
      </c>
      <c r="E27" t="s">
        <v>5</v>
      </c>
      <c r="G27" t="s">
        <v>7</v>
      </c>
    </row>
    <row r="28" spans="1:8" x14ac:dyDescent="0.25">
      <c r="A28" s="4">
        <v>24</v>
      </c>
    </row>
    <row r="29" spans="1:8" x14ac:dyDescent="0.25">
      <c r="A29" s="4">
        <v>25</v>
      </c>
      <c r="B29" t="s">
        <v>7</v>
      </c>
      <c r="C29" t="s">
        <v>7</v>
      </c>
      <c r="D29" t="s">
        <v>7</v>
      </c>
      <c r="E29" t="s">
        <v>7</v>
      </c>
      <c r="F29" t="s">
        <v>7</v>
      </c>
      <c r="G29" t="s">
        <v>7</v>
      </c>
      <c r="H29" t="s">
        <v>7</v>
      </c>
    </row>
    <row r="30" spans="1:8" x14ac:dyDescent="0.25">
      <c r="A30" s="4">
        <v>26</v>
      </c>
      <c r="E30" t="s">
        <v>5</v>
      </c>
      <c r="G30" t="s">
        <v>5</v>
      </c>
      <c r="H30" t="s">
        <v>5</v>
      </c>
    </row>
    <row r="31" spans="1:8" x14ac:dyDescent="0.25">
      <c r="A31" s="4">
        <v>27</v>
      </c>
      <c r="G31" t="s">
        <v>5</v>
      </c>
      <c r="H31" t="s">
        <v>5</v>
      </c>
    </row>
    <row r="32" spans="1:8" x14ac:dyDescent="0.25">
      <c r="A32" s="4">
        <v>28</v>
      </c>
    </row>
    <row r="33" spans="1:8" x14ac:dyDescent="0.25">
      <c r="A33" s="4">
        <v>29</v>
      </c>
      <c r="B33" t="s">
        <v>7</v>
      </c>
      <c r="C33" t="s">
        <v>7</v>
      </c>
      <c r="D33" t="s">
        <v>7</v>
      </c>
      <c r="E33" t="s">
        <v>7</v>
      </c>
      <c r="F33" t="s">
        <v>7</v>
      </c>
      <c r="G33" t="s">
        <v>7</v>
      </c>
      <c r="H33" t="s">
        <v>7</v>
      </c>
    </row>
    <row r="34" spans="1:8" x14ac:dyDescent="0.25">
      <c r="A34" s="4">
        <v>30</v>
      </c>
      <c r="B34" t="s">
        <v>7</v>
      </c>
      <c r="C34" t="s">
        <v>7</v>
      </c>
      <c r="D34" t="s">
        <v>7</v>
      </c>
      <c r="E34" t="s">
        <v>7</v>
      </c>
      <c r="F34" t="s">
        <v>7</v>
      </c>
      <c r="G34" t="s">
        <v>7</v>
      </c>
      <c r="H34" t="s">
        <v>7</v>
      </c>
    </row>
    <row r="35" spans="1:8" x14ac:dyDescent="0.25">
      <c r="A35" s="4">
        <v>31</v>
      </c>
      <c r="B35" t="s">
        <v>7</v>
      </c>
      <c r="C35" t="s">
        <v>5</v>
      </c>
      <c r="D35" t="s">
        <v>5</v>
      </c>
      <c r="E35" t="s">
        <v>5</v>
      </c>
      <c r="F35" t="s">
        <v>7</v>
      </c>
      <c r="G35" t="s">
        <v>5</v>
      </c>
    </row>
    <row r="36" spans="1:8" x14ac:dyDescent="0.25">
      <c r="A36" s="4">
        <v>32</v>
      </c>
      <c r="B36" t="s">
        <v>7</v>
      </c>
      <c r="C36" t="s">
        <v>7</v>
      </c>
      <c r="D36" t="s">
        <v>7</v>
      </c>
      <c r="E36" t="s">
        <v>7</v>
      </c>
      <c r="F36" t="s">
        <v>3</v>
      </c>
      <c r="G36" t="s">
        <v>5</v>
      </c>
      <c r="H36" t="s">
        <v>5</v>
      </c>
    </row>
    <row r="37" spans="1:8" x14ac:dyDescent="0.25">
      <c r="A37" s="4">
        <v>33</v>
      </c>
      <c r="B37" t="s">
        <v>5</v>
      </c>
      <c r="C37" t="s">
        <v>5</v>
      </c>
      <c r="D37" t="s">
        <v>7</v>
      </c>
      <c r="E37" t="s">
        <v>7</v>
      </c>
      <c r="F37" t="s">
        <v>7</v>
      </c>
      <c r="G37" t="s">
        <v>5</v>
      </c>
      <c r="H37" t="s">
        <v>5</v>
      </c>
    </row>
    <row r="38" spans="1:8" x14ac:dyDescent="0.25">
      <c r="A38" s="4">
        <v>34</v>
      </c>
      <c r="B38" t="s">
        <v>7</v>
      </c>
      <c r="C38" t="s">
        <v>2</v>
      </c>
      <c r="E38" t="s">
        <v>7</v>
      </c>
      <c r="F38" t="s">
        <v>7</v>
      </c>
      <c r="H38" t="s">
        <v>7</v>
      </c>
    </row>
    <row r="39" spans="1:8" x14ac:dyDescent="0.25">
      <c r="A39" s="4">
        <v>35</v>
      </c>
    </row>
    <row r="40" spans="1:8" x14ac:dyDescent="0.25">
      <c r="A40" s="4">
        <v>36</v>
      </c>
    </row>
    <row r="41" spans="1:8" x14ac:dyDescent="0.25">
      <c r="A41" s="4">
        <v>37</v>
      </c>
    </row>
    <row r="42" spans="1:8" x14ac:dyDescent="0.25">
      <c r="A42" s="4">
        <v>38</v>
      </c>
    </row>
    <row r="43" spans="1:8" x14ac:dyDescent="0.25">
      <c r="A43" s="4">
        <v>39</v>
      </c>
      <c r="B43" t="s">
        <v>5</v>
      </c>
      <c r="D43" t="s">
        <v>7</v>
      </c>
      <c r="E43" t="s">
        <v>7</v>
      </c>
      <c r="F43" t="s">
        <v>7</v>
      </c>
      <c r="G43" t="s">
        <v>7</v>
      </c>
    </row>
    <row r="44" spans="1:8" x14ac:dyDescent="0.25">
      <c r="A44" s="4">
        <v>40</v>
      </c>
      <c r="B44" t="s">
        <v>7</v>
      </c>
      <c r="C44" t="s">
        <v>7</v>
      </c>
      <c r="D44" t="s">
        <v>7</v>
      </c>
    </row>
    <row r="45" spans="1:8" x14ac:dyDescent="0.25">
      <c r="A45" s="4">
        <v>41</v>
      </c>
      <c r="B45" t="s">
        <v>5</v>
      </c>
      <c r="G45" t="s">
        <v>7</v>
      </c>
      <c r="H45" t="s">
        <v>5</v>
      </c>
    </row>
    <row r="46" spans="1:8" x14ac:dyDescent="0.25">
      <c r="A46" s="4">
        <v>42</v>
      </c>
      <c r="B46" t="s">
        <v>7</v>
      </c>
      <c r="C46" t="s">
        <v>7</v>
      </c>
      <c r="G46" t="s">
        <v>7</v>
      </c>
      <c r="H46" t="s">
        <v>7</v>
      </c>
    </row>
    <row r="47" spans="1:8" x14ac:dyDescent="0.25">
      <c r="A47" s="4">
        <v>43</v>
      </c>
    </row>
    <row r="48" spans="1:8" x14ac:dyDescent="0.25">
      <c r="A48" s="4">
        <v>44</v>
      </c>
    </row>
    <row r="49" spans="1:8" x14ac:dyDescent="0.25">
      <c r="A49" s="4">
        <v>45</v>
      </c>
      <c r="B49" t="s">
        <v>7</v>
      </c>
      <c r="C49" t="s">
        <v>7</v>
      </c>
      <c r="D49" t="s">
        <v>7</v>
      </c>
      <c r="E49" t="s">
        <v>7</v>
      </c>
      <c r="F49" t="s">
        <v>7</v>
      </c>
      <c r="G49" t="s">
        <v>7</v>
      </c>
      <c r="H49" t="s">
        <v>7</v>
      </c>
    </row>
    <row r="50" spans="1:8" x14ac:dyDescent="0.25">
      <c r="A50" s="4">
        <v>46</v>
      </c>
      <c r="B50" t="s">
        <v>5</v>
      </c>
      <c r="C50" t="s">
        <v>5</v>
      </c>
      <c r="D50" t="s">
        <v>5</v>
      </c>
      <c r="E50" t="s">
        <v>5</v>
      </c>
      <c r="F50" t="s">
        <v>5</v>
      </c>
      <c r="G50" t="s">
        <v>7</v>
      </c>
      <c r="H50" t="s">
        <v>7</v>
      </c>
    </row>
    <row r="51" spans="1:8" x14ac:dyDescent="0.25">
      <c r="A51" s="4">
        <v>47</v>
      </c>
      <c r="B51" t="s">
        <v>7</v>
      </c>
      <c r="C51" t="s">
        <v>7</v>
      </c>
      <c r="D51" t="s">
        <v>7</v>
      </c>
      <c r="E51" t="s">
        <v>7</v>
      </c>
      <c r="F51" t="s">
        <v>5</v>
      </c>
      <c r="G51" t="s">
        <v>5</v>
      </c>
      <c r="H51" t="s">
        <v>7</v>
      </c>
    </row>
    <row r="52" spans="1:8" x14ac:dyDescent="0.25">
      <c r="A52" s="4">
        <v>48</v>
      </c>
      <c r="B52" t="s">
        <v>7</v>
      </c>
      <c r="D52" t="s">
        <v>7</v>
      </c>
      <c r="E52" t="s">
        <v>7</v>
      </c>
      <c r="G52" t="s">
        <v>7</v>
      </c>
      <c r="H52" t="s">
        <v>7</v>
      </c>
    </row>
    <row r="53" spans="1:8" x14ac:dyDescent="0.25">
      <c r="A53" s="4">
        <v>49</v>
      </c>
      <c r="C53" t="s">
        <v>5</v>
      </c>
      <c r="D53" t="s">
        <v>7</v>
      </c>
      <c r="E53" t="s">
        <v>7</v>
      </c>
      <c r="G53" t="s">
        <v>7</v>
      </c>
      <c r="H53" t="s">
        <v>7</v>
      </c>
    </row>
    <row r="54" spans="1:8" x14ac:dyDescent="0.25">
      <c r="A54" s="4">
        <v>50</v>
      </c>
      <c r="B54" t="s">
        <v>7</v>
      </c>
      <c r="D54" t="s">
        <v>7</v>
      </c>
      <c r="E54" t="s">
        <v>7</v>
      </c>
      <c r="G54" t="s">
        <v>7</v>
      </c>
      <c r="H54" t="s">
        <v>7</v>
      </c>
    </row>
    <row r="55" spans="1:8" x14ac:dyDescent="0.25">
      <c r="A55" s="4">
        <v>51</v>
      </c>
      <c r="B55" t="s">
        <v>7</v>
      </c>
      <c r="C55" t="s">
        <v>7</v>
      </c>
      <c r="D55" t="s">
        <v>7</v>
      </c>
      <c r="F55" t="s">
        <v>7</v>
      </c>
      <c r="H55" t="s">
        <v>7</v>
      </c>
    </row>
    <row r="56" spans="1:8" x14ac:dyDescent="0.25">
      <c r="A56" s="4">
        <v>52</v>
      </c>
      <c r="B56" t="s">
        <v>7</v>
      </c>
      <c r="C56" t="s">
        <v>7</v>
      </c>
      <c r="D56" t="s">
        <v>7</v>
      </c>
      <c r="E56" t="s">
        <v>7</v>
      </c>
      <c r="F56" t="s">
        <v>7</v>
      </c>
      <c r="G56" t="s">
        <v>7</v>
      </c>
      <c r="H56" t="s">
        <v>7</v>
      </c>
    </row>
    <row r="57" spans="1:8" x14ac:dyDescent="0.25">
      <c r="A57" s="4">
        <v>53</v>
      </c>
    </row>
    <row r="58" spans="1:8" x14ac:dyDescent="0.25">
      <c r="A58" s="4">
        <v>54</v>
      </c>
      <c r="C58" t="s">
        <v>7</v>
      </c>
      <c r="D58" t="s">
        <v>7</v>
      </c>
      <c r="E58" t="s">
        <v>7</v>
      </c>
      <c r="F58" t="s">
        <v>7</v>
      </c>
      <c r="H58" t="s">
        <v>7</v>
      </c>
    </row>
    <row r="59" spans="1:8" x14ac:dyDescent="0.25">
      <c r="A59" s="4">
        <v>55</v>
      </c>
      <c r="B59" t="s">
        <v>7</v>
      </c>
      <c r="C59" t="s">
        <v>7</v>
      </c>
      <c r="D59" t="s">
        <v>7</v>
      </c>
      <c r="E59" t="s">
        <v>5</v>
      </c>
      <c r="F59" t="s">
        <v>7</v>
      </c>
      <c r="G59" t="s">
        <v>7</v>
      </c>
      <c r="H59" t="s">
        <v>7</v>
      </c>
    </row>
    <row r="60" spans="1:8" x14ac:dyDescent="0.25">
      <c r="A60" s="4">
        <v>56</v>
      </c>
      <c r="B60" t="s">
        <v>7</v>
      </c>
      <c r="C60" t="s">
        <v>7</v>
      </c>
      <c r="D60" t="s">
        <v>7</v>
      </c>
      <c r="E60" t="s">
        <v>7</v>
      </c>
      <c r="F60" t="s">
        <v>7</v>
      </c>
      <c r="H60" t="s">
        <v>7</v>
      </c>
    </row>
    <row r="61" spans="1:8" x14ac:dyDescent="0.25">
      <c r="A61" s="18">
        <v>73</v>
      </c>
    </row>
    <row r="62" spans="1:8" x14ac:dyDescent="0.25">
      <c r="A62" s="18">
        <v>74</v>
      </c>
    </row>
  </sheetData>
  <conditionalFormatting sqref="B5:E11 G5:G11">
    <cfRule type="cellIs" dxfId="15" priority="17" operator="equal">
      <formula>"Energia"</formula>
    </cfRule>
  </conditionalFormatting>
  <conditionalFormatting sqref="C61:I62 B5:B62 C5:E60 G5:I60">
    <cfRule type="cellIs" dxfId="14" priority="10" operator="equal">
      <formula>"Energia"</formula>
    </cfRule>
    <cfRule type="cellIs" dxfId="13" priority="12" operator="equal">
      <formula>"Operação"</formula>
    </cfRule>
    <cfRule type="cellIs" dxfId="12" priority="13" operator="equal">
      <formula>"Chuva"</formula>
    </cfRule>
    <cfRule type="cellIs" dxfId="11" priority="14" operator="equal">
      <formula>"Elétrico"</formula>
    </cfRule>
    <cfRule type="cellIs" dxfId="10" priority="15" operator="equal">
      <formula>"Mecânico"</formula>
    </cfRule>
    <cfRule type="cellIs" dxfId="9" priority="16" operator="equal">
      <formula>"Ok"</formula>
    </cfRule>
  </conditionalFormatting>
  <conditionalFormatting sqref="C61:I62 B5:B62 C5:E60 G5:I60">
    <cfRule type="cellIs" dxfId="8" priority="11" operator="equal">
      <formula>"Feito"</formula>
    </cfRule>
  </conditionalFormatting>
  <conditionalFormatting sqref="K7">
    <cfRule type="iconSet" priority="9">
      <iconSet iconSet="3Arrows">
        <cfvo type="percent" val="0"/>
        <cfvo type="percent" val="33"/>
        <cfvo type="percent" val="67"/>
      </iconSet>
    </cfRule>
  </conditionalFormatting>
  <conditionalFormatting sqref="F5:F11">
    <cfRule type="cellIs" dxfId="7" priority="8" operator="equal">
      <formula>"Energia"</formula>
    </cfRule>
  </conditionalFormatting>
  <conditionalFormatting sqref="F5:F60">
    <cfRule type="cellIs" dxfId="6" priority="1" operator="equal">
      <formula>"Energia"</formula>
    </cfRule>
    <cfRule type="cellIs" dxfId="5" priority="3" operator="equal">
      <formula>"Operação"</formula>
    </cfRule>
    <cfRule type="cellIs" dxfId="4" priority="4" operator="equal">
      <formula>"Chuva"</formula>
    </cfRule>
    <cfRule type="cellIs" dxfId="3" priority="5" operator="equal">
      <formula>"Elétrico"</formula>
    </cfRule>
    <cfRule type="cellIs" dxfId="2" priority="6" operator="equal">
      <formula>"Mecânico"</formula>
    </cfRule>
    <cfRule type="cellIs" dxfId="1" priority="7" operator="equal">
      <formula>"Ok"</formula>
    </cfRule>
  </conditionalFormatting>
  <conditionalFormatting sqref="F5:F60">
    <cfRule type="cellIs" dxfId="0" priority="2" operator="equal">
      <formula>"Feito"</formula>
    </cfRule>
  </conditionalFormatting>
  <dataValidations count="1">
    <dataValidation type="list" allowBlank="1" showInputMessage="1" showErrorMessage="1" sqref="B61:I62 B5:J60" xr:uid="{66C8FBBE-AB98-444A-905D-F5FF11458197}">
      <formula1>$K$5:$K$10</formula1>
    </dataValidation>
  </dataValidations>
  <pageMargins left="0.511811024" right="0.511811024" top="0.78740157499999996" bottom="0.78740157499999996" header="0.31496062000000002" footer="0.3149606200000000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E0F114-528E-472E-914B-6C9F244D4CDD}">
  <dimension ref="B2:AJ8"/>
  <sheetViews>
    <sheetView topLeftCell="U1" zoomScale="120" zoomScaleNormal="120" workbookViewId="0">
      <selection activeCell="AC13" sqref="AC13"/>
    </sheetView>
  </sheetViews>
  <sheetFormatPr defaultRowHeight="15" x14ac:dyDescent="0.25"/>
  <cols>
    <col min="2" max="2" width="11.7109375" customWidth="1"/>
    <col min="3" max="3" width="10.42578125" bestFit="1" customWidth="1"/>
    <col min="5" max="5" width="10.42578125" bestFit="1" customWidth="1"/>
  </cols>
  <sheetData>
    <row r="2" spans="2:36" x14ac:dyDescent="0.25">
      <c r="C2" s="16">
        <v>44182</v>
      </c>
      <c r="D2" s="16">
        <v>44190</v>
      </c>
      <c r="E2" s="16">
        <v>44198</v>
      </c>
      <c r="F2" s="16">
        <v>44210</v>
      </c>
      <c r="G2" s="16">
        <v>44218</v>
      </c>
      <c r="H2" s="16">
        <v>44226</v>
      </c>
      <c r="I2" s="16">
        <v>44234</v>
      </c>
      <c r="J2" s="16">
        <v>44242</v>
      </c>
      <c r="K2" s="16">
        <v>44251</v>
      </c>
      <c r="L2" s="16">
        <v>44258</v>
      </c>
      <c r="M2" s="16">
        <v>44266</v>
      </c>
      <c r="N2" s="16">
        <v>44274</v>
      </c>
      <c r="O2" s="16">
        <v>44282</v>
      </c>
      <c r="P2" s="16">
        <v>44290</v>
      </c>
      <c r="Q2" s="16">
        <v>44298</v>
      </c>
      <c r="R2" s="16">
        <v>44316</v>
      </c>
      <c r="S2" s="16">
        <v>44324</v>
      </c>
      <c r="T2" s="16">
        <v>44332</v>
      </c>
      <c r="U2" s="16">
        <v>44340</v>
      </c>
      <c r="V2" s="16">
        <v>44348</v>
      </c>
      <c r="W2" s="17">
        <v>44356</v>
      </c>
      <c r="X2" s="17">
        <v>44364</v>
      </c>
      <c r="Y2" s="17">
        <v>44372</v>
      </c>
      <c r="Z2" s="17">
        <v>44380</v>
      </c>
      <c r="AA2" s="17">
        <v>44394</v>
      </c>
      <c r="AB2" s="17">
        <v>44404</v>
      </c>
      <c r="AC2" s="17">
        <v>44412</v>
      </c>
      <c r="AD2" s="17">
        <v>44420</v>
      </c>
      <c r="AE2" s="17">
        <v>44428</v>
      </c>
      <c r="AF2" s="17">
        <v>44436</v>
      </c>
      <c r="AG2" s="17">
        <v>44444</v>
      </c>
      <c r="AH2" s="17">
        <v>44452</v>
      </c>
      <c r="AI2" s="17">
        <v>44460</v>
      </c>
      <c r="AJ2" s="17">
        <v>44466</v>
      </c>
    </row>
    <row r="3" spans="2:36" x14ac:dyDescent="0.25">
      <c r="B3" s="5" t="s">
        <v>7</v>
      </c>
      <c r="C3">
        <f t="shared" ref="C3:N3" ca="1" si="0">COUNTIF($C$5:$J$60,B3)</f>
        <v>81</v>
      </c>
      <c r="D3">
        <f t="shared" ca="1" si="0"/>
        <v>101</v>
      </c>
      <c r="E3">
        <f t="shared" ca="1" si="0"/>
        <v>38</v>
      </c>
      <c r="F3">
        <f t="shared" ca="1" si="0"/>
        <v>38</v>
      </c>
      <c r="G3">
        <f t="shared" ca="1" si="0"/>
        <v>118</v>
      </c>
      <c r="H3">
        <f t="shared" ca="1" si="0"/>
        <v>122</v>
      </c>
      <c r="I3">
        <f t="shared" ca="1" si="0"/>
        <v>10</v>
      </c>
      <c r="J3">
        <f t="shared" ca="1" si="0"/>
        <v>9</v>
      </c>
      <c r="K3">
        <f t="shared" ca="1" si="0"/>
        <v>14</v>
      </c>
      <c r="L3">
        <f t="shared" ca="1" si="0"/>
        <v>75</v>
      </c>
      <c r="M3">
        <f t="shared" ca="1" si="0"/>
        <v>93</v>
      </c>
      <c r="N3">
        <f t="shared" ca="1" si="0"/>
        <v>113</v>
      </c>
      <c r="O3">
        <f ca="1">COUNTIF($C$5:$J$60,N3)</f>
        <v>139</v>
      </c>
      <c r="P3">
        <f ca="1">COUNTIF($C$5:$J$60,O3)</f>
        <v>49</v>
      </c>
      <c r="Q3">
        <f ca="1">COUNTIF($C$5:$J$60,P3)</f>
        <v>20</v>
      </c>
      <c r="R3">
        <f t="shared" ref="R3:V3" ca="1" si="1">COUNTIF($B$5:$I$60,Q3)</f>
        <v>86</v>
      </c>
      <c r="S3">
        <f t="shared" ca="1" si="1"/>
        <v>109</v>
      </c>
      <c r="T3">
        <f t="shared" ca="1" si="1"/>
        <v>113</v>
      </c>
      <c r="U3">
        <f t="shared" ca="1" si="1"/>
        <v>119</v>
      </c>
      <c r="V3">
        <f t="shared" ca="1" si="1"/>
        <v>100</v>
      </c>
      <c r="W3">
        <f t="shared" ref="W3:AB3" ca="1" si="2">COUNTIF($B$5:$I$60,V3)</f>
        <v>92</v>
      </c>
      <c r="X3">
        <f t="shared" ca="1" si="2"/>
        <v>93</v>
      </c>
      <c r="Y3">
        <f t="shared" ca="1" si="2"/>
        <v>95</v>
      </c>
      <c r="Z3">
        <f t="shared" ca="1" si="2"/>
        <v>80</v>
      </c>
      <c r="AA3">
        <f t="shared" ca="1" si="2"/>
        <v>92</v>
      </c>
      <c r="AB3">
        <f t="shared" ca="1" si="2"/>
        <v>83</v>
      </c>
      <c r="AC3">
        <f t="shared" ref="AC3:AH3" ca="1" si="3">COUNTIF($B$5:$I$60,AB3)</f>
        <v>102</v>
      </c>
      <c r="AD3">
        <f t="shared" ca="1" si="3"/>
        <v>98</v>
      </c>
      <c r="AE3">
        <f t="shared" ca="1" si="3"/>
        <v>112</v>
      </c>
      <c r="AF3">
        <f t="shared" ca="1" si="3"/>
        <v>153</v>
      </c>
      <c r="AG3">
        <f t="shared" ca="1" si="3"/>
        <v>194</v>
      </c>
      <c r="AH3">
        <f t="shared" ca="1" si="3"/>
        <v>66</v>
      </c>
      <c r="AI3">
        <f t="shared" ref="AI3:AI8" ca="1" si="4">COUNTIF($C$5:$I$60,AH3)</f>
        <v>127</v>
      </c>
      <c r="AJ3">
        <f t="shared" ref="AJ3:AJ8" ca="1" si="5">COUNTIF($B$5:$I$60,AI3)</f>
        <v>152</v>
      </c>
    </row>
    <row r="4" spans="2:36" x14ac:dyDescent="0.25">
      <c r="B4" s="6" t="s">
        <v>2</v>
      </c>
      <c r="C4">
        <f t="shared" ref="C4:Q8" ca="1" si="6">COUNTIF($C$5:$J$60,B4)</f>
        <v>12</v>
      </c>
      <c r="D4">
        <f t="shared" ca="1" si="6"/>
        <v>10</v>
      </c>
      <c r="E4">
        <f t="shared" ca="1" si="6"/>
        <v>12</v>
      </c>
      <c r="F4">
        <f t="shared" ca="1" si="6"/>
        <v>13</v>
      </c>
      <c r="G4">
        <f t="shared" ca="1" si="6"/>
        <v>19</v>
      </c>
      <c r="H4">
        <f t="shared" ca="1" si="6"/>
        <v>12</v>
      </c>
      <c r="I4">
        <f t="shared" ca="1" si="6"/>
        <v>2</v>
      </c>
      <c r="J4">
        <f t="shared" ca="1" si="6"/>
        <v>6</v>
      </c>
      <c r="K4">
        <f t="shared" ca="1" si="6"/>
        <v>1</v>
      </c>
      <c r="L4">
        <f t="shared" ca="1" si="6"/>
        <v>12</v>
      </c>
      <c r="M4">
        <f t="shared" ca="1" si="6"/>
        <v>9</v>
      </c>
      <c r="N4">
        <f t="shared" ca="1" si="6"/>
        <v>23</v>
      </c>
      <c r="O4">
        <f t="shared" ca="1" si="6"/>
        <v>23</v>
      </c>
      <c r="P4">
        <f t="shared" ca="1" si="6"/>
        <v>41</v>
      </c>
      <c r="Q4">
        <f t="shared" ca="1" si="6"/>
        <v>6</v>
      </c>
      <c r="R4">
        <f t="shared" ref="R4:AG8" ca="1" si="7">COUNTIF($B$5:$I$60,Q4)</f>
        <v>7</v>
      </c>
      <c r="S4">
        <f t="shared" ca="1" si="7"/>
        <v>19</v>
      </c>
      <c r="T4">
        <f t="shared" ca="1" si="7"/>
        <v>6</v>
      </c>
      <c r="U4">
        <f t="shared" ca="1" si="7"/>
        <v>9</v>
      </c>
      <c r="V4">
        <f t="shared" ca="1" si="7"/>
        <v>7</v>
      </c>
      <c r="W4">
        <f t="shared" ca="1" si="7"/>
        <v>5</v>
      </c>
      <c r="X4">
        <f t="shared" ca="1" si="7"/>
        <v>5</v>
      </c>
      <c r="Y4">
        <f t="shared" ca="1" si="7"/>
        <v>9</v>
      </c>
      <c r="Z4">
        <f t="shared" ca="1" si="7"/>
        <v>5</v>
      </c>
      <c r="AA4">
        <f t="shared" ca="1" si="7"/>
        <v>8</v>
      </c>
      <c r="AB4">
        <f t="shared" ca="1" si="7"/>
        <v>2</v>
      </c>
      <c r="AC4">
        <f t="shared" ca="1" si="7"/>
        <v>6</v>
      </c>
      <c r="AD4">
        <f t="shared" ca="1" si="7"/>
        <v>11</v>
      </c>
      <c r="AE4">
        <f t="shared" ca="1" si="7"/>
        <v>4</v>
      </c>
      <c r="AF4">
        <f t="shared" ca="1" si="7"/>
        <v>7</v>
      </c>
      <c r="AG4">
        <f t="shared" ca="1" si="7"/>
        <v>4</v>
      </c>
      <c r="AH4">
        <f t="shared" ref="AH4:AH8" ca="1" si="8">COUNTIF($B$5:$I$60,AG4)</f>
        <v>2</v>
      </c>
      <c r="AI4">
        <f t="shared" ca="1" si="4"/>
        <v>3</v>
      </c>
      <c r="AJ4">
        <f t="shared" ca="1" si="5"/>
        <v>4</v>
      </c>
    </row>
    <row r="5" spans="2:36" x14ac:dyDescent="0.25">
      <c r="B5" s="7" t="s">
        <v>3</v>
      </c>
      <c r="C5">
        <f t="shared" ca="1" si="6"/>
        <v>3</v>
      </c>
      <c r="D5">
        <f t="shared" ca="1" si="6"/>
        <v>6</v>
      </c>
      <c r="E5">
        <f t="shared" ca="1" si="6"/>
        <v>12</v>
      </c>
      <c r="F5">
        <f t="shared" ca="1" si="6"/>
        <v>9</v>
      </c>
      <c r="G5">
        <f t="shared" ca="1" si="6"/>
        <v>4</v>
      </c>
      <c r="H5">
        <f t="shared" ca="1" si="6"/>
        <v>0</v>
      </c>
      <c r="I5">
        <f t="shared" ca="1" si="6"/>
        <v>1</v>
      </c>
      <c r="J5">
        <f t="shared" ca="1" si="6"/>
        <v>0</v>
      </c>
      <c r="K5">
        <f t="shared" ca="1" si="6"/>
        <v>1</v>
      </c>
      <c r="L5">
        <f t="shared" ca="1" si="6"/>
        <v>15</v>
      </c>
      <c r="M5">
        <f t="shared" ca="1" si="6"/>
        <v>8</v>
      </c>
      <c r="N5">
        <f t="shared" ca="1" si="6"/>
        <v>18</v>
      </c>
      <c r="O5">
        <f t="shared" ca="1" si="6"/>
        <v>5</v>
      </c>
      <c r="P5">
        <f t="shared" ca="1" si="6"/>
        <v>7</v>
      </c>
      <c r="Q5">
        <f t="shared" ca="1" si="6"/>
        <v>1</v>
      </c>
      <c r="R5">
        <f t="shared" ca="1" si="7"/>
        <v>4</v>
      </c>
      <c r="S5">
        <f t="shared" ca="1" si="7"/>
        <v>3</v>
      </c>
      <c r="T5">
        <f t="shared" ca="1" si="7"/>
        <v>5</v>
      </c>
      <c r="U5">
        <f t="shared" ca="1" si="7"/>
        <v>1</v>
      </c>
      <c r="V5">
        <f t="shared" ca="1" si="7"/>
        <v>0</v>
      </c>
      <c r="W5">
        <f t="shared" ca="1" si="7"/>
        <v>4</v>
      </c>
      <c r="X5">
        <f t="shared" ca="1" si="7"/>
        <v>3</v>
      </c>
      <c r="Y5">
        <f t="shared" ca="1" si="7"/>
        <v>5</v>
      </c>
      <c r="Z5">
        <f t="shared" ca="1" si="7"/>
        <v>3</v>
      </c>
      <c r="AA5">
        <f t="shared" ca="1" si="7"/>
        <v>2</v>
      </c>
      <c r="AB5">
        <f t="shared" ca="1" si="7"/>
        <v>0</v>
      </c>
      <c r="AC5">
        <f t="shared" ca="1" si="7"/>
        <v>3</v>
      </c>
      <c r="AD5">
        <f t="shared" ca="1" si="7"/>
        <v>7</v>
      </c>
      <c r="AE5">
        <f t="shared" ca="1" si="7"/>
        <v>3</v>
      </c>
      <c r="AF5">
        <f t="shared" ca="1" si="7"/>
        <v>1</v>
      </c>
      <c r="AG5">
        <f t="shared" ca="1" si="7"/>
        <v>2</v>
      </c>
      <c r="AH5">
        <f t="shared" ca="1" si="8"/>
        <v>4</v>
      </c>
      <c r="AI5">
        <f t="shared" ca="1" si="4"/>
        <v>4</v>
      </c>
      <c r="AJ5">
        <f t="shared" ca="1" si="5"/>
        <v>2</v>
      </c>
    </row>
    <row r="6" spans="2:36" x14ac:dyDescent="0.25">
      <c r="B6" s="8" t="s">
        <v>4</v>
      </c>
      <c r="C6">
        <f t="shared" ca="1" si="6"/>
        <v>12</v>
      </c>
      <c r="D6">
        <f t="shared" ca="1" si="6"/>
        <v>2</v>
      </c>
      <c r="E6">
        <f t="shared" ca="1" si="6"/>
        <v>0</v>
      </c>
      <c r="F6">
        <f t="shared" ca="1" si="6"/>
        <v>0</v>
      </c>
      <c r="G6">
        <f t="shared" ca="1" si="6"/>
        <v>19</v>
      </c>
      <c r="H6">
        <f t="shared" ca="1" si="6"/>
        <v>18</v>
      </c>
      <c r="I6">
        <f t="shared" ca="1" si="6"/>
        <v>0</v>
      </c>
      <c r="J6">
        <f t="shared" ca="1" si="6"/>
        <v>0</v>
      </c>
      <c r="K6">
        <f t="shared" ca="1" si="6"/>
        <v>0</v>
      </c>
      <c r="L6">
        <f t="shared" ca="1" si="6"/>
        <v>2</v>
      </c>
      <c r="M6">
        <f t="shared" ca="1" si="6"/>
        <v>9</v>
      </c>
      <c r="N6">
        <f t="shared" ca="1" si="6"/>
        <v>0</v>
      </c>
      <c r="O6">
        <f t="shared" ca="1" si="6"/>
        <v>0</v>
      </c>
      <c r="P6">
        <f t="shared" ca="1" si="6"/>
        <v>0</v>
      </c>
      <c r="Q6">
        <f t="shared" ca="1" si="6"/>
        <v>0</v>
      </c>
      <c r="R6">
        <f t="shared" ca="1" si="7"/>
        <v>0</v>
      </c>
      <c r="S6">
        <f t="shared" ca="1" si="7"/>
        <v>0</v>
      </c>
      <c r="T6">
        <f t="shared" ca="1" si="7"/>
        <v>0</v>
      </c>
      <c r="U6">
        <f t="shared" ca="1" si="7"/>
        <v>0</v>
      </c>
      <c r="V6">
        <f t="shared" ca="1" si="7"/>
        <v>0</v>
      </c>
      <c r="W6">
        <f t="shared" ca="1" si="7"/>
        <v>7</v>
      </c>
      <c r="X6">
        <f t="shared" ca="1" si="7"/>
        <v>0</v>
      </c>
      <c r="Y6">
        <f t="shared" ca="1" si="7"/>
        <v>0</v>
      </c>
      <c r="Z6">
        <f t="shared" ca="1" si="7"/>
        <v>0</v>
      </c>
      <c r="AA6">
        <f t="shared" ca="1" si="7"/>
        <v>3</v>
      </c>
      <c r="AB6">
        <f t="shared" ca="1" si="7"/>
        <v>0</v>
      </c>
      <c r="AC6">
        <f t="shared" ca="1" si="7"/>
        <v>0</v>
      </c>
      <c r="AD6">
        <f t="shared" ca="1" si="7"/>
        <v>0</v>
      </c>
      <c r="AE6">
        <f t="shared" ca="1" si="7"/>
        <v>0</v>
      </c>
      <c r="AF6">
        <f t="shared" ca="1" si="7"/>
        <v>0</v>
      </c>
      <c r="AG6">
        <f t="shared" ca="1" si="7"/>
        <v>0</v>
      </c>
      <c r="AH6">
        <f t="shared" ca="1" si="8"/>
        <v>0</v>
      </c>
      <c r="AI6">
        <f t="shared" ca="1" si="4"/>
        <v>0</v>
      </c>
      <c r="AJ6">
        <f t="shared" ca="1" si="5"/>
        <v>0</v>
      </c>
    </row>
    <row r="7" spans="2:36" x14ac:dyDescent="0.25">
      <c r="B7" s="9" t="s">
        <v>6</v>
      </c>
      <c r="C7">
        <f t="shared" ca="1" si="6"/>
        <v>24</v>
      </c>
      <c r="D7">
        <f t="shared" ca="1" si="6"/>
        <v>0</v>
      </c>
      <c r="E7">
        <f t="shared" ca="1" si="6"/>
        <v>39</v>
      </c>
      <c r="F7">
        <f t="shared" ca="1" si="6"/>
        <v>0</v>
      </c>
      <c r="G7">
        <f t="shared" ca="1" si="6"/>
        <v>0</v>
      </c>
      <c r="H7">
        <f t="shared" ca="1" si="6"/>
        <v>2</v>
      </c>
      <c r="I7">
        <f t="shared" ca="1" si="6"/>
        <v>26</v>
      </c>
      <c r="J7">
        <f t="shared" ca="1" si="6"/>
        <v>1</v>
      </c>
      <c r="K7">
        <f t="shared" ca="1" si="6"/>
        <v>1</v>
      </c>
      <c r="L7">
        <f t="shared" ca="1" si="6"/>
        <v>11</v>
      </c>
      <c r="M7">
        <f t="shared" ca="1" si="6"/>
        <v>0</v>
      </c>
      <c r="N7">
        <f t="shared" ca="1" si="6"/>
        <v>0</v>
      </c>
      <c r="O7">
        <f t="shared" ca="1" si="6"/>
        <v>0</v>
      </c>
      <c r="P7">
        <f t="shared" ca="1" si="6"/>
        <v>34</v>
      </c>
      <c r="Q7">
        <f t="shared" ca="1" si="6"/>
        <v>38</v>
      </c>
      <c r="R7">
        <f t="shared" ca="1" si="7"/>
        <v>0</v>
      </c>
      <c r="S7">
        <f t="shared" ca="1" si="7"/>
        <v>0</v>
      </c>
      <c r="T7">
        <f t="shared" ca="1" si="7"/>
        <v>0</v>
      </c>
      <c r="U7">
        <f t="shared" ca="1" si="7"/>
        <v>0</v>
      </c>
      <c r="V7">
        <f t="shared" ca="1" si="7"/>
        <v>0</v>
      </c>
      <c r="W7">
        <f t="shared" ca="1" si="7"/>
        <v>7</v>
      </c>
      <c r="X7">
        <f t="shared" ca="1" si="7"/>
        <v>0</v>
      </c>
      <c r="Y7">
        <f t="shared" ca="1" si="7"/>
        <v>0</v>
      </c>
      <c r="Z7">
        <f t="shared" ca="1" si="7"/>
        <v>0</v>
      </c>
      <c r="AA7">
        <f t="shared" ca="1" si="7"/>
        <v>0</v>
      </c>
      <c r="AB7">
        <f t="shared" ca="1" si="7"/>
        <v>0</v>
      </c>
      <c r="AC7">
        <f t="shared" ca="1" si="7"/>
        <v>0</v>
      </c>
      <c r="AD7">
        <f t="shared" ca="1" si="7"/>
        <v>0</v>
      </c>
      <c r="AE7">
        <f t="shared" ca="1" si="7"/>
        <v>0</v>
      </c>
      <c r="AF7">
        <f t="shared" ca="1" si="7"/>
        <v>0</v>
      </c>
      <c r="AG7">
        <f t="shared" ca="1" si="7"/>
        <v>0</v>
      </c>
      <c r="AH7">
        <f t="shared" ca="1" si="8"/>
        <v>0</v>
      </c>
      <c r="AI7">
        <f t="shared" ca="1" si="4"/>
        <v>0</v>
      </c>
      <c r="AJ7">
        <f t="shared" ca="1" si="5"/>
        <v>0</v>
      </c>
    </row>
    <row r="8" spans="2:36" x14ac:dyDescent="0.25">
      <c r="B8" s="10" t="s">
        <v>5</v>
      </c>
      <c r="C8">
        <f t="shared" ca="1" si="6"/>
        <v>2</v>
      </c>
      <c r="D8">
        <f t="shared" ca="1" si="6"/>
        <v>7</v>
      </c>
      <c r="E8">
        <f t="shared" ca="1" si="6"/>
        <v>8</v>
      </c>
      <c r="F8">
        <f t="shared" ca="1" si="6"/>
        <v>1</v>
      </c>
      <c r="G8">
        <f t="shared" ca="1" si="6"/>
        <v>19</v>
      </c>
      <c r="H8">
        <f t="shared" ca="1" si="6"/>
        <v>21</v>
      </c>
      <c r="I8">
        <f t="shared" ca="1" si="6"/>
        <v>1</v>
      </c>
      <c r="J8">
        <f t="shared" ca="1" si="6"/>
        <v>2</v>
      </c>
      <c r="K8">
        <f t="shared" ca="1" si="6"/>
        <v>0</v>
      </c>
      <c r="L8">
        <f t="shared" ca="1" si="6"/>
        <v>12</v>
      </c>
      <c r="M8">
        <f t="shared" ca="1" si="6"/>
        <v>11</v>
      </c>
      <c r="N8">
        <f t="shared" ca="1" si="6"/>
        <v>37</v>
      </c>
      <c r="O8">
        <f t="shared" ca="1" si="6"/>
        <v>47</v>
      </c>
      <c r="P8">
        <f t="shared" ca="1" si="6"/>
        <v>15</v>
      </c>
      <c r="Q8">
        <f t="shared" ca="1" si="6"/>
        <v>12</v>
      </c>
      <c r="R8">
        <f t="shared" ca="1" si="7"/>
        <v>45</v>
      </c>
      <c r="S8">
        <f t="shared" ca="1" si="7"/>
        <v>37</v>
      </c>
      <c r="T8">
        <f t="shared" ca="1" si="7"/>
        <v>41</v>
      </c>
      <c r="U8">
        <f t="shared" ca="1" si="7"/>
        <v>20</v>
      </c>
      <c r="V8">
        <f t="shared" ca="1" si="7"/>
        <v>21</v>
      </c>
      <c r="W8">
        <f t="shared" ca="1" si="7"/>
        <v>14</v>
      </c>
      <c r="X8">
        <f t="shared" ca="1" si="7"/>
        <v>14</v>
      </c>
      <c r="Y8">
        <f t="shared" ca="1" si="7"/>
        <v>15</v>
      </c>
      <c r="Z8">
        <f t="shared" ca="1" si="7"/>
        <v>22</v>
      </c>
      <c r="AA8">
        <f t="shared" ca="1" si="7"/>
        <v>20</v>
      </c>
      <c r="AB8">
        <f t="shared" ca="1" si="7"/>
        <v>18</v>
      </c>
      <c r="AC8">
        <f t="shared" ca="1" si="7"/>
        <v>22</v>
      </c>
      <c r="AD8">
        <f t="shared" ca="1" si="7"/>
        <v>19</v>
      </c>
      <c r="AE8">
        <f t="shared" ca="1" si="7"/>
        <v>28</v>
      </c>
      <c r="AF8">
        <f t="shared" ca="1" si="7"/>
        <v>36</v>
      </c>
      <c r="AG8">
        <f t="shared" ca="1" si="7"/>
        <v>18</v>
      </c>
      <c r="AH8">
        <f t="shared" ca="1" si="8"/>
        <v>7</v>
      </c>
      <c r="AI8">
        <f t="shared" ca="1" si="4"/>
        <v>26</v>
      </c>
      <c r="AJ8">
        <f t="shared" ca="1" si="5"/>
        <v>36</v>
      </c>
    </row>
  </sheetData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C0350E0EA790D4697F12EBEBCF103C9" ma:contentTypeVersion="12" ma:contentTypeDescription="Crie um novo documento." ma:contentTypeScope="" ma:versionID="97e8cc67282927adae593247808b36e5">
  <xsd:schema xmlns:xsd="http://www.w3.org/2001/XMLSchema" xmlns:xs="http://www.w3.org/2001/XMLSchema" xmlns:p="http://schemas.microsoft.com/office/2006/metadata/properties" xmlns:ns2="7257e209-cf21-49dc-84d1-51e2a71d3a62" xmlns:ns3="d4134389-8848-48b2-9a4e-9571c4d20677" targetNamespace="http://schemas.microsoft.com/office/2006/metadata/properties" ma:root="true" ma:fieldsID="43a45d9a6dc3f60115c7c585f977a766" ns2:_="" ns3:_="">
    <xsd:import namespace="7257e209-cf21-49dc-84d1-51e2a71d3a62"/>
    <xsd:import namespace="d4134389-8848-48b2-9a4e-9571c4d2067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Location" minOccurs="0"/>
                <xsd:element ref="ns3:MediaServiceAutoKeyPoints" minOccurs="0"/>
                <xsd:element ref="ns3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257e209-cf21-49dc-84d1-51e2a71d3a62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134389-8848-48b2-9a4e-9571c4d2067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53B853C-15BD-4005-BA54-5DA2B07F44E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257e209-cf21-49dc-84d1-51e2a71d3a62"/>
    <ds:schemaRef ds:uri="d4134389-8848-48b2-9a4e-9571c4d2067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88FC48D-7AE5-43BA-A0BD-AAECD0D2A70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1FF1353-FD0D-4166-9242-D909A217DE48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36</vt:i4>
      </vt:variant>
    </vt:vector>
  </HeadingPairs>
  <TitlesOfParts>
    <vt:vector size="36" baseType="lpstr">
      <vt:lpstr>17122020</vt:lpstr>
      <vt:lpstr>25122020</vt:lpstr>
      <vt:lpstr>02012021 </vt:lpstr>
      <vt:lpstr>14012021</vt:lpstr>
      <vt:lpstr>22012021</vt:lpstr>
      <vt:lpstr>30012021</vt:lpstr>
      <vt:lpstr>07022021</vt:lpstr>
      <vt:lpstr>15022021</vt:lpstr>
      <vt:lpstr>24022021</vt:lpstr>
      <vt:lpstr>03032021</vt:lpstr>
      <vt:lpstr>11032021</vt:lpstr>
      <vt:lpstr>19 03 2021</vt:lpstr>
      <vt:lpstr>27 03 2021</vt:lpstr>
      <vt:lpstr>04 04 2021</vt:lpstr>
      <vt:lpstr>12 04 2021</vt:lpstr>
      <vt:lpstr>30 04 2021</vt:lpstr>
      <vt:lpstr>08 05 2021</vt:lpstr>
      <vt:lpstr>16 05 2021</vt:lpstr>
      <vt:lpstr>24 05 2021</vt:lpstr>
      <vt:lpstr>01 06 2021</vt:lpstr>
      <vt:lpstr>09 06 2021</vt:lpstr>
      <vt:lpstr>17 06 2021</vt:lpstr>
      <vt:lpstr>25 06 2021 </vt:lpstr>
      <vt:lpstr>03 07 2021</vt:lpstr>
      <vt:lpstr>11 07 2021 </vt:lpstr>
      <vt:lpstr>19 07 2021</vt:lpstr>
      <vt:lpstr>27 07 2021</vt:lpstr>
      <vt:lpstr>04 08 2021</vt:lpstr>
      <vt:lpstr>12 08 2021</vt:lpstr>
      <vt:lpstr>20 08 2021</vt:lpstr>
      <vt:lpstr>28 08 2021</vt:lpstr>
      <vt:lpstr>05 09 2021</vt:lpstr>
      <vt:lpstr>13 09 2021 </vt:lpstr>
      <vt:lpstr>21 09 2021</vt:lpstr>
      <vt:lpstr>27 09 2021</vt:lpstr>
      <vt:lpstr>Acumulado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 SUPORTE</dc:creator>
  <cp:lastModifiedBy>Kalito Silva</cp:lastModifiedBy>
  <dcterms:created xsi:type="dcterms:W3CDTF">2020-12-23T10:51:36Z</dcterms:created>
  <dcterms:modified xsi:type="dcterms:W3CDTF">2021-10-05T23:53:09Z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0x0101008C0350E0EA790D4697F12EBEBCF103C9</vt:lpwstr>
  </property>
</Properties>
</file>