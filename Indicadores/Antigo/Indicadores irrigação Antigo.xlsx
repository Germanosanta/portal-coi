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"/>
    </mc:Choice>
  </mc:AlternateContent>
  <xr:revisionPtr revIDLastSave="1787" documentId="6_{EA3B6607-2E43-42E0-A275-36AA9ACD68BD}" xr6:coauthVersionLast="47" xr6:coauthVersionMax="47" xr10:uidLastSave="{5C67DCF1-7874-4C9C-A2A5-1A30E7620D82}"/>
  <bookViews>
    <workbookView xWindow="-120" yWindow="-120" windowWidth="20730" windowHeight="11160" firstSheet="68" activeTab="72" xr2:uid="{9957A160-E9B6-41FE-B9D2-37B82D39C3C0}"/>
  </bookViews>
  <sheets>
    <sheet name="17122020" sheetId="2" r:id="rId1"/>
    <sheet name="25122020" sheetId="4" r:id="rId2"/>
    <sheet name="02012021 " sheetId="5" r:id="rId3"/>
    <sheet name="14012021" sheetId="6" r:id="rId4"/>
    <sheet name="22012021" sheetId="7" r:id="rId5"/>
    <sheet name="30012021" sheetId="8" r:id="rId6"/>
    <sheet name="07022021" sheetId="9" r:id="rId7"/>
    <sheet name="15022021" sheetId="10" r:id="rId8"/>
    <sheet name="24022021" sheetId="11" r:id="rId9"/>
    <sheet name="03032021" sheetId="12" r:id="rId10"/>
    <sheet name="11032021" sheetId="13" r:id="rId11"/>
    <sheet name="19 03 2021" sheetId="14" r:id="rId12"/>
    <sheet name="27 03 2021" sheetId="15" r:id="rId13"/>
    <sheet name="04 04 2021" sheetId="17" r:id="rId14"/>
    <sheet name="12 04 2021" sheetId="18" r:id="rId15"/>
    <sheet name="30 04 2021" sheetId="19" r:id="rId16"/>
    <sheet name="08 05 2021" sheetId="20" r:id="rId17"/>
    <sheet name="16 05 2021" sheetId="21" r:id="rId18"/>
    <sheet name="24 05 2021" sheetId="22" r:id="rId19"/>
    <sheet name="01 06 2021" sheetId="23" r:id="rId20"/>
    <sheet name="09 06 2021" sheetId="24" r:id="rId21"/>
    <sheet name="17 06 2021" sheetId="25" r:id="rId22"/>
    <sheet name="25 06 2021 " sheetId="26" r:id="rId23"/>
    <sheet name="03 07 2021" sheetId="27" r:id="rId24"/>
    <sheet name="11 07 2021 " sheetId="28" r:id="rId25"/>
    <sheet name="19 07 2021" sheetId="29" r:id="rId26"/>
    <sheet name="27 07 2021" sheetId="30" r:id="rId27"/>
    <sheet name="04 08 2021" sheetId="31" r:id="rId28"/>
    <sheet name="12 08 2021" sheetId="32" r:id="rId29"/>
    <sheet name="20 08 2021" sheetId="33" r:id="rId30"/>
    <sheet name="28 08 2021" sheetId="34" r:id="rId31"/>
    <sheet name="05 09 2021" sheetId="36" r:id="rId32"/>
    <sheet name="13 09 2021 " sheetId="37" r:id="rId33"/>
    <sheet name="21 09 2021" sheetId="38" r:id="rId34"/>
    <sheet name="27 09 2021" sheetId="39" r:id="rId35"/>
    <sheet name="04 10 2021" sheetId="40" r:id="rId36"/>
    <sheet name="11 10 2021" sheetId="41" r:id="rId37"/>
    <sheet name="18 10 2021" sheetId="42" r:id="rId38"/>
    <sheet name="25 10 2021" sheetId="43" r:id="rId39"/>
    <sheet name="01 11 2021 " sheetId="44" r:id="rId40"/>
    <sheet name="08 11 2021" sheetId="45" r:id="rId41"/>
    <sheet name="15 11 2021" sheetId="46" r:id="rId42"/>
    <sheet name="22 11 2021" sheetId="47" r:id="rId43"/>
    <sheet name="29 11 2021" sheetId="48" r:id="rId44"/>
    <sheet name="06 12 2021 " sheetId="49" r:id="rId45"/>
    <sheet name="03 01 2022" sheetId="50" r:id="rId46"/>
    <sheet name="10 01 2022 " sheetId="51" r:id="rId47"/>
    <sheet name="17 01 2022" sheetId="52" r:id="rId48"/>
    <sheet name="24 01 2021" sheetId="53" r:id="rId49"/>
    <sheet name="31 01 2021" sheetId="56" r:id="rId50"/>
    <sheet name="07 02 2022" sheetId="58" r:id="rId51"/>
    <sheet name="14 02 2022" sheetId="59" r:id="rId52"/>
    <sheet name="21 02 2022" sheetId="60" r:id="rId53"/>
    <sheet name="28 02 2022" sheetId="61" r:id="rId54"/>
    <sheet name="07 03 2022" sheetId="62" r:id="rId55"/>
    <sheet name="14 03 2022" sheetId="63" r:id="rId56"/>
    <sheet name="21 03 2022" sheetId="64" r:id="rId57"/>
    <sheet name="28 03 2022" sheetId="65" r:id="rId58"/>
    <sheet name="04 04 2022" sheetId="66" r:id="rId59"/>
    <sheet name="11 04 2022" sheetId="67" r:id="rId60"/>
    <sheet name="18 04 2022" sheetId="68" r:id="rId61"/>
    <sheet name="25 04 2022" sheetId="70" r:id="rId62"/>
    <sheet name="02 05 2022" sheetId="71" r:id="rId63"/>
    <sheet name="09 05 2022" sheetId="72" r:id="rId64"/>
    <sheet name="16 05 2022" sheetId="73" r:id="rId65"/>
    <sheet name="23 05 2022 " sheetId="74" r:id="rId66"/>
    <sheet name="30 05 2022  " sheetId="75" r:id="rId67"/>
    <sheet name="06 06 2022   " sheetId="76" r:id="rId68"/>
    <sheet name="13 06 2022  " sheetId="77" r:id="rId69"/>
    <sheet name="20 06 2022  " sheetId="78" r:id="rId70"/>
    <sheet name="27 06 2022  " sheetId="79" r:id="rId71"/>
    <sheet name="04 07 2022" sheetId="80" r:id="rId72"/>
    <sheet name="Acumulado" sheetId="16" r:id="rId73"/>
  </sheets>
  <externalReferences>
    <externalReference r:id="rId74"/>
  </externalReferences>
  <definedNames>
    <definedName name="PesquisarQuem">OFFSET('[1]Pesquisa de nome'!$A$3,,,COUNT('[1]Pesquisa de nome'!$B:$B),1)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S3" i="16" l="1"/>
  <c r="BS4" i="16"/>
  <c r="BS5" i="16"/>
  <c r="BS6" i="16"/>
  <c r="BS7" i="16"/>
  <c r="BS8" i="16"/>
  <c r="BR3" i="16"/>
  <c r="BR4" i="16"/>
  <c r="BR5" i="16"/>
  <c r="BR6" i="16"/>
  <c r="BR7" i="16"/>
  <c r="BR8" i="16"/>
  <c r="BQ3" i="16"/>
  <c r="BQ4" i="16"/>
  <c r="BQ5" i="16"/>
  <c r="BQ6" i="16"/>
  <c r="BQ7" i="16"/>
  <c r="BQ8" i="16"/>
  <c r="K10" i="80"/>
  <c r="K9" i="80"/>
  <c r="K8" i="80"/>
  <c r="K7" i="80"/>
  <c r="K6" i="80"/>
  <c r="K5" i="80"/>
  <c r="B4" i="80"/>
  <c r="C3" i="80"/>
  <c r="K10" i="79"/>
  <c r="K9" i="79"/>
  <c r="K8" i="79"/>
  <c r="K7" i="79"/>
  <c r="K6" i="79"/>
  <c r="K5" i="79"/>
  <c r="B4" i="79"/>
  <c r="C3" i="79"/>
  <c r="K10" i="78"/>
  <c r="K9" i="78"/>
  <c r="K8" i="78"/>
  <c r="K7" i="78"/>
  <c r="K6" i="78"/>
  <c r="K5" i="78"/>
  <c r="B4" i="78"/>
  <c r="C3" i="78"/>
  <c r="K10" i="77"/>
  <c r="BP8" i="16" s="1"/>
  <c r="K9" i="77"/>
  <c r="BP7" i="16" s="1"/>
  <c r="K8" i="77"/>
  <c r="BP6" i="16" s="1"/>
  <c r="K7" i="77"/>
  <c r="BP5" i="16" s="1"/>
  <c r="K6" i="77"/>
  <c r="BP4" i="16" s="1"/>
  <c r="K5" i="77"/>
  <c r="BP3" i="16" s="1"/>
  <c r="B4" i="77"/>
  <c r="C3" i="77"/>
  <c r="K10" i="76"/>
  <c r="BO8" i="16" s="1"/>
  <c r="K9" i="76"/>
  <c r="BO7" i="16" s="1"/>
  <c r="K8" i="76"/>
  <c r="BO6" i="16" s="1"/>
  <c r="K7" i="76"/>
  <c r="BO5" i="16" s="1"/>
  <c r="K6" i="76"/>
  <c r="BO4" i="16" s="1"/>
  <c r="K5" i="76"/>
  <c r="BO3" i="16" s="1"/>
  <c r="B4" i="76"/>
  <c r="C3" i="76"/>
  <c r="K10" i="75"/>
  <c r="BN8" i="16" s="1"/>
  <c r="K9" i="75"/>
  <c r="BN7" i="16" s="1"/>
  <c r="K8" i="75"/>
  <c r="BN6" i="16" s="1"/>
  <c r="K7" i="75"/>
  <c r="BN5" i="16" s="1"/>
  <c r="K6" i="75"/>
  <c r="BN4" i="16" s="1"/>
  <c r="K5" i="75"/>
  <c r="BN3" i="16" s="1"/>
  <c r="B4" i="75"/>
  <c r="C3" i="75"/>
  <c r="K10" i="74"/>
  <c r="BM8" i="16" s="1"/>
  <c r="K9" i="74"/>
  <c r="BM7" i="16" s="1"/>
  <c r="K8" i="74"/>
  <c r="BM6" i="16" s="1"/>
  <c r="K7" i="74"/>
  <c r="BM5" i="16" s="1"/>
  <c r="K6" i="74"/>
  <c r="BM4" i="16" s="1"/>
  <c r="K5" i="74"/>
  <c r="BM3" i="16" s="1"/>
  <c r="B4" i="74"/>
  <c r="C3" i="74"/>
  <c r="K10" i="73"/>
  <c r="BL8" i="16" s="1"/>
  <c r="K9" i="73"/>
  <c r="BL7" i="16" s="1"/>
  <c r="K8" i="73"/>
  <c r="BL6" i="16" s="1"/>
  <c r="K7" i="73"/>
  <c r="BL5" i="16" s="1"/>
  <c r="K6" i="73"/>
  <c r="BL4" i="16" s="1"/>
  <c r="K5" i="73"/>
  <c r="BL3" i="16" s="1"/>
  <c r="B4" i="73"/>
  <c r="C3" i="73"/>
  <c r="K10" i="72"/>
  <c r="BK8" i="16" s="1"/>
  <c r="K9" i="72"/>
  <c r="BK7" i="16" s="1"/>
  <c r="K8" i="72"/>
  <c r="BK6" i="16" s="1"/>
  <c r="K7" i="72"/>
  <c r="BK5" i="16" s="1"/>
  <c r="K6" i="72"/>
  <c r="BK4" i="16" s="1"/>
  <c r="K5" i="72"/>
  <c r="BK3" i="16" s="1"/>
  <c r="B4" i="72"/>
  <c r="C3" i="72"/>
  <c r="C4" i="72" s="1"/>
  <c r="K10" i="71"/>
  <c r="K9" i="71"/>
  <c r="K8" i="71"/>
  <c r="K7" i="71"/>
  <c r="K6" i="71"/>
  <c r="K5" i="71"/>
  <c r="B4" i="71"/>
  <c r="C3" i="71"/>
  <c r="D3" i="71" s="1"/>
  <c r="C4" i="80" l="1"/>
  <c r="D3" i="80"/>
  <c r="K11" i="80"/>
  <c r="L5" i="80"/>
  <c r="L6" i="80"/>
  <c r="L7" i="80"/>
  <c r="L8" i="80"/>
  <c r="L9" i="80"/>
  <c r="L10" i="80"/>
  <c r="C4" i="79"/>
  <c r="D3" i="79"/>
  <c r="K11" i="79"/>
  <c r="L5" i="79"/>
  <c r="L6" i="79"/>
  <c r="L7" i="79"/>
  <c r="L8" i="79"/>
  <c r="L9" i="79"/>
  <c r="L10" i="79"/>
  <c r="C4" i="78"/>
  <c r="D3" i="78"/>
  <c r="K11" i="78"/>
  <c r="L5" i="78"/>
  <c r="L6" i="78"/>
  <c r="L7" i="78"/>
  <c r="L8" i="78"/>
  <c r="L9" i="78"/>
  <c r="L10" i="78"/>
  <c r="C4" i="77"/>
  <c r="D3" i="77"/>
  <c r="K11" i="77"/>
  <c r="L5" i="77"/>
  <c r="L6" i="77"/>
  <c r="L7" i="77"/>
  <c r="L8" i="77"/>
  <c r="L9" i="77"/>
  <c r="L10" i="77"/>
  <c r="C4" i="76"/>
  <c r="D3" i="76"/>
  <c r="K11" i="76"/>
  <c r="L5" i="76"/>
  <c r="L6" i="76"/>
  <c r="L7" i="76"/>
  <c r="L8" i="76"/>
  <c r="L9" i="76"/>
  <c r="L10" i="76"/>
  <c r="C4" i="75"/>
  <c r="D3" i="75"/>
  <c r="K11" i="75"/>
  <c r="L5" i="75"/>
  <c r="L6" i="75"/>
  <c r="L7" i="75"/>
  <c r="L8" i="75"/>
  <c r="L9" i="75"/>
  <c r="L10" i="75"/>
  <c r="C4" i="74"/>
  <c r="D3" i="74"/>
  <c r="K11" i="74"/>
  <c r="L5" i="74"/>
  <c r="L6" i="74"/>
  <c r="L7" i="74"/>
  <c r="L8" i="74"/>
  <c r="L9" i="74"/>
  <c r="L10" i="74"/>
  <c r="C4" i="73"/>
  <c r="D3" i="73"/>
  <c r="K11" i="73"/>
  <c r="L5" i="73"/>
  <c r="L6" i="73"/>
  <c r="L7" i="73"/>
  <c r="L8" i="73"/>
  <c r="L9" i="73"/>
  <c r="L10" i="73"/>
  <c r="D3" i="72"/>
  <c r="D4" i="72" s="1"/>
  <c r="K11" i="72"/>
  <c r="L7" i="72" s="1"/>
  <c r="E3" i="72"/>
  <c r="D4" i="71"/>
  <c r="E3" i="71"/>
  <c r="E4" i="71" s="1"/>
  <c r="C4" i="71"/>
  <c r="K11" i="71"/>
  <c r="L6" i="71" s="1"/>
  <c r="F3" i="71"/>
  <c r="D4" i="80" l="1"/>
  <c r="E3" i="80"/>
  <c r="D4" i="79"/>
  <c r="E3" i="79"/>
  <c r="D4" i="78"/>
  <c r="E3" i="78"/>
  <c r="D4" i="77"/>
  <c r="E3" i="77"/>
  <c r="D4" i="76"/>
  <c r="E3" i="76"/>
  <c r="D4" i="75"/>
  <c r="E3" i="75"/>
  <c r="D4" i="74"/>
  <c r="E3" i="74"/>
  <c r="D4" i="73"/>
  <c r="E3" i="73"/>
  <c r="L8" i="72"/>
  <c r="L10" i="72"/>
  <c r="L9" i="72"/>
  <c r="L5" i="72"/>
  <c r="L6" i="72"/>
  <c r="F3" i="72"/>
  <c r="E4" i="72"/>
  <c r="L7" i="71"/>
  <c r="L9" i="71"/>
  <c r="L8" i="71"/>
  <c r="L10" i="71"/>
  <c r="L5" i="71"/>
  <c r="F4" i="71"/>
  <c r="G3" i="71"/>
  <c r="E4" i="80" l="1"/>
  <c r="F3" i="80"/>
  <c r="E4" i="79"/>
  <c r="F3" i="79"/>
  <c r="E4" i="78"/>
  <c r="F3" i="78"/>
  <c r="E4" i="77"/>
  <c r="F3" i="77"/>
  <c r="E4" i="76"/>
  <c r="F3" i="76"/>
  <c r="E4" i="75"/>
  <c r="F3" i="75"/>
  <c r="E4" i="74"/>
  <c r="F3" i="74"/>
  <c r="E4" i="73"/>
  <c r="F3" i="73"/>
  <c r="G3" i="72"/>
  <c r="F4" i="72"/>
  <c r="H3" i="71"/>
  <c r="H4" i="71" s="1"/>
  <c r="G4" i="71"/>
  <c r="F4" i="80" l="1"/>
  <c r="G3" i="80"/>
  <c r="F4" i="79"/>
  <c r="G3" i="79"/>
  <c r="F4" i="78"/>
  <c r="G3" i="78"/>
  <c r="F4" i="77"/>
  <c r="G3" i="77"/>
  <c r="F4" i="76"/>
  <c r="G3" i="76"/>
  <c r="F4" i="75"/>
  <c r="G3" i="75"/>
  <c r="F4" i="74"/>
  <c r="G3" i="74"/>
  <c r="F4" i="73"/>
  <c r="G3" i="73"/>
  <c r="G4" i="72"/>
  <c r="H3" i="72"/>
  <c r="H4" i="72" s="1"/>
  <c r="K6" i="70"/>
  <c r="K10" i="70"/>
  <c r="K9" i="70"/>
  <c r="K8" i="70"/>
  <c r="K7" i="70"/>
  <c r="K5" i="70"/>
  <c r="B4" i="70"/>
  <c r="C3" i="70"/>
  <c r="D3" i="70" s="1"/>
  <c r="K10" i="68"/>
  <c r="K9" i="68"/>
  <c r="K8" i="68"/>
  <c r="K7" i="68"/>
  <c r="K6" i="68"/>
  <c r="K5" i="68"/>
  <c r="B4" i="68"/>
  <c r="C3" i="68"/>
  <c r="G4" i="80" l="1"/>
  <c r="H3" i="80"/>
  <c r="H4" i="80" s="1"/>
  <c r="G4" i="79"/>
  <c r="H3" i="79"/>
  <c r="H4" i="79" s="1"/>
  <c r="G4" i="78"/>
  <c r="H3" i="78"/>
  <c r="H4" i="78" s="1"/>
  <c r="G4" i="77"/>
  <c r="H3" i="77"/>
  <c r="H4" i="77" s="1"/>
  <c r="G4" i="76"/>
  <c r="H3" i="76"/>
  <c r="H4" i="76" s="1"/>
  <c r="G4" i="75"/>
  <c r="H3" i="75"/>
  <c r="H4" i="75" s="1"/>
  <c r="G4" i="74"/>
  <c r="H3" i="74"/>
  <c r="H4" i="74" s="1"/>
  <c r="G4" i="73"/>
  <c r="H3" i="73"/>
  <c r="H4" i="73" s="1"/>
  <c r="D3" i="68"/>
  <c r="D4" i="68" s="1"/>
  <c r="C4" i="68"/>
  <c r="K11" i="70"/>
  <c r="L10" i="70" s="1"/>
  <c r="D4" i="70"/>
  <c r="E3" i="70"/>
  <c r="C4" i="70"/>
  <c r="K11" i="68"/>
  <c r="L6" i="68" s="1"/>
  <c r="E3" i="68"/>
  <c r="L9" i="70" l="1"/>
  <c r="L6" i="70"/>
  <c r="L5" i="70"/>
  <c r="L8" i="70"/>
  <c r="L7" i="70"/>
  <c r="E4" i="70"/>
  <c r="F3" i="70"/>
  <c r="L5" i="68"/>
  <c r="L7" i="68"/>
  <c r="L9" i="68"/>
  <c r="L8" i="68"/>
  <c r="L10" i="68"/>
  <c r="F3" i="68"/>
  <c r="E4" i="68"/>
  <c r="G3" i="70" l="1"/>
  <c r="F4" i="70"/>
  <c r="G3" i="68"/>
  <c r="F4" i="68"/>
  <c r="H3" i="70" l="1"/>
  <c r="H4" i="70" s="1"/>
  <c r="G4" i="70"/>
  <c r="G4" i="68"/>
  <c r="H3" i="68"/>
  <c r="H4" i="68" s="1"/>
  <c r="K10" i="67" l="1"/>
  <c r="K9" i="67"/>
  <c r="K8" i="67"/>
  <c r="K7" i="67"/>
  <c r="K6" i="67"/>
  <c r="K5" i="67"/>
  <c r="B4" i="67"/>
  <c r="C3" i="67"/>
  <c r="D3" i="67" s="1"/>
  <c r="D4" i="67" s="1"/>
  <c r="K10" i="66"/>
  <c r="BF8" i="16" s="1"/>
  <c r="K9" i="66"/>
  <c r="BF7" i="16" s="1"/>
  <c r="K8" i="66"/>
  <c r="BF6" i="16" s="1"/>
  <c r="K7" i="66"/>
  <c r="BF5" i="16" s="1"/>
  <c r="K6" i="66"/>
  <c r="BF4" i="16" s="1"/>
  <c r="K5" i="66"/>
  <c r="BF3" i="16" s="1"/>
  <c r="B4" i="66"/>
  <c r="C3" i="66"/>
  <c r="D3" i="66" s="1"/>
  <c r="K10" i="65"/>
  <c r="BE8" i="16" s="1"/>
  <c r="K9" i="65"/>
  <c r="BE7" i="16" s="1"/>
  <c r="K8" i="65"/>
  <c r="BE6" i="16" s="1"/>
  <c r="K7" i="65"/>
  <c r="BE5" i="16" s="1"/>
  <c r="K6" i="65"/>
  <c r="BE4" i="16" s="1"/>
  <c r="K5" i="65"/>
  <c r="B4" i="65"/>
  <c r="C3" i="65"/>
  <c r="D3" i="65" s="1"/>
  <c r="D4" i="65" s="1"/>
  <c r="K10" i="64"/>
  <c r="BD8" i="16" s="1"/>
  <c r="K9" i="64"/>
  <c r="BD7" i="16" s="1"/>
  <c r="K8" i="64"/>
  <c r="BD6" i="16" s="1"/>
  <c r="K7" i="64"/>
  <c r="BD5" i="16" s="1"/>
  <c r="K6" i="64"/>
  <c r="BD4" i="16" s="1"/>
  <c r="K5" i="64"/>
  <c r="BD3" i="16" s="1"/>
  <c r="B4" i="64"/>
  <c r="C3" i="64"/>
  <c r="D3" i="64" s="1"/>
  <c r="D4" i="64" s="1"/>
  <c r="K10" i="63"/>
  <c r="BC8" i="16" s="1"/>
  <c r="K9" i="63"/>
  <c r="BC7" i="16" s="1"/>
  <c r="K8" i="63"/>
  <c r="BC6" i="16" s="1"/>
  <c r="K7" i="63"/>
  <c r="BC5" i="16" s="1"/>
  <c r="K6" i="63"/>
  <c r="BC4" i="16" s="1"/>
  <c r="K5" i="63"/>
  <c r="BC3" i="16" s="1"/>
  <c r="B4" i="63"/>
  <c r="C3" i="63"/>
  <c r="D3" i="63" s="1"/>
  <c r="D4" i="63" s="1"/>
  <c r="K6" i="62"/>
  <c r="BB4" i="16" s="1"/>
  <c r="K7" i="62"/>
  <c r="BB5" i="16" s="1"/>
  <c r="K8" i="62"/>
  <c r="BB6" i="16" s="1"/>
  <c r="K9" i="62"/>
  <c r="BB7" i="16" s="1"/>
  <c r="K10" i="62"/>
  <c r="BB8" i="16" s="1"/>
  <c r="K5" i="62"/>
  <c r="BB3" i="16" s="1"/>
  <c r="B4" i="62"/>
  <c r="C3" i="62"/>
  <c r="C4" i="62" l="1"/>
  <c r="D3" i="62"/>
  <c r="D4" i="62" s="1"/>
  <c r="C4" i="67"/>
  <c r="K11" i="67"/>
  <c r="L7" i="67" s="1"/>
  <c r="E3" i="67"/>
  <c r="K11" i="66"/>
  <c r="L8" i="66" s="1"/>
  <c r="D4" i="66"/>
  <c r="E3" i="66"/>
  <c r="E4" i="66" s="1"/>
  <c r="C4" i="66"/>
  <c r="F3" i="66"/>
  <c r="K11" i="65"/>
  <c r="L8" i="65" s="1"/>
  <c r="BE3" i="16"/>
  <c r="C4" i="65"/>
  <c r="E3" i="65"/>
  <c r="K11" i="64"/>
  <c r="L6" i="64" s="1"/>
  <c r="C4" i="64"/>
  <c r="E3" i="64"/>
  <c r="C4" i="63"/>
  <c r="K11" i="63"/>
  <c r="L8" i="63" s="1"/>
  <c r="E3" i="63"/>
  <c r="E3" i="62"/>
  <c r="E4" i="62" s="1"/>
  <c r="K11" i="62"/>
  <c r="L8" i="62" s="1"/>
  <c r="F3" i="62"/>
  <c r="L9" i="67" l="1"/>
  <c r="L5" i="67"/>
  <c r="L10" i="67"/>
  <c r="L8" i="67"/>
  <c r="L6" i="67"/>
  <c r="E4" i="67"/>
  <c r="F3" i="67"/>
  <c r="L10" i="66"/>
  <c r="L9" i="66"/>
  <c r="L6" i="66"/>
  <c r="L5" i="66"/>
  <c r="L7" i="66"/>
  <c r="F4" i="66"/>
  <c r="G3" i="66"/>
  <c r="L7" i="65"/>
  <c r="L6" i="65"/>
  <c r="L5" i="65"/>
  <c r="L9" i="65"/>
  <c r="L10" i="65"/>
  <c r="F3" i="65"/>
  <c r="E4" i="65"/>
  <c r="L5" i="64"/>
  <c r="L9" i="64"/>
  <c r="L8" i="64"/>
  <c r="L10" i="64"/>
  <c r="L7" i="64"/>
  <c r="E4" i="64"/>
  <c r="F3" i="64"/>
  <c r="L9" i="63"/>
  <c r="L5" i="63"/>
  <c r="L7" i="63"/>
  <c r="L6" i="63"/>
  <c r="L10" i="63"/>
  <c r="E4" i="63"/>
  <c r="F3" i="63"/>
  <c r="L7" i="62"/>
  <c r="L6" i="62"/>
  <c r="L9" i="62"/>
  <c r="L10" i="62"/>
  <c r="L5" i="62"/>
  <c r="F4" i="62"/>
  <c r="G3" i="62"/>
  <c r="G3" i="67" l="1"/>
  <c r="F4" i="67"/>
  <c r="H3" i="66"/>
  <c r="H4" i="66" s="1"/>
  <c r="G4" i="66"/>
  <c r="G3" i="65"/>
  <c r="F4" i="65"/>
  <c r="G3" i="64"/>
  <c r="F4" i="64"/>
  <c r="G3" i="63"/>
  <c r="F4" i="63"/>
  <c r="H3" i="62"/>
  <c r="H4" i="62" s="1"/>
  <c r="G4" i="62"/>
  <c r="G4" i="67" l="1"/>
  <c r="H3" i="67"/>
  <c r="H4" i="67" s="1"/>
  <c r="H3" i="65"/>
  <c r="H4" i="65" s="1"/>
  <c r="G4" i="65"/>
  <c r="G4" i="64"/>
  <c r="H3" i="64"/>
  <c r="H4" i="64" s="1"/>
  <c r="H3" i="63"/>
  <c r="H4" i="63" s="1"/>
  <c r="G4" i="63"/>
  <c r="K10" i="61"/>
  <c r="BA8" i="16" s="1"/>
  <c r="K9" i="61"/>
  <c r="BA7" i="16" s="1"/>
  <c r="K8" i="61"/>
  <c r="BA6" i="16" s="1"/>
  <c r="K7" i="61"/>
  <c r="BA5" i="16" s="1"/>
  <c r="K6" i="61"/>
  <c r="BA4" i="16" s="1"/>
  <c r="K5" i="61"/>
  <c r="BA3" i="16" s="1"/>
  <c r="B4" i="61"/>
  <c r="C3" i="61"/>
  <c r="C3" i="60"/>
  <c r="C4" i="61" l="1"/>
  <c r="D3" i="61"/>
  <c r="D4" i="61" s="1"/>
  <c r="K11" i="61"/>
  <c r="L6" i="61" s="1"/>
  <c r="E3" i="61"/>
  <c r="E4" i="61" s="1"/>
  <c r="B4" i="60"/>
  <c r="L8" i="60"/>
  <c r="L5" i="61" l="1"/>
  <c r="L9" i="61"/>
  <c r="L8" i="61"/>
  <c r="L10" i="61"/>
  <c r="L7" i="61"/>
  <c r="F3" i="61"/>
  <c r="G3" i="61" s="1"/>
  <c r="F4" i="61"/>
  <c r="L10" i="60"/>
  <c r="L9" i="60"/>
  <c r="L7" i="60"/>
  <c r="L6" i="60"/>
  <c r="L5" i="60"/>
  <c r="C4" i="60"/>
  <c r="H3" i="61" l="1"/>
  <c r="H4" i="61" s="1"/>
  <c r="G4" i="61"/>
  <c r="L11" i="60"/>
  <c r="M8" i="60" s="1"/>
  <c r="D3" i="60"/>
  <c r="M9" i="60" l="1"/>
  <c r="M10" i="60"/>
  <c r="M5" i="60"/>
  <c r="M6" i="60"/>
  <c r="M7" i="60"/>
  <c r="E3" i="60"/>
  <c r="D4" i="60"/>
  <c r="F3" i="60" l="1"/>
  <c r="E4" i="60"/>
  <c r="F4" i="60" l="1"/>
  <c r="G3" i="60"/>
  <c r="G4" i="60" l="1"/>
  <c r="H3" i="60"/>
  <c r="H4" i="60" s="1"/>
  <c r="L10" i="59" l="1"/>
  <c r="L9" i="59"/>
  <c r="L8" i="59"/>
  <c r="L7" i="59"/>
  <c r="L6" i="59"/>
  <c r="L5" i="59"/>
  <c r="B4" i="59"/>
  <c r="C3" i="59"/>
  <c r="C4" i="59" s="1"/>
  <c r="L10" i="58"/>
  <c r="L9" i="58"/>
  <c r="L8" i="58"/>
  <c r="L7" i="58"/>
  <c r="L6" i="58"/>
  <c r="L5" i="58"/>
  <c r="B4" i="58"/>
  <c r="C3" i="58"/>
  <c r="C4" i="58" s="1"/>
  <c r="L10" i="56"/>
  <c r="L9" i="56"/>
  <c r="L8" i="56"/>
  <c r="L7" i="56"/>
  <c r="L6" i="56"/>
  <c r="L5" i="56"/>
  <c r="B4" i="56"/>
  <c r="C3" i="56"/>
  <c r="C4" i="56" s="1"/>
  <c r="L5" i="52"/>
  <c r="L7" i="53"/>
  <c r="L8" i="53"/>
  <c r="L9" i="53"/>
  <c r="L10" i="53"/>
  <c r="L6" i="53"/>
  <c r="L5" i="53"/>
  <c r="B4" i="53"/>
  <c r="C3" i="53"/>
  <c r="C4" i="53" s="1"/>
  <c r="L10" i="52"/>
  <c r="L9" i="52"/>
  <c r="L8" i="52"/>
  <c r="L7" i="52"/>
  <c r="L6" i="52"/>
  <c r="B4" i="52"/>
  <c r="C3" i="52"/>
  <c r="C4" i="52" s="1"/>
  <c r="B4" i="50"/>
  <c r="B4" i="51"/>
  <c r="L10" i="51"/>
  <c r="L9" i="51"/>
  <c r="L8" i="51"/>
  <c r="L7" i="51"/>
  <c r="L6" i="51"/>
  <c r="L5" i="51"/>
  <c r="C3" i="51"/>
  <c r="D3" i="51" s="1"/>
  <c r="D4" i="51" s="1"/>
  <c r="L10" i="50"/>
  <c r="L9" i="50"/>
  <c r="L8" i="50"/>
  <c r="L7" i="50"/>
  <c r="L6" i="50"/>
  <c r="L5" i="50"/>
  <c r="C3" i="50"/>
  <c r="D3" i="50" s="1"/>
  <c r="L10" i="49"/>
  <c r="L9" i="49"/>
  <c r="L8" i="49"/>
  <c r="L7" i="49"/>
  <c r="L6" i="49"/>
  <c r="L5" i="49"/>
  <c r="B4" i="49"/>
  <c r="C3" i="49"/>
  <c r="C4" i="49" s="1"/>
  <c r="L10" i="48"/>
  <c r="L9" i="48"/>
  <c r="L8" i="48"/>
  <c r="L7" i="48"/>
  <c r="L6" i="48"/>
  <c r="L5" i="48"/>
  <c r="B4" i="48"/>
  <c r="C3" i="48"/>
  <c r="C4" i="48" s="1"/>
  <c r="L11" i="59" l="1"/>
  <c r="D3" i="59"/>
  <c r="L11" i="58"/>
  <c r="D3" i="58"/>
  <c r="L11" i="56"/>
  <c r="D3" i="56"/>
  <c r="L11" i="53"/>
  <c r="D3" i="53"/>
  <c r="L11" i="52"/>
  <c r="D3" i="52"/>
  <c r="C4" i="51"/>
  <c r="L11" i="51"/>
  <c r="E3" i="51"/>
  <c r="E4" i="51" s="1"/>
  <c r="L11" i="50"/>
  <c r="C4" i="50"/>
  <c r="E3" i="50"/>
  <c r="D4" i="50"/>
  <c r="L11" i="49"/>
  <c r="D3" i="49"/>
  <c r="L11" i="48"/>
  <c r="D3" i="48"/>
  <c r="D4" i="59" l="1"/>
  <c r="E3" i="59"/>
  <c r="E3" i="58"/>
  <c r="D4" i="58"/>
  <c r="E3" i="56"/>
  <c r="D4" i="56"/>
  <c r="E3" i="53"/>
  <c r="D4" i="53"/>
  <c r="E3" i="52"/>
  <c r="D4" i="52"/>
  <c r="F3" i="51"/>
  <c r="F4" i="51" s="1"/>
  <c r="F3" i="50"/>
  <c r="E4" i="50"/>
  <c r="E3" i="49"/>
  <c r="D4" i="49"/>
  <c r="E3" i="48"/>
  <c r="D4" i="48"/>
  <c r="F3" i="59" l="1"/>
  <c r="E4" i="59"/>
  <c r="F3" i="58"/>
  <c r="E4" i="58"/>
  <c r="F3" i="56"/>
  <c r="E4" i="56"/>
  <c r="F3" i="53"/>
  <c r="E4" i="53"/>
  <c r="F3" i="52"/>
  <c r="E4" i="52"/>
  <c r="G3" i="51"/>
  <c r="G4" i="51" s="1"/>
  <c r="F4" i="50"/>
  <c r="G3" i="50"/>
  <c r="F3" i="49"/>
  <c r="E4" i="49"/>
  <c r="F3" i="48"/>
  <c r="E4" i="48"/>
  <c r="F4" i="59" l="1"/>
  <c r="G3" i="59"/>
  <c r="F4" i="58"/>
  <c r="G3" i="58"/>
  <c r="F4" i="56"/>
  <c r="G3" i="56"/>
  <c r="G3" i="53"/>
  <c r="F4" i="53"/>
  <c r="F4" i="52"/>
  <c r="G3" i="52"/>
  <c r="H3" i="51"/>
  <c r="H4" i="51" s="1"/>
  <c r="H3" i="50"/>
  <c r="H4" i="50" s="1"/>
  <c r="G4" i="50"/>
  <c r="F4" i="49"/>
  <c r="G3" i="49"/>
  <c r="F4" i="48"/>
  <c r="G3" i="48"/>
  <c r="G4" i="59" l="1"/>
  <c r="H3" i="59"/>
  <c r="H4" i="59" s="1"/>
  <c r="G4" i="58"/>
  <c r="H3" i="58"/>
  <c r="H4" i="58" s="1"/>
  <c r="G4" i="56"/>
  <c r="H3" i="56"/>
  <c r="H4" i="56" s="1"/>
  <c r="G4" i="53"/>
  <c r="H3" i="53"/>
  <c r="H4" i="53" s="1"/>
  <c r="G4" i="52"/>
  <c r="H3" i="52"/>
  <c r="H4" i="52" s="1"/>
  <c r="G4" i="49"/>
  <c r="H3" i="49"/>
  <c r="H4" i="49" s="1"/>
  <c r="G4" i="48"/>
  <c r="H3" i="48"/>
  <c r="H4" i="48" s="1"/>
  <c r="C3" i="47" l="1"/>
  <c r="C4" i="47"/>
  <c r="B4" i="47"/>
  <c r="L10" i="47"/>
  <c r="L9" i="47"/>
  <c r="L8" i="47"/>
  <c r="L7" i="47"/>
  <c r="L6" i="47"/>
  <c r="L5" i="47"/>
  <c r="L5" i="46"/>
  <c r="L10" i="46"/>
  <c r="L9" i="46"/>
  <c r="L8" i="46"/>
  <c r="L7" i="46"/>
  <c r="L6" i="46"/>
  <c r="B4" i="46"/>
  <c r="C3" i="46"/>
  <c r="C4" i="46" s="1"/>
  <c r="L10" i="45"/>
  <c r="L9" i="45"/>
  <c r="L8" i="45"/>
  <c r="L7" i="45"/>
  <c r="L6" i="45"/>
  <c r="L5" i="45"/>
  <c r="B4" i="45"/>
  <c r="C3" i="45"/>
  <c r="C4" i="45" s="1"/>
  <c r="L5" i="44"/>
  <c r="L10" i="44"/>
  <c r="L9" i="44"/>
  <c r="L8" i="44"/>
  <c r="L7" i="44"/>
  <c r="L6" i="44"/>
  <c r="B4" i="44"/>
  <c r="C3" i="44"/>
  <c r="D3" i="44" s="1"/>
  <c r="L5" i="43"/>
  <c r="L6" i="43"/>
  <c r="L7" i="43"/>
  <c r="L8" i="43"/>
  <c r="L9" i="43"/>
  <c r="L10" i="43"/>
  <c r="B4" i="43"/>
  <c r="C3" i="43"/>
  <c r="C4" i="43" s="1"/>
  <c r="L11" i="47" l="1"/>
  <c r="D3" i="47"/>
  <c r="L11" i="46"/>
  <c r="D3" i="46"/>
  <c r="L11" i="45"/>
  <c r="D3" i="45"/>
  <c r="L11" i="44"/>
  <c r="C4" i="44"/>
  <c r="E3" i="44"/>
  <c r="D4" i="44"/>
  <c r="L11" i="43"/>
  <c r="D3" i="43"/>
  <c r="D4" i="47" l="1"/>
  <c r="E3" i="47"/>
  <c r="E3" i="46"/>
  <c r="D4" i="46"/>
  <c r="E3" i="45"/>
  <c r="D4" i="45"/>
  <c r="F3" i="44"/>
  <c r="E4" i="44"/>
  <c r="E3" i="43"/>
  <c r="D4" i="43"/>
  <c r="F3" i="47" l="1"/>
  <c r="E4" i="47"/>
  <c r="F3" i="46"/>
  <c r="E4" i="46"/>
  <c r="F3" i="45"/>
  <c r="E4" i="45"/>
  <c r="F4" i="44"/>
  <c r="G3" i="44"/>
  <c r="F3" i="43"/>
  <c r="E4" i="43"/>
  <c r="G3" i="47" l="1"/>
  <c r="F4" i="47"/>
  <c r="F4" i="46"/>
  <c r="G3" i="46"/>
  <c r="F4" i="45"/>
  <c r="G3" i="45"/>
  <c r="G4" i="44"/>
  <c r="H3" i="44"/>
  <c r="H4" i="44" s="1"/>
  <c r="F4" i="43"/>
  <c r="G3" i="43"/>
  <c r="G4" i="47" l="1"/>
  <c r="H3" i="47"/>
  <c r="H4" i="47" s="1"/>
  <c r="G4" i="46"/>
  <c r="H3" i="46"/>
  <c r="H4" i="46" s="1"/>
  <c r="G4" i="45"/>
  <c r="H3" i="45"/>
  <c r="H4" i="45" s="1"/>
  <c r="G4" i="43"/>
  <c r="H3" i="43"/>
  <c r="H4" i="43" s="1"/>
  <c r="L10" i="42" l="1"/>
  <c r="L9" i="42"/>
  <c r="L8" i="42"/>
  <c r="L7" i="42"/>
  <c r="L6" i="42"/>
  <c r="L5" i="42"/>
  <c r="B4" i="42"/>
  <c r="C3" i="42"/>
  <c r="C4" i="42" s="1"/>
  <c r="AB24" i="16"/>
  <c r="L11" i="42" l="1"/>
  <c r="D3" i="42"/>
  <c r="L10" i="41"/>
  <c r="L9" i="41"/>
  <c r="L8" i="41"/>
  <c r="L7" i="41"/>
  <c r="L6" i="41"/>
  <c r="L5" i="41"/>
  <c r="B4" i="41"/>
  <c r="C3" i="41"/>
  <c r="C4" i="41" s="1"/>
  <c r="L10" i="40"/>
  <c r="L9" i="40"/>
  <c r="L8" i="40"/>
  <c r="L7" i="40"/>
  <c r="L6" i="40"/>
  <c r="L5" i="40"/>
  <c r="B4" i="40"/>
  <c r="C3" i="40"/>
  <c r="C4" i="40" s="1"/>
  <c r="L10" i="39"/>
  <c r="L9" i="39"/>
  <c r="L8" i="39"/>
  <c r="L7" i="39"/>
  <c r="L6" i="39"/>
  <c r="L5" i="39"/>
  <c r="B4" i="39"/>
  <c r="C3" i="39"/>
  <c r="D3" i="39" s="1"/>
  <c r="B4" i="38"/>
  <c r="L10" i="38" s="1"/>
  <c r="C3" i="38"/>
  <c r="C4" i="38" s="1"/>
  <c r="L10" i="37"/>
  <c r="L9" i="37"/>
  <c r="L8" i="37"/>
  <c r="L7" i="37"/>
  <c r="L6" i="37"/>
  <c r="L5" i="37"/>
  <c r="B4" i="37"/>
  <c r="C3" i="37"/>
  <c r="D3" i="37" s="1"/>
  <c r="L10" i="36"/>
  <c r="L9" i="36"/>
  <c r="L8" i="36"/>
  <c r="L7" i="36"/>
  <c r="L6" i="36"/>
  <c r="L5" i="36"/>
  <c r="B4" i="36"/>
  <c r="C3" i="36"/>
  <c r="D3" i="36" s="1"/>
  <c r="L10" i="34"/>
  <c r="L9" i="34"/>
  <c r="L8" i="34"/>
  <c r="L7" i="34"/>
  <c r="L6" i="34"/>
  <c r="L5" i="34"/>
  <c r="B4" i="34"/>
  <c r="C3" i="34"/>
  <c r="D3" i="34" s="1"/>
  <c r="L10" i="33"/>
  <c r="L9" i="33"/>
  <c r="L8" i="33"/>
  <c r="L7" i="33"/>
  <c r="L6" i="33"/>
  <c r="L5" i="33"/>
  <c r="B4" i="33"/>
  <c r="C3" i="33"/>
  <c r="D3" i="33" s="1"/>
  <c r="L10" i="32"/>
  <c r="L9" i="32"/>
  <c r="L8" i="32"/>
  <c r="L7" i="32"/>
  <c r="L6" i="32"/>
  <c r="L5" i="32"/>
  <c r="B4" i="32"/>
  <c r="C3" i="32"/>
  <c r="D3" i="32" s="1"/>
  <c r="L10" i="31"/>
  <c r="L9" i="31"/>
  <c r="L8" i="31"/>
  <c r="L7" i="31"/>
  <c r="L6" i="31"/>
  <c r="L5" i="31"/>
  <c r="B4" i="31"/>
  <c r="C3" i="31"/>
  <c r="C4" i="31" s="1"/>
  <c r="L10" i="30"/>
  <c r="L9" i="30"/>
  <c r="L8" i="30"/>
  <c r="L7" i="30"/>
  <c r="L6" i="30"/>
  <c r="L5" i="30"/>
  <c r="B4" i="30"/>
  <c r="C3" i="30"/>
  <c r="D3" i="30" s="1"/>
  <c r="L10" i="29"/>
  <c r="L9" i="29"/>
  <c r="L8" i="29"/>
  <c r="L7" i="29"/>
  <c r="L6" i="29"/>
  <c r="L5" i="29"/>
  <c r="B4" i="29"/>
  <c r="C3" i="29"/>
  <c r="C4" i="29" s="1"/>
  <c r="L10" i="28"/>
  <c r="L9" i="28"/>
  <c r="L8" i="28"/>
  <c r="L7" i="28"/>
  <c r="L6" i="28"/>
  <c r="L5" i="28"/>
  <c r="B4" i="28"/>
  <c r="C3" i="28"/>
  <c r="D3" i="28" s="1"/>
  <c r="E3" i="42" l="1"/>
  <c r="D4" i="42"/>
  <c r="L11" i="41"/>
  <c r="D3" i="41"/>
  <c r="L11" i="40"/>
  <c r="D3" i="40"/>
  <c r="C4" i="39"/>
  <c r="L11" i="39"/>
  <c r="E3" i="39"/>
  <c r="D4" i="39"/>
  <c r="L7" i="38"/>
  <c r="L8" i="38"/>
  <c r="L5" i="38"/>
  <c r="L9" i="38"/>
  <c r="L6" i="38"/>
  <c r="D3" i="38"/>
  <c r="L11" i="37"/>
  <c r="D4" i="37"/>
  <c r="E3" i="37"/>
  <c r="C4" i="37"/>
  <c r="L11" i="36"/>
  <c r="D4" i="36"/>
  <c r="E3" i="36"/>
  <c r="C4" i="36"/>
  <c r="L11" i="34"/>
  <c r="D4" i="34"/>
  <c r="E3" i="34"/>
  <c r="C4" i="34"/>
  <c r="L11" i="33"/>
  <c r="D4" i="33"/>
  <c r="E3" i="33"/>
  <c r="C4" i="33"/>
  <c r="L11" i="32"/>
  <c r="D4" i="32"/>
  <c r="E3" i="32"/>
  <c r="C4" i="32"/>
  <c r="L11" i="31"/>
  <c r="D3" i="31"/>
  <c r="L11" i="30"/>
  <c r="D4" i="30"/>
  <c r="E3" i="30"/>
  <c r="C4" i="30"/>
  <c r="L11" i="29"/>
  <c r="D3" i="29"/>
  <c r="L11" i="28"/>
  <c r="D4" i="28"/>
  <c r="E3" i="28"/>
  <c r="C4" i="28"/>
  <c r="L10" i="27"/>
  <c r="L9" i="27"/>
  <c r="L8" i="27"/>
  <c r="L7" i="27"/>
  <c r="L6" i="27"/>
  <c r="L5" i="27"/>
  <c r="B4" i="27"/>
  <c r="C3" i="27"/>
  <c r="D3" i="27" s="1"/>
  <c r="F3" i="42" l="1"/>
  <c r="E4" i="42"/>
  <c r="E3" i="41"/>
  <c r="D4" i="41"/>
  <c r="D4" i="40"/>
  <c r="E3" i="40"/>
  <c r="F3" i="39"/>
  <c r="E4" i="39"/>
  <c r="L11" i="38"/>
  <c r="D4" i="38"/>
  <c r="E3" i="38"/>
  <c r="F3" i="37"/>
  <c r="E4" i="37"/>
  <c r="E4" i="36"/>
  <c r="F3" i="36"/>
  <c r="E4" i="34"/>
  <c r="F3" i="34"/>
  <c r="F3" i="33"/>
  <c r="E4" i="33"/>
  <c r="E4" i="32"/>
  <c r="F3" i="32"/>
  <c r="E3" i="31"/>
  <c r="D4" i="31"/>
  <c r="F3" i="30"/>
  <c r="E4" i="30"/>
  <c r="E3" i="29"/>
  <c r="D4" i="29"/>
  <c r="E4" i="28"/>
  <c r="F3" i="28"/>
  <c r="L11" i="27"/>
  <c r="D4" i="27"/>
  <c r="E3" i="27"/>
  <c r="C4" i="27"/>
  <c r="L10" i="26"/>
  <c r="L9" i="26"/>
  <c r="L8" i="26"/>
  <c r="L7" i="26"/>
  <c r="L6" i="26"/>
  <c r="L5" i="26"/>
  <c r="B4" i="26"/>
  <c r="C3" i="26"/>
  <c r="C4" i="26" s="1"/>
  <c r="L10" i="25"/>
  <c r="L9" i="25"/>
  <c r="L8" i="25"/>
  <c r="L7" i="25"/>
  <c r="L6" i="25"/>
  <c r="L5" i="25"/>
  <c r="B4" i="25"/>
  <c r="C3" i="25"/>
  <c r="D3" i="25" s="1"/>
  <c r="L10" i="24"/>
  <c r="L9" i="24"/>
  <c r="L8" i="24"/>
  <c r="L7" i="24"/>
  <c r="L6" i="24"/>
  <c r="L5" i="24"/>
  <c r="B4" i="24"/>
  <c r="C3" i="24"/>
  <c r="C4" i="24" s="1"/>
  <c r="L10" i="23"/>
  <c r="L9" i="23"/>
  <c r="L8" i="23"/>
  <c r="L7" i="23"/>
  <c r="L6" i="23"/>
  <c r="L5" i="23"/>
  <c r="B4" i="23"/>
  <c r="C3" i="23"/>
  <c r="D3" i="23" s="1"/>
  <c r="L10" i="22"/>
  <c r="L9" i="22"/>
  <c r="L8" i="22"/>
  <c r="L7" i="22"/>
  <c r="L6" i="22"/>
  <c r="L5" i="22"/>
  <c r="B4" i="22"/>
  <c r="C3" i="22"/>
  <c r="D3" i="22" s="1"/>
  <c r="L5" i="20"/>
  <c r="L10" i="21"/>
  <c r="L9" i="21"/>
  <c r="L8" i="21"/>
  <c r="L7" i="21"/>
  <c r="L6" i="21"/>
  <c r="L5" i="21"/>
  <c r="B4" i="21"/>
  <c r="C3" i="21"/>
  <c r="D3" i="21" s="1"/>
  <c r="L10" i="20"/>
  <c r="L9" i="20"/>
  <c r="L8" i="20"/>
  <c r="L7" i="20"/>
  <c r="L6" i="20"/>
  <c r="B4" i="20"/>
  <c r="C3" i="20"/>
  <c r="D3" i="20" s="1"/>
  <c r="L10" i="19"/>
  <c r="L9" i="19"/>
  <c r="L8" i="19"/>
  <c r="L7" i="19"/>
  <c r="L6" i="19"/>
  <c r="L5" i="19"/>
  <c r="B4" i="19"/>
  <c r="C3" i="19"/>
  <c r="D3" i="19" s="1"/>
  <c r="M10" i="18"/>
  <c r="M9" i="18"/>
  <c r="M8" i="18"/>
  <c r="M7" i="18"/>
  <c r="M6" i="18"/>
  <c r="M5" i="18"/>
  <c r="C4" i="18"/>
  <c r="D3" i="18"/>
  <c r="E3" i="18" s="1"/>
  <c r="F4" i="42" l="1"/>
  <c r="G3" i="42"/>
  <c r="F3" i="41"/>
  <c r="E4" i="41"/>
  <c r="F3" i="40"/>
  <c r="E4" i="40"/>
  <c r="D3" i="24"/>
  <c r="E3" i="24" s="1"/>
  <c r="F4" i="39"/>
  <c r="G3" i="39"/>
  <c r="E4" i="38"/>
  <c r="F3" i="38"/>
  <c r="G3" i="37"/>
  <c r="F4" i="37"/>
  <c r="G3" i="36"/>
  <c r="F4" i="36"/>
  <c r="G3" i="34"/>
  <c r="F4" i="34"/>
  <c r="G3" i="33"/>
  <c r="F4" i="33"/>
  <c r="G3" i="32"/>
  <c r="F4" i="32"/>
  <c r="E4" i="31"/>
  <c r="F3" i="31"/>
  <c r="G3" i="30"/>
  <c r="F4" i="30"/>
  <c r="F3" i="29"/>
  <c r="E4" i="29"/>
  <c r="G3" i="28"/>
  <c r="F4" i="28"/>
  <c r="E4" i="27"/>
  <c r="F3" i="27"/>
  <c r="L11" i="26"/>
  <c r="D3" i="26"/>
  <c r="L11" i="25"/>
  <c r="D4" i="25"/>
  <c r="E3" i="25"/>
  <c r="C4" i="25"/>
  <c r="L11" i="24"/>
  <c r="F3" i="24"/>
  <c r="E4" i="24"/>
  <c r="D4" i="24"/>
  <c r="L11" i="23"/>
  <c r="D4" i="23"/>
  <c r="E3" i="23"/>
  <c r="C4" i="23"/>
  <c r="L11" i="22"/>
  <c r="E3" i="22"/>
  <c r="D4" i="22"/>
  <c r="C4" i="22"/>
  <c r="L11" i="21"/>
  <c r="D4" i="21"/>
  <c r="E3" i="21"/>
  <c r="C4" i="21"/>
  <c r="L11" i="20"/>
  <c r="E3" i="20"/>
  <c r="D4" i="20"/>
  <c r="C4" i="20"/>
  <c r="L11" i="19"/>
  <c r="E3" i="19"/>
  <c r="D4" i="19"/>
  <c r="C4" i="19"/>
  <c r="M11" i="18"/>
  <c r="E4" i="18"/>
  <c r="F3" i="18"/>
  <c r="D4" i="18"/>
  <c r="G4" i="42" l="1"/>
  <c r="H3" i="42"/>
  <c r="H4" i="42" s="1"/>
  <c r="F4" i="41"/>
  <c r="G3" i="41"/>
  <c r="F4" i="40"/>
  <c r="G3" i="40"/>
  <c r="H3" i="39"/>
  <c r="H4" i="39" s="1"/>
  <c r="G4" i="39"/>
  <c r="F4" i="38"/>
  <c r="G3" i="38"/>
  <c r="H3" i="37"/>
  <c r="G4" i="37"/>
  <c r="H3" i="36"/>
  <c r="G4" i="36"/>
  <c r="H3" i="34"/>
  <c r="G4" i="34"/>
  <c r="H3" i="33"/>
  <c r="G4" i="33"/>
  <c r="H3" i="32"/>
  <c r="G4" i="32"/>
  <c r="G3" i="31"/>
  <c r="F4" i="31"/>
  <c r="H3" i="30"/>
  <c r="G4" i="30"/>
  <c r="G3" i="29"/>
  <c r="F4" i="29"/>
  <c r="H3" i="28"/>
  <c r="G4" i="28"/>
  <c r="G3" i="27"/>
  <c r="F4" i="27"/>
  <c r="D4" i="26"/>
  <c r="E3" i="26"/>
  <c r="F3" i="25"/>
  <c r="E4" i="25"/>
  <c r="G3" i="24"/>
  <c r="F4" i="24"/>
  <c r="E4" i="23"/>
  <c r="F3" i="23"/>
  <c r="E4" i="22"/>
  <c r="F3" i="22"/>
  <c r="E4" i="21"/>
  <c r="F3" i="21"/>
  <c r="F3" i="20"/>
  <c r="E4" i="20"/>
  <c r="E4" i="19"/>
  <c r="F3" i="19"/>
  <c r="G3" i="18"/>
  <c r="F4" i="18"/>
  <c r="G4" i="41" l="1"/>
  <c r="H3" i="41"/>
  <c r="H4" i="41" s="1"/>
  <c r="G4" i="40"/>
  <c r="H3" i="40"/>
  <c r="H4" i="40" s="1"/>
  <c r="G4" i="38"/>
  <c r="H3" i="38"/>
  <c r="H4" i="38" s="1"/>
  <c r="H4" i="37"/>
  <c r="H4" i="36"/>
  <c r="I3" i="36"/>
  <c r="I4" i="36" s="1"/>
  <c r="H4" i="34"/>
  <c r="I3" i="34"/>
  <c r="I4" i="34" s="1"/>
  <c r="H4" i="33"/>
  <c r="I3" i="33"/>
  <c r="I4" i="33" s="1"/>
  <c r="H4" i="32"/>
  <c r="I3" i="32"/>
  <c r="I4" i="32" s="1"/>
  <c r="G4" i="31"/>
  <c r="H3" i="31"/>
  <c r="H4" i="30"/>
  <c r="I3" i="30"/>
  <c r="I4" i="30" s="1"/>
  <c r="G4" i="29"/>
  <c r="H3" i="29"/>
  <c r="H4" i="28"/>
  <c r="I3" i="28"/>
  <c r="I4" i="28" s="1"/>
  <c r="H3" i="27"/>
  <c r="G4" i="27"/>
  <c r="F3" i="26"/>
  <c r="E4" i="26"/>
  <c r="F4" i="25"/>
  <c r="G3" i="25"/>
  <c r="G4" i="24"/>
  <c r="H3" i="24"/>
  <c r="G3" i="23"/>
  <c r="F4" i="23"/>
  <c r="F4" i="22"/>
  <c r="G3" i="22"/>
  <c r="G3" i="21"/>
  <c r="F4" i="21"/>
  <c r="F4" i="20"/>
  <c r="G3" i="20"/>
  <c r="F4" i="19"/>
  <c r="G3" i="19"/>
  <c r="H3" i="18"/>
  <c r="G4" i="18"/>
  <c r="I3" i="31" l="1"/>
  <c r="I4" i="31" s="1"/>
  <c r="H4" i="31"/>
  <c r="I3" i="29"/>
  <c r="I4" i="29" s="1"/>
  <c r="H4" i="29"/>
  <c r="H4" i="27"/>
  <c r="I3" i="27"/>
  <c r="I4" i="27" s="1"/>
  <c r="G3" i="26"/>
  <c r="F4" i="26"/>
  <c r="H3" i="25"/>
  <c r="G4" i="25"/>
  <c r="I3" i="24"/>
  <c r="I4" i="24" s="1"/>
  <c r="H4" i="24"/>
  <c r="H3" i="23"/>
  <c r="G4" i="23"/>
  <c r="H3" i="22"/>
  <c r="G4" i="22"/>
  <c r="H3" i="21"/>
  <c r="G4" i="21"/>
  <c r="H3" i="20"/>
  <c r="G4" i="20"/>
  <c r="H3" i="19"/>
  <c r="G4" i="19"/>
  <c r="I3" i="18"/>
  <c r="H4" i="18"/>
  <c r="H3" i="26" l="1"/>
  <c r="G4" i="26"/>
  <c r="H4" i="25"/>
  <c r="I3" i="25"/>
  <c r="I4" i="25" s="1"/>
  <c r="H4" i="23"/>
  <c r="I3" i="23"/>
  <c r="I4" i="23" s="1"/>
  <c r="I3" i="22"/>
  <c r="I4" i="22" s="1"/>
  <c r="H4" i="22"/>
  <c r="H4" i="21"/>
  <c r="I3" i="21"/>
  <c r="I4" i="21" s="1"/>
  <c r="I3" i="20"/>
  <c r="I4" i="20" s="1"/>
  <c r="H4" i="20"/>
  <c r="I3" i="19"/>
  <c r="I4" i="19" s="1"/>
  <c r="H4" i="19"/>
  <c r="I4" i="18"/>
  <c r="J3" i="18"/>
  <c r="J4" i="18" s="1"/>
  <c r="H4" i="26" l="1"/>
  <c r="I3" i="26"/>
  <c r="I4" i="26" s="1"/>
  <c r="M10" i="17"/>
  <c r="M9" i="17"/>
  <c r="M8" i="17"/>
  <c r="M7" i="17"/>
  <c r="M6" i="17"/>
  <c r="M5" i="17"/>
  <c r="C4" i="17"/>
  <c r="D3" i="17"/>
  <c r="E3" i="17" s="1"/>
  <c r="M73" i="15"/>
  <c r="M72" i="15"/>
  <c r="M71" i="15"/>
  <c r="M70" i="15"/>
  <c r="M69" i="15"/>
  <c r="M68" i="15"/>
  <c r="M10" i="15"/>
  <c r="M9" i="15"/>
  <c r="M8" i="15"/>
  <c r="M7" i="15"/>
  <c r="M6" i="15"/>
  <c r="M5" i="15"/>
  <c r="C4" i="15"/>
  <c r="D3" i="15"/>
  <c r="D4" i="15" s="1"/>
  <c r="M73" i="14"/>
  <c r="M72" i="14"/>
  <c r="M71" i="14"/>
  <c r="M70" i="14"/>
  <c r="M69" i="14"/>
  <c r="M68" i="14"/>
  <c r="M10" i="14"/>
  <c r="M9" i="14"/>
  <c r="M8" i="14"/>
  <c r="M7" i="14"/>
  <c r="M6" i="14"/>
  <c r="M5" i="14"/>
  <c r="C4" i="14"/>
  <c r="D3" i="14"/>
  <c r="E3" i="14" s="1"/>
  <c r="M73" i="13"/>
  <c r="M72" i="13"/>
  <c r="M71" i="13"/>
  <c r="M70" i="13"/>
  <c r="M69" i="13"/>
  <c r="M68" i="13"/>
  <c r="M10" i="13"/>
  <c r="M9" i="13"/>
  <c r="M8" i="13"/>
  <c r="M7" i="13"/>
  <c r="M6" i="13"/>
  <c r="M5" i="13"/>
  <c r="C4" i="13"/>
  <c r="D3" i="13"/>
  <c r="E3" i="13" s="1"/>
  <c r="M73" i="12"/>
  <c r="M72" i="12"/>
  <c r="M71" i="12"/>
  <c r="M70" i="12"/>
  <c r="M69" i="12"/>
  <c r="M68" i="12"/>
  <c r="M10" i="12"/>
  <c r="M9" i="12"/>
  <c r="M8" i="12"/>
  <c r="M7" i="12"/>
  <c r="M6" i="12"/>
  <c r="M5" i="12"/>
  <c r="C4" i="12"/>
  <c r="D3" i="12"/>
  <c r="E3" i="12" s="1"/>
  <c r="M73" i="11"/>
  <c r="M72" i="11"/>
  <c r="M71" i="11"/>
  <c r="M70" i="11"/>
  <c r="M69" i="11"/>
  <c r="M68" i="11"/>
  <c r="C67" i="11"/>
  <c r="D66" i="11"/>
  <c r="D67" i="11" s="1"/>
  <c r="M10" i="11"/>
  <c r="M9" i="11"/>
  <c r="M8" i="11"/>
  <c r="M7" i="11"/>
  <c r="M6" i="11"/>
  <c r="M5" i="11"/>
  <c r="C4" i="11"/>
  <c r="D3" i="11"/>
  <c r="D4" i="11" s="1"/>
  <c r="M69" i="10"/>
  <c r="M70" i="10"/>
  <c r="M71" i="10"/>
  <c r="M72" i="10"/>
  <c r="M73" i="10"/>
  <c r="M68" i="10"/>
  <c r="C67" i="10"/>
  <c r="D66" i="10"/>
  <c r="M10" i="10"/>
  <c r="M9" i="10"/>
  <c r="M8" i="10"/>
  <c r="M7" i="10"/>
  <c r="M6" i="10"/>
  <c r="M5" i="10"/>
  <c r="C4" i="10"/>
  <c r="D3" i="10"/>
  <c r="E3" i="10" s="1"/>
  <c r="M10" i="9"/>
  <c r="M9" i="9"/>
  <c r="M8" i="9"/>
  <c r="M7" i="9"/>
  <c r="M6" i="9"/>
  <c r="M5" i="9"/>
  <c r="C4" i="9"/>
  <c r="D3" i="9"/>
  <c r="D4" i="9" s="1"/>
  <c r="M10" i="8"/>
  <c r="M9" i="8"/>
  <c r="M8" i="8"/>
  <c r="M7" i="8"/>
  <c r="M6" i="8"/>
  <c r="M5" i="8"/>
  <c r="C4" i="8"/>
  <c r="D3" i="8"/>
  <c r="D4" i="8" s="1"/>
  <c r="M10" i="7"/>
  <c r="M9" i="7"/>
  <c r="M8" i="7"/>
  <c r="M7" i="7"/>
  <c r="M6" i="7"/>
  <c r="M5" i="7"/>
  <c r="C4" i="7"/>
  <c r="D3" i="7"/>
  <c r="D4" i="7" s="1"/>
  <c r="M10" i="6"/>
  <c r="M9" i="6"/>
  <c r="M8" i="6"/>
  <c r="M7" i="6"/>
  <c r="M6" i="6"/>
  <c r="M5" i="6"/>
  <c r="C4" i="6"/>
  <c r="D3" i="6"/>
  <c r="E3" i="6" s="1"/>
  <c r="M10" i="5"/>
  <c r="M9" i="5"/>
  <c r="M8" i="5"/>
  <c r="M7" i="5"/>
  <c r="M6" i="5"/>
  <c r="M5" i="5"/>
  <c r="C4" i="5"/>
  <c r="D3" i="5"/>
  <c r="E3" i="5" s="1"/>
  <c r="D67" i="10" l="1"/>
  <c r="E66" i="10"/>
  <c r="E67" i="10" s="1"/>
  <c r="F66" i="10"/>
  <c r="G66" i="10" s="1"/>
  <c r="E66" i="11"/>
  <c r="F66" i="11" s="1"/>
  <c r="E3" i="7"/>
  <c r="F3" i="7" s="1"/>
  <c r="M11" i="17"/>
  <c r="E4" i="17"/>
  <c r="F3" i="17"/>
  <c r="D4" i="17"/>
  <c r="M11" i="15"/>
  <c r="M74" i="15"/>
  <c r="E3" i="15"/>
  <c r="M74" i="14"/>
  <c r="M11" i="14"/>
  <c r="F3" i="14"/>
  <c r="E4" i="14"/>
  <c r="D4" i="14"/>
  <c r="M11" i="13"/>
  <c r="M74" i="13"/>
  <c r="F3" i="13"/>
  <c r="E4" i="13"/>
  <c r="D4" i="13"/>
  <c r="M74" i="12"/>
  <c r="M11" i="12"/>
  <c r="F3" i="12"/>
  <c r="E4" i="12"/>
  <c r="D4" i="12"/>
  <c r="M74" i="11"/>
  <c r="E3" i="11"/>
  <c r="F3" i="11" s="1"/>
  <c r="M11" i="11"/>
  <c r="G66" i="11"/>
  <c r="F67" i="11"/>
  <c r="F4" i="11"/>
  <c r="G3" i="11"/>
  <c r="E67" i="11"/>
  <c r="M74" i="10"/>
  <c r="H66" i="10"/>
  <c r="G67" i="10"/>
  <c r="F67" i="10"/>
  <c r="M11" i="10"/>
  <c r="E4" i="10"/>
  <c r="F3" i="10"/>
  <c r="D4" i="10"/>
  <c r="M11" i="9"/>
  <c r="E3" i="9"/>
  <c r="E4" i="9" s="1"/>
  <c r="M11" i="8"/>
  <c r="E3" i="8"/>
  <c r="M11" i="7"/>
  <c r="G3" i="7"/>
  <c r="F4" i="7"/>
  <c r="E4" i="7"/>
  <c r="M11" i="6"/>
  <c r="E4" i="6"/>
  <c r="F3" i="6"/>
  <c r="D4" i="6"/>
  <c r="M11" i="5"/>
  <c r="E4" i="5"/>
  <c r="F3" i="5"/>
  <c r="D4" i="5"/>
  <c r="M10" i="4"/>
  <c r="M9" i="4"/>
  <c r="M8" i="4"/>
  <c r="M7" i="4"/>
  <c r="M6" i="4"/>
  <c r="M5" i="4"/>
  <c r="C4" i="4"/>
  <c r="D3" i="4"/>
  <c r="D4" i="4" s="1"/>
  <c r="E4" i="11" l="1"/>
  <c r="F3" i="9"/>
  <c r="F4" i="17"/>
  <c r="G3" i="17"/>
  <c r="F3" i="15"/>
  <c r="E4" i="15"/>
  <c r="G3" i="14"/>
  <c r="F4" i="14"/>
  <c r="F4" i="13"/>
  <c r="G3" i="13"/>
  <c r="G3" i="12"/>
  <c r="F4" i="12"/>
  <c r="G4" i="11"/>
  <c r="H3" i="11"/>
  <c r="H66" i="11"/>
  <c r="G67" i="11"/>
  <c r="I66" i="10"/>
  <c r="H67" i="10"/>
  <c r="G3" i="10"/>
  <c r="F4" i="10"/>
  <c r="F4" i="9"/>
  <c r="G3" i="9"/>
  <c r="E4" i="8"/>
  <c r="F3" i="8"/>
  <c r="H3" i="7"/>
  <c r="G4" i="7"/>
  <c r="G3" i="6"/>
  <c r="F4" i="6"/>
  <c r="F4" i="5"/>
  <c r="G3" i="5"/>
  <c r="M11" i="4"/>
  <c r="E3" i="4"/>
  <c r="M6" i="2"/>
  <c r="M7" i="2"/>
  <c r="M8" i="2"/>
  <c r="M9" i="2"/>
  <c r="M10" i="2"/>
  <c r="M5" i="2"/>
  <c r="H3" i="17" l="1"/>
  <c r="G4" i="17"/>
  <c r="F4" i="15"/>
  <c r="G3" i="15"/>
  <c r="G4" i="14"/>
  <c r="H3" i="14"/>
  <c r="G4" i="13"/>
  <c r="H3" i="13"/>
  <c r="G4" i="12"/>
  <c r="H3" i="12"/>
  <c r="H67" i="11"/>
  <c r="I66" i="11"/>
  <c r="I3" i="11"/>
  <c r="H4" i="11"/>
  <c r="I67" i="10"/>
  <c r="J66" i="10"/>
  <c r="J67" i="10" s="1"/>
  <c r="H3" i="10"/>
  <c r="G4" i="10"/>
  <c r="G4" i="9"/>
  <c r="H3" i="9"/>
  <c r="F4" i="8"/>
  <c r="G3" i="8"/>
  <c r="H4" i="7"/>
  <c r="I3" i="7"/>
  <c r="H3" i="6"/>
  <c r="G4" i="6"/>
  <c r="H3" i="5"/>
  <c r="G4" i="5"/>
  <c r="F3" i="4"/>
  <c r="E4" i="4"/>
  <c r="M11" i="2"/>
  <c r="C4" i="2"/>
  <c r="D3" i="2"/>
  <c r="D4" i="2" s="1"/>
  <c r="I3" i="17" l="1"/>
  <c r="H4" i="17"/>
  <c r="H3" i="15"/>
  <c r="G4" i="15"/>
  <c r="I3" i="14"/>
  <c r="H4" i="14"/>
  <c r="I3" i="13"/>
  <c r="H4" i="13"/>
  <c r="I3" i="12"/>
  <c r="H4" i="12"/>
  <c r="J66" i="11"/>
  <c r="J67" i="11" s="1"/>
  <c r="I67" i="11"/>
  <c r="J3" i="11"/>
  <c r="J4" i="11" s="1"/>
  <c r="I4" i="11"/>
  <c r="I3" i="10"/>
  <c r="H4" i="10"/>
  <c r="I3" i="9"/>
  <c r="H4" i="9"/>
  <c r="H3" i="8"/>
  <c r="G4" i="8"/>
  <c r="J3" i="7"/>
  <c r="J4" i="7" s="1"/>
  <c r="I4" i="7"/>
  <c r="I3" i="6"/>
  <c r="H4" i="6"/>
  <c r="I3" i="5"/>
  <c r="H4" i="5"/>
  <c r="F4" i="4"/>
  <c r="G3" i="4"/>
  <c r="E3" i="2"/>
  <c r="F3" i="2" s="1"/>
  <c r="G3" i="2" s="1"/>
  <c r="F4" i="2"/>
  <c r="E4" i="2"/>
  <c r="I4" i="17" l="1"/>
  <c r="J3" i="17"/>
  <c r="J4" i="17" s="1"/>
  <c r="H4" i="15"/>
  <c r="I3" i="15"/>
  <c r="J3" i="14"/>
  <c r="J4" i="14" s="1"/>
  <c r="I4" i="14"/>
  <c r="J3" i="13"/>
  <c r="J4" i="13" s="1"/>
  <c r="I4" i="13"/>
  <c r="J3" i="12"/>
  <c r="J4" i="12" s="1"/>
  <c r="I4" i="12"/>
  <c r="I4" i="10"/>
  <c r="J3" i="10"/>
  <c r="J4" i="10" s="1"/>
  <c r="I4" i="9"/>
  <c r="J3" i="9"/>
  <c r="J4" i="9" s="1"/>
  <c r="I3" i="8"/>
  <c r="H4" i="8"/>
  <c r="I4" i="6"/>
  <c r="J3" i="6"/>
  <c r="J4" i="6" s="1"/>
  <c r="I4" i="5"/>
  <c r="J3" i="5"/>
  <c r="J4" i="5" s="1"/>
  <c r="H3" i="4"/>
  <c r="G4" i="4"/>
  <c r="H3" i="2"/>
  <c r="G4" i="2"/>
  <c r="J3" i="15" l="1"/>
  <c r="J4" i="15" s="1"/>
  <c r="I4" i="15"/>
  <c r="I4" i="8"/>
  <c r="J3" i="8"/>
  <c r="J4" i="8" s="1"/>
  <c r="H4" i="4"/>
  <c r="I3" i="4"/>
  <c r="H4" i="2"/>
  <c r="I3" i="2"/>
  <c r="J3" i="4" l="1"/>
  <c r="J4" i="4" s="1"/>
  <c r="I4" i="4"/>
  <c r="I4" i="2"/>
  <c r="J3" i="2"/>
  <c r="J4" i="2" s="1"/>
  <c r="C8" i="16" l="1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J5" i="16"/>
  <c r="BI5" i="16"/>
  <c r="BH5" i="16"/>
  <c r="BG5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BJ4" i="16"/>
  <c r="BI4" i="16"/>
  <c r="BH4" i="16"/>
  <c r="BG4" i="16"/>
  <c r="AD7" i="16"/>
  <c r="AC7" i="16"/>
  <c r="AB7" i="16"/>
  <c r="AA7" i="16"/>
  <c r="AZ4" i="16"/>
  <c r="AY4" i="16"/>
  <c r="AX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Y7" i="16"/>
  <c r="X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AZ6" i="16"/>
  <c r="AY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G7" i="16"/>
  <c r="BH7" i="16"/>
  <c r="BI7" i="16"/>
  <c r="BJ7" i="16"/>
  <c r="BG8" i="16"/>
  <c r="BH8" i="16"/>
  <c r="BI8" i="16"/>
  <c r="BJ8" i="16"/>
  <c r="BG6" i="16"/>
  <c r="BH6" i="16"/>
  <c r="BI6" i="16"/>
  <c r="BJ6" i="16"/>
  <c r="C5" i="16"/>
  <c r="BG3" i="16"/>
  <c r="BH3" i="16"/>
  <c r="BI3" i="16"/>
  <c r="BJ3" i="16"/>
</calcChain>
</file>

<file path=xl/sharedStrings.xml><?xml version="1.0" encoding="utf-8"?>
<sst xmlns="http://schemas.openxmlformats.org/spreadsheetml/2006/main" count="10827" uniqueCount="32">
  <si>
    <t>Pivô</t>
  </si>
  <si>
    <t>Parametros</t>
  </si>
  <si>
    <t>Feito</t>
  </si>
  <si>
    <t>Chuva</t>
  </si>
  <si>
    <t>Energia</t>
  </si>
  <si>
    <t>Mecânico</t>
  </si>
  <si>
    <t>Elétrico</t>
  </si>
  <si>
    <t>Operação</t>
  </si>
  <si>
    <t>Vedação</t>
  </si>
  <si>
    <t>Mangote</t>
  </si>
  <si>
    <t>Adutora</t>
  </si>
  <si>
    <t>Redutor</t>
  </si>
  <si>
    <t>Castanha</t>
  </si>
  <si>
    <t>Micro</t>
  </si>
  <si>
    <t>feito</t>
  </si>
  <si>
    <t>Atendimento de irrigação - (Planejando vs Executado) - Semana 21/02/2022</t>
  </si>
  <si>
    <t>Data</t>
  </si>
  <si>
    <t>Total</t>
  </si>
  <si>
    <t>Atendimento de irrigação - (Planejando vs Executado) - Semana 14/03/2022</t>
  </si>
  <si>
    <t>Atendimento de irrigação - (Planejando vs Executado) - Semana 21/03/2022</t>
  </si>
  <si>
    <t>Atendimento de irrigação - (Planejando vs Executado) - Semana 28/03/2022</t>
  </si>
  <si>
    <t>Atendimento de irrigação - (Planejando vs Executado) - Semana 04/04/2022</t>
  </si>
  <si>
    <t>Atendimento de irrigação - (Planejando vs Executado) - Semana 25/04/2022</t>
  </si>
  <si>
    <t>Atendimento de irrigação - (Planejando vs Executado) - Semana 02/05/2022</t>
  </si>
  <si>
    <t>Atendimento de irrigação - (Planejando vs Executado) - Semana 08/05/2022</t>
  </si>
  <si>
    <t>Atendimento de irrigação - (Planejando vs Executado) - Semana 16/05/2022</t>
  </si>
  <si>
    <t>Atendimento de irrigação - (Planejando vs Executado) - Semana 23/05/2022</t>
  </si>
  <si>
    <t>Atendimento de irrigação - (Planejando vs Executado) - Semana 30/05/2022</t>
  </si>
  <si>
    <t>Atendimento de irrigação - (Planejando vs Executado) - Semana 06/06/2022</t>
  </si>
  <si>
    <t>Atendimento de irrigação - (Planejando vs Executado) - Semana 13/06/2022</t>
  </si>
  <si>
    <t>Atendimento de irrigação - (Planejando vs Executado) - Semana 27/06/2022</t>
  </si>
  <si>
    <t>Atendimento de irrigação - (Planejando vs Executado) - Semana 04/07/2022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</si>
</sst>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4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3" tint="9.9917600024414813E-2"/>
      <name val="Arial"/>
      <family val="2"/>
    </font>
    <font>
      <b/>
      <sz val="1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0"/>
      <color theme="3" tint="9.9917600024414813E-2"/>
      <name val="Arial"/>
      <family val="2"/>
    </font>
    <font>
      <b/>
      <sz val="10"/>
      <color theme="1"/>
      <name val="Calibri Light"/>
      <family val="2"/>
      <scheme val="major"/>
    </font>
    <font>
      <b/>
      <sz val="9"/>
      <color theme="4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dotted">
        <color theme="0"/>
      </top>
      <bottom/>
      <diagonal/>
    </border>
    <border>
      <left/>
      <right style="dotted">
        <color theme="1"/>
      </right>
      <top style="dotted">
        <color theme="0"/>
      </top>
      <bottom/>
      <diagonal/>
    </border>
    <border>
      <left/>
      <right style="dotted">
        <color theme="1"/>
      </right>
      <top/>
      <bottom/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50">
    <xf numFmtId="0" fontId="0" fillId="0" borderId="0" xfId="0"/>
    <xf numFmtId="14" fontId="3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4" fontId="6" fillId="0" borderId="0" xfId="1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indent="1"/>
    </xf>
    <xf numFmtId="0" fontId="7" fillId="4" borderId="0" xfId="0" applyFont="1" applyFill="1" applyAlignment="1">
      <alignment horizontal="left" indent="1"/>
    </xf>
    <xf numFmtId="0" fontId="7" fillId="6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8" borderId="0" xfId="0" applyFont="1" applyFill="1" applyAlignment="1">
      <alignment horizontal="left" indent="1"/>
    </xf>
    <xf numFmtId="0" fontId="2" fillId="0" borderId="0" xfId="0" applyFont="1"/>
    <xf numFmtId="0" fontId="7" fillId="9" borderId="0" xfId="0" applyFont="1" applyFill="1" applyAlignment="1">
      <alignment horizontal="left" indent="1"/>
    </xf>
    <xf numFmtId="0" fontId="7" fillId="10" borderId="0" xfId="0" applyFont="1" applyFill="1" applyAlignment="1">
      <alignment horizontal="left" indent="1"/>
    </xf>
    <xf numFmtId="0" fontId="7" fillId="11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16" fontId="2" fillId="0" borderId="0" xfId="0" applyNumberFormat="1" applyFont="1"/>
    <xf numFmtId="16" fontId="0" fillId="0" borderId="0" xfId="0" applyNumberFormat="1"/>
    <xf numFmtId="0" fontId="5" fillId="2" borderId="0" xfId="0" applyFont="1" applyFill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3" fillId="2" borderId="4" xfId="0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left" indent="1"/>
    </xf>
    <xf numFmtId="16" fontId="12" fillId="2" borderId="3" xfId="1" applyNumberFormat="1" applyFont="1" applyFill="1" applyBorder="1" applyAlignment="1">
      <alignment horizontal="left"/>
    </xf>
    <xf numFmtId="0" fontId="15" fillId="2" borderId="7" xfId="0" applyFont="1" applyFill="1" applyBorder="1" applyAlignment="1">
      <alignment horizontal="center" vertical="center"/>
    </xf>
    <xf numFmtId="16" fontId="12" fillId="2" borderId="2" xfId="1" applyNumberFormat="1" applyFont="1" applyFill="1" applyBorder="1" applyAlignment="1">
      <alignment horizontal="left"/>
    </xf>
    <xf numFmtId="14" fontId="14" fillId="2" borderId="8" xfId="0" applyNumberFormat="1" applyFont="1" applyFill="1" applyBorder="1" applyAlignment="1">
      <alignment horizontal="left" indent="1"/>
    </xf>
    <xf numFmtId="0" fontId="7" fillId="5" borderId="4" xfId="0" applyFont="1" applyFill="1" applyBorder="1" applyAlignment="1">
      <alignment horizontal="left" indent="1"/>
    </xf>
    <xf numFmtId="0" fontId="7" fillId="4" borderId="4" xfId="0" applyFont="1" applyFill="1" applyBorder="1" applyAlignment="1">
      <alignment horizontal="left" indent="1"/>
    </xf>
    <xf numFmtId="0" fontId="7" fillId="6" borderId="4" xfId="0" applyFont="1" applyFill="1" applyBorder="1" applyAlignment="1">
      <alignment horizontal="left" indent="1"/>
    </xf>
    <xf numFmtId="0" fontId="7" fillId="3" borderId="4" xfId="0" applyFont="1" applyFill="1" applyBorder="1" applyAlignment="1">
      <alignment horizontal="left" indent="1"/>
    </xf>
    <xf numFmtId="0" fontId="7" fillId="7" borderId="4" xfId="0" applyFont="1" applyFill="1" applyBorder="1" applyAlignment="1">
      <alignment horizontal="left" indent="1"/>
    </xf>
    <xf numFmtId="0" fontId="7" fillId="8" borderId="4" xfId="0" applyFont="1" applyFill="1" applyBorder="1" applyAlignment="1">
      <alignment horizontal="left" indent="1"/>
    </xf>
    <xf numFmtId="0" fontId="0" fillId="0" borderId="9" xfId="0" applyBorder="1"/>
    <xf numFmtId="9" fontId="0" fillId="0" borderId="10" xfId="2" applyFont="1" applyBorder="1"/>
    <xf numFmtId="9" fontId="0" fillId="0" borderId="11" xfId="2" applyFont="1" applyBorder="1"/>
    <xf numFmtId="0" fontId="0" fillId="0" borderId="12" xfId="0" applyBorder="1"/>
    <xf numFmtId="9" fontId="0" fillId="0" borderId="13" xfId="2" applyFont="1" applyBorder="1"/>
    <xf numFmtId="0" fontId="0" fillId="12" borderId="6" xfId="0" applyFill="1" applyBorder="1"/>
    <xf numFmtId="0" fontId="8" fillId="12" borderId="6" xfId="0" applyFont="1" applyFill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 readingOrder="1"/>
    </xf>
  </cellXfs>
  <cellStyles count="3">
    <cellStyle name="Normal" xfId="0" builtinId="0"/>
    <cellStyle name="Porcentagem" xfId="2" builtinId="5"/>
    <cellStyle name="Título" xfId="1" builtinId="15"/>
  </cellStyles>
  <dxfs count="142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0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.xml"/><Relationship Id="rId79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8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DE1-4FE8-BF09-D53F21CCBD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E1-4FE8-BF09-D53F21CCBD4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DE1-4FE8-BF09-D53F21CCBD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E1-4FE8-BF09-D53F21CCBD4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DE1-4FE8-BF09-D53F21CCBD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E1-4FE8-BF09-D53F21CCBD4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1-4FE8-BF09-D53F21CCBD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DE1-4FE8-BF09-D53F21CCBD4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DE1-4FE8-BF09-D53F21CCBD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DE1-4FE8-BF09-D53F21CCBD4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DE1-4FE8-BF09-D53F21CCBD4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DE1-4FE8-BF09-D53F21CCBD4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'17122020'!$M$5:$M$10</c:f>
              <c:numCache>
                <c:formatCode>General</c:formatCode>
                <c:ptCount val="6"/>
                <c:pt idx="0">
                  <c:v>81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1-4FE8-BF09-D53F21CCBD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5-46B4-87AC-C189192E9B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5-46B4-87AC-C189192E9B92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5-46B4-87AC-C189192E9B9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5-46B4-87AC-C189192E9B9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85-46B4-87AC-C189192E9B92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85-46B4-87AC-C189192E9B92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5-46B4-87AC-C189192E9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85-46B4-87AC-C189192E9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85-46B4-87AC-C189192E9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85-46B4-87AC-C189192E9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85-46B4-87AC-C189192E9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85-46B4-87AC-C189192E9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'25122020'!$M$5:$M$10</c:f>
              <c:numCache>
                <c:formatCode>General</c:formatCode>
                <c:ptCount val="6"/>
                <c:pt idx="0">
                  <c:v>101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85-46B4-87AC-C189192E9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8A-4FF9-ACEE-8F63C3ED7F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8A-4FF9-ACEE-8F63C3ED7F6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8A-4FF9-ACEE-8F63C3ED7F6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8A-4FF9-ACEE-8F63C3ED7F6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8A-4FF9-ACEE-8F63C3ED7F6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8A-4FF9-ACEE-8F63C3ED7F6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A-4FF9-ACEE-8F63C3ED7F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8A-4FF9-ACEE-8F63C3ED7F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8A-4FF9-ACEE-8F63C3ED7F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8A-4FF9-ACEE-8F63C3ED7F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8A-4FF9-ACEE-8F63C3ED7F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8A-4FF9-ACEE-8F63C3ED7F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'02012021 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'02012021 '!$M$5:$M$10</c:f>
              <c:numCache>
                <c:formatCode>General</c:formatCode>
                <c:ptCount val="6"/>
                <c:pt idx="0">
                  <c:v>38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39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8A-4FF9-ACEE-8F63C3ED7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5-4A73-82A9-DC27C74F3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5-4A73-82A9-DC27C74F398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5-4A73-82A9-DC27C74F398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25-4A73-82A9-DC27C74F398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25-4A73-82A9-DC27C74F3987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25-4A73-82A9-DC27C74F3987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5-4A73-82A9-DC27C74F39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25-4A73-82A9-DC27C74F39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25-4A73-82A9-DC27C74F39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25-4A73-82A9-DC27C74F39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25-4A73-82A9-DC27C74F39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25-4A73-82A9-DC27C74F39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'14012021'!$M$5:$M$10</c:f>
              <c:numCache>
                <c:formatCode>General</c:formatCode>
                <c:ptCount val="6"/>
                <c:pt idx="0">
                  <c:v>38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5-4A73-82A9-DC27C74F39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00-47B8-9083-30629C8472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00-47B8-9083-30629C8472E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00-47B8-9083-30629C8472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00-47B8-9083-30629C8472E5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00-47B8-9083-30629C8472E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00-47B8-9083-30629C8472E5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0-47B8-9083-30629C8472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200-47B8-9083-30629C8472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200-47B8-9083-30629C847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200-47B8-9083-30629C8472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200-47B8-9083-30629C8472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200-47B8-9083-30629C8472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'22012021'!$M$5:$M$10</c:f>
              <c:numCache>
                <c:formatCode>General</c:formatCode>
                <c:ptCount val="6"/>
                <c:pt idx="0">
                  <c:v>118</c:v>
                </c:pt>
                <c:pt idx="1">
                  <c:v>19</c:v>
                </c:pt>
                <c:pt idx="2">
                  <c:v>4</c:v>
                </c:pt>
                <c:pt idx="3">
                  <c:v>19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0-47B8-9083-30629C8472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1-4C56-8D1A-0D32CB7D1F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01-4C56-8D1A-0D32CB7D1F6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01-4C56-8D1A-0D32CB7D1F6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01-4C56-8D1A-0D32CB7D1F60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01-4C56-8D1A-0D32CB7D1F6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01-4C56-8D1A-0D32CB7D1F60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01-4C56-8D1A-0D32CB7D1F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01-4C56-8D1A-0D32CB7D1F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01-4C56-8D1A-0D32CB7D1F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01-4C56-8D1A-0D32CB7D1F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01-4C56-8D1A-0D32CB7D1F6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01-4C56-8D1A-0D32CB7D1F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'30012021'!$M$5:$M$10</c:f>
              <c:numCache>
                <c:formatCode>General</c:formatCode>
                <c:ptCount val="6"/>
                <c:pt idx="0">
                  <c:v>122</c:v>
                </c:pt>
                <c:pt idx="1">
                  <c:v>12</c:v>
                </c:pt>
                <c:pt idx="2">
                  <c:v>0</c:v>
                </c:pt>
                <c:pt idx="3">
                  <c:v>18</c:v>
                </c:pt>
                <c:pt idx="4">
                  <c:v>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1-4C56-8D1A-0D32CB7D1F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7-47E3-8E92-408B82D3FD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7-47E3-8E92-408B82D3FD2E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7-47E3-8E92-408B82D3FD2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87-47E3-8E92-408B82D3FD2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87-47E3-8E92-408B82D3FD2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87-47E3-8E92-408B82D3FD2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7-47E3-8E92-408B82D3F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E87-47E3-8E92-408B82D3FD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E87-47E3-8E92-408B82D3FD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E87-47E3-8E92-408B82D3FD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E87-47E3-8E92-408B82D3FD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E87-47E3-8E92-408B82D3FD2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'07022021'!$M$5:$M$10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7-47E3-8E92-408B82D3FD2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E-4DFA-BFE6-1B32E63382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E-4DFA-BFE6-1B32E63382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E-4DFA-BFE6-1B32E63382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E-4DFA-BFE6-1B32E63382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E-4DFA-BFE6-1B32E63382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E-4DFA-BFE6-1B32E633829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5E-4DFA-BFE6-1B32E6338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'15022021'!$M$5:$M$10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E-4DFA-BFE6-1B32E6338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B-4FC8-A413-C4CAE7B1A4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B-4FC8-A413-C4CAE7B1A4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B-4FC8-A413-C4CAE7B1A4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3B-4FC8-A413-C4CAE7B1A4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3B-4FC8-A413-C4CAE7B1A4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3B-4FC8-A413-C4CAE7B1A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'15022021'!$M$68:$M$73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B-4FC8-A413-C4CAE7B1A4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7-44FE-AD50-F42876C4FB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7-44FE-AD50-F42876C4FB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7-44FE-AD50-F42876C4FB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7-44FE-AD50-F42876C4FB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67-44FE-AD50-F42876C4FB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67-44FE-AD50-F42876C4FBA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4FE-AD50-F42876C4F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'24022021'!$M$5:$M$10</c:f>
              <c:numCache>
                <c:formatCode>General</c:formatCode>
                <c:ptCount val="6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67-44FE-AD50-F42876C4FB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6-40DB-B5F7-92627EF22C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6-40DB-B5F7-92627EF22C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6-40DB-B5F7-92627EF22C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6-40DB-B5F7-92627EF22C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6-40DB-B5F7-92627EF22C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6-40DB-B5F7-92627EF22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'24022021'!$M$68:$M$73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6-40DB-B5F7-92627EF22C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20D-B0DF-A7BA062F66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20D-B0DF-A7BA062F66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20D-B0DF-A7BA062F66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20D-B0DF-A7BA062F66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20D-B0DF-A7BA062F66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7-420D-B0DF-A7BA062F661B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7-420D-B0DF-A7BA062F6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'03032021'!$M$5:$M$10</c:f>
              <c:numCache>
                <c:formatCode>General</c:formatCode>
                <c:ptCount val="6"/>
                <c:pt idx="0">
                  <c:v>75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F7-420D-B0DF-A7BA062F66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6-4394-9910-C769536C07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394-9910-C769536C07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6-4394-9910-C769536C07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6-4394-9910-C769536C07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6-4394-9910-C769536C07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6-4394-9910-C769536C07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'03032021'!$M$68:$M$73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B6-4394-9910-C769536C07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4-4E72-84B0-FF4E0AB085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4-4E72-84B0-FF4E0AB085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4-4E72-84B0-FF4E0AB085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14-4E72-84B0-FF4E0AB085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14-4E72-84B0-FF4E0AB085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14-4E72-84B0-FF4E0AB085C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4-4E72-84B0-FF4E0AB08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'11032021'!$M$5:$M$10</c:f>
              <c:numCache>
                <c:formatCode>General</c:formatCode>
                <c:ptCount val="6"/>
                <c:pt idx="0">
                  <c:v>93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14-4E72-84B0-FF4E0AB085C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8-4907-A6CA-2E13971893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8-4907-A6CA-2E13971893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18-4907-A6CA-2E13971893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8-4907-A6CA-2E13971893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18-4907-A6CA-2E13971893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18-4907-A6CA-2E1397189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'11032021'!$M$68:$M$73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18-4907-A6CA-2E13971893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E-4CE6-AFFE-D2C11FB18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E-4CE6-AFFE-D2C11FB18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E-4CE6-AFFE-D2C11FB18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E-4CE6-AFFE-D2C11FB18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E-4CE6-AFFE-D2C11FB18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E-4CE6-AFFE-D2C11FB1809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E-4CE6-AFFE-D2C11FB18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'19 03 2021'!$M$5:$M$10</c:f>
              <c:numCache>
                <c:formatCode>General</c:formatCode>
                <c:ptCount val="6"/>
                <c:pt idx="0">
                  <c:v>113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8E-4CE6-AFFE-D2C11FB1809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4-403D-B791-136BBE2083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4-403D-B791-136BBE2083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4-403D-B791-136BBE2083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4-403D-B791-136BBE2083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4-403D-B791-136BBE2083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4-403D-B791-136BBE208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'19 03 2021'!$M$68:$M$73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4-403D-B791-136BBE2083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D-4696-AC5B-07D52332E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D-4696-AC5B-07D52332E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1D-4696-AC5B-07D52332E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1D-4696-AC5B-07D52332E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1D-4696-AC5B-07D52332E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1D-4696-AC5B-07D52332E65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D-4696-AC5B-07D52332E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03 2021'!$M$5:$M$10</c:f>
              <c:numCache>
                <c:formatCode>General</c:formatCode>
                <c:ptCount val="6"/>
                <c:pt idx="0">
                  <c:v>139</c:v>
                </c:pt>
                <c:pt idx="1">
                  <c:v>23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D-4696-AC5B-07D52332E6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2-46DC-B232-9F87E8C3CE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2-46DC-B232-9F87E8C3CE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2-46DC-B232-9F87E8C3CE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2-46DC-B232-9F87E8C3CE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D2-46DC-B232-9F87E8C3CE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D2-46DC-B232-9F87E8C3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'27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2-46DC-B232-9F87E8C3CE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2-49DE-99AD-8921FDB304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2-49DE-99AD-8921FDB3048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2-49DE-99AD-8921FDB3048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92-49DE-99AD-8921FDB3048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2-49DE-99AD-8921FDB3048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92-49DE-99AD-8921FDB30481}"/>
              </c:ext>
            </c:extLst>
          </c:dPt>
          <c:dLbls>
            <c:dLbl>
              <c:idx val="0"/>
              <c:layout>
                <c:manualLayout>
                  <c:x val="4.6967888234433148E-3"/>
                  <c:y val="1.39688045978654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92-49DE-99AD-8921FDB30481}"/>
                </c:ext>
              </c:extLst>
            </c:dLbl>
            <c:dLbl>
              <c:idx val="1"/>
              <c:layout>
                <c:manualLayout>
                  <c:x val="-3.3362990833321455E-3"/>
                  <c:y val="1.24820653659325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92-49DE-99AD-8921FDB30481}"/>
                </c:ext>
              </c:extLst>
            </c:dLbl>
            <c:dLbl>
              <c:idx val="2"/>
              <c:layout>
                <c:manualLayout>
                  <c:x val="-1.2628982412944153E-2"/>
                  <c:y val="4.175298296477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92-49DE-99AD-8921FDB30481}"/>
                </c:ext>
              </c:extLst>
            </c:dLbl>
            <c:dLbl>
              <c:idx val="4"/>
              <c:layout>
                <c:manualLayout>
                  <c:x val="2.1080578138011209E-2"/>
                  <c:y val="-2.931766175816331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92-49DE-99AD-8921FDB30481}"/>
                </c:ext>
              </c:extLst>
            </c:dLbl>
            <c:dLbl>
              <c:idx val="5"/>
              <c:layout>
                <c:manualLayout>
                  <c:x val="2.6172800294629504E-2"/>
                  <c:y val="-1.58699170538641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92-49DE-99AD-8921FDB3048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2022'!$K$5:$K$10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02 2022'!$M$5:$M$10</c:f>
              <c:numCache>
                <c:formatCode>0%</c:formatCode>
                <c:ptCount val="6"/>
                <c:pt idx="0">
                  <c:v>0.69298245614035092</c:v>
                </c:pt>
                <c:pt idx="1">
                  <c:v>7.8947368421052627E-2</c:v>
                </c:pt>
                <c:pt idx="2">
                  <c:v>0.14035087719298245</c:v>
                </c:pt>
                <c:pt idx="3">
                  <c:v>8.771929824561403E-3</c:v>
                </c:pt>
                <c:pt idx="4">
                  <c:v>8.771929824561403E-3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9DE-99AD-8921FDB3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0-476E-8081-1F9CE4CE08B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0-476E-8081-1F9CE4CE08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0-476E-8081-1F9CE4CE08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0-476E-8081-1F9CE4CE08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0-476E-8081-1F9CE4CE08B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0-476E-8081-1F9CE4CE08B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0-476E-8081-1F9CE4CE0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02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02 2022'!$L$5:$L$10</c:f>
              <c:numCache>
                <c:formatCode>0%</c:formatCode>
                <c:ptCount val="6"/>
                <c:pt idx="0">
                  <c:v>0.68159203980099503</c:v>
                </c:pt>
                <c:pt idx="1">
                  <c:v>8.45771144278607E-2</c:v>
                </c:pt>
                <c:pt idx="2">
                  <c:v>6.965174129353234E-2</c:v>
                </c:pt>
                <c:pt idx="3">
                  <c:v>0</c:v>
                </c:pt>
                <c:pt idx="4">
                  <c:v>8.45771144278607E-2</c:v>
                </c:pt>
                <c:pt idx="5">
                  <c:v>7.9601990049751242E-2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C0-476E-8081-1F9CE4CE08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F-466A-8651-7F0F104968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F-466A-8651-7F0F1049687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F-466A-8651-7F0F1049687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F-466A-8651-7F0F1049687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F-466A-8651-7F0F1049687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F-466A-8651-7F0F1049687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F-466A-8651-7F0F104968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03 2022'!$L$5:$L$10</c:f>
              <c:numCache>
                <c:formatCode>0%</c:formatCode>
                <c:ptCount val="6"/>
                <c:pt idx="0">
                  <c:v>0.80540540540540539</c:v>
                </c:pt>
                <c:pt idx="1">
                  <c:v>5.4054054054054057E-2</c:v>
                </c:pt>
                <c:pt idx="2">
                  <c:v>3.783783783783784E-2</c:v>
                </c:pt>
                <c:pt idx="3">
                  <c:v>0</c:v>
                </c:pt>
                <c:pt idx="4">
                  <c:v>0</c:v>
                </c:pt>
                <c:pt idx="5">
                  <c:v>0.10270270270270271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4F-466A-8651-7F0F10496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C-45AE-A57F-F1B39533685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C-45AE-A57F-F1B39533685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C-45AE-A57F-F1B39533685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C-45AE-A57F-F1B39533685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C-45AE-A57F-F1B39533685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5C-45AE-A57F-F1B39533685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5C-45AE-A57F-F1B3953368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03 2022'!$L$5:$L$10</c:f>
              <c:numCache>
                <c:formatCode>0%</c:formatCode>
                <c:ptCount val="6"/>
                <c:pt idx="0">
                  <c:v>0.66878980891719741</c:v>
                </c:pt>
                <c:pt idx="1">
                  <c:v>0.11464968152866242</c:v>
                </c:pt>
                <c:pt idx="2">
                  <c:v>8.2802547770700632E-2</c:v>
                </c:pt>
                <c:pt idx="3">
                  <c:v>3.1847133757961783E-2</c:v>
                </c:pt>
                <c:pt idx="4">
                  <c:v>3.1847133757961783E-2</c:v>
                </c:pt>
                <c:pt idx="5">
                  <c:v>7.0063694267515922E-2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5C-45AE-A57F-F1B3953368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8-4973-91C8-683B624D86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8-4973-91C8-683B624D862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8-4973-91C8-683B624D862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C8-4973-91C8-683B624D862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C8-4973-91C8-683B624D862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C8-4973-91C8-683B624D8625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C8-4973-91C8-683B624D8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03 2022'!$L$5:$L$10</c:f>
              <c:numCache>
                <c:formatCode>0%</c:formatCode>
                <c:ptCount val="6"/>
                <c:pt idx="0">
                  <c:v>0.82564102564102559</c:v>
                </c:pt>
                <c:pt idx="1">
                  <c:v>8.2051282051282051E-2</c:v>
                </c:pt>
                <c:pt idx="2">
                  <c:v>3.0769230769230771E-2</c:v>
                </c:pt>
                <c:pt idx="3">
                  <c:v>0</c:v>
                </c:pt>
                <c:pt idx="4">
                  <c:v>0</c:v>
                </c:pt>
                <c:pt idx="5">
                  <c:v>6.1538461538461542E-2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C8-4973-91C8-683B624D86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6-4364-A10D-CC40F036845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6-4364-A10D-CC40F036845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6-4364-A10D-CC40F036845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6-4364-A10D-CC40F036845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6-4364-A10D-CC40F03684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66-4364-A10D-CC40F036845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66-4364-A10D-CC40F0368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03 2022'!$L$5:$L$10</c:f>
              <c:numCache>
                <c:formatCode>0%</c:formatCode>
                <c:ptCount val="6"/>
                <c:pt idx="0">
                  <c:v>0.84390243902439022</c:v>
                </c:pt>
                <c:pt idx="1">
                  <c:v>7.3170731707317069E-2</c:v>
                </c:pt>
                <c:pt idx="2">
                  <c:v>3.4146341463414637E-2</c:v>
                </c:pt>
                <c:pt idx="3">
                  <c:v>1.9512195121951219E-2</c:v>
                </c:pt>
                <c:pt idx="4">
                  <c:v>0</c:v>
                </c:pt>
                <c:pt idx="5">
                  <c:v>2.9268292682926831E-2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66-4364-A10D-CC40F03684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F-45F4-94AC-6BD4E82F954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F-45F4-94AC-6BD4E82F954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F-45F4-94AC-6BD4E82F954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F-45F4-94AC-6BD4E82F954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F-45F4-94AC-6BD4E82F954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F-45F4-94AC-6BD4E82F954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6F-45F4-94AC-6BD4E82F9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04 2022'!$L$5:$L$10</c:f>
              <c:numCache>
                <c:formatCode>0%</c:formatCode>
                <c:ptCount val="6"/>
                <c:pt idx="0">
                  <c:v>0.87447698744769875</c:v>
                </c:pt>
                <c:pt idx="1">
                  <c:v>7.1129707112970716E-2</c:v>
                </c:pt>
                <c:pt idx="2">
                  <c:v>2.9288702928870293E-2</c:v>
                </c:pt>
                <c:pt idx="3">
                  <c:v>0</c:v>
                </c:pt>
                <c:pt idx="4">
                  <c:v>0</c:v>
                </c:pt>
                <c:pt idx="5">
                  <c:v>2.5104602510460251E-2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6F-45F4-94AC-6BD4E82F9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E-4835-8780-F7460D4196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E-4835-8780-F7460D4196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E-4835-8780-F7460D4196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E-4835-8780-F7460D4196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DE-4835-8780-F7460D4196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DE-4835-8780-F7460D4196FE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DE-4835-8780-F7460D419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04 2022'!$L$5:$L$10</c:f>
              <c:numCache>
                <c:formatCode>0%</c:formatCode>
                <c:ptCount val="6"/>
                <c:pt idx="0">
                  <c:v>0.78244274809160308</c:v>
                </c:pt>
                <c:pt idx="1">
                  <c:v>9.5419847328244281E-2</c:v>
                </c:pt>
                <c:pt idx="2">
                  <c:v>7.2519083969465645E-2</c:v>
                </c:pt>
                <c:pt idx="3">
                  <c:v>0</c:v>
                </c:pt>
                <c:pt idx="4">
                  <c:v>4.1984732824427481E-2</c:v>
                </c:pt>
                <c:pt idx="5">
                  <c:v>7.6335877862595417E-3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E-4835-8780-F7460D4196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A-4D15-9496-142BC52B9A0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A-4D15-9496-142BC52B9A0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A-4D15-9496-142BC52B9A0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A-4D15-9496-142BC52B9A0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A-4D15-9496-142BC52B9A0A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A-4D15-9496-142BC52B9A0A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EA-4D15-9496-142BC52B9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'18 04 2022'!$L$5:$L$10</c:f>
              <c:numCache>
                <c:formatCode>0%</c:formatCode>
                <c:ptCount val="6"/>
                <c:pt idx="0">
                  <c:v>0.84360189573459721</c:v>
                </c:pt>
                <c:pt idx="1">
                  <c:v>0.12322274881516587</c:v>
                </c:pt>
                <c:pt idx="2">
                  <c:v>2.3696682464454975E-2</c:v>
                </c:pt>
                <c:pt idx="3">
                  <c:v>0</c:v>
                </c:pt>
                <c:pt idx="4">
                  <c:v>0</c:v>
                </c:pt>
                <c:pt idx="5">
                  <c:v>9.4786729857819912E-3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EA-4D15-9496-142BC52B9A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8-4F4F-99B5-0EF4A818CC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8-4F4F-99B5-0EF4A818CC1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8-4F4F-99B5-0EF4A818CC1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D8-4F4F-99B5-0EF4A818CC1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D8-4F4F-99B5-0EF4A818CC1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8-4F4F-99B5-0EF4A818CC10}"/>
              </c:ext>
            </c:extLst>
          </c:dPt>
          <c:dLbls>
            <c:dLbl>
              <c:idx val="0"/>
              <c:layout>
                <c:manualLayout>
                  <c:x val="4.1124466212805438E-2"/>
                  <c:y val="-3.18910652114018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D8-4F4F-99B5-0EF4A818CC10}"/>
                </c:ext>
              </c:extLst>
            </c:dLbl>
            <c:dLbl>
              <c:idx val="1"/>
              <c:layout>
                <c:manualLayout>
                  <c:x val="-2.0420799396064414E-2"/>
                  <c:y val="-1.55405082134987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D8-4F4F-99B5-0EF4A818CC10}"/>
                </c:ext>
              </c:extLst>
            </c:dLbl>
            <c:dLbl>
              <c:idx val="2"/>
              <c:layout>
                <c:manualLayout>
                  <c:x val="5.9063354116357649E-3"/>
                  <c:y val="4.5303339347748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D8-4F4F-99B5-0EF4A818CC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D8-4F4F-99B5-0EF4A818CC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D8-4F4F-99B5-0EF4A818CC10}"/>
                </c:ext>
              </c:extLst>
            </c:dLbl>
            <c:dLbl>
              <c:idx val="5"/>
              <c:layout>
                <c:manualLayout>
                  <c:x val="2.5172926586354148E-2"/>
                  <c:y val="-1.05845274632934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D8-4F4F-99B5-0EF4A818C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04 2022'!$L$5:$L$10</c:f>
              <c:numCache>
                <c:formatCode>0%</c:formatCode>
                <c:ptCount val="6"/>
                <c:pt idx="0">
                  <c:v>0.82846715328467158</c:v>
                </c:pt>
                <c:pt idx="1">
                  <c:v>0.10948905109489052</c:v>
                </c:pt>
                <c:pt idx="2">
                  <c:v>3.2846715328467155E-2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D8-4F4F-99B5-0EF4A818CC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7-4592-9804-228779E1EF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7-4592-9804-228779E1EF4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7-4592-9804-228779E1EF4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7-4592-9804-228779E1EF4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7-4592-9804-228779E1EF4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07-4592-9804-228779E1EF44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7-4592-9804-228779E1EF44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7-4592-9804-228779E1EF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07-4592-9804-228779E1EF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07-4592-9804-228779E1EF44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07-4592-9804-228779E1E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05 2022'!$L$5:$L$10</c:f>
              <c:numCache>
                <c:formatCode>0%</c:formatCode>
                <c:ptCount val="6"/>
                <c:pt idx="0">
                  <c:v>0.85317460317460314</c:v>
                </c:pt>
                <c:pt idx="1">
                  <c:v>6.7460317460317457E-2</c:v>
                </c:pt>
                <c:pt idx="2">
                  <c:v>1.1904761904761904E-2</c:v>
                </c:pt>
                <c:pt idx="3">
                  <c:v>0</c:v>
                </c:pt>
                <c:pt idx="4">
                  <c:v>0</c:v>
                </c:pt>
                <c:pt idx="5">
                  <c:v>6.7460317460317457E-2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07-4592-9804-228779E1E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F-4812-98C8-A660006834B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F-4812-98C8-A660006834B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F-4812-98C8-A660006834B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1F-4812-98C8-A660006834B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1F-4812-98C8-A660006834B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1F-4812-98C8-A660006834BB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1F-4812-98C8-A660006834BB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F-4812-98C8-A660006834BB}"/>
                </c:ext>
              </c:extLst>
            </c:dLbl>
            <c:dLbl>
              <c:idx val="2"/>
              <c:layout>
                <c:manualLayout>
                  <c:x val="9.6124898245039583E-3"/>
                  <c:y val="-5.719560340935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F-4812-98C8-A660006834B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F-4812-98C8-A660006834B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1F-4812-98C8-A660006834BB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F-4812-98C8-A66000683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'09 05 2022'!$L$5:$L$10</c:f>
              <c:numCache>
                <c:formatCode>0%</c:formatCode>
                <c:ptCount val="6"/>
                <c:pt idx="0">
                  <c:v>0.91532258064516125</c:v>
                </c:pt>
                <c:pt idx="1">
                  <c:v>2.8225806451612902E-2</c:v>
                </c:pt>
                <c:pt idx="2">
                  <c:v>1.2096774193548387E-2</c:v>
                </c:pt>
                <c:pt idx="3">
                  <c:v>0</c:v>
                </c:pt>
                <c:pt idx="4">
                  <c:v>0</c:v>
                </c:pt>
                <c:pt idx="5">
                  <c:v>4.4354838709677422E-2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1F-4812-98C8-A660006834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80-4893-8ED5-5400286BE7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0-4893-8ED5-5400286BE7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80-4893-8ED5-5400286BE7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80-4893-8ED5-5400286BE7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80-4893-8ED5-5400286BE7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80-4893-8ED5-5400286BE7A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0-4893-8ED5-5400286BE7A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0-4893-8ED5-5400286BE7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0-4893-8ED5-5400286BE7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0-4893-8ED5-5400286BE7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0-4893-8ED5-5400286BE7A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0-4893-8ED5-5400286BE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'16 05 2022'!$L$5:$L$10</c:f>
              <c:numCache>
                <c:formatCode>0%</c:formatCode>
                <c:ptCount val="6"/>
                <c:pt idx="0">
                  <c:v>0.88444444444444448</c:v>
                </c:pt>
                <c:pt idx="1">
                  <c:v>3.111111111111111E-2</c:v>
                </c:pt>
                <c:pt idx="2">
                  <c:v>3.5555555555555556E-2</c:v>
                </c:pt>
                <c:pt idx="3">
                  <c:v>0</c:v>
                </c:pt>
                <c:pt idx="4">
                  <c:v>0</c:v>
                </c:pt>
                <c:pt idx="5">
                  <c:v>4.8888888888888891E-2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80-4893-8ED5-5400286BE7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A-4C15-93C0-3A5860216B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A-4C15-93C0-3A5860216B9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A-4C15-93C0-3A5860216B9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A-4C15-93C0-3A5860216B9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CA-4C15-93C0-3A5860216B9C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CA-4C15-93C0-3A5860216B9C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A-4C15-93C0-3A5860216B9C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A-4C15-93C0-3A5860216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A-4C15-93C0-3A5860216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CA-4C15-93C0-3A5860216B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CA-4C15-93C0-3A5860216B9C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CA-4C15-93C0-3A5860216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05 2022 '!$L$5:$L$10</c:f>
              <c:numCache>
                <c:formatCode>0%</c:formatCode>
                <c:ptCount val="6"/>
                <c:pt idx="0">
                  <c:v>0.84549356223175964</c:v>
                </c:pt>
                <c:pt idx="1">
                  <c:v>8.5836909871244635E-2</c:v>
                </c:pt>
                <c:pt idx="2">
                  <c:v>2.1459227467811159E-2</c:v>
                </c:pt>
                <c:pt idx="3">
                  <c:v>0</c:v>
                </c:pt>
                <c:pt idx="4">
                  <c:v>0</c:v>
                </c:pt>
                <c:pt idx="5">
                  <c:v>4.7210300429184553E-2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CA-4C15-93C0-3A5860216B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0-485E-9893-BC284E4017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0-485E-9893-BC284E40174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20-485E-9893-BC284E4017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20-485E-9893-BC284E4017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20-485E-9893-BC284E4017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20-485E-9893-BC284E40174F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0-485E-9893-BC284E40174F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20-485E-9893-BC284E4017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20-485E-9893-BC284E4017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20-485E-9893-BC284E40174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20-485E-9893-BC284E40174F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20-485E-9893-BC284E401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05 2022  '!$L$5:$L$10</c:f>
              <c:numCache>
                <c:formatCode>0%</c:formatCode>
                <c:ptCount val="6"/>
                <c:pt idx="0">
                  <c:v>0.90322580645161288</c:v>
                </c:pt>
                <c:pt idx="1">
                  <c:v>2.3041474654377881E-2</c:v>
                </c:pt>
                <c:pt idx="2">
                  <c:v>3.2258064516129031E-2</c:v>
                </c:pt>
                <c:pt idx="3">
                  <c:v>0</c:v>
                </c:pt>
                <c:pt idx="4">
                  <c:v>0</c:v>
                </c:pt>
                <c:pt idx="5">
                  <c:v>4.1474654377880185E-2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20-485E-9893-BC284E4017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C-496B-A855-AC4740C58C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C-496B-A855-AC4740C58C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C-496B-A855-AC4740C58C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C-496B-A855-AC4740C58C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C-496B-A855-AC4740C58C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C-496B-A855-AC4740C58CFE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FC-496B-A855-AC4740C58CFE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FC-496B-A855-AC4740C58C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FC-496B-A855-AC4740C58C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FC-496B-A855-AC4740C58C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FC-496B-A855-AC4740C58CFE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FC-496B-A855-AC4740C58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'06 06 2022   '!$L$5:$L$10</c:f>
              <c:numCache>
                <c:formatCode>0%</c:formatCode>
                <c:ptCount val="6"/>
                <c:pt idx="0">
                  <c:v>0.9211822660098522</c:v>
                </c:pt>
                <c:pt idx="1">
                  <c:v>1.9704433497536946E-2</c:v>
                </c:pt>
                <c:pt idx="2">
                  <c:v>2.9556650246305417E-2</c:v>
                </c:pt>
                <c:pt idx="3">
                  <c:v>0</c:v>
                </c:pt>
                <c:pt idx="4">
                  <c:v>0</c:v>
                </c:pt>
                <c:pt idx="5">
                  <c:v>2.9556650246305417E-2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FC-496B-A855-AC4740C58C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D-45AE-AC05-8F712CDDBA9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D-45AE-AC05-8F712CDDBA9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CD-45AE-AC05-8F712CDDBA9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CD-45AE-AC05-8F712CDDBA9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CD-45AE-AC05-8F712CDDBA9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CD-45AE-AC05-8F712CDDBA9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CD-45AE-AC05-8F712CDDBA9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CD-45AE-AC05-8F712CDDBA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CD-45AE-AC05-8F712CDDBA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CD-45AE-AC05-8F712CDDBA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CD-45AE-AC05-8F712CDDBA9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CD-45AE-AC05-8F712CDDB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'13 06 2022  '!$L$5:$L$10</c:f>
              <c:numCache>
                <c:formatCode>0%</c:formatCode>
                <c:ptCount val="6"/>
                <c:pt idx="0">
                  <c:v>0.85929648241206025</c:v>
                </c:pt>
                <c:pt idx="1">
                  <c:v>2.0100502512562814E-2</c:v>
                </c:pt>
                <c:pt idx="2">
                  <c:v>6.5326633165829151E-2</c:v>
                </c:pt>
                <c:pt idx="3">
                  <c:v>0</c:v>
                </c:pt>
                <c:pt idx="4">
                  <c:v>0</c:v>
                </c:pt>
                <c:pt idx="5">
                  <c:v>5.5276381909547742E-2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CD-45AE-AC05-8F712CDDBA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6-4D76-AA9B-AC750793A3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6-4D76-AA9B-AC750793A3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6-4D76-AA9B-AC750793A3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6-4D76-AA9B-AC750793A3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6-4D76-AA9B-AC750793A3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6-4D76-AA9B-AC750793A3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'20 06 2022  '!$L$5:$L$10</c:f>
              <c:numCache>
                <c:formatCode>0%</c:formatCode>
                <c:ptCount val="6"/>
                <c:pt idx="0">
                  <c:v>0.87134502923976609</c:v>
                </c:pt>
                <c:pt idx="1">
                  <c:v>4.6783625730994149E-2</c:v>
                </c:pt>
                <c:pt idx="2">
                  <c:v>1.1695906432748537E-2</c:v>
                </c:pt>
                <c:pt idx="3">
                  <c:v>2.9239766081871343E-2</c:v>
                </c:pt>
                <c:pt idx="4">
                  <c:v>0</c:v>
                </c:pt>
                <c:pt idx="5">
                  <c:v>4.0935672514619881E-2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C6-4D76-AA9B-AC750793A3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9-4A1A-90D7-52340F6906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9-4A1A-90D7-52340F69065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9-4A1A-90D7-52340F69065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A9-4A1A-90D7-52340F69065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A9-4A1A-90D7-52340F69065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A9-4A1A-90D7-52340F690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06 2022  '!$L$5:$L$10</c:f>
              <c:numCache>
                <c:formatCode>0%</c:formatCode>
                <c:ptCount val="6"/>
                <c:pt idx="0">
                  <c:v>0.8523489932885906</c:v>
                </c:pt>
                <c:pt idx="1">
                  <c:v>6.0402684563758392E-2</c:v>
                </c:pt>
                <c:pt idx="2">
                  <c:v>2.6845637583892617E-2</c:v>
                </c:pt>
                <c:pt idx="3">
                  <c:v>0</c:v>
                </c:pt>
                <c:pt idx="4">
                  <c:v>0</c:v>
                </c:pt>
                <c:pt idx="5">
                  <c:v>6.0402684563758392E-2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A9-4A1A-90D7-52340F6906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A-4982-BD7E-CA39CC9F305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A-4982-BD7E-CA39CC9F305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4A-4982-BD7E-CA39CC9F305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4A-4982-BD7E-CA39CC9F305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4A-4982-BD7E-CA39CC9F3053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4A-4982-BD7E-CA39CC9F3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07 2022'!$L$5:$L$10</c:f>
              <c:numCache>
                <c:formatCode>0%</c:formatCode>
                <c:ptCount val="6"/>
                <c:pt idx="0">
                  <c:v>0.8</c:v>
                </c:pt>
                <c:pt idx="1">
                  <c:v>0</c:v>
                </c:pt>
                <c:pt idx="2">
                  <c:v>2.8571428571428571E-2</c:v>
                </c:pt>
                <c:pt idx="3">
                  <c:v>0</c:v>
                </c:pt>
                <c:pt idx="4">
                  <c:v>0</c:v>
                </c:pt>
                <c:pt idx="5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4A-4982-BD7E-CA39CC9F30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- 1°semestre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Acumulado!$C$3:$Z$3</c:f>
              <c:numCache>
                <c:formatCode>General</c:formatCode>
                <c:ptCount val="24"/>
                <c:pt idx="0">
                  <c:v>81</c:v>
                </c:pt>
                <c:pt idx="1">
                  <c:v>101</c:v>
                </c:pt>
                <c:pt idx="2">
                  <c:v>38</c:v>
                </c:pt>
                <c:pt idx="3">
                  <c:v>38</c:v>
                </c:pt>
                <c:pt idx="4">
                  <c:v>118</c:v>
                </c:pt>
                <c:pt idx="5">
                  <c:v>122</c:v>
                </c:pt>
                <c:pt idx="6">
                  <c:v>10</c:v>
                </c:pt>
                <c:pt idx="7">
                  <c:v>9</c:v>
                </c:pt>
                <c:pt idx="8">
                  <c:v>14</c:v>
                </c:pt>
                <c:pt idx="9">
                  <c:v>75</c:v>
                </c:pt>
                <c:pt idx="10">
                  <c:v>93</c:v>
                </c:pt>
                <c:pt idx="11">
                  <c:v>113</c:v>
                </c:pt>
                <c:pt idx="12">
                  <c:v>139</c:v>
                </c:pt>
                <c:pt idx="13">
                  <c:v>49</c:v>
                </c:pt>
                <c:pt idx="14">
                  <c:v>20</c:v>
                </c:pt>
                <c:pt idx="15">
                  <c:v>86</c:v>
                </c:pt>
                <c:pt idx="16">
                  <c:v>109</c:v>
                </c:pt>
                <c:pt idx="17">
                  <c:v>113</c:v>
                </c:pt>
                <c:pt idx="18">
                  <c:v>119</c:v>
                </c:pt>
                <c:pt idx="19">
                  <c:v>100</c:v>
                </c:pt>
                <c:pt idx="20">
                  <c:v>92</c:v>
                </c:pt>
                <c:pt idx="21">
                  <c:v>93</c:v>
                </c:pt>
                <c:pt idx="22">
                  <c:v>95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8BE-BF8F-F19A994FC378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Acumulado!$C$4:$Z$4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19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12</c:v>
                </c:pt>
                <c:pt idx="10">
                  <c:v>9</c:v>
                </c:pt>
                <c:pt idx="11">
                  <c:v>23</c:v>
                </c:pt>
                <c:pt idx="12">
                  <c:v>23</c:v>
                </c:pt>
                <c:pt idx="13">
                  <c:v>41</c:v>
                </c:pt>
                <c:pt idx="14">
                  <c:v>6</c:v>
                </c:pt>
                <c:pt idx="15">
                  <c:v>7</c:v>
                </c:pt>
                <c:pt idx="16">
                  <c:v>19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B-48BE-BF8F-F19A994FC378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Acumulado!$C$5:$Z$5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15</c:v>
                </c:pt>
                <c:pt idx="10">
                  <c:v>8</c:v>
                </c:pt>
                <c:pt idx="11">
                  <c:v>18</c:v>
                </c:pt>
                <c:pt idx="12">
                  <c:v>5</c:v>
                </c:pt>
                <c:pt idx="13">
                  <c:v>7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B-48BE-BF8F-F19A994FC378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Acumulado!$C$6:$Z$6</c:f>
              <c:numCache>
                <c:formatCode>General</c:formatCode>
                <c:ptCount val="24"/>
                <c:pt idx="0">
                  <c:v>12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B-48BE-BF8F-F19A994FC378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Acumulado!$C$7:$Z$7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26</c:v>
                </c:pt>
                <c:pt idx="7">
                  <c:v>1</c:v>
                </c:pt>
                <c:pt idx="8">
                  <c:v>1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34</c:v>
                </c:pt>
                <c:pt idx="14">
                  <c:v>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B-48BE-BF8F-F19A994FC378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Acumulado!$C$8:$Z$8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19</c:v>
                </c:pt>
                <c:pt idx="5">
                  <c:v>21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12</c:v>
                </c:pt>
                <c:pt idx="10">
                  <c:v>11</c:v>
                </c:pt>
                <c:pt idx="11">
                  <c:v>37</c:v>
                </c:pt>
                <c:pt idx="12">
                  <c:v>47</c:v>
                </c:pt>
                <c:pt idx="13">
                  <c:v>15</c:v>
                </c:pt>
                <c:pt idx="14">
                  <c:v>12</c:v>
                </c:pt>
                <c:pt idx="15">
                  <c:v>45</c:v>
                </c:pt>
                <c:pt idx="16">
                  <c:v>37</c:v>
                </c:pt>
                <c:pt idx="17">
                  <c:v>41</c:v>
                </c:pt>
                <c:pt idx="18">
                  <c:v>20</c:v>
                </c:pt>
                <c:pt idx="19">
                  <c:v>21</c:v>
                </c:pt>
                <c:pt idx="20">
                  <c:v>14</c:v>
                </c:pt>
                <c:pt idx="21">
                  <c:v>14</c:v>
                </c:pt>
                <c:pt idx="22">
                  <c:v>15</c:v>
                </c:pt>
                <c:pt idx="2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6B-48BE-BF8F-F19A994F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ax val="44387"/>
          <c:min val="44180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9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- 2°semestre</a:t>
            </a:r>
          </a:p>
        </c:rich>
      </c:tx>
      <c:layout>
        <c:manualLayout>
          <c:xMode val="edge"/>
          <c:yMode val="edge"/>
          <c:x val="0.10965705297818547"/>
          <c:y val="5.3921568627450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Acumulado!$Z$3:$AU$3</c:f>
              <c:numCache>
                <c:formatCode>General</c:formatCode>
                <c:ptCount val="22"/>
                <c:pt idx="0">
                  <c:v>80</c:v>
                </c:pt>
                <c:pt idx="1">
                  <c:v>92</c:v>
                </c:pt>
                <c:pt idx="2">
                  <c:v>83</c:v>
                </c:pt>
                <c:pt idx="3">
                  <c:v>102</c:v>
                </c:pt>
                <c:pt idx="4">
                  <c:v>98</c:v>
                </c:pt>
                <c:pt idx="5">
                  <c:v>112</c:v>
                </c:pt>
                <c:pt idx="6">
                  <c:v>153</c:v>
                </c:pt>
                <c:pt idx="7">
                  <c:v>194</c:v>
                </c:pt>
                <c:pt idx="8">
                  <c:v>66</c:v>
                </c:pt>
                <c:pt idx="9">
                  <c:v>127</c:v>
                </c:pt>
                <c:pt idx="10">
                  <c:v>113</c:v>
                </c:pt>
                <c:pt idx="11">
                  <c:v>170</c:v>
                </c:pt>
                <c:pt idx="12">
                  <c:v>20</c:v>
                </c:pt>
                <c:pt idx="13">
                  <c:v>7</c:v>
                </c:pt>
                <c:pt idx="14">
                  <c:v>69</c:v>
                </c:pt>
                <c:pt idx="15">
                  <c:v>85</c:v>
                </c:pt>
                <c:pt idx="16">
                  <c:v>3</c:v>
                </c:pt>
                <c:pt idx="17">
                  <c:v>0</c:v>
                </c:pt>
                <c:pt idx="18">
                  <c:v>26</c:v>
                </c:pt>
                <c:pt idx="19">
                  <c:v>0</c:v>
                </c:pt>
                <c:pt idx="20">
                  <c:v>5</c:v>
                </c:pt>
                <c:pt idx="2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129-88E9-A7E5F247FF2F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Acumulado!$Z$4:$AU$4</c:f>
              <c:numCache>
                <c:formatCode>General</c:formatCode>
                <c:ptCount val="22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3-4129-88E9-A7E5F247FF2F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Acumulado!$Z$5:$AU$5</c:f>
              <c:numCache>
                <c:formatCode>General</c:formatCode>
                <c:ptCount val="2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3-4129-88E9-A7E5F247FF2F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Acumulado!$Z$6:$AU$6</c:f>
              <c:numCache>
                <c:formatCode>General</c:formatCode>
                <c:ptCount val="2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3-4129-88E9-A7E5F247FF2F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Acumulado!$Z$7:$AU$7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109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13</c:v>
                </c:pt>
                <c:pt idx="18">
                  <c:v>22</c:v>
                </c:pt>
                <c:pt idx="19">
                  <c:v>38</c:v>
                </c:pt>
                <c:pt idx="20">
                  <c:v>0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3-4129-88E9-A7E5F247FF2F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Acumulado!$Z$8:$AU$8</c:f>
              <c:numCache>
                <c:formatCode>General</c:formatCode>
                <c:ptCount val="22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19</c:v>
                </c:pt>
                <c:pt idx="5">
                  <c:v>28</c:v>
                </c:pt>
                <c:pt idx="6">
                  <c:v>36</c:v>
                </c:pt>
                <c:pt idx="7">
                  <c:v>18</c:v>
                </c:pt>
                <c:pt idx="8">
                  <c:v>7</c:v>
                </c:pt>
                <c:pt idx="9">
                  <c:v>26</c:v>
                </c:pt>
                <c:pt idx="10">
                  <c:v>20</c:v>
                </c:pt>
                <c:pt idx="11">
                  <c:v>21</c:v>
                </c:pt>
                <c:pt idx="12">
                  <c:v>1</c:v>
                </c:pt>
                <c:pt idx="13">
                  <c:v>1</c:v>
                </c:pt>
                <c:pt idx="14">
                  <c:v>28</c:v>
                </c:pt>
                <c:pt idx="15">
                  <c:v>20</c:v>
                </c:pt>
                <c:pt idx="16">
                  <c:v>6</c:v>
                </c:pt>
                <c:pt idx="17">
                  <c:v>1</c:v>
                </c:pt>
                <c:pt idx="18">
                  <c:v>6</c:v>
                </c:pt>
                <c:pt idx="19">
                  <c:v>7</c:v>
                </c:pt>
                <c:pt idx="20">
                  <c:v>2</c:v>
                </c:pt>
                <c:pt idx="2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3-4129-88E9-A7E5F247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in val="44378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7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Atendimento de irrigação. Planejando vs Executado - 1°semestre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Acumulado!$AV$3:$BS$3</c:f>
              <c:numCache>
                <c:formatCode>General</c:formatCode>
                <c:ptCount val="24"/>
                <c:pt idx="0">
                  <c:v>80</c:v>
                </c:pt>
                <c:pt idx="1">
                  <c:v>111</c:v>
                </c:pt>
                <c:pt idx="2">
                  <c:v>8</c:v>
                </c:pt>
                <c:pt idx="3">
                  <c:v>0</c:v>
                </c:pt>
                <c:pt idx="4">
                  <c:v>79</c:v>
                </c:pt>
                <c:pt idx="5">
                  <c:v>137</c:v>
                </c:pt>
                <c:pt idx="6">
                  <c:v>149</c:v>
                </c:pt>
                <c:pt idx="7">
                  <c:v>105</c:v>
                </c:pt>
                <c:pt idx="8">
                  <c:v>161</c:v>
                </c:pt>
                <c:pt idx="9">
                  <c:v>173</c:v>
                </c:pt>
                <c:pt idx="10">
                  <c:v>209</c:v>
                </c:pt>
                <c:pt idx="11">
                  <c:v>205</c:v>
                </c:pt>
                <c:pt idx="12">
                  <c:v>59</c:v>
                </c:pt>
                <c:pt idx="13">
                  <c:v>196</c:v>
                </c:pt>
                <c:pt idx="14">
                  <c:v>215</c:v>
                </c:pt>
                <c:pt idx="15">
                  <c:v>227</c:v>
                </c:pt>
                <c:pt idx="16">
                  <c:v>199</c:v>
                </c:pt>
                <c:pt idx="17">
                  <c:v>197</c:v>
                </c:pt>
                <c:pt idx="18">
                  <c:v>196</c:v>
                </c:pt>
                <c:pt idx="19">
                  <c:v>187</c:v>
                </c:pt>
                <c:pt idx="20">
                  <c:v>171</c:v>
                </c:pt>
                <c:pt idx="21">
                  <c:v>149</c:v>
                </c:pt>
                <c:pt idx="22">
                  <c:v>127</c:v>
                </c:pt>
                <c:pt idx="2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87B-A6D4-2AA16C6474CA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Acumulado!$AV$4:$BS$4</c:f>
              <c:numCache>
                <c:formatCode>General</c:formatCode>
                <c:ptCount val="24"/>
                <c:pt idx="0">
                  <c:v>18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17</c:v>
                </c:pt>
                <c:pt idx="6">
                  <c:v>10</c:v>
                </c:pt>
                <c:pt idx="7">
                  <c:v>18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25</c:v>
                </c:pt>
                <c:pt idx="12">
                  <c:v>10</c:v>
                </c:pt>
                <c:pt idx="13">
                  <c:v>27</c:v>
                </c:pt>
                <c:pt idx="14">
                  <c:v>17</c:v>
                </c:pt>
                <c:pt idx="15">
                  <c:v>7</c:v>
                </c:pt>
                <c:pt idx="16">
                  <c:v>7</c:v>
                </c:pt>
                <c:pt idx="17">
                  <c:v>20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87B-A6D4-2AA16C6474CA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Acumulado!$AV$5:$BS$5</c:f>
              <c:numCache>
                <c:formatCode>General</c:formatCode>
                <c:ptCount val="24"/>
                <c:pt idx="0">
                  <c:v>24</c:v>
                </c:pt>
                <c:pt idx="1">
                  <c:v>35</c:v>
                </c:pt>
                <c:pt idx="2">
                  <c:v>2</c:v>
                </c:pt>
                <c:pt idx="3">
                  <c:v>0</c:v>
                </c:pt>
                <c:pt idx="4">
                  <c:v>17</c:v>
                </c:pt>
                <c:pt idx="5">
                  <c:v>14</c:v>
                </c:pt>
                <c:pt idx="6">
                  <c:v>7</c:v>
                </c:pt>
                <c:pt idx="7">
                  <c:v>13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19</c:v>
                </c:pt>
                <c:pt idx="12">
                  <c:v>1</c:v>
                </c:pt>
                <c:pt idx="13">
                  <c:v>7</c:v>
                </c:pt>
                <c:pt idx="14">
                  <c:v>3</c:v>
                </c:pt>
                <c:pt idx="15">
                  <c:v>3</c:v>
                </c:pt>
                <c:pt idx="16">
                  <c:v>8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13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1-487B-A6D4-2AA16C6474CA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Acumulado!$AV$6:$BS$6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1-487B-A6D4-2AA16C6474CA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Acumulado!$AV$7:$BS$7</c:f>
              <c:numCache>
                <c:formatCode>General</c:formatCode>
                <c:ptCount val="24"/>
                <c:pt idx="0">
                  <c:v>31</c:v>
                </c:pt>
                <c:pt idx="1">
                  <c:v>16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17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1-487B-A6D4-2AA16C6474CA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Acumulado!$AV$2:$BS$2</c:f>
              <c:numCache>
                <c:formatCode>d\-mmm</c:formatCode>
                <c:ptCount val="24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  <c:pt idx="20">
                  <c:v>44725</c:v>
                </c:pt>
                <c:pt idx="21">
                  <c:v>44732</c:v>
                </c:pt>
                <c:pt idx="22">
                  <c:v>44739</c:v>
                </c:pt>
                <c:pt idx="23">
                  <c:v>44746</c:v>
                </c:pt>
              </c:numCache>
            </c:numRef>
          </c:cat>
          <c:val>
            <c:numRef>
              <c:f>Acumulado!$AV$8:$BS$8</c:f>
              <c:numCache>
                <c:formatCode>General</c:formatCode>
                <c:ptCount val="24"/>
                <c:pt idx="0">
                  <c:v>15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16</c:v>
                </c:pt>
                <c:pt idx="6">
                  <c:v>19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17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9</c:v>
                </c:pt>
                <c:pt idx="19">
                  <c:v>6</c:v>
                </c:pt>
                <c:pt idx="20">
                  <c:v>11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71-487B-A6D4-2AA16C647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207490255"/>
        <c:axId val="1207491087"/>
      </c:barChart>
      <c:dateAx>
        <c:axId val="1207490255"/>
        <c:scaling>
          <c:orientation val="minMax"/>
          <c:min val="44571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2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482601</xdr:colOff>
      <xdr:row>15</xdr:row>
      <xdr:rowOff>29009</xdr:rowOff>
    </xdr:from>
    <xdr:to>
      <xdr:col>16</xdr:col>
      <xdr:colOff>379846</xdr:colOff>
      <xdr:row>30</xdr:row>
      <xdr:rowOff>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5E09A-608F-46F0-B386-617E0CECC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E82FF-001A-4EB8-99D1-682169C9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817FE-21F2-42E8-8FCA-47172536C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2AEE8-E2EA-4818-8BBC-D7351815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13238-4B42-4975-8D2D-1527070B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2491C-AA33-4B05-AA34-E40F932E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B9DCC-F9EE-4EAB-AE40-C0260171E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143A3-F5E1-4BE0-B404-D0EF9D51A7F4}"/>
            </a:ext>
            <a:ext uri="{147F2762-F138-4A5C-976F-8EAC2B608ADB}">
              <a16:predDERef xmlns:a16="http://schemas.microsoft.com/office/drawing/2014/main" pre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B8FFF-89AA-49F0-809F-2BB85CCC320C}"/>
            </a:ext>
            <a:ext uri="{147F2762-F138-4A5C-976F-8EAC2B608ADB}">
              <a16:predDERef xmlns:a16="http://schemas.microsoft.com/office/drawing/2014/main" pre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20DD61-FFBE-45F6-9E24-BA4509733162}"/>
            </a:ext>
            <a:ext uri="{147F2762-F138-4A5C-976F-8EAC2B608ADB}">
              <a16:predDERef xmlns:a16="http://schemas.microsoft.com/office/drawing/2014/main" pre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114301</xdr:rowOff>
    </xdr:from>
    <xdr:to>
      <xdr:col>15</xdr:col>
      <xdr:colOff>304800</xdr:colOff>
      <xdr:row>86</xdr:row>
      <xdr:rowOff>165101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C3E75-D39B-4F4D-89A8-60F150B352C8}"/>
            </a:ext>
            <a:ext uri="{147F2762-F138-4A5C-976F-8EAC2B608ADB}">
              <a16:predDERef xmlns:a16="http://schemas.microsoft.com/office/drawing/2014/main" pre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79376</xdr:colOff>
      <xdr:row>11</xdr:row>
      <xdr:rowOff>12700</xdr:rowOff>
    </xdr:from>
    <xdr:to>
      <xdr:col>15</xdr:col>
      <xdr:colOff>101600</xdr:colOff>
      <xdr:row>24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85879F-7C31-4D41-A2CE-102588849605}"/>
            </a:ext>
            <a:ext uri="{147F2762-F138-4A5C-976F-8EAC2B608ADB}">
              <a16:predDERef xmlns:a16="http://schemas.microsoft.com/office/drawing/2014/main" pre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269876</xdr:colOff>
      <xdr:row>10</xdr:row>
      <xdr:rowOff>171450</xdr:rowOff>
    </xdr:from>
    <xdr:to>
      <xdr:col>16</xdr:col>
      <xdr:colOff>292100</xdr:colOff>
      <xdr:row>24</xdr:row>
      <xdr:rowOff>98426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1855-E525-48B1-A088-D767446B4A2A}"/>
            </a:ext>
            <a:ext uri="{147F2762-F138-4A5C-976F-8EAC2B608ADB}">
              <a16:predDERef xmlns:a16="http://schemas.microsoft.com/office/drawing/2014/main" pre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38965</xdr:colOff>
      <xdr:row>4</xdr:row>
      <xdr:rowOff>8659</xdr:rowOff>
    </xdr:from>
    <xdr:to>
      <xdr:col>21</xdr:col>
      <xdr:colOff>216478</xdr:colOff>
      <xdr:row>23</xdr:row>
      <xdr:rowOff>25977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C8868-769C-4072-9E32-CFEC4669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A9C1F-E048-4BF6-BF8C-6CD4E657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E927C-0EEF-4956-B065-879047DDE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CD3AE-BEEF-4A8D-9D03-A5BB8920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41559A-C69B-446A-8E6B-E6E306B52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EB026-DB8A-43B9-81B0-A311AEBE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84E89F-5F37-4217-ABD2-C38EA2E9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47E4-5D87-40C2-99D5-EA9C12F2B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FCB528-647E-4D5B-BBAC-42DFB27A0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E78EA-DB01-4511-88F5-4AC9450A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E853D-F13F-4666-A72D-B63EC05F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52DC51-2B50-4FA5-A52E-47589DFC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0D66B3-4E97-4408-905F-66D643F4D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B8049-1318-48DE-B382-D425A4FB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4658A-4334-42B2-8E2F-40866A4D3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037FC9-39D5-458E-8E42-07FE9E5E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BF3517-C235-4F0A-BCDB-843F3A18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13A9E8-409E-4AC7-A62A-F885932CE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B660CF-C01C-48D1-AA5B-F48285D39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605148-E32E-4FD8-8EBF-D07E85AA6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103619</xdr:rowOff>
    </xdr:from>
    <xdr:to>
      <xdr:col>12</xdr:col>
      <xdr:colOff>190790</xdr:colOff>
      <xdr:row>25</xdr:row>
      <xdr:rowOff>62345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44F7B3-0C0B-418C-99E9-7112D15B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484040</xdr:colOff>
      <xdr:row>10</xdr:row>
      <xdr:rowOff>95250</xdr:rowOff>
    </xdr:from>
    <xdr:to>
      <xdr:col>24</xdr:col>
      <xdr:colOff>285749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CC92F2-D622-4D85-B261-3D69430B1DFC}"/>
            </a:ext>
            <a:ext uri="{147F2762-F138-4A5C-976F-8EAC2B608ADB}">
              <a16:predDERef xmlns:a16="http://schemas.microsoft.com/office/drawing/2014/main" pred="{7D44F7B3-0C0B-418C-99E9-7112D15B8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84897</xdr:colOff>
      <xdr:row>9</xdr:row>
      <xdr:rowOff>108915</xdr:rowOff>
    </xdr:from>
    <xdr:to>
      <xdr:col>59</xdr:col>
      <xdr:colOff>562803</xdr:colOff>
      <xdr:row>31</xdr:row>
      <xdr:rowOff>39342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C58055-C395-47A6-B31C-809E13506C7C}"/>
            </a:ext>
            <a:ext uri="{147F2762-F138-4A5C-976F-8EAC2B608ADB}">
              <a16:predDERef xmlns:a16="http://schemas.microsoft.com/office/drawing/2014/main" pred="{1ECC92F2-D622-4D85-B261-3D69430B1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ebora_camargo_santacolomba_com_br/Documents/Documents/Gest&#227;o%20H&#237;drica/Cronograma%20Karitel/Cronograma%20de%20irriga&#231;&#227;o%20RDM%2014%2011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çao "/>
      <sheetName val="Lamina"/>
      <sheetName val="Pesquisa de nom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20D-567C-494A-BB25-265816799A62}">
  <sheetPr codeName="Planilha1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5" sqref="L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44182</v>
      </c>
      <c r="D3" s="3">
        <f>C3+1</f>
        <v>44183</v>
      </c>
      <c r="E3" s="3">
        <f t="shared" ref="E3:J3" si="0">D3+1</f>
        <v>44184</v>
      </c>
      <c r="F3" s="3">
        <f t="shared" si="0"/>
        <v>44185</v>
      </c>
      <c r="G3" s="3">
        <f t="shared" si="0"/>
        <v>44186</v>
      </c>
      <c r="H3" s="3">
        <f t="shared" si="0"/>
        <v>44187</v>
      </c>
      <c r="I3" s="3">
        <f t="shared" si="0"/>
        <v>44188</v>
      </c>
      <c r="J3" s="3">
        <f t="shared" si="0"/>
        <v>44189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2</v>
      </c>
      <c r="D5" t="s">
        <v>2</v>
      </c>
      <c r="F5" t="s">
        <v>3</v>
      </c>
      <c r="G5" t="s">
        <v>4</v>
      </c>
      <c r="H5" t="s">
        <v>2</v>
      </c>
      <c r="I5" t="s">
        <v>2</v>
      </c>
      <c r="L5" s="5" t="s">
        <v>2</v>
      </c>
      <c r="M5">
        <f>COUNTIF($C$5:$J$60,L5)</f>
        <v>81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6</v>
      </c>
      <c r="M7">
        <f t="shared" si="2"/>
        <v>3</v>
      </c>
    </row>
    <row r="8" spans="2:13" x14ac:dyDescent="0.25">
      <c r="B8" s="4">
        <v>4</v>
      </c>
      <c r="C8" t="s">
        <v>5</v>
      </c>
      <c r="E8" t="s">
        <v>2</v>
      </c>
      <c r="F8" t="s">
        <v>3</v>
      </c>
      <c r="I8" t="s">
        <v>2</v>
      </c>
      <c r="L8" s="8" t="s">
        <v>4</v>
      </c>
      <c r="M8">
        <f t="shared" si="2"/>
        <v>12</v>
      </c>
    </row>
    <row r="9" spans="2:13" x14ac:dyDescent="0.25">
      <c r="B9" s="4">
        <v>5</v>
      </c>
      <c r="C9" t="s">
        <v>2</v>
      </c>
      <c r="E9" t="s">
        <v>2</v>
      </c>
      <c r="I9" t="s">
        <v>3</v>
      </c>
      <c r="L9" s="9" t="s">
        <v>3</v>
      </c>
      <c r="M9">
        <f t="shared" si="2"/>
        <v>24</v>
      </c>
    </row>
    <row r="10" spans="2:13" x14ac:dyDescent="0.25">
      <c r="B10" s="4">
        <v>6</v>
      </c>
      <c r="C10" t="s">
        <v>2</v>
      </c>
      <c r="E10" t="s">
        <v>2</v>
      </c>
      <c r="H10" t="s">
        <v>2</v>
      </c>
      <c r="L10" s="10" t="s">
        <v>7</v>
      </c>
      <c r="M10">
        <f t="shared" si="2"/>
        <v>2</v>
      </c>
    </row>
    <row r="11" spans="2:13" x14ac:dyDescent="0.25">
      <c r="B11" s="4">
        <v>7</v>
      </c>
      <c r="C11" t="s">
        <v>5</v>
      </c>
      <c r="F11" t="s">
        <v>3</v>
      </c>
      <c r="I11" t="s">
        <v>3</v>
      </c>
      <c r="M11">
        <f>SUM(M5:M10)</f>
        <v>134</v>
      </c>
    </row>
    <row r="12" spans="2:13" x14ac:dyDescent="0.25">
      <c r="B12" s="4">
        <v>8</v>
      </c>
      <c r="C12" t="s">
        <v>2</v>
      </c>
      <c r="E12" t="s">
        <v>2</v>
      </c>
      <c r="H12" t="s">
        <v>2</v>
      </c>
    </row>
    <row r="13" spans="2:13" x14ac:dyDescent="0.25">
      <c r="B13" s="4">
        <v>9</v>
      </c>
      <c r="C13" t="s">
        <v>7</v>
      </c>
      <c r="D13" t="s">
        <v>2</v>
      </c>
      <c r="F13" t="s">
        <v>3</v>
      </c>
      <c r="H13" t="s">
        <v>2</v>
      </c>
    </row>
    <row r="14" spans="2:13" x14ac:dyDescent="0.25">
      <c r="B14" s="4">
        <v>10</v>
      </c>
      <c r="E14" t="s">
        <v>2</v>
      </c>
      <c r="I14" t="s">
        <v>3</v>
      </c>
    </row>
    <row r="15" spans="2:13" x14ac:dyDescent="0.25">
      <c r="B15" s="4">
        <v>11</v>
      </c>
      <c r="C15" t="s">
        <v>2</v>
      </c>
      <c r="E15" t="s">
        <v>2</v>
      </c>
      <c r="H15" t="s">
        <v>2</v>
      </c>
    </row>
    <row r="16" spans="2:13" x14ac:dyDescent="0.25">
      <c r="B16" s="4">
        <v>12</v>
      </c>
      <c r="C16" t="s">
        <v>2</v>
      </c>
      <c r="F16" t="s">
        <v>3</v>
      </c>
      <c r="H16" t="s">
        <v>2</v>
      </c>
    </row>
    <row r="17" spans="2:10" x14ac:dyDescent="0.25">
      <c r="B17" s="4">
        <v>13</v>
      </c>
      <c r="D17" t="s">
        <v>2</v>
      </c>
      <c r="E17" t="s">
        <v>2</v>
      </c>
      <c r="G17" t="s">
        <v>4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C18" t="s">
        <v>2</v>
      </c>
      <c r="D18" t="s">
        <v>2</v>
      </c>
      <c r="E18" t="s">
        <v>2</v>
      </c>
      <c r="I18" t="s">
        <v>3</v>
      </c>
    </row>
    <row r="19" spans="2:10" x14ac:dyDescent="0.25">
      <c r="B19" s="4">
        <v>15</v>
      </c>
      <c r="D19" t="s">
        <v>2</v>
      </c>
      <c r="F19" t="s">
        <v>3</v>
      </c>
    </row>
    <row r="20" spans="2:10" x14ac:dyDescent="0.25">
      <c r="B20" s="4">
        <v>16</v>
      </c>
      <c r="G20" t="s">
        <v>4</v>
      </c>
    </row>
    <row r="21" spans="2:10" x14ac:dyDescent="0.25">
      <c r="B21" s="4">
        <v>17</v>
      </c>
      <c r="D21" t="s">
        <v>5</v>
      </c>
      <c r="F21" t="s">
        <v>2</v>
      </c>
      <c r="G21" t="s">
        <v>4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5</v>
      </c>
      <c r="E23" t="s">
        <v>5</v>
      </c>
      <c r="F23" t="s">
        <v>5</v>
      </c>
      <c r="G23" t="s">
        <v>5</v>
      </c>
      <c r="I23" t="s">
        <v>2</v>
      </c>
      <c r="J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C25" t="s">
        <v>2</v>
      </c>
      <c r="E25" t="s">
        <v>6</v>
      </c>
      <c r="H25" t="s">
        <v>2</v>
      </c>
    </row>
    <row r="26" spans="2:10" x14ac:dyDescent="0.25">
      <c r="B26" s="4">
        <v>22</v>
      </c>
    </row>
    <row r="27" spans="2:10" x14ac:dyDescent="0.25">
      <c r="B27" s="4">
        <v>23</v>
      </c>
      <c r="D27" t="s">
        <v>2</v>
      </c>
      <c r="F27" t="s">
        <v>3</v>
      </c>
      <c r="I27" t="s">
        <v>3</v>
      </c>
    </row>
    <row r="28" spans="2:10" x14ac:dyDescent="0.25">
      <c r="B28" s="4">
        <v>24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4</v>
      </c>
      <c r="H29" t="s">
        <v>2</v>
      </c>
      <c r="I29" t="s">
        <v>2</v>
      </c>
    </row>
    <row r="30" spans="2:10" x14ac:dyDescent="0.25">
      <c r="B30" s="4">
        <v>26</v>
      </c>
      <c r="D30" t="s">
        <v>2</v>
      </c>
      <c r="E30" t="s">
        <v>2</v>
      </c>
      <c r="I30" t="s">
        <v>3</v>
      </c>
    </row>
    <row r="31" spans="2:10" x14ac:dyDescent="0.25">
      <c r="B31" s="4">
        <v>27</v>
      </c>
      <c r="D31" t="s">
        <v>2</v>
      </c>
      <c r="F31" t="s">
        <v>3</v>
      </c>
      <c r="I31" t="s">
        <v>3</v>
      </c>
    </row>
    <row r="32" spans="2:10" x14ac:dyDescent="0.25">
      <c r="B32" s="4">
        <v>28</v>
      </c>
    </row>
    <row r="33" spans="2:7" x14ac:dyDescent="0.25">
      <c r="B33" s="4">
        <v>29</v>
      </c>
      <c r="C33" t="s">
        <v>2</v>
      </c>
      <c r="D33" t="s">
        <v>2</v>
      </c>
      <c r="E33" t="s">
        <v>2</v>
      </c>
      <c r="F33" t="s">
        <v>3</v>
      </c>
    </row>
    <row r="34" spans="2:7" x14ac:dyDescent="0.25">
      <c r="B34" s="4">
        <v>30</v>
      </c>
    </row>
    <row r="35" spans="2:7" x14ac:dyDescent="0.25">
      <c r="B35" s="4">
        <v>31</v>
      </c>
      <c r="F35" t="s">
        <v>3</v>
      </c>
    </row>
    <row r="36" spans="2:7" x14ac:dyDescent="0.25">
      <c r="B36" s="4">
        <v>32</v>
      </c>
    </row>
    <row r="37" spans="2:7" x14ac:dyDescent="0.25">
      <c r="B37" s="4">
        <v>33</v>
      </c>
      <c r="C37" t="s">
        <v>2</v>
      </c>
      <c r="F37" t="s">
        <v>3</v>
      </c>
    </row>
    <row r="38" spans="2:7" x14ac:dyDescent="0.25">
      <c r="B38" s="4">
        <v>34</v>
      </c>
      <c r="E38" t="s">
        <v>5</v>
      </c>
      <c r="F38" t="s">
        <v>5</v>
      </c>
    </row>
    <row r="39" spans="2:7" x14ac:dyDescent="0.25">
      <c r="B39" s="4">
        <v>35</v>
      </c>
    </row>
    <row r="40" spans="2:7" x14ac:dyDescent="0.25">
      <c r="B40" s="4">
        <v>36</v>
      </c>
      <c r="D40" t="s">
        <v>2</v>
      </c>
      <c r="E40" t="s">
        <v>5</v>
      </c>
      <c r="F40" t="s">
        <v>5</v>
      </c>
    </row>
    <row r="41" spans="2:7" x14ac:dyDescent="0.25">
      <c r="B41" s="4">
        <v>37</v>
      </c>
      <c r="D41" t="s">
        <v>2</v>
      </c>
      <c r="F41" t="s">
        <v>3</v>
      </c>
    </row>
    <row r="42" spans="2:7" x14ac:dyDescent="0.25">
      <c r="B42" s="4">
        <v>38</v>
      </c>
      <c r="D42" t="s">
        <v>2</v>
      </c>
      <c r="F42" t="s">
        <v>3</v>
      </c>
    </row>
    <row r="43" spans="2:7" x14ac:dyDescent="0.25">
      <c r="B43" s="4">
        <v>39</v>
      </c>
      <c r="D43" t="s">
        <v>2</v>
      </c>
      <c r="E43" t="s">
        <v>2</v>
      </c>
      <c r="G43" t="s">
        <v>4</v>
      </c>
    </row>
    <row r="44" spans="2:7" x14ac:dyDescent="0.25">
      <c r="B44" s="4">
        <v>40</v>
      </c>
      <c r="D44" t="s">
        <v>2</v>
      </c>
      <c r="E44" t="s">
        <v>2</v>
      </c>
      <c r="G44" t="s">
        <v>4</v>
      </c>
    </row>
    <row r="45" spans="2:7" x14ac:dyDescent="0.25">
      <c r="B45" s="4">
        <v>41</v>
      </c>
    </row>
    <row r="46" spans="2:7" x14ac:dyDescent="0.25">
      <c r="B46" s="4">
        <v>42</v>
      </c>
      <c r="D46" t="s">
        <v>2</v>
      </c>
      <c r="E46" t="s">
        <v>2</v>
      </c>
    </row>
    <row r="47" spans="2:7" x14ac:dyDescent="0.25">
      <c r="B47" s="4">
        <v>43</v>
      </c>
    </row>
    <row r="48" spans="2:7" x14ac:dyDescent="0.25">
      <c r="B48" s="4">
        <v>44</v>
      </c>
    </row>
    <row r="49" spans="2:9" x14ac:dyDescent="0.25">
      <c r="B49" s="4">
        <v>45</v>
      </c>
      <c r="D49" t="s">
        <v>7</v>
      </c>
      <c r="E49" t="s">
        <v>2</v>
      </c>
      <c r="F49" t="s">
        <v>2</v>
      </c>
      <c r="G49" t="s">
        <v>4</v>
      </c>
      <c r="H49" t="s">
        <v>2</v>
      </c>
    </row>
    <row r="50" spans="2:9" x14ac:dyDescent="0.25">
      <c r="B50" s="4">
        <v>46</v>
      </c>
      <c r="D50" t="s">
        <v>5</v>
      </c>
      <c r="E50" t="s">
        <v>2</v>
      </c>
      <c r="F50" t="s">
        <v>2</v>
      </c>
      <c r="G50" t="s">
        <v>4</v>
      </c>
      <c r="H50" t="s">
        <v>2</v>
      </c>
    </row>
    <row r="51" spans="2:9" x14ac:dyDescent="0.25">
      <c r="B51" s="4">
        <v>47</v>
      </c>
      <c r="C51" t="s">
        <v>2</v>
      </c>
      <c r="D51" t="s">
        <v>6</v>
      </c>
      <c r="E51" t="s">
        <v>2</v>
      </c>
      <c r="F51" t="s">
        <v>2</v>
      </c>
      <c r="G51" t="s">
        <v>4</v>
      </c>
      <c r="H51" t="s">
        <v>2</v>
      </c>
    </row>
    <row r="52" spans="2:9" x14ac:dyDescent="0.25">
      <c r="B52" s="4">
        <v>48</v>
      </c>
      <c r="C52" t="s">
        <v>6</v>
      </c>
      <c r="D52" t="s">
        <v>2</v>
      </c>
      <c r="E52" t="s">
        <v>2</v>
      </c>
      <c r="F52" t="s">
        <v>3</v>
      </c>
      <c r="G52" t="s">
        <v>4</v>
      </c>
      <c r="H52" t="s">
        <v>2</v>
      </c>
    </row>
    <row r="53" spans="2:9" x14ac:dyDescent="0.25">
      <c r="B53" s="4">
        <v>49</v>
      </c>
      <c r="C53" t="s">
        <v>2</v>
      </c>
      <c r="D53" t="s">
        <v>2</v>
      </c>
      <c r="E53" t="s">
        <v>2</v>
      </c>
      <c r="F53" t="s">
        <v>3</v>
      </c>
      <c r="G53" t="s">
        <v>4</v>
      </c>
      <c r="H53" t="s">
        <v>2</v>
      </c>
    </row>
    <row r="54" spans="2:9" x14ac:dyDescent="0.25">
      <c r="B54" s="4">
        <v>50</v>
      </c>
      <c r="D54" t="s">
        <v>2</v>
      </c>
      <c r="H54" t="s">
        <v>2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E56" t="s">
        <v>2</v>
      </c>
      <c r="F56" t="s">
        <v>3</v>
      </c>
      <c r="H56" t="s">
        <v>2</v>
      </c>
      <c r="I56" t="s">
        <v>3</v>
      </c>
    </row>
    <row r="57" spans="2:9" x14ac:dyDescent="0.25">
      <c r="B57" s="4">
        <v>53</v>
      </c>
    </row>
    <row r="58" spans="2:9" x14ac:dyDescent="0.25">
      <c r="B58" s="4">
        <v>54</v>
      </c>
    </row>
    <row r="59" spans="2:9" x14ac:dyDescent="0.25">
      <c r="B59" s="4">
        <v>55</v>
      </c>
    </row>
    <row r="60" spans="2:9" x14ac:dyDescent="0.25">
      <c r="B60" s="4">
        <v>56</v>
      </c>
    </row>
  </sheetData>
  <conditionalFormatting sqref="C5:H11">
    <cfRule type="cellIs" dxfId="1420" priority="8" operator="equal">
      <formula>"Energia"</formula>
    </cfRule>
  </conditionalFormatting>
  <conditionalFormatting sqref="C5:J60">
    <cfRule type="cellIs" dxfId="1419" priority="1" operator="equal">
      <formula>"Energia"</formula>
    </cfRule>
    <cfRule type="cellIs" dxfId="1418" priority="3" operator="equal">
      <formula>"Operação"</formula>
    </cfRule>
    <cfRule type="cellIs" dxfId="1417" priority="4" operator="equal">
      <formula>"Chuva"</formula>
    </cfRule>
    <cfRule type="cellIs" dxfId="1416" priority="5" operator="equal">
      <formula>"Elétrico"</formula>
    </cfRule>
    <cfRule type="cellIs" dxfId="1415" priority="6" operator="equal">
      <formula>"Mecânico"</formula>
    </cfRule>
    <cfRule type="cellIs" dxfId="1414" priority="7" operator="equal">
      <formula>"Ok"</formula>
    </cfRule>
  </conditionalFormatting>
  <conditionalFormatting sqref="C5:J61">
    <cfRule type="cellIs" dxfId="1413" priority="2" operator="equal">
      <formula>"Feito"</formula>
    </cfRule>
  </conditionalFormatting>
  <dataValidations count="1">
    <dataValidation type="list" allowBlank="1" showInputMessage="1" showErrorMessage="1" sqref="C5:K60" xr:uid="{829CF24D-6313-4CC8-9CA0-26382985A51E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94D-724E-406B-AAD4-567886832C4C}">
  <sheetPr codeName="Planilha2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44190</v>
      </c>
      <c r="D3" s="3">
        <f>C3+1</f>
        <v>44191</v>
      </c>
      <c r="E3" s="3">
        <f t="shared" ref="E3:J3" si="0">D3+1</f>
        <v>44192</v>
      </c>
      <c r="F3" s="3">
        <f t="shared" si="0"/>
        <v>44193</v>
      </c>
      <c r="G3" s="3">
        <f t="shared" si="0"/>
        <v>44194</v>
      </c>
      <c r="H3" s="3">
        <f t="shared" si="0"/>
        <v>44195</v>
      </c>
      <c r="I3" s="3">
        <f t="shared" si="0"/>
        <v>44196</v>
      </c>
      <c r="J3" s="3">
        <f t="shared" si="0"/>
        <v>44197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F5" t="s">
        <v>5</v>
      </c>
      <c r="H5" t="s">
        <v>6</v>
      </c>
      <c r="L5" s="5" t="s">
        <v>2</v>
      </c>
      <c r="M5">
        <f>COUNTIF($C$5:$J$60,L5)</f>
        <v>101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10</v>
      </c>
    </row>
    <row r="7" spans="2:13" x14ac:dyDescent="0.25">
      <c r="B7" s="4">
        <v>3</v>
      </c>
      <c r="L7" s="7" t="s">
        <v>6</v>
      </c>
      <c r="M7">
        <f t="shared" si="2"/>
        <v>6</v>
      </c>
    </row>
    <row r="8" spans="2:13" x14ac:dyDescent="0.25">
      <c r="B8" s="4">
        <v>4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2</v>
      </c>
    </row>
    <row r="9" spans="2:13" x14ac:dyDescent="0.25">
      <c r="B9" s="4">
        <v>5</v>
      </c>
      <c r="E9" t="s">
        <v>2</v>
      </c>
      <c r="G9" t="s">
        <v>2</v>
      </c>
      <c r="I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F10" t="s">
        <v>7</v>
      </c>
      <c r="H10" t="s">
        <v>2</v>
      </c>
      <c r="J10" t="s">
        <v>2</v>
      </c>
      <c r="L10" s="10" t="s">
        <v>7</v>
      </c>
      <c r="M10">
        <f t="shared" si="2"/>
        <v>7</v>
      </c>
    </row>
    <row r="11" spans="2:13" x14ac:dyDescent="0.25">
      <c r="B11" s="4">
        <v>7</v>
      </c>
      <c r="E11" t="s">
        <v>2</v>
      </c>
      <c r="G11" t="s">
        <v>2</v>
      </c>
      <c r="I11" t="s">
        <v>2</v>
      </c>
      <c r="M11">
        <f>SUM(M5:M10)</f>
        <v>126</v>
      </c>
    </row>
    <row r="12" spans="2:13" x14ac:dyDescent="0.25">
      <c r="B12" s="4">
        <v>8</v>
      </c>
      <c r="F12" t="s">
        <v>2</v>
      </c>
      <c r="H12" t="s">
        <v>7</v>
      </c>
      <c r="J12" t="s">
        <v>2</v>
      </c>
    </row>
    <row r="13" spans="2:13" x14ac:dyDescent="0.25">
      <c r="B13" s="4">
        <v>9</v>
      </c>
      <c r="E13" t="s">
        <v>2</v>
      </c>
      <c r="G13" t="s">
        <v>2</v>
      </c>
    </row>
    <row r="14" spans="2:13" x14ac:dyDescent="0.25">
      <c r="B14" s="4">
        <v>10</v>
      </c>
      <c r="F14" t="s">
        <v>2</v>
      </c>
      <c r="H14" t="s">
        <v>2</v>
      </c>
      <c r="J14" t="s">
        <v>5</v>
      </c>
    </row>
    <row r="15" spans="2:13" x14ac:dyDescent="0.25">
      <c r="B15" s="4">
        <v>11</v>
      </c>
      <c r="E15" t="s">
        <v>2</v>
      </c>
      <c r="G15" t="s">
        <v>2</v>
      </c>
      <c r="I15" t="s">
        <v>2</v>
      </c>
    </row>
    <row r="16" spans="2:13" x14ac:dyDescent="0.25">
      <c r="B16" s="4">
        <v>12</v>
      </c>
      <c r="F16" t="s">
        <v>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F18" t="s">
        <v>7</v>
      </c>
      <c r="G18" t="s">
        <v>2</v>
      </c>
      <c r="H18" t="s">
        <v>2</v>
      </c>
      <c r="I18" t="s">
        <v>2</v>
      </c>
    </row>
    <row r="19" spans="2:10" x14ac:dyDescent="0.25">
      <c r="B19" s="4">
        <v>15</v>
      </c>
      <c r="E19" t="s">
        <v>2</v>
      </c>
      <c r="G19" t="s">
        <v>5</v>
      </c>
      <c r="H19" t="s">
        <v>5</v>
      </c>
      <c r="J19" t="s">
        <v>6</v>
      </c>
    </row>
    <row r="20" spans="2:10" x14ac:dyDescent="0.25">
      <c r="B20" s="4">
        <v>16</v>
      </c>
    </row>
    <row r="21" spans="2:10" x14ac:dyDescent="0.25">
      <c r="B21" s="4">
        <v>17</v>
      </c>
      <c r="F21" t="s">
        <v>2</v>
      </c>
      <c r="G21" t="s">
        <v>7</v>
      </c>
      <c r="H21" t="s">
        <v>2</v>
      </c>
      <c r="J21" t="s">
        <v>2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2</v>
      </c>
      <c r="E23" t="s">
        <v>2</v>
      </c>
      <c r="I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F25" t="s">
        <v>5</v>
      </c>
      <c r="G25" t="s">
        <v>6</v>
      </c>
      <c r="I25" t="s">
        <v>4</v>
      </c>
      <c r="J25" t="s">
        <v>6</v>
      </c>
    </row>
    <row r="26" spans="2:10" x14ac:dyDescent="0.25">
      <c r="B26" s="4">
        <v>22</v>
      </c>
    </row>
    <row r="27" spans="2:10" x14ac:dyDescent="0.25">
      <c r="B27" s="4">
        <v>23</v>
      </c>
      <c r="E27" t="s">
        <v>2</v>
      </c>
      <c r="I27" t="s">
        <v>4</v>
      </c>
      <c r="J27" t="s">
        <v>6</v>
      </c>
    </row>
    <row r="28" spans="2:10" x14ac:dyDescent="0.25">
      <c r="B28" s="4">
        <v>24</v>
      </c>
      <c r="I28" t="s">
        <v>2</v>
      </c>
      <c r="J28" t="s">
        <v>5</v>
      </c>
    </row>
    <row r="29" spans="2:10" x14ac:dyDescent="0.25">
      <c r="B29" s="4">
        <v>25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E30" t="s">
        <v>2</v>
      </c>
      <c r="G30" t="s">
        <v>2</v>
      </c>
    </row>
    <row r="31" spans="2:10" x14ac:dyDescent="0.25">
      <c r="B31" s="4">
        <v>27</v>
      </c>
      <c r="E31" t="s">
        <v>2</v>
      </c>
      <c r="G31" t="s">
        <v>2</v>
      </c>
    </row>
    <row r="32" spans="2:10" x14ac:dyDescent="0.25">
      <c r="B32" s="4">
        <v>28</v>
      </c>
    </row>
    <row r="33" spans="2:10" x14ac:dyDescent="0.25">
      <c r="B33" s="4">
        <v>29</v>
      </c>
      <c r="E33" t="s">
        <v>2</v>
      </c>
      <c r="F33" t="s">
        <v>2</v>
      </c>
      <c r="H33" t="s">
        <v>2</v>
      </c>
      <c r="I33" t="s">
        <v>7</v>
      </c>
      <c r="J33" t="s">
        <v>2</v>
      </c>
    </row>
    <row r="34" spans="2:10" x14ac:dyDescent="0.25">
      <c r="B34" s="4">
        <v>30</v>
      </c>
      <c r="H34" t="s">
        <v>5</v>
      </c>
      <c r="I34" t="s">
        <v>5</v>
      </c>
      <c r="J34" t="s">
        <v>5</v>
      </c>
    </row>
    <row r="35" spans="2:10" x14ac:dyDescent="0.25">
      <c r="B35" s="4">
        <v>31</v>
      </c>
    </row>
    <row r="36" spans="2:10" x14ac:dyDescent="0.25">
      <c r="B36" s="4">
        <v>32</v>
      </c>
    </row>
    <row r="37" spans="2:10" x14ac:dyDescent="0.25">
      <c r="B37" s="4">
        <v>33</v>
      </c>
      <c r="J37" t="s">
        <v>2</v>
      </c>
    </row>
    <row r="38" spans="2:10" x14ac:dyDescent="0.25">
      <c r="B38" s="4">
        <v>34</v>
      </c>
      <c r="H38" t="s">
        <v>7</v>
      </c>
      <c r="I38" t="s">
        <v>2</v>
      </c>
      <c r="J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E40" t="s">
        <v>2</v>
      </c>
      <c r="G40" t="s">
        <v>6</v>
      </c>
      <c r="I40" t="s">
        <v>2</v>
      </c>
    </row>
    <row r="41" spans="2:10" x14ac:dyDescent="0.25">
      <c r="B41" s="4">
        <v>37</v>
      </c>
      <c r="F41" t="s">
        <v>2</v>
      </c>
      <c r="H41" t="s">
        <v>2</v>
      </c>
      <c r="J41" t="s">
        <v>2</v>
      </c>
    </row>
    <row r="42" spans="2:10" x14ac:dyDescent="0.25">
      <c r="B42" s="4">
        <v>38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E43" t="s">
        <v>2</v>
      </c>
      <c r="G43" t="s">
        <v>2</v>
      </c>
      <c r="I43" t="s">
        <v>2</v>
      </c>
    </row>
    <row r="44" spans="2:10" x14ac:dyDescent="0.25">
      <c r="B44" s="4">
        <v>40</v>
      </c>
      <c r="E44" t="s">
        <v>2</v>
      </c>
      <c r="G44" t="s">
        <v>2</v>
      </c>
      <c r="I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D46" t="s">
        <v>2</v>
      </c>
      <c r="F46" t="s">
        <v>2</v>
      </c>
      <c r="H46" t="s">
        <v>2</v>
      </c>
      <c r="J46" t="s">
        <v>2</v>
      </c>
    </row>
    <row r="47" spans="2:10" x14ac:dyDescent="0.25">
      <c r="B47" s="4">
        <v>43</v>
      </c>
      <c r="F47" t="s">
        <v>7</v>
      </c>
      <c r="G47" t="s">
        <v>5</v>
      </c>
      <c r="H47" t="s">
        <v>2</v>
      </c>
      <c r="I47" t="s">
        <v>2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F49" t="s">
        <v>2</v>
      </c>
      <c r="G49" t="s">
        <v>2</v>
      </c>
      <c r="H49" t="s">
        <v>2</v>
      </c>
      <c r="I49" t="s">
        <v>2</v>
      </c>
    </row>
    <row r="50" spans="2:10" x14ac:dyDescent="0.25">
      <c r="B50" s="4">
        <v>46</v>
      </c>
      <c r="E50" t="s">
        <v>2</v>
      </c>
      <c r="G50" t="s">
        <v>2</v>
      </c>
    </row>
    <row r="51" spans="2:10" x14ac:dyDescent="0.25">
      <c r="B51" s="4">
        <v>47</v>
      </c>
      <c r="E51" t="s">
        <v>2</v>
      </c>
      <c r="G51" t="s">
        <v>2</v>
      </c>
    </row>
    <row r="52" spans="2:10" x14ac:dyDescent="0.25">
      <c r="B52" s="4">
        <v>48</v>
      </c>
      <c r="D52" t="s">
        <v>2</v>
      </c>
      <c r="F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</row>
    <row r="54" spans="2:10" x14ac:dyDescent="0.25">
      <c r="B54" s="4">
        <v>50</v>
      </c>
      <c r="F54" t="s">
        <v>2</v>
      </c>
      <c r="H54" t="s">
        <v>2</v>
      </c>
      <c r="J54" t="s">
        <v>2</v>
      </c>
    </row>
    <row r="55" spans="2:10" x14ac:dyDescent="0.25">
      <c r="B55" s="4">
        <v>51</v>
      </c>
    </row>
    <row r="56" spans="2:10" x14ac:dyDescent="0.25">
      <c r="B56" s="4">
        <v>52</v>
      </c>
      <c r="E56" t="s">
        <v>2</v>
      </c>
      <c r="I56" t="s">
        <v>2</v>
      </c>
    </row>
    <row r="57" spans="2:10" x14ac:dyDescent="0.25">
      <c r="B57" s="4">
        <v>53</v>
      </c>
      <c r="J57" t="s">
        <v>2</v>
      </c>
    </row>
    <row r="58" spans="2:10" x14ac:dyDescent="0.25">
      <c r="B58" s="4">
        <v>54</v>
      </c>
    </row>
    <row r="59" spans="2:10" x14ac:dyDescent="0.25">
      <c r="B59" s="4">
        <v>55</v>
      </c>
      <c r="J59" t="s">
        <v>2</v>
      </c>
    </row>
    <row r="60" spans="2:10" x14ac:dyDescent="0.25">
      <c r="B60" s="4">
        <v>56</v>
      </c>
      <c r="I60" t="s">
        <v>2</v>
      </c>
    </row>
  </sheetData>
  <conditionalFormatting sqref="C5:H11">
    <cfRule type="cellIs" dxfId="1412" priority="8" operator="equal">
      <formula>"Energia"</formula>
    </cfRule>
  </conditionalFormatting>
  <conditionalFormatting sqref="C5:J60">
    <cfRule type="cellIs" dxfId="1411" priority="1" operator="equal">
      <formula>"Energia"</formula>
    </cfRule>
    <cfRule type="cellIs" dxfId="1410" priority="3" operator="equal">
      <formula>"Operação"</formula>
    </cfRule>
    <cfRule type="cellIs" dxfId="1409" priority="4" operator="equal">
      <formula>"Chuva"</formula>
    </cfRule>
    <cfRule type="cellIs" dxfId="1408" priority="5" operator="equal">
      <formula>"Elétrico"</formula>
    </cfRule>
    <cfRule type="cellIs" dxfId="1407" priority="6" operator="equal">
      <formula>"Mecânico"</formula>
    </cfRule>
    <cfRule type="cellIs" dxfId="1406" priority="7" operator="equal">
      <formula>"Ok"</formula>
    </cfRule>
  </conditionalFormatting>
  <conditionalFormatting sqref="C5:J61">
    <cfRule type="cellIs" dxfId="1405" priority="2" operator="equal">
      <formula>"Feito"</formula>
    </cfRule>
  </conditionalFormatting>
  <dataValidations count="1">
    <dataValidation type="list" allowBlank="1" showInputMessage="1" showErrorMessage="1" sqref="C5:K60" xr:uid="{29CA9DB4-6411-4B4C-8986-BA958C068C9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D52-014A-4FBB-BCE6-7FC915F68AE7}">
  <sheetPr codeName="Planilha3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44198</v>
      </c>
      <c r="D3" s="3">
        <f>C3+1</f>
        <v>44199</v>
      </c>
      <c r="E3" s="3">
        <f t="shared" ref="E3:J3" si="0">D3+1</f>
        <v>44200</v>
      </c>
      <c r="F3" s="3">
        <f t="shared" si="0"/>
        <v>44201</v>
      </c>
      <c r="G3" s="3">
        <f t="shared" si="0"/>
        <v>44202</v>
      </c>
      <c r="H3" s="3">
        <f t="shared" si="0"/>
        <v>44203</v>
      </c>
      <c r="I3" s="3">
        <f t="shared" si="0"/>
        <v>44204</v>
      </c>
      <c r="J3" s="3">
        <f t="shared" si="0"/>
        <v>44205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C5" t="s">
        <v>3</v>
      </c>
      <c r="H5" t="s">
        <v>5</v>
      </c>
      <c r="I5" t="s">
        <v>5</v>
      </c>
      <c r="L5" s="5" t="s">
        <v>2</v>
      </c>
      <c r="M5">
        <f>COUNTIF($C$5:$J$60,L5)</f>
        <v>38</v>
      </c>
    </row>
    <row r="6" spans="2:13" x14ac:dyDescent="0.25">
      <c r="B6" s="4">
        <v>2</v>
      </c>
      <c r="H6" t="s">
        <v>2</v>
      </c>
      <c r="I6" t="s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F7" t="s">
        <v>2</v>
      </c>
      <c r="G7" t="s">
        <v>2</v>
      </c>
      <c r="H7" t="s">
        <v>7</v>
      </c>
      <c r="L7" s="7" t="s">
        <v>6</v>
      </c>
      <c r="M7">
        <f t="shared" si="2"/>
        <v>12</v>
      </c>
    </row>
    <row r="8" spans="2:13" x14ac:dyDescent="0.25">
      <c r="B8" s="4">
        <v>4</v>
      </c>
      <c r="D8" t="s">
        <v>3</v>
      </c>
      <c r="G8" t="s">
        <v>2</v>
      </c>
      <c r="H8" t="s">
        <v>5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3</v>
      </c>
      <c r="L9" s="9" t="s">
        <v>3</v>
      </c>
      <c r="M9">
        <f t="shared" si="2"/>
        <v>39</v>
      </c>
    </row>
    <row r="10" spans="2:13" x14ac:dyDescent="0.25">
      <c r="B10" s="4">
        <v>6</v>
      </c>
      <c r="D10" t="s">
        <v>3</v>
      </c>
      <c r="L10" s="10" t="s">
        <v>7</v>
      </c>
      <c r="M10">
        <f t="shared" si="2"/>
        <v>8</v>
      </c>
    </row>
    <row r="11" spans="2:13" x14ac:dyDescent="0.25">
      <c r="B11" s="4">
        <v>7</v>
      </c>
      <c r="I11" t="s">
        <v>2</v>
      </c>
      <c r="M11">
        <f>SUM(M5:M10)</f>
        <v>109</v>
      </c>
    </row>
    <row r="12" spans="2:13" x14ac:dyDescent="0.25">
      <c r="B12" s="4">
        <v>8</v>
      </c>
      <c r="H12" t="s">
        <v>7</v>
      </c>
      <c r="I12" t="s">
        <v>5</v>
      </c>
    </row>
    <row r="13" spans="2:13" x14ac:dyDescent="0.25">
      <c r="B13" s="4">
        <v>9</v>
      </c>
      <c r="C13" t="s">
        <v>3</v>
      </c>
      <c r="D13" t="s">
        <v>3</v>
      </c>
      <c r="F13" t="s">
        <v>2</v>
      </c>
      <c r="G13" t="s">
        <v>2</v>
      </c>
    </row>
    <row r="14" spans="2:13" x14ac:dyDescent="0.25">
      <c r="B14" s="4">
        <v>10</v>
      </c>
      <c r="H14" t="s">
        <v>7</v>
      </c>
    </row>
    <row r="15" spans="2:13" x14ac:dyDescent="0.25">
      <c r="B15" s="4">
        <v>11</v>
      </c>
      <c r="C15" t="s">
        <v>3</v>
      </c>
    </row>
    <row r="16" spans="2:13" x14ac:dyDescent="0.25">
      <c r="B16" s="4">
        <v>12</v>
      </c>
      <c r="D16" t="s">
        <v>3</v>
      </c>
      <c r="G16" t="s">
        <v>2</v>
      </c>
      <c r="H16" t="s">
        <v>7</v>
      </c>
      <c r="I16" t="s">
        <v>2</v>
      </c>
    </row>
    <row r="17" spans="2:9" x14ac:dyDescent="0.25">
      <c r="B17" s="4">
        <v>13</v>
      </c>
      <c r="C17" t="s">
        <v>3</v>
      </c>
      <c r="G17" t="s">
        <v>2</v>
      </c>
      <c r="I17" t="s">
        <v>2</v>
      </c>
    </row>
    <row r="18" spans="2:9" x14ac:dyDescent="0.25">
      <c r="B18" s="4">
        <v>14</v>
      </c>
      <c r="D18" t="s">
        <v>3</v>
      </c>
      <c r="H18" t="s">
        <v>6</v>
      </c>
    </row>
    <row r="19" spans="2:9" x14ac:dyDescent="0.25">
      <c r="B19" s="4">
        <v>15</v>
      </c>
      <c r="D19" t="s">
        <v>3</v>
      </c>
      <c r="G19" t="s">
        <v>6</v>
      </c>
      <c r="I19" t="s">
        <v>6</v>
      </c>
    </row>
    <row r="20" spans="2:9" x14ac:dyDescent="0.25">
      <c r="B20" s="4">
        <v>16</v>
      </c>
    </row>
    <row r="21" spans="2:9" x14ac:dyDescent="0.25">
      <c r="B21" s="4">
        <v>17</v>
      </c>
      <c r="D21" t="s">
        <v>3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I24" t="s">
        <v>7</v>
      </c>
    </row>
    <row r="25" spans="2:9" x14ac:dyDescent="0.25">
      <c r="B25" s="4">
        <v>21</v>
      </c>
    </row>
    <row r="26" spans="2:9" x14ac:dyDescent="0.25">
      <c r="B26" s="4">
        <v>22</v>
      </c>
      <c r="H26" t="s">
        <v>7</v>
      </c>
      <c r="I26" t="s">
        <v>7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  <c r="C28" t="s">
        <v>3</v>
      </c>
      <c r="D28" t="s">
        <v>3</v>
      </c>
      <c r="G28" t="s">
        <v>5</v>
      </c>
      <c r="H28" t="s">
        <v>2</v>
      </c>
      <c r="I28" t="s">
        <v>2</v>
      </c>
    </row>
    <row r="29" spans="2:9" x14ac:dyDescent="0.25">
      <c r="B29" s="4">
        <v>25</v>
      </c>
      <c r="C29" t="s">
        <v>3</v>
      </c>
      <c r="D29" t="s">
        <v>3</v>
      </c>
      <c r="H29" t="s">
        <v>2</v>
      </c>
      <c r="I29" t="s">
        <v>2</v>
      </c>
    </row>
    <row r="30" spans="2:9" x14ac:dyDescent="0.25">
      <c r="B30" s="4">
        <v>26</v>
      </c>
      <c r="C30" t="s">
        <v>3</v>
      </c>
    </row>
    <row r="31" spans="2:9" x14ac:dyDescent="0.25">
      <c r="B31" s="4">
        <v>27</v>
      </c>
      <c r="C31" t="s">
        <v>3</v>
      </c>
      <c r="G31" t="s">
        <v>2</v>
      </c>
    </row>
    <row r="32" spans="2:9" x14ac:dyDescent="0.25">
      <c r="B32" s="4">
        <v>28</v>
      </c>
      <c r="D32" t="s">
        <v>3</v>
      </c>
      <c r="G32" t="s">
        <v>5</v>
      </c>
      <c r="I32" t="s">
        <v>5</v>
      </c>
    </row>
    <row r="33" spans="2:9" x14ac:dyDescent="0.25">
      <c r="B33" s="4">
        <v>29</v>
      </c>
      <c r="C33" t="s">
        <v>3</v>
      </c>
      <c r="H33" t="s">
        <v>2</v>
      </c>
      <c r="I33" t="s">
        <v>2</v>
      </c>
    </row>
    <row r="34" spans="2:9" x14ac:dyDescent="0.25">
      <c r="B34" s="4">
        <v>30</v>
      </c>
      <c r="C34" t="s">
        <v>5</v>
      </c>
      <c r="D34" t="s">
        <v>5</v>
      </c>
      <c r="G34" t="s">
        <v>5</v>
      </c>
      <c r="H34" t="s">
        <v>2</v>
      </c>
      <c r="I34" t="s">
        <v>2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  <c r="G36" t="s">
        <v>2</v>
      </c>
      <c r="H36" t="s">
        <v>2</v>
      </c>
      <c r="I36" t="s">
        <v>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  <c r="D38" t="s">
        <v>3</v>
      </c>
      <c r="G38" t="s">
        <v>2</v>
      </c>
      <c r="H38" t="s">
        <v>5</v>
      </c>
      <c r="I38" t="s">
        <v>5</v>
      </c>
    </row>
    <row r="39" spans="2:9" x14ac:dyDescent="0.25">
      <c r="B39" s="4">
        <v>35</v>
      </c>
    </row>
    <row r="40" spans="2:9" x14ac:dyDescent="0.25">
      <c r="B40" s="4">
        <v>36</v>
      </c>
      <c r="C40" t="s">
        <v>3</v>
      </c>
      <c r="H40" t="s">
        <v>2</v>
      </c>
    </row>
    <row r="41" spans="2:9" x14ac:dyDescent="0.25">
      <c r="B41" s="4">
        <v>37</v>
      </c>
      <c r="D41" t="s">
        <v>3</v>
      </c>
      <c r="H41" t="s">
        <v>2</v>
      </c>
    </row>
    <row r="42" spans="2:9" x14ac:dyDescent="0.25">
      <c r="B42" s="4">
        <v>38</v>
      </c>
    </row>
    <row r="43" spans="2:9" x14ac:dyDescent="0.25">
      <c r="B43" s="4">
        <v>39</v>
      </c>
      <c r="C43" t="s">
        <v>3</v>
      </c>
      <c r="H43" t="s">
        <v>6</v>
      </c>
    </row>
    <row r="44" spans="2:9" x14ac:dyDescent="0.25">
      <c r="B44" s="4">
        <v>40</v>
      </c>
      <c r="C44" t="s">
        <v>3</v>
      </c>
    </row>
    <row r="45" spans="2:9" x14ac:dyDescent="0.25">
      <c r="B45" s="4">
        <v>41</v>
      </c>
    </row>
    <row r="46" spans="2:9" x14ac:dyDescent="0.25">
      <c r="B46" s="4">
        <v>42</v>
      </c>
      <c r="G46" t="s">
        <v>2</v>
      </c>
    </row>
    <row r="47" spans="2:9" x14ac:dyDescent="0.25">
      <c r="B47" s="4">
        <v>43</v>
      </c>
      <c r="C47" t="s">
        <v>3</v>
      </c>
      <c r="D47" t="s">
        <v>3</v>
      </c>
      <c r="G47" t="s">
        <v>2</v>
      </c>
      <c r="H47" t="s">
        <v>2</v>
      </c>
    </row>
    <row r="48" spans="2:9" x14ac:dyDescent="0.25">
      <c r="B48" s="4">
        <v>44</v>
      </c>
    </row>
    <row r="49" spans="2:9" x14ac:dyDescent="0.25">
      <c r="B49" s="4">
        <v>45</v>
      </c>
      <c r="D49" t="s">
        <v>3</v>
      </c>
      <c r="H49" t="s">
        <v>6</v>
      </c>
    </row>
    <row r="50" spans="2:9" x14ac:dyDescent="0.25">
      <c r="B50" s="4">
        <v>46</v>
      </c>
      <c r="C50" t="s">
        <v>3</v>
      </c>
      <c r="G50" t="s">
        <v>2</v>
      </c>
      <c r="I50" t="s">
        <v>2</v>
      </c>
    </row>
    <row r="51" spans="2:9" x14ac:dyDescent="0.25">
      <c r="B51" s="4">
        <v>47</v>
      </c>
      <c r="C51" t="s">
        <v>3</v>
      </c>
      <c r="F51" t="s">
        <v>6</v>
      </c>
      <c r="H51" t="s">
        <v>2</v>
      </c>
      <c r="I51" t="s">
        <v>2</v>
      </c>
    </row>
    <row r="52" spans="2:9" x14ac:dyDescent="0.25">
      <c r="B52" s="4">
        <v>48</v>
      </c>
      <c r="C52" t="s">
        <v>3</v>
      </c>
      <c r="F52" t="s">
        <v>6</v>
      </c>
      <c r="I52" t="s">
        <v>6</v>
      </c>
    </row>
    <row r="53" spans="2:9" x14ac:dyDescent="0.25">
      <c r="B53" s="4">
        <v>49</v>
      </c>
      <c r="D53" t="s">
        <v>3</v>
      </c>
      <c r="F53" t="s">
        <v>6</v>
      </c>
      <c r="I53" t="s">
        <v>7</v>
      </c>
    </row>
    <row r="54" spans="2:9" x14ac:dyDescent="0.25">
      <c r="B54" s="4">
        <v>50</v>
      </c>
      <c r="D54" t="s">
        <v>3</v>
      </c>
      <c r="G54" t="s">
        <v>6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C56" t="s">
        <v>3</v>
      </c>
      <c r="F56" t="s">
        <v>2</v>
      </c>
      <c r="G56" t="s">
        <v>2</v>
      </c>
    </row>
    <row r="57" spans="2:9" x14ac:dyDescent="0.25">
      <c r="B57" s="4">
        <v>53</v>
      </c>
    </row>
    <row r="58" spans="2:9" x14ac:dyDescent="0.25">
      <c r="B58" s="4">
        <v>54</v>
      </c>
      <c r="C58" t="s">
        <v>3</v>
      </c>
      <c r="I58" t="s">
        <v>6</v>
      </c>
    </row>
    <row r="59" spans="2:9" x14ac:dyDescent="0.25">
      <c r="B59" s="4">
        <v>55</v>
      </c>
      <c r="I59" t="s">
        <v>6</v>
      </c>
    </row>
    <row r="60" spans="2:9" x14ac:dyDescent="0.25">
      <c r="B60" s="4">
        <v>56</v>
      </c>
      <c r="I60" t="s">
        <v>2</v>
      </c>
    </row>
  </sheetData>
  <conditionalFormatting sqref="C5:H11">
    <cfRule type="cellIs" dxfId="1404" priority="8" operator="equal">
      <formula>"Energia"</formula>
    </cfRule>
  </conditionalFormatting>
  <conditionalFormatting sqref="C5:J60">
    <cfRule type="cellIs" dxfId="1403" priority="1" operator="equal">
      <formula>"Energia"</formula>
    </cfRule>
    <cfRule type="cellIs" dxfId="1402" priority="3" operator="equal">
      <formula>"Operação"</formula>
    </cfRule>
    <cfRule type="cellIs" dxfId="1401" priority="4" operator="equal">
      <formula>"Chuva"</formula>
    </cfRule>
    <cfRule type="cellIs" dxfId="1400" priority="5" operator="equal">
      <formula>"Elétrico"</formula>
    </cfRule>
    <cfRule type="cellIs" dxfId="1399" priority="6" operator="equal">
      <formula>"Mecânico"</formula>
    </cfRule>
    <cfRule type="cellIs" dxfId="1398" priority="7" operator="equal">
      <formula>"Ok"</formula>
    </cfRule>
  </conditionalFormatting>
  <conditionalFormatting sqref="C5:J61">
    <cfRule type="cellIs" dxfId="1397" priority="2" operator="equal">
      <formula>"Feito"</formula>
    </cfRule>
  </conditionalFormatting>
  <dataValidations count="1">
    <dataValidation type="list" allowBlank="1" showInputMessage="1" showErrorMessage="1" sqref="C5:K60" xr:uid="{86F72E46-BDC5-497D-A6C2-D76D4FC4FD33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D8CD-BBBE-4919-9A26-FF35E26A2A25}">
  <sheetPr codeName="Planilha4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44210</v>
      </c>
      <c r="D3" s="3">
        <f>C3+1</f>
        <v>44211</v>
      </c>
      <c r="E3" s="3">
        <f t="shared" ref="E3:J3" si="0">D3+1</f>
        <v>44212</v>
      </c>
      <c r="F3" s="3">
        <f t="shared" si="0"/>
        <v>44213</v>
      </c>
      <c r="G3" s="3">
        <f t="shared" si="0"/>
        <v>44214</v>
      </c>
      <c r="H3" s="3">
        <f t="shared" si="0"/>
        <v>44215</v>
      </c>
      <c r="I3" s="3">
        <f t="shared" si="0"/>
        <v>44216</v>
      </c>
      <c r="J3" s="3">
        <f t="shared" si="0"/>
        <v>44217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5</v>
      </c>
      <c r="L5" s="5" t="s">
        <v>2</v>
      </c>
      <c r="M5">
        <f>COUNTIF($C$5:$J$60,L5)</f>
        <v>38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13</v>
      </c>
    </row>
    <row r="7" spans="2:13" x14ac:dyDescent="0.25">
      <c r="B7" s="4">
        <v>3</v>
      </c>
      <c r="L7" s="7" t="s">
        <v>6</v>
      </c>
      <c r="M7">
        <f t="shared" si="2"/>
        <v>9</v>
      </c>
    </row>
    <row r="8" spans="2:13" x14ac:dyDescent="0.25">
      <c r="B8" s="4">
        <v>4</v>
      </c>
      <c r="H8" t="s">
        <v>2</v>
      </c>
      <c r="J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J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I10" t="s">
        <v>5</v>
      </c>
      <c r="L10" s="10" t="s">
        <v>7</v>
      </c>
      <c r="M10">
        <f t="shared" si="2"/>
        <v>1</v>
      </c>
    </row>
    <row r="11" spans="2:13" x14ac:dyDescent="0.25">
      <c r="B11" s="4">
        <v>7</v>
      </c>
      <c r="I11" t="s">
        <v>2</v>
      </c>
      <c r="M11">
        <f>SUM(M5:M10)</f>
        <v>61</v>
      </c>
    </row>
    <row r="12" spans="2:13" x14ac:dyDescent="0.25">
      <c r="B12" s="4">
        <v>8</v>
      </c>
      <c r="J12" t="s">
        <v>2</v>
      </c>
    </row>
    <row r="13" spans="2:13" x14ac:dyDescent="0.25">
      <c r="B13" s="4">
        <v>9</v>
      </c>
      <c r="I13" t="s">
        <v>2</v>
      </c>
      <c r="J13" t="s">
        <v>2</v>
      </c>
    </row>
    <row r="14" spans="2:13" x14ac:dyDescent="0.25">
      <c r="B14" s="4">
        <v>10</v>
      </c>
      <c r="G14" t="s">
        <v>2</v>
      </c>
      <c r="H14" t="s">
        <v>2</v>
      </c>
      <c r="I14" t="s">
        <v>6</v>
      </c>
    </row>
    <row r="15" spans="2:13" x14ac:dyDescent="0.25">
      <c r="B15" s="4">
        <v>11</v>
      </c>
      <c r="I15" t="s">
        <v>2</v>
      </c>
      <c r="J15" t="s">
        <v>2</v>
      </c>
    </row>
    <row r="16" spans="2:13" x14ac:dyDescent="0.25">
      <c r="B16" s="4">
        <v>12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I17" t="s">
        <v>2</v>
      </c>
    </row>
    <row r="18" spans="2:10" x14ac:dyDescent="0.25">
      <c r="B18" s="4">
        <v>14</v>
      </c>
      <c r="H18" t="s">
        <v>2</v>
      </c>
      <c r="I18" t="s">
        <v>2</v>
      </c>
      <c r="J18" t="s">
        <v>6</v>
      </c>
    </row>
    <row r="19" spans="2:10" x14ac:dyDescent="0.25">
      <c r="B19" s="4">
        <v>15</v>
      </c>
      <c r="J19" t="s">
        <v>5</v>
      </c>
    </row>
    <row r="20" spans="2:10" x14ac:dyDescent="0.25">
      <c r="B20" s="4">
        <v>16</v>
      </c>
      <c r="C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5</v>
      </c>
      <c r="H22" t="s">
        <v>2</v>
      </c>
      <c r="J22" t="s">
        <v>2</v>
      </c>
    </row>
    <row r="23" spans="2:10" x14ac:dyDescent="0.25">
      <c r="B23" s="4">
        <v>19</v>
      </c>
    </row>
    <row r="24" spans="2:10" x14ac:dyDescent="0.25">
      <c r="B24" s="4">
        <v>20</v>
      </c>
      <c r="C24" t="s">
        <v>2</v>
      </c>
      <c r="J24" t="s">
        <v>2</v>
      </c>
    </row>
    <row r="25" spans="2:10" x14ac:dyDescent="0.25">
      <c r="B25" s="4">
        <v>21</v>
      </c>
    </row>
    <row r="26" spans="2:10" x14ac:dyDescent="0.25">
      <c r="B26" s="4">
        <v>22</v>
      </c>
      <c r="I26" t="s">
        <v>6</v>
      </c>
    </row>
    <row r="27" spans="2:10" x14ac:dyDescent="0.25">
      <c r="B27" s="4">
        <v>23</v>
      </c>
    </row>
    <row r="28" spans="2:10" x14ac:dyDescent="0.25">
      <c r="B28" s="4">
        <v>24</v>
      </c>
    </row>
    <row r="29" spans="2:10" x14ac:dyDescent="0.25">
      <c r="B29" s="4">
        <v>25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5</v>
      </c>
    </row>
    <row r="33" spans="2:10" x14ac:dyDescent="0.25">
      <c r="B33" s="4">
        <v>29</v>
      </c>
      <c r="H33" t="s">
        <v>2</v>
      </c>
      <c r="J33" t="s">
        <v>2</v>
      </c>
    </row>
    <row r="34" spans="2:10" x14ac:dyDescent="0.25">
      <c r="B34" s="4">
        <v>30</v>
      </c>
      <c r="I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I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H40" t="s">
        <v>6</v>
      </c>
      <c r="J40" t="s">
        <v>6</v>
      </c>
    </row>
    <row r="41" spans="2:10" x14ac:dyDescent="0.25">
      <c r="B41" s="4">
        <v>37</v>
      </c>
      <c r="I41" t="s">
        <v>2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  <c r="H45" t="s">
        <v>2</v>
      </c>
      <c r="I45" t="s">
        <v>2</v>
      </c>
      <c r="J45" t="s">
        <v>2</v>
      </c>
    </row>
    <row r="46" spans="2:10" x14ac:dyDescent="0.25">
      <c r="B46" s="4">
        <v>42</v>
      </c>
    </row>
    <row r="47" spans="2:10" x14ac:dyDescent="0.25">
      <c r="B47" s="4">
        <v>43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G49" t="s">
        <v>2</v>
      </c>
      <c r="H49" t="s">
        <v>2</v>
      </c>
      <c r="J49" t="s">
        <v>2</v>
      </c>
    </row>
    <row r="50" spans="2:10" x14ac:dyDescent="0.25">
      <c r="B50" s="4">
        <v>46</v>
      </c>
      <c r="I50" t="s">
        <v>2</v>
      </c>
      <c r="J50" t="s">
        <v>2</v>
      </c>
    </row>
    <row r="51" spans="2:10" x14ac:dyDescent="0.25">
      <c r="B51" s="4">
        <v>47</v>
      </c>
      <c r="I51" t="s">
        <v>6</v>
      </c>
    </row>
    <row r="52" spans="2:10" x14ac:dyDescent="0.25">
      <c r="B52" s="4">
        <v>48</v>
      </c>
      <c r="C52" t="s">
        <v>5</v>
      </c>
    </row>
    <row r="53" spans="2:10" x14ac:dyDescent="0.25">
      <c r="B53" s="4">
        <v>49</v>
      </c>
    </row>
    <row r="54" spans="2:10" x14ac:dyDescent="0.25">
      <c r="B54" s="4">
        <v>50</v>
      </c>
      <c r="J54" t="s">
        <v>6</v>
      </c>
    </row>
    <row r="55" spans="2:10" x14ac:dyDescent="0.25">
      <c r="B55" s="4">
        <v>51</v>
      </c>
      <c r="H55" t="s">
        <v>7</v>
      </c>
      <c r="I55" t="s">
        <v>6</v>
      </c>
      <c r="J55" t="s">
        <v>6</v>
      </c>
    </row>
    <row r="56" spans="2:10" x14ac:dyDescent="0.25">
      <c r="B56" s="4">
        <v>52</v>
      </c>
      <c r="G56" t="s">
        <v>2</v>
      </c>
    </row>
    <row r="57" spans="2:10" x14ac:dyDescent="0.25">
      <c r="B57" s="4">
        <v>53</v>
      </c>
    </row>
    <row r="58" spans="2:10" x14ac:dyDescent="0.25">
      <c r="B58" s="4">
        <v>54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1396" priority="8" operator="equal">
      <formula>"Energia"</formula>
    </cfRule>
  </conditionalFormatting>
  <conditionalFormatting sqref="C5:J60">
    <cfRule type="cellIs" dxfId="1395" priority="1" operator="equal">
      <formula>"Energia"</formula>
    </cfRule>
    <cfRule type="cellIs" dxfId="1394" priority="3" operator="equal">
      <formula>"Operação"</formula>
    </cfRule>
    <cfRule type="cellIs" dxfId="1393" priority="4" operator="equal">
      <formula>"Chuva"</formula>
    </cfRule>
    <cfRule type="cellIs" dxfId="1392" priority="5" operator="equal">
      <formula>"Elétrico"</formula>
    </cfRule>
    <cfRule type="cellIs" dxfId="1391" priority="6" operator="equal">
      <formula>"Mecânico"</formula>
    </cfRule>
    <cfRule type="cellIs" dxfId="1390" priority="7" operator="equal">
      <formula>"Ok"</formula>
    </cfRule>
  </conditionalFormatting>
  <conditionalFormatting sqref="C5:J61">
    <cfRule type="cellIs" dxfId="1389" priority="2" operator="equal">
      <formula>"Feito"</formula>
    </cfRule>
  </conditionalFormatting>
  <dataValidations count="1">
    <dataValidation type="list" allowBlank="1" showInputMessage="1" showErrorMessage="1" sqref="C5:K60" xr:uid="{4A5ED36B-7128-4A53-9642-E802562463A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22-1F94-4D83-B158-E2B009902C68}">
  <sheetPr codeName="Planilha5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44218</v>
      </c>
      <c r="D3" s="3">
        <f>C3+1</f>
        <v>44219</v>
      </c>
      <c r="E3" s="3">
        <f t="shared" ref="E3:J3" si="0">D3+1</f>
        <v>44220</v>
      </c>
      <c r="F3" s="3">
        <f t="shared" si="0"/>
        <v>44221</v>
      </c>
      <c r="G3" s="3">
        <f t="shared" si="0"/>
        <v>44222</v>
      </c>
      <c r="H3" s="3">
        <f t="shared" si="0"/>
        <v>44223</v>
      </c>
      <c r="I3" s="3">
        <f t="shared" si="0"/>
        <v>44224</v>
      </c>
      <c r="J3" s="3">
        <f t="shared" si="0"/>
        <v>44225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C5" t="s">
        <v>5</v>
      </c>
      <c r="F5" t="s">
        <v>5</v>
      </c>
      <c r="J5" t="s">
        <v>7</v>
      </c>
      <c r="L5" s="5" t="s">
        <v>2</v>
      </c>
      <c r="M5">
        <f>COUNTIF($C$5:$J$60,L5)</f>
        <v>118</v>
      </c>
    </row>
    <row r="6" spans="2:13" x14ac:dyDescent="0.25">
      <c r="B6" s="4">
        <v>2</v>
      </c>
      <c r="I6" t="s">
        <v>2</v>
      </c>
      <c r="L6" s="6" t="s">
        <v>5</v>
      </c>
      <c r="M6">
        <f t="shared" ref="M6:M10" si="2">COUNTIF($C$5:$J$60,L6)</f>
        <v>19</v>
      </c>
    </row>
    <row r="7" spans="2:13" x14ac:dyDescent="0.25">
      <c r="B7" s="4">
        <v>3</v>
      </c>
      <c r="L7" s="7" t="s">
        <v>6</v>
      </c>
      <c r="M7">
        <f t="shared" si="2"/>
        <v>4</v>
      </c>
    </row>
    <row r="8" spans="2:13" x14ac:dyDescent="0.25">
      <c r="B8" s="4">
        <v>4</v>
      </c>
      <c r="D8" t="s">
        <v>2</v>
      </c>
      <c r="F8" t="s">
        <v>2</v>
      </c>
      <c r="L8" s="8" t="s">
        <v>4</v>
      </c>
      <c r="M8">
        <f t="shared" si="2"/>
        <v>19</v>
      </c>
    </row>
    <row r="9" spans="2:13" x14ac:dyDescent="0.25">
      <c r="B9" s="4">
        <v>5</v>
      </c>
      <c r="D9" t="s">
        <v>2</v>
      </c>
      <c r="F9" t="s">
        <v>2</v>
      </c>
      <c r="H9" t="s">
        <v>2</v>
      </c>
      <c r="J9" t="s">
        <v>7</v>
      </c>
      <c r="L9" s="9" t="s">
        <v>3</v>
      </c>
      <c r="M9">
        <f t="shared" si="2"/>
        <v>0</v>
      </c>
    </row>
    <row r="10" spans="2:13" x14ac:dyDescent="0.25">
      <c r="B10" s="4">
        <v>6</v>
      </c>
      <c r="C10" t="s">
        <v>2</v>
      </c>
      <c r="E10" t="s">
        <v>2</v>
      </c>
      <c r="F10" t="s">
        <v>2</v>
      </c>
      <c r="G10" t="s">
        <v>2</v>
      </c>
      <c r="I10" t="s">
        <v>2</v>
      </c>
      <c r="L10" s="10" t="s">
        <v>7</v>
      </c>
      <c r="M10">
        <f t="shared" si="2"/>
        <v>19</v>
      </c>
    </row>
    <row r="11" spans="2:13" x14ac:dyDescent="0.25">
      <c r="B11" s="4">
        <v>7</v>
      </c>
      <c r="C11" t="s">
        <v>2</v>
      </c>
      <c r="E11" t="s">
        <v>2</v>
      </c>
      <c r="G11" t="s">
        <v>4</v>
      </c>
      <c r="I11" t="s">
        <v>2</v>
      </c>
      <c r="M11">
        <f>SUM(M5:M10)</f>
        <v>179</v>
      </c>
    </row>
    <row r="12" spans="2:13" x14ac:dyDescent="0.25">
      <c r="B12" s="4">
        <v>8</v>
      </c>
      <c r="D12" t="s">
        <v>2</v>
      </c>
      <c r="F12" t="s">
        <v>5</v>
      </c>
      <c r="H12" t="s">
        <v>2</v>
      </c>
      <c r="I12" t="s">
        <v>2</v>
      </c>
      <c r="J12" t="s">
        <v>2</v>
      </c>
    </row>
    <row r="13" spans="2:13" x14ac:dyDescent="0.25">
      <c r="B13" s="4">
        <v>9</v>
      </c>
      <c r="C13" t="s">
        <v>2</v>
      </c>
      <c r="E13" t="s">
        <v>2</v>
      </c>
      <c r="G13" t="s">
        <v>5</v>
      </c>
      <c r="J13" t="s">
        <v>7</v>
      </c>
    </row>
    <row r="14" spans="2:13" x14ac:dyDescent="0.25">
      <c r="B14" s="4">
        <v>10</v>
      </c>
      <c r="C14" t="s">
        <v>5</v>
      </c>
      <c r="E14" t="s">
        <v>5</v>
      </c>
      <c r="G14" t="s">
        <v>7</v>
      </c>
      <c r="I14" t="s">
        <v>2</v>
      </c>
    </row>
    <row r="15" spans="2:13" x14ac:dyDescent="0.25">
      <c r="B15" s="4">
        <v>11</v>
      </c>
      <c r="C15" t="s">
        <v>2</v>
      </c>
      <c r="E15" t="s">
        <v>2</v>
      </c>
      <c r="G15" t="s">
        <v>2</v>
      </c>
      <c r="I15" t="s">
        <v>2</v>
      </c>
    </row>
    <row r="16" spans="2:13" x14ac:dyDescent="0.25">
      <c r="B16" s="4">
        <v>12</v>
      </c>
      <c r="D16" t="s">
        <v>2</v>
      </c>
      <c r="F16" t="s">
        <v>2</v>
      </c>
      <c r="H16" t="s">
        <v>2</v>
      </c>
      <c r="J16" t="s">
        <v>7</v>
      </c>
    </row>
    <row r="17" spans="2:10" x14ac:dyDescent="0.25">
      <c r="B17" s="4">
        <v>13</v>
      </c>
      <c r="C17" t="s">
        <v>2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D18" t="s">
        <v>6</v>
      </c>
      <c r="F18" t="s">
        <v>2</v>
      </c>
      <c r="H18" t="s">
        <v>7</v>
      </c>
      <c r="J18" t="s">
        <v>2</v>
      </c>
    </row>
    <row r="19" spans="2:10" x14ac:dyDescent="0.25">
      <c r="B19" s="4">
        <v>15</v>
      </c>
    </row>
    <row r="20" spans="2:10" x14ac:dyDescent="0.25">
      <c r="B20" s="4">
        <v>16</v>
      </c>
      <c r="C20" t="s">
        <v>2</v>
      </c>
      <c r="F20" t="s">
        <v>2</v>
      </c>
      <c r="I20" t="s">
        <v>5</v>
      </c>
    </row>
    <row r="21" spans="2:10" x14ac:dyDescent="0.25">
      <c r="B21" s="4">
        <v>17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</row>
    <row r="22" spans="2:10" x14ac:dyDescent="0.25">
      <c r="B22" s="4">
        <v>18</v>
      </c>
      <c r="E22" t="s">
        <v>2</v>
      </c>
      <c r="H22" t="s">
        <v>2</v>
      </c>
      <c r="I22" t="s">
        <v>2</v>
      </c>
    </row>
    <row r="23" spans="2:10" x14ac:dyDescent="0.25">
      <c r="B23" s="4">
        <v>19</v>
      </c>
      <c r="F23" t="s">
        <v>2</v>
      </c>
      <c r="G23" t="s">
        <v>2</v>
      </c>
      <c r="H23" t="s">
        <v>2</v>
      </c>
      <c r="I23" t="s">
        <v>4</v>
      </c>
      <c r="J23" t="s">
        <v>4</v>
      </c>
    </row>
    <row r="24" spans="2:10" x14ac:dyDescent="0.25">
      <c r="B24" s="4">
        <v>20</v>
      </c>
      <c r="E24" t="s">
        <v>2</v>
      </c>
      <c r="H24" t="s">
        <v>4</v>
      </c>
      <c r="J24" t="s">
        <v>7</v>
      </c>
    </row>
    <row r="25" spans="2:10" x14ac:dyDescent="0.25">
      <c r="B25" s="4">
        <v>21</v>
      </c>
      <c r="E25" t="s">
        <v>2</v>
      </c>
      <c r="F25" t="s">
        <v>5</v>
      </c>
      <c r="G25" t="s">
        <v>4</v>
      </c>
      <c r="H25" t="s">
        <v>4</v>
      </c>
      <c r="I25" t="s">
        <v>4</v>
      </c>
      <c r="J25" t="s">
        <v>4</v>
      </c>
    </row>
    <row r="26" spans="2:10" x14ac:dyDescent="0.25">
      <c r="B26" s="4">
        <v>22</v>
      </c>
      <c r="C26" t="s">
        <v>6</v>
      </c>
      <c r="D26" t="s">
        <v>6</v>
      </c>
      <c r="F26" t="s">
        <v>5</v>
      </c>
      <c r="I26" t="s">
        <v>2</v>
      </c>
    </row>
    <row r="27" spans="2:10" x14ac:dyDescent="0.25">
      <c r="B27" s="4">
        <v>23</v>
      </c>
      <c r="E27" t="s">
        <v>2</v>
      </c>
      <c r="F27" t="s">
        <v>2</v>
      </c>
      <c r="G27" t="s">
        <v>2</v>
      </c>
      <c r="H27" t="s">
        <v>7</v>
      </c>
      <c r="I27" t="s">
        <v>2</v>
      </c>
      <c r="J27" t="s">
        <v>2</v>
      </c>
    </row>
    <row r="28" spans="2:10" x14ac:dyDescent="0.25">
      <c r="B28" s="4">
        <v>24</v>
      </c>
      <c r="E28" t="s">
        <v>2</v>
      </c>
      <c r="H28" t="s">
        <v>7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  <c r="J29" t="s">
        <v>4</v>
      </c>
    </row>
    <row r="30" spans="2:10" x14ac:dyDescent="0.25">
      <c r="B30" s="4">
        <v>26</v>
      </c>
      <c r="D30" t="s">
        <v>2</v>
      </c>
      <c r="E30" t="s">
        <v>5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</row>
    <row r="31" spans="2:10" x14ac:dyDescent="0.25">
      <c r="B31" s="4">
        <v>27</v>
      </c>
    </row>
    <row r="32" spans="2:10" x14ac:dyDescent="0.25">
      <c r="B32" s="4">
        <v>28</v>
      </c>
      <c r="H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J33" t="s">
        <v>7</v>
      </c>
    </row>
    <row r="34" spans="2:10" x14ac:dyDescent="0.25">
      <c r="B34" s="4">
        <v>30</v>
      </c>
      <c r="D34" t="s">
        <v>5</v>
      </c>
      <c r="G34" t="s">
        <v>2</v>
      </c>
      <c r="I34" t="s">
        <v>7</v>
      </c>
    </row>
    <row r="35" spans="2:10" x14ac:dyDescent="0.25">
      <c r="B35" s="4">
        <v>31</v>
      </c>
      <c r="J35" t="s">
        <v>2</v>
      </c>
    </row>
    <row r="36" spans="2:10" x14ac:dyDescent="0.25">
      <c r="B36" s="4">
        <v>32</v>
      </c>
      <c r="C36" t="s">
        <v>2</v>
      </c>
      <c r="F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H38" t="s">
        <v>5</v>
      </c>
      <c r="I38" t="s">
        <v>7</v>
      </c>
    </row>
    <row r="39" spans="2:10" x14ac:dyDescent="0.25">
      <c r="B39" s="4">
        <v>35</v>
      </c>
    </row>
    <row r="40" spans="2:10" x14ac:dyDescent="0.25">
      <c r="B40" s="4">
        <v>36</v>
      </c>
      <c r="D40" t="s">
        <v>2</v>
      </c>
      <c r="F40" t="s">
        <v>2</v>
      </c>
      <c r="H40" t="s">
        <v>2</v>
      </c>
      <c r="I40" t="s">
        <v>2</v>
      </c>
    </row>
    <row r="41" spans="2:10" x14ac:dyDescent="0.25">
      <c r="B41" s="4">
        <v>37</v>
      </c>
      <c r="C41" t="s">
        <v>2</v>
      </c>
      <c r="E41" t="s">
        <v>2</v>
      </c>
      <c r="G41" t="s">
        <v>2</v>
      </c>
    </row>
    <row r="42" spans="2:10" x14ac:dyDescent="0.25">
      <c r="B42" s="4">
        <v>38</v>
      </c>
      <c r="H42" t="s">
        <v>2</v>
      </c>
      <c r="I42" t="s">
        <v>2</v>
      </c>
      <c r="J42" t="s">
        <v>2</v>
      </c>
    </row>
    <row r="43" spans="2:10" x14ac:dyDescent="0.25">
      <c r="B43" s="4">
        <v>39</v>
      </c>
      <c r="G43" t="s">
        <v>2</v>
      </c>
      <c r="H43" t="s">
        <v>5</v>
      </c>
      <c r="I43" t="s">
        <v>2</v>
      </c>
      <c r="J43" t="s">
        <v>2</v>
      </c>
    </row>
    <row r="44" spans="2:10" x14ac:dyDescent="0.25">
      <c r="B44" s="4">
        <v>40</v>
      </c>
      <c r="H44" t="s">
        <v>2</v>
      </c>
      <c r="I44" t="s">
        <v>2</v>
      </c>
      <c r="J44" t="s">
        <v>2</v>
      </c>
    </row>
    <row r="45" spans="2:10" x14ac:dyDescent="0.25">
      <c r="B45" s="4">
        <v>41</v>
      </c>
      <c r="C45" t="s">
        <v>2</v>
      </c>
      <c r="D45" t="s">
        <v>2</v>
      </c>
      <c r="E45" t="s">
        <v>2</v>
      </c>
      <c r="F45" t="s">
        <v>2</v>
      </c>
      <c r="H45" t="s">
        <v>2</v>
      </c>
      <c r="J45" t="s">
        <v>2</v>
      </c>
    </row>
    <row r="46" spans="2:10" x14ac:dyDescent="0.25">
      <c r="B46" s="4">
        <v>42</v>
      </c>
      <c r="I46" t="s">
        <v>2</v>
      </c>
      <c r="J46" t="s">
        <v>2</v>
      </c>
    </row>
    <row r="47" spans="2:10" x14ac:dyDescent="0.25">
      <c r="B47" s="4">
        <v>43</v>
      </c>
      <c r="E47" t="s">
        <v>4</v>
      </c>
      <c r="H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E49" t="s">
        <v>4</v>
      </c>
      <c r="F49" t="s">
        <v>2</v>
      </c>
      <c r="G49" t="s">
        <v>2</v>
      </c>
      <c r="I49" t="s">
        <v>2</v>
      </c>
    </row>
    <row r="50" spans="2:10" x14ac:dyDescent="0.25">
      <c r="B50" s="4">
        <v>46</v>
      </c>
      <c r="C50" t="s">
        <v>2</v>
      </c>
      <c r="F50" t="s">
        <v>7</v>
      </c>
      <c r="I50" t="s">
        <v>2</v>
      </c>
      <c r="J50" t="s">
        <v>2</v>
      </c>
    </row>
    <row r="51" spans="2:10" x14ac:dyDescent="0.25">
      <c r="B51" s="4">
        <v>47</v>
      </c>
      <c r="D51" t="s">
        <v>2</v>
      </c>
      <c r="G51" t="s">
        <v>4</v>
      </c>
      <c r="I51" t="s">
        <v>7</v>
      </c>
      <c r="J51" t="s">
        <v>7</v>
      </c>
    </row>
    <row r="52" spans="2:10" x14ac:dyDescent="0.25">
      <c r="B52" s="4">
        <v>48</v>
      </c>
      <c r="E52" t="s">
        <v>4</v>
      </c>
      <c r="G52" t="s">
        <v>4</v>
      </c>
      <c r="H52" t="s">
        <v>2</v>
      </c>
      <c r="I52" t="s">
        <v>2</v>
      </c>
      <c r="J52" t="s">
        <v>2</v>
      </c>
    </row>
    <row r="53" spans="2:10" x14ac:dyDescent="0.25">
      <c r="B53" s="4">
        <v>49</v>
      </c>
      <c r="G53" t="s">
        <v>4</v>
      </c>
      <c r="I53" t="s">
        <v>2</v>
      </c>
      <c r="J53" t="s">
        <v>2</v>
      </c>
    </row>
    <row r="54" spans="2:10" x14ac:dyDescent="0.25">
      <c r="B54" s="4">
        <v>50</v>
      </c>
      <c r="D54" t="s">
        <v>2</v>
      </c>
      <c r="F54" t="s">
        <v>6</v>
      </c>
      <c r="H54" t="s">
        <v>5</v>
      </c>
      <c r="J54" t="s">
        <v>2</v>
      </c>
    </row>
    <row r="55" spans="2:10" x14ac:dyDescent="0.25">
      <c r="B55" s="4">
        <v>51</v>
      </c>
      <c r="C55" t="s">
        <v>2</v>
      </c>
      <c r="D55" t="s">
        <v>2</v>
      </c>
      <c r="E55" t="s">
        <v>4</v>
      </c>
      <c r="F55" t="s">
        <v>7</v>
      </c>
      <c r="H55" t="s">
        <v>5</v>
      </c>
      <c r="I55" t="s">
        <v>5</v>
      </c>
      <c r="J55" t="s">
        <v>2</v>
      </c>
    </row>
    <row r="56" spans="2:10" x14ac:dyDescent="0.25">
      <c r="B56" s="4">
        <v>52</v>
      </c>
      <c r="F56" t="s">
        <v>7</v>
      </c>
      <c r="I56" t="s">
        <v>7</v>
      </c>
      <c r="J56" t="s">
        <v>4</v>
      </c>
    </row>
    <row r="57" spans="2:10" x14ac:dyDescent="0.25">
      <c r="B57" s="4">
        <v>53</v>
      </c>
      <c r="E57" t="s">
        <v>4</v>
      </c>
      <c r="J57" t="s">
        <v>2</v>
      </c>
    </row>
    <row r="58" spans="2:10" x14ac:dyDescent="0.25">
      <c r="B58" s="4">
        <v>54</v>
      </c>
      <c r="E58" t="s">
        <v>4</v>
      </c>
      <c r="J58" t="s">
        <v>2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1388" priority="8" operator="equal">
      <formula>"Energia"</formula>
    </cfRule>
  </conditionalFormatting>
  <conditionalFormatting sqref="C5:J60">
    <cfRule type="cellIs" dxfId="1387" priority="1" operator="equal">
      <formula>"Energia"</formula>
    </cfRule>
    <cfRule type="cellIs" dxfId="1386" priority="3" operator="equal">
      <formula>"Operação"</formula>
    </cfRule>
    <cfRule type="cellIs" dxfId="1385" priority="4" operator="equal">
      <formula>"Chuva"</formula>
    </cfRule>
    <cfRule type="cellIs" dxfId="1384" priority="5" operator="equal">
      <formula>"Elétrico"</formula>
    </cfRule>
    <cfRule type="cellIs" dxfId="1383" priority="6" operator="equal">
      <formula>"Mecânico"</formula>
    </cfRule>
    <cfRule type="cellIs" dxfId="1382" priority="7" operator="equal">
      <formula>"Ok"</formula>
    </cfRule>
  </conditionalFormatting>
  <conditionalFormatting sqref="C5:J61">
    <cfRule type="cellIs" dxfId="1381" priority="2" operator="equal">
      <formula>"Feito"</formula>
    </cfRule>
  </conditionalFormatting>
  <dataValidations count="1">
    <dataValidation type="list" allowBlank="1" showInputMessage="1" showErrorMessage="1" sqref="C5:K60" xr:uid="{2A5913B1-31ED-4315-9302-8306AE7CC42B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023-EB72-47F7-8D46-EE7FBACCB41F}">
  <sheetPr codeName="Planilha6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44226</v>
      </c>
      <c r="D3" s="3">
        <f>C3+1</f>
        <v>44227</v>
      </c>
      <c r="E3" s="3">
        <f t="shared" ref="E3:J3" si="0">D3+1</f>
        <v>44228</v>
      </c>
      <c r="F3" s="3">
        <f t="shared" si="0"/>
        <v>44229</v>
      </c>
      <c r="G3" s="3">
        <f t="shared" si="0"/>
        <v>44230</v>
      </c>
      <c r="H3" s="3">
        <f t="shared" si="0"/>
        <v>44231</v>
      </c>
      <c r="I3" s="3">
        <f t="shared" si="0"/>
        <v>44232</v>
      </c>
      <c r="J3" s="3">
        <f t="shared" si="0"/>
        <v>44233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7</v>
      </c>
      <c r="G5" t="s">
        <v>2</v>
      </c>
      <c r="L5" s="5" t="s">
        <v>2</v>
      </c>
      <c r="M5">
        <f>COUNTIF($C$5:$J$60,L5)</f>
        <v>122</v>
      </c>
    </row>
    <row r="6" spans="2:13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6</v>
      </c>
      <c r="M7">
        <f t="shared" si="2"/>
        <v>0</v>
      </c>
    </row>
    <row r="8" spans="2:13" x14ac:dyDescent="0.25">
      <c r="B8" s="4">
        <v>4</v>
      </c>
      <c r="I8" t="s">
        <v>7</v>
      </c>
      <c r="J8" t="s">
        <v>2</v>
      </c>
      <c r="L8" s="8" t="s">
        <v>4</v>
      </c>
      <c r="M8">
        <f t="shared" si="2"/>
        <v>18</v>
      </c>
    </row>
    <row r="9" spans="2:13" x14ac:dyDescent="0.25">
      <c r="B9" s="4">
        <v>5</v>
      </c>
      <c r="D9" t="s">
        <v>2</v>
      </c>
      <c r="G9" t="s">
        <v>2</v>
      </c>
      <c r="I9" t="s">
        <v>2</v>
      </c>
      <c r="L9" s="9" t="s">
        <v>3</v>
      </c>
      <c r="M9">
        <f t="shared" si="2"/>
        <v>2</v>
      </c>
    </row>
    <row r="10" spans="2:13" x14ac:dyDescent="0.25">
      <c r="B10" s="4">
        <v>6</v>
      </c>
      <c r="C10" t="s">
        <v>2</v>
      </c>
      <c r="F10" t="s">
        <v>2</v>
      </c>
      <c r="H10" t="s">
        <v>2</v>
      </c>
      <c r="J10" t="s">
        <v>2</v>
      </c>
      <c r="L10" s="10" t="s">
        <v>7</v>
      </c>
      <c r="M10">
        <f t="shared" si="2"/>
        <v>21</v>
      </c>
    </row>
    <row r="11" spans="2:13" x14ac:dyDescent="0.25">
      <c r="B11" s="4">
        <v>7</v>
      </c>
      <c r="C11" t="s">
        <v>2</v>
      </c>
      <c r="F11" t="s">
        <v>2</v>
      </c>
      <c r="I11" t="s">
        <v>2</v>
      </c>
      <c r="M11">
        <f>SUM(M5:M10)</f>
        <v>175</v>
      </c>
    </row>
    <row r="12" spans="2:13" x14ac:dyDescent="0.25">
      <c r="B12" s="4">
        <v>8</v>
      </c>
      <c r="D12" t="s">
        <v>5</v>
      </c>
      <c r="F12" t="s">
        <v>2</v>
      </c>
      <c r="H12" t="s">
        <v>2</v>
      </c>
      <c r="J12" t="s">
        <v>2</v>
      </c>
    </row>
    <row r="13" spans="2:13" x14ac:dyDescent="0.25">
      <c r="B13" s="4">
        <v>9</v>
      </c>
      <c r="D13" t="s">
        <v>5</v>
      </c>
      <c r="F13" t="s">
        <v>7</v>
      </c>
      <c r="H13" t="s">
        <v>2</v>
      </c>
      <c r="J13" t="s">
        <v>2</v>
      </c>
    </row>
    <row r="14" spans="2:13" x14ac:dyDescent="0.25">
      <c r="B14" s="4">
        <v>10</v>
      </c>
      <c r="C14" t="s">
        <v>7</v>
      </c>
      <c r="G14" t="s">
        <v>2</v>
      </c>
      <c r="I14" t="s">
        <v>2</v>
      </c>
    </row>
    <row r="15" spans="2:13" x14ac:dyDescent="0.25">
      <c r="B15" s="4">
        <v>11</v>
      </c>
      <c r="C15" t="s">
        <v>2</v>
      </c>
      <c r="F15" t="s">
        <v>2</v>
      </c>
      <c r="H15" t="s">
        <v>2</v>
      </c>
      <c r="J15" t="s">
        <v>2</v>
      </c>
    </row>
    <row r="16" spans="2:13" x14ac:dyDescent="0.25">
      <c r="B16" s="4">
        <v>12</v>
      </c>
      <c r="D16" t="s">
        <v>2</v>
      </c>
      <c r="G16" t="s">
        <v>2</v>
      </c>
      <c r="I16" t="s">
        <v>2</v>
      </c>
    </row>
    <row r="17" spans="2:10" x14ac:dyDescent="0.25">
      <c r="B17" s="4">
        <v>13</v>
      </c>
      <c r="C17" t="s">
        <v>2</v>
      </c>
      <c r="D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D18" t="s">
        <v>2</v>
      </c>
      <c r="G18" t="s">
        <v>5</v>
      </c>
      <c r="J18" t="s">
        <v>2</v>
      </c>
    </row>
    <row r="19" spans="2:10" x14ac:dyDescent="0.25">
      <c r="B19" s="4">
        <v>15</v>
      </c>
      <c r="I19" t="s">
        <v>2</v>
      </c>
    </row>
    <row r="20" spans="2:10" x14ac:dyDescent="0.25">
      <c r="B20" s="4">
        <v>16</v>
      </c>
      <c r="C20" t="s">
        <v>7</v>
      </c>
      <c r="G20" t="s">
        <v>2</v>
      </c>
    </row>
    <row r="21" spans="2:10" x14ac:dyDescent="0.25">
      <c r="B21" s="4">
        <v>17</v>
      </c>
      <c r="C21" t="s">
        <v>2</v>
      </c>
      <c r="D21" t="s">
        <v>2</v>
      </c>
      <c r="F21" t="s">
        <v>2</v>
      </c>
      <c r="J21" t="s">
        <v>2</v>
      </c>
    </row>
    <row r="22" spans="2:10" x14ac:dyDescent="0.25">
      <c r="B22" s="4">
        <v>18</v>
      </c>
      <c r="D22" t="s">
        <v>7</v>
      </c>
      <c r="E22" t="s">
        <v>2</v>
      </c>
      <c r="J22" t="s">
        <v>2</v>
      </c>
    </row>
    <row r="23" spans="2:10" x14ac:dyDescent="0.25">
      <c r="B23" s="4">
        <v>19</v>
      </c>
      <c r="C23" t="s">
        <v>4</v>
      </c>
      <c r="D23" t="s">
        <v>2</v>
      </c>
      <c r="F23" t="s">
        <v>7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  <c r="C25" t="s">
        <v>4</v>
      </c>
      <c r="D25" t="s">
        <v>4</v>
      </c>
      <c r="E25" t="s">
        <v>2</v>
      </c>
      <c r="F25" t="s">
        <v>4</v>
      </c>
      <c r="J25" t="s">
        <v>2</v>
      </c>
    </row>
    <row r="26" spans="2:10" x14ac:dyDescent="0.25">
      <c r="B26" s="4">
        <v>22</v>
      </c>
      <c r="D26" t="s">
        <v>2</v>
      </c>
      <c r="G26" t="s">
        <v>2</v>
      </c>
    </row>
    <row r="27" spans="2:10" x14ac:dyDescent="0.25">
      <c r="B27" s="4">
        <v>23</v>
      </c>
      <c r="C27" t="s">
        <v>2</v>
      </c>
      <c r="D27" t="s">
        <v>2</v>
      </c>
      <c r="G27" t="s">
        <v>2</v>
      </c>
    </row>
    <row r="28" spans="2:10" x14ac:dyDescent="0.25">
      <c r="B28" s="4">
        <v>24</v>
      </c>
      <c r="C28" t="s">
        <v>7</v>
      </c>
      <c r="H28" t="s">
        <v>7</v>
      </c>
    </row>
    <row r="29" spans="2:10" x14ac:dyDescent="0.25">
      <c r="B29" s="4">
        <v>25</v>
      </c>
      <c r="C29" t="s">
        <v>2</v>
      </c>
      <c r="D29" t="s">
        <v>4</v>
      </c>
      <c r="E29" t="s">
        <v>2</v>
      </c>
      <c r="F29" t="s">
        <v>4</v>
      </c>
      <c r="H29" t="s">
        <v>2</v>
      </c>
      <c r="I29" t="s">
        <v>2</v>
      </c>
      <c r="J29" t="s">
        <v>3</v>
      </c>
    </row>
    <row r="30" spans="2:10" x14ac:dyDescent="0.25">
      <c r="B30" s="4">
        <v>26</v>
      </c>
      <c r="C30" t="s">
        <v>2</v>
      </c>
      <c r="D30" t="s">
        <v>2</v>
      </c>
      <c r="G30" t="s">
        <v>7</v>
      </c>
      <c r="J30" t="s">
        <v>2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7</v>
      </c>
      <c r="G32" t="s">
        <v>2</v>
      </c>
    </row>
    <row r="33" spans="2:10" x14ac:dyDescent="0.25">
      <c r="B33" s="4">
        <v>29</v>
      </c>
      <c r="D33" t="s">
        <v>2</v>
      </c>
      <c r="G33" t="s">
        <v>2</v>
      </c>
      <c r="H33" t="s">
        <v>2</v>
      </c>
    </row>
    <row r="34" spans="2:10" x14ac:dyDescent="0.25">
      <c r="B34" s="4">
        <v>30</v>
      </c>
      <c r="C34" t="s">
        <v>2</v>
      </c>
      <c r="F34" t="s">
        <v>5</v>
      </c>
      <c r="G34" t="s">
        <v>7</v>
      </c>
      <c r="J34" t="s">
        <v>2</v>
      </c>
    </row>
    <row r="35" spans="2:10" x14ac:dyDescent="0.25">
      <c r="B35" s="4">
        <v>31</v>
      </c>
      <c r="D35" t="s">
        <v>5</v>
      </c>
      <c r="E35" t="s">
        <v>2</v>
      </c>
      <c r="F35" t="s">
        <v>5</v>
      </c>
      <c r="G35" t="s">
        <v>2</v>
      </c>
      <c r="H35" t="s">
        <v>2</v>
      </c>
      <c r="J35" t="s">
        <v>2</v>
      </c>
    </row>
    <row r="36" spans="2:10" x14ac:dyDescent="0.25">
      <c r="B36" s="4">
        <v>32</v>
      </c>
      <c r="F36" t="s">
        <v>2</v>
      </c>
      <c r="H36" t="s">
        <v>3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2</v>
      </c>
      <c r="G38" t="s">
        <v>2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C40" t="s">
        <v>2</v>
      </c>
      <c r="F40" t="s">
        <v>2</v>
      </c>
      <c r="I40" t="s">
        <v>5</v>
      </c>
    </row>
    <row r="41" spans="2:10" x14ac:dyDescent="0.25">
      <c r="B41" s="4">
        <v>37</v>
      </c>
    </row>
    <row r="42" spans="2:10" x14ac:dyDescent="0.25">
      <c r="B42" s="4">
        <v>38</v>
      </c>
      <c r="C42" t="s">
        <v>2</v>
      </c>
      <c r="D42" t="s">
        <v>2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C43" t="s">
        <v>2</v>
      </c>
      <c r="D43" t="s">
        <v>2</v>
      </c>
      <c r="G43" t="s">
        <v>2</v>
      </c>
    </row>
    <row r="44" spans="2:10" x14ac:dyDescent="0.25">
      <c r="B44" s="4">
        <v>40</v>
      </c>
      <c r="C44" t="s">
        <v>2</v>
      </c>
      <c r="D44" t="s">
        <v>2</v>
      </c>
      <c r="F44" t="s">
        <v>2</v>
      </c>
      <c r="J44" t="s">
        <v>2</v>
      </c>
    </row>
    <row r="45" spans="2:10" x14ac:dyDescent="0.25">
      <c r="B45" s="4">
        <v>41</v>
      </c>
      <c r="D45" t="s">
        <v>2</v>
      </c>
      <c r="G45" t="s">
        <v>2</v>
      </c>
    </row>
    <row r="46" spans="2:10" x14ac:dyDescent="0.25">
      <c r="B46" s="4">
        <v>42</v>
      </c>
      <c r="C46" t="s">
        <v>2</v>
      </c>
      <c r="D46" t="s">
        <v>2</v>
      </c>
      <c r="F46" t="s">
        <v>2</v>
      </c>
      <c r="H46" t="s">
        <v>2</v>
      </c>
    </row>
    <row r="47" spans="2:10" x14ac:dyDescent="0.25">
      <c r="B47" s="4">
        <v>43</v>
      </c>
      <c r="C47" t="s">
        <v>2</v>
      </c>
      <c r="G47" t="s">
        <v>2</v>
      </c>
    </row>
    <row r="48" spans="2:10" x14ac:dyDescent="0.25">
      <c r="B48" s="4">
        <v>44</v>
      </c>
      <c r="J48" t="s">
        <v>5</v>
      </c>
    </row>
    <row r="49" spans="2:10" x14ac:dyDescent="0.25">
      <c r="B49" s="4">
        <v>45</v>
      </c>
      <c r="C49" t="s">
        <v>4</v>
      </c>
      <c r="F49" t="s">
        <v>2</v>
      </c>
      <c r="H49" t="s">
        <v>2</v>
      </c>
      <c r="I49" t="s">
        <v>2</v>
      </c>
    </row>
    <row r="50" spans="2:10" x14ac:dyDescent="0.25">
      <c r="B50" s="4">
        <v>46</v>
      </c>
      <c r="D50" t="s">
        <v>7</v>
      </c>
      <c r="E50" t="s">
        <v>2</v>
      </c>
      <c r="G50" t="s">
        <v>2</v>
      </c>
      <c r="I50" t="s">
        <v>2</v>
      </c>
    </row>
    <row r="51" spans="2:10" x14ac:dyDescent="0.25">
      <c r="B51" s="4">
        <v>47</v>
      </c>
      <c r="C51" t="s">
        <v>4</v>
      </c>
      <c r="F51" t="s">
        <v>4</v>
      </c>
      <c r="H51" t="s">
        <v>4</v>
      </c>
      <c r="J51" t="s">
        <v>2</v>
      </c>
    </row>
    <row r="52" spans="2:10" x14ac:dyDescent="0.25">
      <c r="B52" s="4">
        <v>48</v>
      </c>
      <c r="D52" t="s">
        <v>7</v>
      </c>
      <c r="E52" t="s">
        <v>2</v>
      </c>
      <c r="H52" t="s">
        <v>4</v>
      </c>
      <c r="J52" t="s">
        <v>2</v>
      </c>
    </row>
    <row r="53" spans="2:10" x14ac:dyDescent="0.25">
      <c r="B53" s="4">
        <v>49</v>
      </c>
      <c r="C53" t="s">
        <v>4</v>
      </c>
      <c r="G53" t="s">
        <v>2</v>
      </c>
      <c r="I53" t="s">
        <v>2</v>
      </c>
    </row>
    <row r="54" spans="2:10" x14ac:dyDescent="0.25">
      <c r="B54" s="4">
        <v>50</v>
      </c>
      <c r="D54" t="s">
        <v>7</v>
      </c>
      <c r="E54" t="s">
        <v>2</v>
      </c>
      <c r="G54" t="s">
        <v>4</v>
      </c>
      <c r="I54" t="s">
        <v>2</v>
      </c>
      <c r="J54" t="s">
        <v>2</v>
      </c>
    </row>
    <row r="55" spans="2:10" x14ac:dyDescent="0.25">
      <c r="B55" s="4">
        <v>51</v>
      </c>
      <c r="C55" t="s">
        <v>4</v>
      </c>
      <c r="F55" t="s">
        <v>2</v>
      </c>
      <c r="J55" t="s">
        <v>2</v>
      </c>
    </row>
    <row r="56" spans="2:10" x14ac:dyDescent="0.25">
      <c r="B56" s="4">
        <v>52</v>
      </c>
      <c r="D56" t="s">
        <v>7</v>
      </c>
      <c r="E56" t="s">
        <v>2</v>
      </c>
      <c r="J56" t="s">
        <v>2</v>
      </c>
    </row>
    <row r="57" spans="2:10" x14ac:dyDescent="0.25">
      <c r="B57" s="4">
        <v>53</v>
      </c>
      <c r="C57" t="s">
        <v>4</v>
      </c>
      <c r="F57" t="s">
        <v>5</v>
      </c>
      <c r="G57" t="s">
        <v>7</v>
      </c>
      <c r="H57" t="s">
        <v>2</v>
      </c>
    </row>
    <row r="58" spans="2:10" x14ac:dyDescent="0.25">
      <c r="B58" s="4">
        <v>54</v>
      </c>
      <c r="C58" t="s">
        <v>4</v>
      </c>
      <c r="F58" t="s">
        <v>2</v>
      </c>
      <c r="G58" t="s">
        <v>7</v>
      </c>
      <c r="J58" t="s">
        <v>2</v>
      </c>
    </row>
    <row r="59" spans="2:10" x14ac:dyDescent="0.25">
      <c r="B59" s="4">
        <v>55</v>
      </c>
      <c r="C59" t="s">
        <v>4</v>
      </c>
      <c r="F59" t="s">
        <v>2</v>
      </c>
      <c r="G59" t="s">
        <v>2</v>
      </c>
      <c r="H59" t="s">
        <v>7</v>
      </c>
      <c r="I59" t="s">
        <v>2</v>
      </c>
      <c r="J59" t="s">
        <v>2</v>
      </c>
    </row>
    <row r="60" spans="2:10" x14ac:dyDescent="0.25">
      <c r="B60" s="4">
        <v>56</v>
      </c>
      <c r="C60" t="s">
        <v>4</v>
      </c>
      <c r="F60" t="s">
        <v>2</v>
      </c>
      <c r="G60" t="s">
        <v>5</v>
      </c>
      <c r="H60" t="s">
        <v>7</v>
      </c>
      <c r="I60" t="s">
        <v>2</v>
      </c>
      <c r="J60" t="s">
        <v>2</v>
      </c>
    </row>
  </sheetData>
  <conditionalFormatting sqref="C5:H11">
    <cfRule type="cellIs" dxfId="1380" priority="8" operator="equal">
      <formula>"Energia"</formula>
    </cfRule>
  </conditionalFormatting>
  <conditionalFormatting sqref="C5:J60">
    <cfRule type="cellIs" dxfId="1379" priority="1" operator="equal">
      <formula>"Energia"</formula>
    </cfRule>
    <cfRule type="cellIs" dxfId="1378" priority="3" operator="equal">
      <formula>"Operação"</formula>
    </cfRule>
    <cfRule type="cellIs" dxfId="1377" priority="4" operator="equal">
      <formula>"Chuva"</formula>
    </cfRule>
    <cfRule type="cellIs" dxfId="1376" priority="5" operator="equal">
      <formula>"Elétrico"</formula>
    </cfRule>
    <cfRule type="cellIs" dxfId="1375" priority="6" operator="equal">
      <formula>"Mecânico"</formula>
    </cfRule>
    <cfRule type="cellIs" dxfId="1374" priority="7" operator="equal">
      <formula>"Ok"</formula>
    </cfRule>
  </conditionalFormatting>
  <conditionalFormatting sqref="C5:J61">
    <cfRule type="cellIs" dxfId="1373" priority="2" operator="equal">
      <formula>"Feito"</formula>
    </cfRule>
  </conditionalFormatting>
  <dataValidations count="1">
    <dataValidation type="list" allowBlank="1" showInputMessage="1" showErrorMessage="1" sqref="C5:K60" xr:uid="{6281C197-BAD3-4311-973E-B03CC4B4503A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91CF-0C1F-4E3F-9C45-DCA42B46C7BA}">
  <sheetPr codeName="Planilha7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44234</v>
      </c>
      <c r="D3" s="3">
        <f>C3+1</f>
        <v>44235</v>
      </c>
      <c r="E3" s="3">
        <f t="shared" ref="E3:J3" si="0">D3+1</f>
        <v>44236</v>
      </c>
      <c r="F3" s="3">
        <f t="shared" si="0"/>
        <v>44237</v>
      </c>
      <c r="G3" s="3">
        <f t="shared" si="0"/>
        <v>44238</v>
      </c>
      <c r="H3" s="3">
        <f t="shared" si="0"/>
        <v>44239</v>
      </c>
      <c r="I3" s="3">
        <f t="shared" si="0"/>
        <v>44240</v>
      </c>
      <c r="J3" s="3">
        <f t="shared" si="0"/>
        <v>44241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C5" t="s">
        <v>7</v>
      </c>
      <c r="L5" s="5" t="s">
        <v>2</v>
      </c>
      <c r="M5">
        <f>COUNTIF($C$5:$J$60,L5)</f>
        <v>10</v>
      </c>
    </row>
    <row r="6" spans="2:13" x14ac:dyDescent="0.25">
      <c r="B6" s="4">
        <v>2</v>
      </c>
      <c r="C6" t="s">
        <v>3</v>
      </c>
      <c r="I6" t="s">
        <v>2</v>
      </c>
      <c r="L6" s="6" t="s">
        <v>5</v>
      </c>
      <c r="M6">
        <f t="shared" ref="M6:M10" si="2">COUNTIF($C$5:$J$60,L6)</f>
        <v>2</v>
      </c>
    </row>
    <row r="7" spans="2:13" x14ac:dyDescent="0.25">
      <c r="B7" s="4">
        <v>3</v>
      </c>
      <c r="L7" s="7" t="s">
        <v>6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3</v>
      </c>
      <c r="L9" s="9" t="s">
        <v>3</v>
      </c>
      <c r="M9">
        <f t="shared" si="2"/>
        <v>26</v>
      </c>
    </row>
    <row r="10" spans="2:13" x14ac:dyDescent="0.25">
      <c r="B10" s="4">
        <v>6</v>
      </c>
      <c r="L10" s="10" t="s">
        <v>7</v>
      </c>
      <c r="M10">
        <f t="shared" si="2"/>
        <v>1</v>
      </c>
    </row>
    <row r="11" spans="2:13" x14ac:dyDescent="0.25">
      <c r="B11" s="4">
        <v>7</v>
      </c>
      <c r="C11" t="s">
        <v>3</v>
      </c>
      <c r="M11">
        <f>SUM(M5:M10)</f>
        <v>40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  <c r="C14" t="s">
        <v>3</v>
      </c>
    </row>
    <row r="15" spans="2:13" x14ac:dyDescent="0.25">
      <c r="B15" s="4">
        <v>11</v>
      </c>
    </row>
    <row r="16" spans="2:13" x14ac:dyDescent="0.25">
      <c r="B16" s="4">
        <v>12</v>
      </c>
      <c r="C16" t="s">
        <v>3</v>
      </c>
    </row>
    <row r="17" spans="2:9" x14ac:dyDescent="0.25">
      <c r="B17" s="4">
        <v>13</v>
      </c>
      <c r="C17" t="s">
        <v>2</v>
      </c>
    </row>
    <row r="18" spans="2:9" x14ac:dyDescent="0.25">
      <c r="B18" s="4">
        <v>14</v>
      </c>
    </row>
    <row r="19" spans="2:9" x14ac:dyDescent="0.25">
      <c r="B19" s="4">
        <v>15</v>
      </c>
      <c r="C19" t="s">
        <v>3</v>
      </c>
    </row>
    <row r="20" spans="2:9" x14ac:dyDescent="0.25">
      <c r="B20" s="4">
        <v>16</v>
      </c>
      <c r="C20" t="s">
        <v>2</v>
      </c>
    </row>
    <row r="21" spans="2:9" x14ac:dyDescent="0.25">
      <c r="B21" s="4">
        <v>17</v>
      </c>
      <c r="I21" t="s">
        <v>2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C24" t="s">
        <v>3</v>
      </c>
    </row>
    <row r="25" spans="2:9" x14ac:dyDescent="0.25">
      <c r="B25" s="4">
        <v>21</v>
      </c>
    </row>
    <row r="26" spans="2:9" x14ac:dyDescent="0.25">
      <c r="B26" s="4">
        <v>22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</row>
    <row r="29" spans="2:9" x14ac:dyDescent="0.25">
      <c r="B29" s="4">
        <v>25</v>
      </c>
      <c r="C29" t="s">
        <v>3</v>
      </c>
      <c r="I29" t="s">
        <v>2</v>
      </c>
    </row>
    <row r="30" spans="2:9" x14ac:dyDescent="0.25">
      <c r="B30" s="4">
        <v>26</v>
      </c>
    </row>
    <row r="31" spans="2:9" x14ac:dyDescent="0.25">
      <c r="B31" s="4">
        <v>27</v>
      </c>
      <c r="C31" t="s">
        <v>3</v>
      </c>
    </row>
    <row r="32" spans="2:9" x14ac:dyDescent="0.25">
      <c r="B32" s="4">
        <v>28</v>
      </c>
    </row>
    <row r="33" spans="2:9" x14ac:dyDescent="0.25">
      <c r="B33" s="4">
        <v>29</v>
      </c>
      <c r="C33" t="s">
        <v>2</v>
      </c>
    </row>
    <row r="34" spans="2:9" x14ac:dyDescent="0.25">
      <c r="B34" s="4">
        <v>30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</row>
    <row r="39" spans="2:9" x14ac:dyDescent="0.25">
      <c r="B39" s="4">
        <v>35</v>
      </c>
      <c r="C39" t="s">
        <v>3</v>
      </c>
    </row>
    <row r="40" spans="2:9" x14ac:dyDescent="0.25">
      <c r="B40" s="4">
        <v>36</v>
      </c>
      <c r="C40" t="s">
        <v>3</v>
      </c>
    </row>
    <row r="41" spans="2:9" x14ac:dyDescent="0.25">
      <c r="B41" s="4">
        <v>37</v>
      </c>
    </row>
    <row r="42" spans="2:9" x14ac:dyDescent="0.25">
      <c r="B42" s="4">
        <v>38</v>
      </c>
      <c r="I42" t="s">
        <v>2</v>
      </c>
    </row>
    <row r="43" spans="2:9" x14ac:dyDescent="0.25">
      <c r="B43" s="4">
        <v>39</v>
      </c>
      <c r="C43" t="s">
        <v>6</v>
      </c>
      <c r="I43" t="s">
        <v>5</v>
      </c>
    </row>
    <row r="44" spans="2:9" x14ac:dyDescent="0.25">
      <c r="B44" s="4">
        <v>40</v>
      </c>
    </row>
    <row r="45" spans="2:9" x14ac:dyDescent="0.25">
      <c r="B45" s="4">
        <v>41</v>
      </c>
      <c r="C45" t="s">
        <v>3</v>
      </c>
    </row>
    <row r="46" spans="2:9" x14ac:dyDescent="0.25">
      <c r="B46" s="4">
        <v>42</v>
      </c>
      <c r="I46" t="s">
        <v>2</v>
      </c>
    </row>
    <row r="47" spans="2:9" x14ac:dyDescent="0.25">
      <c r="B47" s="4">
        <v>43</v>
      </c>
      <c r="C47" t="s">
        <v>3</v>
      </c>
    </row>
    <row r="48" spans="2:9" x14ac:dyDescent="0.25">
      <c r="B48" s="4">
        <v>44</v>
      </c>
      <c r="C48" t="s">
        <v>3</v>
      </c>
    </row>
    <row r="49" spans="2:9" x14ac:dyDescent="0.25">
      <c r="B49" s="4">
        <v>45</v>
      </c>
      <c r="C49" t="s">
        <v>3</v>
      </c>
    </row>
    <row r="50" spans="2:9" x14ac:dyDescent="0.25">
      <c r="B50" s="4">
        <v>46</v>
      </c>
      <c r="C50" t="s">
        <v>3</v>
      </c>
    </row>
    <row r="51" spans="2:9" x14ac:dyDescent="0.25">
      <c r="B51" s="4">
        <v>47</v>
      </c>
    </row>
    <row r="52" spans="2:9" x14ac:dyDescent="0.25">
      <c r="B52" s="4">
        <v>48</v>
      </c>
    </row>
    <row r="53" spans="2:9" x14ac:dyDescent="0.25">
      <c r="B53" s="4">
        <v>49</v>
      </c>
      <c r="C53" t="s">
        <v>3</v>
      </c>
    </row>
    <row r="54" spans="2:9" x14ac:dyDescent="0.25">
      <c r="B54" s="4">
        <v>50</v>
      </c>
      <c r="C54" t="s">
        <v>3</v>
      </c>
      <c r="I54" t="s">
        <v>2</v>
      </c>
    </row>
    <row r="55" spans="2:9" x14ac:dyDescent="0.25">
      <c r="B55" s="4">
        <v>51</v>
      </c>
      <c r="C55" t="s">
        <v>3</v>
      </c>
      <c r="I55" t="s">
        <v>2</v>
      </c>
    </row>
    <row r="56" spans="2:9" x14ac:dyDescent="0.25">
      <c r="B56" s="4">
        <v>52</v>
      </c>
    </row>
    <row r="57" spans="2:9" x14ac:dyDescent="0.25">
      <c r="B57" s="4">
        <v>53</v>
      </c>
      <c r="C57" t="s">
        <v>3</v>
      </c>
    </row>
    <row r="58" spans="2:9" x14ac:dyDescent="0.25">
      <c r="B58" s="4">
        <v>54</v>
      </c>
      <c r="C58" t="s">
        <v>3</v>
      </c>
    </row>
    <row r="59" spans="2:9" x14ac:dyDescent="0.25">
      <c r="B59" s="4">
        <v>55</v>
      </c>
      <c r="C59" t="s">
        <v>3</v>
      </c>
    </row>
    <row r="60" spans="2:9" x14ac:dyDescent="0.25">
      <c r="B60" s="4">
        <v>56</v>
      </c>
      <c r="C60" t="s">
        <v>5</v>
      </c>
    </row>
  </sheetData>
  <conditionalFormatting sqref="C5:H11">
    <cfRule type="cellIs" dxfId="1372" priority="8" operator="equal">
      <formula>"Energia"</formula>
    </cfRule>
  </conditionalFormatting>
  <conditionalFormatting sqref="C5:J60">
    <cfRule type="cellIs" dxfId="1371" priority="1" operator="equal">
      <formula>"Energia"</formula>
    </cfRule>
    <cfRule type="cellIs" dxfId="1370" priority="3" operator="equal">
      <formula>"Operação"</formula>
    </cfRule>
    <cfRule type="cellIs" dxfId="1369" priority="4" operator="equal">
      <formula>"Chuva"</formula>
    </cfRule>
    <cfRule type="cellIs" dxfId="1368" priority="5" operator="equal">
      <formula>"Elétrico"</formula>
    </cfRule>
    <cfRule type="cellIs" dxfId="1367" priority="6" operator="equal">
      <formula>"Mecânico"</formula>
    </cfRule>
    <cfRule type="cellIs" dxfId="1366" priority="7" operator="equal">
      <formula>"Ok"</formula>
    </cfRule>
  </conditionalFormatting>
  <conditionalFormatting sqref="C5:J61">
    <cfRule type="cellIs" dxfId="1365" priority="2" operator="equal">
      <formula>"Feito"</formula>
    </cfRule>
  </conditionalFormatting>
  <dataValidations count="1">
    <dataValidation type="list" allowBlank="1" showInputMessage="1" showErrorMessage="1" sqref="C5:K60" xr:uid="{D3497DA1-9B27-4E4A-A747-7631B4AA880F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81B-727E-4481-ACE8-BBC47BD32569}">
  <sheetPr codeName="Planilha8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44242</v>
      </c>
      <c r="D3" s="3">
        <f>C3+1</f>
        <v>44243</v>
      </c>
      <c r="E3" s="3">
        <f t="shared" ref="E3:J3" si="0">D3+1</f>
        <v>44244</v>
      </c>
      <c r="F3" s="3">
        <f t="shared" si="0"/>
        <v>44245</v>
      </c>
      <c r="G3" s="3">
        <f t="shared" si="0"/>
        <v>44246</v>
      </c>
      <c r="H3" s="3">
        <f t="shared" si="0"/>
        <v>44247</v>
      </c>
      <c r="I3" s="3">
        <f t="shared" si="0"/>
        <v>44248</v>
      </c>
      <c r="J3" s="3">
        <f t="shared" si="0"/>
        <v>44249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L5" s="5" t="s">
        <v>2</v>
      </c>
      <c r="M5">
        <f>COUNTIF($C$5:$J$60,L5)</f>
        <v>9</v>
      </c>
    </row>
    <row r="6" spans="2:13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6</v>
      </c>
    </row>
    <row r="7" spans="2:13" x14ac:dyDescent="0.25">
      <c r="B7" s="4">
        <v>3</v>
      </c>
      <c r="E7" t="s">
        <v>2</v>
      </c>
      <c r="F7" t="s">
        <v>2</v>
      </c>
      <c r="L7" s="7" t="s">
        <v>6</v>
      </c>
      <c r="M7">
        <f t="shared" si="2"/>
        <v>0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3</v>
      </c>
      <c r="M9">
        <f t="shared" si="2"/>
        <v>1</v>
      </c>
    </row>
    <row r="10" spans="2:13" x14ac:dyDescent="0.25">
      <c r="B10" s="4">
        <v>6</v>
      </c>
      <c r="L10" s="10" t="s">
        <v>7</v>
      </c>
      <c r="M10">
        <f t="shared" si="2"/>
        <v>2</v>
      </c>
    </row>
    <row r="11" spans="2:13" x14ac:dyDescent="0.25">
      <c r="B11" s="4">
        <v>7</v>
      </c>
      <c r="M11">
        <f>SUM(M5:M10)</f>
        <v>18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</row>
    <row r="21" spans="2:10" x14ac:dyDescent="0.25">
      <c r="B21" s="4">
        <v>17</v>
      </c>
    </row>
    <row r="22" spans="2:10" x14ac:dyDescent="0.25">
      <c r="B22" s="4">
        <v>18</v>
      </c>
      <c r="J22" t="s">
        <v>2</v>
      </c>
    </row>
    <row r="23" spans="2:10" x14ac:dyDescent="0.25">
      <c r="B23" s="4">
        <v>19</v>
      </c>
      <c r="C23" t="s">
        <v>3</v>
      </c>
      <c r="G23" t="s">
        <v>2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</row>
    <row r="26" spans="2:10" x14ac:dyDescent="0.25">
      <c r="B26" s="4">
        <v>22</v>
      </c>
    </row>
    <row r="27" spans="2:10" x14ac:dyDescent="0.25">
      <c r="B27" s="4">
        <v>23</v>
      </c>
    </row>
    <row r="28" spans="2:10" x14ac:dyDescent="0.25">
      <c r="B28" s="4">
        <v>24</v>
      </c>
      <c r="E28" t="s">
        <v>5</v>
      </c>
    </row>
    <row r="29" spans="2:10" x14ac:dyDescent="0.25">
      <c r="B29" s="4">
        <v>25</v>
      </c>
      <c r="C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</row>
    <row r="33" spans="2:10" x14ac:dyDescent="0.25">
      <c r="B33" s="4">
        <v>29</v>
      </c>
      <c r="C33" t="s">
        <v>2</v>
      </c>
      <c r="D33" t="s">
        <v>2</v>
      </c>
    </row>
    <row r="34" spans="2:10" x14ac:dyDescent="0.25">
      <c r="B34" s="4">
        <v>30</v>
      </c>
    </row>
    <row r="35" spans="2:10" x14ac:dyDescent="0.25">
      <c r="B35" s="4">
        <v>31</v>
      </c>
    </row>
    <row r="36" spans="2:10" x14ac:dyDescent="0.25">
      <c r="B36" s="4">
        <v>32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</row>
    <row r="46" spans="2:10" x14ac:dyDescent="0.25">
      <c r="B46" s="4">
        <v>42</v>
      </c>
    </row>
    <row r="47" spans="2:10" x14ac:dyDescent="0.25">
      <c r="B47" s="4">
        <v>43</v>
      </c>
    </row>
    <row r="48" spans="2:10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44242</v>
      </c>
      <c r="D66" s="3">
        <f>C66+1</f>
        <v>44243</v>
      </c>
      <c r="E66" s="3">
        <f t="shared" ref="E66" si="3">D66+1</f>
        <v>44244</v>
      </c>
      <c r="F66" s="3">
        <f t="shared" ref="F66" si="4">E66+1</f>
        <v>44245</v>
      </c>
      <c r="G66" s="3">
        <f t="shared" ref="G66" si="5">F66+1</f>
        <v>44246</v>
      </c>
      <c r="H66" s="3">
        <f t="shared" ref="H66" si="6">G66+1</f>
        <v>44247</v>
      </c>
      <c r="I66" s="3">
        <f t="shared" ref="I66" si="7">H66+1</f>
        <v>44248</v>
      </c>
      <c r="J66" s="3">
        <f t="shared" ref="J66" si="8">I66+1</f>
        <v>44249</v>
      </c>
    </row>
    <row r="67" spans="2:13" x14ac:dyDescent="0.25">
      <c r="B67" s="2" t="s">
        <v>0</v>
      </c>
      <c r="C67" s="1" t="str">
        <f>TEXT(C66,"ddd")</f>
        <v>seg</v>
      </c>
      <c r="D67" s="1" t="str">
        <f t="shared" ref="D67:J67" si="9">TEXT(D66,"ddd")</f>
        <v>ter</v>
      </c>
      <c r="E67" s="1" t="str">
        <f t="shared" si="9"/>
        <v>qua</v>
      </c>
      <c r="F67" s="1" t="str">
        <f t="shared" si="9"/>
        <v>qui</v>
      </c>
      <c r="G67" s="1" t="str">
        <f t="shared" si="9"/>
        <v>sex</v>
      </c>
      <c r="H67" s="1" t="str">
        <f t="shared" si="9"/>
        <v>sáb</v>
      </c>
      <c r="I67" s="1" t="str">
        <f t="shared" si="9"/>
        <v>dom</v>
      </c>
      <c r="J67" s="1" t="str">
        <f t="shared" si="9"/>
        <v>seg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L69" s="13" t="s">
        <v>9</v>
      </c>
      <c r="M69">
        <f t="shared" ref="M69:M73" si="10">COUNTIF($C$68:$J$123,L69)</f>
        <v>5</v>
      </c>
    </row>
    <row r="70" spans="2:13" x14ac:dyDescent="0.25">
      <c r="B70" s="4">
        <v>3</v>
      </c>
      <c r="L70" s="7" t="s">
        <v>10</v>
      </c>
      <c r="M70">
        <f t="shared" si="10"/>
        <v>5</v>
      </c>
    </row>
    <row r="71" spans="2:13" x14ac:dyDescent="0.25">
      <c r="B71" s="4">
        <v>4</v>
      </c>
      <c r="L71" s="8" t="s">
        <v>11</v>
      </c>
      <c r="M71">
        <f t="shared" si="10"/>
        <v>0</v>
      </c>
    </row>
    <row r="72" spans="2:13" x14ac:dyDescent="0.25">
      <c r="B72" s="4">
        <v>5</v>
      </c>
      <c r="L72" s="14" t="s">
        <v>12</v>
      </c>
      <c r="M72">
        <f t="shared" si="10"/>
        <v>0</v>
      </c>
    </row>
    <row r="73" spans="2:13" x14ac:dyDescent="0.25">
      <c r="B73" s="4">
        <v>6</v>
      </c>
      <c r="L73" s="15" t="s">
        <v>13</v>
      </c>
      <c r="M73">
        <f t="shared" si="10"/>
        <v>0</v>
      </c>
    </row>
    <row r="74" spans="2:13" x14ac:dyDescent="0.25">
      <c r="B74" s="4">
        <v>7</v>
      </c>
      <c r="M74">
        <f>SUM(M68:M73)</f>
        <v>12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9" x14ac:dyDescent="0.25">
      <c r="B81" s="4">
        <v>14</v>
      </c>
    </row>
    <row r="82" spans="2:9" x14ac:dyDescent="0.25">
      <c r="B82" s="4">
        <v>15</v>
      </c>
    </row>
    <row r="83" spans="2:9" x14ac:dyDescent="0.25">
      <c r="B83" s="4">
        <v>16</v>
      </c>
    </row>
    <row r="84" spans="2:9" x14ac:dyDescent="0.25">
      <c r="B84" s="4">
        <v>17</v>
      </c>
    </row>
    <row r="85" spans="2:9" x14ac:dyDescent="0.25">
      <c r="B85" s="4">
        <v>18</v>
      </c>
    </row>
    <row r="86" spans="2:9" x14ac:dyDescent="0.25">
      <c r="B86" s="4">
        <v>19</v>
      </c>
    </row>
    <row r="87" spans="2:9" x14ac:dyDescent="0.25">
      <c r="B87" s="4">
        <v>20</v>
      </c>
    </row>
    <row r="88" spans="2:9" x14ac:dyDescent="0.25">
      <c r="B88" s="4">
        <v>21</v>
      </c>
    </row>
    <row r="89" spans="2:9" x14ac:dyDescent="0.25">
      <c r="B89" s="4">
        <v>22</v>
      </c>
    </row>
    <row r="90" spans="2:9" x14ac:dyDescent="0.25">
      <c r="B90" s="4">
        <v>23</v>
      </c>
    </row>
    <row r="91" spans="2:9" x14ac:dyDescent="0.25">
      <c r="B91" s="4">
        <v>24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2:9" x14ac:dyDescent="0.25">
      <c r="B92" s="4">
        <v>25</v>
      </c>
    </row>
    <row r="93" spans="2:9" x14ac:dyDescent="0.25">
      <c r="B93" s="4">
        <v>26</v>
      </c>
    </row>
    <row r="94" spans="2:9" x14ac:dyDescent="0.25">
      <c r="B94" s="4">
        <v>27</v>
      </c>
    </row>
    <row r="95" spans="2:9" x14ac:dyDescent="0.25">
      <c r="B95" s="4">
        <v>28</v>
      </c>
    </row>
    <row r="96" spans="2:9" x14ac:dyDescent="0.25">
      <c r="B96" s="4">
        <v>29</v>
      </c>
    </row>
    <row r="97" spans="2:9" x14ac:dyDescent="0.25">
      <c r="B97" s="4">
        <v>30</v>
      </c>
    </row>
    <row r="98" spans="2:9" x14ac:dyDescent="0.25">
      <c r="B98" s="4">
        <v>31</v>
      </c>
    </row>
    <row r="99" spans="2:9" x14ac:dyDescent="0.25">
      <c r="B99" s="4">
        <v>32</v>
      </c>
      <c r="C99" t="s">
        <v>8</v>
      </c>
      <c r="D99" t="s">
        <v>8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</row>
    <row r="100" spans="2:9" x14ac:dyDescent="0.25">
      <c r="B100" s="4">
        <v>33</v>
      </c>
    </row>
    <row r="101" spans="2:9" x14ac:dyDescent="0.25">
      <c r="B101" s="4">
        <v>34</v>
      </c>
    </row>
    <row r="102" spans="2:9" x14ac:dyDescent="0.25">
      <c r="B102" s="4">
        <v>35</v>
      </c>
    </row>
    <row r="103" spans="2:9" x14ac:dyDescent="0.25">
      <c r="B103" s="4">
        <v>36</v>
      </c>
    </row>
    <row r="104" spans="2:9" x14ac:dyDescent="0.25">
      <c r="B104" s="4">
        <v>37</v>
      </c>
    </row>
    <row r="105" spans="2:9" x14ac:dyDescent="0.25">
      <c r="B105" s="4">
        <v>38</v>
      </c>
    </row>
    <row r="106" spans="2:9" x14ac:dyDescent="0.25">
      <c r="B106" s="4">
        <v>39</v>
      </c>
    </row>
    <row r="107" spans="2:9" x14ac:dyDescent="0.25">
      <c r="B107" s="4">
        <v>40</v>
      </c>
    </row>
    <row r="108" spans="2:9" x14ac:dyDescent="0.25">
      <c r="B108" s="4">
        <v>41</v>
      </c>
    </row>
    <row r="109" spans="2:9" x14ac:dyDescent="0.25">
      <c r="B109" s="4">
        <v>42</v>
      </c>
    </row>
    <row r="110" spans="2:9" x14ac:dyDescent="0.25">
      <c r="B110" s="4">
        <v>43</v>
      </c>
    </row>
    <row r="111" spans="2:9" x14ac:dyDescent="0.25">
      <c r="B111" s="4">
        <v>44</v>
      </c>
    </row>
    <row r="112" spans="2:9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364" priority="24" operator="equal">
      <formula>"Energia"</formula>
    </cfRule>
  </conditionalFormatting>
  <conditionalFormatting sqref="C5:J60">
    <cfRule type="cellIs" dxfId="1363" priority="17" operator="equal">
      <formula>"Energia"</formula>
    </cfRule>
    <cfRule type="cellIs" dxfId="1362" priority="19" operator="equal">
      <formula>"Operação"</formula>
    </cfRule>
    <cfRule type="cellIs" dxfId="1361" priority="20" operator="equal">
      <formula>"Chuva"</formula>
    </cfRule>
    <cfRule type="cellIs" dxfId="1360" priority="21" operator="equal">
      <formula>"Elétrico"</formula>
    </cfRule>
    <cfRule type="cellIs" dxfId="1359" priority="22" operator="equal">
      <formula>"Mecânico"</formula>
    </cfRule>
    <cfRule type="cellIs" dxfId="1358" priority="23" operator="equal">
      <formula>"Ok"</formula>
    </cfRule>
  </conditionalFormatting>
  <conditionalFormatting sqref="C5:J61">
    <cfRule type="cellIs" dxfId="1357" priority="18" operator="equal">
      <formula>"Feito"</formula>
    </cfRule>
  </conditionalFormatting>
  <conditionalFormatting sqref="C68:H74">
    <cfRule type="cellIs" dxfId="1356" priority="16" operator="equal">
      <formula>"Energia"</formula>
    </cfRule>
  </conditionalFormatting>
  <conditionalFormatting sqref="C68:J123">
    <cfRule type="cellIs" dxfId="1355" priority="1" operator="equal">
      <formula>"Micro"</formula>
    </cfRule>
    <cfRule type="cellIs" dxfId="1354" priority="2" operator="equal">
      <formula>"Castanha"</formula>
    </cfRule>
    <cfRule type="cellIs" dxfId="1353" priority="3" operator="equal">
      <formula>"Redutor"</formula>
    </cfRule>
    <cfRule type="cellIs" dxfId="1352" priority="4" operator="equal">
      <formula>"Adutora"</formula>
    </cfRule>
    <cfRule type="cellIs" dxfId="1351" priority="5" operator="equal">
      <formula>"Mangote"</formula>
    </cfRule>
    <cfRule type="cellIs" dxfId="1350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{05D25334-D3C7-4F6B-BB7B-F46E8B95E10E}</x14:id>
        </ext>
      </extLst>
    </cfRule>
    <cfRule type="cellIs" dxfId="1349" priority="9" operator="equal">
      <formula>"Energia"</formula>
    </cfRule>
    <cfRule type="cellIs" dxfId="1348" priority="11" operator="equal">
      <formula>"Operação"</formula>
    </cfRule>
    <cfRule type="cellIs" dxfId="1347" priority="12" operator="equal">
      <formula>"Chuva"</formula>
    </cfRule>
    <cfRule type="cellIs" dxfId="1346" priority="13" operator="equal">
      <formula>"Elétrico"</formula>
    </cfRule>
    <cfRule type="cellIs" dxfId="1345" priority="14" operator="equal">
      <formula>"Mecânico"</formula>
    </cfRule>
    <cfRule type="cellIs" dxfId="1344" priority="15" operator="equal">
      <formula>"Ok"</formula>
    </cfRule>
  </conditionalFormatting>
  <conditionalFormatting sqref="C68:J123">
    <cfRule type="cellIs" dxfId="1343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C4867145-83A6-4481-8ACC-623BF4482CDB}">
      <formula1>$L$5:$L$10</formula1>
    </dataValidation>
    <dataValidation type="list" allowBlank="1" showInputMessage="1" showErrorMessage="1" sqref="C68:J123" xr:uid="{37D508E7-8BC4-412F-8B7A-1DDE4F68C286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25334-D3C7-4F6B-BB7B-F46E8B95E1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FBE-EF39-4938-9242-7055C79DFF96}">
  <sheetPr codeName="Planilha9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44250</v>
      </c>
      <c r="D3" s="3">
        <f>C3+1</f>
        <v>44251</v>
      </c>
      <c r="E3" s="3">
        <f t="shared" ref="E3:J3" si="0">D3+1</f>
        <v>44252</v>
      </c>
      <c r="F3" s="3">
        <f t="shared" si="0"/>
        <v>44253</v>
      </c>
      <c r="G3" s="3">
        <f t="shared" si="0"/>
        <v>44254</v>
      </c>
      <c r="H3" s="3">
        <f t="shared" si="0"/>
        <v>44255</v>
      </c>
      <c r="I3" s="3">
        <f t="shared" si="0"/>
        <v>44256</v>
      </c>
      <c r="J3" s="3">
        <f t="shared" si="0"/>
        <v>44257</v>
      </c>
    </row>
    <row r="4" spans="2:13" x14ac:dyDescent="0.25">
      <c r="B4" s="2" t="s">
        <v>0</v>
      </c>
      <c r="C4" s="1" t="str">
        <f>TEXT(C3,"ddd")</f>
        <v>ter</v>
      </c>
      <c r="D4" s="1" t="str">
        <f t="shared" ref="D4:J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J4" s="1" t="str">
        <f t="shared" si="1"/>
        <v>ter</v>
      </c>
      <c r="L4" s="11" t="s">
        <v>1</v>
      </c>
    </row>
    <row r="5" spans="2:13" x14ac:dyDescent="0.25">
      <c r="B5" s="4">
        <v>1</v>
      </c>
      <c r="L5" s="5" t="s">
        <v>2</v>
      </c>
      <c r="M5">
        <f>COUNTIF($C$5:$J$60,L5)</f>
        <v>14</v>
      </c>
    </row>
    <row r="6" spans="2:13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1</v>
      </c>
    </row>
    <row r="7" spans="2:13" x14ac:dyDescent="0.25">
      <c r="B7" s="4">
        <v>3</v>
      </c>
      <c r="D7" t="s">
        <v>3</v>
      </c>
      <c r="E7" t="s">
        <v>2</v>
      </c>
      <c r="I7" t="s">
        <v>2</v>
      </c>
      <c r="L7" s="7" t="s">
        <v>6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3</v>
      </c>
      <c r="M9">
        <f t="shared" si="2"/>
        <v>1</v>
      </c>
    </row>
    <row r="10" spans="2:13" x14ac:dyDescent="0.25">
      <c r="B10" s="4">
        <v>6</v>
      </c>
      <c r="L10" s="10" t="s">
        <v>7</v>
      </c>
      <c r="M10">
        <f t="shared" si="2"/>
        <v>0</v>
      </c>
    </row>
    <row r="11" spans="2:13" x14ac:dyDescent="0.25">
      <c r="B11" s="4">
        <v>7</v>
      </c>
      <c r="M11">
        <f>SUM(M5:M10)</f>
        <v>17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  <c r="D20" t="s">
        <v>2</v>
      </c>
      <c r="E20" t="s">
        <v>2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2</v>
      </c>
    </row>
    <row r="23" spans="2:10" x14ac:dyDescent="0.25">
      <c r="B23" s="4">
        <v>19</v>
      </c>
    </row>
    <row r="24" spans="2:10" x14ac:dyDescent="0.25">
      <c r="B24" s="4">
        <v>20</v>
      </c>
    </row>
    <row r="25" spans="2:10" x14ac:dyDescent="0.25">
      <c r="B25" s="4">
        <v>21</v>
      </c>
    </row>
    <row r="26" spans="2:10" x14ac:dyDescent="0.25">
      <c r="B26" s="4">
        <v>22</v>
      </c>
      <c r="D26" t="s">
        <v>2</v>
      </c>
      <c r="E26" t="s">
        <v>2</v>
      </c>
    </row>
    <row r="27" spans="2:10" x14ac:dyDescent="0.25">
      <c r="B27" s="4">
        <v>23</v>
      </c>
    </row>
    <row r="28" spans="2:10" x14ac:dyDescent="0.25">
      <c r="B28" s="4">
        <v>24</v>
      </c>
      <c r="F28" t="s">
        <v>5</v>
      </c>
      <c r="J28" t="s">
        <v>6</v>
      </c>
    </row>
    <row r="29" spans="2:10" x14ac:dyDescent="0.25">
      <c r="B29" s="4">
        <v>25</v>
      </c>
      <c r="D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  <c r="F32" t="s">
        <v>2</v>
      </c>
    </row>
    <row r="33" spans="2:9" x14ac:dyDescent="0.25">
      <c r="B33" s="4">
        <v>29</v>
      </c>
      <c r="D33" t="s">
        <v>2</v>
      </c>
      <c r="I33" t="s">
        <v>2</v>
      </c>
    </row>
    <row r="34" spans="2:9" x14ac:dyDescent="0.25">
      <c r="B34" s="4">
        <v>30</v>
      </c>
    </row>
    <row r="35" spans="2:9" x14ac:dyDescent="0.25">
      <c r="B35" s="4">
        <v>31</v>
      </c>
    </row>
    <row r="36" spans="2:9" x14ac:dyDescent="0.25">
      <c r="B36" s="4">
        <v>32</v>
      </c>
      <c r="C36" t="s">
        <v>2</v>
      </c>
    </row>
    <row r="37" spans="2:9" x14ac:dyDescent="0.25">
      <c r="B37" s="4">
        <v>33</v>
      </c>
    </row>
    <row r="38" spans="2:9" x14ac:dyDescent="0.25">
      <c r="B38" s="4">
        <v>34</v>
      </c>
    </row>
    <row r="39" spans="2:9" x14ac:dyDescent="0.25">
      <c r="B39" s="4">
        <v>35</v>
      </c>
    </row>
    <row r="40" spans="2:9" x14ac:dyDescent="0.25">
      <c r="B40" s="4">
        <v>36</v>
      </c>
    </row>
    <row r="41" spans="2:9" x14ac:dyDescent="0.25">
      <c r="B41" s="4">
        <v>37</v>
      </c>
    </row>
    <row r="42" spans="2:9" x14ac:dyDescent="0.25">
      <c r="B42" s="4">
        <v>38</v>
      </c>
    </row>
    <row r="43" spans="2:9" x14ac:dyDescent="0.25">
      <c r="B43" s="4">
        <v>39</v>
      </c>
    </row>
    <row r="44" spans="2:9" x14ac:dyDescent="0.25">
      <c r="B44" s="4">
        <v>40</v>
      </c>
    </row>
    <row r="45" spans="2:9" x14ac:dyDescent="0.25">
      <c r="B45" s="4">
        <v>41</v>
      </c>
    </row>
    <row r="46" spans="2:9" x14ac:dyDescent="0.25">
      <c r="B46" s="4">
        <v>42</v>
      </c>
    </row>
    <row r="47" spans="2:9" x14ac:dyDescent="0.25">
      <c r="B47" s="4">
        <v>43</v>
      </c>
    </row>
    <row r="48" spans="2:9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44250</v>
      </c>
      <c r="D66" s="3">
        <f>C66+1</f>
        <v>44251</v>
      </c>
      <c r="E66" s="3">
        <f t="shared" ref="E66:J66" si="3">D66+1</f>
        <v>44252</v>
      </c>
      <c r="F66" s="3">
        <f t="shared" si="3"/>
        <v>44253</v>
      </c>
      <c r="G66" s="3">
        <f t="shared" si="3"/>
        <v>44254</v>
      </c>
      <c r="H66" s="3">
        <f t="shared" si="3"/>
        <v>44255</v>
      </c>
      <c r="I66" s="3">
        <f t="shared" si="3"/>
        <v>44256</v>
      </c>
      <c r="J66" s="3">
        <f t="shared" si="3"/>
        <v>44257</v>
      </c>
    </row>
    <row r="67" spans="2:13" x14ac:dyDescent="0.25">
      <c r="B67" s="2" t="s">
        <v>0</v>
      </c>
      <c r="C67" s="1" t="str">
        <f>TEXT(C66,"ddd")</f>
        <v>ter</v>
      </c>
      <c r="D67" s="1" t="str">
        <f t="shared" ref="D67:J67" si="4">TEXT(D66,"ddd")</f>
        <v>qua</v>
      </c>
      <c r="E67" s="1" t="str">
        <f t="shared" si="4"/>
        <v>qui</v>
      </c>
      <c r="F67" s="1" t="str">
        <f t="shared" si="4"/>
        <v>sex</v>
      </c>
      <c r="G67" s="1" t="str">
        <f t="shared" si="4"/>
        <v>sáb</v>
      </c>
      <c r="H67" s="1" t="str">
        <f t="shared" si="4"/>
        <v>dom</v>
      </c>
      <c r="I67" s="1" t="str">
        <f t="shared" si="4"/>
        <v>seg</v>
      </c>
      <c r="J67" s="1" t="str">
        <f t="shared" si="4"/>
        <v>ter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5">COUNTIF($C$68:$J$123,L69)</f>
        <v>0</v>
      </c>
    </row>
    <row r="70" spans="2:13" x14ac:dyDescent="0.25">
      <c r="B70" s="4">
        <v>3</v>
      </c>
      <c r="L70" s="7" t="s">
        <v>10</v>
      </c>
      <c r="M70">
        <f t="shared" si="5"/>
        <v>1</v>
      </c>
    </row>
    <row r="71" spans="2:13" x14ac:dyDescent="0.25">
      <c r="B71" s="4">
        <v>4</v>
      </c>
      <c r="L71" s="8" t="s">
        <v>11</v>
      </c>
      <c r="M71">
        <f t="shared" si="5"/>
        <v>0</v>
      </c>
    </row>
    <row r="72" spans="2:13" x14ac:dyDescent="0.25">
      <c r="B72" s="4">
        <v>5</v>
      </c>
      <c r="L72" s="14" t="s">
        <v>12</v>
      </c>
      <c r="M72">
        <f t="shared" si="5"/>
        <v>0</v>
      </c>
    </row>
    <row r="73" spans="2:13" x14ac:dyDescent="0.25">
      <c r="B73" s="4">
        <v>6</v>
      </c>
      <c r="L73" s="15" t="s">
        <v>13</v>
      </c>
      <c r="M73">
        <f t="shared" si="5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6" x14ac:dyDescent="0.25">
      <c r="B81" s="4">
        <v>14</v>
      </c>
    </row>
    <row r="82" spans="2:6" x14ac:dyDescent="0.25">
      <c r="B82" s="4">
        <v>15</v>
      </c>
    </row>
    <row r="83" spans="2:6" x14ac:dyDescent="0.25">
      <c r="B83" s="4">
        <v>16</v>
      </c>
    </row>
    <row r="84" spans="2:6" x14ac:dyDescent="0.25">
      <c r="B84" s="4">
        <v>17</v>
      </c>
    </row>
    <row r="85" spans="2:6" x14ac:dyDescent="0.25">
      <c r="B85" s="4">
        <v>18</v>
      </c>
    </row>
    <row r="86" spans="2:6" x14ac:dyDescent="0.25">
      <c r="B86" s="4">
        <v>19</v>
      </c>
    </row>
    <row r="87" spans="2:6" x14ac:dyDescent="0.25">
      <c r="B87" s="4">
        <v>20</v>
      </c>
    </row>
    <row r="88" spans="2:6" x14ac:dyDescent="0.25">
      <c r="B88" s="4">
        <v>21</v>
      </c>
    </row>
    <row r="89" spans="2:6" x14ac:dyDescent="0.25">
      <c r="B89" s="4">
        <v>22</v>
      </c>
    </row>
    <row r="90" spans="2:6" x14ac:dyDescent="0.25">
      <c r="B90" s="4">
        <v>23</v>
      </c>
    </row>
    <row r="91" spans="2:6" x14ac:dyDescent="0.25">
      <c r="B91" s="4">
        <v>24</v>
      </c>
      <c r="F91" t="s">
        <v>10</v>
      </c>
    </row>
    <row r="92" spans="2:6" x14ac:dyDescent="0.25">
      <c r="B92" s="4">
        <v>25</v>
      </c>
    </row>
    <row r="93" spans="2:6" x14ac:dyDescent="0.25">
      <c r="B93" s="4">
        <v>26</v>
      </c>
    </row>
    <row r="94" spans="2:6" x14ac:dyDescent="0.25">
      <c r="B94" s="4">
        <v>27</v>
      </c>
    </row>
    <row r="95" spans="2:6" x14ac:dyDescent="0.25">
      <c r="B95" s="4">
        <v>28</v>
      </c>
    </row>
    <row r="96" spans="2:6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342" priority="24" operator="equal">
      <formula>"Energia"</formula>
    </cfRule>
  </conditionalFormatting>
  <conditionalFormatting sqref="C5:J60">
    <cfRule type="cellIs" dxfId="1341" priority="17" operator="equal">
      <formula>"Energia"</formula>
    </cfRule>
    <cfRule type="cellIs" dxfId="1340" priority="19" operator="equal">
      <formula>"Operação"</formula>
    </cfRule>
    <cfRule type="cellIs" dxfId="1339" priority="20" operator="equal">
      <formula>"Chuva"</formula>
    </cfRule>
    <cfRule type="cellIs" dxfId="1338" priority="21" operator="equal">
      <formula>"Elétrico"</formula>
    </cfRule>
    <cfRule type="cellIs" dxfId="1337" priority="22" operator="equal">
      <formula>"Mecânico"</formula>
    </cfRule>
    <cfRule type="cellIs" dxfId="1336" priority="23" operator="equal">
      <formula>"Ok"</formula>
    </cfRule>
  </conditionalFormatting>
  <conditionalFormatting sqref="C5:J61">
    <cfRule type="cellIs" dxfId="1335" priority="18" operator="equal">
      <formula>"Feito"</formula>
    </cfRule>
  </conditionalFormatting>
  <conditionalFormatting sqref="C68:H74">
    <cfRule type="cellIs" dxfId="1334" priority="16" operator="equal">
      <formula>"Energia"</formula>
    </cfRule>
  </conditionalFormatting>
  <conditionalFormatting sqref="C68:J123">
    <cfRule type="cellIs" dxfId="1333" priority="1" operator="equal">
      <formula>"Micro"</formula>
    </cfRule>
    <cfRule type="cellIs" dxfId="1332" priority="2" operator="equal">
      <formula>"Castanha"</formula>
    </cfRule>
    <cfRule type="cellIs" dxfId="1331" priority="3" operator="equal">
      <formula>"Redutor"</formula>
    </cfRule>
    <cfRule type="cellIs" dxfId="1330" priority="4" operator="equal">
      <formula>"Adutora"</formula>
    </cfRule>
    <cfRule type="cellIs" dxfId="1329" priority="5" operator="equal">
      <formula>"Mangote"</formula>
    </cfRule>
    <cfRule type="cellIs" dxfId="1328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{9DA24045-D511-4B98-9923-3EEDAEA4E5DF}</x14:id>
        </ext>
      </extLst>
    </cfRule>
    <cfRule type="cellIs" dxfId="1327" priority="9" operator="equal">
      <formula>"Energia"</formula>
    </cfRule>
    <cfRule type="cellIs" dxfId="1326" priority="11" operator="equal">
      <formula>"Operação"</formula>
    </cfRule>
    <cfRule type="cellIs" dxfId="1325" priority="12" operator="equal">
      <formula>"Chuva"</formula>
    </cfRule>
    <cfRule type="cellIs" dxfId="1324" priority="13" operator="equal">
      <formula>"Elétrico"</formula>
    </cfRule>
    <cfRule type="cellIs" dxfId="1323" priority="14" operator="equal">
      <formula>"Mecânico"</formula>
    </cfRule>
    <cfRule type="cellIs" dxfId="1322" priority="15" operator="equal">
      <formula>"Ok"</formula>
    </cfRule>
  </conditionalFormatting>
  <conditionalFormatting sqref="C68:J123">
    <cfRule type="cellIs" dxfId="1321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6708D51C-8810-49B8-852D-18A9BB7571F9}">
      <formula1>$L$68:$L$73</formula1>
    </dataValidation>
    <dataValidation type="list" allowBlank="1" showInputMessage="1" showErrorMessage="1" sqref="C5:K60 K68:K123" xr:uid="{5A92BEC2-2529-40D6-B263-6FCA099203A7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24045-D511-4B98-9923-3EEDAEA4E5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ECBA-A364-4EE5-A495-A49BD59D1142}">
  <sheetPr codeName="Planilha10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44258</v>
      </c>
      <c r="D3" s="3">
        <f>C3+1</f>
        <v>44259</v>
      </c>
      <c r="E3" s="3">
        <f t="shared" ref="E3:J3" si="0">D3+1</f>
        <v>44260</v>
      </c>
      <c r="F3" s="3">
        <f t="shared" si="0"/>
        <v>44261</v>
      </c>
      <c r="G3" s="3">
        <f t="shared" si="0"/>
        <v>44262</v>
      </c>
      <c r="H3" s="3">
        <f t="shared" si="0"/>
        <v>44263</v>
      </c>
      <c r="I3" s="3">
        <f t="shared" si="0"/>
        <v>44264</v>
      </c>
      <c r="J3" s="3">
        <f t="shared" si="0"/>
        <v>44265</v>
      </c>
    </row>
    <row r="4" spans="2:13" x14ac:dyDescent="0.25">
      <c r="B4" s="2" t="s">
        <v>0</v>
      </c>
      <c r="C4" s="1" t="str">
        <f>TEXT(C3,"ddd")</f>
        <v>qua</v>
      </c>
      <c r="D4" s="1" t="str">
        <f t="shared" ref="D4:J4" si="1">TEXT(D3,"ddd")</f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J4" s="1" t="str">
        <f t="shared" si="1"/>
        <v>qua</v>
      </c>
      <c r="L4" s="11" t="s">
        <v>1</v>
      </c>
    </row>
    <row r="5" spans="2:13" x14ac:dyDescent="0.25">
      <c r="B5" s="4">
        <v>1</v>
      </c>
      <c r="D5" t="s">
        <v>2</v>
      </c>
      <c r="G5" t="s">
        <v>2</v>
      </c>
      <c r="L5" s="5" t="s">
        <v>2</v>
      </c>
      <c r="M5">
        <f>COUNTIF($C$5:$J$60,L5)</f>
        <v>75</v>
      </c>
    </row>
    <row r="6" spans="2:13" x14ac:dyDescent="0.25">
      <c r="B6" s="4">
        <v>2</v>
      </c>
      <c r="C6" t="s">
        <v>2</v>
      </c>
      <c r="E6" t="s">
        <v>7</v>
      </c>
      <c r="G6" t="s">
        <v>2</v>
      </c>
      <c r="J6" t="s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D7" t="s">
        <v>2</v>
      </c>
      <c r="E7" t="s">
        <v>2</v>
      </c>
      <c r="F7" t="s">
        <v>2</v>
      </c>
      <c r="H7" t="s">
        <v>2</v>
      </c>
      <c r="L7" s="7" t="s">
        <v>6</v>
      </c>
      <c r="M7">
        <f t="shared" si="2"/>
        <v>15</v>
      </c>
    </row>
    <row r="8" spans="2:13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J8" t="s">
        <v>3</v>
      </c>
      <c r="L8" s="8" t="s">
        <v>4</v>
      </c>
      <c r="M8">
        <f t="shared" si="2"/>
        <v>2</v>
      </c>
    </row>
    <row r="9" spans="2:13" x14ac:dyDescent="0.25">
      <c r="B9" s="4">
        <v>5</v>
      </c>
      <c r="L9" s="9" t="s">
        <v>3</v>
      </c>
      <c r="M9">
        <f t="shared" si="2"/>
        <v>11</v>
      </c>
    </row>
    <row r="10" spans="2:13" x14ac:dyDescent="0.25">
      <c r="B10" s="4">
        <v>6</v>
      </c>
      <c r="L10" s="10" t="s">
        <v>7</v>
      </c>
      <c r="M10">
        <f t="shared" si="2"/>
        <v>12</v>
      </c>
    </row>
    <row r="11" spans="2:13" x14ac:dyDescent="0.25">
      <c r="B11" s="4">
        <v>7</v>
      </c>
      <c r="M11">
        <f>SUM(M5:M10)</f>
        <v>127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D17" t="s">
        <v>2</v>
      </c>
      <c r="E17" t="s">
        <v>2</v>
      </c>
      <c r="F17" t="s">
        <v>2</v>
      </c>
      <c r="G17" t="s">
        <v>2</v>
      </c>
    </row>
    <row r="18" spans="2:10" x14ac:dyDescent="0.25">
      <c r="B18" s="4">
        <v>14</v>
      </c>
      <c r="D18" t="s">
        <v>2</v>
      </c>
      <c r="F18" t="s">
        <v>5</v>
      </c>
      <c r="H18" t="s">
        <v>5</v>
      </c>
      <c r="I18" t="s">
        <v>3</v>
      </c>
      <c r="J18" t="s">
        <v>2</v>
      </c>
    </row>
    <row r="19" spans="2:10" x14ac:dyDescent="0.25">
      <c r="B19" s="4">
        <v>15</v>
      </c>
      <c r="E19" t="s">
        <v>2</v>
      </c>
    </row>
    <row r="20" spans="2:10" x14ac:dyDescent="0.25">
      <c r="B20" s="4">
        <v>16</v>
      </c>
      <c r="E20" t="s">
        <v>2</v>
      </c>
      <c r="F20" t="s">
        <v>2</v>
      </c>
    </row>
    <row r="21" spans="2:10" x14ac:dyDescent="0.25">
      <c r="B21" s="4">
        <v>17</v>
      </c>
      <c r="D21" t="s">
        <v>2</v>
      </c>
      <c r="F21" t="s">
        <v>6</v>
      </c>
    </row>
    <row r="22" spans="2:10" x14ac:dyDescent="0.25">
      <c r="B22" s="4">
        <v>18</v>
      </c>
      <c r="D22" t="s">
        <v>7</v>
      </c>
      <c r="E22" t="s">
        <v>5</v>
      </c>
      <c r="F22" t="s">
        <v>5</v>
      </c>
      <c r="G22" t="s">
        <v>2</v>
      </c>
    </row>
    <row r="23" spans="2:10" x14ac:dyDescent="0.25">
      <c r="B23" s="4">
        <v>19</v>
      </c>
      <c r="E23" t="s">
        <v>2</v>
      </c>
      <c r="H23" t="s">
        <v>3</v>
      </c>
    </row>
    <row r="24" spans="2:10" x14ac:dyDescent="0.25">
      <c r="B24" s="4">
        <v>20</v>
      </c>
      <c r="D24" t="s">
        <v>7</v>
      </c>
      <c r="G24" t="s">
        <v>2</v>
      </c>
    </row>
    <row r="25" spans="2:10" x14ac:dyDescent="0.25">
      <c r="B25" s="4">
        <v>21</v>
      </c>
      <c r="D25" t="s">
        <v>6</v>
      </c>
      <c r="F25" t="s">
        <v>6</v>
      </c>
    </row>
    <row r="26" spans="2:10" x14ac:dyDescent="0.25">
      <c r="B26" s="4">
        <v>22</v>
      </c>
      <c r="E26" t="s">
        <v>2</v>
      </c>
      <c r="H26" t="s">
        <v>3</v>
      </c>
      <c r="J26" t="s">
        <v>2</v>
      </c>
    </row>
    <row r="27" spans="2:10" x14ac:dyDescent="0.25">
      <c r="B27" s="4">
        <v>23</v>
      </c>
      <c r="C27" t="s">
        <v>2</v>
      </c>
      <c r="F27" t="s">
        <v>6</v>
      </c>
      <c r="H27" t="s">
        <v>3</v>
      </c>
    </row>
    <row r="28" spans="2:10" x14ac:dyDescent="0.25">
      <c r="B28" s="4">
        <v>24</v>
      </c>
      <c r="C28" t="s">
        <v>5</v>
      </c>
      <c r="G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7</v>
      </c>
      <c r="J29" t="s">
        <v>3</v>
      </c>
    </row>
    <row r="30" spans="2:10" x14ac:dyDescent="0.25">
      <c r="B30" s="4">
        <v>26</v>
      </c>
      <c r="C30" t="s">
        <v>2</v>
      </c>
      <c r="F30" t="s">
        <v>7</v>
      </c>
    </row>
    <row r="31" spans="2:10" x14ac:dyDescent="0.25">
      <c r="B31" s="4">
        <v>27</v>
      </c>
      <c r="E31" t="s">
        <v>2</v>
      </c>
    </row>
    <row r="32" spans="2:10" x14ac:dyDescent="0.25">
      <c r="B32" s="4">
        <v>28</v>
      </c>
      <c r="D32" t="s">
        <v>2</v>
      </c>
      <c r="G32" t="s">
        <v>2</v>
      </c>
      <c r="H32" t="s">
        <v>7</v>
      </c>
      <c r="I32" t="s">
        <v>3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</row>
    <row r="34" spans="2:10" x14ac:dyDescent="0.25">
      <c r="B34" s="4">
        <v>30</v>
      </c>
      <c r="C34" t="s">
        <v>2</v>
      </c>
      <c r="E34" t="s">
        <v>2</v>
      </c>
      <c r="G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6</v>
      </c>
      <c r="E36" t="s">
        <v>7</v>
      </c>
      <c r="G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7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  <c r="G41" t="s">
        <v>2</v>
      </c>
      <c r="H41" t="s">
        <v>2</v>
      </c>
      <c r="J41" t="s">
        <v>2</v>
      </c>
    </row>
    <row r="42" spans="2:10" x14ac:dyDescent="0.25">
      <c r="B42" s="4">
        <v>38</v>
      </c>
      <c r="E42" t="s">
        <v>2</v>
      </c>
    </row>
    <row r="43" spans="2:10" x14ac:dyDescent="0.25">
      <c r="B43" s="4">
        <v>39</v>
      </c>
      <c r="D43" t="s">
        <v>2</v>
      </c>
      <c r="G43" t="s">
        <v>2</v>
      </c>
    </row>
    <row r="44" spans="2:10" x14ac:dyDescent="0.25">
      <c r="B44" s="4">
        <v>40</v>
      </c>
      <c r="D44" t="s">
        <v>2</v>
      </c>
      <c r="F44" t="s">
        <v>2</v>
      </c>
    </row>
    <row r="45" spans="2:10" x14ac:dyDescent="0.25">
      <c r="B45" s="4">
        <v>41</v>
      </c>
      <c r="E45" t="s">
        <v>2</v>
      </c>
      <c r="G45" t="s">
        <v>2</v>
      </c>
    </row>
    <row r="46" spans="2:10" x14ac:dyDescent="0.25">
      <c r="B46" s="4">
        <v>42</v>
      </c>
      <c r="D46" t="s">
        <v>7</v>
      </c>
      <c r="E46" t="s">
        <v>7</v>
      </c>
      <c r="H46" t="s">
        <v>5</v>
      </c>
    </row>
    <row r="47" spans="2:10" x14ac:dyDescent="0.25">
      <c r="B47" s="4">
        <v>43</v>
      </c>
      <c r="D47" t="s">
        <v>2</v>
      </c>
      <c r="E47" t="s">
        <v>2</v>
      </c>
      <c r="G47" t="s">
        <v>2</v>
      </c>
    </row>
    <row r="48" spans="2:10" x14ac:dyDescent="0.25">
      <c r="B48" s="4">
        <v>44</v>
      </c>
      <c r="D48" t="s">
        <v>7</v>
      </c>
      <c r="G48" t="s">
        <v>2</v>
      </c>
    </row>
    <row r="49" spans="2:10" x14ac:dyDescent="0.25">
      <c r="B49" s="4">
        <v>45</v>
      </c>
      <c r="C49" t="s">
        <v>6</v>
      </c>
      <c r="F49" t="s">
        <v>2</v>
      </c>
      <c r="H49" t="s">
        <v>3</v>
      </c>
    </row>
    <row r="50" spans="2:10" x14ac:dyDescent="0.25">
      <c r="B50" s="4">
        <v>46</v>
      </c>
      <c r="C50" t="s">
        <v>6</v>
      </c>
      <c r="F50" t="s">
        <v>2</v>
      </c>
      <c r="H50" t="s">
        <v>3</v>
      </c>
    </row>
    <row r="51" spans="2:10" x14ac:dyDescent="0.25">
      <c r="B51" s="4">
        <v>47</v>
      </c>
      <c r="C51" t="s">
        <v>6</v>
      </c>
      <c r="G51" t="s">
        <v>4</v>
      </c>
    </row>
    <row r="52" spans="2:10" x14ac:dyDescent="0.25">
      <c r="B52" s="4">
        <v>48</v>
      </c>
      <c r="C52" t="s">
        <v>6</v>
      </c>
      <c r="D52" t="s">
        <v>7</v>
      </c>
      <c r="G52" t="s">
        <v>4</v>
      </c>
    </row>
    <row r="53" spans="2:10" x14ac:dyDescent="0.25">
      <c r="B53" s="4">
        <v>49</v>
      </c>
      <c r="C53" t="s">
        <v>6</v>
      </c>
      <c r="G53" t="s">
        <v>2</v>
      </c>
    </row>
    <row r="54" spans="2:10" x14ac:dyDescent="0.25">
      <c r="B54" s="4">
        <v>50</v>
      </c>
      <c r="D54" t="s">
        <v>6</v>
      </c>
      <c r="E54" t="s">
        <v>2</v>
      </c>
      <c r="F54" t="s">
        <v>2</v>
      </c>
      <c r="G54" t="s">
        <v>2</v>
      </c>
      <c r="H54" t="s">
        <v>2</v>
      </c>
    </row>
    <row r="55" spans="2:10" x14ac:dyDescent="0.25">
      <c r="B55" s="4">
        <v>51</v>
      </c>
      <c r="E55" t="s">
        <v>5</v>
      </c>
      <c r="F55" t="s">
        <v>5</v>
      </c>
      <c r="G55" t="s">
        <v>2</v>
      </c>
      <c r="J55" t="s">
        <v>2</v>
      </c>
    </row>
    <row r="56" spans="2:10" x14ac:dyDescent="0.25">
      <c r="B56" s="4">
        <v>52</v>
      </c>
      <c r="C56" t="s">
        <v>6</v>
      </c>
      <c r="D56" t="s">
        <v>6</v>
      </c>
      <c r="E56" t="s">
        <v>6</v>
      </c>
      <c r="F56" t="s">
        <v>6</v>
      </c>
      <c r="H56" t="s">
        <v>3</v>
      </c>
    </row>
    <row r="57" spans="2:10" x14ac:dyDescent="0.25">
      <c r="B57" s="4">
        <v>53</v>
      </c>
      <c r="E57" t="s">
        <v>5</v>
      </c>
      <c r="H57" t="s">
        <v>5</v>
      </c>
      <c r="I57" t="s">
        <v>5</v>
      </c>
    </row>
    <row r="58" spans="2:10" x14ac:dyDescent="0.25">
      <c r="B58" s="4">
        <v>54</v>
      </c>
      <c r="F58" t="s">
        <v>2</v>
      </c>
    </row>
    <row r="59" spans="2:10" x14ac:dyDescent="0.25">
      <c r="B59" s="4">
        <v>55</v>
      </c>
      <c r="D59" t="s">
        <v>2</v>
      </c>
      <c r="G59" t="s">
        <v>2</v>
      </c>
    </row>
    <row r="60" spans="2:10" x14ac:dyDescent="0.25">
      <c r="B60" s="4">
        <v>56</v>
      </c>
      <c r="E60" t="s">
        <v>2</v>
      </c>
      <c r="H60" t="s">
        <v>3</v>
      </c>
      <c r="J60" t="s">
        <v>5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4</v>
      </c>
    </row>
    <row r="72" spans="2:13" x14ac:dyDescent="0.25">
      <c r="B72" s="4">
        <v>5</v>
      </c>
      <c r="L72" s="14" t="s">
        <v>12</v>
      </c>
      <c r="M72">
        <f t="shared" si="3"/>
        <v>3</v>
      </c>
    </row>
    <row r="73" spans="2:13" x14ac:dyDescent="0.25">
      <c r="B73" s="4">
        <v>6</v>
      </c>
      <c r="L73" s="15" t="s">
        <v>13</v>
      </c>
      <c r="M73">
        <f t="shared" si="3"/>
        <v>1</v>
      </c>
    </row>
    <row r="74" spans="2:13" x14ac:dyDescent="0.25">
      <c r="B74" s="4">
        <v>7</v>
      </c>
      <c r="M74">
        <f>SUM(M68:M73)</f>
        <v>8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F81" t="s">
        <v>12</v>
      </c>
      <c r="H81" t="s">
        <v>11</v>
      </c>
    </row>
    <row r="82" spans="2:8" x14ac:dyDescent="0.25">
      <c r="B82" s="4">
        <v>15</v>
      </c>
    </row>
    <row r="83" spans="2:8" x14ac:dyDescent="0.25">
      <c r="B83" s="4">
        <v>16</v>
      </c>
    </row>
    <row r="84" spans="2:8" x14ac:dyDescent="0.25">
      <c r="B84" s="4">
        <v>17</v>
      </c>
    </row>
    <row r="85" spans="2:8" x14ac:dyDescent="0.25">
      <c r="B85" s="4">
        <v>18</v>
      </c>
      <c r="E85" t="s">
        <v>11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8" x14ac:dyDescent="0.25">
      <c r="B97" s="4">
        <v>30</v>
      </c>
    </row>
    <row r="98" spans="2:8" x14ac:dyDescent="0.25">
      <c r="B98" s="4">
        <v>31</v>
      </c>
    </row>
    <row r="99" spans="2:8" x14ac:dyDescent="0.25">
      <c r="B99" s="4">
        <v>32</v>
      </c>
    </row>
    <row r="100" spans="2:8" x14ac:dyDescent="0.25">
      <c r="B100" s="4">
        <v>33</v>
      </c>
    </row>
    <row r="101" spans="2:8" x14ac:dyDescent="0.25">
      <c r="B101" s="4">
        <v>34</v>
      </c>
    </row>
    <row r="102" spans="2:8" x14ac:dyDescent="0.25">
      <c r="B102" s="4">
        <v>35</v>
      </c>
    </row>
    <row r="103" spans="2:8" x14ac:dyDescent="0.25">
      <c r="B103" s="4">
        <v>36</v>
      </c>
    </row>
    <row r="104" spans="2:8" x14ac:dyDescent="0.25">
      <c r="B104" s="4">
        <v>37</v>
      </c>
    </row>
    <row r="105" spans="2:8" x14ac:dyDescent="0.25">
      <c r="B105" s="4">
        <v>38</v>
      </c>
    </row>
    <row r="106" spans="2:8" x14ac:dyDescent="0.25">
      <c r="B106" s="4">
        <v>39</v>
      </c>
    </row>
    <row r="107" spans="2:8" x14ac:dyDescent="0.25">
      <c r="B107" s="4">
        <v>40</v>
      </c>
    </row>
    <row r="108" spans="2:8" x14ac:dyDescent="0.25">
      <c r="B108" s="4">
        <v>41</v>
      </c>
    </row>
    <row r="109" spans="2:8" x14ac:dyDescent="0.25">
      <c r="B109" s="4">
        <v>42</v>
      </c>
      <c r="H109" t="s">
        <v>12</v>
      </c>
    </row>
    <row r="110" spans="2:8" x14ac:dyDescent="0.25">
      <c r="B110" s="4">
        <v>43</v>
      </c>
    </row>
    <row r="111" spans="2:8" x14ac:dyDescent="0.25">
      <c r="B111" s="4">
        <v>44</v>
      </c>
    </row>
    <row r="112" spans="2:8" x14ac:dyDescent="0.25">
      <c r="B112" s="4">
        <v>45</v>
      </c>
    </row>
    <row r="113" spans="2:10" x14ac:dyDescent="0.25">
      <c r="B113" s="4">
        <v>46</v>
      </c>
    </row>
    <row r="114" spans="2:10" x14ac:dyDescent="0.25">
      <c r="B114" s="4">
        <v>47</v>
      </c>
    </row>
    <row r="115" spans="2:10" x14ac:dyDescent="0.25">
      <c r="B115" s="4">
        <v>48</v>
      </c>
    </row>
    <row r="116" spans="2:10" x14ac:dyDescent="0.25">
      <c r="B116" s="4">
        <v>49</v>
      </c>
    </row>
    <row r="117" spans="2:10" x14ac:dyDescent="0.25">
      <c r="B117" s="4">
        <v>50</v>
      </c>
    </row>
    <row r="118" spans="2:10" x14ac:dyDescent="0.25">
      <c r="B118" s="4">
        <v>51</v>
      </c>
    </row>
    <row r="119" spans="2:10" x14ac:dyDescent="0.25">
      <c r="B119" s="4">
        <v>52</v>
      </c>
    </row>
    <row r="120" spans="2:10" x14ac:dyDescent="0.25">
      <c r="B120" s="4">
        <v>53</v>
      </c>
      <c r="E120" t="s">
        <v>12</v>
      </c>
      <c r="H120" t="s">
        <v>11</v>
      </c>
      <c r="I120" t="s">
        <v>11</v>
      </c>
    </row>
    <row r="121" spans="2:10" x14ac:dyDescent="0.25">
      <c r="B121" s="4">
        <v>54</v>
      </c>
    </row>
    <row r="122" spans="2:10" x14ac:dyDescent="0.25">
      <c r="B122" s="4">
        <v>55</v>
      </c>
    </row>
    <row r="123" spans="2:10" x14ac:dyDescent="0.25">
      <c r="B123" s="4">
        <v>56</v>
      </c>
      <c r="J123" t="s">
        <v>13</v>
      </c>
    </row>
  </sheetData>
  <conditionalFormatting sqref="C5:H11">
    <cfRule type="cellIs" dxfId="1320" priority="24" operator="equal">
      <formula>"Energia"</formula>
    </cfRule>
  </conditionalFormatting>
  <conditionalFormatting sqref="C5:J60">
    <cfRule type="cellIs" dxfId="1319" priority="17" operator="equal">
      <formula>"Energia"</formula>
    </cfRule>
    <cfRule type="cellIs" dxfId="1318" priority="19" operator="equal">
      <formula>"Operação"</formula>
    </cfRule>
    <cfRule type="cellIs" dxfId="1317" priority="20" operator="equal">
      <formula>"Chuva"</formula>
    </cfRule>
    <cfRule type="cellIs" dxfId="1316" priority="21" operator="equal">
      <formula>"Elétrico"</formula>
    </cfRule>
    <cfRule type="cellIs" dxfId="1315" priority="22" operator="equal">
      <formula>"Mecânico"</formula>
    </cfRule>
    <cfRule type="cellIs" dxfId="1314" priority="23" operator="equal">
      <formula>"Ok"</formula>
    </cfRule>
  </conditionalFormatting>
  <conditionalFormatting sqref="C5:J61">
    <cfRule type="cellIs" dxfId="1313" priority="18" operator="equal">
      <formula>"Feito"</formula>
    </cfRule>
  </conditionalFormatting>
  <conditionalFormatting sqref="C68:H74">
    <cfRule type="cellIs" dxfId="1312" priority="16" operator="equal">
      <formula>"Energia"</formula>
    </cfRule>
  </conditionalFormatting>
  <conditionalFormatting sqref="C68:J123">
    <cfRule type="cellIs" dxfId="1311" priority="1" operator="equal">
      <formula>"Micro"</formula>
    </cfRule>
    <cfRule type="cellIs" dxfId="1310" priority="2" operator="equal">
      <formula>"Castanha"</formula>
    </cfRule>
    <cfRule type="cellIs" dxfId="1309" priority="3" operator="equal">
      <formula>"Redutor"</formula>
    </cfRule>
    <cfRule type="cellIs" dxfId="1308" priority="4" operator="equal">
      <formula>"Adutora"</formula>
    </cfRule>
    <cfRule type="cellIs" dxfId="1307" priority="5" operator="equal">
      <formula>"Mangote"</formula>
    </cfRule>
    <cfRule type="cellIs" dxfId="1306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{9907A7D5-EB43-483D-9DB4-35252FB46EBD}</x14:id>
        </ext>
      </extLst>
    </cfRule>
    <cfRule type="cellIs" dxfId="1305" priority="9" operator="equal">
      <formula>"Energia"</formula>
    </cfRule>
    <cfRule type="cellIs" dxfId="1304" priority="11" operator="equal">
      <formula>"Operação"</formula>
    </cfRule>
    <cfRule type="cellIs" dxfId="1303" priority="12" operator="equal">
      <formula>"Chuva"</formula>
    </cfRule>
    <cfRule type="cellIs" dxfId="1302" priority="13" operator="equal">
      <formula>"Elétrico"</formula>
    </cfRule>
    <cfRule type="cellIs" dxfId="1301" priority="14" operator="equal">
      <formula>"Mecânico"</formula>
    </cfRule>
    <cfRule type="cellIs" dxfId="1300" priority="15" operator="equal">
      <formula>"Ok"</formula>
    </cfRule>
  </conditionalFormatting>
  <conditionalFormatting sqref="C68:J123">
    <cfRule type="cellIs" dxfId="1299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16B09683-A315-47D3-9CA5-FA5163C1ED6C}">
      <formula1>$L$5:$L$10</formula1>
    </dataValidation>
    <dataValidation type="list" allowBlank="1" showInputMessage="1" showErrorMessage="1" sqref="C68:J123" xr:uid="{B7C9C20E-98E3-4493-A4A5-A86162294C08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7A7D5-EB43-483D-9DB4-35252FB46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CC7-60C0-45DC-B90B-089105BCADB0}">
  <sheetPr codeName="Planilha11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44266</v>
      </c>
      <c r="D3" s="3">
        <f>C3+1</f>
        <v>44267</v>
      </c>
      <c r="E3" s="3">
        <f t="shared" ref="E3:J3" si="0">D3+1</f>
        <v>44268</v>
      </c>
      <c r="F3" s="3">
        <f t="shared" si="0"/>
        <v>44269</v>
      </c>
      <c r="G3" s="3">
        <f t="shared" si="0"/>
        <v>44270</v>
      </c>
      <c r="H3" s="3">
        <f t="shared" si="0"/>
        <v>44271</v>
      </c>
      <c r="I3" s="3">
        <f t="shared" si="0"/>
        <v>44272</v>
      </c>
      <c r="J3" s="3">
        <f t="shared" si="0"/>
        <v>44273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F5" t="s">
        <v>2</v>
      </c>
      <c r="H5" t="s">
        <v>2</v>
      </c>
      <c r="J5" t="s">
        <v>2</v>
      </c>
      <c r="L5" s="5" t="s">
        <v>2</v>
      </c>
      <c r="M5">
        <f>COUNTIF($C$5:$J$60,L5)</f>
        <v>93</v>
      </c>
    </row>
    <row r="6" spans="2:13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9</v>
      </c>
    </row>
    <row r="7" spans="2:13" x14ac:dyDescent="0.25">
      <c r="B7" s="4">
        <v>3</v>
      </c>
      <c r="C7" t="s">
        <v>2</v>
      </c>
      <c r="F7" t="s">
        <v>2</v>
      </c>
      <c r="I7" t="s">
        <v>2</v>
      </c>
      <c r="L7" s="7" t="s">
        <v>6</v>
      </c>
      <c r="M7">
        <f t="shared" si="2"/>
        <v>8</v>
      </c>
    </row>
    <row r="8" spans="2:13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9</v>
      </c>
    </row>
    <row r="9" spans="2:13" x14ac:dyDescent="0.25">
      <c r="B9" s="4">
        <v>5</v>
      </c>
      <c r="J9" t="s">
        <v>7</v>
      </c>
      <c r="L9" s="9" t="s">
        <v>3</v>
      </c>
      <c r="M9">
        <f t="shared" si="2"/>
        <v>0</v>
      </c>
    </row>
    <row r="10" spans="2:13" x14ac:dyDescent="0.25">
      <c r="B10" s="4">
        <v>6</v>
      </c>
      <c r="L10" s="10" t="s">
        <v>7</v>
      </c>
      <c r="M10">
        <f t="shared" si="2"/>
        <v>11</v>
      </c>
    </row>
    <row r="11" spans="2:13" x14ac:dyDescent="0.25">
      <c r="B11" s="4">
        <v>7</v>
      </c>
      <c r="M11">
        <f>SUM(M5:M10)</f>
        <v>130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F17" t="s">
        <v>5</v>
      </c>
      <c r="G17" t="s">
        <v>5</v>
      </c>
      <c r="H17" t="s">
        <v>6</v>
      </c>
      <c r="J17" t="s">
        <v>2</v>
      </c>
    </row>
    <row r="18" spans="2:10" x14ac:dyDescent="0.25">
      <c r="B18" s="4">
        <v>14</v>
      </c>
      <c r="C18" t="s">
        <v>2</v>
      </c>
      <c r="G18" t="s">
        <v>2</v>
      </c>
      <c r="I18" t="s">
        <v>2</v>
      </c>
    </row>
    <row r="19" spans="2:10" x14ac:dyDescent="0.25">
      <c r="B19" s="4">
        <v>15</v>
      </c>
      <c r="G19" t="s">
        <v>2</v>
      </c>
      <c r="J19" t="s">
        <v>2</v>
      </c>
    </row>
    <row r="20" spans="2:10" x14ac:dyDescent="0.25">
      <c r="B20" s="4">
        <v>16</v>
      </c>
      <c r="F20" t="s">
        <v>2</v>
      </c>
      <c r="G20" t="s">
        <v>2</v>
      </c>
      <c r="I20" t="s">
        <v>5</v>
      </c>
      <c r="J20" t="s">
        <v>5</v>
      </c>
    </row>
    <row r="21" spans="2:10" x14ac:dyDescent="0.25">
      <c r="B21" s="4">
        <v>17</v>
      </c>
      <c r="H21" t="s">
        <v>2</v>
      </c>
    </row>
    <row r="22" spans="2:10" x14ac:dyDescent="0.25">
      <c r="B22" s="4">
        <v>18</v>
      </c>
      <c r="F22" t="s">
        <v>2</v>
      </c>
      <c r="J22" t="s">
        <v>5</v>
      </c>
    </row>
    <row r="23" spans="2:10" x14ac:dyDescent="0.25">
      <c r="B23" s="4">
        <v>19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D24" t="s">
        <v>2</v>
      </c>
      <c r="G24" t="s">
        <v>2</v>
      </c>
      <c r="J24" t="s">
        <v>2</v>
      </c>
    </row>
    <row r="25" spans="2:10" x14ac:dyDescent="0.25">
      <c r="B25" s="4">
        <v>21</v>
      </c>
      <c r="D25" t="s">
        <v>2</v>
      </c>
      <c r="H25" t="s">
        <v>4</v>
      </c>
    </row>
    <row r="26" spans="2:10" x14ac:dyDescent="0.25">
      <c r="B26" s="4">
        <v>22</v>
      </c>
      <c r="C26" t="s">
        <v>2</v>
      </c>
      <c r="G26" t="s">
        <v>2</v>
      </c>
      <c r="J26" t="s">
        <v>2</v>
      </c>
    </row>
    <row r="27" spans="2:10" x14ac:dyDescent="0.25">
      <c r="B27" s="4">
        <v>23</v>
      </c>
      <c r="H27" t="s">
        <v>4</v>
      </c>
    </row>
    <row r="28" spans="2:10" x14ac:dyDescent="0.25">
      <c r="B28" s="4">
        <v>24</v>
      </c>
      <c r="C28" t="s">
        <v>2</v>
      </c>
      <c r="G28" t="s">
        <v>2</v>
      </c>
      <c r="I28" t="s">
        <v>5</v>
      </c>
    </row>
    <row r="29" spans="2:10" x14ac:dyDescent="0.25">
      <c r="B29" s="4">
        <v>25</v>
      </c>
      <c r="C29" t="s">
        <v>2</v>
      </c>
      <c r="D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H30" t="s">
        <v>4</v>
      </c>
    </row>
    <row r="31" spans="2:10" x14ac:dyDescent="0.25">
      <c r="B31" s="4">
        <v>27</v>
      </c>
      <c r="G31" t="s">
        <v>2</v>
      </c>
      <c r="J31" t="s">
        <v>2</v>
      </c>
    </row>
    <row r="32" spans="2:10" x14ac:dyDescent="0.25">
      <c r="B32" s="4">
        <v>28</v>
      </c>
      <c r="G32" t="s">
        <v>2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F34" t="s">
        <v>2</v>
      </c>
      <c r="H34" t="s">
        <v>4</v>
      </c>
      <c r="J34" t="s">
        <v>7</v>
      </c>
    </row>
    <row r="35" spans="2:10" x14ac:dyDescent="0.25">
      <c r="B35" s="4">
        <v>31</v>
      </c>
    </row>
    <row r="36" spans="2:10" x14ac:dyDescent="0.25">
      <c r="B36" s="4">
        <v>32</v>
      </c>
      <c r="F36" t="s">
        <v>2</v>
      </c>
      <c r="G36" t="s">
        <v>2</v>
      </c>
      <c r="I36" t="s">
        <v>2</v>
      </c>
      <c r="J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2</v>
      </c>
      <c r="H38" t="s">
        <v>4</v>
      </c>
      <c r="J38" t="s">
        <v>2</v>
      </c>
    </row>
    <row r="39" spans="2:10" x14ac:dyDescent="0.25">
      <c r="B39" s="4">
        <v>35</v>
      </c>
      <c r="H39" t="s">
        <v>6</v>
      </c>
      <c r="I39" t="s">
        <v>2</v>
      </c>
      <c r="J39" t="s">
        <v>6</v>
      </c>
    </row>
    <row r="40" spans="2:10" x14ac:dyDescent="0.25">
      <c r="B40" s="4">
        <v>36</v>
      </c>
    </row>
    <row r="41" spans="2:10" x14ac:dyDescent="0.25">
      <c r="B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</row>
    <row r="42" spans="2:10" x14ac:dyDescent="0.25">
      <c r="B42" s="4">
        <v>38</v>
      </c>
      <c r="G42" t="s">
        <v>2</v>
      </c>
      <c r="J42" t="s">
        <v>7</v>
      </c>
    </row>
    <row r="43" spans="2:10" x14ac:dyDescent="0.25">
      <c r="B43" s="4">
        <v>39</v>
      </c>
      <c r="F43" t="s">
        <v>2</v>
      </c>
      <c r="I43" t="s">
        <v>2</v>
      </c>
    </row>
    <row r="44" spans="2:10" x14ac:dyDescent="0.25">
      <c r="B44" s="4">
        <v>40</v>
      </c>
      <c r="G44" t="s">
        <v>2</v>
      </c>
      <c r="J44" t="s">
        <v>7</v>
      </c>
    </row>
    <row r="45" spans="2:10" x14ac:dyDescent="0.25">
      <c r="B45" s="4">
        <v>41</v>
      </c>
      <c r="F45" t="s">
        <v>2</v>
      </c>
      <c r="I45" t="s">
        <v>2</v>
      </c>
    </row>
    <row r="46" spans="2:10" x14ac:dyDescent="0.25">
      <c r="B46" s="4">
        <v>42</v>
      </c>
      <c r="G46" t="s">
        <v>2</v>
      </c>
      <c r="J46" t="s">
        <v>2</v>
      </c>
    </row>
    <row r="47" spans="2:10" x14ac:dyDescent="0.25">
      <c r="B47" s="4">
        <v>43</v>
      </c>
      <c r="F47" t="s">
        <v>2</v>
      </c>
      <c r="I47" t="s">
        <v>2</v>
      </c>
    </row>
    <row r="48" spans="2:10" x14ac:dyDescent="0.25">
      <c r="B48" s="4">
        <v>44</v>
      </c>
      <c r="C48" t="s">
        <v>6</v>
      </c>
      <c r="H48" t="s">
        <v>2</v>
      </c>
    </row>
    <row r="49" spans="2:10" x14ac:dyDescent="0.25">
      <c r="B49" s="4">
        <v>45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G50" t="s">
        <v>6</v>
      </c>
      <c r="I50" t="s">
        <v>4</v>
      </c>
    </row>
    <row r="51" spans="2:10" x14ac:dyDescent="0.25">
      <c r="B51" s="4">
        <v>47</v>
      </c>
      <c r="F51" t="s">
        <v>7</v>
      </c>
      <c r="H51" t="s">
        <v>4</v>
      </c>
      <c r="J51" t="s">
        <v>7</v>
      </c>
    </row>
    <row r="52" spans="2:10" x14ac:dyDescent="0.25">
      <c r="B52" s="4">
        <v>48</v>
      </c>
      <c r="G52" t="s">
        <v>2</v>
      </c>
      <c r="I52" t="s">
        <v>2</v>
      </c>
    </row>
    <row r="53" spans="2:10" x14ac:dyDescent="0.25">
      <c r="B53" s="4">
        <v>49</v>
      </c>
      <c r="F53" t="s">
        <v>2</v>
      </c>
      <c r="G53" t="s">
        <v>2</v>
      </c>
      <c r="H53" t="s">
        <v>2</v>
      </c>
      <c r="J53" t="s">
        <v>2</v>
      </c>
    </row>
    <row r="54" spans="2:10" x14ac:dyDescent="0.25">
      <c r="B54" s="4">
        <v>50</v>
      </c>
      <c r="F54" t="s">
        <v>2</v>
      </c>
      <c r="G54" t="s">
        <v>2</v>
      </c>
      <c r="I54" t="s">
        <v>2</v>
      </c>
    </row>
    <row r="55" spans="2:10" x14ac:dyDescent="0.25">
      <c r="B55" s="4">
        <v>51</v>
      </c>
      <c r="F55" t="s">
        <v>5</v>
      </c>
      <c r="G55" t="s">
        <v>5</v>
      </c>
      <c r="I55" t="s">
        <v>7</v>
      </c>
      <c r="J55" t="s">
        <v>7</v>
      </c>
    </row>
    <row r="56" spans="2:10" x14ac:dyDescent="0.25">
      <c r="B56" s="4">
        <v>52</v>
      </c>
      <c r="F56" t="s">
        <v>6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6</v>
      </c>
      <c r="H57" t="s">
        <v>2</v>
      </c>
      <c r="J57" t="s">
        <v>7</v>
      </c>
    </row>
    <row r="58" spans="2:10" x14ac:dyDescent="0.25">
      <c r="B58" s="4">
        <v>54</v>
      </c>
      <c r="G58" t="s">
        <v>2</v>
      </c>
    </row>
    <row r="59" spans="2:10" x14ac:dyDescent="0.25">
      <c r="B59" s="4">
        <v>55</v>
      </c>
      <c r="H59" t="s">
        <v>4</v>
      </c>
      <c r="J59" t="s">
        <v>2</v>
      </c>
    </row>
    <row r="60" spans="2:10" x14ac:dyDescent="0.25">
      <c r="B60" s="4">
        <v>56</v>
      </c>
      <c r="H60" t="s">
        <v>4</v>
      </c>
      <c r="J60" t="s">
        <v>6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G69" t="s">
        <v>10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1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2</v>
      </c>
    </row>
    <row r="74" spans="2:13" x14ac:dyDescent="0.25">
      <c r="B74" s="4">
        <v>7</v>
      </c>
      <c r="M74">
        <f>SUM(M68:M73)</f>
        <v>6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  <c r="F80" t="s">
        <v>13</v>
      </c>
      <c r="G80" t="s">
        <v>13</v>
      </c>
    </row>
    <row r="81" spans="2:10" x14ac:dyDescent="0.25">
      <c r="B81" s="4">
        <v>14</v>
      </c>
    </row>
    <row r="82" spans="2:10" x14ac:dyDescent="0.25">
      <c r="B82" s="4">
        <v>15</v>
      </c>
    </row>
    <row r="83" spans="2:10" x14ac:dyDescent="0.25">
      <c r="B83" s="4">
        <v>16</v>
      </c>
      <c r="I83" t="s">
        <v>8</v>
      </c>
    </row>
    <row r="84" spans="2:10" x14ac:dyDescent="0.25">
      <c r="B84" s="4">
        <v>17</v>
      </c>
    </row>
    <row r="85" spans="2:10" x14ac:dyDescent="0.25">
      <c r="B85" s="4">
        <v>18</v>
      </c>
      <c r="J85" t="s">
        <v>11</v>
      </c>
    </row>
    <row r="86" spans="2:10" x14ac:dyDescent="0.25">
      <c r="B86" s="4">
        <v>19</v>
      </c>
    </row>
    <row r="87" spans="2:10" x14ac:dyDescent="0.25">
      <c r="B87" s="4">
        <v>20</v>
      </c>
    </row>
    <row r="88" spans="2:10" x14ac:dyDescent="0.25">
      <c r="B88" s="4">
        <v>21</v>
      </c>
    </row>
    <row r="89" spans="2:10" x14ac:dyDescent="0.25">
      <c r="B89" s="4">
        <v>22</v>
      </c>
    </row>
    <row r="90" spans="2:10" x14ac:dyDescent="0.25">
      <c r="B90" s="4">
        <v>23</v>
      </c>
    </row>
    <row r="91" spans="2:10" x14ac:dyDescent="0.25">
      <c r="B91" s="4">
        <v>24</v>
      </c>
      <c r="I91" t="s">
        <v>8</v>
      </c>
    </row>
    <row r="92" spans="2:10" x14ac:dyDescent="0.25">
      <c r="B92" s="4">
        <v>25</v>
      </c>
    </row>
    <row r="93" spans="2:10" x14ac:dyDescent="0.25">
      <c r="B93" s="4">
        <v>26</v>
      </c>
    </row>
    <row r="94" spans="2:10" x14ac:dyDescent="0.25">
      <c r="B94" s="4">
        <v>27</v>
      </c>
    </row>
    <row r="95" spans="2:10" x14ac:dyDescent="0.25">
      <c r="B95" s="4">
        <v>28</v>
      </c>
    </row>
    <row r="96" spans="2:10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298" priority="24" operator="equal">
      <formula>"Energia"</formula>
    </cfRule>
  </conditionalFormatting>
  <conditionalFormatting sqref="C5:J60">
    <cfRule type="cellIs" dxfId="1297" priority="17" operator="equal">
      <formula>"Energia"</formula>
    </cfRule>
    <cfRule type="cellIs" dxfId="1296" priority="19" operator="equal">
      <formula>"Operação"</formula>
    </cfRule>
    <cfRule type="cellIs" dxfId="1295" priority="20" operator="equal">
      <formula>"Chuva"</formula>
    </cfRule>
    <cfRule type="cellIs" dxfId="1294" priority="21" operator="equal">
      <formula>"Elétrico"</formula>
    </cfRule>
    <cfRule type="cellIs" dxfId="1293" priority="22" operator="equal">
      <formula>"Mecânico"</formula>
    </cfRule>
    <cfRule type="cellIs" dxfId="1292" priority="23" operator="equal">
      <formula>"Ok"</formula>
    </cfRule>
  </conditionalFormatting>
  <conditionalFormatting sqref="C5:J61">
    <cfRule type="cellIs" dxfId="1291" priority="18" operator="equal">
      <formula>"Feito"</formula>
    </cfRule>
  </conditionalFormatting>
  <conditionalFormatting sqref="C68:H74">
    <cfRule type="cellIs" dxfId="1290" priority="16" operator="equal">
      <formula>"Energia"</formula>
    </cfRule>
  </conditionalFormatting>
  <conditionalFormatting sqref="C68:J123">
    <cfRule type="cellIs" dxfId="1289" priority="1" operator="equal">
      <formula>"Micro"</formula>
    </cfRule>
    <cfRule type="cellIs" dxfId="1288" priority="2" operator="equal">
      <formula>"Castanha"</formula>
    </cfRule>
    <cfRule type="cellIs" dxfId="1287" priority="3" operator="equal">
      <formula>"Redutor"</formula>
    </cfRule>
    <cfRule type="cellIs" dxfId="1286" priority="4" operator="equal">
      <formula>"Adutora"</formula>
    </cfRule>
    <cfRule type="cellIs" dxfId="1285" priority="5" operator="equal">
      <formula>"Mangote"</formula>
    </cfRule>
    <cfRule type="cellIs" dxfId="1284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{6560899C-59EC-45CC-9AE1-1E906E2FA91A}</x14:id>
        </ext>
      </extLst>
    </cfRule>
    <cfRule type="cellIs" dxfId="1283" priority="9" operator="equal">
      <formula>"Energia"</formula>
    </cfRule>
    <cfRule type="cellIs" dxfId="1282" priority="11" operator="equal">
      <formula>"Operação"</formula>
    </cfRule>
    <cfRule type="cellIs" dxfId="1281" priority="12" operator="equal">
      <formula>"Chuva"</formula>
    </cfRule>
    <cfRule type="cellIs" dxfId="1280" priority="13" operator="equal">
      <formula>"Elétrico"</formula>
    </cfRule>
    <cfRule type="cellIs" dxfId="1279" priority="14" operator="equal">
      <formula>"Mecânico"</formula>
    </cfRule>
    <cfRule type="cellIs" dxfId="1278" priority="15" operator="equal">
      <formula>"Ok"</formula>
    </cfRule>
  </conditionalFormatting>
  <conditionalFormatting sqref="C68:J123">
    <cfRule type="cellIs" dxfId="1277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EAE98AE-594E-49A2-B068-33AEA41DE8BF}">
      <formula1>$L$68:$L$73</formula1>
    </dataValidation>
    <dataValidation type="list" allowBlank="1" showInputMessage="1" showErrorMessage="1" sqref="C5:K60 K68:K123" xr:uid="{85F40332-B41C-44FB-B949-74A40E98F70D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899C-59EC-45CC-9AE1-1E906E2FA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ED-5463-4B5F-B70E-544ED7FBFC01}">
  <sheetPr codeName="Planilha12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44274</v>
      </c>
      <c r="D3" s="3">
        <f>C3+1</f>
        <v>44275</v>
      </c>
      <c r="E3" s="3">
        <f t="shared" ref="E3:J3" si="0">D3+1</f>
        <v>44276</v>
      </c>
      <c r="F3" s="3">
        <f t="shared" si="0"/>
        <v>44277</v>
      </c>
      <c r="G3" s="3">
        <f t="shared" si="0"/>
        <v>44278</v>
      </c>
      <c r="H3" s="3">
        <f t="shared" si="0"/>
        <v>44279</v>
      </c>
      <c r="I3" s="3">
        <f t="shared" si="0"/>
        <v>44280</v>
      </c>
      <c r="J3" s="3">
        <f t="shared" si="0"/>
        <v>44281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D5" t="s">
        <v>2</v>
      </c>
      <c r="F5" t="s">
        <v>2</v>
      </c>
      <c r="J5" t="s">
        <v>2</v>
      </c>
      <c r="L5" s="5" t="s">
        <v>2</v>
      </c>
      <c r="M5">
        <f>COUNTIF($C$5:$J$60,L5)</f>
        <v>113</v>
      </c>
    </row>
    <row r="6" spans="2:13" x14ac:dyDescent="0.25">
      <c r="B6" s="4">
        <v>2</v>
      </c>
      <c r="C6" t="s">
        <v>2</v>
      </c>
      <c r="D6" t="s">
        <v>2</v>
      </c>
      <c r="E6" t="s">
        <v>2</v>
      </c>
      <c r="F6" t="s">
        <v>5</v>
      </c>
      <c r="G6" t="s">
        <v>2</v>
      </c>
      <c r="H6" t="s">
        <v>7</v>
      </c>
      <c r="J6" t="s">
        <v>2</v>
      </c>
      <c r="L6" s="6" t="s">
        <v>5</v>
      </c>
      <c r="M6">
        <f t="shared" ref="M6:M10" si="2">COUNTIF($C$5:$J$60,L6)</f>
        <v>23</v>
      </c>
    </row>
    <row r="7" spans="2:13" x14ac:dyDescent="0.25">
      <c r="B7" s="4">
        <v>3</v>
      </c>
      <c r="C7" t="s">
        <v>2</v>
      </c>
      <c r="H7" t="s">
        <v>2</v>
      </c>
      <c r="I7" t="s">
        <v>2</v>
      </c>
      <c r="L7" s="7" t="s">
        <v>6</v>
      </c>
      <c r="M7">
        <f t="shared" si="2"/>
        <v>18</v>
      </c>
    </row>
    <row r="8" spans="2:13" x14ac:dyDescent="0.25">
      <c r="B8" s="4">
        <v>4</v>
      </c>
      <c r="C8" t="s">
        <v>5</v>
      </c>
      <c r="D8" t="s">
        <v>2</v>
      </c>
      <c r="E8" t="s">
        <v>2</v>
      </c>
      <c r="G8" t="s">
        <v>2</v>
      </c>
      <c r="I8" t="s">
        <v>2</v>
      </c>
      <c r="J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I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D10" t="s">
        <v>6</v>
      </c>
      <c r="I10" t="s">
        <v>2</v>
      </c>
      <c r="L10" s="10" t="s">
        <v>7</v>
      </c>
      <c r="M10">
        <f t="shared" si="2"/>
        <v>37</v>
      </c>
    </row>
    <row r="11" spans="2:13" x14ac:dyDescent="0.25">
      <c r="B11" s="4">
        <v>7</v>
      </c>
      <c r="D11" t="s">
        <v>2</v>
      </c>
      <c r="M11">
        <f>SUM(M5:M10)</f>
        <v>191</v>
      </c>
    </row>
    <row r="12" spans="2:13" x14ac:dyDescent="0.25">
      <c r="B12" s="4">
        <v>8</v>
      </c>
      <c r="G12" t="s">
        <v>7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  <c r="I16" t="s">
        <v>2</v>
      </c>
      <c r="J16" t="s">
        <v>2</v>
      </c>
    </row>
    <row r="17" spans="2:10" x14ac:dyDescent="0.25">
      <c r="B17" s="4">
        <v>13</v>
      </c>
      <c r="D17" t="s">
        <v>2</v>
      </c>
    </row>
    <row r="18" spans="2:10" x14ac:dyDescent="0.25">
      <c r="B18" s="4">
        <v>14</v>
      </c>
      <c r="C18" t="s">
        <v>5</v>
      </c>
      <c r="E18" t="s">
        <v>2</v>
      </c>
      <c r="H18" t="s">
        <v>7</v>
      </c>
      <c r="J18" t="s">
        <v>7</v>
      </c>
    </row>
    <row r="19" spans="2:10" x14ac:dyDescent="0.25">
      <c r="B19" s="4">
        <v>15</v>
      </c>
      <c r="C19" t="s">
        <v>7</v>
      </c>
      <c r="E19" t="s">
        <v>2</v>
      </c>
      <c r="H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C21" t="s">
        <v>2</v>
      </c>
      <c r="E21" t="s">
        <v>2</v>
      </c>
      <c r="G21" t="s">
        <v>2</v>
      </c>
      <c r="H21" t="s">
        <v>2</v>
      </c>
    </row>
    <row r="22" spans="2:10" x14ac:dyDescent="0.25">
      <c r="B22" s="4">
        <v>18</v>
      </c>
      <c r="D22" t="s">
        <v>2</v>
      </c>
      <c r="G22" t="s">
        <v>2</v>
      </c>
      <c r="J22" t="s">
        <v>2</v>
      </c>
    </row>
    <row r="23" spans="2:10" x14ac:dyDescent="0.25">
      <c r="B23" s="4">
        <v>19</v>
      </c>
      <c r="C23" t="s">
        <v>2</v>
      </c>
      <c r="F23" t="s">
        <v>7</v>
      </c>
      <c r="G23" t="s">
        <v>7</v>
      </c>
      <c r="J23" t="s">
        <v>2</v>
      </c>
    </row>
    <row r="24" spans="2:10" x14ac:dyDescent="0.25">
      <c r="B24" s="4">
        <v>20</v>
      </c>
      <c r="E24" t="s">
        <v>7</v>
      </c>
      <c r="H24" t="s">
        <v>2</v>
      </c>
    </row>
    <row r="25" spans="2:10" x14ac:dyDescent="0.25">
      <c r="B25" s="4">
        <v>21</v>
      </c>
      <c r="C25" t="s">
        <v>6</v>
      </c>
      <c r="G25" t="s">
        <v>6</v>
      </c>
      <c r="I25" t="s">
        <v>6</v>
      </c>
    </row>
    <row r="26" spans="2:10" x14ac:dyDescent="0.25">
      <c r="B26" s="4">
        <v>22</v>
      </c>
      <c r="E26" t="s">
        <v>7</v>
      </c>
      <c r="I26" t="s">
        <v>2</v>
      </c>
    </row>
    <row r="27" spans="2:10" x14ac:dyDescent="0.25">
      <c r="B27" s="4">
        <v>23</v>
      </c>
      <c r="C27" t="s">
        <v>6</v>
      </c>
      <c r="F27" t="s">
        <v>6</v>
      </c>
      <c r="I27" t="s">
        <v>6</v>
      </c>
    </row>
    <row r="28" spans="2:10" x14ac:dyDescent="0.25">
      <c r="B28" s="4">
        <v>24</v>
      </c>
      <c r="D28" t="s">
        <v>7</v>
      </c>
      <c r="G28" t="s">
        <v>7</v>
      </c>
      <c r="I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C30" t="s">
        <v>2</v>
      </c>
      <c r="F30" t="s">
        <v>2</v>
      </c>
      <c r="I30" t="s">
        <v>2</v>
      </c>
    </row>
    <row r="31" spans="2:10" x14ac:dyDescent="0.25">
      <c r="B31" s="4">
        <v>27</v>
      </c>
      <c r="C31" t="s">
        <v>7</v>
      </c>
      <c r="F31" t="s">
        <v>2</v>
      </c>
      <c r="I31" t="s">
        <v>2</v>
      </c>
    </row>
    <row r="32" spans="2:10" x14ac:dyDescent="0.25">
      <c r="B32" s="4">
        <v>28</v>
      </c>
      <c r="E32" t="s">
        <v>2</v>
      </c>
      <c r="H32" t="s">
        <v>7</v>
      </c>
      <c r="I32" t="s">
        <v>2</v>
      </c>
      <c r="J32" t="s">
        <v>7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5</v>
      </c>
      <c r="G33" t="s">
        <v>7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D34" t="s">
        <v>7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2</v>
      </c>
      <c r="E36" t="s">
        <v>2</v>
      </c>
      <c r="G36" t="s">
        <v>2</v>
      </c>
      <c r="H36" t="s">
        <v>5</v>
      </c>
      <c r="I36" t="s">
        <v>5</v>
      </c>
      <c r="J36" t="s">
        <v>5</v>
      </c>
    </row>
    <row r="37" spans="2:10" x14ac:dyDescent="0.25">
      <c r="B37" s="4">
        <v>33</v>
      </c>
      <c r="I37" t="s">
        <v>6</v>
      </c>
      <c r="J37" t="s">
        <v>2</v>
      </c>
    </row>
    <row r="38" spans="2:10" x14ac:dyDescent="0.25">
      <c r="B38" s="4">
        <v>34</v>
      </c>
      <c r="D38" t="s">
        <v>7</v>
      </c>
      <c r="G38" t="s">
        <v>2</v>
      </c>
      <c r="J38" t="s">
        <v>2</v>
      </c>
    </row>
    <row r="39" spans="2:10" x14ac:dyDescent="0.25">
      <c r="B39" s="4">
        <v>35</v>
      </c>
      <c r="C39" t="s">
        <v>5</v>
      </c>
      <c r="D39" t="s">
        <v>6</v>
      </c>
      <c r="E39" t="s">
        <v>6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D40" t="s">
        <v>5</v>
      </c>
      <c r="F40" t="s">
        <v>2</v>
      </c>
      <c r="G40" t="s">
        <v>6</v>
      </c>
      <c r="H40" t="s">
        <v>7</v>
      </c>
      <c r="I40" t="s">
        <v>2</v>
      </c>
      <c r="J40" t="s">
        <v>2</v>
      </c>
    </row>
    <row r="41" spans="2:10" x14ac:dyDescent="0.25">
      <c r="B41" s="4">
        <v>37</v>
      </c>
      <c r="D41" t="s">
        <v>7</v>
      </c>
      <c r="E41" t="s">
        <v>2</v>
      </c>
      <c r="J41" t="s">
        <v>2</v>
      </c>
    </row>
    <row r="42" spans="2:10" x14ac:dyDescent="0.25">
      <c r="B42" s="4">
        <v>38</v>
      </c>
      <c r="E42" t="s">
        <v>2</v>
      </c>
      <c r="H42" t="s">
        <v>7</v>
      </c>
    </row>
    <row r="43" spans="2:10" x14ac:dyDescent="0.25">
      <c r="B43" s="4">
        <v>39</v>
      </c>
      <c r="C43" t="s">
        <v>7</v>
      </c>
      <c r="D43" t="s">
        <v>2</v>
      </c>
      <c r="F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2</v>
      </c>
      <c r="H44" t="s">
        <v>2</v>
      </c>
      <c r="J44" t="s">
        <v>7</v>
      </c>
    </row>
    <row r="45" spans="2:10" x14ac:dyDescent="0.25">
      <c r="B45" s="4">
        <v>41</v>
      </c>
      <c r="D45" t="s">
        <v>2</v>
      </c>
      <c r="F45" t="s">
        <v>2</v>
      </c>
      <c r="G45" t="s">
        <v>7</v>
      </c>
      <c r="I45" t="s">
        <v>7</v>
      </c>
    </row>
    <row r="46" spans="2:10" x14ac:dyDescent="0.25">
      <c r="B46" s="4">
        <v>42</v>
      </c>
      <c r="E46" t="s">
        <v>2</v>
      </c>
      <c r="H46" t="s">
        <v>2</v>
      </c>
      <c r="J46" t="s">
        <v>2</v>
      </c>
    </row>
    <row r="47" spans="2:10" x14ac:dyDescent="0.25">
      <c r="B47" s="4">
        <v>43</v>
      </c>
      <c r="D47" t="s">
        <v>2</v>
      </c>
      <c r="F47" t="s">
        <v>7</v>
      </c>
      <c r="G47" t="s">
        <v>7</v>
      </c>
      <c r="I47" t="s">
        <v>2</v>
      </c>
    </row>
    <row r="48" spans="2:10" x14ac:dyDescent="0.25">
      <c r="B48" s="4">
        <v>44</v>
      </c>
      <c r="C48" t="s">
        <v>2</v>
      </c>
      <c r="H48" t="s">
        <v>5</v>
      </c>
    </row>
    <row r="49" spans="2:10" x14ac:dyDescent="0.25">
      <c r="B49" s="4">
        <v>45</v>
      </c>
      <c r="D49" t="s">
        <v>2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C50" t="s">
        <v>6</v>
      </c>
      <c r="E50" t="s">
        <v>6</v>
      </c>
      <c r="G50" t="s">
        <v>2</v>
      </c>
      <c r="I50" t="s">
        <v>2</v>
      </c>
      <c r="J50" t="s">
        <v>2</v>
      </c>
    </row>
    <row r="51" spans="2:10" x14ac:dyDescent="0.25">
      <c r="B51" s="4">
        <v>47</v>
      </c>
      <c r="C51" t="s">
        <v>2</v>
      </c>
      <c r="D51" t="s">
        <v>6</v>
      </c>
      <c r="F51" t="s">
        <v>2</v>
      </c>
      <c r="G51" t="s">
        <v>7</v>
      </c>
      <c r="I51" t="s">
        <v>6</v>
      </c>
    </row>
    <row r="52" spans="2:10" x14ac:dyDescent="0.25">
      <c r="B52" s="4">
        <v>48</v>
      </c>
      <c r="C52" t="s">
        <v>7</v>
      </c>
      <c r="E52" t="s">
        <v>7</v>
      </c>
      <c r="G52" t="s">
        <v>2</v>
      </c>
      <c r="H52" t="s">
        <v>2</v>
      </c>
      <c r="I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  <c r="J53" t="s">
        <v>2</v>
      </c>
    </row>
    <row r="54" spans="2:10" x14ac:dyDescent="0.25">
      <c r="B54" s="4">
        <v>50</v>
      </c>
      <c r="C54" t="s">
        <v>6</v>
      </c>
      <c r="D54" t="s">
        <v>2</v>
      </c>
      <c r="E54" t="s">
        <v>7</v>
      </c>
      <c r="G54" t="s">
        <v>2</v>
      </c>
    </row>
    <row r="55" spans="2:10" x14ac:dyDescent="0.25">
      <c r="B55" s="4">
        <v>51</v>
      </c>
      <c r="D55" t="s">
        <v>6</v>
      </c>
      <c r="E55" t="s">
        <v>7</v>
      </c>
      <c r="G55" t="s">
        <v>2</v>
      </c>
    </row>
    <row r="56" spans="2:10" x14ac:dyDescent="0.25">
      <c r="B56" s="4">
        <v>52</v>
      </c>
      <c r="C56" t="s">
        <v>6</v>
      </c>
      <c r="E56" t="s">
        <v>7</v>
      </c>
    </row>
    <row r="57" spans="2:10" x14ac:dyDescent="0.25">
      <c r="B57" s="4">
        <v>53</v>
      </c>
      <c r="F57" t="s">
        <v>2</v>
      </c>
    </row>
    <row r="58" spans="2:10" x14ac:dyDescent="0.25">
      <c r="B58" s="4">
        <v>54</v>
      </c>
      <c r="C58" t="s">
        <v>2</v>
      </c>
      <c r="E58" t="s">
        <v>2</v>
      </c>
      <c r="H58" t="s">
        <v>2</v>
      </c>
    </row>
    <row r="59" spans="2:10" x14ac:dyDescent="0.25">
      <c r="B59" s="4">
        <v>55</v>
      </c>
      <c r="F59" t="s">
        <v>7</v>
      </c>
      <c r="I59" t="s">
        <v>7</v>
      </c>
    </row>
    <row r="60" spans="2:10" x14ac:dyDescent="0.25">
      <c r="B60" s="4">
        <v>56</v>
      </c>
      <c r="F60" t="s">
        <v>7</v>
      </c>
      <c r="I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3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C71" t="s">
        <v>11</v>
      </c>
      <c r="L71" s="8" t="s">
        <v>11</v>
      </c>
      <c r="M71">
        <f t="shared" si="3"/>
        <v>5</v>
      </c>
    </row>
    <row r="72" spans="2:13" x14ac:dyDescent="0.25">
      <c r="B72" s="4">
        <v>5</v>
      </c>
      <c r="L72" s="14" t="s">
        <v>12</v>
      </c>
      <c r="M72">
        <f t="shared" si="3"/>
        <v>2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10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C81" t="s">
        <v>12</v>
      </c>
    </row>
    <row r="82" spans="2:8" x14ac:dyDescent="0.25">
      <c r="B82" s="4">
        <v>15</v>
      </c>
    </row>
    <row r="83" spans="2:8" x14ac:dyDescent="0.25">
      <c r="B83" s="4">
        <v>16</v>
      </c>
      <c r="F83" t="s">
        <v>8</v>
      </c>
      <c r="G83" t="s">
        <v>8</v>
      </c>
      <c r="H83" t="s">
        <v>8</v>
      </c>
    </row>
    <row r="84" spans="2:8" x14ac:dyDescent="0.25">
      <c r="B84" s="4">
        <v>17</v>
      </c>
    </row>
    <row r="85" spans="2:8" x14ac:dyDescent="0.25">
      <c r="B85" s="4">
        <v>18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10" x14ac:dyDescent="0.25">
      <c r="B97" s="4">
        <v>30</v>
      </c>
    </row>
    <row r="98" spans="2:10" x14ac:dyDescent="0.25">
      <c r="B98" s="4">
        <v>31</v>
      </c>
    </row>
    <row r="99" spans="2:10" x14ac:dyDescent="0.25">
      <c r="B99" s="4">
        <v>32</v>
      </c>
      <c r="H99" t="s">
        <v>11</v>
      </c>
      <c r="I99" t="s">
        <v>11</v>
      </c>
      <c r="J99" t="s">
        <v>11</v>
      </c>
    </row>
    <row r="100" spans="2:10" x14ac:dyDescent="0.25">
      <c r="B100" s="4">
        <v>33</v>
      </c>
    </row>
    <row r="101" spans="2:10" x14ac:dyDescent="0.25">
      <c r="B101" s="4">
        <v>34</v>
      </c>
    </row>
    <row r="102" spans="2:10" x14ac:dyDescent="0.25">
      <c r="B102" s="4">
        <v>35</v>
      </c>
      <c r="C102" t="s">
        <v>12</v>
      </c>
    </row>
    <row r="103" spans="2:10" x14ac:dyDescent="0.25">
      <c r="B103" s="4">
        <v>36</v>
      </c>
    </row>
    <row r="104" spans="2:10" x14ac:dyDescent="0.25">
      <c r="B104" s="4">
        <v>37</v>
      </c>
    </row>
    <row r="105" spans="2:10" x14ac:dyDescent="0.25">
      <c r="B105" s="4">
        <v>38</v>
      </c>
    </row>
    <row r="106" spans="2:10" x14ac:dyDescent="0.25">
      <c r="B106" s="4">
        <v>39</v>
      </c>
    </row>
    <row r="107" spans="2:10" x14ac:dyDescent="0.25">
      <c r="B107" s="4">
        <v>40</v>
      </c>
    </row>
    <row r="108" spans="2:10" x14ac:dyDescent="0.25">
      <c r="B108" s="4">
        <v>41</v>
      </c>
    </row>
    <row r="109" spans="2:10" x14ac:dyDescent="0.25">
      <c r="B109" s="4">
        <v>42</v>
      </c>
    </row>
    <row r="110" spans="2:10" x14ac:dyDescent="0.25">
      <c r="B110" s="4">
        <v>43</v>
      </c>
    </row>
    <row r="111" spans="2:10" x14ac:dyDescent="0.25">
      <c r="B111" s="4">
        <v>44</v>
      </c>
      <c r="H111" t="s">
        <v>11</v>
      </c>
    </row>
    <row r="112" spans="2:10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1276" priority="32" operator="equal">
      <formula>"Energia"</formula>
    </cfRule>
  </conditionalFormatting>
  <conditionalFormatting sqref="C5:E60 H5:J60">
    <cfRule type="cellIs" dxfId="1275" priority="25" operator="equal">
      <formula>"Energia"</formula>
    </cfRule>
    <cfRule type="cellIs" dxfId="1274" priority="27" operator="equal">
      <formula>"Operação"</formula>
    </cfRule>
    <cfRule type="cellIs" dxfId="1273" priority="28" operator="equal">
      <formula>"Chuva"</formula>
    </cfRule>
    <cfRule type="cellIs" dxfId="1272" priority="29" operator="equal">
      <formula>"Elétrico"</formula>
    </cfRule>
    <cfRule type="cellIs" dxfId="1271" priority="30" operator="equal">
      <formula>"Mecânico"</formula>
    </cfRule>
    <cfRule type="cellIs" dxfId="1270" priority="31" operator="equal">
      <formula>"Ok"</formula>
    </cfRule>
  </conditionalFormatting>
  <conditionalFormatting sqref="C61:J61 C5:E60 H5:J60">
    <cfRule type="cellIs" dxfId="1269" priority="26" operator="equal">
      <formula>"Feito"</formula>
    </cfRule>
  </conditionalFormatting>
  <conditionalFormatting sqref="C68:H74">
    <cfRule type="cellIs" dxfId="1268" priority="24" operator="equal">
      <formula>"Energia"</formula>
    </cfRule>
  </conditionalFormatting>
  <conditionalFormatting sqref="C68:J123">
    <cfRule type="cellIs" dxfId="1267" priority="9" operator="equal">
      <formula>"Micro"</formula>
    </cfRule>
    <cfRule type="cellIs" dxfId="1266" priority="10" operator="equal">
      <formula>"Castanha"</formula>
    </cfRule>
    <cfRule type="cellIs" dxfId="1265" priority="11" operator="equal">
      <formula>"Redutor"</formula>
    </cfRule>
    <cfRule type="cellIs" dxfId="1264" priority="12" operator="equal">
      <formula>"Adutora"</formula>
    </cfRule>
    <cfRule type="cellIs" dxfId="1263" priority="13" operator="equal">
      <formula>"Mangote"</formula>
    </cfRule>
    <cfRule type="cellIs" dxfId="1262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{B6B63773-1D41-44B4-8D66-BF880EF005DC}</x14:id>
        </ext>
      </extLst>
    </cfRule>
    <cfRule type="cellIs" dxfId="1261" priority="17" operator="equal">
      <formula>"Energia"</formula>
    </cfRule>
    <cfRule type="cellIs" dxfId="1260" priority="19" operator="equal">
      <formula>"Operação"</formula>
    </cfRule>
    <cfRule type="cellIs" dxfId="1259" priority="20" operator="equal">
      <formula>"Chuva"</formula>
    </cfRule>
    <cfRule type="cellIs" dxfId="1258" priority="21" operator="equal">
      <formula>"Elétrico"</formula>
    </cfRule>
    <cfRule type="cellIs" dxfId="1257" priority="22" operator="equal">
      <formula>"Mecânico"</formula>
    </cfRule>
    <cfRule type="cellIs" dxfId="1256" priority="23" operator="equal">
      <formula>"Ok"</formula>
    </cfRule>
  </conditionalFormatting>
  <conditionalFormatting sqref="C68:J123">
    <cfRule type="cellIs" dxfId="1255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254" priority="8" operator="equal">
      <formula>"Energia"</formula>
    </cfRule>
  </conditionalFormatting>
  <conditionalFormatting sqref="F5:G60">
    <cfRule type="cellIs" dxfId="1253" priority="1" operator="equal">
      <formula>"Energia"</formula>
    </cfRule>
    <cfRule type="cellIs" dxfId="1252" priority="3" operator="equal">
      <formula>"Operação"</formula>
    </cfRule>
    <cfRule type="cellIs" dxfId="1251" priority="4" operator="equal">
      <formula>"Chuva"</formula>
    </cfRule>
    <cfRule type="cellIs" dxfId="1250" priority="5" operator="equal">
      <formula>"Elétrico"</formula>
    </cfRule>
    <cfRule type="cellIs" dxfId="1249" priority="6" operator="equal">
      <formula>"Mecânico"</formula>
    </cfRule>
    <cfRule type="cellIs" dxfId="1248" priority="7" operator="equal">
      <formula>"Ok"</formula>
    </cfRule>
  </conditionalFormatting>
  <conditionalFormatting sqref="F5:G60">
    <cfRule type="cellIs" dxfId="1247" priority="2" operator="equal">
      <formula>"Feito"</formula>
    </cfRule>
  </conditionalFormatting>
  <dataValidations count="2">
    <dataValidation type="list" allowBlank="1" showInputMessage="1" showErrorMessage="1" sqref="K68:K123 C5:K60" xr:uid="{4E337D32-D903-4EAD-9AF1-9EB39C2D1543}">
      <formula1>$L$5:$L$10</formula1>
    </dataValidation>
    <dataValidation type="list" allowBlank="1" showInputMessage="1" showErrorMessage="1" sqref="C68:J123" xr:uid="{F930373B-539D-452B-9FB8-C975B5915F84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63773-1D41-44B4-8D66-BF880EF00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79F-3FA9-45CC-A246-40CA33C157DE}">
  <sheetPr codeName="Planilha13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:N6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44282</v>
      </c>
      <c r="D3" s="3">
        <f>C3+1</f>
        <v>44283</v>
      </c>
      <c r="E3" s="3">
        <f t="shared" ref="E3:J3" si="0">D3+1</f>
        <v>44284</v>
      </c>
      <c r="F3" s="3">
        <f t="shared" si="0"/>
        <v>44285</v>
      </c>
      <c r="G3" s="3">
        <f t="shared" si="0"/>
        <v>44286</v>
      </c>
      <c r="H3" s="3">
        <f t="shared" si="0"/>
        <v>44287</v>
      </c>
      <c r="I3" s="3">
        <f t="shared" si="0"/>
        <v>44288</v>
      </c>
      <c r="J3" s="3">
        <f t="shared" si="0"/>
        <v>44289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6</v>
      </c>
      <c r="G5" t="s">
        <v>6</v>
      </c>
      <c r="J5" t="s">
        <v>2</v>
      </c>
      <c r="L5" s="5" t="s">
        <v>2</v>
      </c>
      <c r="M5">
        <f>COUNTIF($C$5:$J$60,L5)</f>
        <v>139</v>
      </c>
    </row>
    <row r="6" spans="2:13" x14ac:dyDescent="0.25">
      <c r="B6" s="4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L6" s="6" t="s">
        <v>5</v>
      </c>
      <c r="M6">
        <f t="shared" ref="M6:M10" si="2">COUNTIF($C$5:$J$60,L6)</f>
        <v>23</v>
      </c>
    </row>
    <row r="7" spans="2:13" x14ac:dyDescent="0.25">
      <c r="B7" s="4">
        <v>3</v>
      </c>
      <c r="D7" t="s">
        <v>2</v>
      </c>
      <c r="F7" t="s">
        <v>2</v>
      </c>
      <c r="G7" t="s">
        <v>2</v>
      </c>
      <c r="L7" s="7" t="s">
        <v>6</v>
      </c>
      <c r="M7">
        <f t="shared" si="2"/>
        <v>5</v>
      </c>
    </row>
    <row r="8" spans="2:13" x14ac:dyDescent="0.25">
      <c r="B8" s="4">
        <v>4</v>
      </c>
      <c r="E8" t="s">
        <v>5</v>
      </c>
      <c r="G8" t="s">
        <v>2</v>
      </c>
      <c r="H8" t="s">
        <v>2</v>
      </c>
      <c r="I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D9" t="s">
        <v>2</v>
      </c>
      <c r="G9" t="s">
        <v>5</v>
      </c>
      <c r="H9" t="s">
        <v>5</v>
      </c>
      <c r="I9" t="s">
        <v>5</v>
      </c>
      <c r="L9" s="9" t="s">
        <v>3</v>
      </c>
      <c r="M9">
        <f t="shared" si="2"/>
        <v>0</v>
      </c>
    </row>
    <row r="10" spans="2:13" x14ac:dyDescent="0.25">
      <c r="B10" s="4">
        <v>6</v>
      </c>
      <c r="C10" t="s">
        <v>2</v>
      </c>
      <c r="I10" t="s">
        <v>5</v>
      </c>
      <c r="J10" t="s">
        <v>5</v>
      </c>
      <c r="L10" s="10" t="s">
        <v>7</v>
      </c>
      <c r="M10">
        <f t="shared" si="2"/>
        <v>47</v>
      </c>
    </row>
    <row r="11" spans="2:13" x14ac:dyDescent="0.25">
      <c r="B11" s="4">
        <v>7</v>
      </c>
      <c r="J11" t="s">
        <v>2</v>
      </c>
      <c r="M11">
        <f>SUM(M5:M10)</f>
        <v>214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  <c r="C18" t="s">
        <v>2</v>
      </c>
      <c r="E18" t="s">
        <v>2</v>
      </c>
      <c r="I18" t="s">
        <v>2</v>
      </c>
    </row>
    <row r="19" spans="2:10" x14ac:dyDescent="0.25">
      <c r="B19" s="4">
        <v>15</v>
      </c>
      <c r="D19" t="s">
        <v>5</v>
      </c>
      <c r="G19" t="s">
        <v>2</v>
      </c>
      <c r="H19" t="s">
        <v>7</v>
      </c>
      <c r="J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7</v>
      </c>
      <c r="J20" t="s">
        <v>2</v>
      </c>
    </row>
    <row r="21" spans="2:10" x14ac:dyDescent="0.25">
      <c r="B21" s="4">
        <v>17</v>
      </c>
      <c r="C21" t="s">
        <v>2</v>
      </c>
      <c r="F21" t="s">
        <v>2</v>
      </c>
      <c r="I21" t="s">
        <v>2</v>
      </c>
    </row>
    <row r="22" spans="2:10" x14ac:dyDescent="0.25">
      <c r="B22" s="4">
        <v>18</v>
      </c>
      <c r="E22" t="s">
        <v>7</v>
      </c>
      <c r="H22" t="s">
        <v>5</v>
      </c>
      <c r="I22" t="s">
        <v>5</v>
      </c>
      <c r="J22" t="s">
        <v>5</v>
      </c>
    </row>
    <row r="23" spans="2:10" x14ac:dyDescent="0.25">
      <c r="B23" s="4">
        <v>19</v>
      </c>
      <c r="E23" t="s">
        <v>2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C24" t="s">
        <v>5</v>
      </c>
      <c r="I24" t="s">
        <v>2</v>
      </c>
    </row>
    <row r="25" spans="2:10" x14ac:dyDescent="0.25">
      <c r="B25" s="4">
        <v>21</v>
      </c>
      <c r="D25" t="s">
        <v>7</v>
      </c>
      <c r="G25" t="s">
        <v>6</v>
      </c>
      <c r="J25" t="s">
        <v>2</v>
      </c>
    </row>
    <row r="26" spans="2:10" x14ac:dyDescent="0.25">
      <c r="B26" s="4">
        <v>22</v>
      </c>
      <c r="D26" t="s">
        <v>2</v>
      </c>
      <c r="E26" t="s">
        <v>2</v>
      </c>
      <c r="F26" t="s">
        <v>2</v>
      </c>
      <c r="H26" t="s">
        <v>7</v>
      </c>
    </row>
    <row r="27" spans="2:10" x14ac:dyDescent="0.25">
      <c r="B27" s="4">
        <v>23</v>
      </c>
      <c r="D27" t="s">
        <v>7</v>
      </c>
      <c r="E27" t="s">
        <v>2</v>
      </c>
      <c r="G27" t="s">
        <v>6</v>
      </c>
      <c r="J27" t="s">
        <v>2</v>
      </c>
    </row>
    <row r="28" spans="2:10" x14ac:dyDescent="0.25">
      <c r="B28" s="4">
        <v>24</v>
      </c>
      <c r="D28" t="s">
        <v>2</v>
      </c>
      <c r="G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D30" t="s">
        <v>2</v>
      </c>
      <c r="J30" t="s">
        <v>2</v>
      </c>
    </row>
    <row r="31" spans="2:10" x14ac:dyDescent="0.25">
      <c r="B31" s="4">
        <v>27</v>
      </c>
      <c r="C31" t="s">
        <v>7</v>
      </c>
      <c r="E31" t="s">
        <v>7</v>
      </c>
      <c r="J31" t="s">
        <v>2</v>
      </c>
    </row>
    <row r="32" spans="2:10" x14ac:dyDescent="0.25">
      <c r="B32" s="4">
        <v>28</v>
      </c>
      <c r="E32" t="s">
        <v>7</v>
      </c>
      <c r="F32" t="s">
        <v>7</v>
      </c>
      <c r="G32" t="s">
        <v>2</v>
      </c>
      <c r="H32" t="s">
        <v>2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C34" t="s">
        <v>2</v>
      </c>
      <c r="D34" t="s">
        <v>2</v>
      </c>
      <c r="F34" t="s">
        <v>2</v>
      </c>
      <c r="H34" t="s">
        <v>2</v>
      </c>
      <c r="J34" t="s">
        <v>2</v>
      </c>
    </row>
    <row r="35" spans="2:10" x14ac:dyDescent="0.25">
      <c r="B35" s="4">
        <v>31</v>
      </c>
      <c r="C35" t="s">
        <v>2</v>
      </c>
      <c r="D35" t="s">
        <v>2</v>
      </c>
      <c r="E35" t="s">
        <v>5</v>
      </c>
      <c r="F35" t="s">
        <v>5</v>
      </c>
      <c r="G35" t="s">
        <v>2</v>
      </c>
      <c r="H35" t="s">
        <v>2</v>
      </c>
      <c r="I35" t="s">
        <v>2</v>
      </c>
      <c r="J35" t="s">
        <v>2</v>
      </c>
    </row>
    <row r="36" spans="2:10" x14ac:dyDescent="0.25">
      <c r="B36" s="4">
        <v>32</v>
      </c>
      <c r="C36" t="s">
        <v>2</v>
      </c>
      <c r="E36" t="s">
        <v>2</v>
      </c>
      <c r="F36" t="s">
        <v>2</v>
      </c>
      <c r="H36" t="s">
        <v>2</v>
      </c>
      <c r="I36" t="s">
        <v>2</v>
      </c>
      <c r="J36" t="s">
        <v>5</v>
      </c>
    </row>
    <row r="37" spans="2:10" x14ac:dyDescent="0.25">
      <c r="B37" s="4">
        <v>33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I37" t="s">
        <v>2</v>
      </c>
    </row>
    <row r="38" spans="2:10" x14ac:dyDescent="0.25">
      <c r="B38" s="4">
        <v>34</v>
      </c>
      <c r="C38" t="s">
        <v>5</v>
      </c>
      <c r="E38" t="s">
        <v>2</v>
      </c>
      <c r="F38" t="s">
        <v>2</v>
      </c>
      <c r="H38" t="s">
        <v>2</v>
      </c>
      <c r="J38" t="s">
        <v>2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</row>
    <row r="41" spans="2:10" x14ac:dyDescent="0.25">
      <c r="B41" s="4">
        <v>37</v>
      </c>
      <c r="F41" t="s">
        <v>2</v>
      </c>
      <c r="J41" t="s">
        <v>2</v>
      </c>
    </row>
    <row r="42" spans="2:10" x14ac:dyDescent="0.25">
      <c r="B42" s="4">
        <v>38</v>
      </c>
      <c r="C42" t="s">
        <v>2</v>
      </c>
      <c r="F42" t="s">
        <v>2</v>
      </c>
      <c r="H42" t="s">
        <v>7</v>
      </c>
      <c r="I42" t="s">
        <v>2</v>
      </c>
    </row>
    <row r="43" spans="2:10" x14ac:dyDescent="0.25">
      <c r="B43" s="4">
        <v>39</v>
      </c>
      <c r="D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7</v>
      </c>
      <c r="H44" t="s">
        <v>2</v>
      </c>
      <c r="J44" t="s">
        <v>2</v>
      </c>
    </row>
    <row r="45" spans="2:10" x14ac:dyDescent="0.25">
      <c r="B45" s="4">
        <v>41</v>
      </c>
      <c r="C45" t="s">
        <v>2</v>
      </c>
      <c r="F45" t="s">
        <v>2</v>
      </c>
      <c r="H45" t="s">
        <v>7</v>
      </c>
    </row>
    <row r="46" spans="2:10" x14ac:dyDescent="0.25">
      <c r="B46" s="4">
        <v>42</v>
      </c>
      <c r="E46" t="s">
        <v>2</v>
      </c>
      <c r="I46" t="s">
        <v>2</v>
      </c>
    </row>
    <row r="47" spans="2:10" x14ac:dyDescent="0.25">
      <c r="B47" s="4">
        <v>43</v>
      </c>
      <c r="D47" t="s">
        <v>2</v>
      </c>
      <c r="G47" t="s">
        <v>2</v>
      </c>
      <c r="I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D49" t="s">
        <v>2</v>
      </c>
      <c r="F49" t="s">
        <v>2</v>
      </c>
      <c r="J49" t="s">
        <v>2</v>
      </c>
    </row>
    <row r="50" spans="2:10" x14ac:dyDescent="0.25">
      <c r="B50" s="4">
        <v>46</v>
      </c>
      <c r="C50" t="s">
        <v>2</v>
      </c>
      <c r="E50" t="s">
        <v>2</v>
      </c>
      <c r="G50" t="s">
        <v>6</v>
      </c>
      <c r="J50" t="s">
        <v>2</v>
      </c>
    </row>
    <row r="51" spans="2:10" x14ac:dyDescent="0.25">
      <c r="B51" s="4">
        <v>47</v>
      </c>
      <c r="C51" t="s">
        <v>2</v>
      </c>
    </row>
    <row r="52" spans="2:10" x14ac:dyDescent="0.25">
      <c r="B52" s="4">
        <v>48</v>
      </c>
      <c r="C52" t="s">
        <v>2</v>
      </c>
      <c r="E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</row>
    <row r="54" spans="2:10" x14ac:dyDescent="0.25">
      <c r="B54" s="4">
        <v>50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J54" t="s">
        <v>2</v>
      </c>
    </row>
    <row r="55" spans="2:10" x14ac:dyDescent="0.25">
      <c r="B55" s="4">
        <v>51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2</v>
      </c>
      <c r="J55" t="s">
        <v>2</v>
      </c>
    </row>
    <row r="56" spans="2:10" x14ac:dyDescent="0.25">
      <c r="B56" s="4">
        <v>52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7</v>
      </c>
      <c r="D57" t="s">
        <v>7</v>
      </c>
      <c r="I57" t="s">
        <v>2</v>
      </c>
    </row>
    <row r="58" spans="2:10" x14ac:dyDescent="0.25">
      <c r="B58" s="4">
        <v>54</v>
      </c>
      <c r="C58" t="s">
        <v>7</v>
      </c>
      <c r="D58" t="s">
        <v>7</v>
      </c>
      <c r="F58" t="s">
        <v>7</v>
      </c>
      <c r="H58" t="s">
        <v>7</v>
      </c>
      <c r="I58" t="s">
        <v>2</v>
      </c>
    </row>
    <row r="59" spans="2:10" x14ac:dyDescent="0.25">
      <c r="B59" s="4">
        <v>55</v>
      </c>
      <c r="C59" t="s">
        <v>7</v>
      </c>
      <c r="D59" t="s">
        <v>2</v>
      </c>
      <c r="H59" t="s">
        <v>7</v>
      </c>
      <c r="J59" t="s">
        <v>2</v>
      </c>
    </row>
    <row r="60" spans="2:10" x14ac:dyDescent="0.25">
      <c r="B60" s="4">
        <v>56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2" x14ac:dyDescent="0.25">
      <c r="B81" s="4">
        <v>14</v>
      </c>
    </row>
    <row r="82" spans="2:2" x14ac:dyDescent="0.25">
      <c r="B82" s="4">
        <v>15</v>
      </c>
    </row>
    <row r="83" spans="2:2" x14ac:dyDescent="0.25">
      <c r="B83" s="4">
        <v>16</v>
      </c>
    </row>
    <row r="84" spans="2:2" x14ac:dyDescent="0.25">
      <c r="B84" s="4">
        <v>17</v>
      </c>
    </row>
    <row r="85" spans="2:2" x14ac:dyDescent="0.25">
      <c r="B85" s="4">
        <v>18</v>
      </c>
    </row>
    <row r="86" spans="2:2" x14ac:dyDescent="0.25">
      <c r="B86" s="4">
        <v>19</v>
      </c>
    </row>
    <row r="87" spans="2:2" x14ac:dyDescent="0.25">
      <c r="B87" s="4">
        <v>20</v>
      </c>
    </row>
    <row r="88" spans="2:2" x14ac:dyDescent="0.25">
      <c r="B88" s="4">
        <v>21</v>
      </c>
    </row>
    <row r="89" spans="2:2" x14ac:dyDescent="0.25">
      <c r="B89" s="4">
        <v>22</v>
      </c>
    </row>
    <row r="90" spans="2:2" x14ac:dyDescent="0.25">
      <c r="B90" s="4">
        <v>23</v>
      </c>
    </row>
    <row r="91" spans="2:2" x14ac:dyDescent="0.25">
      <c r="B91" s="4">
        <v>24</v>
      </c>
    </row>
    <row r="92" spans="2:2" x14ac:dyDescent="0.25">
      <c r="B92" s="4">
        <v>25</v>
      </c>
    </row>
    <row r="93" spans="2:2" x14ac:dyDescent="0.25">
      <c r="B93" s="4">
        <v>26</v>
      </c>
    </row>
    <row r="94" spans="2:2" x14ac:dyDescent="0.25">
      <c r="B94" s="4">
        <v>27</v>
      </c>
    </row>
    <row r="95" spans="2:2" x14ac:dyDescent="0.25">
      <c r="B95" s="4">
        <v>28</v>
      </c>
    </row>
    <row r="96" spans="2:2" x14ac:dyDescent="0.25">
      <c r="B96" s="4">
        <v>29</v>
      </c>
    </row>
    <row r="97" spans="2:3" x14ac:dyDescent="0.25">
      <c r="B97" s="4">
        <v>30</v>
      </c>
    </row>
    <row r="98" spans="2:3" x14ac:dyDescent="0.25">
      <c r="B98" s="4">
        <v>31</v>
      </c>
    </row>
    <row r="99" spans="2:3" x14ac:dyDescent="0.25">
      <c r="B99" s="4">
        <v>32</v>
      </c>
    </row>
    <row r="100" spans="2:3" x14ac:dyDescent="0.25">
      <c r="B100" s="4">
        <v>33</v>
      </c>
    </row>
    <row r="101" spans="2:3" x14ac:dyDescent="0.25">
      <c r="B101" s="4">
        <v>34</v>
      </c>
      <c r="C101" t="s">
        <v>11</v>
      </c>
    </row>
    <row r="102" spans="2:3" x14ac:dyDescent="0.25">
      <c r="B102" s="4">
        <v>35</v>
      </c>
    </row>
    <row r="103" spans="2:3" x14ac:dyDescent="0.25">
      <c r="B103" s="4">
        <v>36</v>
      </c>
    </row>
    <row r="104" spans="2:3" x14ac:dyDescent="0.25">
      <c r="B104" s="4">
        <v>37</v>
      </c>
    </row>
    <row r="105" spans="2:3" x14ac:dyDescent="0.25">
      <c r="B105" s="4">
        <v>38</v>
      </c>
    </row>
    <row r="106" spans="2:3" x14ac:dyDescent="0.25">
      <c r="B106" s="4">
        <v>39</v>
      </c>
    </row>
    <row r="107" spans="2:3" x14ac:dyDescent="0.25">
      <c r="B107" s="4">
        <v>40</v>
      </c>
    </row>
    <row r="108" spans="2:3" x14ac:dyDescent="0.25">
      <c r="B108" s="4">
        <v>41</v>
      </c>
    </row>
    <row r="109" spans="2:3" x14ac:dyDescent="0.25">
      <c r="B109" s="4">
        <v>42</v>
      </c>
    </row>
    <row r="110" spans="2:3" x14ac:dyDescent="0.25">
      <c r="B110" s="4">
        <v>43</v>
      </c>
    </row>
    <row r="111" spans="2:3" x14ac:dyDescent="0.25">
      <c r="B111" s="4">
        <v>44</v>
      </c>
    </row>
    <row r="112" spans="2:3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1246" priority="32" operator="equal">
      <formula>"Energia"</formula>
    </cfRule>
  </conditionalFormatting>
  <conditionalFormatting sqref="C5:E60 H5:J60">
    <cfRule type="cellIs" dxfId="1245" priority="25" operator="equal">
      <formula>"Energia"</formula>
    </cfRule>
    <cfRule type="cellIs" dxfId="1244" priority="27" operator="equal">
      <formula>"Operação"</formula>
    </cfRule>
    <cfRule type="cellIs" dxfId="1243" priority="28" operator="equal">
      <formula>"Chuva"</formula>
    </cfRule>
    <cfRule type="cellIs" dxfId="1242" priority="29" operator="equal">
      <formula>"Elétrico"</formula>
    </cfRule>
    <cfRule type="cellIs" dxfId="1241" priority="30" operator="equal">
      <formula>"Mecânico"</formula>
    </cfRule>
    <cfRule type="cellIs" dxfId="1240" priority="31" operator="equal">
      <formula>"Ok"</formula>
    </cfRule>
  </conditionalFormatting>
  <conditionalFormatting sqref="C61:J61 C5:E60 H5:J60">
    <cfRule type="cellIs" dxfId="1239" priority="26" operator="equal">
      <formula>"Feito"</formula>
    </cfRule>
  </conditionalFormatting>
  <conditionalFormatting sqref="C68:H74">
    <cfRule type="cellIs" dxfId="1238" priority="24" operator="equal">
      <formula>"Energia"</formula>
    </cfRule>
  </conditionalFormatting>
  <conditionalFormatting sqref="C68:J123">
    <cfRule type="cellIs" dxfId="1237" priority="9" operator="equal">
      <formula>"Micro"</formula>
    </cfRule>
    <cfRule type="cellIs" dxfId="1236" priority="10" operator="equal">
      <formula>"Castanha"</formula>
    </cfRule>
    <cfRule type="cellIs" dxfId="1235" priority="11" operator="equal">
      <formula>"Redutor"</formula>
    </cfRule>
    <cfRule type="cellIs" dxfId="1234" priority="12" operator="equal">
      <formula>"Adutora"</formula>
    </cfRule>
    <cfRule type="cellIs" dxfId="1233" priority="13" operator="equal">
      <formula>"Mangote"</formula>
    </cfRule>
    <cfRule type="cellIs" dxfId="1232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{40EA3C11-1478-49FF-B333-EBA008520079}</x14:id>
        </ext>
      </extLst>
    </cfRule>
    <cfRule type="cellIs" dxfId="1231" priority="17" operator="equal">
      <formula>"Energia"</formula>
    </cfRule>
    <cfRule type="cellIs" dxfId="1230" priority="19" operator="equal">
      <formula>"Operação"</formula>
    </cfRule>
    <cfRule type="cellIs" dxfId="1229" priority="20" operator="equal">
      <formula>"Chuva"</formula>
    </cfRule>
    <cfRule type="cellIs" dxfId="1228" priority="21" operator="equal">
      <formula>"Elétrico"</formula>
    </cfRule>
    <cfRule type="cellIs" dxfId="1227" priority="22" operator="equal">
      <formula>"Mecânico"</formula>
    </cfRule>
    <cfRule type="cellIs" dxfId="1226" priority="23" operator="equal">
      <formula>"Ok"</formula>
    </cfRule>
  </conditionalFormatting>
  <conditionalFormatting sqref="C68:J123">
    <cfRule type="cellIs" dxfId="1225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224" priority="8" operator="equal">
      <formula>"Energia"</formula>
    </cfRule>
  </conditionalFormatting>
  <conditionalFormatting sqref="F5:G60">
    <cfRule type="cellIs" dxfId="1223" priority="1" operator="equal">
      <formula>"Energia"</formula>
    </cfRule>
    <cfRule type="cellIs" dxfId="1222" priority="3" operator="equal">
      <formula>"Operação"</formula>
    </cfRule>
    <cfRule type="cellIs" dxfId="1221" priority="4" operator="equal">
      <formula>"Chuva"</formula>
    </cfRule>
    <cfRule type="cellIs" dxfId="1220" priority="5" operator="equal">
      <formula>"Elétrico"</formula>
    </cfRule>
    <cfRule type="cellIs" dxfId="1219" priority="6" operator="equal">
      <formula>"Mecânico"</formula>
    </cfRule>
    <cfRule type="cellIs" dxfId="1218" priority="7" operator="equal">
      <formula>"Ok"</formula>
    </cfRule>
  </conditionalFormatting>
  <conditionalFormatting sqref="F5:G60">
    <cfRule type="cellIs" dxfId="1217" priority="2" operator="equal">
      <formula>"Feito"</formula>
    </cfRule>
  </conditionalFormatting>
  <dataValidations count="2">
    <dataValidation type="list" allowBlank="1" showInputMessage="1" showErrorMessage="1" sqref="C68:J123" xr:uid="{5F280A1A-B9EB-44E5-9B1A-8CDC870C7C77}">
      <formula1>$L$68:$L$73</formula1>
    </dataValidation>
    <dataValidation type="list" allowBlank="1" showInputMessage="1" showErrorMessage="1" sqref="K68:K123 C5:K60" xr:uid="{98DC5F78-C415-4A9E-B149-8F86D1FFA37A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A3C11-1478-49FF-B333-EBA008520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9D-CB79-490F-958E-9D004CC1A14C}">
  <sheetPr codeName="Planilha14"/>
  <dimension ref="B2:M60"/>
  <sheetViews>
    <sheetView workbookViewId="0">
      <selection activeCell="P61" sqref="P61"/>
    </sheetView>
  </sheetViews>
  <sheetFormatPr defaultRowHeight="15" x14ac:dyDescent="0.25"/>
  <cols>
    <col min="3" max="3" width="9.85546875" bestFit="1" customWidth="1"/>
    <col min="4" max="4" width="12.42578125" customWidth="1"/>
    <col min="5" max="5" width="12" customWidth="1"/>
    <col min="6" max="6" width="9.85546875" customWidth="1"/>
    <col min="7" max="7" width="10.5703125" customWidth="1"/>
    <col min="8" max="9" width="10.140625" customWidth="1"/>
    <col min="10" max="10" width="10.5703125" customWidth="1"/>
  </cols>
  <sheetData>
    <row r="2" spans="2:13" x14ac:dyDescent="0.25">
      <c r="C2" s="3"/>
      <c r="D2" s="3"/>
      <c r="E2" s="3"/>
      <c r="F2" s="3"/>
      <c r="G2" s="3"/>
      <c r="H2" s="3"/>
      <c r="I2" s="3"/>
      <c r="J2" s="3"/>
    </row>
    <row r="3" spans="2:13" x14ac:dyDescent="0.25">
      <c r="C3" s="3">
        <v>44290</v>
      </c>
      <c r="D3" s="3">
        <f>C3+1</f>
        <v>44291</v>
      </c>
      <c r="E3" s="3">
        <f t="shared" ref="E3:J3" si="0">D3+1</f>
        <v>44292</v>
      </c>
      <c r="F3" s="3">
        <f t="shared" si="0"/>
        <v>44293</v>
      </c>
      <c r="G3" s="3">
        <f t="shared" si="0"/>
        <v>44294</v>
      </c>
      <c r="H3" s="3">
        <f t="shared" si="0"/>
        <v>44295</v>
      </c>
      <c r="I3" s="3">
        <f t="shared" si="0"/>
        <v>44296</v>
      </c>
      <c r="J3" s="3">
        <f t="shared" si="0"/>
        <v>44297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E5" t="s">
        <v>2</v>
      </c>
      <c r="L5" s="5" t="s">
        <v>2</v>
      </c>
      <c r="M5">
        <f>COUNTIF($C$5:$J$60,L5)</f>
        <v>49</v>
      </c>
    </row>
    <row r="6" spans="2:13" x14ac:dyDescent="0.25">
      <c r="B6" s="4">
        <v>2</v>
      </c>
      <c r="C6" t="s">
        <v>5</v>
      </c>
      <c r="D6" t="s">
        <v>2</v>
      </c>
      <c r="E6" t="s">
        <v>2</v>
      </c>
      <c r="F6" t="s">
        <v>3</v>
      </c>
      <c r="G6" t="s">
        <v>3</v>
      </c>
      <c r="L6" s="6" t="s">
        <v>5</v>
      </c>
      <c r="M6">
        <f t="shared" ref="M6:M10" si="2">COUNTIF($C$5:$J$60,L6)</f>
        <v>41</v>
      </c>
    </row>
    <row r="7" spans="2:13" x14ac:dyDescent="0.25">
      <c r="B7" s="4">
        <v>3</v>
      </c>
      <c r="C7" t="s">
        <v>5</v>
      </c>
      <c r="E7" t="s">
        <v>5</v>
      </c>
      <c r="F7" t="s">
        <v>3</v>
      </c>
      <c r="I7" t="s">
        <v>7</v>
      </c>
      <c r="L7" s="7" t="s">
        <v>6</v>
      </c>
      <c r="M7">
        <f t="shared" si="2"/>
        <v>7</v>
      </c>
    </row>
    <row r="8" spans="2:13" x14ac:dyDescent="0.25">
      <c r="B8" s="4">
        <v>4</v>
      </c>
      <c r="D8" t="s">
        <v>2</v>
      </c>
      <c r="J8" t="s">
        <v>5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2</v>
      </c>
      <c r="E9" t="s">
        <v>2</v>
      </c>
      <c r="L9" s="9" t="s">
        <v>3</v>
      </c>
      <c r="M9">
        <f t="shared" si="2"/>
        <v>34</v>
      </c>
    </row>
    <row r="10" spans="2:13" x14ac:dyDescent="0.25">
      <c r="B10" s="4">
        <v>6</v>
      </c>
      <c r="C10" t="s">
        <v>2</v>
      </c>
      <c r="D10" t="s">
        <v>5</v>
      </c>
      <c r="E10" t="s">
        <v>5</v>
      </c>
      <c r="H10" t="s">
        <v>5</v>
      </c>
      <c r="I10" t="s">
        <v>6</v>
      </c>
      <c r="J10" t="s">
        <v>5</v>
      </c>
      <c r="L10" s="10" t="s">
        <v>7</v>
      </c>
      <c r="M10">
        <f t="shared" si="2"/>
        <v>15</v>
      </c>
    </row>
    <row r="11" spans="2:13" x14ac:dyDescent="0.25">
      <c r="B11" s="4">
        <v>7</v>
      </c>
      <c r="C11" t="s">
        <v>2</v>
      </c>
      <c r="M11">
        <f>SUM(M5:M10)</f>
        <v>146</v>
      </c>
    </row>
    <row r="12" spans="2:13" x14ac:dyDescent="0.25">
      <c r="B12" s="4">
        <v>8</v>
      </c>
      <c r="C12" t="s">
        <v>2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  <c r="E19" t="s">
        <v>2</v>
      </c>
      <c r="F19" t="s">
        <v>3</v>
      </c>
    </row>
    <row r="20" spans="2:10" x14ac:dyDescent="0.25">
      <c r="B20" s="4">
        <v>16</v>
      </c>
      <c r="D20" t="s">
        <v>2</v>
      </c>
      <c r="E20" t="s">
        <v>2</v>
      </c>
      <c r="F20" t="s">
        <v>3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D21" t="s">
        <v>2</v>
      </c>
    </row>
    <row r="22" spans="2:10" x14ac:dyDescent="0.25">
      <c r="B22" s="4">
        <v>18</v>
      </c>
      <c r="C22" t="s">
        <v>5</v>
      </c>
      <c r="D22" t="s">
        <v>5</v>
      </c>
    </row>
    <row r="23" spans="2:10" x14ac:dyDescent="0.25">
      <c r="B23" s="4">
        <v>19</v>
      </c>
      <c r="C23" t="s">
        <v>2</v>
      </c>
      <c r="F23" t="s">
        <v>3</v>
      </c>
      <c r="H23" t="s">
        <v>5</v>
      </c>
      <c r="I23" t="s">
        <v>5</v>
      </c>
      <c r="J23" t="s">
        <v>5</v>
      </c>
    </row>
    <row r="24" spans="2:10" x14ac:dyDescent="0.25">
      <c r="B24" s="4">
        <v>20</v>
      </c>
      <c r="C24" t="s">
        <v>5</v>
      </c>
      <c r="I24" t="s">
        <v>7</v>
      </c>
      <c r="J24" t="s">
        <v>7</v>
      </c>
    </row>
    <row r="25" spans="2:10" x14ac:dyDescent="0.25">
      <c r="B25" s="4">
        <v>21</v>
      </c>
      <c r="D25" t="s">
        <v>5</v>
      </c>
      <c r="E25" t="s">
        <v>2</v>
      </c>
    </row>
    <row r="26" spans="2:10" x14ac:dyDescent="0.25">
      <c r="B26" s="4">
        <v>22</v>
      </c>
      <c r="C26" t="s">
        <v>5</v>
      </c>
      <c r="D26" t="s">
        <v>5</v>
      </c>
      <c r="E26" t="s">
        <v>2</v>
      </c>
      <c r="G26" t="s">
        <v>3</v>
      </c>
      <c r="I26" t="s">
        <v>7</v>
      </c>
      <c r="J26" t="s">
        <v>7</v>
      </c>
    </row>
    <row r="27" spans="2:10" x14ac:dyDescent="0.25">
      <c r="B27" s="4">
        <v>23</v>
      </c>
      <c r="E27" t="s">
        <v>2</v>
      </c>
      <c r="G27" t="s">
        <v>3</v>
      </c>
    </row>
    <row r="28" spans="2:10" x14ac:dyDescent="0.25">
      <c r="B28" s="4">
        <v>24</v>
      </c>
      <c r="E28" t="s">
        <v>2</v>
      </c>
      <c r="G28" t="s">
        <v>3</v>
      </c>
      <c r="I28" t="s">
        <v>7</v>
      </c>
      <c r="J28" t="s">
        <v>7</v>
      </c>
    </row>
    <row r="29" spans="2:10" x14ac:dyDescent="0.25">
      <c r="B29" s="4">
        <v>25</v>
      </c>
      <c r="D29" t="s">
        <v>7</v>
      </c>
      <c r="E29" t="s">
        <v>2</v>
      </c>
      <c r="G29" t="s">
        <v>3</v>
      </c>
    </row>
    <row r="30" spans="2:10" x14ac:dyDescent="0.25">
      <c r="B30" s="4">
        <v>26</v>
      </c>
      <c r="E30" t="s">
        <v>7</v>
      </c>
      <c r="F30" t="s">
        <v>3</v>
      </c>
    </row>
    <row r="31" spans="2:10" x14ac:dyDescent="0.25">
      <c r="B31" s="4">
        <v>27</v>
      </c>
      <c r="D31" t="s">
        <v>7</v>
      </c>
      <c r="E31" t="s">
        <v>7</v>
      </c>
      <c r="G31" t="s">
        <v>3</v>
      </c>
    </row>
    <row r="32" spans="2:10" x14ac:dyDescent="0.25">
      <c r="B32" s="4">
        <v>28</v>
      </c>
      <c r="C32" t="s">
        <v>5</v>
      </c>
      <c r="D32" t="s">
        <v>5</v>
      </c>
      <c r="E32" t="s">
        <v>5</v>
      </c>
      <c r="H32" t="s">
        <v>5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J33" t="s">
        <v>6</v>
      </c>
    </row>
    <row r="34" spans="2:10" x14ac:dyDescent="0.25">
      <c r="B34" s="4">
        <v>30</v>
      </c>
      <c r="D34" t="s">
        <v>2</v>
      </c>
      <c r="F34" t="s">
        <v>3</v>
      </c>
      <c r="H34" t="s">
        <v>6</v>
      </c>
      <c r="I34" t="s">
        <v>5</v>
      </c>
    </row>
    <row r="35" spans="2:10" x14ac:dyDescent="0.25">
      <c r="B35" s="4">
        <v>31</v>
      </c>
      <c r="C35" t="s">
        <v>5</v>
      </c>
      <c r="D35" t="s">
        <v>2</v>
      </c>
      <c r="E35" t="s">
        <v>2</v>
      </c>
      <c r="G35" t="s">
        <v>3</v>
      </c>
      <c r="H35" t="s">
        <v>6</v>
      </c>
      <c r="I35" t="s">
        <v>6</v>
      </c>
      <c r="J35" t="s">
        <v>6</v>
      </c>
    </row>
    <row r="36" spans="2:10" x14ac:dyDescent="0.25">
      <c r="B36" s="4">
        <v>32</v>
      </c>
      <c r="C36" t="s">
        <v>2</v>
      </c>
      <c r="D36" t="s">
        <v>2</v>
      </c>
      <c r="F36" t="s">
        <v>3</v>
      </c>
      <c r="H36" t="s">
        <v>5</v>
      </c>
      <c r="I36" t="s">
        <v>5</v>
      </c>
      <c r="J36" t="s">
        <v>7</v>
      </c>
    </row>
    <row r="37" spans="2:10" x14ac:dyDescent="0.25">
      <c r="B37" s="4">
        <v>33</v>
      </c>
      <c r="C37" t="s">
        <v>5</v>
      </c>
      <c r="E37" t="s">
        <v>5</v>
      </c>
      <c r="F37" t="s">
        <v>3</v>
      </c>
    </row>
    <row r="38" spans="2:10" x14ac:dyDescent="0.25">
      <c r="B38" s="4">
        <v>34</v>
      </c>
      <c r="D38" t="s">
        <v>2</v>
      </c>
      <c r="G38" t="s">
        <v>3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3</v>
      </c>
    </row>
    <row r="40" spans="2:10" x14ac:dyDescent="0.25">
      <c r="B40" s="4">
        <v>36</v>
      </c>
      <c r="C40" t="s">
        <v>2</v>
      </c>
      <c r="E40" t="s">
        <v>2</v>
      </c>
      <c r="G40" t="s">
        <v>3</v>
      </c>
    </row>
    <row r="41" spans="2:10" x14ac:dyDescent="0.25">
      <c r="B41" s="4">
        <v>37</v>
      </c>
      <c r="F41" t="s">
        <v>3</v>
      </c>
      <c r="G41" t="s">
        <v>3</v>
      </c>
    </row>
    <row r="42" spans="2:10" x14ac:dyDescent="0.25">
      <c r="B42" s="4">
        <v>38</v>
      </c>
      <c r="D42" t="s">
        <v>2</v>
      </c>
      <c r="G42" t="s">
        <v>3</v>
      </c>
    </row>
    <row r="43" spans="2:10" x14ac:dyDescent="0.25">
      <c r="B43" s="4">
        <v>39</v>
      </c>
      <c r="D43" t="s">
        <v>2</v>
      </c>
      <c r="F43" t="s">
        <v>3</v>
      </c>
    </row>
    <row r="44" spans="2:10" x14ac:dyDescent="0.25">
      <c r="B44" s="4">
        <v>40</v>
      </c>
      <c r="E44" t="s">
        <v>2</v>
      </c>
      <c r="G44" t="s">
        <v>3</v>
      </c>
    </row>
    <row r="45" spans="2:10" x14ac:dyDescent="0.25">
      <c r="B45" s="4">
        <v>41</v>
      </c>
      <c r="C45" t="s">
        <v>2</v>
      </c>
    </row>
    <row r="46" spans="2:10" x14ac:dyDescent="0.25">
      <c r="B46" s="4">
        <v>42</v>
      </c>
      <c r="D46" t="s">
        <v>2</v>
      </c>
      <c r="F46" t="s">
        <v>3</v>
      </c>
      <c r="J46" t="s">
        <v>2</v>
      </c>
    </row>
    <row r="47" spans="2:10" x14ac:dyDescent="0.25">
      <c r="B47" s="4">
        <v>43</v>
      </c>
      <c r="F47" t="s">
        <v>3</v>
      </c>
      <c r="G47" t="s">
        <v>3</v>
      </c>
    </row>
    <row r="48" spans="2:10" x14ac:dyDescent="0.25">
      <c r="B48" s="4">
        <v>44</v>
      </c>
      <c r="I48" t="s">
        <v>5</v>
      </c>
    </row>
    <row r="49" spans="2:10" x14ac:dyDescent="0.25">
      <c r="B49" s="4">
        <v>45</v>
      </c>
      <c r="D49" t="s">
        <v>2</v>
      </c>
    </row>
    <row r="50" spans="2:10" x14ac:dyDescent="0.25">
      <c r="B50" s="4">
        <v>46</v>
      </c>
      <c r="C50" t="s">
        <v>5</v>
      </c>
      <c r="D50" t="s">
        <v>5</v>
      </c>
      <c r="E50" t="s">
        <v>5</v>
      </c>
      <c r="F50" t="s">
        <v>3</v>
      </c>
      <c r="H50" t="s">
        <v>5</v>
      </c>
    </row>
    <row r="51" spans="2:10" x14ac:dyDescent="0.25">
      <c r="B51" s="4">
        <v>47</v>
      </c>
    </row>
    <row r="52" spans="2:10" x14ac:dyDescent="0.25">
      <c r="B52" s="4">
        <v>48</v>
      </c>
      <c r="C52" t="s">
        <v>2</v>
      </c>
      <c r="E52" t="s">
        <v>5</v>
      </c>
      <c r="G52" t="s">
        <v>3</v>
      </c>
    </row>
    <row r="53" spans="2:10" x14ac:dyDescent="0.25">
      <c r="B53" s="4">
        <v>49</v>
      </c>
      <c r="E53" t="s">
        <v>2</v>
      </c>
      <c r="F53" t="s">
        <v>3</v>
      </c>
    </row>
    <row r="54" spans="2:10" x14ac:dyDescent="0.25">
      <c r="B54" s="4">
        <v>50</v>
      </c>
      <c r="D54" t="s">
        <v>5</v>
      </c>
      <c r="E54" t="s">
        <v>5</v>
      </c>
    </row>
    <row r="55" spans="2:10" x14ac:dyDescent="0.25">
      <c r="B55" s="4">
        <v>51</v>
      </c>
      <c r="C55" t="s">
        <v>2</v>
      </c>
      <c r="E55" t="s">
        <v>2</v>
      </c>
    </row>
    <row r="56" spans="2:10" x14ac:dyDescent="0.25">
      <c r="B56" s="4">
        <v>52</v>
      </c>
      <c r="C56" t="s">
        <v>2</v>
      </c>
      <c r="D56" t="s">
        <v>2</v>
      </c>
      <c r="F56" t="s">
        <v>3</v>
      </c>
      <c r="H56" t="s">
        <v>6</v>
      </c>
      <c r="J56" t="s">
        <v>7</v>
      </c>
    </row>
    <row r="57" spans="2:10" x14ac:dyDescent="0.25">
      <c r="B57" s="4">
        <v>53</v>
      </c>
      <c r="D57" t="s">
        <v>5</v>
      </c>
      <c r="G57" t="s">
        <v>3</v>
      </c>
      <c r="J57" t="s">
        <v>7</v>
      </c>
    </row>
    <row r="58" spans="2:10" x14ac:dyDescent="0.25">
      <c r="B58" s="4">
        <v>54</v>
      </c>
      <c r="D58" t="s">
        <v>2</v>
      </c>
      <c r="F58" t="s">
        <v>3</v>
      </c>
    </row>
    <row r="59" spans="2:10" x14ac:dyDescent="0.25">
      <c r="B59" s="4">
        <v>55</v>
      </c>
      <c r="E59" t="s">
        <v>2</v>
      </c>
      <c r="G59" t="s">
        <v>3</v>
      </c>
      <c r="J59" t="s">
        <v>7</v>
      </c>
    </row>
    <row r="60" spans="2:10" x14ac:dyDescent="0.25">
      <c r="B60" s="4">
        <v>56</v>
      </c>
      <c r="C60" t="s">
        <v>2</v>
      </c>
    </row>
  </sheetData>
  <conditionalFormatting sqref="C5:E11 H5:H11">
    <cfRule type="cellIs" dxfId="1216" priority="17" operator="equal">
      <formula>"Energia"</formula>
    </cfRule>
  </conditionalFormatting>
  <conditionalFormatting sqref="C5:E60 H5:J60">
    <cfRule type="cellIs" dxfId="1215" priority="10" operator="equal">
      <formula>"Energia"</formula>
    </cfRule>
    <cfRule type="cellIs" dxfId="1214" priority="12" operator="equal">
      <formula>"Operação"</formula>
    </cfRule>
    <cfRule type="cellIs" dxfId="1213" priority="13" operator="equal">
      <formula>"Chuva"</formula>
    </cfRule>
    <cfRule type="cellIs" dxfId="1212" priority="14" operator="equal">
      <formula>"Elétrico"</formula>
    </cfRule>
    <cfRule type="cellIs" dxfId="1211" priority="15" operator="equal">
      <formula>"Mecânico"</formula>
    </cfRule>
    <cfRule type="cellIs" dxfId="1210" priority="16" operator="equal">
      <formula>"Ok"</formula>
    </cfRule>
  </conditionalFormatting>
  <conditionalFormatting sqref="C5:E60 H5:J60">
    <cfRule type="cellIs" dxfId="1209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208" priority="8" operator="equal">
      <formula>"Energia"</formula>
    </cfRule>
  </conditionalFormatting>
  <conditionalFormatting sqref="F5:G60">
    <cfRule type="cellIs" dxfId="1207" priority="1" operator="equal">
      <formula>"Energia"</formula>
    </cfRule>
    <cfRule type="cellIs" dxfId="1206" priority="3" operator="equal">
      <formula>"Operação"</formula>
    </cfRule>
    <cfRule type="cellIs" dxfId="1205" priority="4" operator="equal">
      <formula>"Chuva"</formula>
    </cfRule>
    <cfRule type="cellIs" dxfId="1204" priority="5" operator="equal">
      <formula>"Elétrico"</formula>
    </cfRule>
    <cfRule type="cellIs" dxfId="1203" priority="6" operator="equal">
      <formula>"Mecânico"</formula>
    </cfRule>
    <cfRule type="cellIs" dxfId="1202" priority="7" operator="equal">
      <formula>"Ok"</formula>
    </cfRule>
  </conditionalFormatting>
  <conditionalFormatting sqref="F5:G60">
    <cfRule type="cellIs" dxfId="1201" priority="2" operator="equal">
      <formula>"Feito"</formula>
    </cfRule>
  </conditionalFormatting>
  <dataValidations count="1">
    <dataValidation type="list" allowBlank="1" showInputMessage="1" showErrorMessage="1" sqref="C5:K60" xr:uid="{D32BC04B-0C54-48F6-9014-191922491DFB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7443-5550-4E9A-9056-7CE9D7F7FEA9}">
  <sheetPr codeName="Planilha15"/>
  <dimension ref="B3:M60"/>
  <sheetViews>
    <sheetView workbookViewId="0">
      <selection activeCell="M5" sqref="M5:M10"/>
    </sheetView>
  </sheetViews>
  <sheetFormatPr defaultRowHeight="15" x14ac:dyDescent="0.25"/>
  <cols>
    <col min="3" max="3" width="10.42578125" customWidth="1"/>
    <col min="4" max="4" width="9.7109375" customWidth="1"/>
    <col min="5" max="6" width="10.85546875" customWidth="1"/>
    <col min="7" max="7" width="11.140625" customWidth="1"/>
    <col min="8" max="8" width="10.42578125" customWidth="1"/>
    <col min="9" max="9" width="9.85546875" customWidth="1"/>
    <col min="10" max="10" width="10.28515625" customWidth="1"/>
  </cols>
  <sheetData>
    <row r="3" spans="2:13" x14ac:dyDescent="0.25">
      <c r="C3" s="3">
        <v>44298</v>
      </c>
      <c r="D3" s="3">
        <f>C3+1</f>
        <v>44299</v>
      </c>
      <c r="E3" s="3">
        <f t="shared" ref="E3:J3" si="0">D3+1</f>
        <v>44300</v>
      </c>
      <c r="F3" s="3">
        <f t="shared" si="0"/>
        <v>44301</v>
      </c>
      <c r="G3" s="3">
        <f t="shared" si="0"/>
        <v>44302</v>
      </c>
      <c r="H3" s="3">
        <f t="shared" si="0"/>
        <v>44303</v>
      </c>
      <c r="I3" s="3">
        <f t="shared" si="0"/>
        <v>44304</v>
      </c>
      <c r="J3" s="3">
        <f t="shared" si="0"/>
        <v>44305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J5" t="s">
        <v>3</v>
      </c>
      <c r="L5" s="5" t="s">
        <v>2</v>
      </c>
      <c r="M5">
        <f>COUNTIF($C$5:$J$60,L5)</f>
        <v>20</v>
      </c>
    </row>
    <row r="6" spans="2:13" x14ac:dyDescent="0.25">
      <c r="B6" s="4">
        <v>2</v>
      </c>
      <c r="C6" t="s">
        <v>2</v>
      </c>
      <c r="D6" t="s">
        <v>2</v>
      </c>
      <c r="J6" t="s">
        <v>3</v>
      </c>
      <c r="L6" s="6" t="s">
        <v>5</v>
      </c>
      <c r="M6">
        <f t="shared" ref="M6:M10" si="2">COUNTIF($C$5:$J$60,L6)</f>
        <v>6</v>
      </c>
    </row>
    <row r="7" spans="2:13" x14ac:dyDescent="0.25">
      <c r="B7" s="4">
        <v>3</v>
      </c>
      <c r="C7" t="s">
        <v>2</v>
      </c>
      <c r="J7" t="s">
        <v>3</v>
      </c>
      <c r="L7" s="7" t="s">
        <v>6</v>
      </c>
      <c r="M7">
        <f t="shared" si="2"/>
        <v>1</v>
      </c>
    </row>
    <row r="8" spans="2:13" x14ac:dyDescent="0.25">
      <c r="B8" s="4">
        <v>4</v>
      </c>
      <c r="C8" t="s">
        <v>2</v>
      </c>
      <c r="D8" t="s">
        <v>2</v>
      </c>
      <c r="J8" t="s">
        <v>3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2</v>
      </c>
      <c r="L9" s="9" t="s">
        <v>3</v>
      </c>
      <c r="M9">
        <f t="shared" si="2"/>
        <v>38</v>
      </c>
    </row>
    <row r="10" spans="2:13" x14ac:dyDescent="0.25">
      <c r="B10" s="4">
        <v>6</v>
      </c>
      <c r="C10" t="s">
        <v>5</v>
      </c>
      <c r="J10" t="s">
        <v>3</v>
      </c>
      <c r="L10" s="10" t="s">
        <v>7</v>
      </c>
      <c r="M10">
        <f t="shared" si="2"/>
        <v>12</v>
      </c>
    </row>
    <row r="11" spans="2:13" x14ac:dyDescent="0.25">
      <c r="B11" s="4">
        <v>7</v>
      </c>
      <c r="J11" t="s">
        <v>3</v>
      </c>
      <c r="M11">
        <f>SUM(M5:M10)</f>
        <v>77</v>
      </c>
    </row>
    <row r="12" spans="2:13" x14ac:dyDescent="0.25">
      <c r="B12" s="4">
        <v>8</v>
      </c>
      <c r="J12" t="s">
        <v>3</v>
      </c>
    </row>
    <row r="13" spans="2:13" x14ac:dyDescent="0.25">
      <c r="B13" s="4">
        <v>9</v>
      </c>
      <c r="J13" t="s">
        <v>3</v>
      </c>
    </row>
    <row r="14" spans="2:13" x14ac:dyDescent="0.25">
      <c r="B14" s="4">
        <v>10</v>
      </c>
      <c r="J14" t="s">
        <v>3</v>
      </c>
    </row>
    <row r="15" spans="2:13" x14ac:dyDescent="0.25">
      <c r="B15" s="4">
        <v>11</v>
      </c>
      <c r="J15" t="s">
        <v>3</v>
      </c>
    </row>
    <row r="16" spans="2:13" x14ac:dyDescent="0.25">
      <c r="B16" s="4">
        <v>12</v>
      </c>
      <c r="J16" t="s">
        <v>3</v>
      </c>
    </row>
    <row r="17" spans="2:10" x14ac:dyDescent="0.25">
      <c r="B17" s="4">
        <v>13</v>
      </c>
      <c r="J17" t="s">
        <v>3</v>
      </c>
    </row>
    <row r="18" spans="2:10" x14ac:dyDescent="0.25">
      <c r="B18" s="4">
        <v>14</v>
      </c>
      <c r="J18" t="s">
        <v>3</v>
      </c>
    </row>
    <row r="19" spans="2:10" x14ac:dyDescent="0.25">
      <c r="B19" s="4">
        <v>15</v>
      </c>
      <c r="C19" t="s">
        <v>2</v>
      </c>
      <c r="J19" t="s">
        <v>3</v>
      </c>
    </row>
    <row r="20" spans="2:10" x14ac:dyDescent="0.25">
      <c r="B20" s="4">
        <v>16</v>
      </c>
      <c r="C20" t="s">
        <v>5</v>
      </c>
      <c r="J20" t="s">
        <v>3</v>
      </c>
    </row>
    <row r="21" spans="2:10" x14ac:dyDescent="0.25">
      <c r="B21" s="4">
        <v>17</v>
      </c>
      <c r="C21" t="s">
        <v>2</v>
      </c>
      <c r="J21" t="s">
        <v>3</v>
      </c>
    </row>
    <row r="22" spans="2:10" x14ac:dyDescent="0.25">
      <c r="B22" s="4">
        <v>18</v>
      </c>
      <c r="C22" t="s">
        <v>2</v>
      </c>
      <c r="D22" t="s">
        <v>2</v>
      </c>
      <c r="J22" t="s">
        <v>3</v>
      </c>
    </row>
    <row r="23" spans="2:10" x14ac:dyDescent="0.25">
      <c r="B23" s="4">
        <v>19</v>
      </c>
      <c r="J23" t="s">
        <v>3</v>
      </c>
    </row>
    <row r="24" spans="2:10" x14ac:dyDescent="0.25">
      <c r="B24" s="4">
        <v>20</v>
      </c>
      <c r="C24" t="s">
        <v>7</v>
      </c>
      <c r="D24" t="s">
        <v>7</v>
      </c>
      <c r="J24" t="s">
        <v>3</v>
      </c>
    </row>
    <row r="25" spans="2:10" x14ac:dyDescent="0.25">
      <c r="B25" s="4">
        <v>21</v>
      </c>
      <c r="J25" t="s">
        <v>3</v>
      </c>
    </row>
    <row r="26" spans="2:10" x14ac:dyDescent="0.25">
      <c r="B26" s="4">
        <v>22</v>
      </c>
      <c r="C26" t="s">
        <v>7</v>
      </c>
      <c r="D26" t="s">
        <v>7</v>
      </c>
      <c r="J26" t="s">
        <v>3</v>
      </c>
    </row>
    <row r="27" spans="2:10" x14ac:dyDescent="0.25">
      <c r="B27" s="4">
        <v>23</v>
      </c>
      <c r="C27" t="s">
        <v>2</v>
      </c>
      <c r="J27" t="s">
        <v>3</v>
      </c>
    </row>
    <row r="28" spans="2:10" x14ac:dyDescent="0.25">
      <c r="B28" s="4">
        <v>24</v>
      </c>
      <c r="C28" t="s">
        <v>7</v>
      </c>
      <c r="D28" t="s">
        <v>7</v>
      </c>
      <c r="J28" t="s">
        <v>3</v>
      </c>
    </row>
    <row r="29" spans="2:10" x14ac:dyDescent="0.25">
      <c r="B29" s="4">
        <v>25</v>
      </c>
      <c r="D29" t="s">
        <v>2</v>
      </c>
      <c r="J29" t="s">
        <v>3</v>
      </c>
    </row>
    <row r="30" spans="2:10" x14ac:dyDescent="0.25">
      <c r="B30" s="4">
        <v>26</v>
      </c>
      <c r="C30" t="s">
        <v>2</v>
      </c>
      <c r="J30" t="s">
        <v>3</v>
      </c>
    </row>
    <row r="31" spans="2:10" x14ac:dyDescent="0.25">
      <c r="B31" s="4">
        <v>27</v>
      </c>
      <c r="J31" t="s">
        <v>3</v>
      </c>
    </row>
    <row r="32" spans="2:10" x14ac:dyDescent="0.25">
      <c r="B32" s="4">
        <v>28</v>
      </c>
      <c r="C32" t="s">
        <v>5</v>
      </c>
      <c r="J32" t="s">
        <v>3</v>
      </c>
    </row>
    <row r="33" spans="2:10" x14ac:dyDescent="0.25">
      <c r="B33" s="4">
        <v>29</v>
      </c>
      <c r="D33" t="s">
        <v>5</v>
      </c>
      <c r="J33" t="s">
        <v>3</v>
      </c>
    </row>
    <row r="34" spans="2:10" x14ac:dyDescent="0.25">
      <c r="B34" s="4">
        <v>30</v>
      </c>
      <c r="C34" t="s">
        <v>6</v>
      </c>
      <c r="J34" t="s">
        <v>3</v>
      </c>
    </row>
    <row r="35" spans="2:10" x14ac:dyDescent="0.25">
      <c r="B35" s="4">
        <v>31</v>
      </c>
      <c r="D35" t="s">
        <v>5</v>
      </c>
      <c r="J35" t="s">
        <v>3</v>
      </c>
    </row>
    <row r="36" spans="2:10" x14ac:dyDescent="0.25">
      <c r="B36" s="4">
        <v>32</v>
      </c>
      <c r="C36" t="s">
        <v>5</v>
      </c>
      <c r="J36" t="s">
        <v>3</v>
      </c>
    </row>
    <row r="37" spans="2:10" x14ac:dyDescent="0.25">
      <c r="B37" s="4">
        <v>33</v>
      </c>
      <c r="C37" t="s">
        <v>2</v>
      </c>
      <c r="J37" t="s">
        <v>3</v>
      </c>
    </row>
    <row r="38" spans="2:10" x14ac:dyDescent="0.25">
      <c r="B38" s="4">
        <v>34</v>
      </c>
      <c r="D38" t="s">
        <v>2</v>
      </c>
      <c r="J38" t="s">
        <v>3</v>
      </c>
    </row>
    <row r="39" spans="2:10" x14ac:dyDescent="0.25">
      <c r="B39" s="4">
        <v>35</v>
      </c>
      <c r="J39" t="s">
        <v>3</v>
      </c>
    </row>
    <row r="40" spans="2:10" x14ac:dyDescent="0.25">
      <c r="B40" s="4">
        <v>36</v>
      </c>
      <c r="J40" t="s">
        <v>3</v>
      </c>
    </row>
    <row r="41" spans="2:10" x14ac:dyDescent="0.25">
      <c r="B41" s="4">
        <v>37</v>
      </c>
      <c r="J41" t="s">
        <v>3</v>
      </c>
    </row>
    <row r="42" spans="2:10" x14ac:dyDescent="0.25">
      <c r="B42" s="4">
        <v>38</v>
      </c>
      <c r="C42" t="s">
        <v>2</v>
      </c>
      <c r="J42" t="s">
        <v>3</v>
      </c>
    </row>
    <row r="43" spans="2:10" x14ac:dyDescent="0.25">
      <c r="B43" s="4">
        <v>39</v>
      </c>
      <c r="J43" t="s">
        <v>3</v>
      </c>
    </row>
    <row r="44" spans="2:10" x14ac:dyDescent="0.25">
      <c r="B44" s="4">
        <v>40</v>
      </c>
      <c r="C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C46" t="s">
        <v>2</v>
      </c>
    </row>
    <row r="47" spans="2:10" x14ac:dyDescent="0.25">
      <c r="B47" s="4">
        <v>43</v>
      </c>
      <c r="D47" t="s">
        <v>2</v>
      </c>
    </row>
    <row r="48" spans="2:10" x14ac:dyDescent="0.25">
      <c r="B48" s="4">
        <v>44</v>
      </c>
    </row>
    <row r="49" spans="2:4" x14ac:dyDescent="0.25">
      <c r="B49" s="4">
        <v>45</v>
      </c>
    </row>
    <row r="50" spans="2:4" x14ac:dyDescent="0.25">
      <c r="B50" s="4">
        <v>46</v>
      </c>
    </row>
    <row r="51" spans="2:4" x14ac:dyDescent="0.25">
      <c r="B51" s="4">
        <v>47</v>
      </c>
      <c r="D51" t="s">
        <v>7</v>
      </c>
    </row>
    <row r="52" spans="2:4" x14ac:dyDescent="0.25">
      <c r="B52" s="4">
        <v>48</v>
      </c>
      <c r="C52" t="s">
        <v>2</v>
      </c>
    </row>
    <row r="53" spans="2:4" x14ac:dyDescent="0.25">
      <c r="B53" s="4">
        <v>49</v>
      </c>
    </row>
    <row r="54" spans="2:4" x14ac:dyDescent="0.25">
      <c r="B54" s="4">
        <v>50</v>
      </c>
      <c r="D54" t="s">
        <v>7</v>
      </c>
    </row>
    <row r="55" spans="2:4" x14ac:dyDescent="0.25">
      <c r="B55" s="4">
        <v>51</v>
      </c>
      <c r="D55" t="s">
        <v>7</v>
      </c>
    </row>
    <row r="56" spans="2:4" x14ac:dyDescent="0.25">
      <c r="B56" s="4">
        <v>52</v>
      </c>
    </row>
    <row r="57" spans="2:4" x14ac:dyDescent="0.25">
      <c r="B57" s="4">
        <v>53</v>
      </c>
    </row>
    <row r="58" spans="2:4" x14ac:dyDescent="0.25">
      <c r="B58" s="4">
        <v>54</v>
      </c>
      <c r="D58" t="s">
        <v>7</v>
      </c>
    </row>
    <row r="59" spans="2:4" x14ac:dyDescent="0.25">
      <c r="B59" s="4">
        <v>55</v>
      </c>
      <c r="C59" t="s">
        <v>7</v>
      </c>
    </row>
    <row r="60" spans="2:4" x14ac:dyDescent="0.25">
      <c r="B60" s="4">
        <v>56</v>
      </c>
      <c r="C60" t="s">
        <v>7</v>
      </c>
    </row>
  </sheetData>
  <conditionalFormatting sqref="C5:E11 H5:H11">
    <cfRule type="cellIs" dxfId="1200" priority="17" operator="equal">
      <formula>"Energia"</formula>
    </cfRule>
  </conditionalFormatting>
  <conditionalFormatting sqref="C5:E60 H5:J60">
    <cfRule type="cellIs" dxfId="1199" priority="10" operator="equal">
      <formula>"Energia"</formula>
    </cfRule>
    <cfRule type="cellIs" dxfId="1198" priority="12" operator="equal">
      <formula>"Operação"</formula>
    </cfRule>
    <cfRule type="cellIs" dxfId="1197" priority="13" operator="equal">
      <formula>"Chuva"</formula>
    </cfRule>
    <cfRule type="cellIs" dxfId="1196" priority="14" operator="equal">
      <formula>"Elétrico"</formula>
    </cfRule>
    <cfRule type="cellIs" dxfId="1195" priority="15" operator="equal">
      <formula>"Mecânico"</formula>
    </cfRule>
    <cfRule type="cellIs" dxfId="1194" priority="16" operator="equal">
      <formula>"Ok"</formula>
    </cfRule>
  </conditionalFormatting>
  <conditionalFormatting sqref="C5:E60 H5:J60">
    <cfRule type="cellIs" dxfId="1193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192" priority="8" operator="equal">
      <formula>"Energia"</formula>
    </cfRule>
  </conditionalFormatting>
  <conditionalFormatting sqref="F5:G60">
    <cfRule type="cellIs" dxfId="1191" priority="1" operator="equal">
      <formula>"Energia"</formula>
    </cfRule>
    <cfRule type="cellIs" dxfId="1190" priority="3" operator="equal">
      <formula>"Operação"</formula>
    </cfRule>
    <cfRule type="cellIs" dxfId="1189" priority="4" operator="equal">
      <formula>"Chuva"</formula>
    </cfRule>
    <cfRule type="cellIs" dxfId="1188" priority="5" operator="equal">
      <formula>"Elétrico"</formula>
    </cfRule>
    <cfRule type="cellIs" dxfId="1187" priority="6" operator="equal">
      <formula>"Mecânico"</formula>
    </cfRule>
    <cfRule type="cellIs" dxfId="1186" priority="7" operator="equal">
      <formula>"Ok"</formula>
    </cfRule>
  </conditionalFormatting>
  <conditionalFormatting sqref="F5:G60">
    <cfRule type="cellIs" dxfId="1185" priority="2" operator="equal">
      <formula>"Feito"</formula>
    </cfRule>
  </conditionalFormatting>
  <dataValidations count="1">
    <dataValidation type="list" allowBlank="1" showInputMessage="1" showErrorMessage="1" sqref="C5:K60" xr:uid="{E0F24A0B-78CD-4FBA-8DF4-C1F563DDB1F9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CDB-5E52-4D58-93D9-558E7338E003}">
  <sheetPr codeName="Planilha16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44316</v>
      </c>
      <c r="C3" s="3">
        <f>B3+1</f>
        <v>44317</v>
      </c>
      <c r="D3" s="3">
        <f t="shared" ref="D3:I3" si="0">C3+1</f>
        <v>44318</v>
      </c>
      <c r="E3" s="3">
        <f t="shared" si="0"/>
        <v>44319</v>
      </c>
      <c r="F3" s="3">
        <f t="shared" si="0"/>
        <v>44320</v>
      </c>
      <c r="G3" s="3">
        <f t="shared" si="0"/>
        <v>44321</v>
      </c>
      <c r="H3" s="3">
        <f t="shared" si="0"/>
        <v>44322</v>
      </c>
      <c r="I3" s="3">
        <f t="shared" si="0"/>
        <v>44323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86</v>
      </c>
    </row>
    <row r="6" spans="1:12" x14ac:dyDescent="0.25">
      <c r="A6" s="4">
        <v>2</v>
      </c>
      <c r="F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F7" t="s">
        <v>2</v>
      </c>
      <c r="G7" t="s">
        <v>2</v>
      </c>
      <c r="I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B8" t="s">
        <v>7</v>
      </c>
      <c r="F8" t="s">
        <v>2</v>
      </c>
      <c r="H8" t="s">
        <v>6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F9" t="s">
        <v>7</v>
      </c>
      <c r="G9" t="s">
        <v>2</v>
      </c>
      <c r="H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F10" t="s">
        <v>7</v>
      </c>
      <c r="K10" s="10" t="s">
        <v>7</v>
      </c>
      <c r="L10">
        <f t="shared" si="2"/>
        <v>45</v>
      </c>
    </row>
    <row r="11" spans="1:12" x14ac:dyDescent="0.25">
      <c r="A11" s="4">
        <v>7</v>
      </c>
      <c r="C11" t="s">
        <v>2</v>
      </c>
      <c r="D11" t="s">
        <v>2</v>
      </c>
      <c r="F11" t="s">
        <v>2</v>
      </c>
      <c r="G11" t="s">
        <v>2</v>
      </c>
      <c r="H11" t="s">
        <v>2</v>
      </c>
      <c r="L11">
        <f>SUM(L5:L10)</f>
        <v>142</v>
      </c>
    </row>
    <row r="12" spans="1:12" x14ac:dyDescent="0.25">
      <c r="A12" s="4">
        <v>8</v>
      </c>
      <c r="B12" t="s">
        <v>7</v>
      </c>
      <c r="C12" t="s">
        <v>2</v>
      </c>
      <c r="D12" t="s">
        <v>2</v>
      </c>
      <c r="E12" t="s">
        <v>7</v>
      </c>
      <c r="F12" t="s">
        <v>2</v>
      </c>
      <c r="G12" t="s">
        <v>2</v>
      </c>
    </row>
    <row r="13" spans="1:12" x14ac:dyDescent="0.25">
      <c r="A13" s="4">
        <v>9</v>
      </c>
      <c r="B13" t="s">
        <v>7</v>
      </c>
      <c r="E13" t="s">
        <v>2</v>
      </c>
      <c r="F13" t="s">
        <v>2</v>
      </c>
      <c r="G13" t="s">
        <v>2</v>
      </c>
      <c r="H13" t="s">
        <v>5</v>
      </c>
      <c r="I13" t="s">
        <v>2</v>
      </c>
    </row>
    <row r="14" spans="1:12" x14ac:dyDescent="0.25">
      <c r="A14" s="4">
        <v>10</v>
      </c>
      <c r="G14" t="s">
        <v>2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B19" t="s">
        <v>2</v>
      </c>
      <c r="E19" t="s">
        <v>7</v>
      </c>
      <c r="H19" t="s">
        <v>7</v>
      </c>
    </row>
    <row r="20" spans="1:9" x14ac:dyDescent="0.25">
      <c r="A20" s="4">
        <v>16</v>
      </c>
      <c r="D20" t="s">
        <v>5</v>
      </c>
      <c r="E20" t="s">
        <v>2</v>
      </c>
      <c r="F20" t="s">
        <v>7</v>
      </c>
    </row>
    <row r="21" spans="1:9" x14ac:dyDescent="0.25">
      <c r="A21" s="4">
        <v>17</v>
      </c>
      <c r="B21" t="s">
        <v>2</v>
      </c>
      <c r="E21" t="s">
        <v>7</v>
      </c>
      <c r="H21" t="s">
        <v>2</v>
      </c>
    </row>
    <row r="22" spans="1:9" x14ac:dyDescent="0.25">
      <c r="A22" s="4">
        <v>18</v>
      </c>
      <c r="C22" t="s">
        <v>7</v>
      </c>
      <c r="D22" t="s">
        <v>7</v>
      </c>
      <c r="I22" t="s">
        <v>2</v>
      </c>
    </row>
    <row r="23" spans="1:9" x14ac:dyDescent="0.25">
      <c r="A23" s="4">
        <v>19</v>
      </c>
      <c r="D23" t="s">
        <v>2</v>
      </c>
      <c r="G23" t="s">
        <v>5</v>
      </c>
    </row>
    <row r="24" spans="1:9" x14ac:dyDescent="0.25">
      <c r="A24" s="4">
        <v>20</v>
      </c>
      <c r="C24" t="s">
        <v>7</v>
      </c>
      <c r="D24" t="s">
        <v>7</v>
      </c>
      <c r="F24" t="s">
        <v>7</v>
      </c>
    </row>
    <row r="25" spans="1:9" x14ac:dyDescent="0.25">
      <c r="A25" s="4">
        <v>21</v>
      </c>
      <c r="D25" t="s">
        <v>2</v>
      </c>
      <c r="G25" t="s">
        <v>2</v>
      </c>
    </row>
    <row r="26" spans="1:9" x14ac:dyDescent="0.25">
      <c r="A26" s="4">
        <v>22</v>
      </c>
      <c r="D26" t="s">
        <v>6</v>
      </c>
      <c r="G26" t="s">
        <v>6</v>
      </c>
    </row>
    <row r="27" spans="1:9" x14ac:dyDescent="0.25">
      <c r="A27" s="4">
        <v>23</v>
      </c>
      <c r="B27" t="s">
        <v>2</v>
      </c>
      <c r="E27" t="s">
        <v>7</v>
      </c>
      <c r="H27" t="s">
        <v>2</v>
      </c>
    </row>
    <row r="28" spans="1:9" x14ac:dyDescent="0.25">
      <c r="A28" s="4">
        <v>24</v>
      </c>
      <c r="B28" t="s">
        <v>7</v>
      </c>
      <c r="C28" t="s">
        <v>7</v>
      </c>
      <c r="D28" t="s">
        <v>7</v>
      </c>
      <c r="F28" t="s">
        <v>7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C30" t="s">
        <v>2</v>
      </c>
      <c r="F30" t="s">
        <v>2</v>
      </c>
      <c r="I30" t="s">
        <v>2</v>
      </c>
    </row>
    <row r="31" spans="1:9" x14ac:dyDescent="0.25">
      <c r="A31" s="4">
        <v>27</v>
      </c>
      <c r="C31" t="s">
        <v>2</v>
      </c>
      <c r="F31" t="s">
        <v>7</v>
      </c>
      <c r="G31" t="s">
        <v>7</v>
      </c>
    </row>
    <row r="32" spans="1:9" x14ac:dyDescent="0.25">
      <c r="A32" s="4">
        <v>28</v>
      </c>
      <c r="D32" t="s">
        <v>2</v>
      </c>
    </row>
    <row r="33" spans="1:9" x14ac:dyDescent="0.25">
      <c r="A33" s="4">
        <v>29</v>
      </c>
      <c r="B33" t="s">
        <v>2</v>
      </c>
      <c r="D33" t="s">
        <v>2</v>
      </c>
      <c r="F33" t="s">
        <v>2</v>
      </c>
      <c r="H33" t="s">
        <v>6</v>
      </c>
      <c r="I33" t="s">
        <v>2</v>
      </c>
    </row>
    <row r="34" spans="1:9" x14ac:dyDescent="0.25">
      <c r="A34" s="4">
        <v>30</v>
      </c>
    </row>
    <row r="35" spans="1:9" x14ac:dyDescent="0.25">
      <c r="A35" s="4">
        <v>31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E36" t="s">
        <v>2</v>
      </c>
      <c r="F36" t="s">
        <v>5</v>
      </c>
      <c r="H36" t="s">
        <v>2</v>
      </c>
      <c r="I36" t="s">
        <v>5</v>
      </c>
    </row>
    <row r="37" spans="1:9" x14ac:dyDescent="0.25">
      <c r="A37" s="4">
        <v>33</v>
      </c>
      <c r="B37" t="s">
        <v>2</v>
      </c>
      <c r="E37" t="s">
        <v>2</v>
      </c>
      <c r="H37" t="s">
        <v>5</v>
      </c>
      <c r="I37" t="s">
        <v>2</v>
      </c>
    </row>
    <row r="38" spans="1:9" x14ac:dyDescent="0.25">
      <c r="A38" s="4">
        <v>34</v>
      </c>
    </row>
    <row r="39" spans="1:9" x14ac:dyDescent="0.25">
      <c r="A39" s="4">
        <v>35</v>
      </c>
      <c r="C39" t="s">
        <v>2</v>
      </c>
      <c r="G39" t="s">
        <v>2</v>
      </c>
      <c r="H39" t="s">
        <v>7</v>
      </c>
    </row>
    <row r="40" spans="1:9" x14ac:dyDescent="0.25">
      <c r="A40" s="4">
        <v>36</v>
      </c>
      <c r="B40" t="s">
        <v>2</v>
      </c>
      <c r="E40" t="s">
        <v>2</v>
      </c>
      <c r="F40" t="s">
        <v>7</v>
      </c>
      <c r="I40" t="s">
        <v>2</v>
      </c>
    </row>
    <row r="41" spans="1:9" x14ac:dyDescent="0.25">
      <c r="A41" s="4">
        <v>37</v>
      </c>
      <c r="B41" t="s">
        <v>2</v>
      </c>
      <c r="F41" t="s">
        <v>2</v>
      </c>
      <c r="H41" t="s">
        <v>2</v>
      </c>
    </row>
    <row r="42" spans="1:9" x14ac:dyDescent="0.25">
      <c r="A42" s="4">
        <v>38</v>
      </c>
      <c r="B42" t="s">
        <v>2</v>
      </c>
      <c r="E42" t="s">
        <v>7</v>
      </c>
      <c r="H42" t="s">
        <v>7</v>
      </c>
      <c r="I42" t="s">
        <v>2</v>
      </c>
    </row>
    <row r="43" spans="1:9" x14ac:dyDescent="0.25">
      <c r="A43" s="4">
        <v>39</v>
      </c>
      <c r="C43" t="s">
        <v>2</v>
      </c>
      <c r="F43" t="s">
        <v>7</v>
      </c>
    </row>
    <row r="44" spans="1:9" x14ac:dyDescent="0.25">
      <c r="A44" s="4">
        <v>40</v>
      </c>
      <c r="D44" t="s">
        <v>2</v>
      </c>
      <c r="G44" t="s">
        <v>7</v>
      </c>
    </row>
    <row r="45" spans="1:9" x14ac:dyDescent="0.25">
      <c r="A45" s="4">
        <v>41</v>
      </c>
      <c r="C45" t="s">
        <v>2</v>
      </c>
      <c r="F45" t="s">
        <v>2</v>
      </c>
    </row>
    <row r="46" spans="1:9" x14ac:dyDescent="0.25">
      <c r="A46" s="4">
        <v>42</v>
      </c>
      <c r="B46" t="s">
        <v>7</v>
      </c>
      <c r="E46" t="s">
        <v>2</v>
      </c>
      <c r="H46" t="s">
        <v>7</v>
      </c>
    </row>
    <row r="47" spans="1:9" x14ac:dyDescent="0.25">
      <c r="A47" s="4">
        <v>43</v>
      </c>
      <c r="C47" t="s">
        <v>2</v>
      </c>
      <c r="F47" t="s">
        <v>7</v>
      </c>
    </row>
    <row r="48" spans="1:9" x14ac:dyDescent="0.25">
      <c r="A48" s="4">
        <v>44</v>
      </c>
      <c r="D48" t="s">
        <v>2</v>
      </c>
      <c r="G48" t="s">
        <v>2</v>
      </c>
    </row>
    <row r="49" spans="1:9" x14ac:dyDescent="0.25">
      <c r="A49" s="4">
        <v>45</v>
      </c>
    </row>
    <row r="50" spans="1:9" x14ac:dyDescent="0.25">
      <c r="A50" s="4">
        <v>46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E54" t="s">
        <v>2</v>
      </c>
      <c r="H54" t="s">
        <v>7</v>
      </c>
    </row>
    <row r="55" spans="1:9" x14ac:dyDescent="0.25">
      <c r="A55" s="4">
        <v>51</v>
      </c>
      <c r="B55" t="s">
        <v>7</v>
      </c>
      <c r="C55" t="s">
        <v>2</v>
      </c>
      <c r="E55" t="s">
        <v>7</v>
      </c>
      <c r="F55" t="s">
        <v>7</v>
      </c>
      <c r="H55" t="s">
        <v>7</v>
      </c>
      <c r="I55" t="s">
        <v>7</v>
      </c>
    </row>
    <row r="56" spans="1:9" x14ac:dyDescent="0.25">
      <c r="A56" s="4">
        <v>52</v>
      </c>
      <c r="I56" t="s">
        <v>7</v>
      </c>
    </row>
    <row r="57" spans="1:9" x14ac:dyDescent="0.25">
      <c r="A57" s="4">
        <v>53</v>
      </c>
      <c r="B57" t="s">
        <v>2</v>
      </c>
      <c r="E57" t="s">
        <v>2</v>
      </c>
      <c r="H57" t="s">
        <v>2</v>
      </c>
    </row>
    <row r="58" spans="1:9" x14ac:dyDescent="0.25">
      <c r="A58" s="4">
        <v>54</v>
      </c>
      <c r="C58" t="s">
        <v>7</v>
      </c>
      <c r="F58" t="s">
        <v>2</v>
      </c>
      <c r="I58" t="s">
        <v>2</v>
      </c>
    </row>
    <row r="59" spans="1:9" x14ac:dyDescent="0.25">
      <c r="A59" s="4">
        <v>55</v>
      </c>
      <c r="B59" t="s">
        <v>2</v>
      </c>
      <c r="E59" t="s">
        <v>7</v>
      </c>
      <c r="H59" t="s">
        <v>7</v>
      </c>
    </row>
    <row r="60" spans="1:9" x14ac:dyDescent="0.25">
      <c r="A60" s="4">
        <v>56</v>
      </c>
      <c r="D60" t="s">
        <v>5</v>
      </c>
      <c r="G60" t="s">
        <v>7</v>
      </c>
    </row>
  </sheetData>
  <conditionalFormatting sqref="B5:D11 G5:G11">
    <cfRule type="cellIs" dxfId="1184" priority="17" operator="equal">
      <formula>"Energia"</formula>
    </cfRule>
  </conditionalFormatting>
  <conditionalFormatting sqref="B5:D60 G5:I60">
    <cfRule type="cellIs" dxfId="1183" priority="10" operator="equal">
      <formula>"Energia"</formula>
    </cfRule>
    <cfRule type="cellIs" dxfId="1182" priority="12" operator="equal">
      <formula>"Operação"</formula>
    </cfRule>
    <cfRule type="cellIs" dxfId="1181" priority="13" operator="equal">
      <formula>"Chuva"</formula>
    </cfRule>
    <cfRule type="cellIs" dxfId="1180" priority="14" operator="equal">
      <formula>"Elétrico"</formula>
    </cfRule>
    <cfRule type="cellIs" dxfId="1179" priority="15" operator="equal">
      <formula>"Mecânico"</formula>
    </cfRule>
    <cfRule type="cellIs" dxfId="1178" priority="16" operator="equal">
      <formula>"Ok"</formula>
    </cfRule>
  </conditionalFormatting>
  <conditionalFormatting sqref="B5:D60 G5:I60">
    <cfRule type="cellIs" dxfId="117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76" priority="8" operator="equal">
      <formula>"Energia"</formula>
    </cfRule>
  </conditionalFormatting>
  <conditionalFormatting sqref="E5:F60">
    <cfRule type="cellIs" dxfId="1175" priority="1" operator="equal">
      <formula>"Energia"</formula>
    </cfRule>
    <cfRule type="cellIs" dxfId="1174" priority="3" operator="equal">
      <formula>"Operação"</formula>
    </cfRule>
    <cfRule type="cellIs" dxfId="1173" priority="4" operator="equal">
      <formula>"Chuva"</formula>
    </cfRule>
    <cfRule type="cellIs" dxfId="1172" priority="5" operator="equal">
      <formula>"Elétrico"</formula>
    </cfRule>
    <cfRule type="cellIs" dxfId="1171" priority="6" operator="equal">
      <formula>"Mecânico"</formula>
    </cfRule>
    <cfRule type="cellIs" dxfId="1170" priority="7" operator="equal">
      <formula>"Ok"</formula>
    </cfRule>
  </conditionalFormatting>
  <conditionalFormatting sqref="E5:F60">
    <cfRule type="cellIs" dxfId="1169" priority="2" operator="equal">
      <formula>"Feito"</formula>
    </cfRule>
  </conditionalFormatting>
  <dataValidations count="1">
    <dataValidation type="list" allowBlank="1" showInputMessage="1" showErrorMessage="1" sqref="B5:J60" xr:uid="{B9A7CD3D-AE59-42F7-A866-80C27BDC570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951-AC4B-4952-9E9B-E6D9813AC6C1}">
  <sheetPr codeName="Planilha17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44324</v>
      </c>
      <c r="C3" s="3">
        <f>B3+1</f>
        <v>44325</v>
      </c>
      <c r="D3" s="3">
        <f t="shared" ref="D3:I3" si="0">C3+1</f>
        <v>44326</v>
      </c>
      <c r="E3" s="3">
        <f t="shared" si="0"/>
        <v>44327</v>
      </c>
      <c r="F3" s="3">
        <f t="shared" si="0"/>
        <v>44328</v>
      </c>
      <c r="G3" s="3">
        <f t="shared" si="0"/>
        <v>44329</v>
      </c>
      <c r="H3" s="3">
        <f t="shared" si="0"/>
        <v>44330</v>
      </c>
      <c r="I3" s="3">
        <f t="shared" si="0"/>
        <v>44331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E5" t="s">
        <v>7</v>
      </c>
      <c r="F5" t="s">
        <v>7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109</v>
      </c>
    </row>
    <row r="6" spans="1:12" x14ac:dyDescent="0.25">
      <c r="A6" s="4">
        <v>2</v>
      </c>
      <c r="C6" t="s">
        <v>2</v>
      </c>
      <c r="I6" t="s">
        <v>2</v>
      </c>
      <c r="K6" s="6" t="s">
        <v>5</v>
      </c>
      <c r="L6">
        <f t="shared" ref="L6:L10" si="2">COUNTIF($B$5:$I$60,K6)</f>
        <v>19</v>
      </c>
    </row>
    <row r="7" spans="1:12" x14ac:dyDescent="0.25">
      <c r="A7" s="4">
        <v>3</v>
      </c>
      <c r="B7" t="s">
        <v>2</v>
      </c>
      <c r="D7" t="s">
        <v>2</v>
      </c>
      <c r="E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2</v>
      </c>
      <c r="G9" t="s">
        <v>7</v>
      </c>
      <c r="H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D10" t="s">
        <v>2</v>
      </c>
      <c r="E10" t="s">
        <v>2</v>
      </c>
      <c r="F10" t="s">
        <v>5</v>
      </c>
      <c r="I10" t="s">
        <v>2</v>
      </c>
      <c r="K10" s="10" t="s">
        <v>7</v>
      </c>
      <c r="L10">
        <f t="shared" si="2"/>
        <v>37</v>
      </c>
    </row>
    <row r="11" spans="1:12" x14ac:dyDescent="0.25">
      <c r="A11" s="4">
        <v>7</v>
      </c>
      <c r="D11" t="s">
        <v>2</v>
      </c>
      <c r="G11" t="s">
        <v>2</v>
      </c>
      <c r="H11" t="s">
        <v>7</v>
      </c>
      <c r="L11">
        <f>SUM(L5:L10)</f>
        <v>168</v>
      </c>
    </row>
    <row r="12" spans="1:12" x14ac:dyDescent="0.25">
      <c r="A12" s="4">
        <v>8</v>
      </c>
      <c r="B12" t="s">
        <v>2</v>
      </c>
      <c r="D12" t="s">
        <v>2</v>
      </c>
      <c r="G12" t="s">
        <v>2</v>
      </c>
      <c r="H12" t="s">
        <v>7</v>
      </c>
      <c r="I12" t="s">
        <v>2</v>
      </c>
    </row>
    <row r="13" spans="1:12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5</v>
      </c>
      <c r="G13" t="s">
        <v>5</v>
      </c>
      <c r="H13" t="s">
        <v>2</v>
      </c>
    </row>
    <row r="14" spans="1:12" x14ac:dyDescent="0.25">
      <c r="A14" s="4">
        <v>10</v>
      </c>
      <c r="D14" t="s">
        <v>7</v>
      </c>
      <c r="E14" t="s">
        <v>6</v>
      </c>
      <c r="F14" t="s">
        <v>2</v>
      </c>
      <c r="G14" t="s">
        <v>6</v>
      </c>
      <c r="H14" t="s">
        <v>2</v>
      </c>
      <c r="I14" t="s">
        <v>5</v>
      </c>
    </row>
    <row r="15" spans="1:12" x14ac:dyDescent="0.25">
      <c r="A15" s="4">
        <v>11</v>
      </c>
      <c r="D15" t="s">
        <v>7</v>
      </c>
      <c r="I15" t="s">
        <v>7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C19" t="s">
        <v>2</v>
      </c>
      <c r="F19" t="s">
        <v>2</v>
      </c>
    </row>
    <row r="20" spans="1:9" x14ac:dyDescent="0.25">
      <c r="A20" s="4">
        <v>16</v>
      </c>
      <c r="B20" t="s">
        <v>2</v>
      </c>
      <c r="D20" t="s">
        <v>5</v>
      </c>
      <c r="E20" t="s">
        <v>2</v>
      </c>
      <c r="H20" t="s">
        <v>2</v>
      </c>
    </row>
    <row r="21" spans="1:9" x14ac:dyDescent="0.25">
      <c r="A21" s="4">
        <v>17</v>
      </c>
      <c r="C21" t="s">
        <v>2</v>
      </c>
      <c r="F21" t="s">
        <v>2</v>
      </c>
    </row>
    <row r="22" spans="1:9" x14ac:dyDescent="0.25">
      <c r="A22" s="4">
        <v>18</v>
      </c>
      <c r="D22" t="s">
        <v>5</v>
      </c>
      <c r="G22" t="s">
        <v>7</v>
      </c>
    </row>
    <row r="23" spans="1:9" x14ac:dyDescent="0.25">
      <c r="A23" s="4">
        <v>19</v>
      </c>
      <c r="C23" t="s">
        <v>2</v>
      </c>
      <c r="F23" t="s">
        <v>5</v>
      </c>
    </row>
    <row r="24" spans="1:9" x14ac:dyDescent="0.25">
      <c r="A24" s="4">
        <v>20</v>
      </c>
      <c r="B24" t="s">
        <v>2</v>
      </c>
      <c r="E24" t="s">
        <v>5</v>
      </c>
      <c r="H24" t="s">
        <v>2</v>
      </c>
    </row>
    <row r="25" spans="1:9" x14ac:dyDescent="0.25">
      <c r="A25" s="4">
        <v>21</v>
      </c>
      <c r="C25" t="s">
        <v>2</v>
      </c>
      <c r="F25" t="s">
        <v>7</v>
      </c>
    </row>
    <row r="26" spans="1:9" x14ac:dyDescent="0.25">
      <c r="A26" s="4">
        <v>22</v>
      </c>
      <c r="D26" t="s">
        <v>2</v>
      </c>
      <c r="H26" t="s">
        <v>2</v>
      </c>
    </row>
    <row r="27" spans="1:9" x14ac:dyDescent="0.25">
      <c r="A27" s="4">
        <v>23</v>
      </c>
      <c r="D27" t="s">
        <v>7</v>
      </c>
      <c r="H27" t="s">
        <v>2</v>
      </c>
    </row>
    <row r="28" spans="1:9" x14ac:dyDescent="0.25">
      <c r="A28" s="4">
        <v>24</v>
      </c>
      <c r="B28" t="s">
        <v>2</v>
      </c>
      <c r="C28" t="s">
        <v>7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7</v>
      </c>
      <c r="F29" t="s">
        <v>7</v>
      </c>
      <c r="G29" t="s">
        <v>2</v>
      </c>
      <c r="H29" t="s">
        <v>2</v>
      </c>
      <c r="I29" t="s">
        <v>5</v>
      </c>
    </row>
    <row r="30" spans="1:9" x14ac:dyDescent="0.25">
      <c r="A30" s="4">
        <v>26</v>
      </c>
      <c r="D30" t="s">
        <v>2</v>
      </c>
      <c r="F30" t="s">
        <v>7</v>
      </c>
      <c r="G30" t="s">
        <v>7</v>
      </c>
      <c r="H30" t="s">
        <v>7</v>
      </c>
    </row>
    <row r="31" spans="1:9" x14ac:dyDescent="0.25">
      <c r="A31" s="4">
        <v>27</v>
      </c>
      <c r="B31" t="s">
        <v>2</v>
      </c>
      <c r="E31" t="s">
        <v>2</v>
      </c>
    </row>
    <row r="32" spans="1:9" x14ac:dyDescent="0.25">
      <c r="A32" s="4">
        <v>28</v>
      </c>
      <c r="B32" t="s">
        <v>5</v>
      </c>
      <c r="F32" t="s">
        <v>2</v>
      </c>
    </row>
    <row r="33" spans="1:9" x14ac:dyDescent="0.25">
      <c r="A33" s="4">
        <v>29</v>
      </c>
      <c r="B33" t="s">
        <v>2</v>
      </c>
      <c r="C33" t="s">
        <v>2</v>
      </c>
      <c r="E33" t="s">
        <v>7</v>
      </c>
      <c r="F33" t="s">
        <v>7</v>
      </c>
      <c r="G33" t="s">
        <v>7</v>
      </c>
      <c r="I33" t="s">
        <v>7</v>
      </c>
    </row>
    <row r="34" spans="1:9" x14ac:dyDescent="0.25">
      <c r="A34" s="4">
        <v>30</v>
      </c>
      <c r="E34" t="s">
        <v>5</v>
      </c>
      <c r="F34" t="s">
        <v>5</v>
      </c>
      <c r="G34" t="s">
        <v>5</v>
      </c>
      <c r="H34" t="s">
        <v>7</v>
      </c>
    </row>
    <row r="35" spans="1:9" x14ac:dyDescent="0.25">
      <c r="A35" s="4">
        <v>31</v>
      </c>
      <c r="D35" t="s">
        <v>2</v>
      </c>
      <c r="I35" t="s">
        <v>7</v>
      </c>
    </row>
    <row r="36" spans="1:9" x14ac:dyDescent="0.25">
      <c r="A36" s="4">
        <v>32</v>
      </c>
      <c r="B36" t="s">
        <v>5</v>
      </c>
      <c r="C36" t="s">
        <v>5</v>
      </c>
      <c r="D36" t="s">
        <v>5</v>
      </c>
      <c r="E36" t="s">
        <v>2</v>
      </c>
    </row>
    <row r="37" spans="1:9" x14ac:dyDescent="0.25">
      <c r="A37" s="4">
        <v>33</v>
      </c>
      <c r="D37" t="s">
        <v>2</v>
      </c>
      <c r="G37" t="s">
        <v>7</v>
      </c>
      <c r="I37" t="s">
        <v>7</v>
      </c>
    </row>
    <row r="38" spans="1:9" x14ac:dyDescent="0.25">
      <c r="A38" s="4">
        <v>34</v>
      </c>
    </row>
    <row r="39" spans="1:9" x14ac:dyDescent="0.25">
      <c r="A39" s="4">
        <v>35</v>
      </c>
      <c r="B39" t="s">
        <v>7</v>
      </c>
      <c r="D39" t="s">
        <v>7</v>
      </c>
      <c r="F39" t="s">
        <v>7</v>
      </c>
      <c r="H39" t="s">
        <v>2</v>
      </c>
    </row>
    <row r="40" spans="1:9" x14ac:dyDescent="0.25">
      <c r="A40" s="4">
        <v>36</v>
      </c>
      <c r="C40" t="s">
        <v>2</v>
      </c>
      <c r="E40" t="s">
        <v>7</v>
      </c>
      <c r="G40" t="s">
        <v>7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</row>
    <row r="42" spans="1:9" x14ac:dyDescent="0.25">
      <c r="A42" s="4">
        <v>38</v>
      </c>
      <c r="D42" t="s">
        <v>2</v>
      </c>
      <c r="G42" t="s">
        <v>2</v>
      </c>
    </row>
    <row r="43" spans="1:9" x14ac:dyDescent="0.25">
      <c r="A43" s="4">
        <v>39</v>
      </c>
      <c r="B43" t="s">
        <v>7</v>
      </c>
      <c r="E43" t="s">
        <v>2</v>
      </c>
      <c r="H43" t="s">
        <v>2</v>
      </c>
    </row>
    <row r="44" spans="1:9" x14ac:dyDescent="0.25">
      <c r="A44" s="4">
        <v>40</v>
      </c>
      <c r="C44" t="s">
        <v>2</v>
      </c>
      <c r="F44" t="s">
        <v>2</v>
      </c>
    </row>
    <row r="45" spans="1:9" x14ac:dyDescent="0.25">
      <c r="A45" s="4">
        <v>41</v>
      </c>
      <c r="B45" t="s">
        <v>2</v>
      </c>
      <c r="F45" t="s">
        <v>2</v>
      </c>
    </row>
    <row r="46" spans="1:9" x14ac:dyDescent="0.25">
      <c r="A46" s="4">
        <v>42</v>
      </c>
      <c r="C46" t="s">
        <v>2</v>
      </c>
      <c r="E46" t="s">
        <v>2</v>
      </c>
      <c r="G46" t="s">
        <v>2</v>
      </c>
    </row>
    <row r="47" spans="1:9" x14ac:dyDescent="0.25">
      <c r="A47" s="4">
        <v>43</v>
      </c>
      <c r="B47" t="s">
        <v>2</v>
      </c>
      <c r="H47" t="s">
        <v>2</v>
      </c>
    </row>
    <row r="48" spans="1:9" x14ac:dyDescent="0.25">
      <c r="A48" s="4">
        <v>44</v>
      </c>
      <c r="C48" t="s">
        <v>2</v>
      </c>
    </row>
    <row r="49" spans="1:9" x14ac:dyDescent="0.25">
      <c r="A49" s="4">
        <v>45</v>
      </c>
      <c r="C49" t="s">
        <v>5</v>
      </c>
      <c r="D49" t="s">
        <v>7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2</v>
      </c>
      <c r="H50" t="s">
        <v>2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C54" t="s">
        <v>2</v>
      </c>
      <c r="F54" t="s">
        <v>2</v>
      </c>
      <c r="G54" t="s">
        <v>5</v>
      </c>
      <c r="I54" t="s">
        <v>2</v>
      </c>
    </row>
    <row r="55" spans="1:9" x14ac:dyDescent="0.25">
      <c r="A55" s="4">
        <v>51</v>
      </c>
      <c r="D55" t="s">
        <v>2</v>
      </c>
      <c r="E55" t="s">
        <v>7</v>
      </c>
      <c r="H55" t="s">
        <v>2</v>
      </c>
      <c r="I55" t="s">
        <v>6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I56" t="s">
        <v>2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E58" t="s">
        <v>7</v>
      </c>
      <c r="I58" t="s">
        <v>2</v>
      </c>
    </row>
    <row r="59" spans="1:9" x14ac:dyDescent="0.25">
      <c r="A59" s="4">
        <v>55</v>
      </c>
      <c r="D59" t="s">
        <v>2</v>
      </c>
      <c r="G59" t="s">
        <v>2</v>
      </c>
    </row>
    <row r="60" spans="1:9" x14ac:dyDescent="0.25">
      <c r="A60" s="4">
        <v>56</v>
      </c>
      <c r="B60" t="s">
        <v>2</v>
      </c>
      <c r="F60" t="s">
        <v>2</v>
      </c>
    </row>
  </sheetData>
  <conditionalFormatting sqref="B5:D11 G5:G11">
    <cfRule type="cellIs" dxfId="1168" priority="17" operator="equal">
      <formula>"Energia"</formula>
    </cfRule>
  </conditionalFormatting>
  <conditionalFormatting sqref="B5:D60 G5:I60">
    <cfRule type="cellIs" dxfId="1167" priority="10" operator="equal">
      <formula>"Energia"</formula>
    </cfRule>
    <cfRule type="cellIs" dxfId="1166" priority="12" operator="equal">
      <formula>"Operação"</formula>
    </cfRule>
    <cfRule type="cellIs" dxfId="1165" priority="13" operator="equal">
      <formula>"Chuva"</formula>
    </cfRule>
    <cfRule type="cellIs" dxfId="1164" priority="14" operator="equal">
      <formula>"Elétrico"</formula>
    </cfRule>
    <cfRule type="cellIs" dxfId="1163" priority="15" operator="equal">
      <formula>"Mecânico"</formula>
    </cfRule>
    <cfRule type="cellIs" dxfId="1162" priority="16" operator="equal">
      <formula>"Ok"</formula>
    </cfRule>
  </conditionalFormatting>
  <conditionalFormatting sqref="B5:D60 G5:I60">
    <cfRule type="cellIs" dxfId="116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60" priority="8" operator="equal">
      <formula>"Energia"</formula>
    </cfRule>
  </conditionalFormatting>
  <conditionalFormatting sqref="E5:F60">
    <cfRule type="cellIs" dxfId="1159" priority="1" operator="equal">
      <formula>"Energia"</formula>
    </cfRule>
    <cfRule type="cellIs" dxfId="1158" priority="3" operator="equal">
      <formula>"Operação"</formula>
    </cfRule>
    <cfRule type="cellIs" dxfId="1157" priority="4" operator="equal">
      <formula>"Chuva"</formula>
    </cfRule>
    <cfRule type="cellIs" dxfId="1156" priority="5" operator="equal">
      <formula>"Elétrico"</formula>
    </cfRule>
    <cfRule type="cellIs" dxfId="1155" priority="6" operator="equal">
      <formula>"Mecânico"</formula>
    </cfRule>
    <cfRule type="cellIs" dxfId="1154" priority="7" operator="equal">
      <formula>"Ok"</formula>
    </cfRule>
  </conditionalFormatting>
  <conditionalFormatting sqref="E5:F60">
    <cfRule type="cellIs" dxfId="1153" priority="2" operator="equal">
      <formula>"Feito"</formula>
    </cfRule>
  </conditionalFormatting>
  <dataValidations count="1">
    <dataValidation type="list" allowBlank="1" showInputMessage="1" showErrorMessage="1" sqref="B5:J60" xr:uid="{4A22E46D-9520-49C5-9118-CA27E7563FC4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FE8B-BC7C-4CE7-AE33-10A18EBF2289}">
  <sheetPr codeName="Planilha18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44332</v>
      </c>
      <c r="C3" s="3">
        <f>B3+1</f>
        <v>44333</v>
      </c>
      <c r="D3" s="3">
        <f t="shared" ref="D3:I3" si="0">C3+1</f>
        <v>44334</v>
      </c>
      <c r="E3" s="3">
        <f t="shared" si="0"/>
        <v>44335</v>
      </c>
      <c r="F3" s="3">
        <f t="shared" si="0"/>
        <v>44336</v>
      </c>
      <c r="G3" s="3">
        <f t="shared" si="0"/>
        <v>44337</v>
      </c>
      <c r="H3" s="3">
        <f t="shared" si="0"/>
        <v>44338</v>
      </c>
      <c r="I3" s="3">
        <f t="shared" si="0"/>
        <v>44339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I5" t="s">
        <v>2</v>
      </c>
      <c r="K5" s="5" t="s">
        <v>2</v>
      </c>
      <c r="L5">
        <f>COUNTIF($B$5:$I$60,K5)</f>
        <v>113</v>
      </c>
    </row>
    <row r="6" spans="1:12" x14ac:dyDescent="0.25">
      <c r="A6" s="4">
        <v>2</v>
      </c>
      <c r="G6" t="s">
        <v>2</v>
      </c>
      <c r="K6" s="6" t="s">
        <v>5</v>
      </c>
      <c r="L6">
        <f t="shared" ref="L6:L10" si="2">COUNTIF($B$5:$I$60,K6)</f>
        <v>6</v>
      </c>
    </row>
    <row r="7" spans="1:12" x14ac:dyDescent="0.25">
      <c r="A7" s="4">
        <v>3</v>
      </c>
      <c r="B7" t="s">
        <v>2</v>
      </c>
      <c r="C7" t="s">
        <v>2</v>
      </c>
      <c r="H7" t="s">
        <v>2</v>
      </c>
      <c r="I7" t="s">
        <v>2</v>
      </c>
      <c r="K7" s="7" t="s">
        <v>6</v>
      </c>
      <c r="L7">
        <f t="shared" si="2"/>
        <v>5</v>
      </c>
    </row>
    <row r="8" spans="1:12" x14ac:dyDescent="0.25">
      <c r="A8" s="4">
        <v>4</v>
      </c>
      <c r="B8" t="s">
        <v>2</v>
      </c>
      <c r="C8" t="s">
        <v>2</v>
      </c>
      <c r="F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D9" t="s">
        <v>2</v>
      </c>
      <c r="F9" t="s">
        <v>2</v>
      </c>
      <c r="G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D10" t="s">
        <v>2</v>
      </c>
      <c r="E10" t="s">
        <v>2</v>
      </c>
      <c r="I10" t="s">
        <v>2</v>
      </c>
      <c r="K10" s="10" t="s">
        <v>7</v>
      </c>
      <c r="L10">
        <f t="shared" si="2"/>
        <v>41</v>
      </c>
    </row>
    <row r="11" spans="1:12" x14ac:dyDescent="0.25">
      <c r="A11" s="4">
        <v>7</v>
      </c>
      <c r="B11" t="s">
        <v>2</v>
      </c>
      <c r="D11" t="s">
        <v>2</v>
      </c>
      <c r="E11" t="s">
        <v>2</v>
      </c>
      <c r="L11">
        <f>SUM(L5:L10)</f>
        <v>165</v>
      </c>
    </row>
    <row r="12" spans="1:12" x14ac:dyDescent="0.25">
      <c r="A12" s="4">
        <v>8</v>
      </c>
      <c r="D12" t="s">
        <v>7</v>
      </c>
      <c r="E12" t="s">
        <v>2</v>
      </c>
      <c r="F12" t="s">
        <v>2</v>
      </c>
    </row>
    <row r="13" spans="1:12" x14ac:dyDescent="0.25">
      <c r="A13" s="4">
        <v>9</v>
      </c>
      <c r="B13" t="s">
        <v>2</v>
      </c>
      <c r="D13" t="s">
        <v>7</v>
      </c>
      <c r="E13" t="s">
        <v>7</v>
      </c>
      <c r="G13" t="s">
        <v>2</v>
      </c>
    </row>
    <row r="14" spans="1:12" x14ac:dyDescent="0.25">
      <c r="A14" s="4">
        <v>10</v>
      </c>
      <c r="B14" t="s">
        <v>2</v>
      </c>
      <c r="C14" t="s">
        <v>6</v>
      </c>
      <c r="D14" t="s">
        <v>2</v>
      </c>
      <c r="E14" t="s">
        <v>2</v>
      </c>
      <c r="H14" t="s">
        <v>2</v>
      </c>
      <c r="I14" t="s">
        <v>2</v>
      </c>
    </row>
    <row r="15" spans="1:12" x14ac:dyDescent="0.25">
      <c r="A15" s="4">
        <v>11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H16" t="s">
        <v>5</v>
      </c>
    </row>
    <row r="17" spans="1:9" x14ac:dyDescent="0.25">
      <c r="A17" s="4">
        <v>13</v>
      </c>
      <c r="G17" t="s">
        <v>7</v>
      </c>
    </row>
    <row r="18" spans="1:9" x14ac:dyDescent="0.25">
      <c r="A18" s="4">
        <v>14</v>
      </c>
      <c r="E18" t="s">
        <v>7</v>
      </c>
      <c r="F18" t="s">
        <v>2</v>
      </c>
      <c r="I18" t="s">
        <v>2</v>
      </c>
    </row>
    <row r="19" spans="1:9" x14ac:dyDescent="0.25">
      <c r="A19" s="4">
        <v>15</v>
      </c>
      <c r="C19" t="s">
        <v>2</v>
      </c>
      <c r="G19" t="s">
        <v>6</v>
      </c>
      <c r="H19" t="s">
        <v>6</v>
      </c>
    </row>
    <row r="20" spans="1:9" x14ac:dyDescent="0.25">
      <c r="A20" s="4">
        <v>16</v>
      </c>
      <c r="D20" t="s">
        <v>7</v>
      </c>
      <c r="H20" t="s">
        <v>5</v>
      </c>
    </row>
    <row r="21" spans="1:9" x14ac:dyDescent="0.25">
      <c r="A21" s="4">
        <v>17</v>
      </c>
      <c r="B21" t="s">
        <v>2</v>
      </c>
      <c r="F21" t="s">
        <v>7</v>
      </c>
    </row>
    <row r="22" spans="1:9" x14ac:dyDescent="0.25">
      <c r="A22" s="4">
        <v>18</v>
      </c>
      <c r="C22" t="s">
        <v>2</v>
      </c>
      <c r="G22" t="s">
        <v>2</v>
      </c>
    </row>
    <row r="23" spans="1:9" x14ac:dyDescent="0.25">
      <c r="A23" s="4">
        <v>19</v>
      </c>
      <c r="B23" t="s">
        <v>2</v>
      </c>
      <c r="F23" t="s">
        <v>2</v>
      </c>
    </row>
    <row r="24" spans="1:9" x14ac:dyDescent="0.25">
      <c r="A24" s="4">
        <v>20</v>
      </c>
      <c r="D24" t="s">
        <v>7</v>
      </c>
      <c r="E24" t="s">
        <v>2</v>
      </c>
      <c r="H24" t="s">
        <v>7</v>
      </c>
    </row>
    <row r="25" spans="1:9" x14ac:dyDescent="0.25">
      <c r="A25" s="4">
        <v>21</v>
      </c>
      <c r="B25" t="s">
        <v>7</v>
      </c>
      <c r="F25" t="s">
        <v>5</v>
      </c>
    </row>
    <row r="26" spans="1:9" x14ac:dyDescent="0.25">
      <c r="A26" s="4">
        <v>22</v>
      </c>
      <c r="D26" t="s">
        <v>5</v>
      </c>
      <c r="E26" t="s">
        <v>2</v>
      </c>
      <c r="H26" t="s">
        <v>2</v>
      </c>
    </row>
    <row r="27" spans="1:9" x14ac:dyDescent="0.25">
      <c r="A27" s="4">
        <v>23</v>
      </c>
      <c r="D27" t="s">
        <v>2</v>
      </c>
      <c r="H27" t="s">
        <v>6</v>
      </c>
    </row>
    <row r="28" spans="1:9" x14ac:dyDescent="0.25">
      <c r="A28" s="4">
        <v>24</v>
      </c>
      <c r="C28" t="s">
        <v>7</v>
      </c>
      <c r="H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2</v>
      </c>
    </row>
    <row r="31" spans="1:9" x14ac:dyDescent="0.25">
      <c r="A31" s="4">
        <v>27</v>
      </c>
      <c r="C31" t="s">
        <v>7</v>
      </c>
      <c r="D31" t="s">
        <v>7</v>
      </c>
      <c r="E31" t="s">
        <v>7</v>
      </c>
      <c r="F31" t="s">
        <v>2</v>
      </c>
      <c r="G31" t="s">
        <v>2</v>
      </c>
    </row>
    <row r="32" spans="1:9" x14ac:dyDescent="0.25">
      <c r="A32" s="4">
        <v>28</v>
      </c>
      <c r="H32" t="s">
        <v>5</v>
      </c>
    </row>
    <row r="33" spans="1:9" x14ac:dyDescent="0.25">
      <c r="A33" s="4">
        <v>29</v>
      </c>
      <c r="C33" t="s">
        <v>2</v>
      </c>
      <c r="E33" t="s">
        <v>2</v>
      </c>
      <c r="F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7</v>
      </c>
      <c r="E34" t="s">
        <v>7</v>
      </c>
      <c r="F34" t="s">
        <v>7</v>
      </c>
      <c r="G34" t="s">
        <v>7</v>
      </c>
      <c r="H34" t="s">
        <v>2</v>
      </c>
      <c r="I34" t="s">
        <v>7</v>
      </c>
    </row>
    <row r="35" spans="1:9" x14ac:dyDescent="0.25">
      <c r="A35" s="4">
        <v>31</v>
      </c>
      <c r="D35" t="s">
        <v>7</v>
      </c>
      <c r="G35" t="s">
        <v>2</v>
      </c>
    </row>
    <row r="36" spans="1:9" x14ac:dyDescent="0.25">
      <c r="A36" s="4">
        <v>32</v>
      </c>
      <c r="D36" t="s">
        <v>7</v>
      </c>
      <c r="E36" t="s">
        <v>7</v>
      </c>
    </row>
    <row r="37" spans="1:9" x14ac:dyDescent="0.25">
      <c r="A37" s="4">
        <v>33</v>
      </c>
      <c r="C37" t="s">
        <v>2</v>
      </c>
      <c r="F37" t="s">
        <v>2</v>
      </c>
      <c r="I37" t="s">
        <v>2</v>
      </c>
    </row>
    <row r="38" spans="1:9" x14ac:dyDescent="0.25">
      <c r="A38" s="4">
        <v>34</v>
      </c>
      <c r="F38" t="s">
        <v>7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7</v>
      </c>
      <c r="I39" t="s">
        <v>2</v>
      </c>
    </row>
    <row r="40" spans="1:9" x14ac:dyDescent="0.25">
      <c r="A40" s="4">
        <v>36</v>
      </c>
      <c r="C40" t="s">
        <v>7</v>
      </c>
      <c r="D40" t="s">
        <v>2</v>
      </c>
      <c r="H40" t="s">
        <v>5</v>
      </c>
    </row>
    <row r="41" spans="1:9" x14ac:dyDescent="0.25">
      <c r="A41" s="4">
        <v>37</v>
      </c>
      <c r="B41" t="s">
        <v>2</v>
      </c>
      <c r="F41" t="s">
        <v>2</v>
      </c>
    </row>
    <row r="42" spans="1:9" x14ac:dyDescent="0.25">
      <c r="A42" s="4">
        <v>38</v>
      </c>
      <c r="B42" t="s">
        <v>2</v>
      </c>
      <c r="D42" t="s">
        <v>2</v>
      </c>
      <c r="E42" t="s">
        <v>7</v>
      </c>
      <c r="F42" t="s">
        <v>7</v>
      </c>
    </row>
    <row r="43" spans="1:9" x14ac:dyDescent="0.25">
      <c r="A43" s="4">
        <v>39</v>
      </c>
      <c r="D43" t="s">
        <v>2</v>
      </c>
      <c r="H43" t="s">
        <v>2</v>
      </c>
    </row>
    <row r="44" spans="1:9" x14ac:dyDescent="0.25">
      <c r="A44" s="4">
        <v>40</v>
      </c>
      <c r="B44" t="s">
        <v>2</v>
      </c>
      <c r="F44" t="s">
        <v>7</v>
      </c>
    </row>
    <row r="45" spans="1:9" x14ac:dyDescent="0.25">
      <c r="A45" s="4">
        <v>41</v>
      </c>
      <c r="C45" t="s">
        <v>7</v>
      </c>
      <c r="H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  <c r="D47" t="s">
        <v>2</v>
      </c>
      <c r="H47" t="s">
        <v>2</v>
      </c>
    </row>
    <row r="48" spans="1:9" x14ac:dyDescent="0.25">
      <c r="A48" s="4">
        <v>44</v>
      </c>
      <c r="B48" t="s">
        <v>7</v>
      </c>
      <c r="F48" t="s">
        <v>2</v>
      </c>
    </row>
    <row r="49" spans="1:9" x14ac:dyDescent="0.25">
      <c r="A49" s="4">
        <v>45</v>
      </c>
      <c r="B49" t="s">
        <v>2</v>
      </c>
      <c r="C49" t="s">
        <v>2</v>
      </c>
      <c r="H49" t="s">
        <v>2</v>
      </c>
    </row>
    <row r="50" spans="1:9" x14ac:dyDescent="0.25">
      <c r="A50" s="4">
        <v>46</v>
      </c>
      <c r="C50" t="s">
        <v>6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C52" t="s">
        <v>2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C54" t="s">
        <v>7</v>
      </c>
      <c r="E54" t="s">
        <v>2</v>
      </c>
      <c r="I54" t="s">
        <v>2</v>
      </c>
    </row>
    <row r="55" spans="1:9" x14ac:dyDescent="0.25">
      <c r="A55" s="4">
        <v>51</v>
      </c>
      <c r="D55" t="s">
        <v>2</v>
      </c>
      <c r="E55" t="s">
        <v>2</v>
      </c>
      <c r="H55" t="s">
        <v>2</v>
      </c>
    </row>
    <row r="56" spans="1:9" x14ac:dyDescent="0.25">
      <c r="A56" s="4">
        <v>52</v>
      </c>
      <c r="D56" t="s">
        <v>7</v>
      </c>
      <c r="G56" t="s">
        <v>7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D58" t="s">
        <v>2</v>
      </c>
      <c r="I58" t="s">
        <v>2</v>
      </c>
    </row>
    <row r="59" spans="1:9" x14ac:dyDescent="0.25">
      <c r="A59" s="4">
        <v>55</v>
      </c>
      <c r="C59" t="s">
        <v>2</v>
      </c>
      <c r="G59" t="s">
        <v>2</v>
      </c>
    </row>
    <row r="60" spans="1:9" x14ac:dyDescent="0.25">
      <c r="A60" s="4">
        <v>56</v>
      </c>
      <c r="B60" t="s">
        <v>2</v>
      </c>
      <c r="I60" t="s">
        <v>2</v>
      </c>
    </row>
  </sheetData>
  <conditionalFormatting sqref="B5:D11 G5:G11">
    <cfRule type="cellIs" dxfId="1152" priority="17" operator="equal">
      <formula>"Energia"</formula>
    </cfRule>
  </conditionalFormatting>
  <conditionalFormatting sqref="B5:D60 G5:I60">
    <cfRule type="cellIs" dxfId="1151" priority="10" operator="equal">
      <formula>"Energia"</formula>
    </cfRule>
    <cfRule type="cellIs" dxfId="1150" priority="12" operator="equal">
      <formula>"Operação"</formula>
    </cfRule>
    <cfRule type="cellIs" dxfId="1149" priority="13" operator="equal">
      <formula>"Chuva"</formula>
    </cfRule>
    <cfRule type="cellIs" dxfId="1148" priority="14" operator="equal">
      <formula>"Elétrico"</formula>
    </cfRule>
    <cfRule type="cellIs" dxfId="1147" priority="15" operator="equal">
      <formula>"Mecânico"</formula>
    </cfRule>
    <cfRule type="cellIs" dxfId="1146" priority="16" operator="equal">
      <formula>"Ok"</formula>
    </cfRule>
  </conditionalFormatting>
  <conditionalFormatting sqref="B5:D60 G5:I60">
    <cfRule type="cellIs" dxfId="114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44" priority="8" operator="equal">
      <formula>"Energia"</formula>
    </cfRule>
  </conditionalFormatting>
  <conditionalFormatting sqref="E5:F60">
    <cfRule type="cellIs" dxfId="1143" priority="1" operator="equal">
      <formula>"Energia"</formula>
    </cfRule>
    <cfRule type="cellIs" dxfId="1142" priority="3" operator="equal">
      <formula>"Operação"</formula>
    </cfRule>
    <cfRule type="cellIs" dxfId="1141" priority="4" operator="equal">
      <formula>"Chuva"</formula>
    </cfRule>
    <cfRule type="cellIs" dxfId="1140" priority="5" operator="equal">
      <formula>"Elétrico"</formula>
    </cfRule>
    <cfRule type="cellIs" dxfId="1139" priority="6" operator="equal">
      <formula>"Mecânico"</formula>
    </cfRule>
    <cfRule type="cellIs" dxfId="1138" priority="7" operator="equal">
      <formula>"Ok"</formula>
    </cfRule>
  </conditionalFormatting>
  <conditionalFormatting sqref="E5:F60">
    <cfRule type="cellIs" dxfId="1137" priority="2" operator="equal">
      <formula>"Feito"</formula>
    </cfRule>
  </conditionalFormatting>
  <dataValidations count="1">
    <dataValidation type="list" allowBlank="1" showInputMessage="1" showErrorMessage="1" sqref="B5:J60" xr:uid="{528A28F8-4EBD-4594-B8AA-CBAAE8DE900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0EE-908C-4DDA-99BA-2C45094A3BC8}">
  <sheetPr codeName="Planilha19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44340</v>
      </c>
      <c r="C3" s="3">
        <f>B3+1</f>
        <v>44341</v>
      </c>
      <c r="D3" s="3">
        <f t="shared" ref="D3:I3" si="0">C3+1</f>
        <v>44342</v>
      </c>
      <c r="E3" s="3">
        <f t="shared" si="0"/>
        <v>44343</v>
      </c>
      <c r="F3" s="3">
        <f t="shared" si="0"/>
        <v>44344</v>
      </c>
      <c r="G3" s="3">
        <f t="shared" si="0"/>
        <v>44345</v>
      </c>
      <c r="H3" s="3">
        <f t="shared" si="0"/>
        <v>44346</v>
      </c>
      <c r="I3" s="3">
        <f t="shared" si="0"/>
        <v>44347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D5" t="s">
        <v>2</v>
      </c>
      <c r="F5" t="s">
        <v>7</v>
      </c>
      <c r="G5" t="s">
        <v>2</v>
      </c>
      <c r="K5" s="5" t="s">
        <v>2</v>
      </c>
      <c r="L5">
        <f>COUNTIF($B$5:$I$60,K5)</f>
        <v>119</v>
      </c>
    </row>
    <row r="6" spans="1:12" x14ac:dyDescent="0.25">
      <c r="A6" s="4">
        <v>2</v>
      </c>
      <c r="E6" t="s">
        <v>2</v>
      </c>
      <c r="K6" s="6" t="s">
        <v>5</v>
      </c>
      <c r="L6">
        <f t="shared" ref="L6:L10" si="2">COUNTIF($B$5:$I$60,K6)</f>
        <v>9</v>
      </c>
    </row>
    <row r="7" spans="1:12" x14ac:dyDescent="0.25">
      <c r="A7" s="4">
        <v>3</v>
      </c>
      <c r="F7" t="s">
        <v>2</v>
      </c>
      <c r="G7" t="s">
        <v>7</v>
      </c>
      <c r="K7" s="7" t="s">
        <v>6</v>
      </c>
      <c r="L7">
        <f t="shared" si="2"/>
        <v>1</v>
      </c>
    </row>
    <row r="8" spans="1:12" x14ac:dyDescent="0.25">
      <c r="A8" s="4">
        <v>4</v>
      </c>
      <c r="C8" t="s">
        <v>2</v>
      </c>
      <c r="D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E9" t="s">
        <v>2</v>
      </c>
      <c r="F9" t="s">
        <v>2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C10" t="s">
        <v>2</v>
      </c>
      <c r="E10" t="s">
        <v>2</v>
      </c>
      <c r="G10" t="s">
        <v>2</v>
      </c>
      <c r="I10" t="s">
        <v>2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B11" t="s">
        <v>2</v>
      </c>
      <c r="F11" t="s">
        <v>2</v>
      </c>
      <c r="H11" t="s">
        <v>2</v>
      </c>
      <c r="L11">
        <f>SUM(L5:L10)</f>
        <v>149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B13" t="s">
        <v>2</v>
      </c>
      <c r="F13" t="s">
        <v>2</v>
      </c>
    </row>
    <row r="14" spans="1:12" x14ac:dyDescent="0.25">
      <c r="A14" s="4">
        <v>10</v>
      </c>
      <c r="C14" t="s">
        <v>2</v>
      </c>
      <c r="E14" t="s">
        <v>2</v>
      </c>
      <c r="H14" t="s">
        <v>2</v>
      </c>
    </row>
    <row r="15" spans="1:12" x14ac:dyDescent="0.25">
      <c r="A15" s="4">
        <v>11</v>
      </c>
      <c r="B15" t="s">
        <v>2</v>
      </c>
      <c r="D15" t="s">
        <v>2</v>
      </c>
      <c r="E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7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E17" t="s">
        <v>2</v>
      </c>
      <c r="F17" t="s">
        <v>7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5</v>
      </c>
    </row>
    <row r="21" spans="1:9" x14ac:dyDescent="0.25">
      <c r="A21" s="4">
        <v>17</v>
      </c>
      <c r="C21" t="s">
        <v>2</v>
      </c>
    </row>
    <row r="22" spans="1:9" x14ac:dyDescent="0.25">
      <c r="A22" s="4">
        <v>18</v>
      </c>
      <c r="B22" t="s">
        <v>7</v>
      </c>
      <c r="G22" t="s">
        <v>2</v>
      </c>
    </row>
    <row r="23" spans="1:9" x14ac:dyDescent="0.25">
      <c r="A23" s="4">
        <v>19</v>
      </c>
      <c r="C23" t="s">
        <v>2</v>
      </c>
      <c r="I23" t="s">
        <v>2</v>
      </c>
    </row>
    <row r="24" spans="1:9" x14ac:dyDescent="0.25">
      <c r="A24" s="4">
        <v>20</v>
      </c>
      <c r="E24" t="s">
        <v>7</v>
      </c>
    </row>
    <row r="25" spans="1:9" x14ac:dyDescent="0.25">
      <c r="A25" s="4">
        <v>21</v>
      </c>
      <c r="C25" t="s">
        <v>7</v>
      </c>
    </row>
    <row r="26" spans="1:9" x14ac:dyDescent="0.25">
      <c r="A26" s="4">
        <v>22</v>
      </c>
      <c r="E26" t="s">
        <v>5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G31" t="s">
        <v>2</v>
      </c>
    </row>
    <row r="32" spans="1:9" x14ac:dyDescent="0.25">
      <c r="A32" s="4">
        <v>28</v>
      </c>
      <c r="C32" t="s">
        <v>5</v>
      </c>
      <c r="D32" t="s">
        <v>5</v>
      </c>
      <c r="H32" t="s">
        <v>2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7</v>
      </c>
      <c r="E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B35" t="s">
        <v>2</v>
      </c>
      <c r="C35" t="s">
        <v>2</v>
      </c>
      <c r="E35" t="s">
        <v>2</v>
      </c>
      <c r="G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I36" t="s">
        <v>2</v>
      </c>
    </row>
    <row r="37" spans="1:9" x14ac:dyDescent="0.25">
      <c r="A37" s="4">
        <v>33</v>
      </c>
      <c r="D37" t="s">
        <v>2</v>
      </c>
      <c r="F37" t="s">
        <v>7</v>
      </c>
      <c r="H37" t="s">
        <v>2</v>
      </c>
    </row>
    <row r="38" spans="1:9" x14ac:dyDescent="0.25">
      <c r="A38" s="4">
        <v>34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D39" t="s">
        <v>2</v>
      </c>
      <c r="G39" t="s">
        <v>2</v>
      </c>
    </row>
    <row r="40" spans="1:9" x14ac:dyDescent="0.25">
      <c r="A40" s="4">
        <v>36</v>
      </c>
      <c r="B40" t="s">
        <v>2</v>
      </c>
      <c r="C40" t="s">
        <v>2</v>
      </c>
      <c r="E40" t="s">
        <v>7</v>
      </c>
      <c r="I40" t="s">
        <v>2</v>
      </c>
    </row>
    <row r="41" spans="1:9" x14ac:dyDescent="0.25">
      <c r="A41" s="4">
        <v>37</v>
      </c>
      <c r="C41" t="s">
        <v>2</v>
      </c>
      <c r="H41" t="s">
        <v>2</v>
      </c>
    </row>
    <row r="42" spans="1:9" x14ac:dyDescent="0.25">
      <c r="A42" s="4">
        <v>38</v>
      </c>
      <c r="B42" t="s">
        <v>7</v>
      </c>
      <c r="I42" t="s">
        <v>7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C44" t="s">
        <v>2</v>
      </c>
    </row>
    <row r="45" spans="1:9" x14ac:dyDescent="0.25">
      <c r="A45" s="4">
        <v>41</v>
      </c>
      <c r="E45" t="s">
        <v>2</v>
      </c>
      <c r="I45" t="s">
        <v>2</v>
      </c>
    </row>
    <row r="46" spans="1:9" x14ac:dyDescent="0.25">
      <c r="A46" s="4">
        <v>42</v>
      </c>
      <c r="D46" t="s">
        <v>2</v>
      </c>
    </row>
    <row r="47" spans="1:9" x14ac:dyDescent="0.25">
      <c r="A47" s="4">
        <v>43</v>
      </c>
      <c r="E47" t="s">
        <v>2</v>
      </c>
    </row>
    <row r="48" spans="1:9" x14ac:dyDescent="0.25">
      <c r="A48" s="4">
        <v>44</v>
      </c>
      <c r="B48" t="s">
        <v>2</v>
      </c>
      <c r="F48" t="s">
        <v>2</v>
      </c>
      <c r="I48" t="s">
        <v>2</v>
      </c>
    </row>
    <row r="49" spans="1:9" x14ac:dyDescent="0.25">
      <c r="A49" s="4">
        <v>45</v>
      </c>
      <c r="C49" t="s">
        <v>2</v>
      </c>
      <c r="E49" t="s">
        <v>2</v>
      </c>
      <c r="F49" t="s">
        <v>2</v>
      </c>
    </row>
    <row r="50" spans="1:9" x14ac:dyDescent="0.25">
      <c r="A50" s="4">
        <v>46</v>
      </c>
      <c r="C50" t="s">
        <v>2</v>
      </c>
      <c r="D50" t="s">
        <v>2</v>
      </c>
      <c r="F50" t="s">
        <v>2</v>
      </c>
      <c r="H50" t="s">
        <v>2</v>
      </c>
    </row>
    <row r="51" spans="1:9" x14ac:dyDescent="0.25">
      <c r="A51" s="4">
        <v>47</v>
      </c>
      <c r="D51" t="s">
        <v>2</v>
      </c>
    </row>
    <row r="52" spans="1:9" x14ac:dyDescent="0.25">
      <c r="A52" s="4">
        <v>48</v>
      </c>
      <c r="D52" t="s">
        <v>7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B54" t="s">
        <v>7</v>
      </c>
      <c r="C54" t="s">
        <v>5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6</v>
      </c>
      <c r="G55" t="s">
        <v>2</v>
      </c>
      <c r="H55" t="s">
        <v>2</v>
      </c>
    </row>
    <row r="56" spans="1:9" x14ac:dyDescent="0.25">
      <c r="A56" s="4">
        <v>52</v>
      </c>
      <c r="B56" t="s">
        <v>2</v>
      </c>
      <c r="D56" t="s">
        <v>2</v>
      </c>
      <c r="G56" t="s">
        <v>5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F58" t="s">
        <v>2</v>
      </c>
    </row>
    <row r="59" spans="1:9" x14ac:dyDescent="0.25">
      <c r="A59" s="4">
        <v>55</v>
      </c>
      <c r="C59" t="s">
        <v>7</v>
      </c>
      <c r="H59" t="s">
        <v>2</v>
      </c>
    </row>
    <row r="60" spans="1:9" x14ac:dyDescent="0.25">
      <c r="A60" s="4">
        <v>56</v>
      </c>
      <c r="F60" t="s">
        <v>2</v>
      </c>
    </row>
  </sheetData>
  <conditionalFormatting sqref="B5:D11 G5:G11">
    <cfRule type="cellIs" dxfId="1136" priority="17" operator="equal">
      <formula>"Energia"</formula>
    </cfRule>
  </conditionalFormatting>
  <conditionalFormatting sqref="B5:D60 G5:I60">
    <cfRule type="cellIs" dxfId="1135" priority="10" operator="equal">
      <formula>"Energia"</formula>
    </cfRule>
    <cfRule type="cellIs" dxfId="1134" priority="12" operator="equal">
      <formula>"Operação"</formula>
    </cfRule>
    <cfRule type="cellIs" dxfId="1133" priority="13" operator="equal">
      <formula>"Chuva"</formula>
    </cfRule>
    <cfRule type="cellIs" dxfId="1132" priority="14" operator="equal">
      <formula>"Elétrico"</formula>
    </cfRule>
    <cfRule type="cellIs" dxfId="1131" priority="15" operator="equal">
      <formula>"Mecânico"</formula>
    </cfRule>
    <cfRule type="cellIs" dxfId="1130" priority="16" operator="equal">
      <formula>"Ok"</formula>
    </cfRule>
  </conditionalFormatting>
  <conditionalFormatting sqref="B5:D60 G5:I60">
    <cfRule type="cellIs" dxfId="112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28" priority="8" operator="equal">
      <formula>"Energia"</formula>
    </cfRule>
  </conditionalFormatting>
  <conditionalFormatting sqref="E5:F60">
    <cfRule type="cellIs" dxfId="1127" priority="1" operator="equal">
      <formula>"Energia"</formula>
    </cfRule>
    <cfRule type="cellIs" dxfId="1126" priority="3" operator="equal">
      <formula>"Operação"</formula>
    </cfRule>
    <cfRule type="cellIs" dxfId="1125" priority="4" operator="equal">
      <formula>"Chuva"</formula>
    </cfRule>
    <cfRule type="cellIs" dxfId="1124" priority="5" operator="equal">
      <formula>"Elétrico"</formula>
    </cfRule>
    <cfRule type="cellIs" dxfId="1123" priority="6" operator="equal">
      <formula>"Mecânico"</formula>
    </cfRule>
    <cfRule type="cellIs" dxfId="1122" priority="7" operator="equal">
      <formula>"Ok"</formula>
    </cfRule>
  </conditionalFormatting>
  <conditionalFormatting sqref="E5:F60">
    <cfRule type="cellIs" dxfId="1121" priority="2" operator="equal">
      <formula>"Feito"</formula>
    </cfRule>
  </conditionalFormatting>
  <dataValidations count="1">
    <dataValidation type="list" allowBlank="1" showInputMessage="1" showErrorMessage="1" sqref="B5:J60" xr:uid="{95BA3DFC-F3D9-4387-A1CC-4AD1AA8CB71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E0A6-0218-442F-B434-EACCB7D0A319}">
  <sheetPr codeName="Planilha20"/>
  <dimension ref="A3:L60"/>
  <sheetViews>
    <sheetView workbookViewId="0">
      <pane xSplit="1" topLeftCell="B1" activePane="topRight" state="frozen"/>
      <selection pane="topRight" activeCell="I61" sqref="I61:I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44348</v>
      </c>
      <c r="C3" s="3">
        <f>B3+1</f>
        <v>44349</v>
      </c>
      <c r="D3" s="3">
        <f t="shared" ref="D3:I3" si="0">C3+1</f>
        <v>44350</v>
      </c>
      <c r="E3" s="3">
        <f t="shared" si="0"/>
        <v>44351</v>
      </c>
      <c r="F3" s="3">
        <f t="shared" si="0"/>
        <v>44352</v>
      </c>
      <c r="G3" s="3">
        <f t="shared" si="0"/>
        <v>44353</v>
      </c>
      <c r="H3" s="3">
        <f t="shared" si="0"/>
        <v>44354</v>
      </c>
      <c r="I3" s="3">
        <f t="shared" si="0"/>
        <v>44355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113</v>
      </c>
    </row>
    <row r="6" spans="1:12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D7" t="s">
        <v>7</v>
      </c>
      <c r="E7" t="s">
        <v>2</v>
      </c>
      <c r="I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F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2</v>
      </c>
      <c r="F9" t="s">
        <v>5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D10" t="s">
        <v>2</v>
      </c>
      <c r="E10" t="s">
        <v>2</v>
      </c>
      <c r="G10" t="s">
        <v>2</v>
      </c>
      <c r="H10" t="s">
        <v>2</v>
      </c>
      <c r="I10" t="s">
        <v>2</v>
      </c>
      <c r="K10" s="10" t="s">
        <v>7</v>
      </c>
      <c r="L10">
        <f t="shared" si="2"/>
        <v>26</v>
      </c>
    </row>
    <row r="11" spans="1:12" x14ac:dyDescent="0.25">
      <c r="A11" s="4">
        <v>7</v>
      </c>
      <c r="C11" t="s">
        <v>2</v>
      </c>
      <c r="E11" t="s">
        <v>2</v>
      </c>
      <c r="G11" t="s">
        <v>2</v>
      </c>
      <c r="H11" t="s">
        <v>2</v>
      </c>
      <c r="I11" t="s">
        <v>2</v>
      </c>
      <c r="L11">
        <f>SUM(L5:L10)</f>
        <v>146</v>
      </c>
    </row>
    <row r="12" spans="1:12" x14ac:dyDescent="0.25">
      <c r="A12" s="4">
        <v>8</v>
      </c>
      <c r="D12" t="s">
        <v>2</v>
      </c>
      <c r="E12" t="s">
        <v>2</v>
      </c>
      <c r="F12" t="s">
        <v>2</v>
      </c>
      <c r="H12" t="s">
        <v>2</v>
      </c>
    </row>
    <row r="13" spans="1:12" x14ac:dyDescent="0.25">
      <c r="A13" s="4">
        <v>9</v>
      </c>
      <c r="B13" t="s">
        <v>2</v>
      </c>
      <c r="E13" t="s">
        <v>2</v>
      </c>
      <c r="F13" t="s">
        <v>2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C15" t="s">
        <v>7</v>
      </c>
      <c r="D15" t="s">
        <v>2</v>
      </c>
      <c r="G15" t="s">
        <v>2</v>
      </c>
    </row>
    <row r="16" spans="1:12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7</v>
      </c>
      <c r="E17" t="s">
        <v>2</v>
      </c>
      <c r="F17" t="s">
        <v>2</v>
      </c>
      <c r="G17" t="s">
        <v>2</v>
      </c>
      <c r="H17" t="s">
        <v>2</v>
      </c>
      <c r="I17" t="s">
        <v>7</v>
      </c>
    </row>
    <row r="18" spans="1:9" x14ac:dyDescent="0.25">
      <c r="A18" s="4">
        <v>14</v>
      </c>
      <c r="B18" t="s">
        <v>5</v>
      </c>
      <c r="D18" t="s">
        <v>2</v>
      </c>
      <c r="E18" t="s">
        <v>2</v>
      </c>
      <c r="F18" t="s">
        <v>2</v>
      </c>
      <c r="G18" t="s">
        <v>5</v>
      </c>
      <c r="H18" t="s">
        <v>7</v>
      </c>
      <c r="I18" t="s">
        <v>7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  <c r="D20" t="s">
        <v>7</v>
      </c>
      <c r="I20" t="s">
        <v>7</v>
      </c>
    </row>
    <row r="21" spans="1:9" x14ac:dyDescent="0.25">
      <c r="A21" s="4">
        <v>17</v>
      </c>
      <c r="B21" t="s">
        <v>2</v>
      </c>
      <c r="G21" t="s">
        <v>2</v>
      </c>
    </row>
    <row r="22" spans="1:9" x14ac:dyDescent="0.25">
      <c r="A22" s="4">
        <v>18</v>
      </c>
      <c r="D22" t="s">
        <v>2</v>
      </c>
      <c r="I22" t="s">
        <v>2</v>
      </c>
    </row>
    <row r="23" spans="1:9" x14ac:dyDescent="0.25">
      <c r="A23" s="4">
        <v>19</v>
      </c>
      <c r="F23" t="s">
        <v>2</v>
      </c>
    </row>
    <row r="24" spans="1:9" x14ac:dyDescent="0.25">
      <c r="A24" s="4">
        <v>20</v>
      </c>
      <c r="C24" t="s">
        <v>2</v>
      </c>
      <c r="H24" t="s">
        <v>2</v>
      </c>
    </row>
    <row r="25" spans="1:9" x14ac:dyDescent="0.25">
      <c r="A25" s="4">
        <v>21</v>
      </c>
      <c r="B25" t="s">
        <v>7</v>
      </c>
      <c r="G25" t="s">
        <v>2</v>
      </c>
    </row>
    <row r="26" spans="1:9" x14ac:dyDescent="0.25">
      <c r="A26" s="4">
        <v>22</v>
      </c>
      <c r="C26" t="s">
        <v>2</v>
      </c>
      <c r="H26" t="s">
        <v>5</v>
      </c>
    </row>
    <row r="27" spans="1:9" x14ac:dyDescent="0.25">
      <c r="A27" s="4">
        <v>23</v>
      </c>
      <c r="B27" t="s">
        <v>5</v>
      </c>
      <c r="C27" t="s">
        <v>5</v>
      </c>
      <c r="G27" t="s">
        <v>2</v>
      </c>
    </row>
    <row r="28" spans="1:9" x14ac:dyDescent="0.25">
      <c r="A28" s="4">
        <v>24</v>
      </c>
      <c r="D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D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2</v>
      </c>
      <c r="G34" t="s">
        <v>2</v>
      </c>
      <c r="I34" t="s">
        <v>2</v>
      </c>
    </row>
    <row r="35" spans="1:9" x14ac:dyDescent="0.25">
      <c r="A35" s="4">
        <v>31</v>
      </c>
      <c r="C35" t="s">
        <v>7</v>
      </c>
      <c r="E35" t="s">
        <v>2</v>
      </c>
      <c r="H35" t="s">
        <v>2</v>
      </c>
    </row>
    <row r="36" spans="1:9" x14ac:dyDescent="0.25">
      <c r="A36" s="4">
        <v>32</v>
      </c>
      <c r="B36" t="s">
        <v>2</v>
      </c>
    </row>
    <row r="37" spans="1:9" x14ac:dyDescent="0.25">
      <c r="A37" s="4">
        <v>33</v>
      </c>
      <c r="B37" t="s">
        <v>2</v>
      </c>
      <c r="D37" t="s">
        <v>2</v>
      </c>
      <c r="F37" t="s">
        <v>2</v>
      </c>
    </row>
    <row r="38" spans="1:9" x14ac:dyDescent="0.25">
      <c r="A38" s="4">
        <v>34</v>
      </c>
      <c r="C38" t="s">
        <v>7</v>
      </c>
      <c r="D38" t="s">
        <v>2</v>
      </c>
    </row>
    <row r="39" spans="1:9" x14ac:dyDescent="0.25">
      <c r="A39" s="4">
        <v>35</v>
      </c>
      <c r="C39" t="s">
        <v>2</v>
      </c>
      <c r="G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C42" t="s">
        <v>2</v>
      </c>
      <c r="H42" t="s">
        <v>7</v>
      </c>
    </row>
    <row r="43" spans="1:9" x14ac:dyDescent="0.25">
      <c r="A43" s="4">
        <v>39</v>
      </c>
      <c r="G43" t="s">
        <v>7</v>
      </c>
    </row>
    <row r="44" spans="1:9" x14ac:dyDescent="0.25">
      <c r="A44" s="4">
        <v>40</v>
      </c>
      <c r="B44" t="s">
        <v>7</v>
      </c>
      <c r="F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  <c r="I48" t="s">
        <v>2</v>
      </c>
    </row>
    <row r="49" spans="1:9" x14ac:dyDescent="0.25">
      <c r="A49" s="4">
        <v>45</v>
      </c>
      <c r="B49" t="s">
        <v>2</v>
      </c>
      <c r="E49" t="s">
        <v>2</v>
      </c>
      <c r="F49" t="s">
        <v>7</v>
      </c>
      <c r="H49" t="s">
        <v>2</v>
      </c>
    </row>
    <row r="50" spans="1:9" x14ac:dyDescent="0.25">
      <c r="A50" s="4">
        <v>46</v>
      </c>
      <c r="C50" t="s">
        <v>7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I52" t="s">
        <v>2</v>
      </c>
    </row>
    <row r="53" spans="1:9" x14ac:dyDescent="0.25">
      <c r="A53" s="4">
        <v>49</v>
      </c>
      <c r="F53" t="s">
        <v>7</v>
      </c>
      <c r="G53" t="s">
        <v>7</v>
      </c>
    </row>
    <row r="54" spans="1:9" x14ac:dyDescent="0.25">
      <c r="A54" s="4">
        <v>50</v>
      </c>
      <c r="C54" t="s">
        <v>2</v>
      </c>
      <c r="D54" t="s">
        <v>2</v>
      </c>
      <c r="E54" t="s">
        <v>7</v>
      </c>
      <c r="G54" t="s">
        <v>2</v>
      </c>
      <c r="I54" t="s">
        <v>2</v>
      </c>
    </row>
    <row r="55" spans="1:9" x14ac:dyDescent="0.25">
      <c r="A55" s="4">
        <v>51</v>
      </c>
      <c r="C55" t="s">
        <v>2</v>
      </c>
      <c r="D55" t="s">
        <v>5</v>
      </c>
      <c r="H55" t="s">
        <v>2</v>
      </c>
      <c r="I55" t="s">
        <v>7</v>
      </c>
    </row>
    <row r="56" spans="1:9" x14ac:dyDescent="0.25">
      <c r="A56" s="4">
        <v>52</v>
      </c>
      <c r="B56" t="s">
        <v>2</v>
      </c>
      <c r="D56" t="s">
        <v>7</v>
      </c>
      <c r="H56" t="s">
        <v>2</v>
      </c>
    </row>
    <row r="57" spans="1:9" x14ac:dyDescent="0.25">
      <c r="A57" s="4">
        <v>53</v>
      </c>
      <c r="D57" t="s">
        <v>2</v>
      </c>
      <c r="I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E59" t="s">
        <v>7</v>
      </c>
    </row>
    <row r="60" spans="1:9" x14ac:dyDescent="0.25">
      <c r="A60" s="4">
        <v>56</v>
      </c>
      <c r="B60" t="s">
        <v>7</v>
      </c>
      <c r="F60" t="s">
        <v>7</v>
      </c>
    </row>
  </sheetData>
  <conditionalFormatting sqref="B5:D11 G5:G11">
    <cfRule type="cellIs" dxfId="1120" priority="17" operator="equal">
      <formula>"Energia"</formula>
    </cfRule>
  </conditionalFormatting>
  <conditionalFormatting sqref="B5:D60 G5:I60">
    <cfRule type="cellIs" dxfId="1119" priority="10" operator="equal">
      <formula>"Energia"</formula>
    </cfRule>
    <cfRule type="cellIs" dxfId="1118" priority="12" operator="equal">
      <formula>"Operação"</formula>
    </cfRule>
    <cfRule type="cellIs" dxfId="1117" priority="13" operator="equal">
      <formula>"Chuva"</formula>
    </cfRule>
    <cfRule type="cellIs" dxfId="1116" priority="14" operator="equal">
      <formula>"Elétrico"</formula>
    </cfRule>
    <cfRule type="cellIs" dxfId="1115" priority="15" operator="equal">
      <formula>"Mecânico"</formula>
    </cfRule>
    <cfRule type="cellIs" dxfId="1114" priority="16" operator="equal">
      <formula>"Ok"</formula>
    </cfRule>
  </conditionalFormatting>
  <conditionalFormatting sqref="B5:D60 G5:I60">
    <cfRule type="cellIs" dxfId="111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112" priority="8" operator="equal">
      <formula>"Energia"</formula>
    </cfRule>
  </conditionalFormatting>
  <conditionalFormatting sqref="E5:F60">
    <cfRule type="cellIs" dxfId="1111" priority="1" operator="equal">
      <formula>"Energia"</formula>
    </cfRule>
    <cfRule type="cellIs" dxfId="1110" priority="3" operator="equal">
      <formula>"Operação"</formula>
    </cfRule>
    <cfRule type="cellIs" dxfId="1109" priority="4" operator="equal">
      <formula>"Chuva"</formula>
    </cfRule>
    <cfRule type="cellIs" dxfId="1108" priority="5" operator="equal">
      <formula>"Elétrico"</formula>
    </cfRule>
    <cfRule type="cellIs" dxfId="1107" priority="6" operator="equal">
      <formula>"Mecânico"</formula>
    </cfRule>
    <cfRule type="cellIs" dxfId="1106" priority="7" operator="equal">
      <formula>"Ok"</formula>
    </cfRule>
  </conditionalFormatting>
  <conditionalFormatting sqref="E5:F60">
    <cfRule type="cellIs" dxfId="1105" priority="2" operator="equal">
      <formula>"Feito"</formula>
    </cfRule>
  </conditionalFormatting>
  <dataValidations count="1">
    <dataValidation type="list" allowBlank="1" showInputMessage="1" showErrorMessage="1" sqref="B5:J60" xr:uid="{ADBA3073-97B5-40B7-B273-4DADE079F780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6D4-2B3E-499E-91E9-7B6A2A2D6E2D}">
  <sheetPr codeName="Planilha21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44356</v>
      </c>
      <c r="C3" s="3">
        <f>B3+1</f>
        <v>44357</v>
      </c>
      <c r="D3" s="3">
        <f t="shared" ref="D3:I3" si="0">C3+1</f>
        <v>44358</v>
      </c>
      <c r="E3" s="3">
        <f t="shared" si="0"/>
        <v>44359</v>
      </c>
      <c r="F3" s="3">
        <f t="shared" si="0"/>
        <v>44360</v>
      </c>
      <c r="G3" s="3">
        <f t="shared" si="0"/>
        <v>44361</v>
      </c>
      <c r="H3" s="3">
        <f t="shared" si="0"/>
        <v>44362</v>
      </c>
      <c r="I3" s="3">
        <f t="shared" si="0"/>
        <v>44363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92</v>
      </c>
    </row>
    <row r="6" spans="1:12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E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C8" t="s">
        <v>7</v>
      </c>
      <c r="D8" t="s">
        <v>2</v>
      </c>
      <c r="G8" t="s">
        <v>2</v>
      </c>
      <c r="K8" s="8" t="s">
        <v>4</v>
      </c>
      <c r="L8">
        <f t="shared" si="2"/>
        <v>7</v>
      </c>
    </row>
    <row r="9" spans="1:12" x14ac:dyDescent="0.25">
      <c r="A9" s="4">
        <v>5</v>
      </c>
      <c r="B9" t="s">
        <v>2</v>
      </c>
      <c r="D9" t="s">
        <v>2</v>
      </c>
      <c r="F9" t="s">
        <v>2</v>
      </c>
      <c r="H9" t="s">
        <v>3</v>
      </c>
      <c r="K9" s="9" t="s">
        <v>3</v>
      </c>
      <c r="L9">
        <f t="shared" si="2"/>
        <v>7</v>
      </c>
    </row>
    <row r="10" spans="1:12" x14ac:dyDescent="0.25">
      <c r="A10" s="4">
        <v>6</v>
      </c>
      <c r="B10" t="s">
        <v>7</v>
      </c>
      <c r="D10" t="s">
        <v>2</v>
      </c>
      <c r="F10" t="s">
        <v>2</v>
      </c>
      <c r="H10" t="s">
        <v>3</v>
      </c>
      <c r="K10" s="10" t="s">
        <v>7</v>
      </c>
      <c r="L10">
        <f t="shared" si="2"/>
        <v>14</v>
      </c>
    </row>
    <row r="11" spans="1:12" x14ac:dyDescent="0.25">
      <c r="A11" s="4">
        <v>7</v>
      </c>
      <c r="B11" t="s">
        <v>2</v>
      </c>
      <c r="D11" t="s">
        <v>2</v>
      </c>
      <c r="F11" t="s">
        <v>2</v>
      </c>
      <c r="H11" t="s">
        <v>3</v>
      </c>
      <c r="L11">
        <f>SUM(L5:L10)</f>
        <v>129</v>
      </c>
    </row>
    <row r="12" spans="1:12" x14ac:dyDescent="0.25">
      <c r="A12" s="4">
        <v>8</v>
      </c>
      <c r="B12" t="s">
        <v>2</v>
      </c>
      <c r="C12" t="s">
        <v>2</v>
      </c>
      <c r="E12" t="s">
        <v>2</v>
      </c>
      <c r="G12" t="s">
        <v>2</v>
      </c>
      <c r="H12" t="s">
        <v>2</v>
      </c>
    </row>
    <row r="13" spans="1:12" x14ac:dyDescent="0.25">
      <c r="A13" s="4">
        <v>9</v>
      </c>
      <c r="B13" t="s">
        <v>2</v>
      </c>
      <c r="C13" t="s">
        <v>2</v>
      </c>
      <c r="E13" t="s">
        <v>2</v>
      </c>
      <c r="H13" t="s">
        <v>2</v>
      </c>
      <c r="I13" t="s">
        <v>2</v>
      </c>
    </row>
    <row r="14" spans="1:12" x14ac:dyDescent="0.25">
      <c r="A14" s="4">
        <v>10</v>
      </c>
      <c r="C14" t="s">
        <v>2</v>
      </c>
      <c r="D14" t="s">
        <v>2</v>
      </c>
      <c r="H14" t="s">
        <v>3</v>
      </c>
    </row>
    <row r="15" spans="1:12" x14ac:dyDescent="0.25">
      <c r="A15" s="4">
        <v>11</v>
      </c>
      <c r="C15" t="s">
        <v>2</v>
      </c>
      <c r="F15" t="s">
        <v>2</v>
      </c>
    </row>
    <row r="16" spans="1:12" x14ac:dyDescent="0.25">
      <c r="A16" s="4">
        <v>12</v>
      </c>
      <c r="B16" t="s">
        <v>2</v>
      </c>
      <c r="C16" t="s">
        <v>2</v>
      </c>
      <c r="D16" t="s">
        <v>2</v>
      </c>
      <c r="H16" t="s">
        <v>3</v>
      </c>
    </row>
    <row r="17" spans="1:9" x14ac:dyDescent="0.25">
      <c r="A17" s="4">
        <v>13</v>
      </c>
      <c r="C17" t="s">
        <v>2</v>
      </c>
      <c r="E17" t="s">
        <v>2</v>
      </c>
      <c r="F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3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2</v>
      </c>
    </row>
    <row r="21" spans="1:9" x14ac:dyDescent="0.25">
      <c r="A21" s="4">
        <v>17</v>
      </c>
      <c r="D21" t="s">
        <v>7</v>
      </c>
      <c r="I21" t="s">
        <v>7</v>
      </c>
    </row>
    <row r="22" spans="1:9" x14ac:dyDescent="0.25">
      <c r="A22" s="4">
        <v>18</v>
      </c>
      <c r="G22" t="s">
        <v>7</v>
      </c>
    </row>
    <row r="23" spans="1:9" x14ac:dyDescent="0.25">
      <c r="A23" s="4">
        <v>19</v>
      </c>
      <c r="C23" t="s">
        <v>2</v>
      </c>
      <c r="H23" t="s">
        <v>5</v>
      </c>
    </row>
    <row r="24" spans="1:9" x14ac:dyDescent="0.25">
      <c r="A24" s="4">
        <v>20</v>
      </c>
      <c r="E24" t="s">
        <v>2</v>
      </c>
    </row>
    <row r="25" spans="1:9" x14ac:dyDescent="0.25">
      <c r="A25" s="4">
        <v>21</v>
      </c>
      <c r="D25" t="s">
        <v>7</v>
      </c>
      <c r="I25" t="s">
        <v>4</v>
      </c>
    </row>
    <row r="26" spans="1:9" x14ac:dyDescent="0.25">
      <c r="A26" s="4">
        <v>22</v>
      </c>
      <c r="F26" t="s">
        <v>2</v>
      </c>
    </row>
    <row r="27" spans="1:9" x14ac:dyDescent="0.25">
      <c r="A27" s="4">
        <v>23</v>
      </c>
      <c r="D27" t="s">
        <v>7</v>
      </c>
      <c r="H27" t="s">
        <v>4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F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5</v>
      </c>
      <c r="E33" t="s">
        <v>2</v>
      </c>
      <c r="G33" t="s">
        <v>6</v>
      </c>
      <c r="I33" t="s">
        <v>6</v>
      </c>
    </row>
    <row r="34" spans="1:9" x14ac:dyDescent="0.25">
      <c r="A34" s="4">
        <v>30</v>
      </c>
      <c r="B34" t="s">
        <v>2</v>
      </c>
      <c r="E34" t="s">
        <v>5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C35" t="s">
        <v>2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5</v>
      </c>
      <c r="E38" t="s">
        <v>2</v>
      </c>
      <c r="F38" t="s">
        <v>2</v>
      </c>
      <c r="G38" t="s">
        <v>7</v>
      </c>
      <c r="H38" t="s">
        <v>7</v>
      </c>
      <c r="I38" t="s">
        <v>2</v>
      </c>
    </row>
    <row r="39" spans="1:9" x14ac:dyDescent="0.25">
      <c r="A39" s="4">
        <v>35</v>
      </c>
      <c r="D39" t="s">
        <v>2</v>
      </c>
      <c r="H39" t="s">
        <v>3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B41" t="s">
        <v>2</v>
      </c>
      <c r="E41" t="s">
        <v>2</v>
      </c>
      <c r="I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D43" t="s">
        <v>7</v>
      </c>
      <c r="I43" t="s">
        <v>4</v>
      </c>
    </row>
    <row r="44" spans="1:9" x14ac:dyDescent="0.25">
      <c r="A44" s="4">
        <v>40</v>
      </c>
      <c r="C44" t="s">
        <v>7</v>
      </c>
      <c r="H44" t="s">
        <v>5</v>
      </c>
    </row>
    <row r="45" spans="1:9" x14ac:dyDescent="0.25">
      <c r="A45" s="4">
        <v>41</v>
      </c>
      <c r="C45" t="s">
        <v>2</v>
      </c>
      <c r="I45" t="s">
        <v>2</v>
      </c>
    </row>
    <row r="46" spans="1:9" x14ac:dyDescent="0.25">
      <c r="A46" s="4">
        <v>42</v>
      </c>
      <c r="D46" t="s">
        <v>2</v>
      </c>
      <c r="H46" t="s">
        <v>4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C49" t="s">
        <v>2</v>
      </c>
      <c r="F49" t="s">
        <v>2</v>
      </c>
      <c r="I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E52" t="s">
        <v>2</v>
      </c>
      <c r="F52" t="s">
        <v>2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D54" t="s">
        <v>2</v>
      </c>
      <c r="E54" t="s">
        <v>6</v>
      </c>
      <c r="G54" t="s">
        <v>2</v>
      </c>
    </row>
    <row r="55" spans="1:9" x14ac:dyDescent="0.25">
      <c r="A55" s="4">
        <v>51</v>
      </c>
      <c r="E55" t="s">
        <v>6</v>
      </c>
      <c r="F55" t="s">
        <v>2</v>
      </c>
      <c r="I55" t="s">
        <v>2</v>
      </c>
    </row>
    <row r="56" spans="1:9" x14ac:dyDescent="0.25">
      <c r="A56" s="4">
        <v>52</v>
      </c>
      <c r="C56" t="s">
        <v>2</v>
      </c>
      <c r="F56" t="s">
        <v>2</v>
      </c>
      <c r="I56" t="s">
        <v>4</v>
      </c>
    </row>
    <row r="57" spans="1:9" x14ac:dyDescent="0.25">
      <c r="A57" s="4">
        <v>53</v>
      </c>
      <c r="F57" t="s">
        <v>2</v>
      </c>
    </row>
    <row r="58" spans="1:9" x14ac:dyDescent="0.25">
      <c r="A58" s="4">
        <v>54</v>
      </c>
      <c r="D58" t="s">
        <v>2</v>
      </c>
      <c r="H58" t="s">
        <v>4</v>
      </c>
    </row>
    <row r="59" spans="1:9" x14ac:dyDescent="0.25">
      <c r="A59" s="4">
        <v>55</v>
      </c>
      <c r="B59" t="s">
        <v>2</v>
      </c>
      <c r="G59" t="s">
        <v>7</v>
      </c>
    </row>
    <row r="60" spans="1:9" x14ac:dyDescent="0.25">
      <c r="A60" s="4">
        <v>56</v>
      </c>
      <c r="C60" t="s">
        <v>7</v>
      </c>
      <c r="H60" t="s">
        <v>4</v>
      </c>
    </row>
  </sheetData>
  <conditionalFormatting sqref="B5:D11 G5:G11">
    <cfRule type="cellIs" dxfId="1104" priority="17" operator="equal">
      <formula>"Energia"</formula>
    </cfRule>
  </conditionalFormatting>
  <conditionalFormatting sqref="B5:D60 G5:I60">
    <cfRule type="cellIs" dxfId="1103" priority="10" operator="equal">
      <formula>"Energia"</formula>
    </cfRule>
    <cfRule type="cellIs" dxfId="1102" priority="12" operator="equal">
      <formula>"Operação"</formula>
    </cfRule>
    <cfRule type="cellIs" dxfId="1101" priority="13" operator="equal">
      <formula>"Chuva"</formula>
    </cfRule>
    <cfRule type="cellIs" dxfId="1100" priority="14" operator="equal">
      <formula>"Elétrico"</formula>
    </cfRule>
    <cfRule type="cellIs" dxfId="1099" priority="15" operator="equal">
      <formula>"Mecânico"</formula>
    </cfRule>
    <cfRule type="cellIs" dxfId="1098" priority="16" operator="equal">
      <formula>"Ok"</formula>
    </cfRule>
  </conditionalFormatting>
  <conditionalFormatting sqref="B5:D60 G5:I60">
    <cfRule type="cellIs" dxfId="109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96" priority="8" operator="equal">
      <formula>"Energia"</formula>
    </cfRule>
  </conditionalFormatting>
  <conditionalFormatting sqref="E5:F60">
    <cfRule type="cellIs" dxfId="1095" priority="1" operator="equal">
      <formula>"Energia"</formula>
    </cfRule>
    <cfRule type="cellIs" dxfId="1094" priority="3" operator="equal">
      <formula>"Operação"</formula>
    </cfRule>
    <cfRule type="cellIs" dxfId="1093" priority="4" operator="equal">
      <formula>"Chuva"</formula>
    </cfRule>
    <cfRule type="cellIs" dxfId="1092" priority="5" operator="equal">
      <formula>"Elétrico"</formula>
    </cfRule>
    <cfRule type="cellIs" dxfId="1091" priority="6" operator="equal">
      <formula>"Mecânico"</formula>
    </cfRule>
    <cfRule type="cellIs" dxfId="1090" priority="7" operator="equal">
      <formula>"Ok"</formula>
    </cfRule>
  </conditionalFormatting>
  <conditionalFormatting sqref="E5:F60">
    <cfRule type="cellIs" dxfId="1089" priority="2" operator="equal">
      <formula>"Feito"</formula>
    </cfRule>
  </conditionalFormatting>
  <dataValidations count="1">
    <dataValidation type="list" allowBlank="1" showInputMessage="1" showErrorMessage="1" sqref="B5:J60" xr:uid="{D0EDAD2F-A852-42CA-A7B1-D724489B06B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25C-0B26-45BF-9B0D-CBE9D0501659}">
  <sheetPr codeName="Planilha22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44364</v>
      </c>
      <c r="C3" s="3">
        <f>B3+1</f>
        <v>44365</v>
      </c>
      <c r="D3" s="3">
        <f t="shared" ref="D3:I3" si="0">C3+1</f>
        <v>44366</v>
      </c>
      <c r="E3" s="3">
        <f t="shared" si="0"/>
        <v>44367</v>
      </c>
      <c r="F3" s="3">
        <f t="shared" si="0"/>
        <v>44368</v>
      </c>
      <c r="G3" s="3">
        <f t="shared" si="0"/>
        <v>44369</v>
      </c>
      <c r="H3" s="3">
        <f t="shared" si="0"/>
        <v>44370</v>
      </c>
      <c r="I3" s="3">
        <f t="shared" si="0"/>
        <v>44371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D5" t="s">
        <v>2</v>
      </c>
      <c r="K5" s="5" t="s">
        <v>2</v>
      </c>
      <c r="L5">
        <f>COUNTIF($B$5:$I$60,K5)</f>
        <v>93</v>
      </c>
    </row>
    <row r="6" spans="1:12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B7" t="s">
        <v>7</v>
      </c>
      <c r="E7" t="s">
        <v>2</v>
      </c>
      <c r="I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C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2</v>
      </c>
      <c r="G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D10" t="s">
        <v>2</v>
      </c>
      <c r="F10" t="s">
        <v>2</v>
      </c>
      <c r="K10" s="10" t="s">
        <v>7</v>
      </c>
      <c r="L10">
        <f t="shared" si="2"/>
        <v>14</v>
      </c>
    </row>
    <row r="11" spans="1:12" x14ac:dyDescent="0.25">
      <c r="A11" s="4">
        <v>7</v>
      </c>
      <c r="B11" t="s">
        <v>2</v>
      </c>
      <c r="D11" t="s">
        <v>2</v>
      </c>
      <c r="F11" t="s">
        <v>2</v>
      </c>
      <c r="H11" t="s">
        <v>2</v>
      </c>
      <c r="L11">
        <f>SUM(L5:L10)</f>
        <v>115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D13" t="s">
        <v>2</v>
      </c>
      <c r="F13" t="s">
        <v>2</v>
      </c>
      <c r="G13" t="s">
        <v>2</v>
      </c>
      <c r="H13" t="s">
        <v>2</v>
      </c>
    </row>
    <row r="14" spans="1:12" x14ac:dyDescent="0.25">
      <c r="A14" s="4">
        <v>10</v>
      </c>
      <c r="B14" t="s">
        <v>2</v>
      </c>
      <c r="C14" t="s">
        <v>2</v>
      </c>
      <c r="E14" t="s">
        <v>2</v>
      </c>
      <c r="H14" t="s">
        <v>2</v>
      </c>
      <c r="I14" t="s">
        <v>2</v>
      </c>
    </row>
    <row r="15" spans="1:12" x14ac:dyDescent="0.25">
      <c r="A15" s="4">
        <v>11</v>
      </c>
      <c r="B15" t="s">
        <v>2</v>
      </c>
      <c r="F15" t="s">
        <v>2</v>
      </c>
      <c r="G15" t="s">
        <v>2</v>
      </c>
    </row>
    <row r="16" spans="1:12" x14ac:dyDescent="0.25">
      <c r="A16" s="4">
        <v>12</v>
      </c>
      <c r="D16" t="s">
        <v>5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B18" t="s">
        <v>2</v>
      </c>
      <c r="E18" t="s">
        <v>2</v>
      </c>
      <c r="H18" t="s">
        <v>5</v>
      </c>
    </row>
    <row r="19" spans="1:9" x14ac:dyDescent="0.25">
      <c r="A19" s="4">
        <v>15</v>
      </c>
      <c r="B19" t="s">
        <v>7</v>
      </c>
      <c r="G19" t="s">
        <v>2</v>
      </c>
    </row>
    <row r="20" spans="1:9" x14ac:dyDescent="0.25">
      <c r="A20" s="4">
        <v>16</v>
      </c>
      <c r="C20" t="s">
        <v>7</v>
      </c>
    </row>
    <row r="21" spans="1:9" x14ac:dyDescent="0.25">
      <c r="A21" s="4">
        <v>17</v>
      </c>
      <c r="E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2</v>
      </c>
    </row>
    <row r="24" spans="1:9" x14ac:dyDescent="0.25">
      <c r="A24" s="4">
        <v>20</v>
      </c>
      <c r="C24" t="s">
        <v>2</v>
      </c>
    </row>
    <row r="25" spans="1:9" x14ac:dyDescent="0.25">
      <c r="A25" s="4">
        <v>21</v>
      </c>
      <c r="F25" t="s">
        <v>2</v>
      </c>
    </row>
    <row r="26" spans="1:9" x14ac:dyDescent="0.25">
      <c r="A26" s="4">
        <v>22</v>
      </c>
      <c r="D26" t="s">
        <v>2</v>
      </c>
    </row>
    <row r="27" spans="1:9" x14ac:dyDescent="0.25">
      <c r="A27" s="4">
        <v>23</v>
      </c>
      <c r="E27" t="s">
        <v>2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C31" t="s">
        <v>2</v>
      </c>
      <c r="G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6</v>
      </c>
      <c r="C33" t="s">
        <v>2</v>
      </c>
      <c r="F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G34" t="s">
        <v>7</v>
      </c>
      <c r="H34" t="s">
        <v>2</v>
      </c>
    </row>
    <row r="35" spans="1:9" x14ac:dyDescent="0.25">
      <c r="A35" s="4">
        <v>31</v>
      </c>
    </row>
    <row r="36" spans="1:9" x14ac:dyDescent="0.25">
      <c r="A36" s="4">
        <v>32</v>
      </c>
    </row>
    <row r="37" spans="1:9" x14ac:dyDescent="0.25">
      <c r="A37" s="4">
        <v>33</v>
      </c>
      <c r="H37" t="s">
        <v>7</v>
      </c>
      <c r="I37" t="s">
        <v>5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I38" t="s">
        <v>2</v>
      </c>
    </row>
    <row r="39" spans="1:9" x14ac:dyDescent="0.25">
      <c r="A39" s="4">
        <v>35</v>
      </c>
      <c r="D39" t="s">
        <v>6</v>
      </c>
      <c r="H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D42" t="s">
        <v>2</v>
      </c>
      <c r="I42" t="s">
        <v>2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E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F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D49" t="s">
        <v>2</v>
      </c>
      <c r="G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D52" t="s">
        <v>5</v>
      </c>
      <c r="E52" t="s">
        <v>6</v>
      </c>
      <c r="F52" t="s">
        <v>5</v>
      </c>
      <c r="G52" t="s">
        <v>2</v>
      </c>
    </row>
    <row r="53" spans="1:9" x14ac:dyDescent="0.25">
      <c r="A53" s="4">
        <v>49</v>
      </c>
      <c r="B53" t="s">
        <v>7</v>
      </c>
      <c r="D53" t="s">
        <v>2</v>
      </c>
      <c r="E53" t="s">
        <v>2</v>
      </c>
      <c r="F53" t="s">
        <v>2</v>
      </c>
    </row>
    <row r="54" spans="1:9" x14ac:dyDescent="0.25">
      <c r="A54" s="4">
        <v>50</v>
      </c>
      <c r="B54" t="s">
        <v>2</v>
      </c>
      <c r="E54" t="s">
        <v>2</v>
      </c>
      <c r="F54" t="s">
        <v>2</v>
      </c>
      <c r="H54" t="s">
        <v>2</v>
      </c>
    </row>
    <row r="55" spans="1:9" x14ac:dyDescent="0.25">
      <c r="A55" s="4">
        <v>51</v>
      </c>
      <c r="C55" t="s">
        <v>2</v>
      </c>
      <c r="E55" t="s">
        <v>2</v>
      </c>
      <c r="F55" t="s">
        <v>2</v>
      </c>
      <c r="G55" t="s">
        <v>2</v>
      </c>
      <c r="I55" t="s">
        <v>7</v>
      </c>
    </row>
    <row r="56" spans="1:9" x14ac:dyDescent="0.25">
      <c r="A56" s="4">
        <v>52</v>
      </c>
      <c r="D56" t="s">
        <v>2</v>
      </c>
      <c r="H56" t="s">
        <v>7</v>
      </c>
    </row>
    <row r="57" spans="1:9" x14ac:dyDescent="0.25">
      <c r="A57" s="4">
        <v>53</v>
      </c>
      <c r="C57" t="s">
        <v>2</v>
      </c>
      <c r="H57" t="s">
        <v>2</v>
      </c>
    </row>
    <row r="58" spans="1:9" x14ac:dyDescent="0.25">
      <c r="A58" s="4">
        <v>54</v>
      </c>
      <c r="E58" t="s">
        <v>2</v>
      </c>
    </row>
    <row r="59" spans="1:9" x14ac:dyDescent="0.25">
      <c r="A59" s="4">
        <v>55</v>
      </c>
      <c r="D59" t="s">
        <v>2</v>
      </c>
      <c r="I59" t="s">
        <v>7</v>
      </c>
    </row>
    <row r="60" spans="1:9" x14ac:dyDescent="0.25">
      <c r="A60" s="4">
        <v>56</v>
      </c>
      <c r="E60" t="s">
        <v>2</v>
      </c>
    </row>
  </sheetData>
  <conditionalFormatting sqref="B5:D11 G5:G11">
    <cfRule type="cellIs" dxfId="1088" priority="17" operator="equal">
      <formula>"Energia"</formula>
    </cfRule>
  </conditionalFormatting>
  <conditionalFormatting sqref="B5:D60 G5:I60">
    <cfRule type="cellIs" dxfId="1087" priority="10" operator="equal">
      <formula>"Energia"</formula>
    </cfRule>
    <cfRule type="cellIs" dxfId="1086" priority="12" operator="equal">
      <formula>"Operação"</formula>
    </cfRule>
    <cfRule type="cellIs" dxfId="1085" priority="13" operator="equal">
      <formula>"Chuva"</formula>
    </cfRule>
    <cfRule type="cellIs" dxfId="1084" priority="14" operator="equal">
      <formula>"Elétrico"</formula>
    </cfRule>
    <cfRule type="cellIs" dxfId="1083" priority="15" operator="equal">
      <formula>"Mecânico"</formula>
    </cfRule>
    <cfRule type="cellIs" dxfId="1082" priority="16" operator="equal">
      <formula>"Ok"</formula>
    </cfRule>
  </conditionalFormatting>
  <conditionalFormatting sqref="B5:D60 G5:I60">
    <cfRule type="cellIs" dxfId="108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80" priority="8" operator="equal">
      <formula>"Energia"</formula>
    </cfRule>
  </conditionalFormatting>
  <conditionalFormatting sqref="E5:F60">
    <cfRule type="cellIs" dxfId="1079" priority="1" operator="equal">
      <formula>"Energia"</formula>
    </cfRule>
    <cfRule type="cellIs" dxfId="1078" priority="3" operator="equal">
      <formula>"Operação"</formula>
    </cfRule>
    <cfRule type="cellIs" dxfId="1077" priority="4" operator="equal">
      <formula>"Chuva"</formula>
    </cfRule>
    <cfRule type="cellIs" dxfId="1076" priority="5" operator="equal">
      <formula>"Elétrico"</formula>
    </cfRule>
    <cfRule type="cellIs" dxfId="1075" priority="6" operator="equal">
      <formula>"Mecânico"</formula>
    </cfRule>
    <cfRule type="cellIs" dxfId="1074" priority="7" operator="equal">
      <formula>"Ok"</formula>
    </cfRule>
  </conditionalFormatting>
  <conditionalFormatting sqref="E5:F60">
    <cfRule type="cellIs" dxfId="1073" priority="2" operator="equal">
      <formula>"Feito"</formula>
    </cfRule>
  </conditionalFormatting>
  <dataValidations count="1">
    <dataValidation type="list" allowBlank="1" showInputMessage="1" showErrorMessage="1" sqref="B5:J60" xr:uid="{E6EFDD94-D453-423F-9EB9-12B1F0A7803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4CD6-B2A3-4B2E-B9E7-697CB2FA0510}">
  <sheetPr codeName="Planilha23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44372</v>
      </c>
      <c r="C3" s="3">
        <f>B3+1</f>
        <v>44373</v>
      </c>
      <c r="D3" s="3">
        <f t="shared" ref="D3:I3" si="0">C3+1</f>
        <v>44374</v>
      </c>
      <c r="E3" s="3">
        <f t="shared" si="0"/>
        <v>44375</v>
      </c>
      <c r="F3" s="3">
        <f t="shared" si="0"/>
        <v>44376</v>
      </c>
      <c r="G3" s="3">
        <f t="shared" si="0"/>
        <v>44377</v>
      </c>
      <c r="H3" s="3">
        <f t="shared" si="0"/>
        <v>44378</v>
      </c>
      <c r="I3" s="3">
        <f t="shared" si="0"/>
        <v>44379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95</v>
      </c>
    </row>
    <row r="6" spans="1:12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9</v>
      </c>
    </row>
    <row r="7" spans="1:12" x14ac:dyDescent="0.25">
      <c r="A7" s="4">
        <v>3</v>
      </c>
      <c r="D7" t="s">
        <v>2</v>
      </c>
      <c r="K7" s="7" t="s">
        <v>6</v>
      </c>
      <c r="L7">
        <f t="shared" si="2"/>
        <v>5</v>
      </c>
    </row>
    <row r="8" spans="1:12" x14ac:dyDescent="0.25">
      <c r="A8" s="4">
        <v>4</v>
      </c>
      <c r="C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G9" t="s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15</v>
      </c>
    </row>
    <row r="11" spans="1:12" x14ac:dyDescent="0.25">
      <c r="A11" s="4">
        <v>7</v>
      </c>
      <c r="B11" t="s">
        <v>2</v>
      </c>
      <c r="D11" t="s">
        <v>2</v>
      </c>
      <c r="G11" t="s">
        <v>2</v>
      </c>
      <c r="L11">
        <f>SUM(L5:L10)</f>
        <v>124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B13" t="s">
        <v>2</v>
      </c>
      <c r="C13" t="s">
        <v>2</v>
      </c>
      <c r="E13" t="s">
        <v>2</v>
      </c>
      <c r="F13" t="s">
        <v>5</v>
      </c>
      <c r="G13" t="s">
        <v>5</v>
      </c>
      <c r="H13" t="s">
        <v>7</v>
      </c>
      <c r="I13" t="s">
        <v>2</v>
      </c>
    </row>
    <row r="14" spans="1:12" x14ac:dyDescent="0.25">
      <c r="A14" s="4">
        <v>10</v>
      </c>
      <c r="B14" t="s">
        <v>2</v>
      </c>
      <c r="F14" t="s">
        <v>2</v>
      </c>
      <c r="G14" t="s">
        <v>2</v>
      </c>
      <c r="H14" t="s">
        <v>2</v>
      </c>
    </row>
    <row r="15" spans="1:12" x14ac:dyDescent="0.25">
      <c r="A15" s="4">
        <v>11</v>
      </c>
      <c r="B15" t="s">
        <v>2</v>
      </c>
      <c r="E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D17" t="s">
        <v>2</v>
      </c>
      <c r="H17" t="s">
        <v>2</v>
      </c>
      <c r="I17" t="s">
        <v>2</v>
      </c>
    </row>
    <row r="18" spans="1:9" x14ac:dyDescent="0.25">
      <c r="A18" s="4">
        <v>14</v>
      </c>
      <c r="E18" t="s">
        <v>2</v>
      </c>
      <c r="G18" t="s">
        <v>2</v>
      </c>
      <c r="H18" t="s">
        <v>2</v>
      </c>
    </row>
    <row r="19" spans="1:9" x14ac:dyDescent="0.25">
      <c r="A19" s="4">
        <v>15</v>
      </c>
      <c r="D19" t="s">
        <v>2</v>
      </c>
      <c r="I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C21" t="s">
        <v>2</v>
      </c>
      <c r="H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  <c r="G23" t="s">
        <v>7</v>
      </c>
      <c r="H23" t="s">
        <v>7</v>
      </c>
    </row>
    <row r="24" spans="1:9" x14ac:dyDescent="0.25">
      <c r="A24" s="4">
        <v>20</v>
      </c>
    </row>
    <row r="25" spans="1:9" x14ac:dyDescent="0.25">
      <c r="A25" s="4">
        <v>21</v>
      </c>
      <c r="D25" t="s">
        <v>2</v>
      </c>
      <c r="I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C27" t="s">
        <v>2</v>
      </c>
      <c r="H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C30" t="s">
        <v>2</v>
      </c>
      <c r="I30" t="s">
        <v>7</v>
      </c>
    </row>
    <row r="31" spans="1:9" x14ac:dyDescent="0.25">
      <c r="A31" s="4">
        <v>27</v>
      </c>
      <c r="D31" t="s">
        <v>6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</row>
    <row r="34" spans="1:9" x14ac:dyDescent="0.25">
      <c r="A34" s="4">
        <v>30</v>
      </c>
      <c r="B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I35" t="s">
        <v>7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2</v>
      </c>
      <c r="E38" t="s">
        <v>2</v>
      </c>
      <c r="F38" t="s">
        <v>2</v>
      </c>
      <c r="I38" t="s">
        <v>2</v>
      </c>
    </row>
    <row r="39" spans="1:9" x14ac:dyDescent="0.25">
      <c r="A39" s="4">
        <v>35</v>
      </c>
      <c r="B39" t="s">
        <v>2</v>
      </c>
      <c r="C39" t="s">
        <v>2</v>
      </c>
      <c r="G39" t="s">
        <v>2</v>
      </c>
      <c r="I39" t="s">
        <v>2</v>
      </c>
    </row>
    <row r="40" spans="1:9" x14ac:dyDescent="0.25">
      <c r="A40" s="4">
        <v>36</v>
      </c>
      <c r="E40" t="s">
        <v>5</v>
      </c>
      <c r="I40" t="s">
        <v>2</v>
      </c>
    </row>
    <row r="41" spans="1:9" x14ac:dyDescent="0.25">
      <c r="A41" s="4">
        <v>37</v>
      </c>
      <c r="B41" t="s">
        <v>2</v>
      </c>
      <c r="G41" t="s">
        <v>2</v>
      </c>
    </row>
    <row r="42" spans="1:9" x14ac:dyDescent="0.25">
      <c r="A42" s="4">
        <v>38</v>
      </c>
      <c r="G42" t="s">
        <v>2</v>
      </c>
    </row>
    <row r="43" spans="1:9" x14ac:dyDescent="0.25">
      <c r="A43" s="4">
        <v>39</v>
      </c>
      <c r="B43" t="s">
        <v>2</v>
      </c>
      <c r="H43" t="s">
        <v>2</v>
      </c>
    </row>
    <row r="44" spans="1:9" x14ac:dyDescent="0.25">
      <c r="A44" s="4">
        <v>40</v>
      </c>
      <c r="C44" t="s">
        <v>2</v>
      </c>
      <c r="I44" t="s">
        <v>2</v>
      </c>
    </row>
    <row r="45" spans="1:9" x14ac:dyDescent="0.25">
      <c r="A45" s="4">
        <v>41</v>
      </c>
      <c r="D45" t="s">
        <v>2</v>
      </c>
    </row>
    <row r="46" spans="1:9" x14ac:dyDescent="0.25">
      <c r="A46" s="4">
        <v>42</v>
      </c>
      <c r="C46" t="s">
        <v>2</v>
      </c>
      <c r="H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C48" t="s">
        <v>2</v>
      </c>
      <c r="H48" t="s">
        <v>2</v>
      </c>
    </row>
    <row r="49" spans="1:9" x14ac:dyDescent="0.25">
      <c r="A49" s="4">
        <v>45</v>
      </c>
      <c r="B49" t="s">
        <v>2</v>
      </c>
      <c r="E49" t="s">
        <v>2</v>
      </c>
    </row>
    <row r="50" spans="1:9" x14ac:dyDescent="0.25">
      <c r="A50" s="4">
        <v>46</v>
      </c>
      <c r="E50" t="s">
        <v>6</v>
      </c>
      <c r="F50" t="s">
        <v>6</v>
      </c>
      <c r="G50" t="s">
        <v>6</v>
      </c>
      <c r="H50" t="s">
        <v>6</v>
      </c>
    </row>
    <row r="51" spans="1:9" x14ac:dyDescent="0.25">
      <c r="A51" s="4">
        <v>47</v>
      </c>
      <c r="G51" t="s">
        <v>2</v>
      </c>
      <c r="I51" t="s">
        <v>7</v>
      </c>
    </row>
    <row r="52" spans="1:9" x14ac:dyDescent="0.25">
      <c r="A52" s="4">
        <v>48</v>
      </c>
      <c r="B52" t="s">
        <v>7</v>
      </c>
      <c r="C52" t="s">
        <v>2</v>
      </c>
      <c r="D52" t="s">
        <v>2</v>
      </c>
      <c r="E52" t="s">
        <v>5</v>
      </c>
      <c r="F52" t="s">
        <v>7</v>
      </c>
      <c r="G52" t="s">
        <v>5</v>
      </c>
      <c r="H52" t="s">
        <v>7</v>
      </c>
      <c r="I52" t="s">
        <v>7</v>
      </c>
    </row>
    <row r="53" spans="1:9" x14ac:dyDescent="0.25">
      <c r="A53" s="4">
        <v>49</v>
      </c>
      <c r="B53" t="s">
        <v>5</v>
      </c>
      <c r="C53" t="s">
        <v>5</v>
      </c>
      <c r="D53" t="s">
        <v>2</v>
      </c>
      <c r="H53" t="s">
        <v>2</v>
      </c>
    </row>
    <row r="54" spans="1:9" x14ac:dyDescent="0.25">
      <c r="A54" s="4">
        <v>50</v>
      </c>
      <c r="B54" t="s">
        <v>7</v>
      </c>
      <c r="E54" t="s">
        <v>2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2</v>
      </c>
      <c r="F56" t="s">
        <v>2</v>
      </c>
    </row>
    <row r="57" spans="1:9" x14ac:dyDescent="0.25">
      <c r="A57" s="4">
        <v>53</v>
      </c>
      <c r="E57" t="s">
        <v>2</v>
      </c>
    </row>
    <row r="58" spans="1:9" x14ac:dyDescent="0.25">
      <c r="A58" s="4">
        <v>54</v>
      </c>
      <c r="B58" t="s">
        <v>2</v>
      </c>
      <c r="G58" t="s">
        <v>2</v>
      </c>
    </row>
    <row r="59" spans="1:9" x14ac:dyDescent="0.25">
      <c r="A59" s="4">
        <v>55</v>
      </c>
      <c r="F59" t="s">
        <v>2</v>
      </c>
    </row>
    <row r="60" spans="1:9" x14ac:dyDescent="0.25">
      <c r="A60" s="4">
        <v>56</v>
      </c>
      <c r="B60" t="s">
        <v>2</v>
      </c>
      <c r="G60" t="s">
        <v>2</v>
      </c>
    </row>
  </sheetData>
  <conditionalFormatting sqref="B5:D11 G5:G11">
    <cfRule type="cellIs" dxfId="1072" priority="17" operator="equal">
      <formula>"Energia"</formula>
    </cfRule>
  </conditionalFormatting>
  <conditionalFormatting sqref="B5:D60 G5:I60">
    <cfRule type="cellIs" dxfId="1071" priority="10" operator="equal">
      <formula>"Energia"</formula>
    </cfRule>
    <cfRule type="cellIs" dxfId="1070" priority="12" operator="equal">
      <formula>"Operação"</formula>
    </cfRule>
    <cfRule type="cellIs" dxfId="1069" priority="13" operator="equal">
      <formula>"Chuva"</formula>
    </cfRule>
    <cfRule type="cellIs" dxfId="1068" priority="14" operator="equal">
      <formula>"Elétrico"</formula>
    </cfRule>
    <cfRule type="cellIs" dxfId="1067" priority="15" operator="equal">
      <formula>"Mecânico"</formula>
    </cfRule>
    <cfRule type="cellIs" dxfId="1066" priority="16" operator="equal">
      <formula>"Ok"</formula>
    </cfRule>
  </conditionalFormatting>
  <conditionalFormatting sqref="B5:D60 G5:I60">
    <cfRule type="cellIs" dxfId="106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64" priority="8" operator="equal">
      <formula>"Energia"</formula>
    </cfRule>
  </conditionalFormatting>
  <conditionalFormatting sqref="E5:F60">
    <cfRule type="cellIs" dxfId="1063" priority="1" operator="equal">
      <formula>"Energia"</formula>
    </cfRule>
    <cfRule type="cellIs" dxfId="1062" priority="3" operator="equal">
      <formula>"Operação"</formula>
    </cfRule>
    <cfRule type="cellIs" dxfId="1061" priority="4" operator="equal">
      <formula>"Chuva"</formula>
    </cfRule>
    <cfRule type="cellIs" dxfId="1060" priority="5" operator="equal">
      <formula>"Elétrico"</formula>
    </cfRule>
    <cfRule type="cellIs" dxfId="1059" priority="6" operator="equal">
      <formula>"Mecânico"</formula>
    </cfRule>
    <cfRule type="cellIs" dxfId="1058" priority="7" operator="equal">
      <formula>"Ok"</formula>
    </cfRule>
  </conditionalFormatting>
  <conditionalFormatting sqref="E5:F60">
    <cfRule type="cellIs" dxfId="1057" priority="2" operator="equal">
      <formula>"Feito"</formula>
    </cfRule>
  </conditionalFormatting>
  <dataValidations count="1">
    <dataValidation type="list" allowBlank="1" showInputMessage="1" showErrorMessage="1" sqref="B5:J60" xr:uid="{DA2E99B4-7455-46AE-887A-7F371618639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2AD-5E1D-480C-839F-9D669375B5D9}">
  <sheetPr codeName="Planilha24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44380</v>
      </c>
      <c r="C3" s="3">
        <f>B3+1</f>
        <v>44381</v>
      </c>
      <c r="D3" s="3">
        <f t="shared" ref="D3:I3" si="0">C3+1</f>
        <v>44382</v>
      </c>
      <c r="E3" s="3">
        <f t="shared" si="0"/>
        <v>44383</v>
      </c>
      <c r="F3" s="3">
        <f t="shared" si="0"/>
        <v>44384</v>
      </c>
      <c r="G3" s="3">
        <f t="shared" si="0"/>
        <v>44385</v>
      </c>
      <c r="H3" s="3">
        <f t="shared" si="0"/>
        <v>44386</v>
      </c>
      <c r="I3" s="3">
        <f t="shared" si="0"/>
        <v>44387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80</v>
      </c>
    </row>
    <row r="6" spans="1:12" x14ac:dyDescent="0.25">
      <c r="A6" s="4">
        <v>2</v>
      </c>
      <c r="H6" t="s">
        <v>7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F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D8" t="s">
        <v>2</v>
      </c>
      <c r="F8" t="s">
        <v>7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G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22</v>
      </c>
    </row>
    <row r="11" spans="1:12" x14ac:dyDescent="0.25">
      <c r="A11" s="4">
        <v>7</v>
      </c>
      <c r="B11" t="s">
        <v>2</v>
      </c>
      <c r="E11" t="s">
        <v>2</v>
      </c>
      <c r="H11" t="s">
        <v>2</v>
      </c>
      <c r="L11">
        <f>SUM(L5:L10)</f>
        <v>110</v>
      </c>
    </row>
    <row r="12" spans="1:12" x14ac:dyDescent="0.25">
      <c r="A12" s="4">
        <v>8</v>
      </c>
      <c r="D12" t="s">
        <v>2</v>
      </c>
      <c r="G12" t="s">
        <v>7</v>
      </c>
    </row>
    <row r="13" spans="1:12" x14ac:dyDescent="0.25">
      <c r="A13" s="4">
        <v>9</v>
      </c>
      <c r="C13" t="s">
        <v>2</v>
      </c>
      <c r="E13" t="s">
        <v>2</v>
      </c>
      <c r="G13" t="s">
        <v>7</v>
      </c>
      <c r="I13" t="s">
        <v>2</v>
      </c>
    </row>
    <row r="14" spans="1:12" x14ac:dyDescent="0.25">
      <c r="A14" s="4">
        <v>10</v>
      </c>
      <c r="B14" t="s">
        <v>2</v>
      </c>
      <c r="D14" t="s">
        <v>2</v>
      </c>
      <c r="E14" t="s">
        <v>2</v>
      </c>
      <c r="F14" t="s">
        <v>2</v>
      </c>
      <c r="H14" t="s">
        <v>2</v>
      </c>
    </row>
    <row r="15" spans="1:12" x14ac:dyDescent="0.25">
      <c r="A15" s="4">
        <v>11</v>
      </c>
      <c r="D15" t="s">
        <v>2</v>
      </c>
      <c r="E15" t="s">
        <v>5</v>
      </c>
      <c r="F15" t="s">
        <v>2</v>
      </c>
      <c r="I15" t="s">
        <v>2</v>
      </c>
    </row>
    <row r="16" spans="1:12" x14ac:dyDescent="0.25">
      <c r="A16" s="4">
        <v>12</v>
      </c>
      <c r="E16" t="s">
        <v>2</v>
      </c>
      <c r="G16" t="s">
        <v>2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C18" t="s">
        <v>2</v>
      </c>
      <c r="F18" t="s">
        <v>2</v>
      </c>
      <c r="I18" t="s">
        <v>2</v>
      </c>
    </row>
    <row r="19" spans="1:9" x14ac:dyDescent="0.25">
      <c r="A19" s="4">
        <v>15</v>
      </c>
      <c r="F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D21" t="s">
        <v>2</v>
      </c>
      <c r="I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5</v>
      </c>
    </row>
    <row r="24" spans="1:9" x14ac:dyDescent="0.25">
      <c r="A24" s="4">
        <v>20</v>
      </c>
    </row>
    <row r="25" spans="1:9" x14ac:dyDescent="0.25">
      <c r="A25" s="4">
        <v>21</v>
      </c>
      <c r="G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7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  <c r="I33" t="s">
        <v>2</v>
      </c>
    </row>
    <row r="34" spans="1:9" x14ac:dyDescent="0.25">
      <c r="A34" s="4">
        <v>30</v>
      </c>
      <c r="D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H35" t="s">
        <v>7</v>
      </c>
    </row>
    <row r="36" spans="1:9" x14ac:dyDescent="0.25">
      <c r="A36" s="4">
        <v>32</v>
      </c>
    </row>
    <row r="37" spans="1:9" x14ac:dyDescent="0.25">
      <c r="A37" s="4">
        <v>33</v>
      </c>
      <c r="F37" t="s">
        <v>7</v>
      </c>
      <c r="G37" t="s">
        <v>7</v>
      </c>
    </row>
    <row r="38" spans="1:9" x14ac:dyDescent="0.25">
      <c r="A38" s="4">
        <v>34</v>
      </c>
      <c r="D38" t="s">
        <v>2</v>
      </c>
      <c r="H38" t="s">
        <v>2</v>
      </c>
    </row>
    <row r="39" spans="1:9" x14ac:dyDescent="0.25">
      <c r="A39" s="4">
        <v>35</v>
      </c>
      <c r="C39" t="s">
        <v>2</v>
      </c>
      <c r="H39" t="s">
        <v>2</v>
      </c>
    </row>
    <row r="40" spans="1:9" x14ac:dyDescent="0.25">
      <c r="A40" s="4">
        <v>36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  <c r="E42" t="s">
        <v>2</v>
      </c>
      <c r="I42" t="s">
        <v>2</v>
      </c>
    </row>
    <row r="43" spans="1:9" x14ac:dyDescent="0.25">
      <c r="A43" s="4">
        <v>39</v>
      </c>
      <c r="E43" t="s">
        <v>7</v>
      </c>
      <c r="I43" t="s">
        <v>2</v>
      </c>
    </row>
    <row r="44" spans="1:9" x14ac:dyDescent="0.25">
      <c r="A44" s="4">
        <v>40</v>
      </c>
      <c r="F44" t="s">
        <v>6</v>
      </c>
    </row>
    <row r="45" spans="1:9" x14ac:dyDescent="0.25">
      <c r="A45" s="4">
        <v>41</v>
      </c>
    </row>
    <row r="46" spans="1:9" x14ac:dyDescent="0.25">
      <c r="A46" s="4">
        <v>42</v>
      </c>
      <c r="D46" t="s">
        <v>7</v>
      </c>
      <c r="H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E49" t="s">
        <v>2</v>
      </c>
      <c r="H49" t="s">
        <v>2</v>
      </c>
    </row>
    <row r="50" spans="1:9" x14ac:dyDescent="0.25">
      <c r="A50" s="4">
        <v>46</v>
      </c>
    </row>
    <row r="51" spans="1:9" x14ac:dyDescent="0.25">
      <c r="A51" s="4">
        <v>47</v>
      </c>
      <c r="D51" t="s">
        <v>2</v>
      </c>
      <c r="H51" t="s">
        <v>7</v>
      </c>
      <c r="I51" t="s">
        <v>6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5</v>
      </c>
      <c r="F52" t="s">
        <v>2</v>
      </c>
      <c r="G52" t="s">
        <v>5</v>
      </c>
      <c r="H52" t="s">
        <v>5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7</v>
      </c>
      <c r="F53" t="s">
        <v>7</v>
      </c>
      <c r="G53" t="s">
        <v>2</v>
      </c>
      <c r="H53" t="s">
        <v>2</v>
      </c>
      <c r="I53" t="s">
        <v>6</v>
      </c>
    </row>
    <row r="54" spans="1:9" x14ac:dyDescent="0.25">
      <c r="A54" s="4">
        <v>50</v>
      </c>
      <c r="C54" t="s">
        <v>2</v>
      </c>
      <c r="F54" t="s">
        <v>2</v>
      </c>
      <c r="I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  <c r="B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C60" t="s">
        <v>2</v>
      </c>
      <c r="G60" t="s">
        <v>7</v>
      </c>
    </row>
  </sheetData>
  <conditionalFormatting sqref="B5:D11 G5:G11">
    <cfRule type="cellIs" dxfId="1056" priority="17" operator="equal">
      <formula>"Energia"</formula>
    </cfRule>
  </conditionalFormatting>
  <conditionalFormatting sqref="B5:D60 G5:I60">
    <cfRule type="cellIs" dxfId="1055" priority="10" operator="equal">
      <formula>"Energia"</formula>
    </cfRule>
    <cfRule type="cellIs" dxfId="1054" priority="12" operator="equal">
      <formula>"Operação"</formula>
    </cfRule>
    <cfRule type="cellIs" dxfId="1053" priority="13" operator="equal">
      <formula>"Chuva"</formula>
    </cfRule>
    <cfRule type="cellIs" dxfId="1052" priority="14" operator="equal">
      <formula>"Elétrico"</formula>
    </cfRule>
    <cfRule type="cellIs" dxfId="1051" priority="15" operator="equal">
      <formula>"Mecânico"</formula>
    </cfRule>
    <cfRule type="cellIs" dxfId="1050" priority="16" operator="equal">
      <formula>"Ok"</formula>
    </cfRule>
  </conditionalFormatting>
  <conditionalFormatting sqref="B5:D60 G5:I60">
    <cfRule type="cellIs" dxfId="104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48" priority="8" operator="equal">
      <formula>"Energia"</formula>
    </cfRule>
  </conditionalFormatting>
  <conditionalFormatting sqref="E5:F60">
    <cfRule type="cellIs" dxfId="1047" priority="1" operator="equal">
      <formula>"Energia"</formula>
    </cfRule>
    <cfRule type="cellIs" dxfId="1046" priority="3" operator="equal">
      <formula>"Operação"</formula>
    </cfRule>
    <cfRule type="cellIs" dxfId="1045" priority="4" operator="equal">
      <formula>"Chuva"</formula>
    </cfRule>
    <cfRule type="cellIs" dxfId="1044" priority="5" operator="equal">
      <formula>"Elétrico"</formula>
    </cfRule>
    <cfRule type="cellIs" dxfId="1043" priority="6" operator="equal">
      <formula>"Mecânico"</formula>
    </cfRule>
    <cfRule type="cellIs" dxfId="1042" priority="7" operator="equal">
      <formula>"Ok"</formula>
    </cfRule>
  </conditionalFormatting>
  <conditionalFormatting sqref="E5:F60">
    <cfRule type="cellIs" dxfId="1041" priority="2" operator="equal">
      <formula>"Feito"</formula>
    </cfRule>
  </conditionalFormatting>
  <dataValidations count="1">
    <dataValidation type="list" allowBlank="1" showInputMessage="1" showErrorMessage="1" sqref="B5:J60" xr:uid="{3010C0CF-86B3-4192-B657-9CF33FB0DC2E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9CB-7B2A-4AE1-A617-ADB8631A76E2}">
  <sheetPr codeName="Planilha25"/>
  <dimension ref="A3:L60"/>
  <sheetViews>
    <sheetView workbookViewId="0">
      <pane xSplit="1" topLeftCell="B1" activePane="topRight" state="frozen"/>
      <selection pane="topRight" activeCell="N8" sqref="N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44388</v>
      </c>
      <c r="C3" s="3">
        <f>B3+1</f>
        <v>44389</v>
      </c>
      <c r="D3" s="3">
        <f t="shared" ref="D3:I3" si="0">C3+1</f>
        <v>44390</v>
      </c>
      <c r="E3" s="3">
        <f t="shared" si="0"/>
        <v>44391</v>
      </c>
      <c r="F3" s="3">
        <f t="shared" si="0"/>
        <v>44392</v>
      </c>
      <c r="G3" s="3">
        <f t="shared" si="0"/>
        <v>44393</v>
      </c>
      <c r="H3" s="3">
        <f t="shared" si="0"/>
        <v>44394</v>
      </c>
      <c r="I3" s="3">
        <f t="shared" si="0"/>
        <v>44395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D5" t="s">
        <v>2</v>
      </c>
      <c r="G5" t="s">
        <v>2</v>
      </c>
      <c r="K5" s="5" t="s">
        <v>2</v>
      </c>
      <c r="L5">
        <f>COUNTIF($B$5:$I$60,K5)</f>
        <v>79</v>
      </c>
    </row>
    <row r="6" spans="1:12" x14ac:dyDescent="0.25">
      <c r="A6" s="4">
        <v>2</v>
      </c>
      <c r="D6" t="s">
        <v>7</v>
      </c>
      <c r="E6" t="s">
        <v>7</v>
      </c>
      <c r="F6" t="s">
        <v>7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C7" t="s">
        <v>7</v>
      </c>
      <c r="E7" t="s">
        <v>7</v>
      </c>
      <c r="H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D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E9" t="s">
        <v>2</v>
      </c>
      <c r="G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E10" t="s">
        <v>2</v>
      </c>
      <c r="G10" t="s">
        <v>5</v>
      </c>
      <c r="K10" s="10" t="s">
        <v>7</v>
      </c>
      <c r="L10">
        <f t="shared" si="2"/>
        <v>30</v>
      </c>
    </row>
    <row r="11" spans="1:12" x14ac:dyDescent="0.25">
      <c r="A11" s="4">
        <v>7</v>
      </c>
      <c r="D11" t="s">
        <v>2</v>
      </c>
      <c r="H11" t="s">
        <v>7</v>
      </c>
      <c r="L11">
        <f>SUM(L5:L10)</f>
        <v>119</v>
      </c>
    </row>
    <row r="12" spans="1:12" x14ac:dyDescent="0.25">
      <c r="A12" s="4">
        <v>8</v>
      </c>
      <c r="B12" t="s">
        <v>2</v>
      </c>
      <c r="F12" t="s">
        <v>2</v>
      </c>
    </row>
    <row r="13" spans="1:12" x14ac:dyDescent="0.25">
      <c r="A13" s="4">
        <v>9</v>
      </c>
      <c r="C13" t="s">
        <v>2</v>
      </c>
      <c r="E13" t="s">
        <v>2</v>
      </c>
      <c r="G13" t="s">
        <v>2</v>
      </c>
      <c r="H13" t="s">
        <v>2</v>
      </c>
    </row>
    <row r="14" spans="1:12" x14ac:dyDescent="0.25">
      <c r="A14" s="4">
        <v>10</v>
      </c>
      <c r="B14" t="s">
        <v>2</v>
      </c>
      <c r="D14" t="s">
        <v>2</v>
      </c>
      <c r="F14" t="s">
        <v>2</v>
      </c>
      <c r="I14" t="s">
        <v>2</v>
      </c>
    </row>
    <row r="15" spans="1:12" x14ac:dyDescent="0.25">
      <c r="A15" s="4">
        <v>11</v>
      </c>
      <c r="C15" t="s">
        <v>2</v>
      </c>
      <c r="E15" t="s">
        <v>2</v>
      </c>
      <c r="G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7</v>
      </c>
      <c r="D16" t="s">
        <v>7</v>
      </c>
      <c r="E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E17" t="s">
        <v>2</v>
      </c>
      <c r="F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  <c r="D18" t="s">
        <v>5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D33" t="s">
        <v>2</v>
      </c>
      <c r="F33" t="s">
        <v>7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F34" t="s">
        <v>5</v>
      </c>
      <c r="G34" t="s">
        <v>2</v>
      </c>
      <c r="I34" t="s">
        <v>2</v>
      </c>
    </row>
    <row r="35" spans="1:9" x14ac:dyDescent="0.25">
      <c r="A35" s="4">
        <v>31</v>
      </c>
      <c r="B35" t="s">
        <v>7</v>
      </c>
      <c r="E35" t="s">
        <v>7</v>
      </c>
      <c r="F35" t="s">
        <v>2</v>
      </c>
      <c r="G35" t="s">
        <v>7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G37" t="s">
        <v>7</v>
      </c>
      <c r="I37" t="s">
        <v>7</v>
      </c>
    </row>
    <row r="38" spans="1:9" x14ac:dyDescent="0.25">
      <c r="A38" s="4">
        <v>34</v>
      </c>
      <c r="D38" t="s">
        <v>7</v>
      </c>
      <c r="H38" t="s">
        <v>5</v>
      </c>
    </row>
    <row r="39" spans="1:9" x14ac:dyDescent="0.25">
      <c r="A39" s="4">
        <v>35</v>
      </c>
      <c r="D39" t="s">
        <v>2</v>
      </c>
      <c r="H39" t="s">
        <v>2</v>
      </c>
    </row>
    <row r="40" spans="1:9" x14ac:dyDescent="0.25">
      <c r="A40" s="4">
        <v>36</v>
      </c>
      <c r="F40" t="s">
        <v>7</v>
      </c>
      <c r="G40" t="s">
        <v>7</v>
      </c>
    </row>
    <row r="41" spans="1:9" x14ac:dyDescent="0.25">
      <c r="A41" s="4">
        <v>37</v>
      </c>
      <c r="B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F43" t="s">
        <v>2</v>
      </c>
    </row>
    <row r="44" spans="1:9" x14ac:dyDescent="0.25">
      <c r="A44" s="4">
        <v>40</v>
      </c>
      <c r="B44" t="s">
        <v>2</v>
      </c>
      <c r="G44" t="s">
        <v>7</v>
      </c>
    </row>
    <row r="45" spans="1:9" x14ac:dyDescent="0.25">
      <c r="A45" s="4">
        <v>41</v>
      </c>
    </row>
    <row r="46" spans="1:9" x14ac:dyDescent="0.25">
      <c r="A46" s="4">
        <v>42</v>
      </c>
      <c r="E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C49" t="s">
        <v>7</v>
      </c>
      <c r="H49" t="s">
        <v>2</v>
      </c>
    </row>
    <row r="50" spans="1:9" x14ac:dyDescent="0.25">
      <c r="A50" s="4">
        <v>46</v>
      </c>
      <c r="B50" t="s">
        <v>7</v>
      </c>
      <c r="C50" t="s">
        <v>7</v>
      </c>
      <c r="H50" t="s">
        <v>5</v>
      </c>
      <c r="I50" t="s">
        <v>5</v>
      </c>
    </row>
    <row r="51" spans="1:9" x14ac:dyDescent="0.25">
      <c r="A51" s="4">
        <v>47</v>
      </c>
      <c r="B51" t="s">
        <v>6</v>
      </c>
      <c r="D51" t="s">
        <v>2</v>
      </c>
      <c r="E51" t="s">
        <v>2</v>
      </c>
      <c r="F51" t="s">
        <v>2</v>
      </c>
      <c r="G51" t="s">
        <v>7</v>
      </c>
      <c r="H51" t="s">
        <v>7</v>
      </c>
      <c r="I51" t="s">
        <v>7</v>
      </c>
    </row>
    <row r="52" spans="1:9" x14ac:dyDescent="0.25">
      <c r="A52" s="4">
        <v>48</v>
      </c>
      <c r="B52" t="s">
        <v>6</v>
      </c>
      <c r="F52" t="s">
        <v>7</v>
      </c>
      <c r="G52" t="s">
        <v>2</v>
      </c>
    </row>
    <row r="53" spans="1:9" x14ac:dyDescent="0.25">
      <c r="A53" s="4">
        <v>49</v>
      </c>
      <c r="B53" t="s">
        <v>6</v>
      </c>
      <c r="C53" t="s">
        <v>2</v>
      </c>
      <c r="D53" t="s">
        <v>2</v>
      </c>
      <c r="E53" t="s">
        <v>2</v>
      </c>
      <c r="H53" t="s">
        <v>2</v>
      </c>
    </row>
    <row r="54" spans="1:9" x14ac:dyDescent="0.25">
      <c r="A54" s="4">
        <v>50</v>
      </c>
      <c r="D54" t="s">
        <v>2</v>
      </c>
      <c r="G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  <c r="C59" t="s">
        <v>7</v>
      </c>
    </row>
    <row r="60" spans="1:9" x14ac:dyDescent="0.25">
      <c r="A60" s="4">
        <v>56</v>
      </c>
    </row>
  </sheetData>
  <conditionalFormatting sqref="B5:D11 G5:G11">
    <cfRule type="cellIs" dxfId="1040" priority="17" operator="equal">
      <formula>"Energia"</formula>
    </cfRule>
  </conditionalFormatting>
  <conditionalFormatting sqref="B5:D60 G5:I60">
    <cfRule type="cellIs" dxfId="1039" priority="10" operator="equal">
      <formula>"Energia"</formula>
    </cfRule>
    <cfRule type="cellIs" dxfId="1038" priority="12" operator="equal">
      <formula>"Operação"</formula>
    </cfRule>
    <cfRule type="cellIs" dxfId="1037" priority="13" operator="equal">
      <formula>"Chuva"</formula>
    </cfRule>
    <cfRule type="cellIs" dxfId="1036" priority="14" operator="equal">
      <formula>"Elétrico"</formula>
    </cfRule>
    <cfRule type="cellIs" dxfId="1035" priority="15" operator="equal">
      <formula>"Mecânico"</formula>
    </cfRule>
    <cfRule type="cellIs" dxfId="1034" priority="16" operator="equal">
      <formula>"Ok"</formula>
    </cfRule>
  </conditionalFormatting>
  <conditionalFormatting sqref="B5:D60 G5:I60">
    <cfRule type="cellIs" dxfId="103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32" priority="8" operator="equal">
      <formula>"Energia"</formula>
    </cfRule>
  </conditionalFormatting>
  <conditionalFormatting sqref="E5:F60">
    <cfRule type="cellIs" dxfId="1031" priority="1" operator="equal">
      <formula>"Energia"</formula>
    </cfRule>
    <cfRule type="cellIs" dxfId="1030" priority="3" operator="equal">
      <formula>"Operação"</formula>
    </cfRule>
    <cfRule type="cellIs" dxfId="1029" priority="4" operator="equal">
      <formula>"Chuva"</formula>
    </cfRule>
    <cfRule type="cellIs" dxfId="1028" priority="5" operator="equal">
      <formula>"Elétrico"</formula>
    </cfRule>
    <cfRule type="cellIs" dxfId="1027" priority="6" operator="equal">
      <formula>"Mecânico"</formula>
    </cfRule>
    <cfRule type="cellIs" dxfId="1026" priority="7" operator="equal">
      <formula>"Ok"</formula>
    </cfRule>
  </conditionalFormatting>
  <conditionalFormatting sqref="E5:F60">
    <cfRule type="cellIs" dxfId="1025" priority="2" operator="equal">
      <formula>"Feito"</formula>
    </cfRule>
  </conditionalFormatting>
  <dataValidations count="1">
    <dataValidation type="list" allowBlank="1" showInputMessage="1" showErrorMessage="1" sqref="B5:J60" xr:uid="{76ACF2D4-E58F-4DD2-90E7-2ABA0CAF957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4B4-E766-42E7-8F99-863B38C98389}">
  <sheetPr codeName="Planilha26"/>
  <dimension ref="A3:L60"/>
  <sheetViews>
    <sheetView topLeftCell="A7" workbookViewId="0">
      <pane xSplit="1" topLeftCell="B1" activePane="topRight" state="frozen"/>
      <selection pane="topRight" activeCell="Q13" sqref="Q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44396</v>
      </c>
      <c r="C3" s="3">
        <f>B3+1</f>
        <v>44397</v>
      </c>
      <c r="D3" s="3">
        <f t="shared" ref="D3:I3" si="0">C3+1</f>
        <v>44398</v>
      </c>
      <c r="E3" s="3">
        <f t="shared" si="0"/>
        <v>44399</v>
      </c>
      <c r="F3" s="3">
        <f t="shared" si="0"/>
        <v>44400</v>
      </c>
      <c r="G3" s="3">
        <f t="shared" si="0"/>
        <v>44401</v>
      </c>
      <c r="H3" s="3">
        <f t="shared" si="0"/>
        <v>44402</v>
      </c>
      <c r="I3" s="3">
        <f t="shared" si="0"/>
        <v>44403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B5" t="s">
        <v>5</v>
      </c>
      <c r="K5" s="5" t="s">
        <v>2</v>
      </c>
      <c r="L5">
        <f>COUNTIF($B$5:$I$60,K5)</f>
        <v>92</v>
      </c>
    </row>
    <row r="6" spans="1:12" x14ac:dyDescent="0.25">
      <c r="A6" s="4">
        <v>2</v>
      </c>
      <c r="B6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8</v>
      </c>
    </row>
    <row r="7" spans="1:12" x14ac:dyDescent="0.25">
      <c r="A7" s="4">
        <v>3</v>
      </c>
      <c r="C7" t="s">
        <v>7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C8" t="s">
        <v>2</v>
      </c>
      <c r="K8" s="8" t="s">
        <v>4</v>
      </c>
      <c r="L8">
        <f t="shared" si="2"/>
        <v>3</v>
      </c>
    </row>
    <row r="9" spans="1:12" x14ac:dyDescent="0.25">
      <c r="A9" s="4">
        <v>5</v>
      </c>
      <c r="E9" t="s">
        <v>7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7</v>
      </c>
      <c r="D10" t="s">
        <v>2</v>
      </c>
      <c r="G10" t="s">
        <v>2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D11" t="s">
        <v>7</v>
      </c>
      <c r="H11" t="s">
        <v>2</v>
      </c>
      <c r="L11">
        <f>SUM(L5:L10)</f>
        <v>125</v>
      </c>
    </row>
    <row r="12" spans="1:12" x14ac:dyDescent="0.25">
      <c r="A12" s="4">
        <v>8</v>
      </c>
      <c r="B12" t="s">
        <v>2</v>
      </c>
      <c r="F12" t="s">
        <v>2</v>
      </c>
      <c r="I12" t="s">
        <v>2</v>
      </c>
    </row>
    <row r="13" spans="1:12" x14ac:dyDescent="0.25">
      <c r="A13" s="4">
        <v>9</v>
      </c>
      <c r="B13" t="s">
        <v>2</v>
      </c>
      <c r="E13" t="s">
        <v>2</v>
      </c>
      <c r="H13" t="s">
        <v>2</v>
      </c>
    </row>
    <row r="14" spans="1:12" x14ac:dyDescent="0.25">
      <c r="A14" s="4">
        <v>10</v>
      </c>
      <c r="C14" t="s">
        <v>2</v>
      </c>
      <c r="E14" t="s">
        <v>7</v>
      </c>
      <c r="G14" t="s">
        <v>2</v>
      </c>
    </row>
    <row r="15" spans="1:12" x14ac:dyDescent="0.25">
      <c r="A15" s="4">
        <v>11</v>
      </c>
      <c r="B15" t="s">
        <v>7</v>
      </c>
      <c r="C15" t="s">
        <v>2</v>
      </c>
      <c r="D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5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C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7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C37" t="s">
        <v>7</v>
      </c>
      <c r="D37" t="s">
        <v>7</v>
      </c>
      <c r="E37" t="s">
        <v>7</v>
      </c>
      <c r="F37" t="s">
        <v>7</v>
      </c>
      <c r="G37" t="s">
        <v>5</v>
      </c>
      <c r="H37" t="s">
        <v>2</v>
      </c>
      <c r="I37" t="s">
        <v>2</v>
      </c>
    </row>
    <row r="38" spans="1:9" x14ac:dyDescent="0.25">
      <c r="A38" s="4">
        <v>34</v>
      </c>
      <c r="D38" t="s">
        <v>6</v>
      </c>
      <c r="E38" t="s">
        <v>6</v>
      </c>
      <c r="G38" t="s">
        <v>2</v>
      </c>
    </row>
    <row r="39" spans="1:9" x14ac:dyDescent="0.25">
      <c r="A39" s="4">
        <v>35</v>
      </c>
      <c r="D39" t="s">
        <v>7</v>
      </c>
      <c r="H39" t="s">
        <v>2</v>
      </c>
    </row>
    <row r="40" spans="1:9" x14ac:dyDescent="0.25">
      <c r="A40" s="4">
        <v>36</v>
      </c>
      <c r="B40" t="s">
        <v>2</v>
      </c>
      <c r="F40" t="s">
        <v>5</v>
      </c>
      <c r="I40" t="s">
        <v>5</v>
      </c>
    </row>
    <row r="41" spans="1:9" x14ac:dyDescent="0.25">
      <c r="A41" s="4">
        <v>37</v>
      </c>
      <c r="D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</row>
    <row r="49" spans="1:9" x14ac:dyDescent="0.25">
      <c r="A49" s="4">
        <v>45</v>
      </c>
      <c r="C49" t="s">
        <v>4</v>
      </c>
    </row>
    <row r="50" spans="1:9" x14ac:dyDescent="0.25">
      <c r="A50" s="4">
        <v>46</v>
      </c>
      <c r="C50" t="s">
        <v>5</v>
      </c>
      <c r="D50" t="s">
        <v>5</v>
      </c>
      <c r="E50" t="s">
        <v>2</v>
      </c>
      <c r="F50" t="s">
        <v>7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C51" t="s">
        <v>4</v>
      </c>
      <c r="D51" t="s">
        <v>2</v>
      </c>
      <c r="E51" t="s">
        <v>2</v>
      </c>
      <c r="H51" t="s">
        <v>2</v>
      </c>
    </row>
    <row r="52" spans="1:9" x14ac:dyDescent="0.25">
      <c r="A52" s="4">
        <v>48</v>
      </c>
      <c r="B52" t="s">
        <v>2</v>
      </c>
      <c r="F52" t="s">
        <v>2</v>
      </c>
    </row>
    <row r="53" spans="1:9" x14ac:dyDescent="0.25">
      <c r="A53" s="4">
        <v>49</v>
      </c>
      <c r="B53" t="s">
        <v>2</v>
      </c>
      <c r="C53" t="s">
        <v>4</v>
      </c>
      <c r="D53" t="s">
        <v>2</v>
      </c>
      <c r="G53" t="s">
        <v>2</v>
      </c>
    </row>
    <row r="54" spans="1:9" x14ac:dyDescent="0.25">
      <c r="A54" s="4">
        <v>50</v>
      </c>
      <c r="B54" t="s">
        <v>2</v>
      </c>
      <c r="E54" t="s">
        <v>7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024" priority="17" operator="equal">
      <formula>"Energia"</formula>
    </cfRule>
  </conditionalFormatting>
  <conditionalFormatting sqref="B5:D60 G5:I60">
    <cfRule type="cellIs" dxfId="1023" priority="10" operator="equal">
      <formula>"Energia"</formula>
    </cfRule>
    <cfRule type="cellIs" dxfId="1022" priority="12" operator="equal">
      <formula>"Operação"</formula>
    </cfRule>
    <cfRule type="cellIs" dxfId="1021" priority="13" operator="equal">
      <formula>"Chuva"</formula>
    </cfRule>
    <cfRule type="cellIs" dxfId="1020" priority="14" operator="equal">
      <formula>"Elétrico"</formula>
    </cfRule>
    <cfRule type="cellIs" dxfId="1019" priority="15" operator="equal">
      <formula>"Mecânico"</formula>
    </cfRule>
    <cfRule type="cellIs" dxfId="1018" priority="16" operator="equal">
      <formula>"Ok"</formula>
    </cfRule>
  </conditionalFormatting>
  <conditionalFormatting sqref="B5:D60 G5:I60">
    <cfRule type="cellIs" dxfId="101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16" priority="8" operator="equal">
      <formula>"Energia"</formula>
    </cfRule>
  </conditionalFormatting>
  <conditionalFormatting sqref="E5:F60">
    <cfRule type="cellIs" dxfId="1015" priority="1" operator="equal">
      <formula>"Energia"</formula>
    </cfRule>
    <cfRule type="cellIs" dxfId="1014" priority="3" operator="equal">
      <formula>"Operação"</formula>
    </cfRule>
    <cfRule type="cellIs" dxfId="1013" priority="4" operator="equal">
      <formula>"Chuva"</formula>
    </cfRule>
    <cfRule type="cellIs" dxfId="1012" priority="5" operator="equal">
      <formula>"Elétrico"</formula>
    </cfRule>
    <cfRule type="cellIs" dxfId="1011" priority="6" operator="equal">
      <formula>"Mecânico"</formula>
    </cfRule>
    <cfRule type="cellIs" dxfId="1010" priority="7" operator="equal">
      <formula>"Ok"</formula>
    </cfRule>
  </conditionalFormatting>
  <conditionalFormatting sqref="E5:F60">
    <cfRule type="cellIs" dxfId="1009" priority="2" operator="equal">
      <formula>"Feito"</formula>
    </cfRule>
  </conditionalFormatting>
  <dataValidations count="1">
    <dataValidation type="list" allowBlank="1" showInputMessage="1" showErrorMessage="1" sqref="B5:J60" xr:uid="{A3DF2FA6-390F-4B90-B989-04DE16BA0CF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D7EB-00F0-4775-A411-ABA17A4E5C65}">
  <sheetPr codeName="Planilha27"/>
  <dimension ref="A3:L60"/>
  <sheetViews>
    <sheetView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44404</v>
      </c>
      <c r="C3" s="3">
        <f>B3+1</f>
        <v>44405</v>
      </c>
      <c r="D3" s="3">
        <f t="shared" ref="D3:I3" si="0">C3+1</f>
        <v>44406</v>
      </c>
      <c r="E3" s="3">
        <f t="shared" si="0"/>
        <v>44407</v>
      </c>
      <c r="F3" s="3">
        <f t="shared" si="0"/>
        <v>44408</v>
      </c>
      <c r="G3" s="3">
        <f t="shared" si="0"/>
        <v>44409</v>
      </c>
      <c r="H3" s="3">
        <f t="shared" si="0"/>
        <v>44410</v>
      </c>
      <c r="I3" s="3">
        <f t="shared" si="0"/>
        <v>44411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83</v>
      </c>
    </row>
    <row r="6" spans="1:12" x14ac:dyDescent="0.25">
      <c r="A6" s="4">
        <v>2</v>
      </c>
      <c r="C6" t="s">
        <v>2</v>
      </c>
      <c r="F6" t="s">
        <v>2</v>
      </c>
      <c r="H6" t="s">
        <v>2</v>
      </c>
      <c r="K6" s="6" t="s">
        <v>5</v>
      </c>
      <c r="L6">
        <f t="shared" ref="L6:L10" si="2">COUNTIF($B$5:$I$60,K6)</f>
        <v>2</v>
      </c>
    </row>
    <row r="7" spans="1:12" x14ac:dyDescent="0.25">
      <c r="A7" s="4">
        <v>3</v>
      </c>
      <c r="D7" t="s">
        <v>2</v>
      </c>
      <c r="F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D8" t="s">
        <v>2</v>
      </c>
      <c r="F8" t="s">
        <v>2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E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D10" t="s">
        <v>7</v>
      </c>
      <c r="E10" t="s">
        <v>7</v>
      </c>
      <c r="K10" s="10" t="s">
        <v>7</v>
      </c>
      <c r="L10">
        <f t="shared" si="2"/>
        <v>18</v>
      </c>
    </row>
    <row r="11" spans="1:12" x14ac:dyDescent="0.25">
      <c r="A11" s="4">
        <v>7</v>
      </c>
      <c r="D11" t="s">
        <v>7</v>
      </c>
      <c r="G11" t="s">
        <v>2</v>
      </c>
      <c r="L11">
        <f>SUM(L5:L10)</f>
        <v>103</v>
      </c>
    </row>
    <row r="12" spans="1:12" x14ac:dyDescent="0.25">
      <c r="A12" s="4">
        <v>8</v>
      </c>
      <c r="D12" t="s">
        <v>2</v>
      </c>
      <c r="G12" t="s">
        <v>2</v>
      </c>
    </row>
    <row r="13" spans="1:12" x14ac:dyDescent="0.25">
      <c r="A13" s="4">
        <v>9</v>
      </c>
      <c r="C13" t="s">
        <v>7</v>
      </c>
      <c r="F13" t="s">
        <v>2</v>
      </c>
    </row>
    <row r="14" spans="1:12" x14ac:dyDescent="0.25">
      <c r="A14" s="4">
        <v>10</v>
      </c>
      <c r="B14" t="s">
        <v>2</v>
      </c>
      <c r="E14" t="s">
        <v>2</v>
      </c>
      <c r="H14" t="s">
        <v>2</v>
      </c>
    </row>
    <row r="15" spans="1:12" x14ac:dyDescent="0.25">
      <c r="A15" s="4">
        <v>11</v>
      </c>
      <c r="B15" t="s">
        <v>7</v>
      </c>
      <c r="D15" t="s">
        <v>7</v>
      </c>
      <c r="F15" t="s">
        <v>2</v>
      </c>
      <c r="H15" t="s">
        <v>7</v>
      </c>
    </row>
    <row r="16" spans="1:12" x14ac:dyDescent="0.25">
      <c r="A16" s="4">
        <v>12</v>
      </c>
      <c r="B16" t="s">
        <v>2</v>
      </c>
      <c r="D16" t="s">
        <v>7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7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C37" t="s">
        <v>2</v>
      </c>
      <c r="D37" t="s">
        <v>2</v>
      </c>
      <c r="G37" t="s">
        <v>2</v>
      </c>
    </row>
    <row r="38" spans="1:9" x14ac:dyDescent="0.25">
      <c r="A38" s="4">
        <v>34</v>
      </c>
      <c r="C38" t="s">
        <v>2</v>
      </c>
      <c r="D38" t="s">
        <v>2</v>
      </c>
      <c r="G38" t="s">
        <v>2</v>
      </c>
      <c r="I38" t="s">
        <v>5</v>
      </c>
    </row>
    <row r="39" spans="1:9" x14ac:dyDescent="0.25">
      <c r="A39" s="4">
        <v>35</v>
      </c>
      <c r="C39" t="s">
        <v>7</v>
      </c>
    </row>
    <row r="40" spans="1:9" x14ac:dyDescent="0.25">
      <c r="A40" s="4">
        <v>36</v>
      </c>
      <c r="F40" t="s">
        <v>5</v>
      </c>
      <c r="I40" t="s">
        <v>2</v>
      </c>
    </row>
    <row r="41" spans="1:9" x14ac:dyDescent="0.25">
      <c r="A41" s="4">
        <v>37</v>
      </c>
      <c r="D41" t="s">
        <v>2</v>
      </c>
      <c r="F41" t="s">
        <v>2</v>
      </c>
      <c r="G41" t="s">
        <v>7</v>
      </c>
      <c r="H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G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7</v>
      </c>
      <c r="I50" t="s">
        <v>2</v>
      </c>
    </row>
    <row r="51" spans="1:9" x14ac:dyDescent="0.25">
      <c r="A51" s="4">
        <v>47</v>
      </c>
      <c r="C51" t="s">
        <v>2</v>
      </c>
      <c r="D51" t="s">
        <v>2</v>
      </c>
      <c r="H51" t="s">
        <v>2</v>
      </c>
    </row>
    <row r="52" spans="1:9" x14ac:dyDescent="0.25">
      <c r="A52" s="4">
        <v>48</v>
      </c>
      <c r="B52" t="s">
        <v>2</v>
      </c>
      <c r="G52" t="s">
        <v>2</v>
      </c>
    </row>
    <row r="53" spans="1:9" x14ac:dyDescent="0.25">
      <c r="A53" s="4">
        <v>49</v>
      </c>
      <c r="C53" t="s">
        <v>2</v>
      </c>
      <c r="H53" t="s">
        <v>2</v>
      </c>
    </row>
    <row r="54" spans="1:9" x14ac:dyDescent="0.25">
      <c r="A54" s="4">
        <v>50</v>
      </c>
      <c r="C54" t="s">
        <v>7</v>
      </c>
      <c r="F54" t="s">
        <v>2</v>
      </c>
      <c r="I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D56" t="s">
        <v>2</v>
      </c>
      <c r="F56" t="s">
        <v>7</v>
      </c>
      <c r="H56" t="s">
        <v>7</v>
      </c>
      <c r="I56" t="s">
        <v>7</v>
      </c>
    </row>
    <row r="57" spans="1:9" x14ac:dyDescent="0.25">
      <c r="A57" s="4">
        <v>53</v>
      </c>
    </row>
    <row r="58" spans="1:9" x14ac:dyDescent="0.25">
      <c r="A58" s="4">
        <v>54</v>
      </c>
      <c r="I58" t="s">
        <v>2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1008" priority="17" operator="equal">
      <formula>"Energia"</formula>
    </cfRule>
  </conditionalFormatting>
  <conditionalFormatting sqref="B5:D60 G5:I60">
    <cfRule type="cellIs" dxfId="1007" priority="10" operator="equal">
      <formula>"Energia"</formula>
    </cfRule>
    <cfRule type="cellIs" dxfId="1006" priority="12" operator="equal">
      <formula>"Operação"</formula>
    </cfRule>
    <cfRule type="cellIs" dxfId="1005" priority="13" operator="equal">
      <formula>"Chuva"</formula>
    </cfRule>
    <cfRule type="cellIs" dxfId="1004" priority="14" operator="equal">
      <formula>"Elétrico"</formula>
    </cfRule>
    <cfRule type="cellIs" dxfId="1003" priority="15" operator="equal">
      <formula>"Mecânico"</formula>
    </cfRule>
    <cfRule type="cellIs" dxfId="1002" priority="16" operator="equal">
      <formula>"Ok"</formula>
    </cfRule>
  </conditionalFormatting>
  <conditionalFormatting sqref="B5:D60 G5:I60">
    <cfRule type="cellIs" dxfId="100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00" priority="8" operator="equal">
      <formula>"Energia"</formula>
    </cfRule>
  </conditionalFormatting>
  <conditionalFormatting sqref="E5:F60">
    <cfRule type="cellIs" dxfId="999" priority="1" operator="equal">
      <formula>"Energia"</formula>
    </cfRule>
    <cfRule type="cellIs" dxfId="998" priority="3" operator="equal">
      <formula>"Operação"</formula>
    </cfRule>
    <cfRule type="cellIs" dxfId="997" priority="4" operator="equal">
      <formula>"Chuva"</formula>
    </cfRule>
    <cfRule type="cellIs" dxfId="996" priority="5" operator="equal">
      <formula>"Elétrico"</formula>
    </cfRule>
    <cfRule type="cellIs" dxfId="995" priority="6" operator="equal">
      <formula>"Mecânico"</formula>
    </cfRule>
    <cfRule type="cellIs" dxfId="994" priority="7" operator="equal">
      <formula>"Ok"</formula>
    </cfRule>
  </conditionalFormatting>
  <conditionalFormatting sqref="E5:F60">
    <cfRule type="cellIs" dxfId="993" priority="2" operator="equal">
      <formula>"Feito"</formula>
    </cfRule>
  </conditionalFormatting>
  <dataValidations count="1">
    <dataValidation type="list" allowBlank="1" showInputMessage="1" showErrorMessage="1" sqref="B5:J60" xr:uid="{AE6CAF13-7181-4942-A537-A132B4DEA62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124-1461-44E5-8FEC-0C3521ABE896}">
  <sheetPr codeName="Planilha28"/>
  <dimension ref="A3:L60"/>
  <sheetViews>
    <sheetView workbookViewId="0">
      <pane xSplit="1" topLeftCell="B1" activePane="topRight" state="frozen"/>
      <selection pane="topRight" activeCell="M20" sqref="M2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44412</v>
      </c>
      <c r="C3" s="3">
        <f>B3+1</f>
        <v>44413</v>
      </c>
      <c r="D3" s="3">
        <f t="shared" ref="D3:I3" si="0">C3+1</f>
        <v>44414</v>
      </c>
      <c r="E3" s="3">
        <f t="shared" si="0"/>
        <v>44415</v>
      </c>
      <c r="F3" s="3">
        <f t="shared" si="0"/>
        <v>44416</v>
      </c>
      <c r="G3" s="3">
        <f t="shared" si="0"/>
        <v>44417</v>
      </c>
      <c r="H3" s="3">
        <f t="shared" si="0"/>
        <v>44418</v>
      </c>
      <c r="I3" s="3">
        <f t="shared" si="0"/>
        <v>44419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102</v>
      </c>
    </row>
    <row r="6" spans="1:12" x14ac:dyDescent="0.25">
      <c r="A6" s="4">
        <v>2</v>
      </c>
      <c r="B6" t="s">
        <v>2</v>
      </c>
      <c r="C6" t="s">
        <v>2</v>
      </c>
      <c r="E6" t="s">
        <v>2</v>
      </c>
      <c r="H6" t="s">
        <v>2</v>
      </c>
      <c r="K6" s="6" t="s">
        <v>5</v>
      </c>
      <c r="L6">
        <f t="shared" ref="L6:L10" si="2">COUNTIF($B$5:$I$60,K6)</f>
        <v>6</v>
      </c>
    </row>
    <row r="7" spans="1:12" x14ac:dyDescent="0.25">
      <c r="A7" s="4">
        <v>3</v>
      </c>
      <c r="C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F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F10" t="s">
        <v>2</v>
      </c>
      <c r="K10" s="10" t="s">
        <v>7</v>
      </c>
      <c r="L10">
        <f t="shared" si="2"/>
        <v>22</v>
      </c>
    </row>
    <row r="11" spans="1:12" x14ac:dyDescent="0.25">
      <c r="A11" s="4">
        <v>7</v>
      </c>
      <c r="C11" t="s">
        <v>7</v>
      </c>
      <c r="G11" t="s">
        <v>6</v>
      </c>
      <c r="L11">
        <f>SUM(L5:L10)</f>
        <v>133</v>
      </c>
    </row>
    <row r="12" spans="1:12" x14ac:dyDescent="0.25">
      <c r="A12" s="4">
        <v>8</v>
      </c>
      <c r="B12" t="s">
        <v>2</v>
      </c>
      <c r="E12" t="s">
        <v>2</v>
      </c>
      <c r="H12" t="s">
        <v>2</v>
      </c>
    </row>
    <row r="13" spans="1:12" x14ac:dyDescent="0.25">
      <c r="A13" s="4">
        <v>9</v>
      </c>
      <c r="B13" t="s">
        <v>7</v>
      </c>
      <c r="F13" t="s">
        <v>2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B15" t="s">
        <v>7</v>
      </c>
      <c r="D15" t="s">
        <v>7</v>
      </c>
      <c r="F15" t="s">
        <v>2</v>
      </c>
      <c r="I15" t="s">
        <v>2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7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7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H35" t="s">
        <v>2</v>
      </c>
    </row>
    <row r="36" spans="1:9" x14ac:dyDescent="0.25">
      <c r="A36" s="4">
        <v>32</v>
      </c>
      <c r="I36" t="s">
        <v>2</v>
      </c>
    </row>
    <row r="37" spans="1:9" x14ac:dyDescent="0.25">
      <c r="A37" s="4">
        <v>33</v>
      </c>
      <c r="B37" t="s">
        <v>2</v>
      </c>
      <c r="E37" t="s">
        <v>2</v>
      </c>
      <c r="G37" t="s">
        <v>5</v>
      </c>
    </row>
    <row r="38" spans="1:9" x14ac:dyDescent="0.25">
      <c r="A38" s="4">
        <v>34</v>
      </c>
      <c r="B38" t="s">
        <v>2</v>
      </c>
      <c r="C38" t="s">
        <v>2</v>
      </c>
      <c r="F38" t="s">
        <v>2</v>
      </c>
      <c r="G38" t="s">
        <v>2</v>
      </c>
      <c r="H38" t="s">
        <v>2</v>
      </c>
    </row>
    <row r="39" spans="1:9" x14ac:dyDescent="0.25">
      <c r="A39" s="4">
        <v>35</v>
      </c>
      <c r="B39" t="s">
        <v>2</v>
      </c>
      <c r="D39" t="s">
        <v>7</v>
      </c>
      <c r="F39" t="s">
        <v>7</v>
      </c>
      <c r="G39" t="s">
        <v>2</v>
      </c>
      <c r="H39" t="s">
        <v>7</v>
      </c>
      <c r="I39" t="s">
        <v>7</v>
      </c>
    </row>
    <row r="40" spans="1:9" x14ac:dyDescent="0.25">
      <c r="A40" s="4">
        <v>36</v>
      </c>
      <c r="B40" t="s">
        <v>2</v>
      </c>
      <c r="D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E49" t="s">
        <v>2</v>
      </c>
      <c r="F49" t="s">
        <v>7</v>
      </c>
      <c r="G49" t="s">
        <v>7</v>
      </c>
      <c r="H49" t="s">
        <v>2</v>
      </c>
      <c r="I49" t="s">
        <v>2</v>
      </c>
    </row>
    <row r="50" spans="1:9" x14ac:dyDescent="0.25">
      <c r="A50" s="4">
        <v>46</v>
      </c>
      <c r="C50" t="s">
        <v>2</v>
      </c>
      <c r="D50" t="s">
        <v>2</v>
      </c>
      <c r="E50" t="s">
        <v>2</v>
      </c>
      <c r="G50" t="s">
        <v>6</v>
      </c>
    </row>
    <row r="51" spans="1:9" x14ac:dyDescent="0.25">
      <c r="A51" s="4">
        <v>47</v>
      </c>
      <c r="E51" t="s">
        <v>7</v>
      </c>
    </row>
    <row r="52" spans="1:9" x14ac:dyDescent="0.25">
      <c r="A52" s="4">
        <v>48</v>
      </c>
      <c r="C52" t="s">
        <v>2</v>
      </c>
      <c r="D52" t="s">
        <v>2</v>
      </c>
      <c r="H52" t="s">
        <v>7</v>
      </c>
    </row>
    <row r="53" spans="1:9" x14ac:dyDescent="0.25">
      <c r="A53" s="4">
        <v>49</v>
      </c>
      <c r="E53" t="s">
        <v>2</v>
      </c>
      <c r="I53" t="s">
        <v>7</v>
      </c>
    </row>
    <row r="54" spans="1:9" x14ac:dyDescent="0.25">
      <c r="A54" s="4">
        <v>50</v>
      </c>
      <c r="C54" t="s">
        <v>7</v>
      </c>
      <c r="D54" t="s">
        <v>2</v>
      </c>
      <c r="F54" t="s">
        <v>7</v>
      </c>
      <c r="G54" t="s">
        <v>7</v>
      </c>
    </row>
    <row r="55" spans="1:9" x14ac:dyDescent="0.25">
      <c r="A55" s="4">
        <v>51</v>
      </c>
      <c r="D55" t="s">
        <v>2</v>
      </c>
      <c r="E55" t="s">
        <v>2</v>
      </c>
      <c r="H55" t="s">
        <v>7</v>
      </c>
      <c r="I55" t="s">
        <v>2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6</v>
      </c>
    </row>
    <row r="57" spans="1:9" x14ac:dyDescent="0.25">
      <c r="A57" s="4">
        <v>53</v>
      </c>
    </row>
    <row r="58" spans="1:9" x14ac:dyDescent="0.25">
      <c r="A58" s="4">
        <v>54</v>
      </c>
      <c r="B58" t="s">
        <v>5</v>
      </c>
      <c r="C58" t="s">
        <v>5</v>
      </c>
      <c r="D58" t="s">
        <v>7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992" priority="17" operator="equal">
      <formula>"Energia"</formula>
    </cfRule>
  </conditionalFormatting>
  <conditionalFormatting sqref="B5:D60 G5:I60">
    <cfRule type="cellIs" dxfId="991" priority="10" operator="equal">
      <formula>"Energia"</formula>
    </cfRule>
    <cfRule type="cellIs" dxfId="990" priority="12" operator="equal">
      <formula>"Operação"</formula>
    </cfRule>
    <cfRule type="cellIs" dxfId="989" priority="13" operator="equal">
      <formula>"Chuva"</formula>
    </cfRule>
    <cfRule type="cellIs" dxfId="988" priority="14" operator="equal">
      <formula>"Elétrico"</formula>
    </cfRule>
    <cfRule type="cellIs" dxfId="987" priority="15" operator="equal">
      <formula>"Mecânico"</formula>
    </cfRule>
    <cfRule type="cellIs" dxfId="986" priority="16" operator="equal">
      <formula>"Ok"</formula>
    </cfRule>
  </conditionalFormatting>
  <conditionalFormatting sqref="B5:D60 G5:I60">
    <cfRule type="cellIs" dxfId="98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84" priority="8" operator="equal">
      <formula>"Energia"</formula>
    </cfRule>
  </conditionalFormatting>
  <conditionalFormatting sqref="E5:F60">
    <cfRule type="cellIs" dxfId="983" priority="1" operator="equal">
      <formula>"Energia"</formula>
    </cfRule>
    <cfRule type="cellIs" dxfId="982" priority="3" operator="equal">
      <formula>"Operação"</formula>
    </cfRule>
    <cfRule type="cellIs" dxfId="981" priority="4" operator="equal">
      <formula>"Chuva"</formula>
    </cfRule>
    <cfRule type="cellIs" dxfId="980" priority="5" operator="equal">
      <formula>"Elétrico"</formula>
    </cfRule>
    <cfRule type="cellIs" dxfId="979" priority="6" operator="equal">
      <formula>"Mecânico"</formula>
    </cfRule>
    <cfRule type="cellIs" dxfId="978" priority="7" operator="equal">
      <formula>"Ok"</formula>
    </cfRule>
  </conditionalFormatting>
  <conditionalFormatting sqref="E5:F60">
    <cfRule type="cellIs" dxfId="977" priority="2" operator="equal">
      <formula>"Feito"</formula>
    </cfRule>
  </conditionalFormatting>
  <dataValidations count="1">
    <dataValidation type="list" allowBlank="1" showInputMessage="1" showErrorMessage="1" sqref="B5:J60" xr:uid="{5BE70544-1070-4033-B160-2095C3D31A9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D8E-C8E5-49F3-9954-4518387F0359}">
  <sheetPr codeName="Planilha29"/>
  <dimension ref="A3:L60"/>
  <sheetViews>
    <sheetView workbookViewId="0">
      <pane xSplit="1" topLeftCell="B1" activePane="topRight" state="frozen"/>
      <selection pane="topRight" activeCell="R19" sqref="R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44420</v>
      </c>
      <c r="C3" s="3">
        <f>B3+1</f>
        <v>44421</v>
      </c>
      <c r="D3" s="3">
        <f t="shared" ref="D3:I3" si="0">C3+1</f>
        <v>44422</v>
      </c>
      <c r="E3" s="3">
        <f t="shared" si="0"/>
        <v>44423</v>
      </c>
      <c r="F3" s="3">
        <f t="shared" si="0"/>
        <v>44424</v>
      </c>
      <c r="G3" s="3">
        <f t="shared" si="0"/>
        <v>44425</v>
      </c>
      <c r="H3" s="3">
        <f t="shared" si="0"/>
        <v>44426</v>
      </c>
      <c r="I3" s="3">
        <f t="shared" si="0"/>
        <v>44427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98</v>
      </c>
    </row>
    <row r="6" spans="1:12" x14ac:dyDescent="0.25">
      <c r="A6" s="4">
        <v>2</v>
      </c>
      <c r="C6" t="s">
        <v>2</v>
      </c>
      <c r="F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11</v>
      </c>
    </row>
    <row r="7" spans="1:12" x14ac:dyDescent="0.25">
      <c r="A7" s="4">
        <v>3</v>
      </c>
      <c r="C7" t="s">
        <v>2</v>
      </c>
      <c r="F7" t="s">
        <v>2</v>
      </c>
      <c r="I7" t="s">
        <v>2</v>
      </c>
      <c r="K7" s="7" t="s">
        <v>6</v>
      </c>
      <c r="L7">
        <f t="shared" si="2"/>
        <v>7</v>
      </c>
    </row>
    <row r="8" spans="1:12" x14ac:dyDescent="0.25">
      <c r="A8" s="4">
        <v>4</v>
      </c>
      <c r="D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7</v>
      </c>
      <c r="E10" t="s">
        <v>5</v>
      </c>
      <c r="H10" t="s">
        <v>2</v>
      </c>
      <c r="I10" t="s">
        <v>2</v>
      </c>
      <c r="K10" s="10" t="s">
        <v>7</v>
      </c>
      <c r="L10">
        <f t="shared" si="2"/>
        <v>19</v>
      </c>
    </row>
    <row r="11" spans="1:12" x14ac:dyDescent="0.25">
      <c r="A11" s="4">
        <v>7</v>
      </c>
      <c r="D11" t="s">
        <v>6</v>
      </c>
      <c r="H11" t="s">
        <v>2</v>
      </c>
      <c r="L11">
        <f>SUM(L5:L10)</f>
        <v>135</v>
      </c>
    </row>
    <row r="12" spans="1:12" x14ac:dyDescent="0.25">
      <c r="A12" s="4">
        <v>8</v>
      </c>
      <c r="C12" t="s">
        <v>7</v>
      </c>
      <c r="D12" t="s">
        <v>2</v>
      </c>
      <c r="G12" t="s">
        <v>2</v>
      </c>
    </row>
    <row r="13" spans="1:12" x14ac:dyDescent="0.25">
      <c r="A13" s="4">
        <v>9</v>
      </c>
      <c r="B13" t="s">
        <v>2</v>
      </c>
      <c r="E13" t="s">
        <v>2</v>
      </c>
      <c r="I13" t="s">
        <v>5</v>
      </c>
    </row>
    <row r="14" spans="1:12" x14ac:dyDescent="0.25">
      <c r="A14" s="4">
        <v>10</v>
      </c>
      <c r="C14" t="s">
        <v>2</v>
      </c>
      <c r="F14" t="s">
        <v>2</v>
      </c>
      <c r="G14" t="s">
        <v>2</v>
      </c>
    </row>
    <row r="15" spans="1:12" x14ac:dyDescent="0.25">
      <c r="A15" s="4">
        <v>11</v>
      </c>
      <c r="D15" t="s">
        <v>2</v>
      </c>
      <c r="G15" t="s">
        <v>7</v>
      </c>
    </row>
    <row r="16" spans="1:12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7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5</v>
      </c>
      <c r="C34" t="s">
        <v>5</v>
      </c>
      <c r="D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7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C36" t="s">
        <v>5</v>
      </c>
      <c r="E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C37" t="s">
        <v>2</v>
      </c>
      <c r="E37" t="s">
        <v>2</v>
      </c>
      <c r="F37" t="s">
        <v>2</v>
      </c>
      <c r="I37" t="s">
        <v>2</v>
      </c>
    </row>
    <row r="38" spans="1:9" x14ac:dyDescent="0.25">
      <c r="A38" s="4">
        <v>34</v>
      </c>
      <c r="B38" t="s">
        <v>2</v>
      </c>
      <c r="D38" t="s">
        <v>2</v>
      </c>
      <c r="F38" t="s">
        <v>2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0" spans="1:9" x14ac:dyDescent="0.25">
      <c r="A40" s="4">
        <v>36</v>
      </c>
      <c r="B40" t="s">
        <v>7</v>
      </c>
      <c r="C40" t="s">
        <v>2</v>
      </c>
      <c r="D40" t="s">
        <v>2</v>
      </c>
      <c r="E40" t="s">
        <v>2</v>
      </c>
      <c r="F40" t="s">
        <v>7</v>
      </c>
      <c r="G40" t="s">
        <v>7</v>
      </c>
      <c r="I40" t="s">
        <v>2</v>
      </c>
    </row>
    <row r="41" spans="1:9" x14ac:dyDescent="0.25">
      <c r="A41" s="4">
        <v>37</v>
      </c>
      <c r="C41" t="s">
        <v>2</v>
      </c>
      <c r="F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E47" t="s">
        <v>7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5</v>
      </c>
      <c r="I49" t="s">
        <v>5</v>
      </c>
    </row>
    <row r="50" spans="1:9" x14ac:dyDescent="0.25">
      <c r="A50" s="4">
        <v>46</v>
      </c>
      <c r="B50" t="s">
        <v>6</v>
      </c>
      <c r="F50" t="s">
        <v>6</v>
      </c>
    </row>
    <row r="51" spans="1:9" x14ac:dyDescent="0.25">
      <c r="A51" s="4">
        <v>47</v>
      </c>
      <c r="B51" t="s">
        <v>5</v>
      </c>
      <c r="F51" t="s">
        <v>7</v>
      </c>
      <c r="I51" t="s">
        <v>5</v>
      </c>
    </row>
    <row r="52" spans="1:9" x14ac:dyDescent="0.25">
      <c r="A52" s="4">
        <v>48</v>
      </c>
      <c r="C52" t="s">
        <v>2</v>
      </c>
      <c r="E52" t="s">
        <v>2</v>
      </c>
      <c r="G52" t="s">
        <v>7</v>
      </c>
      <c r="I52" t="s">
        <v>7</v>
      </c>
    </row>
    <row r="53" spans="1:9" x14ac:dyDescent="0.25">
      <c r="A53" s="4">
        <v>49</v>
      </c>
      <c r="E53" t="s">
        <v>2</v>
      </c>
      <c r="H53" t="s">
        <v>2</v>
      </c>
    </row>
    <row r="54" spans="1:9" x14ac:dyDescent="0.25">
      <c r="A54" s="4">
        <v>50</v>
      </c>
      <c r="B54" t="s">
        <v>7</v>
      </c>
      <c r="C54" t="s">
        <v>6</v>
      </c>
      <c r="I54" t="s">
        <v>2</v>
      </c>
    </row>
    <row r="55" spans="1:9" x14ac:dyDescent="0.25">
      <c r="A55" s="4">
        <v>51</v>
      </c>
      <c r="B55" t="s">
        <v>7</v>
      </c>
    </row>
    <row r="56" spans="1:9" x14ac:dyDescent="0.25">
      <c r="A56" s="4">
        <v>52</v>
      </c>
      <c r="B56" t="s">
        <v>2</v>
      </c>
      <c r="E56" t="s">
        <v>6</v>
      </c>
      <c r="H56" t="s">
        <v>5</v>
      </c>
      <c r="I56" t="s">
        <v>2</v>
      </c>
    </row>
    <row r="57" spans="1:9" x14ac:dyDescent="0.25">
      <c r="A57" s="4">
        <v>53</v>
      </c>
      <c r="F57" t="s">
        <v>7</v>
      </c>
      <c r="G57" t="s">
        <v>7</v>
      </c>
    </row>
    <row r="58" spans="1:9" x14ac:dyDescent="0.25">
      <c r="A58" s="4">
        <v>54</v>
      </c>
      <c r="D58" t="s">
        <v>5</v>
      </c>
      <c r="G58" t="s">
        <v>7</v>
      </c>
      <c r="H58" t="s">
        <v>6</v>
      </c>
      <c r="I58" t="s">
        <v>6</v>
      </c>
    </row>
    <row r="59" spans="1:9" x14ac:dyDescent="0.25">
      <c r="A59" s="4">
        <v>55</v>
      </c>
    </row>
    <row r="60" spans="1:9" x14ac:dyDescent="0.25">
      <c r="A60" s="4">
        <v>56</v>
      </c>
      <c r="G60" t="s">
        <v>7</v>
      </c>
    </row>
  </sheetData>
  <conditionalFormatting sqref="B5:D11 G5:G11">
    <cfRule type="cellIs" dxfId="976" priority="17" operator="equal">
      <formula>"Energia"</formula>
    </cfRule>
  </conditionalFormatting>
  <conditionalFormatting sqref="B5:D60 G5:I60">
    <cfRule type="cellIs" dxfId="975" priority="10" operator="equal">
      <formula>"Energia"</formula>
    </cfRule>
    <cfRule type="cellIs" dxfId="974" priority="12" operator="equal">
      <formula>"Operação"</formula>
    </cfRule>
    <cfRule type="cellIs" dxfId="973" priority="13" operator="equal">
      <formula>"Chuva"</formula>
    </cfRule>
    <cfRule type="cellIs" dxfId="972" priority="14" operator="equal">
      <formula>"Elétrico"</formula>
    </cfRule>
    <cfRule type="cellIs" dxfId="971" priority="15" operator="equal">
      <formula>"Mecânico"</formula>
    </cfRule>
    <cfRule type="cellIs" dxfId="970" priority="16" operator="equal">
      <formula>"Ok"</formula>
    </cfRule>
  </conditionalFormatting>
  <conditionalFormatting sqref="B5:D60 G5:I60">
    <cfRule type="cellIs" dxfId="96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68" priority="8" operator="equal">
      <formula>"Energia"</formula>
    </cfRule>
  </conditionalFormatting>
  <conditionalFormatting sqref="E5:F60">
    <cfRule type="cellIs" dxfId="967" priority="1" operator="equal">
      <formula>"Energia"</formula>
    </cfRule>
    <cfRule type="cellIs" dxfId="966" priority="3" operator="equal">
      <formula>"Operação"</formula>
    </cfRule>
    <cfRule type="cellIs" dxfId="965" priority="4" operator="equal">
      <formula>"Chuva"</formula>
    </cfRule>
    <cfRule type="cellIs" dxfId="964" priority="5" operator="equal">
      <formula>"Elétrico"</formula>
    </cfRule>
    <cfRule type="cellIs" dxfId="963" priority="6" operator="equal">
      <formula>"Mecânico"</formula>
    </cfRule>
    <cfRule type="cellIs" dxfId="962" priority="7" operator="equal">
      <formula>"Ok"</formula>
    </cfRule>
  </conditionalFormatting>
  <conditionalFormatting sqref="E5:F60">
    <cfRule type="cellIs" dxfId="961" priority="2" operator="equal">
      <formula>"Feito"</formula>
    </cfRule>
  </conditionalFormatting>
  <dataValidations count="1">
    <dataValidation type="list" allowBlank="1" showInputMessage="1" showErrorMessage="1" sqref="B5:J60" xr:uid="{41E0C6A3-BF9D-4F54-A9FC-F2CB149AE20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3E4-BC9D-42C6-9173-F4DC741904DC}">
  <sheetPr codeName="Planilha30"/>
  <dimension ref="A3:L60"/>
  <sheetViews>
    <sheetView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44428</v>
      </c>
      <c r="C3" s="3">
        <f>B3+1</f>
        <v>44429</v>
      </c>
      <c r="D3" s="3">
        <f t="shared" ref="D3:I3" si="0">C3+1</f>
        <v>44430</v>
      </c>
      <c r="E3" s="3">
        <f t="shared" si="0"/>
        <v>44431</v>
      </c>
      <c r="F3" s="3">
        <f t="shared" si="0"/>
        <v>44432</v>
      </c>
      <c r="G3" s="3">
        <f t="shared" si="0"/>
        <v>44433</v>
      </c>
      <c r="H3" s="3">
        <f t="shared" si="0"/>
        <v>44434</v>
      </c>
      <c r="I3" s="3">
        <f t="shared" si="0"/>
        <v>44435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C5" t="s">
        <v>7</v>
      </c>
      <c r="F5" t="s">
        <v>7</v>
      </c>
      <c r="G5" t="s">
        <v>2</v>
      </c>
      <c r="H5" t="s">
        <v>7</v>
      </c>
      <c r="I5" t="s">
        <v>7</v>
      </c>
      <c r="K5" s="5" t="s">
        <v>2</v>
      </c>
      <c r="L5">
        <f>COUNTIF($B$5:$I$60,K5)</f>
        <v>112</v>
      </c>
    </row>
    <row r="6" spans="1:12" x14ac:dyDescent="0.25">
      <c r="A6" s="4">
        <v>2</v>
      </c>
      <c r="D6" t="s">
        <v>2</v>
      </c>
      <c r="G6" t="s">
        <v>2</v>
      </c>
      <c r="I6" t="s">
        <v>5</v>
      </c>
      <c r="K6" s="6" t="s">
        <v>5</v>
      </c>
      <c r="L6">
        <f t="shared" ref="L6:L10" si="2">COUNTIF($B$5:$I$60,K6)</f>
        <v>4</v>
      </c>
    </row>
    <row r="7" spans="1:12" x14ac:dyDescent="0.25">
      <c r="A7" s="4">
        <v>3</v>
      </c>
      <c r="D7" t="s">
        <v>2</v>
      </c>
      <c r="F7" t="s">
        <v>2</v>
      </c>
      <c r="G7" t="s">
        <v>2</v>
      </c>
      <c r="I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D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D10" t="s">
        <v>2</v>
      </c>
      <c r="K10" s="10" t="s">
        <v>7</v>
      </c>
      <c r="L10">
        <f t="shared" si="2"/>
        <v>28</v>
      </c>
    </row>
    <row r="11" spans="1:12" x14ac:dyDescent="0.25">
      <c r="A11" s="4">
        <v>7</v>
      </c>
      <c r="C11" t="s">
        <v>2</v>
      </c>
      <c r="F11" t="s">
        <v>2</v>
      </c>
      <c r="H11" t="s">
        <v>2</v>
      </c>
      <c r="L11">
        <f>SUM(L5:L10)</f>
        <v>147</v>
      </c>
    </row>
    <row r="12" spans="1:12" x14ac:dyDescent="0.25">
      <c r="A12" s="4">
        <v>8</v>
      </c>
      <c r="C12" t="s">
        <v>2</v>
      </c>
      <c r="G12" t="s">
        <v>7</v>
      </c>
    </row>
    <row r="13" spans="1:12" x14ac:dyDescent="0.25">
      <c r="A13" s="4">
        <v>9</v>
      </c>
      <c r="D13" t="s">
        <v>2</v>
      </c>
      <c r="H13" t="s">
        <v>7</v>
      </c>
    </row>
    <row r="14" spans="1:12" x14ac:dyDescent="0.25">
      <c r="A14" s="4">
        <v>10</v>
      </c>
      <c r="B14" t="s">
        <v>2</v>
      </c>
      <c r="C14" t="s">
        <v>2</v>
      </c>
      <c r="F14" t="s">
        <v>2</v>
      </c>
      <c r="G14" t="s">
        <v>2</v>
      </c>
    </row>
    <row r="15" spans="1:12" x14ac:dyDescent="0.25">
      <c r="A15" s="4">
        <v>11</v>
      </c>
      <c r="B15" t="s">
        <v>7</v>
      </c>
      <c r="E15" t="s">
        <v>7</v>
      </c>
      <c r="H15" t="s">
        <v>2</v>
      </c>
    </row>
    <row r="16" spans="1:12" x14ac:dyDescent="0.25">
      <c r="A16" s="4">
        <v>12</v>
      </c>
      <c r="C16" t="s">
        <v>2</v>
      </c>
      <c r="F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7</v>
      </c>
    </row>
    <row r="34" spans="1:9" x14ac:dyDescent="0.25">
      <c r="A34" s="4">
        <v>30</v>
      </c>
      <c r="B34" t="s">
        <v>2</v>
      </c>
      <c r="C34" t="s">
        <v>7</v>
      </c>
      <c r="D34" t="s">
        <v>6</v>
      </c>
      <c r="E34" t="s">
        <v>6</v>
      </c>
      <c r="F34" t="s">
        <v>2</v>
      </c>
      <c r="G34" t="s">
        <v>2</v>
      </c>
      <c r="H34" t="s">
        <v>2</v>
      </c>
      <c r="I34" t="s">
        <v>7</v>
      </c>
    </row>
    <row r="35" spans="1:9" x14ac:dyDescent="0.25">
      <c r="A35" s="4">
        <v>31</v>
      </c>
      <c r="D35" t="s">
        <v>2</v>
      </c>
      <c r="G35" t="s">
        <v>2</v>
      </c>
      <c r="I35" t="s">
        <v>7</v>
      </c>
    </row>
    <row r="36" spans="1:9" x14ac:dyDescent="0.25">
      <c r="A36" s="4">
        <v>32</v>
      </c>
      <c r="B36" t="s">
        <v>2</v>
      </c>
      <c r="D36" t="s">
        <v>7</v>
      </c>
      <c r="E36" t="s">
        <v>7</v>
      </c>
      <c r="F36" t="s">
        <v>2</v>
      </c>
      <c r="G36" t="s">
        <v>2</v>
      </c>
      <c r="H36" t="s">
        <v>2</v>
      </c>
      <c r="I36" t="s">
        <v>5</v>
      </c>
    </row>
    <row r="37" spans="1:9" x14ac:dyDescent="0.25">
      <c r="A37" s="4">
        <v>33</v>
      </c>
      <c r="C37" t="s">
        <v>2</v>
      </c>
      <c r="F37" t="s">
        <v>5</v>
      </c>
      <c r="H37" t="s">
        <v>2</v>
      </c>
      <c r="I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7</v>
      </c>
    </row>
    <row r="39" spans="1:9" x14ac:dyDescent="0.25">
      <c r="A39" s="4">
        <v>35</v>
      </c>
      <c r="B39" t="s">
        <v>2</v>
      </c>
      <c r="D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D49" t="s">
        <v>2</v>
      </c>
      <c r="E49" t="s">
        <v>2</v>
      </c>
      <c r="F49" t="s">
        <v>2</v>
      </c>
      <c r="H49" t="s">
        <v>2</v>
      </c>
    </row>
    <row r="50" spans="1:9" x14ac:dyDescent="0.25">
      <c r="A50" s="4">
        <v>46</v>
      </c>
      <c r="B50" t="s">
        <v>7</v>
      </c>
      <c r="F50" t="s">
        <v>7</v>
      </c>
    </row>
    <row r="51" spans="1:9" x14ac:dyDescent="0.25">
      <c r="A51" s="4">
        <v>47</v>
      </c>
      <c r="E51" t="s">
        <v>2</v>
      </c>
      <c r="H51" t="s">
        <v>2</v>
      </c>
    </row>
    <row r="52" spans="1:9" x14ac:dyDescent="0.25">
      <c r="A52" s="4">
        <v>48</v>
      </c>
      <c r="C52" t="s">
        <v>2</v>
      </c>
      <c r="E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7</v>
      </c>
      <c r="D53" t="s">
        <v>2</v>
      </c>
      <c r="F53" t="s">
        <v>7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D54" t="s">
        <v>2</v>
      </c>
      <c r="E54" t="s">
        <v>2</v>
      </c>
      <c r="F54" t="s">
        <v>6</v>
      </c>
      <c r="G54" t="s">
        <v>7</v>
      </c>
      <c r="H54" t="s">
        <v>2</v>
      </c>
      <c r="I54" t="s">
        <v>2</v>
      </c>
    </row>
    <row r="55" spans="1:9" x14ac:dyDescent="0.25">
      <c r="A55" s="4">
        <v>51</v>
      </c>
      <c r="F55" t="s">
        <v>2</v>
      </c>
      <c r="G55" t="s">
        <v>7</v>
      </c>
      <c r="H55" t="s">
        <v>2</v>
      </c>
    </row>
    <row r="56" spans="1:9" x14ac:dyDescent="0.25">
      <c r="A56" s="4">
        <v>52</v>
      </c>
      <c r="D56" t="s">
        <v>2</v>
      </c>
      <c r="G56" t="s">
        <v>2</v>
      </c>
      <c r="H56" t="s">
        <v>2</v>
      </c>
    </row>
    <row r="57" spans="1:9" x14ac:dyDescent="0.25">
      <c r="A57" s="4">
        <v>53</v>
      </c>
      <c r="E57" t="s">
        <v>7</v>
      </c>
      <c r="F57" t="s">
        <v>2</v>
      </c>
    </row>
    <row r="58" spans="1:9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G58" t="s">
        <v>7</v>
      </c>
      <c r="I58" t="s">
        <v>2</v>
      </c>
    </row>
    <row r="59" spans="1:9" x14ac:dyDescent="0.25">
      <c r="A59" s="4">
        <v>55</v>
      </c>
      <c r="H59" t="s">
        <v>7</v>
      </c>
    </row>
    <row r="60" spans="1:9" x14ac:dyDescent="0.25">
      <c r="A60" s="4">
        <v>56</v>
      </c>
    </row>
  </sheetData>
  <conditionalFormatting sqref="B5:D11 G5:G11">
    <cfRule type="cellIs" dxfId="960" priority="17" operator="equal">
      <formula>"Energia"</formula>
    </cfRule>
  </conditionalFormatting>
  <conditionalFormatting sqref="B5:D60 G5:I60">
    <cfRule type="cellIs" dxfId="959" priority="10" operator="equal">
      <formula>"Energia"</formula>
    </cfRule>
    <cfRule type="cellIs" dxfId="958" priority="12" operator="equal">
      <formula>"Operação"</formula>
    </cfRule>
    <cfRule type="cellIs" dxfId="957" priority="13" operator="equal">
      <formula>"Chuva"</formula>
    </cfRule>
    <cfRule type="cellIs" dxfId="956" priority="14" operator="equal">
      <formula>"Elétrico"</formula>
    </cfRule>
    <cfRule type="cellIs" dxfId="955" priority="15" operator="equal">
      <formula>"Mecânico"</formula>
    </cfRule>
    <cfRule type="cellIs" dxfId="954" priority="16" operator="equal">
      <formula>"Ok"</formula>
    </cfRule>
  </conditionalFormatting>
  <conditionalFormatting sqref="B5:D60 G5:I60">
    <cfRule type="cellIs" dxfId="95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52" priority="8" operator="equal">
      <formula>"Energia"</formula>
    </cfRule>
  </conditionalFormatting>
  <conditionalFormatting sqref="E5:F60">
    <cfRule type="cellIs" dxfId="951" priority="1" operator="equal">
      <formula>"Energia"</formula>
    </cfRule>
    <cfRule type="cellIs" dxfId="950" priority="3" operator="equal">
      <formula>"Operação"</formula>
    </cfRule>
    <cfRule type="cellIs" dxfId="949" priority="4" operator="equal">
      <formula>"Chuva"</formula>
    </cfRule>
    <cfRule type="cellIs" dxfId="948" priority="5" operator="equal">
      <formula>"Elétrico"</formula>
    </cfRule>
    <cfRule type="cellIs" dxfId="947" priority="6" operator="equal">
      <formula>"Mecânico"</formula>
    </cfRule>
    <cfRule type="cellIs" dxfId="946" priority="7" operator="equal">
      <formula>"Ok"</formula>
    </cfRule>
  </conditionalFormatting>
  <conditionalFormatting sqref="E5:F60">
    <cfRule type="cellIs" dxfId="945" priority="2" operator="equal">
      <formula>"Feito"</formula>
    </cfRule>
  </conditionalFormatting>
  <dataValidations count="1">
    <dataValidation type="list" allowBlank="1" showInputMessage="1" showErrorMessage="1" sqref="B5:J60" xr:uid="{CAE5BEF8-FE99-47F8-971B-08D4395B2A7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BE-6964-44AF-8CAB-7EE83BEB2BD1}">
  <sheetPr codeName="Planilha31"/>
  <dimension ref="A3:L60"/>
  <sheetViews>
    <sheetView workbookViewId="0">
      <pane xSplit="1" topLeftCell="B1" activePane="topRight" state="frozen"/>
      <selection pane="topRight" activeCell="O18" sqref="O1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44436</v>
      </c>
      <c r="C3" s="3">
        <f>B3+1</f>
        <v>44437</v>
      </c>
      <c r="D3" s="3">
        <f t="shared" ref="D3:I3" si="0">C3+1</f>
        <v>44438</v>
      </c>
      <c r="E3" s="3">
        <f t="shared" si="0"/>
        <v>44439</v>
      </c>
      <c r="F3" s="3">
        <f t="shared" si="0"/>
        <v>44440</v>
      </c>
      <c r="G3" s="3">
        <f t="shared" si="0"/>
        <v>44441</v>
      </c>
      <c r="H3" s="3">
        <f t="shared" si="0"/>
        <v>44442</v>
      </c>
      <c r="I3" s="3">
        <f t="shared" si="0"/>
        <v>44443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E5" t="s">
        <v>7</v>
      </c>
      <c r="F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153</v>
      </c>
    </row>
    <row r="6" spans="1:12" x14ac:dyDescent="0.25">
      <c r="A6" s="4">
        <v>2</v>
      </c>
      <c r="C6" t="s">
        <v>2</v>
      </c>
      <c r="D6" t="s">
        <v>7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1</v>
      </c>
    </row>
    <row r="8" spans="1:12" x14ac:dyDescent="0.25">
      <c r="A8" s="4">
        <v>4</v>
      </c>
      <c r="B8" t="s">
        <v>7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36</v>
      </c>
    </row>
    <row r="11" spans="1:12" x14ac:dyDescent="0.25">
      <c r="A11" s="4">
        <v>7</v>
      </c>
      <c r="C11" t="s">
        <v>2</v>
      </c>
      <c r="L11">
        <f>SUM(L5:L10)</f>
        <v>197</v>
      </c>
    </row>
    <row r="12" spans="1:12" x14ac:dyDescent="0.25">
      <c r="A12" s="4">
        <v>8</v>
      </c>
      <c r="B12" t="s">
        <v>2</v>
      </c>
      <c r="E12" t="s">
        <v>2</v>
      </c>
    </row>
    <row r="13" spans="1:12" x14ac:dyDescent="0.25">
      <c r="A13" s="4">
        <v>9</v>
      </c>
      <c r="C13" t="s">
        <v>2</v>
      </c>
      <c r="D13" t="s">
        <v>2</v>
      </c>
      <c r="F13" t="s">
        <v>2</v>
      </c>
      <c r="G13" t="s">
        <v>2</v>
      </c>
      <c r="I13" t="s">
        <v>2</v>
      </c>
    </row>
    <row r="14" spans="1:12" x14ac:dyDescent="0.25">
      <c r="A14" s="4">
        <v>10</v>
      </c>
      <c r="B14" t="s">
        <v>2</v>
      </c>
      <c r="C14" t="s">
        <v>2</v>
      </c>
      <c r="E14" t="s">
        <v>2</v>
      </c>
      <c r="F14" t="s">
        <v>2</v>
      </c>
      <c r="H14" t="s">
        <v>2</v>
      </c>
      <c r="I14" t="s">
        <v>2</v>
      </c>
    </row>
    <row r="15" spans="1:12" x14ac:dyDescent="0.25">
      <c r="A15" s="4">
        <v>11</v>
      </c>
      <c r="C15" t="s">
        <v>2</v>
      </c>
      <c r="D15" t="s">
        <v>2</v>
      </c>
      <c r="F15" t="s">
        <v>2</v>
      </c>
      <c r="G15" t="s">
        <v>2</v>
      </c>
    </row>
    <row r="16" spans="1:12" x14ac:dyDescent="0.25">
      <c r="A16" s="4">
        <v>12</v>
      </c>
      <c r="C16" t="s">
        <v>2</v>
      </c>
      <c r="D16" t="s">
        <v>2</v>
      </c>
      <c r="F16" t="s">
        <v>5</v>
      </c>
      <c r="G16" t="s">
        <v>5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5</v>
      </c>
      <c r="D18" t="s">
        <v>2</v>
      </c>
      <c r="F18" t="s">
        <v>2</v>
      </c>
      <c r="H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7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7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7</v>
      </c>
      <c r="D34" t="s">
        <v>7</v>
      </c>
      <c r="E34" t="s">
        <v>6</v>
      </c>
      <c r="F34" t="s">
        <v>5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7</v>
      </c>
      <c r="C35" t="s">
        <v>2</v>
      </c>
      <c r="D35" t="s">
        <v>2</v>
      </c>
      <c r="E35" t="s">
        <v>7</v>
      </c>
      <c r="F35" t="s">
        <v>2</v>
      </c>
      <c r="G35" t="s">
        <v>2</v>
      </c>
      <c r="H35" t="s">
        <v>2</v>
      </c>
      <c r="I35" t="s">
        <v>2</v>
      </c>
    </row>
    <row r="36" spans="1:9" x14ac:dyDescent="0.25">
      <c r="A36" s="4">
        <v>32</v>
      </c>
      <c r="B36" t="s">
        <v>7</v>
      </c>
      <c r="C36" t="s">
        <v>5</v>
      </c>
      <c r="D36" t="s">
        <v>5</v>
      </c>
      <c r="E36" t="s">
        <v>2</v>
      </c>
      <c r="G36" t="s">
        <v>2</v>
      </c>
      <c r="I36" t="s">
        <v>2</v>
      </c>
    </row>
    <row r="37" spans="1:9" x14ac:dyDescent="0.25">
      <c r="A37" s="4">
        <v>33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2</v>
      </c>
      <c r="H37" t="s">
        <v>2</v>
      </c>
      <c r="I37" t="s">
        <v>7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  <c r="E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F47" t="s">
        <v>7</v>
      </c>
    </row>
    <row r="48" spans="1:9" x14ac:dyDescent="0.25">
      <c r="A48" s="4">
        <v>44</v>
      </c>
      <c r="F48" t="s">
        <v>7</v>
      </c>
    </row>
    <row r="49" spans="1:9" x14ac:dyDescent="0.25">
      <c r="A49" s="4">
        <v>45</v>
      </c>
      <c r="D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D51" t="s">
        <v>7</v>
      </c>
      <c r="E51" t="s">
        <v>2</v>
      </c>
      <c r="F51" t="s">
        <v>7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5</v>
      </c>
      <c r="E52" t="s">
        <v>2</v>
      </c>
      <c r="F52" t="s">
        <v>2</v>
      </c>
      <c r="G52" t="s">
        <v>7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7</v>
      </c>
      <c r="I54" t="s">
        <v>2</v>
      </c>
    </row>
    <row r="55" spans="1:9" x14ac:dyDescent="0.25">
      <c r="A55" s="4">
        <v>51</v>
      </c>
      <c r="B55" t="s">
        <v>2</v>
      </c>
      <c r="C55" t="s">
        <v>7</v>
      </c>
      <c r="D55" t="s">
        <v>7</v>
      </c>
      <c r="E55" t="s">
        <v>2</v>
      </c>
      <c r="F55" t="s">
        <v>7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C56" t="s">
        <v>2</v>
      </c>
      <c r="G56" t="s">
        <v>2</v>
      </c>
    </row>
    <row r="57" spans="1:9" x14ac:dyDescent="0.25">
      <c r="A57" s="4">
        <v>53</v>
      </c>
      <c r="G57" t="s">
        <v>2</v>
      </c>
      <c r="H57" t="s">
        <v>7</v>
      </c>
      <c r="I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2</v>
      </c>
      <c r="C59" t="s">
        <v>2</v>
      </c>
    </row>
    <row r="60" spans="1:9" x14ac:dyDescent="0.25">
      <c r="A60" s="4">
        <v>56</v>
      </c>
      <c r="E60" t="s">
        <v>7</v>
      </c>
      <c r="F60" t="s">
        <v>7</v>
      </c>
      <c r="G60" t="s">
        <v>2</v>
      </c>
    </row>
  </sheetData>
  <conditionalFormatting sqref="B5:D11 G5:G11">
    <cfRule type="cellIs" dxfId="944" priority="17" operator="equal">
      <formula>"Energia"</formula>
    </cfRule>
  </conditionalFormatting>
  <conditionalFormatting sqref="B5:D60 G5:I60">
    <cfRule type="cellIs" dxfId="943" priority="10" operator="equal">
      <formula>"Energia"</formula>
    </cfRule>
    <cfRule type="cellIs" dxfId="942" priority="12" operator="equal">
      <formula>"Operação"</formula>
    </cfRule>
    <cfRule type="cellIs" dxfId="941" priority="13" operator="equal">
      <formula>"Chuva"</formula>
    </cfRule>
    <cfRule type="cellIs" dxfId="940" priority="14" operator="equal">
      <formula>"Elétrico"</formula>
    </cfRule>
    <cfRule type="cellIs" dxfId="939" priority="15" operator="equal">
      <formula>"Mecânico"</formula>
    </cfRule>
    <cfRule type="cellIs" dxfId="938" priority="16" operator="equal">
      <formula>"Ok"</formula>
    </cfRule>
  </conditionalFormatting>
  <conditionalFormatting sqref="B5:D60 G5:I60">
    <cfRule type="cellIs" dxfId="93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36" priority="8" operator="equal">
      <formula>"Energia"</formula>
    </cfRule>
  </conditionalFormatting>
  <conditionalFormatting sqref="E5:F60">
    <cfRule type="cellIs" dxfId="935" priority="1" operator="equal">
      <formula>"Energia"</formula>
    </cfRule>
    <cfRule type="cellIs" dxfId="934" priority="3" operator="equal">
      <formula>"Operação"</formula>
    </cfRule>
    <cfRule type="cellIs" dxfId="933" priority="4" operator="equal">
      <formula>"Chuva"</formula>
    </cfRule>
    <cfRule type="cellIs" dxfId="932" priority="5" operator="equal">
      <formula>"Elétrico"</formula>
    </cfRule>
    <cfRule type="cellIs" dxfId="931" priority="6" operator="equal">
      <formula>"Mecânico"</formula>
    </cfRule>
    <cfRule type="cellIs" dxfId="930" priority="7" operator="equal">
      <formula>"Ok"</formula>
    </cfRule>
  </conditionalFormatting>
  <conditionalFormatting sqref="E5:F60">
    <cfRule type="cellIs" dxfId="929" priority="2" operator="equal">
      <formula>"Feito"</formula>
    </cfRule>
  </conditionalFormatting>
  <dataValidations count="1">
    <dataValidation type="list" allowBlank="1" showInputMessage="1" showErrorMessage="1" sqref="B5:J60" xr:uid="{BC28EC38-74F4-4044-8FDB-5B45B06A59C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6129-B701-4736-9757-A4F80DDF1AA6}">
  <sheetPr codeName="Planilha32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44444</v>
      </c>
      <c r="C3" s="3">
        <f>B3+1</f>
        <v>44445</v>
      </c>
      <c r="D3" s="3">
        <f t="shared" ref="D3:I3" si="0">C3+1</f>
        <v>44446</v>
      </c>
      <c r="E3" s="3">
        <f t="shared" si="0"/>
        <v>44447</v>
      </c>
      <c r="F3" s="3">
        <f t="shared" si="0"/>
        <v>44448</v>
      </c>
      <c r="G3" s="3">
        <f t="shared" si="0"/>
        <v>44449</v>
      </c>
      <c r="H3" s="3">
        <f t="shared" si="0"/>
        <v>44450</v>
      </c>
      <c r="I3" s="3">
        <f t="shared" si="0"/>
        <v>44451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E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194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G10" t="s">
        <v>2</v>
      </c>
      <c r="K10" s="10" t="s">
        <v>7</v>
      </c>
      <c r="L10">
        <f t="shared" si="2"/>
        <v>18</v>
      </c>
    </row>
    <row r="11" spans="1:12" x14ac:dyDescent="0.25">
      <c r="A11" s="4">
        <v>7</v>
      </c>
      <c r="G11" t="s">
        <v>2</v>
      </c>
      <c r="L11">
        <f>SUM(L5:L10)</f>
        <v>218</v>
      </c>
    </row>
    <row r="12" spans="1:12" x14ac:dyDescent="0.25">
      <c r="A12" s="4">
        <v>8</v>
      </c>
      <c r="B12" t="s">
        <v>2</v>
      </c>
      <c r="E12" t="s">
        <v>7</v>
      </c>
      <c r="G12" t="s">
        <v>2</v>
      </c>
    </row>
    <row r="13" spans="1:12" x14ac:dyDescent="0.25">
      <c r="A13" s="4">
        <v>9</v>
      </c>
      <c r="C13" t="s">
        <v>2</v>
      </c>
      <c r="D13" t="s">
        <v>5</v>
      </c>
      <c r="G13" t="s">
        <v>2</v>
      </c>
      <c r="I13" t="s">
        <v>2</v>
      </c>
    </row>
    <row r="14" spans="1:12" x14ac:dyDescent="0.25">
      <c r="A14" s="4">
        <v>10</v>
      </c>
      <c r="D14" t="s">
        <v>2</v>
      </c>
      <c r="F14" t="s">
        <v>2</v>
      </c>
      <c r="G14" t="s">
        <v>2</v>
      </c>
    </row>
    <row r="15" spans="1:12" x14ac:dyDescent="0.25">
      <c r="A15" s="4">
        <v>11</v>
      </c>
      <c r="B15" t="s">
        <v>2</v>
      </c>
      <c r="C15" t="s">
        <v>2</v>
      </c>
      <c r="E15" t="s">
        <v>2</v>
      </c>
      <c r="F15" t="s">
        <v>5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E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  <c r="D20" t="s">
        <v>7</v>
      </c>
      <c r="H20" t="s">
        <v>2</v>
      </c>
      <c r="I20" t="s">
        <v>2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7</v>
      </c>
      <c r="H35" t="s">
        <v>7</v>
      </c>
    </row>
    <row r="36" spans="1:9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B37" t="s">
        <v>6</v>
      </c>
      <c r="C37" t="s">
        <v>2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  <c r="I42" t="s">
        <v>7</v>
      </c>
    </row>
    <row r="43" spans="1:9" x14ac:dyDescent="0.25">
      <c r="A43" s="4">
        <v>39</v>
      </c>
      <c r="G43" t="s">
        <v>2</v>
      </c>
      <c r="H43" t="s">
        <v>7</v>
      </c>
    </row>
    <row r="44" spans="1:9" x14ac:dyDescent="0.25">
      <c r="A44" s="4">
        <v>40</v>
      </c>
    </row>
    <row r="45" spans="1:9" x14ac:dyDescent="0.25">
      <c r="A45" s="4">
        <v>41</v>
      </c>
      <c r="F45" t="s">
        <v>7</v>
      </c>
    </row>
    <row r="46" spans="1:9" x14ac:dyDescent="0.25">
      <c r="A46" s="4">
        <v>42</v>
      </c>
      <c r="B46" t="s">
        <v>7</v>
      </c>
      <c r="E46" t="s">
        <v>2</v>
      </c>
      <c r="G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D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B56" t="s">
        <v>2</v>
      </c>
      <c r="D56" t="s">
        <v>2</v>
      </c>
      <c r="E56" t="s">
        <v>5</v>
      </c>
      <c r="G56" t="s">
        <v>2</v>
      </c>
      <c r="I56" t="s">
        <v>2</v>
      </c>
    </row>
    <row r="57" spans="1:9" x14ac:dyDescent="0.25">
      <c r="A57" s="4">
        <v>53</v>
      </c>
      <c r="B57" t="s">
        <v>2</v>
      </c>
      <c r="C57" t="s">
        <v>2</v>
      </c>
      <c r="D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B60" t="s">
        <v>7</v>
      </c>
      <c r="C60" t="s">
        <v>6</v>
      </c>
      <c r="D60" t="s">
        <v>7</v>
      </c>
      <c r="E60" t="s">
        <v>2</v>
      </c>
      <c r="F60" t="s">
        <v>7</v>
      </c>
      <c r="G60" t="s">
        <v>7</v>
      </c>
      <c r="H60" t="s">
        <v>7</v>
      </c>
    </row>
    <row r="61" spans="1:9" x14ac:dyDescent="0.25">
      <c r="A61" s="18">
        <v>73</v>
      </c>
    </row>
    <row r="62" spans="1:9" x14ac:dyDescent="0.25">
      <c r="A62" s="18">
        <v>74</v>
      </c>
      <c r="I62" t="s">
        <v>7</v>
      </c>
    </row>
  </sheetData>
  <conditionalFormatting sqref="B5:D11 G5:G11">
    <cfRule type="cellIs" dxfId="928" priority="17" operator="equal">
      <formula>"Energia"</formula>
    </cfRule>
  </conditionalFormatting>
  <conditionalFormatting sqref="B5:D60 G5:I60 B61:I62">
    <cfRule type="cellIs" dxfId="927" priority="10" operator="equal">
      <formula>"Energia"</formula>
    </cfRule>
    <cfRule type="cellIs" dxfId="926" priority="12" operator="equal">
      <formula>"Operação"</formula>
    </cfRule>
    <cfRule type="cellIs" dxfId="925" priority="13" operator="equal">
      <formula>"Chuva"</formula>
    </cfRule>
    <cfRule type="cellIs" dxfId="924" priority="14" operator="equal">
      <formula>"Elétrico"</formula>
    </cfRule>
    <cfRule type="cellIs" dxfId="923" priority="15" operator="equal">
      <formula>"Mecânico"</formula>
    </cfRule>
    <cfRule type="cellIs" dxfId="922" priority="16" operator="equal">
      <formula>"Ok"</formula>
    </cfRule>
  </conditionalFormatting>
  <conditionalFormatting sqref="B5:D60 G5:I60 B61:I62">
    <cfRule type="cellIs" dxfId="92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20" priority="8" operator="equal">
      <formula>"Energia"</formula>
    </cfRule>
  </conditionalFormatting>
  <conditionalFormatting sqref="E5:F60">
    <cfRule type="cellIs" dxfId="919" priority="1" operator="equal">
      <formula>"Energia"</formula>
    </cfRule>
    <cfRule type="cellIs" dxfId="918" priority="3" operator="equal">
      <formula>"Operação"</formula>
    </cfRule>
    <cfRule type="cellIs" dxfId="917" priority="4" operator="equal">
      <formula>"Chuva"</formula>
    </cfRule>
    <cfRule type="cellIs" dxfId="916" priority="5" operator="equal">
      <formula>"Elétrico"</formula>
    </cfRule>
    <cfRule type="cellIs" dxfId="915" priority="6" operator="equal">
      <formula>"Mecânico"</formula>
    </cfRule>
    <cfRule type="cellIs" dxfId="914" priority="7" operator="equal">
      <formula>"Ok"</formula>
    </cfRule>
  </conditionalFormatting>
  <conditionalFormatting sqref="E5:F60">
    <cfRule type="cellIs" dxfId="913" priority="2" operator="equal">
      <formula>"Feito"</formula>
    </cfRule>
  </conditionalFormatting>
  <dataValidations count="1">
    <dataValidation type="list" allowBlank="1" showInputMessage="1" showErrorMessage="1" sqref="B5:J60 B61:I62" xr:uid="{0BE1F21D-4553-4907-8E12-52480F559C4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21D-DDF3-489B-A0A6-D2E1240E9423}">
  <sheetPr codeName="Planilha33"/>
  <dimension ref="A3:L62"/>
  <sheetViews>
    <sheetView workbookViewId="0">
      <pane xSplit="1" topLeftCell="B1" activePane="topRight" state="frozen"/>
      <selection pane="topRight" activeCell="G60" sqref="G6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44452</v>
      </c>
      <c r="C3" s="3">
        <f>B3+1</f>
        <v>44453</v>
      </c>
      <c r="D3" s="3">
        <f t="shared" ref="D3:H3" si="0">C3+1</f>
        <v>44454</v>
      </c>
      <c r="E3" s="3">
        <f t="shared" si="0"/>
        <v>44455</v>
      </c>
      <c r="F3" s="3">
        <f t="shared" si="0"/>
        <v>44456</v>
      </c>
      <c r="G3" s="3">
        <f t="shared" si="0"/>
        <v>44457</v>
      </c>
      <c r="H3" s="3">
        <f t="shared" si="0"/>
        <v>44458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COUNTIF($B$5:$I$60,K5)</f>
        <v>156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6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L11">
        <f>SUM(L5:L10)</f>
        <v>189</v>
      </c>
    </row>
    <row r="12" spans="1:12" x14ac:dyDescent="0.25">
      <c r="A12" s="4">
        <v>8</v>
      </c>
    </row>
    <row r="13" spans="1:12" x14ac:dyDescent="0.25">
      <c r="A13" s="4">
        <v>9</v>
      </c>
      <c r="C13" t="s">
        <v>2</v>
      </c>
      <c r="D13" t="s">
        <v>2</v>
      </c>
    </row>
    <row r="14" spans="1:12" x14ac:dyDescent="0.25">
      <c r="A14" s="4">
        <v>10</v>
      </c>
      <c r="B14" t="s">
        <v>2</v>
      </c>
      <c r="D14" t="s">
        <v>2</v>
      </c>
      <c r="E14" t="s">
        <v>2</v>
      </c>
      <c r="G14" t="s">
        <v>2</v>
      </c>
      <c r="H14" t="s">
        <v>2</v>
      </c>
    </row>
    <row r="15" spans="1:12" x14ac:dyDescent="0.25">
      <c r="A15" s="4">
        <v>11</v>
      </c>
      <c r="C15" t="s">
        <v>2</v>
      </c>
      <c r="D15" t="s">
        <v>6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C16" t="s">
        <v>2</v>
      </c>
      <c r="D16" t="s">
        <v>7</v>
      </c>
      <c r="F16" t="s">
        <v>7</v>
      </c>
      <c r="G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D18" t="s">
        <v>6</v>
      </c>
      <c r="E18" t="s">
        <v>5</v>
      </c>
      <c r="G18" t="s">
        <v>5</v>
      </c>
      <c r="H18" t="s">
        <v>2</v>
      </c>
    </row>
    <row r="19" spans="1:8" x14ac:dyDescent="0.25">
      <c r="A19" s="4">
        <v>15</v>
      </c>
      <c r="F19" t="s">
        <v>7</v>
      </c>
      <c r="H19" t="s">
        <v>2</v>
      </c>
    </row>
    <row r="20" spans="1:8" x14ac:dyDescent="0.25">
      <c r="A20" s="4">
        <v>16</v>
      </c>
      <c r="C20" t="s">
        <v>2</v>
      </c>
    </row>
    <row r="21" spans="1:8" x14ac:dyDescent="0.25">
      <c r="A21" s="4">
        <v>17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H23" t="s">
        <v>2</v>
      </c>
    </row>
    <row r="24" spans="1:8" x14ac:dyDescent="0.25">
      <c r="A24" s="4">
        <v>20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14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5</v>
      </c>
      <c r="F35" t="s">
        <v>2</v>
      </c>
      <c r="G35" t="s">
        <v>7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 x14ac:dyDescent="0.25">
      <c r="A37" s="4">
        <v>33</v>
      </c>
      <c r="B37" t="s">
        <v>2</v>
      </c>
      <c r="C37" t="s">
        <v>5</v>
      </c>
      <c r="D37" t="s">
        <v>7</v>
      </c>
      <c r="E37" t="s">
        <v>5</v>
      </c>
      <c r="F37" t="s">
        <v>7</v>
      </c>
      <c r="G37" t="s">
        <v>7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  <c r="C40" t="s">
        <v>2</v>
      </c>
      <c r="E40" t="s">
        <v>2</v>
      </c>
      <c r="G40" t="s">
        <v>7</v>
      </c>
    </row>
    <row r="41" spans="1:8" x14ac:dyDescent="0.25">
      <c r="A41" s="4">
        <v>37</v>
      </c>
      <c r="B41" t="s">
        <v>2</v>
      </c>
      <c r="D41" t="s">
        <v>2</v>
      </c>
      <c r="F41" t="s">
        <v>2</v>
      </c>
    </row>
    <row r="42" spans="1:8" x14ac:dyDescent="0.25">
      <c r="A42" s="4">
        <v>38</v>
      </c>
      <c r="B42" t="s">
        <v>7</v>
      </c>
      <c r="D42" t="s">
        <v>7</v>
      </c>
    </row>
    <row r="43" spans="1:8" x14ac:dyDescent="0.25">
      <c r="A43" s="4">
        <v>39</v>
      </c>
      <c r="B43" t="s">
        <v>2</v>
      </c>
      <c r="E43" t="s">
        <v>2</v>
      </c>
    </row>
    <row r="44" spans="1:8" x14ac:dyDescent="0.25">
      <c r="A44" s="4">
        <v>40</v>
      </c>
      <c r="C44" t="s">
        <v>7</v>
      </c>
    </row>
    <row r="45" spans="1:8" x14ac:dyDescent="0.25">
      <c r="A45" s="4">
        <v>41</v>
      </c>
      <c r="E45" t="s">
        <v>2</v>
      </c>
    </row>
    <row r="46" spans="1:8" x14ac:dyDescent="0.25">
      <c r="A46" s="4">
        <v>42</v>
      </c>
    </row>
    <row r="47" spans="1:8" x14ac:dyDescent="0.25">
      <c r="A47" s="4">
        <v>43</v>
      </c>
    </row>
    <row r="48" spans="1:8" x14ac:dyDescent="0.25">
      <c r="A48" s="4">
        <v>44</v>
      </c>
      <c r="G48" t="s">
        <v>6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7</v>
      </c>
      <c r="H53" t="s">
        <v>2</v>
      </c>
    </row>
    <row r="54" spans="1:8" x14ac:dyDescent="0.25">
      <c r="A54" s="4">
        <v>50</v>
      </c>
      <c r="B54" t="s">
        <v>6</v>
      </c>
      <c r="C54" t="s">
        <v>7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7</v>
      </c>
      <c r="F58" t="s">
        <v>2</v>
      </c>
      <c r="H58" t="s">
        <v>2</v>
      </c>
    </row>
    <row r="59" spans="1:8" x14ac:dyDescent="0.25">
      <c r="A59" s="4">
        <v>55</v>
      </c>
      <c r="B59" t="s">
        <v>6</v>
      </c>
      <c r="E59" t="s">
        <v>7</v>
      </c>
      <c r="H59" t="s">
        <v>6</v>
      </c>
    </row>
    <row r="60" spans="1:8" x14ac:dyDescent="0.25">
      <c r="A60" s="4">
        <v>56</v>
      </c>
      <c r="B60" t="s">
        <v>2</v>
      </c>
      <c r="C60" t="s">
        <v>7</v>
      </c>
      <c r="D60" t="s">
        <v>2</v>
      </c>
      <c r="E60" t="s">
        <v>7</v>
      </c>
      <c r="F60" t="s">
        <v>5</v>
      </c>
      <c r="G60" t="s">
        <v>7</v>
      </c>
      <c r="H60" t="s">
        <v>5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5:D11 G5:G11">
    <cfRule type="cellIs" dxfId="912" priority="17" operator="equal">
      <formula>"Energia"</formula>
    </cfRule>
  </conditionalFormatting>
  <conditionalFormatting sqref="B5:D60 B61:I62 G5:I60">
    <cfRule type="cellIs" dxfId="911" priority="10" operator="equal">
      <formula>"Energia"</formula>
    </cfRule>
    <cfRule type="cellIs" dxfId="910" priority="12" operator="equal">
      <formula>"Operação"</formula>
    </cfRule>
    <cfRule type="cellIs" dxfId="909" priority="13" operator="equal">
      <formula>"Chuva"</formula>
    </cfRule>
    <cfRule type="cellIs" dxfId="908" priority="14" operator="equal">
      <formula>"Elétrico"</formula>
    </cfRule>
    <cfRule type="cellIs" dxfId="907" priority="15" operator="equal">
      <formula>"Mecânico"</formula>
    </cfRule>
    <cfRule type="cellIs" dxfId="906" priority="16" operator="equal">
      <formula>"Ok"</formula>
    </cfRule>
  </conditionalFormatting>
  <conditionalFormatting sqref="B5:D60 B61:I62 G5:I60">
    <cfRule type="cellIs" dxfId="90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04" priority="8" operator="equal">
      <formula>"Energia"</formula>
    </cfRule>
  </conditionalFormatting>
  <conditionalFormatting sqref="E5:F60">
    <cfRule type="cellIs" dxfId="903" priority="1" operator="equal">
      <formula>"Energia"</formula>
    </cfRule>
    <cfRule type="cellIs" dxfId="902" priority="3" operator="equal">
      <formula>"Operação"</formula>
    </cfRule>
    <cfRule type="cellIs" dxfId="901" priority="4" operator="equal">
      <formula>"Chuva"</formula>
    </cfRule>
    <cfRule type="cellIs" dxfId="900" priority="5" operator="equal">
      <formula>"Elétrico"</formula>
    </cfRule>
    <cfRule type="cellIs" dxfId="899" priority="6" operator="equal">
      <formula>"Mecânico"</formula>
    </cfRule>
    <cfRule type="cellIs" dxfId="898" priority="7" operator="equal">
      <formula>"Ok"</formula>
    </cfRule>
  </conditionalFormatting>
  <conditionalFormatting sqref="E5:F60">
    <cfRule type="cellIs" dxfId="897" priority="2" operator="equal">
      <formula>"Feito"</formula>
    </cfRule>
  </conditionalFormatting>
  <dataValidations count="1">
    <dataValidation type="list" allowBlank="1" showInputMessage="1" showErrorMessage="1" sqref="B61:I62 B5:J32 B34:J60 B33:G33 I33:J33" xr:uid="{8004C038-B8C7-4B2C-BC2D-485A3B8DAE0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92-6885-43C4-90F4-49ADAEC06A1B}">
  <sheetPr codeName="Planilha34"/>
  <dimension ref="A3:L62"/>
  <sheetViews>
    <sheetView workbookViewId="0">
      <pane xSplit="1" topLeftCell="B1" activePane="topRight" state="frozen"/>
      <selection pane="topRight" activeCell="I3" sqref="I3:I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44459</v>
      </c>
      <c r="C3" s="3">
        <f>B3+1</f>
        <v>44460</v>
      </c>
      <c r="D3" s="3">
        <f t="shared" ref="D3:H3" si="0">C3+1</f>
        <v>44461</v>
      </c>
      <c r="E3" s="3">
        <f t="shared" si="0"/>
        <v>44462</v>
      </c>
      <c r="F3" s="3">
        <f t="shared" si="0"/>
        <v>44463</v>
      </c>
      <c r="G3" s="3">
        <f t="shared" si="0"/>
        <v>44464</v>
      </c>
      <c r="H3" s="3">
        <f t="shared" si="0"/>
        <v>44465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COUNTIF($C$5:$I$60,K5)</f>
        <v>127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6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3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6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26</v>
      </c>
    </row>
    <row r="11" spans="1:12" x14ac:dyDescent="0.25">
      <c r="A11" s="4">
        <v>7</v>
      </c>
      <c r="E11" t="s">
        <v>7</v>
      </c>
      <c r="L11">
        <f>SUM(L5:L10)</f>
        <v>160</v>
      </c>
    </row>
    <row r="12" spans="1:12" x14ac:dyDescent="0.25">
      <c r="A12" s="4">
        <v>8</v>
      </c>
      <c r="G12" t="s">
        <v>2</v>
      </c>
    </row>
    <row r="13" spans="1:12" x14ac:dyDescent="0.25">
      <c r="A13" s="4">
        <v>9</v>
      </c>
    </row>
    <row r="14" spans="1:12" x14ac:dyDescent="0.25">
      <c r="A14" s="4">
        <v>10</v>
      </c>
      <c r="C14" t="s">
        <v>2</v>
      </c>
    </row>
    <row r="15" spans="1:12" x14ac:dyDescent="0.25">
      <c r="A15" s="4">
        <v>11</v>
      </c>
      <c r="B15" t="s">
        <v>2</v>
      </c>
      <c r="C15" t="s">
        <v>2</v>
      </c>
      <c r="E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2</v>
      </c>
      <c r="E16" t="s">
        <v>2</v>
      </c>
      <c r="F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7</v>
      </c>
      <c r="D17" t="s">
        <v>2</v>
      </c>
      <c r="E17" t="s">
        <v>5</v>
      </c>
      <c r="F17" t="s">
        <v>6</v>
      </c>
      <c r="H17" t="s">
        <v>2</v>
      </c>
    </row>
    <row r="18" spans="1:8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s="4">
        <v>15</v>
      </c>
      <c r="B19" t="s">
        <v>6</v>
      </c>
      <c r="D19" t="s">
        <v>7</v>
      </c>
      <c r="G19" t="s">
        <v>2</v>
      </c>
    </row>
    <row r="20" spans="1:8" x14ac:dyDescent="0.25">
      <c r="A20" s="4">
        <v>16</v>
      </c>
      <c r="B20" t="s">
        <v>6</v>
      </c>
      <c r="G20" t="s">
        <v>2</v>
      </c>
      <c r="H20" t="s">
        <v>2</v>
      </c>
    </row>
    <row r="21" spans="1:8" x14ac:dyDescent="0.25">
      <c r="A21" s="4">
        <v>17</v>
      </c>
      <c r="C21" t="s">
        <v>7</v>
      </c>
      <c r="D21" t="s">
        <v>2</v>
      </c>
      <c r="F21" t="s">
        <v>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C23" t="s">
        <v>7</v>
      </c>
      <c r="D23" t="s">
        <v>7</v>
      </c>
      <c r="F23" t="s">
        <v>2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5</v>
      </c>
      <c r="H29" t="s">
        <v>7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7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7</v>
      </c>
    </row>
    <row r="35" spans="1:8" x14ac:dyDescent="0.25">
      <c r="A35" s="4">
        <v>31</v>
      </c>
      <c r="B35" t="s">
        <v>7</v>
      </c>
      <c r="D35" t="s">
        <v>2</v>
      </c>
      <c r="E35" t="s">
        <v>2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</row>
    <row r="37" spans="1:8" x14ac:dyDescent="0.25">
      <c r="A37" s="4">
        <v>33</v>
      </c>
      <c r="B37" t="s">
        <v>2</v>
      </c>
      <c r="C37" t="s">
        <v>2</v>
      </c>
      <c r="D37" t="s">
        <v>2</v>
      </c>
      <c r="G37" t="s">
        <v>7</v>
      </c>
    </row>
    <row r="38" spans="1:8" x14ac:dyDescent="0.25">
      <c r="A38" s="4">
        <v>34</v>
      </c>
      <c r="B38" t="s">
        <v>2</v>
      </c>
      <c r="D38" t="s">
        <v>7</v>
      </c>
      <c r="E38" t="s">
        <v>2</v>
      </c>
      <c r="G38" t="s">
        <v>5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G42" t="s">
        <v>7</v>
      </c>
    </row>
    <row r="43" spans="1:8" x14ac:dyDescent="0.25">
      <c r="A43" s="4">
        <v>39</v>
      </c>
      <c r="G43" t="s">
        <v>7</v>
      </c>
      <c r="H43" t="s">
        <v>7</v>
      </c>
    </row>
    <row r="44" spans="1:8" x14ac:dyDescent="0.25">
      <c r="A44" s="4">
        <v>40</v>
      </c>
      <c r="G44" t="s">
        <v>2</v>
      </c>
      <c r="H44" t="s">
        <v>7</v>
      </c>
    </row>
    <row r="45" spans="1:8" x14ac:dyDescent="0.25">
      <c r="A45" s="4">
        <v>41</v>
      </c>
      <c r="F45" t="s">
        <v>7</v>
      </c>
      <c r="G45" t="s">
        <v>2</v>
      </c>
      <c r="H45" t="s">
        <v>7</v>
      </c>
    </row>
    <row r="46" spans="1:8" x14ac:dyDescent="0.25">
      <c r="A46" s="4">
        <v>42</v>
      </c>
      <c r="E46" t="s">
        <v>2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  <c r="B48" t="s">
        <v>2</v>
      </c>
      <c r="E48" t="s">
        <v>2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7</v>
      </c>
      <c r="G50" t="s">
        <v>2</v>
      </c>
      <c r="H50" t="s">
        <v>7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F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6</v>
      </c>
      <c r="G53" t="s">
        <v>7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7</v>
      </c>
    </row>
    <row r="57" spans="1:8" x14ac:dyDescent="0.25">
      <c r="A57" s="4">
        <v>53</v>
      </c>
      <c r="C57" t="s">
        <v>2</v>
      </c>
    </row>
    <row r="58" spans="1:8" x14ac:dyDescent="0.25">
      <c r="A58" s="4">
        <v>54</v>
      </c>
      <c r="B58" t="s">
        <v>2</v>
      </c>
      <c r="D58" t="s">
        <v>2</v>
      </c>
      <c r="E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6</v>
      </c>
      <c r="C59" t="s">
        <v>7</v>
      </c>
      <c r="D59" t="s">
        <v>2</v>
      </c>
      <c r="E59" t="s">
        <v>2</v>
      </c>
      <c r="F59" t="s">
        <v>2</v>
      </c>
      <c r="H59" t="s">
        <v>7</v>
      </c>
    </row>
    <row r="60" spans="1:8" x14ac:dyDescent="0.25">
      <c r="A60" s="4">
        <v>56</v>
      </c>
      <c r="B60" t="s">
        <v>7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G5:G11 B5:E11">
    <cfRule type="cellIs" dxfId="896" priority="17" operator="equal">
      <formula>"Energia"</formula>
    </cfRule>
  </conditionalFormatting>
  <conditionalFormatting sqref="C5:E60 C61:I62 B5:B62 G5:I60">
    <cfRule type="cellIs" dxfId="895" priority="10" operator="equal">
      <formula>"Energia"</formula>
    </cfRule>
    <cfRule type="cellIs" dxfId="894" priority="12" operator="equal">
      <formula>"Operação"</formula>
    </cfRule>
    <cfRule type="cellIs" dxfId="893" priority="13" operator="equal">
      <formula>"Chuva"</formula>
    </cfRule>
    <cfRule type="cellIs" dxfId="892" priority="14" operator="equal">
      <formula>"Elétrico"</formula>
    </cfRule>
    <cfRule type="cellIs" dxfId="891" priority="15" operator="equal">
      <formula>"Mecânico"</formula>
    </cfRule>
    <cfRule type="cellIs" dxfId="890" priority="16" operator="equal">
      <formula>"Ok"</formula>
    </cfRule>
  </conditionalFormatting>
  <conditionalFormatting sqref="C5:E60 C61:I62 B5:B62 G5:I60">
    <cfRule type="cellIs" dxfId="88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F11">
    <cfRule type="cellIs" dxfId="888" priority="8" operator="equal">
      <formula>"Energia"</formula>
    </cfRule>
  </conditionalFormatting>
  <conditionalFormatting sqref="F5:F60">
    <cfRule type="cellIs" dxfId="887" priority="1" operator="equal">
      <formula>"Energia"</formula>
    </cfRule>
    <cfRule type="cellIs" dxfId="886" priority="3" operator="equal">
      <formula>"Operação"</formula>
    </cfRule>
    <cfRule type="cellIs" dxfId="885" priority="4" operator="equal">
      <formula>"Chuva"</formula>
    </cfRule>
    <cfRule type="cellIs" dxfId="884" priority="5" operator="equal">
      <formula>"Elétrico"</formula>
    </cfRule>
    <cfRule type="cellIs" dxfId="883" priority="6" operator="equal">
      <formula>"Mecânico"</formula>
    </cfRule>
    <cfRule type="cellIs" dxfId="882" priority="7" operator="equal">
      <formula>"Ok"</formula>
    </cfRule>
  </conditionalFormatting>
  <conditionalFormatting sqref="F5:F60">
    <cfRule type="cellIs" dxfId="881" priority="2" operator="equal">
      <formula>"Feito"</formula>
    </cfRule>
  </conditionalFormatting>
  <dataValidations count="1">
    <dataValidation type="list" allowBlank="1" showInputMessage="1" showErrorMessage="1" sqref="B61:I62 B5:J60" xr:uid="{B8FF1127-3CA7-4422-BD50-C9A778D364A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11B-9386-4224-8954-8043BBFE29BA}">
  <sheetPr codeName="Planilha35"/>
  <dimension ref="A3:L62"/>
  <sheetViews>
    <sheetView workbookViewId="0">
      <pane xSplit="1" topLeftCell="B1" activePane="topRight" state="frozen"/>
      <selection pane="topRight" activeCell="J58" sqref="J5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44466</v>
      </c>
      <c r="C3" s="3">
        <f>B3+1</f>
        <v>44467</v>
      </c>
      <c r="D3" s="3">
        <f t="shared" ref="D3:H3" si="0">C3+1</f>
        <v>44468</v>
      </c>
      <c r="E3" s="3">
        <f t="shared" si="0"/>
        <v>44469</v>
      </c>
      <c r="F3" s="3">
        <f t="shared" si="0"/>
        <v>44470</v>
      </c>
      <c r="G3" s="3">
        <f t="shared" si="0"/>
        <v>44471</v>
      </c>
      <c r="H3" s="3">
        <f t="shared" si="0"/>
        <v>44472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152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36</v>
      </c>
    </row>
    <row r="11" spans="1:12" x14ac:dyDescent="0.25">
      <c r="A11" s="4">
        <v>7</v>
      </c>
      <c r="L11">
        <f>SUM(L5:L10)</f>
        <v>194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  <c r="B15" t="s">
        <v>5</v>
      </c>
      <c r="D15" t="s">
        <v>2</v>
      </c>
    </row>
    <row r="16" spans="1:12" x14ac:dyDescent="0.25">
      <c r="A16" s="4">
        <v>12</v>
      </c>
      <c r="B16" t="s">
        <v>2</v>
      </c>
      <c r="D16" t="s">
        <v>2</v>
      </c>
      <c r="E16" t="s">
        <v>2</v>
      </c>
      <c r="H16" t="s">
        <v>2</v>
      </c>
    </row>
    <row r="17" spans="1:8" x14ac:dyDescent="0.25">
      <c r="A17" s="4">
        <v>13</v>
      </c>
      <c r="B17" t="s">
        <v>2</v>
      </c>
      <c r="D17" t="s">
        <v>2</v>
      </c>
      <c r="E17" t="s">
        <v>2</v>
      </c>
      <c r="G17" t="s">
        <v>2</v>
      </c>
      <c r="H17" t="s">
        <v>2</v>
      </c>
    </row>
    <row r="18" spans="1:8" x14ac:dyDescent="0.25">
      <c r="A18" s="4">
        <v>14</v>
      </c>
      <c r="C18" t="s">
        <v>7</v>
      </c>
      <c r="D18" t="s">
        <v>2</v>
      </c>
      <c r="F18" t="s">
        <v>2</v>
      </c>
      <c r="G18" t="s">
        <v>2</v>
      </c>
    </row>
    <row r="19" spans="1:8" x14ac:dyDescent="0.25">
      <c r="A19" s="4">
        <v>15</v>
      </c>
      <c r="B19" t="s">
        <v>7</v>
      </c>
      <c r="E19" t="s">
        <v>7</v>
      </c>
    </row>
    <row r="20" spans="1:8" x14ac:dyDescent="0.25">
      <c r="A20" s="4">
        <v>16</v>
      </c>
      <c r="B20" t="s">
        <v>2</v>
      </c>
      <c r="C20" t="s">
        <v>2</v>
      </c>
      <c r="D20" t="s">
        <v>7</v>
      </c>
      <c r="E20" t="s">
        <v>2</v>
      </c>
      <c r="F20" t="s">
        <v>6</v>
      </c>
      <c r="G20" t="s">
        <v>2</v>
      </c>
      <c r="H20" t="s">
        <v>7</v>
      </c>
    </row>
    <row r="21" spans="1:8" x14ac:dyDescent="0.25">
      <c r="A21" s="4">
        <v>17</v>
      </c>
      <c r="B21" t="s">
        <v>2</v>
      </c>
    </row>
    <row r="22" spans="1:8" x14ac:dyDescent="0.25">
      <c r="A22" s="4">
        <v>18</v>
      </c>
      <c r="F22" t="s">
        <v>5</v>
      </c>
    </row>
    <row r="23" spans="1:8" x14ac:dyDescent="0.25">
      <c r="A23" s="4">
        <v>19</v>
      </c>
      <c r="B23" t="s">
        <v>5</v>
      </c>
    </row>
    <row r="24" spans="1:8" x14ac:dyDescent="0.25">
      <c r="A24" s="4">
        <v>20</v>
      </c>
      <c r="C24" t="s">
        <v>2</v>
      </c>
      <c r="H24" t="s">
        <v>7</v>
      </c>
    </row>
    <row r="25" spans="1:8" x14ac:dyDescent="0.25">
      <c r="A25" s="4">
        <v>21</v>
      </c>
      <c r="C25" t="s">
        <v>7</v>
      </c>
      <c r="F25" t="s">
        <v>2</v>
      </c>
    </row>
    <row r="26" spans="1:8" x14ac:dyDescent="0.25">
      <c r="A26" s="4">
        <v>22</v>
      </c>
    </row>
    <row r="27" spans="1:8" x14ac:dyDescent="0.25">
      <c r="A27" s="4">
        <v>23</v>
      </c>
      <c r="C27" t="s">
        <v>7</v>
      </c>
      <c r="E27" t="s">
        <v>7</v>
      </c>
      <c r="G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E30" t="s">
        <v>7</v>
      </c>
      <c r="G30" t="s">
        <v>7</v>
      </c>
      <c r="H30" t="s">
        <v>7</v>
      </c>
    </row>
    <row r="31" spans="1:8" x14ac:dyDescent="0.25">
      <c r="A31" s="4">
        <v>27</v>
      </c>
      <c r="G31" t="s">
        <v>7</v>
      </c>
      <c r="H31" t="s">
        <v>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7</v>
      </c>
      <c r="D35" t="s">
        <v>7</v>
      </c>
      <c r="E35" t="s">
        <v>7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7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8" x14ac:dyDescent="0.25">
      <c r="A38" s="4">
        <v>34</v>
      </c>
      <c r="B38" t="s">
        <v>2</v>
      </c>
      <c r="C38" t="s">
        <v>5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  <c r="B43" t="s">
        <v>7</v>
      </c>
      <c r="D43" t="s">
        <v>2</v>
      </c>
      <c r="E43" t="s">
        <v>2</v>
      </c>
      <c r="F43" t="s">
        <v>2</v>
      </c>
      <c r="G43" t="s">
        <v>2</v>
      </c>
    </row>
    <row r="44" spans="1:8" x14ac:dyDescent="0.25">
      <c r="A44" s="4">
        <v>40</v>
      </c>
      <c r="B44" t="s">
        <v>2</v>
      </c>
      <c r="C44" t="s">
        <v>2</v>
      </c>
      <c r="D44" t="s">
        <v>2</v>
      </c>
    </row>
    <row r="45" spans="1:8" x14ac:dyDescent="0.25">
      <c r="A45" s="4">
        <v>41</v>
      </c>
      <c r="B45" t="s">
        <v>7</v>
      </c>
      <c r="G45" t="s">
        <v>2</v>
      </c>
      <c r="H45" t="s">
        <v>7</v>
      </c>
    </row>
    <row r="46" spans="1:8" x14ac:dyDescent="0.25">
      <c r="A46" s="4">
        <v>42</v>
      </c>
      <c r="B46" t="s">
        <v>2</v>
      </c>
      <c r="C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2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7</v>
      </c>
      <c r="G51" t="s">
        <v>7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G52" t="s">
        <v>2</v>
      </c>
      <c r="H52" t="s">
        <v>2</v>
      </c>
    </row>
    <row r="53" spans="1:8" x14ac:dyDescent="0.25">
      <c r="A53" s="4">
        <v>49</v>
      </c>
      <c r="C53" t="s">
        <v>7</v>
      </c>
      <c r="D53" t="s">
        <v>2</v>
      </c>
      <c r="E53" t="s">
        <v>2</v>
      </c>
      <c r="G53" t="s">
        <v>2</v>
      </c>
      <c r="H53" t="s">
        <v>2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F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7</v>
      </c>
      <c r="F59" t="s">
        <v>2</v>
      </c>
      <c r="G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880" priority="34" operator="equal">
      <formula>"Energia"</formula>
    </cfRule>
    <cfRule type="cellIs" dxfId="879" priority="36" operator="equal">
      <formula>"Operação"</formula>
    </cfRule>
    <cfRule type="cellIs" dxfId="878" priority="37" operator="equal">
      <formula>"Chuva"</formula>
    </cfRule>
    <cfRule type="cellIs" dxfId="877" priority="38" operator="equal">
      <formula>"Elétrico"</formula>
    </cfRule>
    <cfRule type="cellIs" dxfId="876" priority="39" operator="equal">
      <formula>"Mecânico"</formula>
    </cfRule>
    <cfRule type="cellIs" dxfId="875" priority="40" operator="equal">
      <formula>"Ok"</formula>
    </cfRule>
  </conditionalFormatting>
  <conditionalFormatting sqref="B61:I62 I5:I60">
    <cfRule type="cellIs" dxfId="874" priority="35" operator="equal">
      <formula>"Feito"</formula>
    </cfRule>
  </conditionalFormatting>
  <conditionalFormatting sqref="K7"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873" priority="16" operator="equal">
      <formula>"Energia"</formula>
    </cfRule>
  </conditionalFormatting>
  <conditionalFormatting sqref="B5:E60 G5:H60">
    <cfRule type="cellIs" dxfId="872" priority="9" operator="equal">
      <formula>"Energia"</formula>
    </cfRule>
    <cfRule type="cellIs" dxfId="871" priority="11" operator="equal">
      <formula>"Operação"</formula>
    </cfRule>
    <cfRule type="cellIs" dxfId="870" priority="12" operator="equal">
      <formula>"Chuva"</formula>
    </cfRule>
    <cfRule type="cellIs" dxfId="869" priority="13" operator="equal">
      <formula>"Elétrico"</formula>
    </cfRule>
    <cfRule type="cellIs" dxfId="868" priority="14" operator="equal">
      <formula>"Mecânico"</formula>
    </cfRule>
    <cfRule type="cellIs" dxfId="867" priority="15" operator="equal">
      <formula>"Ok"</formula>
    </cfRule>
  </conditionalFormatting>
  <conditionalFormatting sqref="B5:E60 G5:H60">
    <cfRule type="cellIs" dxfId="866" priority="10" operator="equal">
      <formula>"Feito"</formula>
    </cfRule>
  </conditionalFormatting>
  <conditionalFormatting sqref="F5:F11">
    <cfRule type="cellIs" dxfId="865" priority="8" operator="equal">
      <formula>"Energia"</formula>
    </cfRule>
  </conditionalFormatting>
  <conditionalFormatting sqref="F5:F60">
    <cfRule type="cellIs" dxfId="864" priority="1" operator="equal">
      <formula>"Energia"</formula>
    </cfRule>
    <cfRule type="cellIs" dxfId="863" priority="3" operator="equal">
      <formula>"Operação"</formula>
    </cfRule>
    <cfRule type="cellIs" dxfId="862" priority="4" operator="equal">
      <formula>"Chuva"</formula>
    </cfRule>
    <cfRule type="cellIs" dxfId="861" priority="5" operator="equal">
      <formula>"Elétrico"</formula>
    </cfRule>
    <cfRule type="cellIs" dxfId="860" priority="6" operator="equal">
      <formula>"Mecânico"</formula>
    </cfRule>
    <cfRule type="cellIs" dxfId="859" priority="7" operator="equal">
      <formula>"Ok"</formula>
    </cfRule>
  </conditionalFormatting>
  <conditionalFormatting sqref="F5:F60">
    <cfRule type="cellIs" dxfId="858" priority="2" operator="equal">
      <formula>"Feito"</formula>
    </cfRule>
  </conditionalFormatting>
  <dataValidations count="1">
    <dataValidation type="list" allowBlank="1" showInputMessage="1" showErrorMessage="1" sqref="B61:I62 B5:J60" xr:uid="{66C8FBBE-AB98-444A-905D-F5FF1145819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237-6F86-4A0D-AA6A-EC38463DCF88}">
  <sheetPr codeName="Planilha36"/>
  <dimension ref="A3:L62"/>
  <sheetViews>
    <sheetView workbookViewId="0">
      <pane xSplit="1" topLeftCell="B1" activePane="topRight" state="frozen"/>
      <selection pane="topRight" activeCell="L16" sqref="L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44473</v>
      </c>
      <c r="C3" s="3">
        <f>B3+1</f>
        <v>44474</v>
      </c>
      <c r="D3" s="3">
        <f t="shared" ref="D3:H3" si="0">C3+1</f>
        <v>44475</v>
      </c>
      <c r="E3" s="3">
        <f t="shared" si="0"/>
        <v>44476</v>
      </c>
      <c r="F3" s="3">
        <f t="shared" si="0"/>
        <v>44477</v>
      </c>
      <c r="G3" s="3">
        <f t="shared" si="0"/>
        <v>44478</v>
      </c>
      <c r="H3" s="3">
        <f t="shared" si="0"/>
        <v>44479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170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21</v>
      </c>
    </row>
    <row r="11" spans="1:12" x14ac:dyDescent="0.25">
      <c r="A11" s="4">
        <v>7</v>
      </c>
      <c r="L11">
        <f>SUM(L5:L10)</f>
        <v>195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</row>
    <row r="17" spans="1:8" x14ac:dyDescent="0.25">
      <c r="A17" s="4">
        <v>13</v>
      </c>
      <c r="C17" t="s">
        <v>5</v>
      </c>
      <c r="D17" t="s">
        <v>5</v>
      </c>
      <c r="E17" t="s">
        <v>7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B18" t="s">
        <v>2</v>
      </c>
      <c r="F18" t="s">
        <v>2</v>
      </c>
      <c r="H18" t="s">
        <v>2</v>
      </c>
    </row>
    <row r="19" spans="1:8" x14ac:dyDescent="0.25">
      <c r="A19" s="4">
        <v>15</v>
      </c>
      <c r="B19" t="s">
        <v>7</v>
      </c>
      <c r="C19" t="s">
        <v>7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 x14ac:dyDescent="0.25">
      <c r="A20" s="4">
        <v>16</v>
      </c>
      <c r="B20" t="s">
        <v>7</v>
      </c>
      <c r="C20" t="s">
        <v>7</v>
      </c>
    </row>
    <row r="21" spans="1:8" x14ac:dyDescent="0.25">
      <c r="A21" s="4">
        <v>17</v>
      </c>
      <c r="D21" t="s">
        <v>2</v>
      </c>
      <c r="E21" t="s">
        <v>7</v>
      </c>
      <c r="F21" t="s">
        <v>2</v>
      </c>
      <c r="G21" t="s">
        <v>2</v>
      </c>
      <c r="H21" t="s">
        <v>2</v>
      </c>
    </row>
    <row r="22" spans="1:8" x14ac:dyDescent="0.25">
      <c r="A22" s="4">
        <v>18</v>
      </c>
      <c r="F22" t="s">
        <v>7</v>
      </c>
      <c r="G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7</v>
      </c>
      <c r="E24" t="s">
        <v>2</v>
      </c>
      <c r="F24" t="s">
        <v>2</v>
      </c>
      <c r="H24" t="s">
        <v>2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2</v>
      </c>
      <c r="G27" t="s">
        <v>2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F30" t="s">
        <v>2</v>
      </c>
      <c r="H30" t="s">
        <v>2</v>
      </c>
    </row>
    <row r="31" spans="1:8" x14ac:dyDescent="0.25">
      <c r="A31" s="4">
        <v>27</v>
      </c>
      <c r="D31" t="s">
        <v>2</v>
      </c>
      <c r="F31" t="s">
        <v>7</v>
      </c>
      <c r="H31" t="s">
        <v>2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C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7</v>
      </c>
      <c r="H36" t="s">
        <v>2</v>
      </c>
    </row>
    <row r="37" spans="1:8" x14ac:dyDescent="0.25">
      <c r="A37" s="4">
        <v>33</v>
      </c>
      <c r="B37" t="s">
        <v>7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G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D42" t="s">
        <v>7</v>
      </c>
      <c r="E42" t="s">
        <v>2</v>
      </c>
      <c r="G42" t="s">
        <v>2</v>
      </c>
      <c r="H42" t="s">
        <v>2</v>
      </c>
    </row>
    <row r="43" spans="1:8" x14ac:dyDescent="0.25">
      <c r="A43" s="4">
        <v>39</v>
      </c>
      <c r="D43" t="s">
        <v>2</v>
      </c>
      <c r="E43" t="s">
        <v>2</v>
      </c>
      <c r="F43" t="s">
        <v>7</v>
      </c>
      <c r="G43" t="s">
        <v>2</v>
      </c>
      <c r="H43" t="s">
        <v>2</v>
      </c>
    </row>
    <row r="44" spans="1:8" x14ac:dyDescent="0.25">
      <c r="A44" s="4">
        <v>40</v>
      </c>
      <c r="C44" t="s">
        <v>7</v>
      </c>
      <c r="D44" t="s">
        <v>2</v>
      </c>
    </row>
    <row r="45" spans="1:8" x14ac:dyDescent="0.25">
      <c r="A45" s="4">
        <v>41</v>
      </c>
      <c r="B45" t="s">
        <v>2</v>
      </c>
      <c r="C45" t="s">
        <v>7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 x14ac:dyDescent="0.25">
      <c r="A46" s="4">
        <v>42</v>
      </c>
      <c r="B46" t="s">
        <v>2</v>
      </c>
      <c r="C46" t="s">
        <v>7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C51" t="s">
        <v>5</v>
      </c>
      <c r="D51" t="s">
        <v>5</v>
      </c>
      <c r="E51" t="s">
        <v>2</v>
      </c>
      <c r="F51" t="s">
        <v>2</v>
      </c>
      <c r="G51" t="s">
        <v>2</v>
      </c>
    </row>
    <row r="52" spans="1:8" x14ac:dyDescent="0.25">
      <c r="A52" s="4">
        <v>48</v>
      </c>
      <c r="C52" t="s">
        <v>2</v>
      </c>
      <c r="D52" t="s">
        <v>2</v>
      </c>
      <c r="F52" t="s">
        <v>7</v>
      </c>
      <c r="G52" t="s">
        <v>7</v>
      </c>
    </row>
    <row r="53" spans="1:8" x14ac:dyDescent="0.25">
      <c r="A53" s="4">
        <v>49</v>
      </c>
      <c r="C53" t="s">
        <v>2</v>
      </c>
      <c r="D53" t="s">
        <v>2</v>
      </c>
      <c r="F53" t="s">
        <v>2</v>
      </c>
      <c r="G53" t="s">
        <v>2</v>
      </c>
    </row>
    <row r="54" spans="1:8" x14ac:dyDescent="0.25">
      <c r="A54" s="4">
        <v>50</v>
      </c>
      <c r="B54" t="s">
        <v>2</v>
      </c>
      <c r="C54" t="s">
        <v>2</v>
      </c>
      <c r="F54" t="s">
        <v>7</v>
      </c>
    </row>
    <row r="55" spans="1:8" x14ac:dyDescent="0.25">
      <c r="A55" s="4">
        <v>51</v>
      </c>
      <c r="B55" t="s">
        <v>2</v>
      </c>
      <c r="C55" t="s">
        <v>2</v>
      </c>
      <c r="E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857" priority="18" operator="equal">
      <formula>"Energia"</formula>
    </cfRule>
    <cfRule type="cellIs" dxfId="856" priority="20" operator="equal">
      <formula>"Operação"</formula>
    </cfRule>
    <cfRule type="cellIs" dxfId="855" priority="21" operator="equal">
      <formula>"Chuva"</formula>
    </cfRule>
    <cfRule type="cellIs" dxfId="854" priority="22" operator="equal">
      <formula>"Elétrico"</formula>
    </cfRule>
    <cfRule type="cellIs" dxfId="853" priority="23" operator="equal">
      <formula>"Mecânico"</formula>
    </cfRule>
    <cfRule type="cellIs" dxfId="852" priority="24" operator="equal">
      <formula>"Ok"</formula>
    </cfRule>
  </conditionalFormatting>
  <conditionalFormatting sqref="B61:I62 I5:I60">
    <cfRule type="cellIs" dxfId="851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850" priority="16" operator="equal">
      <formula>"Energia"</formula>
    </cfRule>
  </conditionalFormatting>
  <conditionalFormatting sqref="B5:E60 G5:H60">
    <cfRule type="cellIs" dxfId="849" priority="9" operator="equal">
      <formula>"Energia"</formula>
    </cfRule>
    <cfRule type="cellIs" dxfId="848" priority="11" operator="equal">
      <formula>"Operação"</formula>
    </cfRule>
    <cfRule type="cellIs" dxfId="847" priority="12" operator="equal">
      <formula>"Chuva"</formula>
    </cfRule>
    <cfRule type="cellIs" dxfId="846" priority="13" operator="equal">
      <formula>"Elétrico"</formula>
    </cfRule>
    <cfRule type="cellIs" dxfId="845" priority="14" operator="equal">
      <formula>"Mecânico"</formula>
    </cfRule>
    <cfRule type="cellIs" dxfId="844" priority="15" operator="equal">
      <formula>"Ok"</formula>
    </cfRule>
  </conditionalFormatting>
  <conditionalFormatting sqref="B5:E60 G5:H60">
    <cfRule type="cellIs" dxfId="843" priority="10" operator="equal">
      <formula>"Feito"</formula>
    </cfRule>
  </conditionalFormatting>
  <conditionalFormatting sqref="F5:F11">
    <cfRule type="cellIs" dxfId="842" priority="8" operator="equal">
      <formula>"Energia"</formula>
    </cfRule>
  </conditionalFormatting>
  <conditionalFormatting sqref="F5:F60">
    <cfRule type="cellIs" dxfId="841" priority="1" operator="equal">
      <formula>"Energia"</formula>
    </cfRule>
    <cfRule type="cellIs" dxfId="840" priority="3" operator="equal">
      <formula>"Operação"</formula>
    </cfRule>
    <cfRule type="cellIs" dxfId="839" priority="4" operator="equal">
      <formula>"Chuva"</formula>
    </cfRule>
    <cfRule type="cellIs" dxfId="838" priority="5" operator="equal">
      <formula>"Elétrico"</formula>
    </cfRule>
    <cfRule type="cellIs" dxfId="837" priority="6" operator="equal">
      <formula>"Mecânico"</formula>
    </cfRule>
    <cfRule type="cellIs" dxfId="836" priority="7" operator="equal">
      <formula>"Ok"</formula>
    </cfRule>
  </conditionalFormatting>
  <conditionalFormatting sqref="F5:F60">
    <cfRule type="cellIs" dxfId="835" priority="2" operator="equal">
      <formula>"Feito"</formula>
    </cfRule>
  </conditionalFormatting>
  <dataValidations count="1">
    <dataValidation type="list" allowBlank="1" showInputMessage="1" showErrorMessage="1" sqref="B61:I62 B5:J60" xr:uid="{A303FD93-8DFC-4D15-9787-CC76DE9B46F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89A0-3104-4DEB-BFBA-AF15332BA504}">
  <sheetPr codeName="Planilha37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44480</v>
      </c>
      <c r="C3" s="3">
        <f>B3+1</f>
        <v>44481</v>
      </c>
      <c r="D3" s="3">
        <f t="shared" ref="D3:H3" si="0">C3+1</f>
        <v>44482</v>
      </c>
      <c r="E3" s="3">
        <f t="shared" si="0"/>
        <v>44483</v>
      </c>
      <c r="F3" s="3">
        <f t="shared" si="0"/>
        <v>44484</v>
      </c>
      <c r="G3" s="3">
        <f t="shared" si="0"/>
        <v>44485</v>
      </c>
      <c r="H3" s="3">
        <f t="shared" si="0"/>
        <v>44486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3</v>
      </c>
      <c r="C5" t="s">
        <v>3</v>
      </c>
      <c r="H5" t="s">
        <v>2</v>
      </c>
      <c r="K5" s="5" t="s">
        <v>2</v>
      </c>
      <c r="L5">
        <f t="shared" ref="L5:L10" si="2">COUNTIF($B$5:$I$60,K5)</f>
        <v>20</v>
      </c>
    </row>
    <row r="6" spans="1:12" x14ac:dyDescent="0.25">
      <c r="A6" s="4">
        <v>2</v>
      </c>
      <c r="B6" t="s">
        <v>3</v>
      </c>
      <c r="C6" t="s">
        <v>2</v>
      </c>
      <c r="H6" t="s">
        <v>2</v>
      </c>
      <c r="K6" s="6" t="s">
        <v>5</v>
      </c>
      <c r="L6">
        <f t="shared" si="2"/>
        <v>2</v>
      </c>
    </row>
    <row r="7" spans="1:12" x14ac:dyDescent="0.25">
      <c r="A7" s="4">
        <v>3</v>
      </c>
      <c r="B7" t="s">
        <v>3</v>
      </c>
      <c r="C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B8" t="s">
        <v>3</v>
      </c>
      <c r="C8" t="s">
        <v>2</v>
      </c>
      <c r="H8" t="s">
        <v>2</v>
      </c>
      <c r="K8" s="8" t="s">
        <v>4</v>
      </c>
      <c r="L8">
        <f t="shared" si="2"/>
        <v>2</v>
      </c>
    </row>
    <row r="9" spans="1:12" x14ac:dyDescent="0.25">
      <c r="A9" s="4">
        <v>5</v>
      </c>
      <c r="K9" s="9" t="s">
        <v>3</v>
      </c>
      <c r="L9">
        <f t="shared" si="2"/>
        <v>40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L11">
        <f>SUM(L5:L10)</f>
        <v>65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8" x14ac:dyDescent="0.25">
      <c r="A17" s="4">
        <v>13</v>
      </c>
      <c r="B17" t="s">
        <v>3</v>
      </c>
    </row>
    <row r="18" spans="1:8" x14ac:dyDescent="0.25">
      <c r="A18" s="4">
        <v>14</v>
      </c>
      <c r="B18" t="s">
        <v>3</v>
      </c>
    </row>
    <row r="19" spans="1:8" x14ac:dyDescent="0.25">
      <c r="A19" s="4">
        <v>15</v>
      </c>
      <c r="B19" t="s">
        <v>3</v>
      </c>
      <c r="C19" t="s">
        <v>2</v>
      </c>
    </row>
    <row r="20" spans="1:8" x14ac:dyDescent="0.25">
      <c r="A20" s="4">
        <v>16</v>
      </c>
      <c r="H20" t="s">
        <v>2</v>
      </c>
    </row>
    <row r="21" spans="1:8" x14ac:dyDescent="0.25">
      <c r="A21" s="4">
        <v>17</v>
      </c>
      <c r="B21" t="s">
        <v>3</v>
      </c>
      <c r="C21" t="s">
        <v>2</v>
      </c>
      <c r="H21" t="s">
        <v>2</v>
      </c>
    </row>
    <row r="22" spans="1:8" x14ac:dyDescent="0.25">
      <c r="A22" s="4">
        <v>18</v>
      </c>
      <c r="B22" t="s">
        <v>3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3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</row>
    <row r="30" spans="1:8" x14ac:dyDescent="0.25">
      <c r="A30" s="4">
        <v>26</v>
      </c>
      <c r="B30" t="s">
        <v>3</v>
      </c>
    </row>
    <row r="31" spans="1:8" x14ac:dyDescent="0.25">
      <c r="A31" s="4">
        <v>27</v>
      </c>
      <c r="B31" t="s">
        <v>3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3</v>
      </c>
      <c r="C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3</v>
      </c>
      <c r="C35" t="s">
        <v>2</v>
      </c>
      <c r="H35" t="s">
        <v>2</v>
      </c>
    </row>
    <row r="36" spans="1:8" x14ac:dyDescent="0.25">
      <c r="A36" s="4">
        <v>32</v>
      </c>
      <c r="B36" t="s">
        <v>3</v>
      </c>
      <c r="C36" t="s">
        <v>3</v>
      </c>
      <c r="D36" t="s">
        <v>3</v>
      </c>
      <c r="H36" t="s">
        <v>7</v>
      </c>
    </row>
    <row r="37" spans="1:8" x14ac:dyDescent="0.25">
      <c r="A37" s="4">
        <v>33</v>
      </c>
      <c r="B37" t="s">
        <v>3</v>
      </c>
      <c r="C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B42" t="s">
        <v>3</v>
      </c>
      <c r="C42" t="s">
        <v>2</v>
      </c>
      <c r="D42" t="s">
        <v>3</v>
      </c>
    </row>
    <row r="43" spans="1:8" x14ac:dyDescent="0.25">
      <c r="A43" s="4">
        <v>39</v>
      </c>
      <c r="B43" t="s">
        <v>3</v>
      </c>
      <c r="C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B45" t="s">
        <v>3</v>
      </c>
      <c r="C45" t="s">
        <v>2</v>
      </c>
      <c r="D45" t="s">
        <v>3</v>
      </c>
    </row>
    <row r="46" spans="1:8" x14ac:dyDescent="0.25">
      <c r="A46" s="4">
        <v>42</v>
      </c>
      <c r="B46" t="s">
        <v>3</v>
      </c>
      <c r="C46" t="s">
        <v>2</v>
      </c>
      <c r="D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3</v>
      </c>
      <c r="C49" t="s">
        <v>2</v>
      </c>
      <c r="D49" t="s">
        <v>3</v>
      </c>
    </row>
    <row r="50" spans="1:8" x14ac:dyDescent="0.25">
      <c r="A50" s="4">
        <v>46</v>
      </c>
      <c r="B50" t="s">
        <v>3</v>
      </c>
    </row>
    <row r="51" spans="1:8" x14ac:dyDescent="0.25">
      <c r="A51" s="4">
        <v>47</v>
      </c>
      <c r="B51" t="s">
        <v>3</v>
      </c>
    </row>
    <row r="52" spans="1:8" x14ac:dyDescent="0.25">
      <c r="A52" s="4">
        <v>48</v>
      </c>
      <c r="B52" t="s">
        <v>3</v>
      </c>
    </row>
    <row r="53" spans="1:8" x14ac:dyDescent="0.25">
      <c r="A53" s="4">
        <v>49</v>
      </c>
    </row>
    <row r="54" spans="1:8" x14ac:dyDescent="0.25">
      <c r="A54" s="4">
        <v>50</v>
      </c>
      <c r="B54" t="s">
        <v>3</v>
      </c>
      <c r="C54" t="s">
        <v>5</v>
      </c>
      <c r="D54" t="s">
        <v>3</v>
      </c>
      <c r="G54" t="s">
        <v>2</v>
      </c>
    </row>
    <row r="55" spans="1:8" x14ac:dyDescent="0.25">
      <c r="A55" s="4">
        <v>51</v>
      </c>
    </row>
    <row r="56" spans="1:8" x14ac:dyDescent="0.25">
      <c r="A56" s="4">
        <v>52</v>
      </c>
      <c r="B56" t="s">
        <v>3</v>
      </c>
      <c r="D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3</v>
      </c>
      <c r="C58" t="s">
        <v>5</v>
      </c>
      <c r="D58" t="s">
        <v>3</v>
      </c>
      <c r="H58" t="s">
        <v>2</v>
      </c>
    </row>
    <row r="59" spans="1:8" x14ac:dyDescent="0.25">
      <c r="A59" s="4">
        <v>55</v>
      </c>
      <c r="C59" t="s">
        <v>4</v>
      </c>
    </row>
    <row r="60" spans="1:8" x14ac:dyDescent="0.25">
      <c r="A60" s="4">
        <v>56</v>
      </c>
      <c r="C60" t="s">
        <v>4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834" priority="18" operator="equal">
      <formula>"Energia"</formula>
    </cfRule>
    <cfRule type="cellIs" dxfId="833" priority="20" operator="equal">
      <formula>"Operação"</formula>
    </cfRule>
    <cfRule type="cellIs" dxfId="832" priority="21" operator="equal">
      <formula>"Chuva"</formula>
    </cfRule>
    <cfRule type="cellIs" dxfId="831" priority="22" operator="equal">
      <formula>"Elétrico"</formula>
    </cfRule>
    <cfRule type="cellIs" dxfId="830" priority="23" operator="equal">
      <formula>"Mecânico"</formula>
    </cfRule>
    <cfRule type="cellIs" dxfId="829" priority="24" operator="equal">
      <formula>"Ok"</formula>
    </cfRule>
  </conditionalFormatting>
  <conditionalFormatting sqref="B61:I62 I5:I60">
    <cfRule type="cellIs" dxfId="828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827" priority="16" operator="equal">
      <formula>"Energia"</formula>
    </cfRule>
  </conditionalFormatting>
  <conditionalFormatting sqref="B5:E60 G5:H60">
    <cfRule type="cellIs" dxfId="826" priority="9" operator="equal">
      <formula>"Energia"</formula>
    </cfRule>
    <cfRule type="cellIs" dxfId="825" priority="11" operator="equal">
      <formula>"Operação"</formula>
    </cfRule>
    <cfRule type="cellIs" dxfId="824" priority="12" operator="equal">
      <formula>"Chuva"</formula>
    </cfRule>
    <cfRule type="cellIs" dxfId="823" priority="13" operator="equal">
      <formula>"Elétrico"</formula>
    </cfRule>
    <cfRule type="cellIs" dxfId="822" priority="14" operator="equal">
      <formula>"Mecânico"</formula>
    </cfRule>
    <cfRule type="cellIs" dxfId="821" priority="15" operator="equal">
      <formula>"Ok"</formula>
    </cfRule>
  </conditionalFormatting>
  <conditionalFormatting sqref="B5:E60 G5:H60">
    <cfRule type="cellIs" dxfId="820" priority="10" operator="equal">
      <formula>"Feito"</formula>
    </cfRule>
  </conditionalFormatting>
  <conditionalFormatting sqref="F5:F11">
    <cfRule type="cellIs" dxfId="819" priority="8" operator="equal">
      <formula>"Energia"</formula>
    </cfRule>
  </conditionalFormatting>
  <conditionalFormatting sqref="F5:F60">
    <cfRule type="cellIs" dxfId="818" priority="1" operator="equal">
      <formula>"Energia"</formula>
    </cfRule>
    <cfRule type="cellIs" dxfId="817" priority="3" operator="equal">
      <formula>"Operação"</formula>
    </cfRule>
    <cfRule type="cellIs" dxfId="816" priority="4" operator="equal">
      <formula>"Chuva"</formula>
    </cfRule>
    <cfRule type="cellIs" dxfId="815" priority="5" operator="equal">
      <formula>"Elétrico"</formula>
    </cfRule>
    <cfRule type="cellIs" dxfId="814" priority="6" operator="equal">
      <formula>"Mecânico"</formula>
    </cfRule>
    <cfRule type="cellIs" dxfId="813" priority="7" operator="equal">
      <formula>"Ok"</formula>
    </cfRule>
  </conditionalFormatting>
  <conditionalFormatting sqref="F5:F60">
    <cfRule type="cellIs" dxfId="812" priority="2" operator="equal">
      <formula>"Feito"</formula>
    </cfRule>
  </conditionalFormatting>
  <dataValidations count="1">
    <dataValidation type="list" allowBlank="1" showInputMessage="1" showErrorMessage="1" sqref="B61:I62 B5:J60" xr:uid="{E9E9FA3D-9767-4452-AD1A-B9036A7C067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D0F-2EFB-4BC5-AE2E-4056D3C32138}">
  <sheetPr codeName="Planilha38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44487</v>
      </c>
      <c r="C3" s="3">
        <f>B3+1</f>
        <v>44488</v>
      </c>
      <c r="D3" s="3">
        <f t="shared" ref="D3:H3" si="0">C3+1</f>
        <v>44489</v>
      </c>
      <c r="E3" s="3">
        <f t="shared" si="0"/>
        <v>44490</v>
      </c>
      <c r="F3" s="3">
        <f t="shared" si="0"/>
        <v>44491</v>
      </c>
      <c r="G3" s="3">
        <f t="shared" si="0"/>
        <v>44492</v>
      </c>
      <c r="H3" s="3">
        <f t="shared" si="0"/>
        <v>44493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3</v>
      </c>
      <c r="E5" t="s">
        <v>3</v>
      </c>
      <c r="F5" t="s">
        <v>3</v>
      </c>
      <c r="H5" t="s">
        <v>3</v>
      </c>
      <c r="K5" s="5" t="s">
        <v>2</v>
      </c>
      <c r="L5">
        <f t="shared" ref="L5:L10" si="2">COUNTIF($B$5:$I$60,K5)</f>
        <v>7</v>
      </c>
    </row>
    <row r="6" spans="1:12" x14ac:dyDescent="0.25">
      <c r="A6" s="4">
        <v>2</v>
      </c>
      <c r="C6" t="s">
        <v>3</v>
      </c>
      <c r="E6" t="s">
        <v>3</v>
      </c>
      <c r="F6" t="s">
        <v>3</v>
      </c>
      <c r="H6" t="s">
        <v>3</v>
      </c>
      <c r="K6" s="6" t="s">
        <v>5</v>
      </c>
      <c r="L6">
        <f t="shared" si="2"/>
        <v>0</v>
      </c>
    </row>
    <row r="7" spans="1:12" x14ac:dyDescent="0.25">
      <c r="A7" s="4">
        <v>3</v>
      </c>
      <c r="C7" t="s">
        <v>3</v>
      </c>
      <c r="E7" t="s">
        <v>3</v>
      </c>
      <c r="F7" t="s">
        <v>3</v>
      </c>
      <c r="H7" t="s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C8" t="s">
        <v>3</v>
      </c>
      <c r="E8" t="s">
        <v>3</v>
      </c>
      <c r="F8" t="s">
        <v>3</v>
      </c>
      <c r="H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109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L11">
        <f>SUM(L5:L10)</f>
        <v>117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</row>
    <row r="19" spans="1:6" x14ac:dyDescent="0.25">
      <c r="A19" s="4">
        <v>15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</row>
    <row r="20" spans="1:6" x14ac:dyDescent="0.25">
      <c r="A20" s="4">
        <v>16</v>
      </c>
      <c r="B20" t="s">
        <v>3</v>
      </c>
      <c r="C20" t="s">
        <v>3</v>
      </c>
      <c r="D20" t="s">
        <v>3</v>
      </c>
      <c r="E20" t="s">
        <v>2</v>
      </c>
      <c r="F20" t="s">
        <v>3</v>
      </c>
    </row>
    <row r="21" spans="1:6" x14ac:dyDescent="0.25">
      <c r="A21" s="4">
        <v>17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C29" t="s">
        <v>3</v>
      </c>
      <c r="E29" t="s">
        <v>3</v>
      </c>
      <c r="F29" t="s">
        <v>3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8" x14ac:dyDescent="0.25">
      <c r="A33" s="4">
        <v>29</v>
      </c>
      <c r="C33" t="s">
        <v>3</v>
      </c>
      <c r="E33" t="s">
        <v>3</v>
      </c>
      <c r="F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E35" t="s">
        <v>3</v>
      </c>
      <c r="F35" t="s">
        <v>3</v>
      </c>
    </row>
    <row r="36" spans="1:8" x14ac:dyDescent="0.25">
      <c r="A36" s="4">
        <v>32</v>
      </c>
      <c r="C36" t="s">
        <v>3</v>
      </c>
      <c r="E36" t="s">
        <v>3</v>
      </c>
      <c r="F36" t="s">
        <v>3</v>
      </c>
    </row>
    <row r="37" spans="1:8" x14ac:dyDescent="0.25">
      <c r="A37" s="4">
        <v>33</v>
      </c>
      <c r="C37" t="s">
        <v>3</v>
      </c>
      <c r="F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  <c r="D40" t="s">
        <v>2</v>
      </c>
      <c r="E40" t="s">
        <v>3</v>
      </c>
      <c r="F40" t="s">
        <v>3</v>
      </c>
      <c r="H40" t="s">
        <v>3</v>
      </c>
    </row>
    <row r="41" spans="1:8" x14ac:dyDescent="0.25">
      <c r="A41" s="4">
        <v>37</v>
      </c>
      <c r="E41" t="s">
        <v>3</v>
      </c>
      <c r="F41" t="s">
        <v>3</v>
      </c>
    </row>
    <row r="42" spans="1:8" x14ac:dyDescent="0.25">
      <c r="A42" s="4">
        <v>38</v>
      </c>
      <c r="B42" t="s">
        <v>3</v>
      </c>
      <c r="C42" t="s">
        <v>3</v>
      </c>
      <c r="E42" t="s">
        <v>3</v>
      </c>
      <c r="F42" t="s">
        <v>3</v>
      </c>
    </row>
    <row r="43" spans="1:8" x14ac:dyDescent="0.25">
      <c r="A43" s="4">
        <v>39</v>
      </c>
      <c r="B43" t="s">
        <v>3</v>
      </c>
      <c r="C43" t="s">
        <v>3</v>
      </c>
      <c r="E43" t="s">
        <v>3</v>
      </c>
      <c r="F43" t="s">
        <v>3</v>
      </c>
    </row>
    <row r="44" spans="1:8" x14ac:dyDescent="0.25">
      <c r="A44" s="4">
        <v>40</v>
      </c>
      <c r="E44" t="s">
        <v>3</v>
      </c>
      <c r="F44" t="s">
        <v>3</v>
      </c>
    </row>
    <row r="45" spans="1:8" x14ac:dyDescent="0.25">
      <c r="A45" s="4">
        <v>41</v>
      </c>
      <c r="B45" t="s">
        <v>3</v>
      </c>
      <c r="C45" t="s">
        <v>3</v>
      </c>
      <c r="E45" t="s">
        <v>3</v>
      </c>
      <c r="F45" t="s">
        <v>3</v>
      </c>
    </row>
    <row r="46" spans="1:8" x14ac:dyDescent="0.25">
      <c r="A46" s="4">
        <v>42</v>
      </c>
      <c r="B46" t="s">
        <v>2</v>
      </c>
      <c r="C46" t="s">
        <v>3</v>
      </c>
      <c r="E46" t="s">
        <v>3</v>
      </c>
      <c r="F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C49" t="s">
        <v>3</v>
      </c>
      <c r="E49" t="s">
        <v>3</v>
      </c>
      <c r="F49" t="s">
        <v>3</v>
      </c>
    </row>
    <row r="50" spans="1:8" x14ac:dyDescent="0.25">
      <c r="A50" s="4">
        <v>46</v>
      </c>
      <c r="B50" t="s">
        <v>3</v>
      </c>
      <c r="C50" t="s">
        <v>3</v>
      </c>
      <c r="E50" t="s">
        <v>3</v>
      </c>
      <c r="F50" t="s">
        <v>3</v>
      </c>
      <c r="H50" t="s">
        <v>3</v>
      </c>
    </row>
    <row r="51" spans="1:8" x14ac:dyDescent="0.25">
      <c r="A51" s="4">
        <v>47</v>
      </c>
      <c r="C51" t="s">
        <v>3</v>
      </c>
      <c r="E51" t="s">
        <v>3</v>
      </c>
      <c r="F51" t="s">
        <v>3</v>
      </c>
      <c r="H51" t="s">
        <v>3</v>
      </c>
    </row>
    <row r="52" spans="1:8" x14ac:dyDescent="0.25">
      <c r="A52" s="4">
        <v>48</v>
      </c>
      <c r="C52" t="s">
        <v>3</v>
      </c>
      <c r="E52" t="s">
        <v>3</v>
      </c>
      <c r="F52" t="s">
        <v>3</v>
      </c>
      <c r="H52" t="s">
        <v>3</v>
      </c>
    </row>
    <row r="53" spans="1:8" x14ac:dyDescent="0.25">
      <c r="A53" s="4">
        <v>49</v>
      </c>
      <c r="B53" t="s">
        <v>3</v>
      </c>
      <c r="C53" t="s">
        <v>3</v>
      </c>
      <c r="E53" t="s">
        <v>3</v>
      </c>
      <c r="F53" t="s">
        <v>3</v>
      </c>
      <c r="H53" t="s">
        <v>3</v>
      </c>
    </row>
    <row r="54" spans="1:8" x14ac:dyDescent="0.25">
      <c r="A54" s="4">
        <v>50</v>
      </c>
      <c r="B54" t="s">
        <v>3</v>
      </c>
      <c r="C54" t="s">
        <v>3</v>
      </c>
      <c r="E54" t="s">
        <v>2</v>
      </c>
      <c r="F54" t="s">
        <v>3</v>
      </c>
    </row>
    <row r="55" spans="1:8" x14ac:dyDescent="0.25">
      <c r="A55" s="4">
        <v>51</v>
      </c>
      <c r="B55" t="s">
        <v>3</v>
      </c>
      <c r="C55" t="s">
        <v>3</v>
      </c>
      <c r="D55" t="s">
        <v>2</v>
      </c>
      <c r="E55" t="s">
        <v>3</v>
      </c>
      <c r="F55" t="s">
        <v>3</v>
      </c>
    </row>
    <row r="56" spans="1:8" x14ac:dyDescent="0.25">
      <c r="A56" s="4">
        <v>52</v>
      </c>
      <c r="C56" t="s">
        <v>3</v>
      </c>
      <c r="F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3</v>
      </c>
      <c r="D58" t="s">
        <v>2</v>
      </c>
      <c r="F58" t="s">
        <v>3</v>
      </c>
    </row>
    <row r="59" spans="1:8" x14ac:dyDescent="0.25">
      <c r="A59" s="4">
        <v>55</v>
      </c>
      <c r="B59" t="s">
        <v>3</v>
      </c>
      <c r="C59" t="s">
        <v>2</v>
      </c>
      <c r="E59" t="s">
        <v>3</v>
      </c>
      <c r="F59" t="s">
        <v>3</v>
      </c>
      <c r="H59" t="s">
        <v>3</v>
      </c>
    </row>
    <row r="60" spans="1:8" x14ac:dyDescent="0.25">
      <c r="A60" s="4">
        <v>56</v>
      </c>
      <c r="C60" t="s">
        <v>3</v>
      </c>
      <c r="F60" t="s">
        <v>3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811" priority="18" operator="equal">
      <formula>"Energia"</formula>
    </cfRule>
    <cfRule type="cellIs" dxfId="810" priority="20" operator="equal">
      <formula>"Operação"</formula>
    </cfRule>
    <cfRule type="cellIs" dxfId="809" priority="21" operator="equal">
      <formula>"Chuva"</formula>
    </cfRule>
    <cfRule type="cellIs" dxfId="808" priority="22" operator="equal">
      <formula>"Elétrico"</formula>
    </cfRule>
    <cfRule type="cellIs" dxfId="807" priority="23" operator="equal">
      <formula>"Mecânico"</formula>
    </cfRule>
    <cfRule type="cellIs" dxfId="806" priority="24" operator="equal">
      <formula>"Ok"</formula>
    </cfRule>
  </conditionalFormatting>
  <conditionalFormatting sqref="B61:I62 I5:I60">
    <cfRule type="cellIs" dxfId="805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804" priority="16" operator="equal">
      <formula>"Energia"</formula>
    </cfRule>
  </conditionalFormatting>
  <conditionalFormatting sqref="G5:H60 B5:E60">
    <cfRule type="cellIs" dxfId="803" priority="9" operator="equal">
      <formula>"Energia"</formula>
    </cfRule>
    <cfRule type="cellIs" dxfId="802" priority="11" operator="equal">
      <formula>"Operação"</formula>
    </cfRule>
    <cfRule type="cellIs" dxfId="801" priority="12" operator="equal">
      <formula>"Chuva"</formula>
    </cfRule>
    <cfRule type="cellIs" dxfId="800" priority="13" operator="equal">
      <formula>"Elétrico"</formula>
    </cfRule>
    <cfRule type="cellIs" dxfId="799" priority="14" operator="equal">
      <formula>"Mecânico"</formula>
    </cfRule>
    <cfRule type="cellIs" dxfId="798" priority="15" operator="equal">
      <formula>"Ok"</formula>
    </cfRule>
  </conditionalFormatting>
  <conditionalFormatting sqref="G5:H60 B5:E60">
    <cfRule type="cellIs" dxfId="797" priority="10" operator="equal">
      <formula>"Feito"</formula>
    </cfRule>
  </conditionalFormatting>
  <conditionalFormatting sqref="F5:F11">
    <cfRule type="cellIs" dxfId="796" priority="8" operator="equal">
      <formula>"Energia"</formula>
    </cfRule>
  </conditionalFormatting>
  <conditionalFormatting sqref="F5:F60">
    <cfRule type="cellIs" dxfId="795" priority="1" operator="equal">
      <formula>"Energia"</formula>
    </cfRule>
    <cfRule type="cellIs" dxfId="794" priority="3" operator="equal">
      <formula>"Operação"</formula>
    </cfRule>
    <cfRule type="cellIs" dxfId="793" priority="4" operator="equal">
      <formula>"Chuva"</formula>
    </cfRule>
    <cfRule type="cellIs" dxfId="792" priority="5" operator="equal">
      <formula>"Elétrico"</formula>
    </cfRule>
    <cfRule type="cellIs" dxfId="791" priority="6" operator="equal">
      <formula>"Mecânico"</formula>
    </cfRule>
    <cfRule type="cellIs" dxfId="790" priority="7" operator="equal">
      <formula>"Ok"</formula>
    </cfRule>
  </conditionalFormatting>
  <conditionalFormatting sqref="F5:F60">
    <cfRule type="cellIs" dxfId="789" priority="2" operator="equal">
      <formula>"Feito"</formula>
    </cfRule>
  </conditionalFormatting>
  <dataValidations count="1">
    <dataValidation type="list" allowBlank="1" showInputMessage="1" showErrorMessage="1" sqref="B61:I62 B5:J60" xr:uid="{631224D6-471A-4BCE-AB54-A61CAAD167E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380A-0B29-4666-BF91-1F925A097EDB}">
  <sheetPr codeName="Planilha39"/>
  <dimension ref="A3:L62"/>
  <sheetViews>
    <sheetView workbookViewId="0">
      <pane xSplit="1" topLeftCell="B1" activePane="topRight" state="frozen"/>
      <selection pane="topRight" activeCell="I10" sqref="I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44494</v>
      </c>
      <c r="C3" s="3">
        <f>B3+1</f>
        <v>44495</v>
      </c>
      <c r="D3" s="3">
        <f t="shared" ref="D3:H3" si="0">C3+1</f>
        <v>44496</v>
      </c>
      <c r="E3" s="3">
        <f t="shared" si="0"/>
        <v>44497</v>
      </c>
      <c r="F3" s="3">
        <f t="shared" si="0"/>
        <v>44498</v>
      </c>
      <c r="G3" s="3">
        <f t="shared" si="0"/>
        <v>44499</v>
      </c>
      <c r="H3" s="3">
        <f t="shared" si="0"/>
        <v>44500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3</v>
      </c>
      <c r="E5" t="s">
        <v>7</v>
      </c>
      <c r="F5" t="s">
        <v>7</v>
      </c>
      <c r="G5" t="s">
        <v>7</v>
      </c>
      <c r="H5" t="s">
        <v>7</v>
      </c>
      <c r="K5" s="5" t="s">
        <v>2</v>
      </c>
      <c r="L5">
        <f>COUNTIF($B$5:$I$60,K5)</f>
        <v>69</v>
      </c>
    </row>
    <row r="6" spans="1:12" x14ac:dyDescent="0.25">
      <c r="A6" s="4">
        <v>2</v>
      </c>
      <c r="B6" t="s">
        <v>7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>COUNTIF($B$5:$I$60,K6)</f>
        <v>5</v>
      </c>
    </row>
    <row r="7" spans="1:12" x14ac:dyDescent="0.25">
      <c r="A7" s="4">
        <v>3</v>
      </c>
      <c r="B7" t="s">
        <v>7</v>
      </c>
      <c r="E7" t="s">
        <v>2</v>
      </c>
      <c r="F7" t="s">
        <v>5</v>
      </c>
      <c r="G7" t="s">
        <v>2</v>
      </c>
      <c r="H7" t="s">
        <v>7</v>
      </c>
      <c r="K7" s="7" t="s">
        <v>6</v>
      </c>
      <c r="L7">
        <f t="shared" ref="L7:L10" si="2">COUNTIF($B$5:$I$60,K7)</f>
        <v>4</v>
      </c>
    </row>
    <row r="8" spans="1:12" x14ac:dyDescent="0.25">
      <c r="A8" s="4">
        <v>4</v>
      </c>
      <c r="B8" t="s">
        <v>7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7</v>
      </c>
      <c r="E9" t="s">
        <v>2</v>
      </c>
      <c r="F9" t="s">
        <v>2</v>
      </c>
      <c r="G9" t="s">
        <v>2</v>
      </c>
      <c r="H9" t="s">
        <v>2</v>
      </c>
      <c r="K9" s="9" t="s">
        <v>3</v>
      </c>
      <c r="L9">
        <f t="shared" si="2"/>
        <v>7</v>
      </c>
    </row>
    <row r="10" spans="1:12" x14ac:dyDescent="0.25">
      <c r="A10" s="4">
        <v>6</v>
      </c>
      <c r="F10" t="s">
        <v>2</v>
      </c>
      <c r="G10" t="s">
        <v>2</v>
      </c>
      <c r="H10" t="s">
        <v>2</v>
      </c>
      <c r="K10" s="10" t="s">
        <v>7</v>
      </c>
      <c r="L10">
        <f t="shared" si="2"/>
        <v>28</v>
      </c>
    </row>
    <row r="11" spans="1:12" x14ac:dyDescent="0.25">
      <c r="A11" s="4">
        <v>7</v>
      </c>
      <c r="D11" t="s">
        <v>7</v>
      </c>
      <c r="E11" t="s">
        <v>2</v>
      </c>
      <c r="F11" t="s">
        <v>2</v>
      </c>
      <c r="G11" t="s">
        <v>2</v>
      </c>
      <c r="H11" t="s">
        <v>2</v>
      </c>
      <c r="L11">
        <f>SUM(L5:L10)</f>
        <v>113</v>
      </c>
    </row>
    <row r="12" spans="1:12" x14ac:dyDescent="0.25">
      <c r="A12" s="4">
        <v>8</v>
      </c>
      <c r="F12" t="s">
        <v>7</v>
      </c>
      <c r="G12" t="s">
        <v>7</v>
      </c>
      <c r="H12" t="s">
        <v>2</v>
      </c>
    </row>
    <row r="13" spans="1:12" x14ac:dyDescent="0.25">
      <c r="A13" s="4">
        <v>9</v>
      </c>
      <c r="H13" t="s">
        <v>2</v>
      </c>
    </row>
    <row r="14" spans="1:12" x14ac:dyDescent="0.25">
      <c r="A14" s="4">
        <v>10</v>
      </c>
      <c r="G14" t="s">
        <v>2</v>
      </c>
    </row>
    <row r="15" spans="1:12" x14ac:dyDescent="0.25">
      <c r="A15" s="4">
        <v>11</v>
      </c>
      <c r="H15" t="s">
        <v>7</v>
      </c>
    </row>
    <row r="16" spans="1:12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  <c r="E19" t="s">
        <v>2</v>
      </c>
      <c r="H19" t="s">
        <v>2</v>
      </c>
    </row>
    <row r="20" spans="1:8" x14ac:dyDescent="0.25">
      <c r="A20" s="4">
        <v>16</v>
      </c>
      <c r="D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3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C33" t="s">
        <v>3</v>
      </c>
      <c r="G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D35" t="s">
        <v>7</v>
      </c>
      <c r="E35" t="s">
        <v>2</v>
      </c>
      <c r="F35" t="s">
        <v>6</v>
      </c>
      <c r="G35" t="s">
        <v>2</v>
      </c>
      <c r="H35" t="s">
        <v>2</v>
      </c>
    </row>
    <row r="36" spans="1:8" x14ac:dyDescent="0.25">
      <c r="A36" s="4">
        <v>32</v>
      </c>
      <c r="B36" t="s">
        <v>7</v>
      </c>
      <c r="D36" t="s">
        <v>2</v>
      </c>
      <c r="E36" t="s">
        <v>5</v>
      </c>
      <c r="F36" t="s">
        <v>6</v>
      </c>
      <c r="G36" t="s">
        <v>7</v>
      </c>
      <c r="H36" t="s">
        <v>5</v>
      </c>
    </row>
    <row r="37" spans="1:8" x14ac:dyDescent="0.25">
      <c r="A37" s="4">
        <v>33</v>
      </c>
      <c r="C37" t="s">
        <v>3</v>
      </c>
      <c r="D37" t="s">
        <v>7</v>
      </c>
      <c r="E37" t="s">
        <v>7</v>
      </c>
      <c r="F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C39" t="s">
        <v>3</v>
      </c>
      <c r="D39" t="s">
        <v>2</v>
      </c>
      <c r="E39" t="s">
        <v>7</v>
      </c>
      <c r="F39" t="s">
        <v>2</v>
      </c>
      <c r="G39" t="s">
        <v>2</v>
      </c>
      <c r="H39" t="s">
        <v>2</v>
      </c>
    </row>
    <row r="40" spans="1:8" x14ac:dyDescent="0.25">
      <c r="A40" s="4">
        <v>36</v>
      </c>
      <c r="C40" t="s">
        <v>3</v>
      </c>
      <c r="E40" t="s">
        <v>2</v>
      </c>
      <c r="F40" t="s">
        <v>2</v>
      </c>
      <c r="G40" t="s">
        <v>2</v>
      </c>
      <c r="H40" t="s">
        <v>2</v>
      </c>
    </row>
    <row r="41" spans="1:8" x14ac:dyDescent="0.25">
      <c r="A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 x14ac:dyDescent="0.25">
      <c r="A42" s="4">
        <v>38</v>
      </c>
      <c r="F42" t="s">
        <v>7</v>
      </c>
      <c r="G42" t="s">
        <v>2</v>
      </c>
    </row>
    <row r="43" spans="1:8" x14ac:dyDescent="0.25">
      <c r="A43" s="4">
        <v>39</v>
      </c>
      <c r="D43" t="s">
        <v>7</v>
      </c>
      <c r="E43" t="s">
        <v>2</v>
      </c>
      <c r="G43" t="s">
        <v>2</v>
      </c>
    </row>
    <row r="44" spans="1:8" x14ac:dyDescent="0.25">
      <c r="A44" s="4">
        <v>40</v>
      </c>
      <c r="D44" t="s">
        <v>2</v>
      </c>
      <c r="F44" t="s">
        <v>2</v>
      </c>
      <c r="G44" t="s">
        <v>2</v>
      </c>
      <c r="H44" t="s">
        <v>2</v>
      </c>
    </row>
    <row r="45" spans="1:8" x14ac:dyDescent="0.25">
      <c r="A45" s="4">
        <v>41</v>
      </c>
      <c r="C45" t="s">
        <v>5</v>
      </c>
      <c r="E45" t="s">
        <v>7</v>
      </c>
    </row>
    <row r="46" spans="1:8" x14ac:dyDescent="0.25">
      <c r="A46" s="4">
        <v>42</v>
      </c>
      <c r="B46" t="s">
        <v>5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H49" t="s">
        <v>2</v>
      </c>
    </row>
    <row r="50" spans="1:8" x14ac:dyDescent="0.25">
      <c r="A50" s="4">
        <v>46</v>
      </c>
      <c r="B50" t="s">
        <v>7</v>
      </c>
    </row>
    <row r="51" spans="1:8" x14ac:dyDescent="0.25">
      <c r="A51" s="4">
        <v>47</v>
      </c>
      <c r="B51" t="s">
        <v>7</v>
      </c>
    </row>
    <row r="52" spans="1:8" x14ac:dyDescent="0.25">
      <c r="A52" s="4">
        <v>48</v>
      </c>
    </row>
    <row r="53" spans="1:8" x14ac:dyDescent="0.25">
      <c r="A53" s="4">
        <v>49</v>
      </c>
    </row>
    <row r="54" spans="1:8" x14ac:dyDescent="0.25">
      <c r="A54" s="4">
        <v>50</v>
      </c>
      <c r="D54" t="s">
        <v>2</v>
      </c>
      <c r="G54" t="s">
        <v>2</v>
      </c>
    </row>
    <row r="55" spans="1:8" x14ac:dyDescent="0.25">
      <c r="A55" s="4">
        <v>51</v>
      </c>
      <c r="B55" t="s">
        <v>2</v>
      </c>
      <c r="C55" t="s">
        <v>2</v>
      </c>
      <c r="F55" t="s">
        <v>2</v>
      </c>
      <c r="H55" t="s">
        <v>2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7</v>
      </c>
      <c r="C58" t="s">
        <v>2</v>
      </c>
      <c r="D58" t="s">
        <v>2</v>
      </c>
      <c r="G58" t="s">
        <v>2</v>
      </c>
    </row>
    <row r="59" spans="1:8" x14ac:dyDescent="0.25">
      <c r="A59" s="4">
        <v>55</v>
      </c>
      <c r="G59" t="s">
        <v>6</v>
      </c>
    </row>
    <row r="60" spans="1:8" x14ac:dyDescent="0.25">
      <c r="A60" s="4">
        <v>56</v>
      </c>
      <c r="E60" t="s">
        <v>7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788" priority="18" operator="equal">
      <formula>"Energia"</formula>
    </cfRule>
    <cfRule type="cellIs" dxfId="787" priority="20" operator="equal">
      <formula>"Operação"</formula>
    </cfRule>
    <cfRule type="cellIs" dxfId="786" priority="21" operator="equal">
      <formula>"Chuva"</formula>
    </cfRule>
    <cfRule type="cellIs" dxfId="785" priority="22" operator="equal">
      <formula>"Elétrico"</formula>
    </cfRule>
    <cfRule type="cellIs" dxfId="784" priority="23" operator="equal">
      <formula>"Mecânico"</formula>
    </cfRule>
    <cfRule type="cellIs" dxfId="783" priority="24" operator="equal">
      <formula>"Ok"</formula>
    </cfRule>
  </conditionalFormatting>
  <conditionalFormatting sqref="B61:I62 I5:I60">
    <cfRule type="cellIs" dxfId="782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81" priority="16" operator="equal">
      <formula>"Energia"</formula>
    </cfRule>
  </conditionalFormatting>
  <conditionalFormatting sqref="G5:H60 B5:E60">
    <cfRule type="cellIs" dxfId="780" priority="9" operator="equal">
      <formula>"Energia"</formula>
    </cfRule>
    <cfRule type="cellIs" dxfId="779" priority="11" operator="equal">
      <formula>"Operação"</formula>
    </cfRule>
    <cfRule type="cellIs" dxfId="778" priority="12" operator="equal">
      <formula>"Chuva"</formula>
    </cfRule>
    <cfRule type="cellIs" dxfId="777" priority="13" operator="equal">
      <formula>"Elétrico"</formula>
    </cfRule>
    <cfRule type="cellIs" dxfId="776" priority="14" operator="equal">
      <formula>"Mecânico"</formula>
    </cfRule>
    <cfRule type="cellIs" dxfId="775" priority="15" operator="equal">
      <formula>"Ok"</formula>
    </cfRule>
  </conditionalFormatting>
  <conditionalFormatting sqref="G5:H60 B5:E60">
    <cfRule type="cellIs" dxfId="774" priority="10" operator="equal">
      <formula>"Feito"</formula>
    </cfRule>
  </conditionalFormatting>
  <conditionalFormatting sqref="F5:F11">
    <cfRule type="cellIs" dxfId="773" priority="8" operator="equal">
      <formula>"Energia"</formula>
    </cfRule>
  </conditionalFormatting>
  <conditionalFormatting sqref="F5:F60">
    <cfRule type="cellIs" dxfId="772" priority="1" operator="equal">
      <formula>"Energia"</formula>
    </cfRule>
    <cfRule type="cellIs" dxfId="771" priority="3" operator="equal">
      <formula>"Operação"</formula>
    </cfRule>
    <cfRule type="cellIs" dxfId="770" priority="4" operator="equal">
      <formula>"Chuva"</formula>
    </cfRule>
    <cfRule type="cellIs" dxfId="769" priority="5" operator="equal">
      <formula>"Elétrico"</formula>
    </cfRule>
    <cfRule type="cellIs" dxfId="768" priority="6" operator="equal">
      <formula>"Mecânico"</formula>
    </cfRule>
    <cfRule type="cellIs" dxfId="767" priority="7" operator="equal">
      <formula>"Ok"</formula>
    </cfRule>
  </conditionalFormatting>
  <conditionalFormatting sqref="F5:F60">
    <cfRule type="cellIs" dxfId="766" priority="2" operator="equal">
      <formula>"Feito"</formula>
    </cfRule>
  </conditionalFormatting>
  <dataValidations count="1">
    <dataValidation type="list" allowBlank="1" showInputMessage="1" showErrorMessage="1" sqref="B61:I62 B5:J60" xr:uid="{29185F61-7F10-48B1-9B06-432602F2A8F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4E9C-DA58-4E7F-A1D2-26254D812D37}">
  <sheetPr codeName="Planilha40"/>
  <dimension ref="A3:L62"/>
  <sheetViews>
    <sheetView zoomScale="110" zoomScaleNormal="110" workbookViewId="0">
      <pane xSplit="1" topLeftCell="B1" activePane="topRight" state="frozen"/>
      <selection pane="topRight" activeCell="K15" sqref="K1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44501</v>
      </c>
      <c r="C3" s="3">
        <f>B3+1</f>
        <v>44502</v>
      </c>
      <c r="D3" s="3">
        <f t="shared" ref="D3:H3" si="0">C3+1</f>
        <v>44503</v>
      </c>
      <c r="E3" s="3">
        <f t="shared" si="0"/>
        <v>44504</v>
      </c>
      <c r="F3" s="3">
        <f t="shared" si="0"/>
        <v>44505</v>
      </c>
      <c r="G3" s="3">
        <f t="shared" si="0"/>
        <v>44506</v>
      </c>
      <c r="H3" s="3">
        <f t="shared" si="0"/>
        <v>44507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7</v>
      </c>
      <c r="G5" t="s">
        <v>2</v>
      </c>
      <c r="H5" t="s">
        <v>2</v>
      </c>
      <c r="K5" s="5" t="s">
        <v>2</v>
      </c>
      <c r="L5">
        <f>COUNTIF($B$5:$I$60,K5)</f>
        <v>85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G6" t="s">
        <v>2</v>
      </c>
      <c r="H6" t="s">
        <v>2</v>
      </c>
      <c r="K6" s="6" t="s">
        <v>5</v>
      </c>
      <c r="L6">
        <f>COUNTIF($B$5:$I$60,K6)</f>
        <v>4</v>
      </c>
    </row>
    <row r="7" spans="1:12" x14ac:dyDescent="0.25">
      <c r="A7" s="4">
        <v>3</v>
      </c>
      <c r="B7" t="s">
        <v>7</v>
      </c>
      <c r="C7" t="s">
        <v>2</v>
      </c>
      <c r="D7" t="s">
        <v>7</v>
      </c>
      <c r="E7" t="s">
        <v>2</v>
      </c>
      <c r="G7" t="s">
        <v>2</v>
      </c>
      <c r="H7" t="s">
        <v>7</v>
      </c>
      <c r="K7" s="7" t="s">
        <v>6</v>
      </c>
      <c r="L7">
        <f t="shared" ref="L7:L10" si="2">COUNTIF($B$5:$I$60,K7)</f>
        <v>8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C9" t="s">
        <v>2</v>
      </c>
      <c r="D9" t="s">
        <v>2</v>
      </c>
      <c r="E9" t="s">
        <v>2</v>
      </c>
      <c r="H9" t="s">
        <v>2</v>
      </c>
      <c r="K9" s="9" t="s">
        <v>3</v>
      </c>
      <c r="L9">
        <f t="shared" si="2"/>
        <v>5</v>
      </c>
    </row>
    <row r="10" spans="1:12" x14ac:dyDescent="0.25">
      <c r="A10" s="4">
        <v>6</v>
      </c>
      <c r="B10" t="s">
        <v>2</v>
      </c>
      <c r="C10" t="s">
        <v>2</v>
      </c>
      <c r="D10" t="s">
        <v>2</v>
      </c>
      <c r="E10" t="s">
        <v>5</v>
      </c>
      <c r="H10" t="s">
        <v>7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L11">
        <f>SUM(L5:L10)</f>
        <v>122</v>
      </c>
    </row>
    <row r="12" spans="1:12" x14ac:dyDescent="0.25">
      <c r="A12" s="4">
        <v>8</v>
      </c>
      <c r="B12" t="s">
        <v>2</v>
      </c>
      <c r="C12" t="s">
        <v>2</v>
      </c>
      <c r="D12" t="s">
        <v>2</v>
      </c>
      <c r="E12" t="s">
        <v>2</v>
      </c>
      <c r="F12" t="s">
        <v>3</v>
      </c>
      <c r="G12" t="s">
        <v>7</v>
      </c>
    </row>
    <row r="13" spans="1:12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12" x14ac:dyDescent="0.25">
      <c r="A14" s="4">
        <v>10</v>
      </c>
      <c r="D14" t="s">
        <v>2</v>
      </c>
      <c r="E14" t="s">
        <v>2</v>
      </c>
      <c r="F14" t="s">
        <v>3</v>
      </c>
      <c r="G14" t="s">
        <v>2</v>
      </c>
      <c r="H14" t="s">
        <v>2</v>
      </c>
    </row>
    <row r="15" spans="1:12" x14ac:dyDescent="0.25">
      <c r="A15" s="4">
        <v>11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C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s="4">
        <v>13</v>
      </c>
    </row>
    <row r="18" spans="1:8" x14ac:dyDescent="0.25">
      <c r="A18" s="4">
        <v>14</v>
      </c>
      <c r="H18" t="s">
        <v>7</v>
      </c>
    </row>
    <row r="19" spans="1:8" x14ac:dyDescent="0.25">
      <c r="A19" s="4">
        <v>15</v>
      </c>
      <c r="D19" t="s">
        <v>7</v>
      </c>
      <c r="H19" t="s">
        <v>2</v>
      </c>
    </row>
    <row r="20" spans="1:8" x14ac:dyDescent="0.25">
      <c r="A20" s="4">
        <v>16</v>
      </c>
      <c r="B20" t="s">
        <v>7</v>
      </c>
    </row>
    <row r="21" spans="1:8" x14ac:dyDescent="0.25">
      <c r="A21" s="4">
        <v>17</v>
      </c>
      <c r="E21" t="s">
        <v>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6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2</v>
      </c>
      <c r="E29" t="s">
        <v>6</v>
      </c>
      <c r="F29" t="s">
        <v>3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D33" t="s">
        <v>3</v>
      </c>
      <c r="F33" t="s">
        <v>2</v>
      </c>
      <c r="H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2</v>
      </c>
      <c r="C35" t="s">
        <v>7</v>
      </c>
      <c r="D35" t="s">
        <v>6</v>
      </c>
      <c r="G35" t="s">
        <v>6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5</v>
      </c>
      <c r="D37" t="s">
        <v>5</v>
      </c>
      <c r="E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C39" t="s">
        <v>5</v>
      </c>
      <c r="D39" t="s">
        <v>2</v>
      </c>
      <c r="F39" t="s">
        <v>2</v>
      </c>
    </row>
    <row r="40" spans="1:8" x14ac:dyDescent="0.25">
      <c r="A40" s="4">
        <v>36</v>
      </c>
      <c r="B40" t="s">
        <v>2</v>
      </c>
      <c r="C40" t="s">
        <v>2</v>
      </c>
      <c r="D40" t="s">
        <v>2</v>
      </c>
      <c r="H40" t="s">
        <v>7</v>
      </c>
    </row>
    <row r="41" spans="1:8" x14ac:dyDescent="0.25">
      <c r="A41" s="4">
        <v>37</v>
      </c>
      <c r="B41" t="s">
        <v>2</v>
      </c>
      <c r="C41" t="s">
        <v>2</v>
      </c>
      <c r="H41" t="s">
        <v>2</v>
      </c>
    </row>
    <row r="42" spans="1:8" x14ac:dyDescent="0.25">
      <c r="A42" s="4">
        <v>38</v>
      </c>
      <c r="B42" t="s">
        <v>2</v>
      </c>
      <c r="F42" t="s">
        <v>2</v>
      </c>
    </row>
    <row r="43" spans="1:8" x14ac:dyDescent="0.25">
      <c r="A43" s="4">
        <v>39</v>
      </c>
      <c r="C43" t="s">
        <v>2</v>
      </c>
      <c r="E43" t="s">
        <v>2</v>
      </c>
      <c r="G43" t="s">
        <v>2</v>
      </c>
    </row>
    <row r="44" spans="1:8" x14ac:dyDescent="0.25">
      <c r="A44" s="4">
        <v>40</v>
      </c>
      <c r="F44" t="s">
        <v>2</v>
      </c>
    </row>
    <row r="45" spans="1:8" x14ac:dyDescent="0.25">
      <c r="A45" s="4">
        <v>41</v>
      </c>
      <c r="C45" t="s">
        <v>6</v>
      </c>
      <c r="G45" t="s">
        <v>2</v>
      </c>
    </row>
    <row r="46" spans="1:8" x14ac:dyDescent="0.25">
      <c r="A46" s="4">
        <v>42</v>
      </c>
      <c r="D46" t="s">
        <v>2</v>
      </c>
      <c r="F46" t="s">
        <v>7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  <c r="B55" t="s">
        <v>2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  <c r="B58" t="s">
        <v>6</v>
      </c>
    </row>
    <row r="59" spans="1:2" x14ac:dyDescent="0.25">
      <c r="A59" s="4">
        <v>55</v>
      </c>
      <c r="B59" t="s">
        <v>7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</sheetData>
  <conditionalFormatting sqref="B61:I62 I5:I60">
    <cfRule type="cellIs" dxfId="765" priority="18" operator="equal">
      <formula>"Energia"</formula>
    </cfRule>
    <cfRule type="cellIs" dxfId="764" priority="20" operator="equal">
      <formula>"Operação"</formula>
    </cfRule>
    <cfRule type="cellIs" dxfId="763" priority="21" operator="equal">
      <formula>"Chuva"</formula>
    </cfRule>
    <cfRule type="cellIs" dxfId="762" priority="22" operator="equal">
      <formula>"Elétrico"</formula>
    </cfRule>
    <cfRule type="cellIs" dxfId="761" priority="23" operator="equal">
      <formula>"Mecânico"</formula>
    </cfRule>
    <cfRule type="cellIs" dxfId="760" priority="24" operator="equal">
      <formula>"Ok"</formula>
    </cfRule>
  </conditionalFormatting>
  <conditionalFormatting sqref="B61:I62 I5:I60">
    <cfRule type="cellIs" dxfId="759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58" priority="16" operator="equal">
      <formula>"Energia"</formula>
    </cfRule>
  </conditionalFormatting>
  <conditionalFormatting sqref="G5:H60 B5:E60">
    <cfRule type="cellIs" dxfId="757" priority="9" operator="equal">
      <formula>"Energia"</formula>
    </cfRule>
    <cfRule type="cellIs" dxfId="756" priority="11" operator="equal">
      <formula>"Operação"</formula>
    </cfRule>
    <cfRule type="cellIs" dxfId="755" priority="12" operator="equal">
      <formula>"Chuva"</formula>
    </cfRule>
    <cfRule type="cellIs" dxfId="754" priority="13" operator="equal">
      <formula>"Elétrico"</formula>
    </cfRule>
    <cfRule type="cellIs" dxfId="753" priority="14" operator="equal">
      <formula>"Mecânico"</formula>
    </cfRule>
    <cfRule type="cellIs" dxfId="752" priority="15" operator="equal">
      <formula>"Ok"</formula>
    </cfRule>
  </conditionalFormatting>
  <conditionalFormatting sqref="G5:H60 B5:E60">
    <cfRule type="cellIs" dxfId="751" priority="10" operator="equal">
      <formula>"Feito"</formula>
    </cfRule>
  </conditionalFormatting>
  <conditionalFormatting sqref="F5:F11">
    <cfRule type="cellIs" dxfId="750" priority="8" operator="equal">
      <formula>"Energia"</formula>
    </cfRule>
  </conditionalFormatting>
  <conditionalFormatting sqref="F5:F60">
    <cfRule type="cellIs" dxfId="749" priority="1" operator="equal">
      <formula>"Energia"</formula>
    </cfRule>
    <cfRule type="cellIs" dxfId="748" priority="3" operator="equal">
      <formula>"Operação"</formula>
    </cfRule>
    <cfRule type="cellIs" dxfId="747" priority="4" operator="equal">
      <formula>"Chuva"</formula>
    </cfRule>
    <cfRule type="cellIs" dxfId="746" priority="5" operator="equal">
      <formula>"Elétrico"</formula>
    </cfRule>
    <cfRule type="cellIs" dxfId="745" priority="6" operator="equal">
      <formula>"Mecânico"</formula>
    </cfRule>
    <cfRule type="cellIs" dxfId="744" priority="7" operator="equal">
      <formula>"Ok"</formula>
    </cfRule>
  </conditionalFormatting>
  <conditionalFormatting sqref="F5:F60">
    <cfRule type="cellIs" dxfId="743" priority="2" operator="equal">
      <formula>"Feito"</formula>
    </cfRule>
  </conditionalFormatting>
  <dataValidations count="1">
    <dataValidation type="list" allowBlank="1" showInputMessage="1" showErrorMessage="1" sqref="B61:I62 B5:J60" xr:uid="{6982E1B5-9587-43C5-B8B1-ED719940967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C82-2251-48D4-BBEB-C1081FFA46D3}">
  <sheetPr codeName="Planilha41"/>
  <dimension ref="A3:L62"/>
  <sheetViews>
    <sheetView topLeftCell="A13" zoomScale="110" zoomScaleNormal="110"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44508</v>
      </c>
      <c r="C3" s="3">
        <f>B3+1</f>
        <v>44509</v>
      </c>
      <c r="D3" s="3">
        <f t="shared" ref="D3:H3" si="0">C3+1</f>
        <v>44510</v>
      </c>
      <c r="E3" s="3">
        <f t="shared" si="0"/>
        <v>44511</v>
      </c>
      <c r="F3" s="3">
        <f t="shared" si="0"/>
        <v>44512</v>
      </c>
      <c r="G3" s="3">
        <f t="shared" si="0"/>
        <v>44513</v>
      </c>
      <c r="H3" s="3">
        <f t="shared" si="0"/>
        <v>44514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3</v>
      </c>
    </row>
    <row r="6" spans="1:12" x14ac:dyDescent="0.25">
      <c r="A6" s="4">
        <v>2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K7" s="7" t="s">
        <v>6</v>
      </c>
      <c r="L7">
        <f t="shared" ref="L7:L10" si="2">COUNTIF($B$5:$I$60,K7)</f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5</v>
      </c>
    </row>
    <row r="10" spans="1:12" x14ac:dyDescent="0.25">
      <c r="A10" s="4">
        <v>6</v>
      </c>
      <c r="K10" s="10" t="s">
        <v>7</v>
      </c>
      <c r="L10">
        <f t="shared" si="2"/>
        <v>6</v>
      </c>
    </row>
    <row r="11" spans="1:12" x14ac:dyDescent="0.25">
      <c r="A11" s="4">
        <v>7</v>
      </c>
      <c r="L11">
        <f>SUM(L5:L10)</f>
        <v>16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B29" t="s">
        <v>7</v>
      </c>
      <c r="E29" t="s">
        <v>6</v>
      </c>
      <c r="F29" t="s">
        <v>2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2" x14ac:dyDescent="0.25">
      <c r="A33" s="4">
        <v>29</v>
      </c>
    </row>
    <row r="34" spans="1:2" x14ac:dyDescent="0.25">
      <c r="A34" s="4">
        <v>30</v>
      </c>
    </row>
    <row r="35" spans="1:2" x14ac:dyDescent="0.25">
      <c r="A35" s="4">
        <v>31</v>
      </c>
    </row>
    <row r="36" spans="1:2" x14ac:dyDescent="0.25">
      <c r="A36" s="4">
        <v>32</v>
      </c>
    </row>
    <row r="37" spans="1:2" x14ac:dyDescent="0.25">
      <c r="A37" s="4">
        <v>33</v>
      </c>
    </row>
    <row r="38" spans="1:2" x14ac:dyDescent="0.25">
      <c r="A38" s="4">
        <v>34</v>
      </c>
    </row>
    <row r="39" spans="1:2" x14ac:dyDescent="0.25">
      <c r="A39" s="4">
        <v>35</v>
      </c>
      <c r="B39" t="s">
        <v>3</v>
      </c>
    </row>
    <row r="40" spans="1:2" x14ac:dyDescent="0.25">
      <c r="A40" s="4">
        <v>36</v>
      </c>
      <c r="B40" t="s">
        <v>3</v>
      </c>
    </row>
    <row r="41" spans="1:2" x14ac:dyDescent="0.25">
      <c r="A41" s="4">
        <v>37</v>
      </c>
    </row>
    <row r="42" spans="1:2" x14ac:dyDescent="0.25">
      <c r="A42" s="4">
        <v>38</v>
      </c>
      <c r="B42" t="s">
        <v>3</v>
      </c>
    </row>
    <row r="43" spans="1:2" x14ac:dyDescent="0.25">
      <c r="A43" s="4">
        <v>39</v>
      </c>
    </row>
    <row r="44" spans="1:2" x14ac:dyDescent="0.25">
      <c r="A44" s="4">
        <v>40</v>
      </c>
      <c r="B44" t="s">
        <v>3</v>
      </c>
    </row>
    <row r="45" spans="1:2" x14ac:dyDescent="0.25">
      <c r="A45" s="4">
        <v>41</v>
      </c>
    </row>
    <row r="46" spans="1:2" x14ac:dyDescent="0.25">
      <c r="A46" s="4">
        <v>42</v>
      </c>
      <c r="B46" t="s">
        <v>3</v>
      </c>
    </row>
    <row r="47" spans="1:2" x14ac:dyDescent="0.25">
      <c r="A47" s="4">
        <v>43</v>
      </c>
    </row>
    <row r="48" spans="1:2" x14ac:dyDescent="0.25">
      <c r="A48" s="4">
        <v>44</v>
      </c>
    </row>
    <row r="49" spans="1:7" x14ac:dyDescent="0.25">
      <c r="A49" s="4">
        <v>45</v>
      </c>
    </row>
    <row r="50" spans="1:7" x14ac:dyDescent="0.25">
      <c r="A50" s="4">
        <v>46</v>
      </c>
    </row>
    <row r="51" spans="1:7" x14ac:dyDescent="0.25">
      <c r="A51" s="4">
        <v>47</v>
      </c>
    </row>
    <row r="52" spans="1:7" x14ac:dyDescent="0.25">
      <c r="A52" s="4">
        <v>48</v>
      </c>
    </row>
    <row r="53" spans="1:7" x14ac:dyDescent="0.25">
      <c r="A53" s="4">
        <v>49</v>
      </c>
    </row>
    <row r="54" spans="1:7" x14ac:dyDescent="0.25">
      <c r="A54" s="4">
        <v>50</v>
      </c>
    </row>
    <row r="55" spans="1:7" x14ac:dyDescent="0.25">
      <c r="A55" s="4">
        <v>51</v>
      </c>
    </row>
    <row r="56" spans="1:7" x14ac:dyDescent="0.25">
      <c r="A56" s="4">
        <v>52</v>
      </c>
    </row>
    <row r="57" spans="1:7" x14ac:dyDescent="0.25">
      <c r="A57" s="4">
        <v>53</v>
      </c>
    </row>
    <row r="58" spans="1:7" x14ac:dyDescent="0.25">
      <c r="A58" s="4">
        <v>54</v>
      </c>
    </row>
    <row r="59" spans="1:7" x14ac:dyDescent="0.25">
      <c r="A59" s="4">
        <v>55</v>
      </c>
      <c r="B59" t="s">
        <v>7</v>
      </c>
      <c r="E59" t="s">
        <v>2</v>
      </c>
      <c r="F59" t="s">
        <v>7</v>
      </c>
      <c r="G59" t="s">
        <v>6</v>
      </c>
    </row>
    <row r="60" spans="1:7" x14ac:dyDescent="0.25">
      <c r="A60" s="4">
        <v>56</v>
      </c>
      <c r="B60" t="s">
        <v>7</v>
      </c>
      <c r="E60" t="s">
        <v>2</v>
      </c>
      <c r="F60" t="s">
        <v>7</v>
      </c>
      <c r="G60" t="s">
        <v>7</v>
      </c>
    </row>
    <row r="61" spans="1:7" x14ac:dyDescent="0.25">
      <c r="A61" s="18">
        <v>73</v>
      </c>
    </row>
    <row r="62" spans="1:7" x14ac:dyDescent="0.25">
      <c r="A62" s="18">
        <v>74</v>
      </c>
    </row>
  </sheetData>
  <conditionalFormatting sqref="B61:I62 I5:I60">
    <cfRule type="cellIs" dxfId="742" priority="18" operator="equal">
      <formula>"Energia"</formula>
    </cfRule>
    <cfRule type="cellIs" dxfId="741" priority="20" operator="equal">
      <formula>"Operação"</formula>
    </cfRule>
    <cfRule type="cellIs" dxfId="740" priority="21" operator="equal">
      <formula>"Chuva"</formula>
    </cfRule>
    <cfRule type="cellIs" dxfId="739" priority="22" operator="equal">
      <formula>"Elétrico"</formula>
    </cfRule>
    <cfRule type="cellIs" dxfId="738" priority="23" operator="equal">
      <formula>"Mecânico"</formula>
    </cfRule>
    <cfRule type="cellIs" dxfId="737" priority="24" operator="equal">
      <formula>"Ok"</formula>
    </cfRule>
  </conditionalFormatting>
  <conditionalFormatting sqref="B61:I62 I5:I60">
    <cfRule type="cellIs" dxfId="73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35" priority="16" operator="equal">
      <formula>"Energia"</formula>
    </cfRule>
  </conditionalFormatting>
  <conditionalFormatting sqref="G5:H60 B5:E60">
    <cfRule type="cellIs" dxfId="734" priority="9" operator="equal">
      <formula>"Energia"</formula>
    </cfRule>
    <cfRule type="cellIs" dxfId="733" priority="11" operator="equal">
      <formula>"Operação"</formula>
    </cfRule>
    <cfRule type="cellIs" dxfId="732" priority="12" operator="equal">
      <formula>"Chuva"</formula>
    </cfRule>
    <cfRule type="cellIs" dxfId="731" priority="13" operator="equal">
      <formula>"Elétrico"</formula>
    </cfRule>
    <cfRule type="cellIs" dxfId="730" priority="14" operator="equal">
      <formula>"Mecânico"</formula>
    </cfRule>
    <cfRule type="cellIs" dxfId="729" priority="15" operator="equal">
      <formula>"Ok"</formula>
    </cfRule>
  </conditionalFormatting>
  <conditionalFormatting sqref="G5:H60 B5:E60">
    <cfRule type="cellIs" dxfId="728" priority="10" operator="equal">
      <formula>"Feito"</formula>
    </cfRule>
  </conditionalFormatting>
  <conditionalFormatting sqref="F5:F11">
    <cfRule type="cellIs" dxfId="727" priority="8" operator="equal">
      <formula>"Energia"</formula>
    </cfRule>
  </conditionalFormatting>
  <conditionalFormatting sqref="F5:F60">
    <cfRule type="cellIs" dxfId="726" priority="1" operator="equal">
      <formula>"Energia"</formula>
    </cfRule>
    <cfRule type="cellIs" dxfId="725" priority="3" operator="equal">
      <formula>"Operação"</formula>
    </cfRule>
    <cfRule type="cellIs" dxfId="724" priority="4" operator="equal">
      <formula>"Chuva"</formula>
    </cfRule>
    <cfRule type="cellIs" dxfId="723" priority="5" operator="equal">
      <formula>"Elétrico"</formula>
    </cfRule>
    <cfRule type="cellIs" dxfId="722" priority="6" operator="equal">
      <formula>"Mecânico"</formula>
    </cfRule>
    <cfRule type="cellIs" dxfId="721" priority="7" operator="equal">
      <formula>"Ok"</formula>
    </cfRule>
  </conditionalFormatting>
  <conditionalFormatting sqref="F5:F60">
    <cfRule type="cellIs" dxfId="720" priority="2" operator="equal">
      <formula>"Feito"</formula>
    </cfRule>
  </conditionalFormatting>
  <dataValidations count="1">
    <dataValidation type="list" allowBlank="1" showInputMessage="1" showErrorMessage="1" sqref="B61:I62 B5:J60" xr:uid="{A99C090C-4C46-4250-927C-54F2016DD74B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44CF-6B30-4B33-ABE0-CDC7F159B2D5}">
  <sheetPr codeName="Planilha42"/>
  <dimension ref="A3:L62"/>
  <sheetViews>
    <sheetView zoomScale="110" zoomScaleNormal="110" workbookViewId="0">
      <pane xSplit="1" topLeftCell="B1" activePane="topRight" state="frozen"/>
      <selection pane="topRight" activeCell="H5" sqref="H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44515</v>
      </c>
      <c r="C3" s="3">
        <f>B3+1</f>
        <v>44516</v>
      </c>
      <c r="D3" s="3">
        <f t="shared" ref="D3:H3" si="0">C3+1</f>
        <v>44517</v>
      </c>
      <c r="E3" s="3">
        <f t="shared" si="0"/>
        <v>44518</v>
      </c>
      <c r="F3" s="3">
        <f t="shared" si="0"/>
        <v>44519</v>
      </c>
      <c r="G3" s="3">
        <f t="shared" si="0"/>
        <v>44520</v>
      </c>
      <c r="H3" s="3">
        <f t="shared" si="0"/>
        <v>44521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E5" t="s">
        <v>3</v>
      </c>
      <c r="F5" t="s">
        <v>2</v>
      </c>
      <c r="K5" s="5" t="s">
        <v>2</v>
      </c>
      <c r="L5">
        <f>COUNTIF($B$5:$I$60,K5)</f>
        <v>11</v>
      </c>
    </row>
    <row r="6" spans="1:12" x14ac:dyDescent="0.25">
      <c r="A6" s="4">
        <v>2</v>
      </c>
      <c r="E6" t="s">
        <v>6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E7" t="s">
        <v>3</v>
      </c>
      <c r="K7" s="7" t="s">
        <v>6</v>
      </c>
      <c r="L7">
        <f t="shared" ref="L7:L10" si="2">COUNTIF($B$5:$I$60,K7)</f>
        <v>2</v>
      </c>
    </row>
    <row r="8" spans="1:12" x14ac:dyDescent="0.25">
      <c r="A8" s="4">
        <v>4</v>
      </c>
      <c r="E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E9" t="s">
        <v>3</v>
      </c>
      <c r="K9" s="9" t="s">
        <v>3</v>
      </c>
      <c r="L9">
        <f t="shared" si="2"/>
        <v>13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E11" t="s">
        <v>2</v>
      </c>
      <c r="L11">
        <f>SUM(L5:L10)</f>
        <v>27</v>
      </c>
    </row>
    <row r="12" spans="1:12" x14ac:dyDescent="0.25">
      <c r="A12" s="4">
        <v>8</v>
      </c>
    </row>
    <row r="13" spans="1:12" x14ac:dyDescent="0.25">
      <c r="A13" s="4">
        <v>9</v>
      </c>
      <c r="E13" t="s">
        <v>3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  <c r="E16" t="s">
        <v>3</v>
      </c>
    </row>
    <row r="17" spans="1:5" x14ac:dyDescent="0.25">
      <c r="A17" s="4">
        <v>13</v>
      </c>
    </row>
    <row r="18" spans="1:5" x14ac:dyDescent="0.25">
      <c r="A18" s="4">
        <v>14</v>
      </c>
      <c r="E18" t="s">
        <v>3</v>
      </c>
    </row>
    <row r="19" spans="1:5" x14ac:dyDescent="0.25">
      <c r="A19" s="4">
        <v>15</v>
      </c>
    </row>
    <row r="20" spans="1:5" x14ac:dyDescent="0.25">
      <c r="A20" s="4">
        <v>16</v>
      </c>
    </row>
    <row r="21" spans="1:5" x14ac:dyDescent="0.25">
      <c r="A21" s="4">
        <v>17</v>
      </c>
    </row>
    <row r="22" spans="1:5" x14ac:dyDescent="0.25">
      <c r="A22" s="4">
        <v>18</v>
      </c>
    </row>
    <row r="23" spans="1:5" x14ac:dyDescent="0.25">
      <c r="A23" s="4">
        <v>19</v>
      </c>
    </row>
    <row r="24" spans="1:5" x14ac:dyDescent="0.25">
      <c r="A24" s="4">
        <v>20</v>
      </c>
    </row>
    <row r="25" spans="1:5" x14ac:dyDescent="0.25">
      <c r="A25" s="4">
        <v>21</v>
      </c>
    </row>
    <row r="26" spans="1:5" x14ac:dyDescent="0.25">
      <c r="A26" s="4">
        <v>22</v>
      </c>
    </row>
    <row r="27" spans="1:5" x14ac:dyDescent="0.25">
      <c r="A27" s="4">
        <v>23</v>
      </c>
    </row>
    <row r="28" spans="1:5" x14ac:dyDescent="0.25">
      <c r="A28" s="4">
        <v>24</v>
      </c>
    </row>
    <row r="29" spans="1:5" x14ac:dyDescent="0.25">
      <c r="A29" s="4">
        <v>25</v>
      </c>
      <c r="E29" t="s">
        <v>2</v>
      </c>
    </row>
    <row r="30" spans="1:5" x14ac:dyDescent="0.25">
      <c r="A30" s="4">
        <v>26</v>
      </c>
      <c r="E30" t="s">
        <v>3</v>
      </c>
    </row>
    <row r="31" spans="1:5" x14ac:dyDescent="0.25">
      <c r="A31" s="4">
        <v>27</v>
      </c>
    </row>
    <row r="32" spans="1:5" x14ac:dyDescent="0.25">
      <c r="A32" s="4">
        <v>28</v>
      </c>
    </row>
    <row r="33" spans="1:6" x14ac:dyDescent="0.25">
      <c r="A33" s="4">
        <v>29</v>
      </c>
      <c r="E33" t="s">
        <v>2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E36" t="s">
        <v>7</v>
      </c>
    </row>
    <row r="37" spans="1:6" x14ac:dyDescent="0.25">
      <c r="A37" s="4">
        <v>33</v>
      </c>
      <c r="E37" t="s">
        <v>6</v>
      </c>
    </row>
    <row r="38" spans="1:6" x14ac:dyDescent="0.25">
      <c r="A38" s="4">
        <v>34</v>
      </c>
    </row>
    <row r="39" spans="1:6" x14ac:dyDescent="0.25">
      <c r="A39" s="4">
        <v>35</v>
      </c>
      <c r="E39" t="s">
        <v>3</v>
      </c>
    </row>
    <row r="40" spans="1:6" x14ac:dyDescent="0.25">
      <c r="A40" s="4">
        <v>36</v>
      </c>
      <c r="E40" t="s">
        <v>3</v>
      </c>
    </row>
    <row r="41" spans="1:6" x14ac:dyDescent="0.25">
      <c r="A41" s="4">
        <v>37</v>
      </c>
      <c r="D41" t="s">
        <v>2</v>
      </c>
    </row>
    <row r="42" spans="1:6" x14ac:dyDescent="0.25">
      <c r="A42" s="4">
        <v>38</v>
      </c>
      <c r="E42" t="s">
        <v>3</v>
      </c>
    </row>
    <row r="43" spans="1:6" x14ac:dyDescent="0.25">
      <c r="A43" s="4">
        <v>39</v>
      </c>
    </row>
    <row r="44" spans="1:6" x14ac:dyDescent="0.25">
      <c r="A44" s="4">
        <v>40</v>
      </c>
      <c r="E44" t="s">
        <v>3</v>
      </c>
    </row>
    <row r="45" spans="1:6" x14ac:dyDescent="0.25">
      <c r="A45" s="4">
        <v>41</v>
      </c>
      <c r="E45" t="s">
        <v>3</v>
      </c>
    </row>
    <row r="46" spans="1:6" x14ac:dyDescent="0.25">
      <c r="A46" s="4">
        <v>42</v>
      </c>
      <c r="F46" t="s">
        <v>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5" x14ac:dyDescent="0.25">
      <c r="A49" s="4">
        <v>45</v>
      </c>
    </row>
    <row r="50" spans="1:5" x14ac:dyDescent="0.25">
      <c r="A50" s="4">
        <v>46</v>
      </c>
    </row>
    <row r="51" spans="1:5" x14ac:dyDescent="0.25">
      <c r="A51" s="4">
        <v>47</v>
      </c>
    </row>
    <row r="52" spans="1:5" x14ac:dyDescent="0.25">
      <c r="A52" s="4">
        <v>48</v>
      </c>
    </row>
    <row r="53" spans="1:5" x14ac:dyDescent="0.25">
      <c r="A53" s="4">
        <v>49</v>
      </c>
    </row>
    <row r="54" spans="1:5" x14ac:dyDescent="0.25">
      <c r="A54" s="4">
        <v>50</v>
      </c>
    </row>
    <row r="55" spans="1:5" x14ac:dyDescent="0.25">
      <c r="A55" s="4">
        <v>51</v>
      </c>
    </row>
    <row r="56" spans="1:5" x14ac:dyDescent="0.25">
      <c r="A56" s="4">
        <v>52</v>
      </c>
    </row>
    <row r="57" spans="1:5" x14ac:dyDescent="0.25">
      <c r="A57" s="4">
        <v>53</v>
      </c>
    </row>
    <row r="58" spans="1:5" x14ac:dyDescent="0.25">
      <c r="A58" s="4">
        <v>54</v>
      </c>
    </row>
    <row r="59" spans="1:5" x14ac:dyDescent="0.25">
      <c r="A59" s="4">
        <v>55</v>
      </c>
      <c r="C59" t="s">
        <v>2</v>
      </c>
      <c r="D59" t="s">
        <v>2</v>
      </c>
      <c r="E59" t="s">
        <v>2</v>
      </c>
    </row>
    <row r="60" spans="1:5" x14ac:dyDescent="0.25">
      <c r="A60" s="4">
        <v>56</v>
      </c>
      <c r="C60" t="s">
        <v>2</v>
      </c>
      <c r="D60" t="s">
        <v>2</v>
      </c>
    </row>
    <row r="61" spans="1:5" x14ac:dyDescent="0.25">
      <c r="A61" s="18">
        <v>73</v>
      </c>
    </row>
    <row r="62" spans="1:5" x14ac:dyDescent="0.25">
      <c r="A62" s="18">
        <v>74</v>
      </c>
    </row>
  </sheetData>
  <conditionalFormatting sqref="B61:I62 I5:I60 B63:D63">
    <cfRule type="cellIs" dxfId="719" priority="19" operator="equal">
      <formula>"Energia"</formula>
    </cfRule>
    <cfRule type="cellIs" dxfId="718" priority="21" operator="equal">
      <formula>"Operação"</formula>
    </cfRule>
    <cfRule type="cellIs" dxfId="717" priority="22" operator="equal">
      <formula>"Chuva"</formula>
    </cfRule>
    <cfRule type="cellIs" dxfId="716" priority="23" operator="equal">
      <formula>"Elétrico"</formula>
    </cfRule>
    <cfRule type="cellIs" dxfId="715" priority="24" operator="equal">
      <formula>"Mecânico"</formula>
    </cfRule>
    <cfRule type="cellIs" dxfId="714" priority="25" operator="equal">
      <formula>"Ok"</formula>
    </cfRule>
  </conditionalFormatting>
  <conditionalFormatting sqref="B61:I62 I5:I60 B63:D63">
    <cfRule type="cellIs" dxfId="713" priority="20" operator="equal">
      <formula>"Feito"</formula>
    </cfRule>
  </conditionalFormatting>
  <conditionalFormatting sqref="K7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12" priority="17" operator="equal">
      <formula>"Energia"</formula>
    </cfRule>
  </conditionalFormatting>
  <conditionalFormatting sqref="G5:H60 B5:E60">
    <cfRule type="cellIs" dxfId="711" priority="10" operator="equal">
      <formula>"Energia"</formula>
    </cfRule>
    <cfRule type="cellIs" dxfId="710" priority="12" operator="equal">
      <formula>"Operação"</formula>
    </cfRule>
    <cfRule type="cellIs" dxfId="709" priority="13" operator="equal">
      <formula>"Chuva"</formula>
    </cfRule>
    <cfRule type="cellIs" dxfId="708" priority="14" operator="equal">
      <formula>"Elétrico"</formula>
    </cfRule>
    <cfRule type="cellIs" dxfId="707" priority="15" operator="equal">
      <formula>"Mecânico"</formula>
    </cfRule>
    <cfRule type="cellIs" dxfId="706" priority="16" operator="equal">
      <formula>"Ok"</formula>
    </cfRule>
  </conditionalFormatting>
  <conditionalFormatting sqref="G5:H60 B5:E60">
    <cfRule type="cellIs" dxfId="705" priority="11" operator="equal">
      <formula>"Feito"</formula>
    </cfRule>
  </conditionalFormatting>
  <conditionalFormatting sqref="F5:F11">
    <cfRule type="cellIs" dxfId="704" priority="9" operator="equal">
      <formula>"Energia"</formula>
    </cfRule>
  </conditionalFormatting>
  <conditionalFormatting sqref="F5:F60">
    <cfRule type="cellIs" dxfId="703" priority="2" operator="equal">
      <formula>"Energia"</formula>
    </cfRule>
    <cfRule type="cellIs" dxfId="702" priority="4" operator="equal">
      <formula>"Operação"</formula>
    </cfRule>
    <cfRule type="cellIs" dxfId="701" priority="5" operator="equal">
      <formula>"Chuva"</formula>
    </cfRule>
    <cfRule type="cellIs" dxfId="700" priority="6" operator="equal">
      <formula>"Elétrico"</formula>
    </cfRule>
    <cfRule type="cellIs" dxfId="699" priority="7" operator="equal">
      <formula>"Mecânico"</formula>
    </cfRule>
    <cfRule type="cellIs" dxfId="698" priority="8" operator="equal">
      <formula>"Ok"</formula>
    </cfRule>
  </conditionalFormatting>
  <conditionalFormatting sqref="F5:F60">
    <cfRule type="cellIs" dxfId="697" priority="3" operator="equal">
      <formula>"Feito"</formula>
    </cfRule>
  </conditionalFormatting>
  <dataValidations count="1">
    <dataValidation type="list" allowBlank="1" showInputMessage="1" showErrorMessage="1" sqref="B61:I62 B63:D63 B5:J60" xr:uid="{FF23AE31-E2E6-47E9-9F11-2564B8E9DC5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A4DE-E7FD-49EB-99E5-A9447630CACA}">
  <sheetPr codeName="Planilha43"/>
  <dimension ref="A3:L62"/>
  <sheetViews>
    <sheetView topLeftCell="A4" zoomScale="110" zoomScaleNormal="110" workbookViewId="0">
      <selection activeCell="A44" sqref="A44:XFD4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44522</v>
      </c>
      <c r="C3" s="3">
        <f>B3+1</f>
        <v>44523</v>
      </c>
      <c r="D3" s="3">
        <f t="shared" ref="D3:H3" si="0">C3+1</f>
        <v>44524</v>
      </c>
      <c r="E3" s="3">
        <f t="shared" si="0"/>
        <v>44525</v>
      </c>
      <c r="F3" s="3">
        <f t="shared" si="0"/>
        <v>44526</v>
      </c>
      <c r="G3" s="3">
        <f t="shared" si="0"/>
        <v>44527</v>
      </c>
      <c r="H3" s="3">
        <f t="shared" si="0"/>
        <v>44528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G5" t="s">
        <v>3</v>
      </c>
      <c r="K5" s="5" t="s">
        <v>2</v>
      </c>
      <c r="L5">
        <f>COUNTIF($B$5:$I$60,K5)</f>
        <v>26</v>
      </c>
    </row>
    <row r="6" spans="1:12" x14ac:dyDescent="0.25">
      <c r="A6" s="4">
        <v>2</v>
      </c>
      <c r="F6" t="s">
        <v>6</v>
      </c>
      <c r="H6" t="s">
        <v>3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F7" t="s">
        <v>2</v>
      </c>
      <c r="G7" t="s">
        <v>3</v>
      </c>
      <c r="H7" t="s">
        <v>3</v>
      </c>
      <c r="K7" s="7" t="s">
        <v>6</v>
      </c>
      <c r="L7">
        <f t="shared" ref="L7:L10" si="2">COUNTIF($B$5:$I$60,K7)</f>
        <v>1</v>
      </c>
    </row>
    <row r="8" spans="1:12" x14ac:dyDescent="0.25">
      <c r="A8" s="4">
        <v>4</v>
      </c>
      <c r="F8" t="s">
        <v>2</v>
      </c>
      <c r="G8" t="s">
        <v>2</v>
      </c>
      <c r="H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2</v>
      </c>
      <c r="F9" t="s">
        <v>2</v>
      </c>
      <c r="H9" t="s">
        <v>3</v>
      </c>
      <c r="K9" s="9" t="s">
        <v>3</v>
      </c>
      <c r="L9">
        <f t="shared" si="2"/>
        <v>22</v>
      </c>
    </row>
    <row r="10" spans="1:12" x14ac:dyDescent="0.25">
      <c r="A10" s="4">
        <v>6</v>
      </c>
      <c r="G10" t="s">
        <v>3</v>
      </c>
      <c r="K10" s="10" t="s">
        <v>7</v>
      </c>
      <c r="L10">
        <f t="shared" si="2"/>
        <v>6</v>
      </c>
    </row>
    <row r="11" spans="1:12" x14ac:dyDescent="0.25">
      <c r="A11" s="4">
        <v>7</v>
      </c>
      <c r="F11" t="s">
        <v>7</v>
      </c>
      <c r="L11">
        <f>SUM(L5:L10)</f>
        <v>55</v>
      </c>
    </row>
    <row r="12" spans="1:12" x14ac:dyDescent="0.25">
      <c r="A12" s="4">
        <v>8</v>
      </c>
      <c r="G12" t="s">
        <v>2</v>
      </c>
    </row>
    <row r="13" spans="1:12" x14ac:dyDescent="0.25">
      <c r="A13" s="4">
        <v>9</v>
      </c>
      <c r="G13" t="s">
        <v>3</v>
      </c>
    </row>
    <row r="14" spans="1:12" x14ac:dyDescent="0.25">
      <c r="A14" s="4">
        <v>10</v>
      </c>
      <c r="F14" t="s">
        <v>2</v>
      </c>
      <c r="H14" t="s">
        <v>3</v>
      </c>
    </row>
    <row r="15" spans="1:12" x14ac:dyDescent="0.25">
      <c r="A15" s="4">
        <v>11</v>
      </c>
      <c r="F15" t="s">
        <v>2</v>
      </c>
      <c r="H15" t="s">
        <v>3</v>
      </c>
    </row>
    <row r="16" spans="1:12" x14ac:dyDescent="0.25">
      <c r="A16" s="4">
        <v>12</v>
      </c>
      <c r="F16" t="s">
        <v>7</v>
      </c>
      <c r="G16" t="s">
        <v>2</v>
      </c>
    </row>
    <row r="17" spans="1:8" x14ac:dyDescent="0.25">
      <c r="A17" s="4">
        <v>13</v>
      </c>
      <c r="F17" t="s">
        <v>2</v>
      </c>
      <c r="G17" t="s">
        <v>2</v>
      </c>
      <c r="H17" t="s">
        <v>3</v>
      </c>
    </row>
    <row r="18" spans="1:8" x14ac:dyDescent="0.25">
      <c r="A18" s="4">
        <v>14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F29" t="s">
        <v>2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D33" t="s">
        <v>2</v>
      </c>
      <c r="F33" t="s">
        <v>2</v>
      </c>
      <c r="G33" t="s">
        <v>2</v>
      </c>
      <c r="H33" t="s">
        <v>3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F39" t="s">
        <v>2</v>
      </c>
      <c r="H39" t="s">
        <v>3</v>
      </c>
    </row>
    <row r="40" spans="1:8" x14ac:dyDescent="0.25">
      <c r="A40" s="4">
        <v>36</v>
      </c>
      <c r="C40" t="s">
        <v>2</v>
      </c>
      <c r="G40" t="s">
        <v>2</v>
      </c>
    </row>
    <row r="41" spans="1:8" x14ac:dyDescent="0.25">
      <c r="A41" s="4">
        <v>37</v>
      </c>
      <c r="F41" t="s">
        <v>2</v>
      </c>
      <c r="H41" t="s">
        <v>3</v>
      </c>
    </row>
    <row r="42" spans="1:8" x14ac:dyDescent="0.25">
      <c r="A42" s="4">
        <v>38</v>
      </c>
      <c r="D42" t="s">
        <v>7</v>
      </c>
      <c r="G42" t="s">
        <v>3</v>
      </c>
    </row>
    <row r="43" spans="1:8" x14ac:dyDescent="0.25">
      <c r="A43" s="4">
        <v>39</v>
      </c>
      <c r="H43" t="s">
        <v>3</v>
      </c>
    </row>
    <row r="44" spans="1:8" x14ac:dyDescent="0.25">
      <c r="A44" s="4">
        <v>40</v>
      </c>
      <c r="G44" t="s">
        <v>2</v>
      </c>
    </row>
    <row r="45" spans="1:8" x14ac:dyDescent="0.25">
      <c r="A45" s="4">
        <v>41</v>
      </c>
      <c r="B45" t="s">
        <v>7</v>
      </c>
      <c r="F45" t="s">
        <v>7</v>
      </c>
      <c r="H45" t="s">
        <v>3</v>
      </c>
    </row>
    <row r="46" spans="1:8" x14ac:dyDescent="0.25">
      <c r="A46" s="4">
        <v>42</v>
      </c>
      <c r="F46" t="s">
        <v>2</v>
      </c>
      <c r="H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  <c r="G51" t="s">
        <v>2</v>
      </c>
    </row>
    <row r="52" spans="1:8" x14ac:dyDescent="0.25">
      <c r="A52" s="4">
        <v>48</v>
      </c>
      <c r="G52" t="s">
        <v>3</v>
      </c>
    </row>
    <row r="53" spans="1:8" x14ac:dyDescent="0.25">
      <c r="A53" s="4">
        <v>49</v>
      </c>
    </row>
    <row r="54" spans="1:8" x14ac:dyDescent="0.25">
      <c r="A54" s="4">
        <v>50</v>
      </c>
    </row>
    <row r="55" spans="1:8" x14ac:dyDescent="0.25">
      <c r="A55" s="4">
        <v>51</v>
      </c>
      <c r="H55" t="s">
        <v>3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2</v>
      </c>
      <c r="C59" t="s">
        <v>7</v>
      </c>
    </row>
    <row r="60" spans="1:8" x14ac:dyDescent="0.25">
      <c r="A60" s="4">
        <v>56</v>
      </c>
      <c r="H60" t="s">
        <v>3</v>
      </c>
    </row>
    <row r="61" spans="1:8" x14ac:dyDescent="0.25">
      <c r="A61" s="18">
        <v>73</v>
      </c>
      <c r="F61" t="s">
        <v>2</v>
      </c>
      <c r="G61" t="s">
        <v>2</v>
      </c>
      <c r="H61" t="s">
        <v>3</v>
      </c>
    </row>
    <row r="62" spans="1:8" x14ac:dyDescent="0.25">
      <c r="A62" s="18">
        <v>74</v>
      </c>
    </row>
  </sheetData>
  <conditionalFormatting sqref="B61:I62 I5:I60 B63:D63">
    <cfRule type="cellIs" dxfId="696" priority="18" operator="equal">
      <formula>"Energia"</formula>
    </cfRule>
    <cfRule type="cellIs" dxfId="695" priority="20" operator="equal">
      <formula>"Operação"</formula>
    </cfRule>
    <cfRule type="cellIs" dxfId="694" priority="21" operator="equal">
      <formula>"Chuva"</formula>
    </cfRule>
    <cfRule type="cellIs" dxfId="693" priority="22" operator="equal">
      <formula>"Elétrico"</formula>
    </cfRule>
    <cfRule type="cellIs" dxfId="692" priority="23" operator="equal">
      <formula>"Mecânico"</formula>
    </cfRule>
    <cfRule type="cellIs" dxfId="691" priority="24" operator="equal">
      <formula>"Ok"</formula>
    </cfRule>
  </conditionalFormatting>
  <conditionalFormatting sqref="B61:I62 I5:I60 B63:D63">
    <cfRule type="cellIs" dxfId="690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89" priority="16" operator="equal">
      <formula>"Energia"</formula>
    </cfRule>
  </conditionalFormatting>
  <conditionalFormatting sqref="B5:E60 G5:H60">
    <cfRule type="cellIs" dxfId="688" priority="9" operator="equal">
      <formula>"Energia"</formula>
    </cfRule>
    <cfRule type="cellIs" dxfId="687" priority="11" operator="equal">
      <formula>"Operação"</formula>
    </cfRule>
    <cfRule type="cellIs" dxfId="686" priority="12" operator="equal">
      <formula>"Chuva"</formula>
    </cfRule>
    <cfRule type="cellIs" dxfId="685" priority="13" operator="equal">
      <formula>"Elétrico"</formula>
    </cfRule>
    <cfRule type="cellIs" dxfId="684" priority="14" operator="equal">
      <formula>"Mecânico"</formula>
    </cfRule>
    <cfRule type="cellIs" dxfId="683" priority="15" operator="equal">
      <formula>"Ok"</formula>
    </cfRule>
  </conditionalFormatting>
  <conditionalFormatting sqref="B5:E60 G5:H60">
    <cfRule type="cellIs" dxfId="682" priority="10" operator="equal">
      <formula>"Feito"</formula>
    </cfRule>
  </conditionalFormatting>
  <conditionalFormatting sqref="F5:F11">
    <cfRule type="cellIs" dxfId="681" priority="8" operator="equal">
      <formula>"Energia"</formula>
    </cfRule>
  </conditionalFormatting>
  <conditionalFormatting sqref="F5:F60">
    <cfRule type="cellIs" dxfId="680" priority="1" operator="equal">
      <formula>"Energia"</formula>
    </cfRule>
    <cfRule type="cellIs" dxfId="679" priority="3" operator="equal">
      <formula>"Operação"</formula>
    </cfRule>
    <cfRule type="cellIs" dxfId="678" priority="4" operator="equal">
      <formula>"Chuva"</formula>
    </cfRule>
    <cfRule type="cellIs" dxfId="677" priority="5" operator="equal">
      <formula>"Elétrico"</formula>
    </cfRule>
    <cfRule type="cellIs" dxfId="676" priority="6" operator="equal">
      <formula>"Mecânico"</formula>
    </cfRule>
    <cfRule type="cellIs" dxfId="675" priority="7" operator="equal">
      <formula>"Ok"</formula>
    </cfRule>
  </conditionalFormatting>
  <conditionalFormatting sqref="F5:F60">
    <cfRule type="cellIs" dxfId="674" priority="2" operator="equal">
      <formula>"Feito"</formula>
    </cfRule>
  </conditionalFormatting>
  <dataValidations count="1">
    <dataValidation type="list" allowBlank="1" showInputMessage="1" showErrorMessage="1" sqref="B61:I62 B63:D63 B5:J60" xr:uid="{2E67255F-CDF0-4CB0-BE2A-107902C6619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6EC6-7911-4AC6-B56A-C6760E0F0C98}">
  <sheetPr codeName="Planilha44"/>
  <dimension ref="A3:L62"/>
  <sheetViews>
    <sheetView topLeftCell="A7" zoomScale="110" zoomScaleNormal="110" workbookViewId="0">
      <selection activeCell="O10" sqref="O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44529</v>
      </c>
      <c r="C3" s="3">
        <f>B3+1</f>
        <v>44530</v>
      </c>
      <c r="D3" s="3">
        <f t="shared" ref="D3:H3" si="0">C3+1</f>
        <v>44531</v>
      </c>
      <c r="E3" s="3">
        <f t="shared" si="0"/>
        <v>44532</v>
      </c>
      <c r="F3" s="3">
        <f t="shared" si="0"/>
        <v>44533</v>
      </c>
      <c r="G3" s="3">
        <f t="shared" si="0"/>
        <v>44534</v>
      </c>
      <c r="H3" s="3">
        <f t="shared" si="0"/>
        <v>44535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17</v>
      </c>
    </row>
    <row r="6" spans="1:12" x14ac:dyDescent="0.25">
      <c r="A6" s="4">
        <v>2</v>
      </c>
      <c r="B6" t="s">
        <v>3</v>
      </c>
      <c r="F6" t="s">
        <v>3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B7" t="s">
        <v>3</v>
      </c>
      <c r="F7" t="s">
        <v>3</v>
      </c>
      <c r="K7" s="7" t="s">
        <v>6</v>
      </c>
      <c r="L7">
        <f t="shared" ref="L7:L10" si="2">COUNTIF($B$5:$I$60,K7)</f>
        <v>0</v>
      </c>
    </row>
    <row r="8" spans="1:12" x14ac:dyDescent="0.25">
      <c r="A8" s="4">
        <v>4</v>
      </c>
      <c r="B8" t="s">
        <v>3</v>
      </c>
      <c r="F8" t="s">
        <v>3</v>
      </c>
      <c r="K8" s="8" t="s">
        <v>4</v>
      </c>
      <c r="L8">
        <f t="shared" si="2"/>
        <v>2</v>
      </c>
    </row>
    <row r="9" spans="1:12" x14ac:dyDescent="0.25">
      <c r="A9" s="4">
        <v>5</v>
      </c>
      <c r="E9" t="s">
        <v>2</v>
      </c>
      <c r="K9" s="9" t="s">
        <v>3</v>
      </c>
      <c r="L9">
        <f t="shared" si="2"/>
        <v>38</v>
      </c>
    </row>
    <row r="10" spans="1:12" x14ac:dyDescent="0.25">
      <c r="A10" s="4">
        <v>6</v>
      </c>
      <c r="B10" t="s">
        <v>3</v>
      </c>
      <c r="F10" t="s">
        <v>3</v>
      </c>
      <c r="G10" t="s">
        <v>2</v>
      </c>
      <c r="H10" t="s">
        <v>2</v>
      </c>
      <c r="K10" s="10" t="s">
        <v>7</v>
      </c>
      <c r="L10">
        <f t="shared" si="2"/>
        <v>7</v>
      </c>
    </row>
    <row r="11" spans="1:12" x14ac:dyDescent="0.25">
      <c r="A11" s="4">
        <v>7</v>
      </c>
      <c r="B11" t="s">
        <v>3</v>
      </c>
      <c r="H11" t="s">
        <v>3</v>
      </c>
      <c r="L11">
        <f>SUM(L5:L10)</f>
        <v>64</v>
      </c>
    </row>
    <row r="12" spans="1:12" x14ac:dyDescent="0.25">
      <c r="A12" s="4">
        <v>8</v>
      </c>
      <c r="B12" t="s">
        <v>3</v>
      </c>
      <c r="E12" t="s">
        <v>2</v>
      </c>
    </row>
    <row r="13" spans="1:12" x14ac:dyDescent="0.25">
      <c r="A13" s="4">
        <v>9</v>
      </c>
      <c r="B13" t="s">
        <v>3</v>
      </c>
      <c r="E13" t="s">
        <v>2</v>
      </c>
      <c r="H13" t="s">
        <v>3</v>
      </c>
    </row>
    <row r="14" spans="1:12" x14ac:dyDescent="0.25">
      <c r="A14" s="4">
        <v>10</v>
      </c>
      <c r="F14" t="s">
        <v>7</v>
      </c>
      <c r="G14" t="s">
        <v>2</v>
      </c>
    </row>
    <row r="15" spans="1:12" x14ac:dyDescent="0.25">
      <c r="A15" s="4">
        <v>11</v>
      </c>
      <c r="C15" t="s">
        <v>2</v>
      </c>
    </row>
    <row r="16" spans="1:12" x14ac:dyDescent="0.25">
      <c r="A16" s="4">
        <v>12</v>
      </c>
      <c r="B16" t="s">
        <v>3</v>
      </c>
      <c r="F16" t="s">
        <v>3</v>
      </c>
    </row>
    <row r="17" spans="1:8" x14ac:dyDescent="0.25">
      <c r="A17" s="4">
        <v>13</v>
      </c>
      <c r="B17" t="s">
        <v>3</v>
      </c>
      <c r="E17" t="s">
        <v>2</v>
      </c>
      <c r="F17" t="s">
        <v>3</v>
      </c>
    </row>
    <row r="18" spans="1:8" x14ac:dyDescent="0.25">
      <c r="A18" s="4">
        <v>14</v>
      </c>
      <c r="B18" t="s">
        <v>3</v>
      </c>
      <c r="E18" t="s">
        <v>2</v>
      </c>
      <c r="F18" t="s">
        <v>7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  <c r="F20" t="s">
        <v>3</v>
      </c>
      <c r="G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  <c r="C29" t="s">
        <v>2</v>
      </c>
      <c r="D29" t="s">
        <v>2</v>
      </c>
      <c r="E29" t="s">
        <v>2</v>
      </c>
      <c r="F29" t="s">
        <v>3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7" x14ac:dyDescent="0.25">
      <c r="A33" s="4">
        <v>29</v>
      </c>
      <c r="B33" t="s">
        <v>3</v>
      </c>
      <c r="F33" t="s">
        <v>3</v>
      </c>
    </row>
    <row r="34" spans="1:7" x14ac:dyDescent="0.25">
      <c r="A34" s="4">
        <v>30</v>
      </c>
    </row>
    <row r="35" spans="1:7" x14ac:dyDescent="0.25">
      <c r="A35" s="4">
        <v>31</v>
      </c>
    </row>
    <row r="36" spans="1:7" x14ac:dyDescent="0.25">
      <c r="A36" s="4">
        <v>32</v>
      </c>
    </row>
    <row r="37" spans="1:7" x14ac:dyDescent="0.25">
      <c r="A37" s="4">
        <v>33</v>
      </c>
    </row>
    <row r="38" spans="1:7" x14ac:dyDescent="0.25">
      <c r="A38" s="4">
        <v>34</v>
      </c>
    </row>
    <row r="39" spans="1:7" x14ac:dyDescent="0.25">
      <c r="A39" s="4">
        <v>35</v>
      </c>
      <c r="D39" t="s">
        <v>7</v>
      </c>
    </row>
    <row r="40" spans="1:7" x14ac:dyDescent="0.25">
      <c r="A40" s="4">
        <v>36</v>
      </c>
      <c r="B40" t="s">
        <v>3</v>
      </c>
      <c r="F40" t="s">
        <v>3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3</v>
      </c>
      <c r="F42" t="s">
        <v>3</v>
      </c>
    </row>
    <row r="43" spans="1:7" x14ac:dyDescent="0.25">
      <c r="A43" s="4">
        <v>39</v>
      </c>
      <c r="E43" t="s">
        <v>7</v>
      </c>
    </row>
    <row r="44" spans="1:7" x14ac:dyDescent="0.25">
      <c r="A44" s="4">
        <v>40</v>
      </c>
      <c r="B44" t="s">
        <v>3</v>
      </c>
      <c r="C44" t="s">
        <v>7</v>
      </c>
      <c r="F44" t="s">
        <v>3</v>
      </c>
    </row>
    <row r="45" spans="1:7" x14ac:dyDescent="0.25">
      <c r="A45" s="4">
        <v>41</v>
      </c>
    </row>
    <row r="46" spans="1:7" x14ac:dyDescent="0.25">
      <c r="A46" s="4">
        <v>42</v>
      </c>
    </row>
    <row r="47" spans="1:7" x14ac:dyDescent="0.25">
      <c r="A47" s="4">
        <v>43</v>
      </c>
    </row>
    <row r="48" spans="1:7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</row>
    <row r="52" spans="1:8" x14ac:dyDescent="0.25">
      <c r="A52" s="4">
        <v>48</v>
      </c>
      <c r="D52" t="s">
        <v>2</v>
      </c>
      <c r="E52" t="s">
        <v>4</v>
      </c>
      <c r="F52" t="s">
        <v>3</v>
      </c>
      <c r="G52" t="s">
        <v>3</v>
      </c>
      <c r="H52" t="s">
        <v>3</v>
      </c>
    </row>
    <row r="53" spans="1:8" x14ac:dyDescent="0.25">
      <c r="A53" s="4">
        <v>49</v>
      </c>
      <c r="D53" t="s">
        <v>7</v>
      </c>
      <c r="E53" t="s">
        <v>4</v>
      </c>
      <c r="F53" t="s">
        <v>3</v>
      </c>
      <c r="G53" t="s">
        <v>3</v>
      </c>
      <c r="H53" t="s">
        <v>3</v>
      </c>
    </row>
    <row r="54" spans="1:8" x14ac:dyDescent="0.25">
      <c r="A54" s="4">
        <v>50</v>
      </c>
      <c r="B54" t="s">
        <v>3</v>
      </c>
    </row>
    <row r="55" spans="1:8" x14ac:dyDescent="0.25">
      <c r="A55" s="4">
        <v>51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3</v>
      </c>
    </row>
    <row r="60" spans="1:8" x14ac:dyDescent="0.25">
      <c r="A60" s="4">
        <v>56</v>
      </c>
    </row>
    <row r="61" spans="1:8" x14ac:dyDescent="0.25">
      <c r="A61" s="18">
        <v>73</v>
      </c>
      <c r="B61" t="s">
        <v>3</v>
      </c>
      <c r="E61" t="s">
        <v>5</v>
      </c>
      <c r="F61" t="s">
        <v>3</v>
      </c>
    </row>
    <row r="62" spans="1:8" x14ac:dyDescent="0.25">
      <c r="A62" s="18">
        <v>74</v>
      </c>
      <c r="F62" t="s">
        <v>3</v>
      </c>
      <c r="G62" t="s">
        <v>6</v>
      </c>
      <c r="H62" t="s">
        <v>3</v>
      </c>
    </row>
  </sheetData>
  <conditionalFormatting sqref="B61:I62 I5:I60 B63:D63">
    <cfRule type="cellIs" dxfId="673" priority="18" operator="equal">
      <formula>"Energia"</formula>
    </cfRule>
    <cfRule type="cellIs" dxfId="672" priority="20" operator="equal">
      <formula>"Operação"</formula>
    </cfRule>
    <cfRule type="cellIs" dxfId="671" priority="21" operator="equal">
      <formula>"Chuva"</formula>
    </cfRule>
    <cfRule type="cellIs" dxfId="670" priority="22" operator="equal">
      <formula>"Elétrico"</formula>
    </cfRule>
    <cfRule type="cellIs" dxfId="669" priority="23" operator="equal">
      <formula>"Mecânico"</formula>
    </cfRule>
    <cfRule type="cellIs" dxfId="668" priority="24" operator="equal">
      <formula>"Ok"</formula>
    </cfRule>
  </conditionalFormatting>
  <conditionalFormatting sqref="B61:I62 I5:I60 B63:D63">
    <cfRule type="cellIs" dxfId="667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66" priority="16" operator="equal">
      <formula>"Energia"</formula>
    </cfRule>
  </conditionalFormatting>
  <conditionalFormatting sqref="G5:H60 B5:E60">
    <cfRule type="cellIs" dxfId="665" priority="9" operator="equal">
      <formula>"Energia"</formula>
    </cfRule>
    <cfRule type="cellIs" dxfId="664" priority="11" operator="equal">
      <formula>"Operação"</formula>
    </cfRule>
    <cfRule type="cellIs" dxfId="663" priority="12" operator="equal">
      <formula>"Chuva"</formula>
    </cfRule>
    <cfRule type="cellIs" dxfId="662" priority="13" operator="equal">
      <formula>"Elétrico"</formula>
    </cfRule>
    <cfRule type="cellIs" dxfId="661" priority="14" operator="equal">
      <formula>"Mecânico"</formula>
    </cfRule>
    <cfRule type="cellIs" dxfId="660" priority="15" operator="equal">
      <formula>"Ok"</formula>
    </cfRule>
  </conditionalFormatting>
  <conditionalFormatting sqref="G5:H60 B5:E60">
    <cfRule type="cellIs" dxfId="659" priority="10" operator="equal">
      <formula>"Feito"</formula>
    </cfRule>
  </conditionalFormatting>
  <conditionalFormatting sqref="F5:F11">
    <cfRule type="cellIs" dxfId="658" priority="8" operator="equal">
      <formula>"Energia"</formula>
    </cfRule>
  </conditionalFormatting>
  <conditionalFormatting sqref="F5:F60">
    <cfRule type="cellIs" dxfId="657" priority="1" operator="equal">
      <formula>"Energia"</formula>
    </cfRule>
    <cfRule type="cellIs" dxfId="656" priority="3" operator="equal">
      <formula>"Operação"</formula>
    </cfRule>
    <cfRule type="cellIs" dxfId="655" priority="4" operator="equal">
      <formula>"Chuva"</formula>
    </cfRule>
    <cfRule type="cellIs" dxfId="654" priority="5" operator="equal">
      <formula>"Elétrico"</formula>
    </cfRule>
    <cfRule type="cellIs" dxfId="653" priority="6" operator="equal">
      <formula>"Mecânico"</formula>
    </cfRule>
    <cfRule type="cellIs" dxfId="652" priority="7" operator="equal">
      <formula>"Ok"</formula>
    </cfRule>
  </conditionalFormatting>
  <conditionalFormatting sqref="F5:F60">
    <cfRule type="cellIs" dxfId="651" priority="2" operator="equal">
      <formula>"Feito"</formula>
    </cfRule>
  </conditionalFormatting>
  <dataValidations count="1">
    <dataValidation type="list" allowBlank="1" showInputMessage="1" showErrorMessage="1" sqref="B61:I62 B63:D63 B5:J60" xr:uid="{8138D61F-2290-437D-841D-908C758A2CB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3F7B-8782-4C90-908C-5BABC3849653}">
  <sheetPr codeName="Planilha45"/>
  <dimension ref="A3:L62"/>
  <sheetViews>
    <sheetView zoomScale="110" zoomScaleNormal="110" workbookViewId="0">
      <selection activeCell="B5" sqref="B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44536</v>
      </c>
      <c r="C3" s="3">
        <f>B3+1</f>
        <v>44537</v>
      </c>
      <c r="D3" s="3">
        <f t="shared" ref="D3:H3" si="0">C3+1</f>
        <v>44538</v>
      </c>
      <c r="E3" s="3">
        <f t="shared" si="0"/>
        <v>44539</v>
      </c>
      <c r="F3" s="3">
        <f t="shared" si="0"/>
        <v>44540</v>
      </c>
      <c r="G3" s="3">
        <f t="shared" si="0"/>
        <v>44541</v>
      </c>
      <c r="H3" s="3">
        <f t="shared" si="0"/>
        <v>44542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 t="shared" ref="L5:L10" si="2">COUNTIF($B$5:$I$60,K5)</f>
        <v>0</v>
      </c>
    </row>
    <row r="6" spans="1:12" x14ac:dyDescent="0.25">
      <c r="A6" s="4">
        <v>2</v>
      </c>
      <c r="K6" s="6" t="s">
        <v>5</v>
      </c>
      <c r="L6">
        <f t="shared" si="2"/>
        <v>0</v>
      </c>
    </row>
    <row r="7" spans="1:12" x14ac:dyDescent="0.25">
      <c r="A7" s="4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0</v>
      </c>
    </row>
    <row r="11" spans="1:12" x14ac:dyDescent="0.25">
      <c r="A11" s="4">
        <v>7</v>
      </c>
      <c r="L11">
        <f>SUM(L5:L10)</f>
        <v>0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1" x14ac:dyDescent="0.25">
      <c r="A33" s="4">
        <v>29</v>
      </c>
    </row>
    <row r="34" spans="1:1" x14ac:dyDescent="0.25">
      <c r="A34" s="4">
        <v>30</v>
      </c>
    </row>
    <row r="35" spans="1:1" x14ac:dyDescent="0.25">
      <c r="A35" s="4">
        <v>31</v>
      </c>
    </row>
    <row r="36" spans="1:1" x14ac:dyDescent="0.25">
      <c r="A36" s="4">
        <v>32</v>
      </c>
    </row>
    <row r="37" spans="1:1" x14ac:dyDescent="0.25">
      <c r="A37" s="4">
        <v>33</v>
      </c>
    </row>
    <row r="38" spans="1:1" x14ac:dyDescent="0.25">
      <c r="A38" s="4">
        <v>34</v>
      </c>
    </row>
    <row r="39" spans="1:1" x14ac:dyDescent="0.25">
      <c r="A39" s="4">
        <v>35</v>
      </c>
    </row>
    <row r="40" spans="1:1" x14ac:dyDescent="0.25">
      <c r="A40" s="4">
        <v>36</v>
      </c>
    </row>
    <row r="41" spans="1:1" x14ac:dyDescent="0.25">
      <c r="A41" s="4">
        <v>37</v>
      </c>
    </row>
    <row r="42" spans="1:1" x14ac:dyDescent="0.25">
      <c r="A42" s="4">
        <v>38</v>
      </c>
    </row>
    <row r="43" spans="1:1" x14ac:dyDescent="0.25">
      <c r="A43" s="4">
        <v>39</v>
      </c>
    </row>
    <row r="44" spans="1:1" x14ac:dyDescent="0.25">
      <c r="A44" s="4">
        <v>40</v>
      </c>
    </row>
    <row r="45" spans="1:1" x14ac:dyDescent="0.25">
      <c r="A45" s="4">
        <v>41</v>
      </c>
    </row>
    <row r="46" spans="1:1" x14ac:dyDescent="0.25">
      <c r="A46" s="4">
        <v>42</v>
      </c>
    </row>
    <row r="47" spans="1:1" x14ac:dyDescent="0.25">
      <c r="A47" s="4">
        <v>43</v>
      </c>
    </row>
    <row r="48" spans="1:1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650" priority="18" operator="equal">
      <formula>"Energia"</formula>
    </cfRule>
    <cfRule type="cellIs" dxfId="649" priority="20" operator="equal">
      <formula>"Operação"</formula>
    </cfRule>
    <cfRule type="cellIs" dxfId="648" priority="21" operator="equal">
      <formula>"Chuva"</formula>
    </cfRule>
    <cfRule type="cellIs" dxfId="647" priority="22" operator="equal">
      <formula>"Elétrico"</formula>
    </cfRule>
    <cfRule type="cellIs" dxfId="646" priority="23" operator="equal">
      <formula>"Mecânico"</formula>
    </cfRule>
    <cfRule type="cellIs" dxfId="645" priority="24" operator="equal">
      <formula>"Ok"</formula>
    </cfRule>
  </conditionalFormatting>
  <conditionalFormatting sqref="B61:I62 I5:I60 B63:D63">
    <cfRule type="cellIs" dxfId="644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43" priority="16" operator="equal">
      <formula>"Energia"</formula>
    </cfRule>
  </conditionalFormatting>
  <conditionalFormatting sqref="G5:H60 B5:E60">
    <cfRule type="cellIs" dxfId="642" priority="9" operator="equal">
      <formula>"Energia"</formula>
    </cfRule>
    <cfRule type="cellIs" dxfId="641" priority="11" operator="equal">
      <formula>"Operação"</formula>
    </cfRule>
    <cfRule type="cellIs" dxfId="640" priority="12" operator="equal">
      <formula>"Chuva"</formula>
    </cfRule>
    <cfRule type="cellIs" dxfId="639" priority="13" operator="equal">
      <formula>"Elétrico"</formula>
    </cfRule>
    <cfRule type="cellIs" dxfId="638" priority="14" operator="equal">
      <formula>"Mecânico"</formula>
    </cfRule>
    <cfRule type="cellIs" dxfId="637" priority="15" operator="equal">
      <formula>"Ok"</formula>
    </cfRule>
  </conditionalFormatting>
  <conditionalFormatting sqref="G5:H60 B5:E60">
    <cfRule type="cellIs" dxfId="636" priority="10" operator="equal">
      <formula>"Feito"</formula>
    </cfRule>
  </conditionalFormatting>
  <conditionalFormatting sqref="F5:F11">
    <cfRule type="cellIs" dxfId="635" priority="8" operator="equal">
      <formula>"Energia"</formula>
    </cfRule>
  </conditionalFormatting>
  <conditionalFormatting sqref="F5:F60">
    <cfRule type="cellIs" dxfId="634" priority="1" operator="equal">
      <formula>"Energia"</formula>
    </cfRule>
    <cfRule type="cellIs" dxfId="633" priority="3" operator="equal">
      <formula>"Operação"</formula>
    </cfRule>
    <cfRule type="cellIs" dxfId="632" priority="4" operator="equal">
      <formula>"Chuva"</formula>
    </cfRule>
    <cfRule type="cellIs" dxfId="631" priority="5" operator="equal">
      <formula>"Elétrico"</formula>
    </cfRule>
    <cfRule type="cellIs" dxfId="630" priority="6" operator="equal">
      <formula>"Mecânico"</formula>
    </cfRule>
    <cfRule type="cellIs" dxfId="629" priority="7" operator="equal">
      <formula>"Ok"</formula>
    </cfRule>
  </conditionalFormatting>
  <conditionalFormatting sqref="F5:F60">
    <cfRule type="cellIs" dxfId="628" priority="2" operator="equal">
      <formula>"Feito"</formula>
    </cfRule>
  </conditionalFormatting>
  <dataValidations count="1">
    <dataValidation type="list" allowBlank="1" showInputMessage="1" showErrorMessage="1" sqref="B61:I62 B63:D63 B5:J60" xr:uid="{FF83F290-9B40-4B18-98BF-5403139CA24E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B71-F233-46D7-AA4E-99E9AE5B1E8E}">
  <sheetPr codeName="Planilha46"/>
  <dimension ref="A3:L62"/>
  <sheetViews>
    <sheetView topLeftCell="A10" zoomScale="110" zoomScaleNormal="110" workbookViewId="0">
      <selection activeCell="E6" sqref="E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44564</v>
      </c>
      <c r="C3" s="3">
        <f>B3+1</f>
        <v>44565</v>
      </c>
      <c r="D3" s="3">
        <f t="shared" ref="D3:H3" si="0">C3+1</f>
        <v>44566</v>
      </c>
      <c r="E3" s="3">
        <f t="shared" si="0"/>
        <v>44567</v>
      </c>
      <c r="F3" s="3">
        <f t="shared" si="0"/>
        <v>44568</v>
      </c>
      <c r="G3" s="3">
        <f t="shared" si="0"/>
        <v>44569</v>
      </c>
      <c r="H3" s="3">
        <f t="shared" si="0"/>
        <v>44570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 t="shared" ref="L5:L10" si="2">COUNTIF($B$5:$I$60,K5)</f>
        <v>3</v>
      </c>
    </row>
    <row r="6" spans="1:12" x14ac:dyDescent="0.25">
      <c r="A6" s="4">
        <v>2</v>
      </c>
      <c r="K6" s="6" t="s">
        <v>5</v>
      </c>
      <c r="L6">
        <f t="shared" si="2"/>
        <v>0</v>
      </c>
    </row>
    <row r="7" spans="1:12" x14ac:dyDescent="0.25">
      <c r="A7" s="4">
        <v>3</v>
      </c>
      <c r="K7" s="7" t="s">
        <v>6</v>
      </c>
      <c r="L7">
        <f t="shared" si="2"/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0</v>
      </c>
    </row>
    <row r="11" spans="1:12" x14ac:dyDescent="0.25">
      <c r="A11" s="4">
        <v>7</v>
      </c>
      <c r="L11">
        <f>SUM(L5:L10)</f>
        <v>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  <c r="E24" t="s">
        <v>6</v>
      </c>
      <c r="F24" t="s">
        <v>2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  <c r="E28" t="s">
        <v>6</v>
      </c>
    </row>
    <row r="29" spans="1:6" x14ac:dyDescent="0.25">
      <c r="A29" s="4">
        <v>25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E34" t="s">
        <v>2</v>
      </c>
      <c r="F34" t="s">
        <v>2</v>
      </c>
    </row>
    <row r="35" spans="1:6" x14ac:dyDescent="0.25">
      <c r="A35" s="4">
        <v>31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627" priority="18" operator="equal">
      <formula>"Energia"</formula>
    </cfRule>
    <cfRule type="cellIs" dxfId="626" priority="20" operator="equal">
      <formula>"Operação"</formula>
    </cfRule>
    <cfRule type="cellIs" dxfId="625" priority="21" operator="equal">
      <formula>"Chuva"</formula>
    </cfRule>
    <cfRule type="cellIs" dxfId="624" priority="22" operator="equal">
      <formula>"Elétrico"</formula>
    </cfRule>
    <cfRule type="cellIs" dxfId="623" priority="23" operator="equal">
      <formula>"Mecânico"</formula>
    </cfRule>
    <cfRule type="cellIs" dxfId="622" priority="24" operator="equal">
      <formula>"Ok"</formula>
    </cfRule>
  </conditionalFormatting>
  <conditionalFormatting sqref="B61:I62 I5:I60 B63:D63">
    <cfRule type="cellIs" dxfId="621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20" priority="16" operator="equal">
      <formula>"Energia"</formula>
    </cfRule>
  </conditionalFormatting>
  <conditionalFormatting sqref="G5:H60 B5:E60">
    <cfRule type="cellIs" dxfId="619" priority="9" operator="equal">
      <formula>"Energia"</formula>
    </cfRule>
    <cfRule type="cellIs" dxfId="618" priority="11" operator="equal">
      <formula>"Operação"</formula>
    </cfRule>
    <cfRule type="cellIs" dxfId="617" priority="12" operator="equal">
      <formula>"Chuva"</formula>
    </cfRule>
    <cfRule type="cellIs" dxfId="616" priority="13" operator="equal">
      <formula>"Elétrico"</formula>
    </cfRule>
    <cfRule type="cellIs" dxfId="615" priority="14" operator="equal">
      <formula>"Mecânico"</formula>
    </cfRule>
    <cfRule type="cellIs" dxfId="614" priority="15" operator="equal">
      <formula>"Ok"</formula>
    </cfRule>
  </conditionalFormatting>
  <conditionalFormatting sqref="G5:H60 B5:E60">
    <cfRule type="cellIs" dxfId="613" priority="10" operator="equal">
      <formula>"Feito"</formula>
    </cfRule>
  </conditionalFormatting>
  <conditionalFormatting sqref="F5:F11">
    <cfRule type="cellIs" dxfId="612" priority="8" operator="equal">
      <formula>"Energia"</formula>
    </cfRule>
  </conditionalFormatting>
  <conditionalFormatting sqref="F5:F60">
    <cfRule type="cellIs" dxfId="611" priority="1" operator="equal">
      <formula>"Energia"</formula>
    </cfRule>
    <cfRule type="cellIs" dxfId="610" priority="3" operator="equal">
      <formula>"Operação"</formula>
    </cfRule>
    <cfRule type="cellIs" dxfId="609" priority="4" operator="equal">
      <formula>"Chuva"</formula>
    </cfRule>
    <cfRule type="cellIs" dxfId="608" priority="5" operator="equal">
      <formula>"Elétrico"</formula>
    </cfRule>
    <cfRule type="cellIs" dxfId="607" priority="6" operator="equal">
      <formula>"Mecânico"</formula>
    </cfRule>
    <cfRule type="cellIs" dxfId="606" priority="7" operator="equal">
      <formula>"Ok"</formula>
    </cfRule>
  </conditionalFormatting>
  <conditionalFormatting sqref="F5:F60">
    <cfRule type="cellIs" dxfId="605" priority="2" operator="equal">
      <formula>"Feito"</formula>
    </cfRule>
  </conditionalFormatting>
  <dataValidations count="1">
    <dataValidation type="list" allowBlank="1" showInputMessage="1" showErrorMessage="1" sqref="B61:I62 B63:D63 B5:J60" xr:uid="{B1ED9DB0-268C-46A8-AFE5-F5F8CB59765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A66-69BF-4071-99B7-F794E6C29033}">
  <sheetPr codeName="Planilha47"/>
  <dimension ref="A3:L62"/>
  <sheetViews>
    <sheetView zoomScale="110" zoomScaleNormal="110" workbookViewId="0">
      <selection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44571</v>
      </c>
      <c r="C3" s="3">
        <f>B3+1</f>
        <v>44572</v>
      </c>
      <c r="D3" s="3">
        <f t="shared" ref="D3:H3" si="0">C3+1</f>
        <v>44573</v>
      </c>
      <c r="E3" s="3">
        <f t="shared" si="0"/>
        <v>44574</v>
      </c>
      <c r="F3" s="3">
        <f t="shared" si="0"/>
        <v>44575</v>
      </c>
      <c r="G3" s="3">
        <f t="shared" si="0"/>
        <v>44576</v>
      </c>
      <c r="H3" s="3">
        <f t="shared" si="0"/>
        <v>44577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H5" t="s">
        <v>5</v>
      </c>
      <c r="K5" s="5" t="s">
        <v>2</v>
      </c>
      <c r="L5">
        <f t="shared" ref="L5:L10" si="2">COUNTIF($B$5:$I$60,K5)</f>
        <v>5</v>
      </c>
    </row>
    <row r="6" spans="1:12" x14ac:dyDescent="0.25">
      <c r="A6" s="4">
        <v>2</v>
      </c>
      <c r="K6" s="6" t="s">
        <v>5</v>
      </c>
      <c r="L6">
        <f t="shared" si="2"/>
        <v>1</v>
      </c>
    </row>
    <row r="7" spans="1:12" x14ac:dyDescent="0.25">
      <c r="A7" s="4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</v>
      </c>
    </row>
    <row r="11" spans="1:12" x14ac:dyDescent="0.25">
      <c r="A11" s="4">
        <v>7</v>
      </c>
      <c r="L11">
        <f>SUM(L5:L10)</f>
        <v>8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G27" t="s">
        <v>2</v>
      </c>
      <c r="H27" t="s">
        <v>2</v>
      </c>
    </row>
    <row r="28" spans="1:8" x14ac:dyDescent="0.25">
      <c r="A28" s="4">
        <v>24</v>
      </c>
      <c r="G28" t="s">
        <v>7</v>
      </c>
    </row>
    <row r="29" spans="1:8" x14ac:dyDescent="0.25">
      <c r="A29" s="4">
        <v>25</v>
      </c>
    </row>
    <row r="30" spans="1:8" x14ac:dyDescent="0.25">
      <c r="A30" s="4">
        <v>26</v>
      </c>
      <c r="H30" t="s">
        <v>7</v>
      </c>
    </row>
    <row r="31" spans="1:8" x14ac:dyDescent="0.25">
      <c r="A31" s="4">
        <v>27</v>
      </c>
    </row>
    <row r="32" spans="1:8" x14ac:dyDescent="0.25">
      <c r="A32" s="4">
        <v>28</v>
      </c>
      <c r="G32" t="s">
        <v>2</v>
      </c>
    </row>
    <row r="33" spans="1:8" x14ac:dyDescent="0.25">
      <c r="A33" s="4">
        <v>29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  <c r="G37" t="s">
        <v>2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</row>
    <row r="46" spans="1:8" x14ac:dyDescent="0.25">
      <c r="A46" s="4">
        <v>42</v>
      </c>
    </row>
    <row r="47" spans="1:8" x14ac:dyDescent="0.25">
      <c r="A47" s="4">
        <v>43</v>
      </c>
      <c r="H47" t="s">
        <v>2</v>
      </c>
    </row>
    <row r="48" spans="1:8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604" priority="18" operator="equal">
      <formula>"Energia"</formula>
    </cfRule>
    <cfRule type="cellIs" dxfId="603" priority="20" operator="equal">
      <formula>"Operação"</formula>
    </cfRule>
    <cfRule type="cellIs" dxfId="602" priority="21" operator="equal">
      <formula>"Chuva"</formula>
    </cfRule>
    <cfRule type="cellIs" dxfId="601" priority="22" operator="equal">
      <formula>"Elétrico"</formula>
    </cfRule>
    <cfRule type="cellIs" dxfId="600" priority="23" operator="equal">
      <formula>"Mecânico"</formula>
    </cfRule>
    <cfRule type="cellIs" dxfId="599" priority="24" operator="equal">
      <formula>"Ok"</formula>
    </cfRule>
  </conditionalFormatting>
  <conditionalFormatting sqref="B61:I62 I5:I60 B63:D63">
    <cfRule type="cellIs" dxfId="598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97" priority="16" operator="equal">
      <formula>"Energia"</formula>
    </cfRule>
  </conditionalFormatting>
  <conditionalFormatting sqref="G5:H60 B5:E60">
    <cfRule type="cellIs" dxfId="596" priority="9" operator="equal">
      <formula>"Energia"</formula>
    </cfRule>
    <cfRule type="cellIs" dxfId="595" priority="11" operator="equal">
      <formula>"Operação"</formula>
    </cfRule>
    <cfRule type="cellIs" dxfId="594" priority="12" operator="equal">
      <formula>"Chuva"</formula>
    </cfRule>
    <cfRule type="cellIs" dxfId="593" priority="13" operator="equal">
      <formula>"Elétrico"</formula>
    </cfRule>
    <cfRule type="cellIs" dxfId="592" priority="14" operator="equal">
      <formula>"Mecânico"</formula>
    </cfRule>
    <cfRule type="cellIs" dxfId="591" priority="15" operator="equal">
      <formula>"Ok"</formula>
    </cfRule>
  </conditionalFormatting>
  <conditionalFormatting sqref="G5:H60 B5:E60">
    <cfRule type="cellIs" dxfId="590" priority="10" operator="equal">
      <formula>"Feito"</formula>
    </cfRule>
  </conditionalFormatting>
  <conditionalFormatting sqref="F5:F11">
    <cfRule type="cellIs" dxfId="589" priority="8" operator="equal">
      <formula>"Energia"</formula>
    </cfRule>
  </conditionalFormatting>
  <conditionalFormatting sqref="F5:F60">
    <cfRule type="cellIs" dxfId="588" priority="1" operator="equal">
      <formula>"Energia"</formula>
    </cfRule>
    <cfRule type="cellIs" dxfId="587" priority="3" operator="equal">
      <formula>"Operação"</formula>
    </cfRule>
    <cfRule type="cellIs" dxfId="586" priority="4" operator="equal">
      <formula>"Chuva"</formula>
    </cfRule>
    <cfRule type="cellIs" dxfId="585" priority="5" operator="equal">
      <formula>"Elétrico"</formula>
    </cfRule>
    <cfRule type="cellIs" dxfId="584" priority="6" operator="equal">
      <formula>"Mecânico"</formula>
    </cfRule>
    <cfRule type="cellIs" dxfId="583" priority="7" operator="equal">
      <formula>"Ok"</formula>
    </cfRule>
  </conditionalFormatting>
  <conditionalFormatting sqref="F5:F60">
    <cfRule type="cellIs" dxfId="582" priority="2" operator="equal">
      <formula>"Feito"</formula>
    </cfRule>
  </conditionalFormatting>
  <dataValidations count="1">
    <dataValidation type="list" allowBlank="1" showInputMessage="1" showErrorMessage="1" sqref="B61:I62 B63:D63 B5:J60" xr:uid="{3B53E093-6701-4B82-9E73-56DDD6B794B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AA3-B2FE-4793-827F-9E63E9AEE76B}">
  <sheetPr codeName="Planilha48"/>
  <dimension ref="A3:L95"/>
  <sheetViews>
    <sheetView zoomScale="110" zoomScaleNormal="110" workbookViewId="0">
      <selection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44578</v>
      </c>
      <c r="C3" s="3">
        <f>B3+1</f>
        <v>44579</v>
      </c>
      <c r="D3" s="3">
        <f t="shared" ref="D3:H3" si="0">C3+1</f>
        <v>44580</v>
      </c>
      <c r="E3" s="3">
        <f t="shared" si="0"/>
        <v>44581</v>
      </c>
      <c r="F3" s="3">
        <f t="shared" si="0"/>
        <v>44582</v>
      </c>
      <c r="G3" s="3">
        <f t="shared" si="0"/>
        <v>44583</v>
      </c>
      <c r="H3" s="3">
        <f t="shared" si="0"/>
        <v>44584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COUNTIF($B$5:$I$95,K5)</f>
        <v>99</v>
      </c>
    </row>
    <row r="6" spans="1:12" x14ac:dyDescent="0.25">
      <c r="A6" s="4">
        <v>2</v>
      </c>
      <c r="K6" s="6" t="s">
        <v>5</v>
      </c>
      <c r="L6">
        <f t="shared" ref="L6:L10" si="2">COUNTIF($B$5:$I$60,K6)</f>
        <v>11</v>
      </c>
    </row>
    <row r="7" spans="1:12" x14ac:dyDescent="0.25">
      <c r="A7" s="4">
        <v>3</v>
      </c>
      <c r="K7" s="7" t="s">
        <v>6</v>
      </c>
      <c r="L7">
        <f t="shared" si="2"/>
        <v>8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E9" t="s">
        <v>2</v>
      </c>
      <c r="G9" t="s">
        <v>7</v>
      </c>
      <c r="K9" s="9" t="s">
        <v>3</v>
      </c>
      <c r="L9">
        <f t="shared" si="2"/>
        <v>5</v>
      </c>
    </row>
    <row r="10" spans="1:12" x14ac:dyDescent="0.25">
      <c r="A10" s="4">
        <v>6</v>
      </c>
      <c r="B10" t="s">
        <v>6</v>
      </c>
      <c r="E10" t="s">
        <v>2</v>
      </c>
      <c r="G10" t="s">
        <v>7</v>
      </c>
      <c r="K10" s="10" t="s">
        <v>7</v>
      </c>
      <c r="L10">
        <f t="shared" si="2"/>
        <v>46</v>
      </c>
    </row>
    <row r="11" spans="1:12" x14ac:dyDescent="0.25">
      <c r="A11" s="4">
        <v>7</v>
      </c>
      <c r="B11" t="s">
        <v>7</v>
      </c>
      <c r="F11" t="s">
        <v>2</v>
      </c>
      <c r="H11" t="s">
        <v>2</v>
      </c>
      <c r="L11">
        <f>SUM(L5:L10)</f>
        <v>169</v>
      </c>
    </row>
    <row r="12" spans="1:12" x14ac:dyDescent="0.25">
      <c r="A12" s="4">
        <v>8</v>
      </c>
      <c r="B12" t="s">
        <v>7</v>
      </c>
      <c r="F12" t="s">
        <v>2</v>
      </c>
      <c r="H12" t="s">
        <v>2</v>
      </c>
    </row>
    <row r="13" spans="1:12" x14ac:dyDescent="0.25">
      <c r="A13" s="4">
        <v>9</v>
      </c>
      <c r="C13" t="s">
        <v>2</v>
      </c>
      <c r="F13" t="s">
        <v>2</v>
      </c>
      <c r="H13" t="s">
        <v>2</v>
      </c>
    </row>
    <row r="14" spans="1:12" x14ac:dyDescent="0.25">
      <c r="A14" s="4">
        <v>10</v>
      </c>
      <c r="C14" t="s">
        <v>2</v>
      </c>
      <c r="F14" t="s">
        <v>2</v>
      </c>
      <c r="H14" t="s">
        <v>2</v>
      </c>
    </row>
    <row r="15" spans="1:12" x14ac:dyDescent="0.25">
      <c r="A15" s="4">
        <v>11</v>
      </c>
      <c r="B15" t="s">
        <v>7</v>
      </c>
      <c r="E15" t="s">
        <v>7</v>
      </c>
      <c r="G15" t="s">
        <v>7</v>
      </c>
    </row>
    <row r="16" spans="1:12" x14ac:dyDescent="0.25">
      <c r="A16" s="4">
        <v>12</v>
      </c>
      <c r="C16" t="s">
        <v>7</v>
      </c>
      <c r="E16" t="s">
        <v>7</v>
      </c>
      <c r="G16" t="s">
        <v>7</v>
      </c>
    </row>
    <row r="17" spans="1:8" x14ac:dyDescent="0.25">
      <c r="A17" s="4">
        <v>13</v>
      </c>
      <c r="B17" t="s">
        <v>7</v>
      </c>
      <c r="D17" t="s">
        <v>2</v>
      </c>
      <c r="E17" t="s">
        <v>7</v>
      </c>
      <c r="F17" t="s">
        <v>5</v>
      </c>
      <c r="H17" t="s">
        <v>2</v>
      </c>
    </row>
    <row r="18" spans="1:8" x14ac:dyDescent="0.25">
      <c r="A18" s="4">
        <v>14</v>
      </c>
      <c r="B18" t="s">
        <v>7</v>
      </c>
      <c r="C18" t="s">
        <v>7</v>
      </c>
      <c r="E18" t="s">
        <v>7</v>
      </c>
      <c r="F18" t="s">
        <v>5</v>
      </c>
      <c r="H18" t="s">
        <v>5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C22" t="s">
        <v>7</v>
      </c>
      <c r="E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E24" t="s">
        <v>6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  <c r="B26" t="s">
        <v>6</v>
      </c>
      <c r="D26" t="s">
        <v>2</v>
      </c>
      <c r="E26" t="s">
        <v>2</v>
      </c>
      <c r="G26" t="s">
        <v>2</v>
      </c>
    </row>
    <row r="27" spans="1:8" x14ac:dyDescent="0.25">
      <c r="A27" s="4">
        <v>23</v>
      </c>
      <c r="B27" t="s">
        <v>7</v>
      </c>
      <c r="C27" t="s">
        <v>7</v>
      </c>
      <c r="D27" t="s">
        <v>2</v>
      </c>
      <c r="F27" t="s">
        <v>5</v>
      </c>
      <c r="G27" t="s">
        <v>2</v>
      </c>
    </row>
    <row r="28" spans="1:8" x14ac:dyDescent="0.25">
      <c r="A28" s="4">
        <v>24</v>
      </c>
      <c r="F28" t="s">
        <v>5</v>
      </c>
    </row>
    <row r="29" spans="1:8" x14ac:dyDescent="0.25">
      <c r="A29" s="4">
        <v>25</v>
      </c>
    </row>
    <row r="30" spans="1:8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5</v>
      </c>
      <c r="G30" t="s">
        <v>2</v>
      </c>
      <c r="H30" t="s">
        <v>6</v>
      </c>
    </row>
    <row r="31" spans="1:8" x14ac:dyDescent="0.25">
      <c r="A31" s="4">
        <v>27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 x14ac:dyDescent="0.25">
      <c r="A32" s="4">
        <v>28</v>
      </c>
      <c r="B32" t="s">
        <v>7</v>
      </c>
      <c r="F32" t="s">
        <v>6</v>
      </c>
      <c r="G32" t="s">
        <v>2</v>
      </c>
    </row>
    <row r="33" spans="1:8" x14ac:dyDescent="0.25">
      <c r="A33" s="4">
        <v>29</v>
      </c>
      <c r="B33" t="s">
        <v>2</v>
      </c>
      <c r="D33" t="s">
        <v>2</v>
      </c>
      <c r="F33" t="s">
        <v>7</v>
      </c>
      <c r="G33" t="s">
        <v>2</v>
      </c>
    </row>
    <row r="34" spans="1:8" x14ac:dyDescent="0.25">
      <c r="A34" s="4">
        <v>30</v>
      </c>
      <c r="D34" t="s">
        <v>7</v>
      </c>
      <c r="G34" t="s">
        <v>2</v>
      </c>
    </row>
    <row r="35" spans="1:8" x14ac:dyDescent="0.25">
      <c r="A35" s="4">
        <v>31</v>
      </c>
      <c r="D35" t="s">
        <v>7</v>
      </c>
      <c r="F35" t="s">
        <v>5</v>
      </c>
      <c r="G35" t="s">
        <v>5</v>
      </c>
    </row>
    <row r="36" spans="1:8" x14ac:dyDescent="0.25">
      <c r="A36" s="4">
        <v>32</v>
      </c>
      <c r="C36" t="s">
        <v>2</v>
      </c>
      <c r="D36" t="s">
        <v>5</v>
      </c>
      <c r="E36" t="s">
        <v>7</v>
      </c>
      <c r="F36" t="s">
        <v>5</v>
      </c>
      <c r="G36" t="s">
        <v>2</v>
      </c>
      <c r="H36" t="s">
        <v>2</v>
      </c>
    </row>
    <row r="37" spans="1:8" x14ac:dyDescent="0.25">
      <c r="A37" s="4">
        <v>33</v>
      </c>
      <c r="H37" t="s">
        <v>7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7</v>
      </c>
      <c r="E39" t="s">
        <v>7</v>
      </c>
      <c r="G39" t="s">
        <v>7</v>
      </c>
    </row>
    <row r="40" spans="1:8" x14ac:dyDescent="0.25">
      <c r="A40" s="4">
        <v>36</v>
      </c>
      <c r="B40" t="s">
        <v>7</v>
      </c>
      <c r="E40" t="s">
        <v>7</v>
      </c>
      <c r="G40" t="s">
        <v>2</v>
      </c>
    </row>
    <row r="41" spans="1:8" x14ac:dyDescent="0.25">
      <c r="A41" s="4">
        <v>37</v>
      </c>
      <c r="C41" t="s">
        <v>2</v>
      </c>
      <c r="E41" t="s">
        <v>2</v>
      </c>
      <c r="H41" t="s">
        <v>2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  <c r="H45" t="s">
        <v>7</v>
      </c>
    </row>
    <row r="46" spans="1:8" x14ac:dyDescent="0.25">
      <c r="A46" s="4">
        <v>42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  <c r="D47" t="s">
        <v>2</v>
      </c>
      <c r="E47" t="s">
        <v>7</v>
      </c>
      <c r="F47" t="s">
        <v>7</v>
      </c>
    </row>
    <row r="48" spans="1:8" x14ac:dyDescent="0.25">
      <c r="A48" s="4">
        <v>44</v>
      </c>
      <c r="E48" t="s">
        <v>2</v>
      </c>
      <c r="F48" t="s">
        <v>2</v>
      </c>
      <c r="G48" t="s">
        <v>2</v>
      </c>
      <c r="H48" t="s">
        <v>3</v>
      </c>
    </row>
    <row r="49" spans="1:8" x14ac:dyDescent="0.25">
      <c r="A49" s="4">
        <v>45</v>
      </c>
      <c r="G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G50" t="s">
        <v>2</v>
      </c>
    </row>
    <row r="51" spans="1:8" x14ac:dyDescent="0.25">
      <c r="A51" s="4">
        <v>47</v>
      </c>
    </row>
    <row r="52" spans="1:8" x14ac:dyDescent="0.25">
      <c r="A52" s="4">
        <v>48</v>
      </c>
      <c r="C52" t="s">
        <v>7</v>
      </c>
      <c r="F52" t="s">
        <v>6</v>
      </c>
      <c r="H52" t="s">
        <v>6</v>
      </c>
    </row>
    <row r="53" spans="1:8" x14ac:dyDescent="0.25">
      <c r="A53" s="4">
        <v>49</v>
      </c>
      <c r="C53" t="s">
        <v>7</v>
      </c>
      <c r="H53" t="s">
        <v>7</v>
      </c>
    </row>
    <row r="54" spans="1:8" x14ac:dyDescent="0.25">
      <c r="A54" s="4">
        <v>50</v>
      </c>
      <c r="H54" t="s">
        <v>3</v>
      </c>
    </row>
    <row r="55" spans="1:8" x14ac:dyDescent="0.25">
      <c r="A55" s="4">
        <v>51</v>
      </c>
      <c r="H55" t="s">
        <v>2</v>
      </c>
    </row>
    <row r="56" spans="1:8" x14ac:dyDescent="0.25">
      <c r="A56" s="4">
        <v>52</v>
      </c>
      <c r="D56" t="s">
        <v>5</v>
      </c>
      <c r="F56" t="s">
        <v>7</v>
      </c>
      <c r="G56" t="s">
        <v>2</v>
      </c>
      <c r="H56" t="s">
        <v>2</v>
      </c>
    </row>
    <row r="57" spans="1:8" x14ac:dyDescent="0.25">
      <c r="A57" s="4">
        <v>53</v>
      </c>
      <c r="E57" t="s">
        <v>2</v>
      </c>
      <c r="H57" t="s">
        <v>3</v>
      </c>
    </row>
    <row r="58" spans="1:8" x14ac:dyDescent="0.25">
      <c r="A58" s="4">
        <v>54</v>
      </c>
    </row>
    <row r="59" spans="1:8" x14ac:dyDescent="0.25">
      <c r="A59" s="4">
        <v>55</v>
      </c>
      <c r="F59" t="s">
        <v>6</v>
      </c>
      <c r="G59" t="s">
        <v>2</v>
      </c>
      <c r="H59" t="s">
        <v>3</v>
      </c>
    </row>
    <row r="60" spans="1:8" x14ac:dyDescent="0.25">
      <c r="A60" s="4">
        <v>56</v>
      </c>
      <c r="G60" t="s">
        <v>2</v>
      </c>
      <c r="H60" t="s">
        <v>3</v>
      </c>
    </row>
    <row r="61" spans="1:8" x14ac:dyDescent="0.25">
      <c r="A61" s="18">
        <v>73</v>
      </c>
    </row>
    <row r="62" spans="1:8" x14ac:dyDescent="0.25">
      <c r="A62" s="18">
        <v>74</v>
      </c>
      <c r="D62" t="s">
        <v>2</v>
      </c>
      <c r="E62" t="s">
        <v>7</v>
      </c>
      <c r="H62" t="s">
        <v>7</v>
      </c>
    </row>
    <row r="63" spans="1:8" x14ac:dyDescent="0.25">
      <c r="A63" s="18">
        <v>101</v>
      </c>
      <c r="F63" t="s">
        <v>2</v>
      </c>
      <c r="H63" t="s">
        <v>2</v>
      </c>
    </row>
    <row r="64" spans="1:8" x14ac:dyDescent="0.25">
      <c r="A64" s="18">
        <v>102</v>
      </c>
      <c r="E64" t="s">
        <v>5</v>
      </c>
      <c r="F64" t="s">
        <v>5</v>
      </c>
      <c r="G64" t="s">
        <v>5</v>
      </c>
    </row>
    <row r="65" spans="1:8" x14ac:dyDescent="0.25">
      <c r="A65" s="18">
        <v>103</v>
      </c>
      <c r="E65" t="s">
        <v>2</v>
      </c>
      <c r="G65" t="s">
        <v>2</v>
      </c>
    </row>
    <row r="66" spans="1:8" x14ac:dyDescent="0.25">
      <c r="A66" s="18">
        <v>104</v>
      </c>
      <c r="E66" t="s">
        <v>2</v>
      </c>
    </row>
    <row r="67" spans="1:8" x14ac:dyDescent="0.25">
      <c r="A67" s="18">
        <v>105</v>
      </c>
    </row>
    <row r="68" spans="1:8" x14ac:dyDescent="0.25">
      <c r="A68" s="18">
        <v>106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</row>
    <row r="69" spans="1:8" x14ac:dyDescent="0.25">
      <c r="A69" s="18">
        <v>107</v>
      </c>
    </row>
    <row r="70" spans="1:8" x14ac:dyDescent="0.25">
      <c r="A70" s="18">
        <v>108</v>
      </c>
      <c r="D70" t="s">
        <v>2</v>
      </c>
      <c r="E70" t="s">
        <v>2</v>
      </c>
      <c r="F70" t="s">
        <v>2</v>
      </c>
      <c r="H70" t="s">
        <v>2</v>
      </c>
    </row>
    <row r="71" spans="1:8" x14ac:dyDescent="0.25">
      <c r="A71" s="18">
        <v>109</v>
      </c>
      <c r="E71" t="s">
        <v>2</v>
      </c>
      <c r="F71" t="s">
        <v>2</v>
      </c>
      <c r="G71" t="s">
        <v>2</v>
      </c>
      <c r="H71" t="s">
        <v>2</v>
      </c>
    </row>
    <row r="72" spans="1:8" x14ac:dyDescent="0.25">
      <c r="A72" s="18">
        <v>110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  <c r="G74" t="s">
        <v>2</v>
      </c>
    </row>
    <row r="75" spans="1:8" x14ac:dyDescent="0.25">
      <c r="A75" s="18">
        <v>113</v>
      </c>
      <c r="D75" t="s">
        <v>2</v>
      </c>
      <c r="F75" t="s">
        <v>2</v>
      </c>
      <c r="G75" t="s">
        <v>2</v>
      </c>
      <c r="H75" t="s">
        <v>5</v>
      </c>
    </row>
    <row r="76" spans="1:8" x14ac:dyDescent="0.25">
      <c r="A76" s="18">
        <v>114</v>
      </c>
      <c r="E76" t="s">
        <v>2</v>
      </c>
    </row>
    <row r="77" spans="1:8" x14ac:dyDescent="0.25">
      <c r="A77" s="18">
        <v>115</v>
      </c>
      <c r="D77" t="s">
        <v>2</v>
      </c>
      <c r="G77" t="s">
        <v>5</v>
      </c>
      <c r="H77" t="s">
        <v>5</v>
      </c>
    </row>
    <row r="78" spans="1:8" x14ac:dyDescent="0.25">
      <c r="A78" s="18">
        <v>116</v>
      </c>
      <c r="E78" t="s">
        <v>2</v>
      </c>
      <c r="F78" t="s">
        <v>2</v>
      </c>
      <c r="G78" t="s">
        <v>5</v>
      </c>
      <c r="H78" t="s">
        <v>5</v>
      </c>
    </row>
    <row r="79" spans="1:8" x14ac:dyDescent="0.25">
      <c r="A79" s="18">
        <v>117</v>
      </c>
      <c r="F79" t="s">
        <v>5</v>
      </c>
      <c r="G79" t="s">
        <v>5</v>
      </c>
      <c r="H79" t="s">
        <v>5</v>
      </c>
    </row>
    <row r="80" spans="1:8" x14ac:dyDescent="0.25">
      <c r="A80" s="18">
        <v>118</v>
      </c>
      <c r="E80" t="s">
        <v>2</v>
      </c>
      <c r="G80" t="s">
        <v>5</v>
      </c>
      <c r="H80" t="s">
        <v>5</v>
      </c>
    </row>
    <row r="81" spans="1:8" x14ac:dyDescent="0.25">
      <c r="A81" s="18">
        <v>119</v>
      </c>
      <c r="F81" t="s">
        <v>2</v>
      </c>
      <c r="G81" t="s">
        <v>5</v>
      </c>
      <c r="H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F90" t="s">
        <v>5</v>
      </c>
      <c r="G90" t="s">
        <v>5</v>
      </c>
      <c r="H90" t="s">
        <v>5</v>
      </c>
    </row>
    <row r="91" spans="1:8" x14ac:dyDescent="0.25">
      <c r="A91" s="18">
        <v>129</v>
      </c>
      <c r="F91" t="s">
        <v>5</v>
      </c>
      <c r="G91" t="s">
        <v>5</v>
      </c>
      <c r="H91" t="s">
        <v>5</v>
      </c>
    </row>
    <row r="92" spans="1:8" x14ac:dyDescent="0.25">
      <c r="A92" s="18">
        <v>130</v>
      </c>
      <c r="F92" t="s">
        <v>5</v>
      </c>
      <c r="G92" t="s">
        <v>5</v>
      </c>
      <c r="H92" t="s">
        <v>5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">
    <cfRule type="cellIs" dxfId="581" priority="25" operator="equal">
      <formula>"Energia"</formula>
    </cfRule>
    <cfRule type="cellIs" dxfId="580" priority="27" operator="equal">
      <formula>"Operação"</formula>
    </cfRule>
    <cfRule type="cellIs" dxfId="579" priority="28" operator="equal">
      <formula>"Chuva"</formula>
    </cfRule>
    <cfRule type="cellIs" dxfId="578" priority="29" operator="equal">
      <formula>"Elétrico"</formula>
    </cfRule>
    <cfRule type="cellIs" dxfId="577" priority="30" operator="equal">
      <formula>"Mecânico"</formula>
    </cfRule>
    <cfRule type="cellIs" dxfId="576" priority="31" operator="equal">
      <formula>"Ok"</formula>
    </cfRule>
  </conditionalFormatting>
  <conditionalFormatting sqref="B61:I62 I5:I60">
    <cfRule type="cellIs" dxfId="575" priority="26" operator="equal">
      <formula>"Feito"</formula>
    </cfRule>
  </conditionalFormatting>
  <conditionalFormatting sqref="K7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B5:E11 G5:G56">
    <cfRule type="cellIs" dxfId="574" priority="23" operator="equal">
      <formula>"Energia"</formula>
    </cfRule>
  </conditionalFormatting>
  <conditionalFormatting sqref="B5:E60 G5:H60">
    <cfRule type="cellIs" dxfId="573" priority="16" operator="equal">
      <formula>"Energia"</formula>
    </cfRule>
    <cfRule type="cellIs" dxfId="572" priority="18" operator="equal">
      <formula>"Operação"</formula>
    </cfRule>
    <cfRule type="cellIs" dxfId="571" priority="19" operator="equal">
      <formula>"Chuva"</formula>
    </cfRule>
    <cfRule type="cellIs" dxfId="570" priority="20" operator="equal">
      <formula>"Elétrico"</formula>
    </cfRule>
    <cfRule type="cellIs" dxfId="569" priority="21" operator="equal">
      <formula>"Mecânico"</formula>
    </cfRule>
    <cfRule type="cellIs" dxfId="568" priority="22" operator="equal">
      <formula>"Ok"</formula>
    </cfRule>
  </conditionalFormatting>
  <conditionalFormatting sqref="B5:E60 G5:H60">
    <cfRule type="cellIs" dxfId="567" priority="17" operator="equal">
      <formula>"Feito"</formula>
    </cfRule>
  </conditionalFormatting>
  <conditionalFormatting sqref="F5:F11">
    <cfRule type="cellIs" dxfId="566" priority="15" operator="equal">
      <formula>"Energia"</formula>
    </cfRule>
  </conditionalFormatting>
  <conditionalFormatting sqref="F5:F60">
    <cfRule type="cellIs" dxfId="565" priority="8" operator="equal">
      <formula>"Energia"</formula>
    </cfRule>
    <cfRule type="cellIs" dxfId="564" priority="10" operator="equal">
      <formula>"Operação"</formula>
    </cfRule>
    <cfRule type="cellIs" dxfId="563" priority="11" operator="equal">
      <formula>"Chuva"</formula>
    </cfRule>
    <cfRule type="cellIs" dxfId="562" priority="12" operator="equal">
      <formula>"Elétrico"</formula>
    </cfRule>
    <cfRule type="cellIs" dxfId="561" priority="13" operator="equal">
      <formula>"Mecânico"</formula>
    </cfRule>
    <cfRule type="cellIs" dxfId="560" priority="14" operator="equal">
      <formula>"Ok"</formula>
    </cfRule>
  </conditionalFormatting>
  <conditionalFormatting sqref="F5:F60">
    <cfRule type="cellIs" dxfId="559" priority="9" operator="equal">
      <formula>"Feito"</formula>
    </cfRule>
  </conditionalFormatting>
  <conditionalFormatting sqref="B63:H95">
    <cfRule type="cellIs" dxfId="558" priority="1" operator="equal">
      <formula>"Energia"</formula>
    </cfRule>
    <cfRule type="cellIs" dxfId="557" priority="3" operator="equal">
      <formula>"Operação"</formula>
    </cfRule>
    <cfRule type="cellIs" dxfId="556" priority="4" operator="equal">
      <formula>"Chuva"</formula>
    </cfRule>
    <cfRule type="cellIs" dxfId="555" priority="5" operator="equal">
      <formula>"Elétrico"</formula>
    </cfRule>
    <cfRule type="cellIs" dxfId="554" priority="6" operator="equal">
      <formula>"Mecânico"</formula>
    </cfRule>
    <cfRule type="cellIs" dxfId="553" priority="7" operator="equal">
      <formula>"Ok"</formula>
    </cfRule>
  </conditionalFormatting>
  <conditionalFormatting sqref="B63:H95">
    <cfRule type="cellIs" dxfId="552" priority="2" operator="equal">
      <formula>"Feito"</formula>
    </cfRule>
  </conditionalFormatting>
  <dataValidations count="1">
    <dataValidation type="list" allowBlank="1" showInputMessage="1" showErrorMessage="1" sqref="B61:I62 B5:J60 B63:H95" xr:uid="{4E6828DB-6184-4C74-95D7-407813E8A7C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337D-CC41-486C-84C6-476681D2A537}">
  <sheetPr codeName="Planilha49"/>
  <dimension ref="A3:L95"/>
  <sheetViews>
    <sheetView zoomScale="110" zoomScaleNormal="110" workbookViewId="0">
      <selection activeCell="H16" sqref="H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44585</v>
      </c>
      <c r="C3" s="3">
        <f>B3+1</f>
        <v>44586</v>
      </c>
      <c r="D3" s="3">
        <f t="shared" ref="D3:H3" si="0">C3+1</f>
        <v>44587</v>
      </c>
      <c r="E3" s="3">
        <f t="shared" si="0"/>
        <v>44588</v>
      </c>
      <c r="F3" s="3">
        <f t="shared" si="0"/>
        <v>44589</v>
      </c>
      <c r="G3" s="3">
        <f t="shared" si="0"/>
        <v>44590</v>
      </c>
      <c r="H3" s="3">
        <f t="shared" si="0"/>
        <v>44591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2</v>
      </c>
      <c r="H5" t="s">
        <v>2</v>
      </c>
      <c r="K5" s="5" t="s">
        <v>2</v>
      </c>
      <c r="L5">
        <f>COUNTIF($B$5:$H$95,K5)</f>
        <v>80</v>
      </c>
    </row>
    <row r="6" spans="1:12" x14ac:dyDescent="0.25">
      <c r="A6" s="4">
        <v>2</v>
      </c>
      <c r="K6" s="6" t="s">
        <v>5</v>
      </c>
      <c r="L6">
        <f>COUNTIF($B$5:$H$95,K6)</f>
        <v>18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24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3</v>
      </c>
      <c r="G9" t="s">
        <v>2</v>
      </c>
      <c r="K9" s="9" t="s">
        <v>3</v>
      </c>
      <c r="L9">
        <f t="shared" si="2"/>
        <v>31</v>
      </c>
    </row>
    <row r="10" spans="1:12" x14ac:dyDescent="0.25">
      <c r="A10" s="4">
        <v>6</v>
      </c>
      <c r="B10" t="s">
        <v>2</v>
      </c>
      <c r="D10" t="s">
        <v>7</v>
      </c>
      <c r="H10" t="s">
        <v>6</v>
      </c>
      <c r="K10" s="10" t="s">
        <v>7</v>
      </c>
      <c r="L10">
        <f t="shared" si="2"/>
        <v>15</v>
      </c>
    </row>
    <row r="11" spans="1:12" x14ac:dyDescent="0.25">
      <c r="A11" s="4">
        <v>7</v>
      </c>
      <c r="C11" t="s">
        <v>2</v>
      </c>
      <c r="G11" t="s">
        <v>2</v>
      </c>
      <c r="L11">
        <f>SUM(L5:L10)</f>
        <v>168</v>
      </c>
    </row>
    <row r="12" spans="1:12" x14ac:dyDescent="0.25">
      <c r="A12" s="4">
        <v>8</v>
      </c>
      <c r="C12" t="s">
        <v>2</v>
      </c>
      <c r="H12" t="s">
        <v>6</v>
      </c>
    </row>
    <row r="13" spans="1:12" x14ac:dyDescent="0.25">
      <c r="A13" s="4">
        <v>9</v>
      </c>
      <c r="C13" t="s">
        <v>2</v>
      </c>
      <c r="G13" t="s">
        <v>2</v>
      </c>
    </row>
    <row r="14" spans="1:12" x14ac:dyDescent="0.25">
      <c r="A14" s="4">
        <v>10</v>
      </c>
      <c r="C14" t="s">
        <v>2</v>
      </c>
      <c r="H14" t="s">
        <v>2</v>
      </c>
    </row>
    <row r="15" spans="1:12" x14ac:dyDescent="0.25">
      <c r="A15" s="4">
        <v>11</v>
      </c>
      <c r="B15" t="s">
        <v>2</v>
      </c>
      <c r="D15" t="s">
        <v>6</v>
      </c>
    </row>
    <row r="16" spans="1:12" x14ac:dyDescent="0.25">
      <c r="A16" s="4">
        <v>12</v>
      </c>
      <c r="B16" t="s">
        <v>2</v>
      </c>
      <c r="D16" t="s">
        <v>3</v>
      </c>
      <c r="H16" t="s">
        <v>6</v>
      </c>
    </row>
    <row r="17" spans="1:8" x14ac:dyDescent="0.25">
      <c r="A17" s="4">
        <v>13</v>
      </c>
      <c r="C17" t="s">
        <v>7</v>
      </c>
      <c r="G17" t="s">
        <v>2</v>
      </c>
    </row>
    <row r="18" spans="1:8" x14ac:dyDescent="0.25">
      <c r="A18" s="4">
        <v>14</v>
      </c>
      <c r="C18" t="s">
        <v>2</v>
      </c>
      <c r="H18" t="s">
        <v>2</v>
      </c>
    </row>
    <row r="19" spans="1:8" x14ac:dyDescent="0.25">
      <c r="A19" s="4">
        <v>15</v>
      </c>
      <c r="D19" t="s">
        <v>7</v>
      </c>
      <c r="G19" t="s">
        <v>6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F22" t="s">
        <v>2</v>
      </c>
    </row>
    <row r="23" spans="1:8" x14ac:dyDescent="0.25">
      <c r="A23" s="4">
        <v>19</v>
      </c>
      <c r="G23" t="s">
        <v>2</v>
      </c>
    </row>
    <row r="24" spans="1:8" x14ac:dyDescent="0.25">
      <c r="A24" s="4">
        <v>20</v>
      </c>
      <c r="B24" t="s">
        <v>2</v>
      </c>
      <c r="H24" t="s">
        <v>2</v>
      </c>
    </row>
    <row r="25" spans="1:8" x14ac:dyDescent="0.25">
      <c r="A25" s="4">
        <v>21</v>
      </c>
      <c r="D25" t="s">
        <v>7</v>
      </c>
      <c r="F25" t="s">
        <v>6</v>
      </c>
      <c r="G25" t="s">
        <v>2</v>
      </c>
      <c r="H25" t="s">
        <v>3</v>
      </c>
    </row>
    <row r="26" spans="1:8" x14ac:dyDescent="0.25">
      <c r="A26" s="4">
        <v>22</v>
      </c>
      <c r="H26" t="s">
        <v>3</v>
      </c>
    </row>
    <row r="27" spans="1:8" x14ac:dyDescent="0.25">
      <c r="A27" s="4">
        <v>23</v>
      </c>
      <c r="C27" t="s">
        <v>6</v>
      </c>
      <c r="D27" t="s">
        <v>6</v>
      </c>
      <c r="G27" t="s">
        <v>2</v>
      </c>
    </row>
    <row r="28" spans="1:8" x14ac:dyDescent="0.25">
      <c r="A28" s="4">
        <v>24</v>
      </c>
      <c r="C28" t="s">
        <v>7</v>
      </c>
      <c r="H28" t="s">
        <v>3</v>
      </c>
    </row>
    <row r="29" spans="1:8" x14ac:dyDescent="0.25">
      <c r="A29" s="4">
        <v>25</v>
      </c>
      <c r="H29" t="s">
        <v>5</v>
      </c>
    </row>
    <row r="30" spans="1:8" x14ac:dyDescent="0.25">
      <c r="A30" s="4">
        <v>26</v>
      </c>
      <c r="B30" t="s">
        <v>6</v>
      </c>
      <c r="D30" t="s">
        <v>6</v>
      </c>
      <c r="G30" t="s">
        <v>2</v>
      </c>
    </row>
    <row r="31" spans="1:8" x14ac:dyDescent="0.25">
      <c r="A31" s="4">
        <v>27</v>
      </c>
      <c r="B31" t="s">
        <v>2</v>
      </c>
      <c r="C31" t="s">
        <v>2</v>
      </c>
      <c r="H31" t="s">
        <v>2</v>
      </c>
    </row>
    <row r="32" spans="1:8" x14ac:dyDescent="0.25">
      <c r="A32" s="4">
        <v>28</v>
      </c>
      <c r="C32" t="s">
        <v>7</v>
      </c>
      <c r="H32" t="s">
        <v>3</v>
      </c>
    </row>
    <row r="33" spans="1:8" x14ac:dyDescent="0.25">
      <c r="A33" s="4">
        <v>29</v>
      </c>
      <c r="B33" t="s">
        <v>2</v>
      </c>
      <c r="D33" t="s">
        <v>2</v>
      </c>
      <c r="G33" t="s">
        <v>2</v>
      </c>
    </row>
    <row r="34" spans="1:8" x14ac:dyDescent="0.25">
      <c r="A34" s="4">
        <v>30</v>
      </c>
      <c r="B34" t="s">
        <v>5</v>
      </c>
      <c r="C34" t="s">
        <v>2</v>
      </c>
      <c r="H34" t="s">
        <v>2</v>
      </c>
    </row>
    <row r="35" spans="1:8" x14ac:dyDescent="0.25">
      <c r="A35" s="4">
        <v>31</v>
      </c>
    </row>
    <row r="36" spans="1:8" x14ac:dyDescent="0.25">
      <c r="A36" s="4">
        <v>32</v>
      </c>
      <c r="B36" t="s">
        <v>2</v>
      </c>
      <c r="C36" t="s">
        <v>2</v>
      </c>
      <c r="D36" t="s">
        <v>3</v>
      </c>
      <c r="H36" t="s">
        <v>3</v>
      </c>
    </row>
    <row r="37" spans="1:8" x14ac:dyDescent="0.25">
      <c r="A37" s="4">
        <v>33</v>
      </c>
      <c r="D37" t="s">
        <v>3</v>
      </c>
      <c r="H37" t="s">
        <v>3</v>
      </c>
    </row>
    <row r="38" spans="1:8" x14ac:dyDescent="0.25">
      <c r="A38" s="4">
        <v>34</v>
      </c>
      <c r="B38" t="s">
        <v>7</v>
      </c>
      <c r="H38" t="s">
        <v>3</v>
      </c>
    </row>
    <row r="39" spans="1:8" x14ac:dyDescent="0.25">
      <c r="A39" s="4">
        <v>35</v>
      </c>
      <c r="B39" t="s">
        <v>7</v>
      </c>
      <c r="D39" t="s">
        <v>3</v>
      </c>
      <c r="G39" t="s">
        <v>6</v>
      </c>
      <c r="H39" t="s">
        <v>6</v>
      </c>
    </row>
    <row r="40" spans="1:8" x14ac:dyDescent="0.25">
      <c r="A40" s="4">
        <v>36</v>
      </c>
      <c r="B40" t="s">
        <v>7</v>
      </c>
      <c r="D40" t="s">
        <v>3</v>
      </c>
      <c r="G40" t="s">
        <v>6</v>
      </c>
      <c r="H40" t="s">
        <v>6</v>
      </c>
    </row>
    <row r="41" spans="1:8" x14ac:dyDescent="0.25">
      <c r="A41" s="4">
        <v>37</v>
      </c>
      <c r="C41" t="s">
        <v>2</v>
      </c>
      <c r="H41" t="s">
        <v>2</v>
      </c>
    </row>
    <row r="42" spans="1:8" x14ac:dyDescent="0.25">
      <c r="A42" s="4">
        <v>38</v>
      </c>
      <c r="D42" t="s">
        <v>6</v>
      </c>
      <c r="F42" t="s">
        <v>6</v>
      </c>
      <c r="H42" t="s">
        <v>2</v>
      </c>
    </row>
    <row r="43" spans="1:8" x14ac:dyDescent="0.25">
      <c r="A43" s="4">
        <v>39</v>
      </c>
      <c r="B43" t="s">
        <v>3</v>
      </c>
      <c r="H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C45" t="s">
        <v>2</v>
      </c>
      <c r="F45" t="s">
        <v>6</v>
      </c>
      <c r="H45" t="s">
        <v>2</v>
      </c>
    </row>
    <row r="46" spans="1:8" x14ac:dyDescent="0.25">
      <c r="A46" s="4">
        <v>42</v>
      </c>
      <c r="B46" t="s">
        <v>2</v>
      </c>
      <c r="H46" t="s">
        <v>2</v>
      </c>
    </row>
    <row r="47" spans="1:8" x14ac:dyDescent="0.25">
      <c r="A47" s="4">
        <v>43</v>
      </c>
      <c r="B47" t="s">
        <v>2</v>
      </c>
      <c r="D47" t="s">
        <v>2</v>
      </c>
      <c r="E47" t="s">
        <v>2</v>
      </c>
    </row>
    <row r="48" spans="1:8" x14ac:dyDescent="0.25">
      <c r="A48" s="4">
        <v>44</v>
      </c>
      <c r="B48" t="s">
        <v>3</v>
      </c>
      <c r="H48" t="s">
        <v>3</v>
      </c>
    </row>
    <row r="49" spans="1:8" x14ac:dyDescent="0.25">
      <c r="A49" s="4">
        <v>45</v>
      </c>
      <c r="B49" t="s">
        <v>2</v>
      </c>
      <c r="D49" t="s">
        <v>3</v>
      </c>
      <c r="H49" t="s">
        <v>2</v>
      </c>
    </row>
    <row r="50" spans="1:8" x14ac:dyDescent="0.25">
      <c r="A50" s="4">
        <v>46</v>
      </c>
      <c r="B50" t="s">
        <v>3</v>
      </c>
      <c r="D50" t="s">
        <v>3</v>
      </c>
      <c r="H50" t="s">
        <v>6</v>
      </c>
    </row>
    <row r="51" spans="1:8" x14ac:dyDescent="0.25">
      <c r="A51" s="4">
        <v>47</v>
      </c>
      <c r="G51" t="s">
        <v>7</v>
      </c>
    </row>
    <row r="52" spans="1:8" x14ac:dyDescent="0.25">
      <c r="A52" s="4">
        <v>48</v>
      </c>
      <c r="C52" t="s">
        <v>2</v>
      </c>
      <c r="G52" t="s">
        <v>6</v>
      </c>
      <c r="H52" t="s">
        <v>6</v>
      </c>
    </row>
    <row r="53" spans="1:8" x14ac:dyDescent="0.25">
      <c r="A53" s="4">
        <v>49</v>
      </c>
      <c r="C53" t="s">
        <v>7</v>
      </c>
      <c r="G53" t="s">
        <v>6</v>
      </c>
      <c r="H53" t="s">
        <v>6</v>
      </c>
    </row>
    <row r="54" spans="1:8" x14ac:dyDescent="0.25">
      <c r="A54" s="4">
        <v>50</v>
      </c>
      <c r="D54" t="s">
        <v>3</v>
      </c>
      <c r="F54" t="s">
        <v>7</v>
      </c>
      <c r="H54" t="s">
        <v>2</v>
      </c>
    </row>
    <row r="55" spans="1:8" x14ac:dyDescent="0.25">
      <c r="A55" s="4">
        <v>51</v>
      </c>
      <c r="D55" t="s">
        <v>3</v>
      </c>
      <c r="F55" t="s">
        <v>7</v>
      </c>
      <c r="H55" t="s">
        <v>2</v>
      </c>
    </row>
    <row r="56" spans="1:8" x14ac:dyDescent="0.25">
      <c r="A56" s="4">
        <v>52</v>
      </c>
      <c r="B56" t="s">
        <v>3</v>
      </c>
      <c r="D56" t="s">
        <v>3</v>
      </c>
      <c r="H56" t="s">
        <v>2</v>
      </c>
    </row>
    <row r="57" spans="1:8" x14ac:dyDescent="0.25">
      <c r="A57" s="4">
        <v>53</v>
      </c>
      <c r="B57" t="s">
        <v>3</v>
      </c>
      <c r="H57" t="s">
        <v>3</v>
      </c>
    </row>
    <row r="58" spans="1:8" x14ac:dyDescent="0.25">
      <c r="A58" s="4">
        <v>54</v>
      </c>
      <c r="D58" t="s">
        <v>3</v>
      </c>
      <c r="H58" t="s">
        <v>3</v>
      </c>
    </row>
    <row r="59" spans="1:8" x14ac:dyDescent="0.25">
      <c r="A59" s="4">
        <v>55</v>
      </c>
      <c r="B59" t="s">
        <v>3</v>
      </c>
      <c r="D59" t="s">
        <v>3</v>
      </c>
      <c r="F59" t="s">
        <v>7</v>
      </c>
    </row>
    <row r="60" spans="1:8" x14ac:dyDescent="0.25">
      <c r="A60" s="4">
        <v>56</v>
      </c>
      <c r="B60" t="s">
        <v>3</v>
      </c>
      <c r="D60" t="s">
        <v>3</v>
      </c>
      <c r="F60" t="s">
        <v>7</v>
      </c>
    </row>
    <row r="61" spans="1:8" x14ac:dyDescent="0.25">
      <c r="A61" s="18">
        <v>73</v>
      </c>
    </row>
    <row r="62" spans="1:8" x14ac:dyDescent="0.25">
      <c r="A62" s="18">
        <v>74</v>
      </c>
      <c r="H62" t="s">
        <v>2</v>
      </c>
    </row>
    <row r="63" spans="1:8" x14ac:dyDescent="0.25">
      <c r="A63" s="18">
        <v>101</v>
      </c>
      <c r="H63" t="s">
        <v>2</v>
      </c>
    </row>
    <row r="64" spans="1:8" x14ac:dyDescent="0.25">
      <c r="A64" s="18">
        <v>102</v>
      </c>
      <c r="D64" t="s">
        <v>2</v>
      </c>
      <c r="G64" t="s">
        <v>2</v>
      </c>
      <c r="H64" t="s">
        <v>2</v>
      </c>
    </row>
    <row r="65" spans="1:8" x14ac:dyDescent="0.25">
      <c r="A65" s="18">
        <v>103</v>
      </c>
    </row>
    <row r="66" spans="1:8" x14ac:dyDescent="0.25">
      <c r="A66" s="18">
        <v>104</v>
      </c>
    </row>
    <row r="67" spans="1:8" x14ac:dyDescent="0.25">
      <c r="A67" s="18">
        <v>105</v>
      </c>
      <c r="G67" t="s">
        <v>5</v>
      </c>
      <c r="H67" t="s">
        <v>2</v>
      </c>
    </row>
    <row r="68" spans="1:8" x14ac:dyDescent="0.25">
      <c r="A68" s="18">
        <v>106</v>
      </c>
      <c r="B68" t="s">
        <v>2</v>
      </c>
      <c r="D68" t="s">
        <v>2</v>
      </c>
      <c r="H68" t="s">
        <v>2</v>
      </c>
    </row>
    <row r="69" spans="1:8" x14ac:dyDescent="0.25">
      <c r="A69" s="18">
        <v>107</v>
      </c>
      <c r="B69" t="s">
        <v>2</v>
      </c>
      <c r="G69" t="s">
        <v>5</v>
      </c>
      <c r="H69" t="s">
        <v>2</v>
      </c>
    </row>
    <row r="70" spans="1:8" x14ac:dyDescent="0.25">
      <c r="A70" s="18">
        <v>108</v>
      </c>
      <c r="B70" t="s">
        <v>2</v>
      </c>
      <c r="D70" t="s">
        <v>2</v>
      </c>
      <c r="H70" t="s">
        <v>2</v>
      </c>
    </row>
    <row r="71" spans="1:8" x14ac:dyDescent="0.25">
      <c r="A71" s="18">
        <v>109</v>
      </c>
      <c r="D71" t="s">
        <v>2</v>
      </c>
    </row>
    <row r="72" spans="1:8" x14ac:dyDescent="0.25">
      <c r="A72" s="18">
        <v>110</v>
      </c>
      <c r="D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H74" t="s">
        <v>2</v>
      </c>
    </row>
    <row r="75" spans="1:8" x14ac:dyDescent="0.25">
      <c r="A75" s="18">
        <v>113</v>
      </c>
      <c r="B75" t="s">
        <v>2</v>
      </c>
      <c r="D75" t="s">
        <v>2</v>
      </c>
      <c r="G75" t="s">
        <v>2</v>
      </c>
      <c r="H75" t="s">
        <v>2</v>
      </c>
    </row>
    <row r="76" spans="1:8" x14ac:dyDescent="0.25">
      <c r="A76" s="18">
        <v>114</v>
      </c>
    </row>
    <row r="77" spans="1:8" x14ac:dyDescent="0.25">
      <c r="A77" s="18">
        <v>115</v>
      </c>
      <c r="B77" t="s">
        <v>2</v>
      </c>
      <c r="G77" t="s">
        <v>2</v>
      </c>
      <c r="H77" t="s">
        <v>2</v>
      </c>
    </row>
    <row r="78" spans="1:8" x14ac:dyDescent="0.25">
      <c r="A78" s="18">
        <v>116</v>
      </c>
      <c r="B78" t="s">
        <v>5</v>
      </c>
      <c r="C78" t="s">
        <v>5</v>
      </c>
    </row>
    <row r="79" spans="1:8" x14ac:dyDescent="0.25">
      <c r="A79" s="18">
        <v>117</v>
      </c>
      <c r="B79" t="s">
        <v>5</v>
      </c>
      <c r="C79" t="s">
        <v>5</v>
      </c>
      <c r="H79" t="s">
        <v>2</v>
      </c>
    </row>
    <row r="80" spans="1:8" x14ac:dyDescent="0.25">
      <c r="A80" s="18">
        <v>118</v>
      </c>
      <c r="B80" t="s">
        <v>5</v>
      </c>
      <c r="C80" t="s">
        <v>5</v>
      </c>
      <c r="H80" t="s">
        <v>2</v>
      </c>
    </row>
    <row r="81" spans="1:8" x14ac:dyDescent="0.25">
      <c r="A81" s="18">
        <v>119</v>
      </c>
      <c r="B81" t="s">
        <v>5</v>
      </c>
      <c r="C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B90" t="s">
        <v>5</v>
      </c>
      <c r="C90" t="s">
        <v>5</v>
      </c>
      <c r="G90" t="s">
        <v>6</v>
      </c>
      <c r="H90" t="s">
        <v>2</v>
      </c>
    </row>
    <row r="91" spans="1:8" x14ac:dyDescent="0.25">
      <c r="A91" s="18">
        <v>129</v>
      </c>
      <c r="B91" t="s">
        <v>5</v>
      </c>
      <c r="C91" t="s">
        <v>5</v>
      </c>
    </row>
    <row r="92" spans="1:8" x14ac:dyDescent="0.25">
      <c r="A92" s="18">
        <v>130</v>
      </c>
      <c r="B92" t="s">
        <v>5</v>
      </c>
      <c r="C92" t="s">
        <v>5</v>
      </c>
      <c r="G92" t="s">
        <v>6</v>
      </c>
      <c r="H92" t="s">
        <v>2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 B63:H95">
    <cfRule type="cellIs" dxfId="551" priority="18" operator="equal">
      <formula>"Energia"</formula>
    </cfRule>
    <cfRule type="cellIs" dxfId="550" priority="20" operator="equal">
      <formula>"Operação"</formula>
    </cfRule>
    <cfRule type="cellIs" dxfId="549" priority="21" operator="equal">
      <formula>"Chuva"</formula>
    </cfRule>
    <cfRule type="cellIs" dxfId="548" priority="22" operator="equal">
      <formula>"Elétrico"</formula>
    </cfRule>
    <cfRule type="cellIs" dxfId="547" priority="23" operator="equal">
      <formula>"Mecânico"</formula>
    </cfRule>
    <cfRule type="cellIs" dxfId="546" priority="24" operator="equal">
      <formula>"Ok"</formula>
    </cfRule>
  </conditionalFormatting>
  <conditionalFormatting sqref="B61:I62 I5:I60 B63:H95">
    <cfRule type="cellIs" dxfId="545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544" priority="16" operator="equal">
      <formula>"Energia"</formula>
    </cfRule>
  </conditionalFormatting>
  <conditionalFormatting sqref="B5:E60 G5:H60">
    <cfRule type="cellIs" dxfId="543" priority="9" operator="equal">
      <formula>"Energia"</formula>
    </cfRule>
    <cfRule type="cellIs" dxfId="542" priority="11" operator="equal">
      <formula>"Operação"</formula>
    </cfRule>
    <cfRule type="cellIs" dxfId="541" priority="12" operator="equal">
      <formula>"Chuva"</formula>
    </cfRule>
    <cfRule type="cellIs" dxfId="540" priority="13" operator="equal">
      <formula>"Elétrico"</formula>
    </cfRule>
    <cfRule type="cellIs" dxfId="539" priority="14" operator="equal">
      <formula>"Mecânico"</formula>
    </cfRule>
    <cfRule type="cellIs" dxfId="538" priority="15" operator="equal">
      <formula>"Ok"</formula>
    </cfRule>
  </conditionalFormatting>
  <conditionalFormatting sqref="B5:E60 G5:H60">
    <cfRule type="cellIs" dxfId="537" priority="10" operator="equal">
      <formula>"Feito"</formula>
    </cfRule>
  </conditionalFormatting>
  <conditionalFormatting sqref="F5:F11">
    <cfRule type="cellIs" dxfId="536" priority="8" operator="equal">
      <formula>"Energia"</formula>
    </cfRule>
  </conditionalFormatting>
  <conditionalFormatting sqref="F5:F60">
    <cfRule type="cellIs" dxfId="535" priority="1" operator="equal">
      <formula>"Energia"</formula>
    </cfRule>
    <cfRule type="cellIs" dxfId="534" priority="3" operator="equal">
      <formula>"Operação"</formula>
    </cfRule>
    <cfRule type="cellIs" dxfId="533" priority="4" operator="equal">
      <formula>"Chuva"</formula>
    </cfRule>
    <cfRule type="cellIs" dxfId="532" priority="5" operator="equal">
      <formula>"Elétrico"</formula>
    </cfRule>
    <cfRule type="cellIs" dxfId="531" priority="6" operator="equal">
      <formula>"Mecânico"</formula>
    </cfRule>
    <cfRule type="cellIs" dxfId="530" priority="7" operator="equal">
      <formula>"Ok"</formula>
    </cfRule>
  </conditionalFormatting>
  <conditionalFormatting sqref="F5:F60">
    <cfRule type="cellIs" dxfId="529" priority="2" operator="equal">
      <formula>"Feito"</formula>
    </cfRule>
  </conditionalFormatting>
  <dataValidations count="1">
    <dataValidation type="list" allowBlank="1" showInputMessage="1" showErrorMessage="1" sqref="B61:I62 B63:H95 B5:J60" xr:uid="{48D265BE-C2DC-4A80-9E6E-56CC48ECA86B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CA94-AEBF-4B1C-8A13-3068CA3A4871}">
  <sheetPr codeName="Planilha50"/>
  <dimension ref="A3:L95"/>
  <sheetViews>
    <sheetView topLeftCell="A25" zoomScale="110" zoomScaleNormal="110" workbookViewId="0">
      <selection activeCell="G29" sqref="G2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44592</v>
      </c>
      <c r="C3" s="3">
        <f>B3+1</f>
        <v>44593</v>
      </c>
      <c r="D3" s="3">
        <f t="shared" ref="D3:H3" si="0">C3+1</f>
        <v>44594</v>
      </c>
      <c r="E3" s="3">
        <f t="shared" si="0"/>
        <v>44595</v>
      </c>
      <c r="F3" s="3">
        <f t="shared" si="0"/>
        <v>44596</v>
      </c>
      <c r="G3" s="3">
        <f t="shared" si="0"/>
        <v>44597</v>
      </c>
      <c r="H3" s="3">
        <f t="shared" si="0"/>
        <v>44598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D5" t="s">
        <v>3</v>
      </c>
      <c r="K5" s="5" t="s">
        <v>2</v>
      </c>
      <c r="L5">
        <f>COUNTIF($B$5:$H$95,K5)</f>
        <v>111</v>
      </c>
    </row>
    <row r="6" spans="1:12" x14ac:dyDescent="0.25">
      <c r="A6" s="4">
        <v>2</v>
      </c>
      <c r="C6" t="s">
        <v>2</v>
      </c>
      <c r="K6" s="6" t="s">
        <v>5</v>
      </c>
      <c r="L6">
        <f>COUNTIF($B$5:$H$95,K6)</f>
        <v>7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35</v>
      </c>
    </row>
    <row r="8" spans="1:12" x14ac:dyDescent="0.25">
      <c r="A8" s="4">
        <v>4</v>
      </c>
      <c r="C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3</v>
      </c>
      <c r="K9" s="9" t="s">
        <v>3</v>
      </c>
      <c r="L9">
        <f t="shared" si="2"/>
        <v>16</v>
      </c>
    </row>
    <row r="10" spans="1:12" x14ac:dyDescent="0.25">
      <c r="A10" s="4">
        <v>6</v>
      </c>
      <c r="G10" t="s">
        <v>2</v>
      </c>
      <c r="K10" s="10" t="s">
        <v>7</v>
      </c>
      <c r="L10">
        <f t="shared" si="2"/>
        <v>8</v>
      </c>
    </row>
    <row r="11" spans="1:12" x14ac:dyDescent="0.25">
      <c r="A11" s="4">
        <v>7</v>
      </c>
      <c r="B11" t="s">
        <v>2</v>
      </c>
      <c r="D11" t="s">
        <v>3</v>
      </c>
      <c r="L11">
        <f>SUM(L5:L10)</f>
        <v>177</v>
      </c>
    </row>
    <row r="12" spans="1:12" x14ac:dyDescent="0.25">
      <c r="A12" s="4">
        <v>8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</row>
    <row r="13" spans="1:12" x14ac:dyDescent="0.25">
      <c r="A13" s="4">
        <v>9</v>
      </c>
      <c r="B13" t="s">
        <v>2</v>
      </c>
      <c r="D13" t="s">
        <v>3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B15" t="s">
        <v>2</v>
      </c>
    </row>
    <row r="16" spans="1:12" x14ac:dyDescent="0.25">
      <c r="A16" s="4">
        <v>12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25">
      <c r="A17" s="4">
        <v>13</v>
      </c>
      <c r="B17" t="s">
        <v>6</v>
      </c>
      <c r="D17" t="s">
        <v>2</v>
      </c>
    </row>
    <row r="18" spans="1:8" x14ac:dyDescent="0.25">
      <c r="A18" s="4">
        <v>14</v>
      </c>
      <c r="C18" t="s">
        <v>2</v>
      </c>
    </row>
    <row r="19" spans="1:8" x14ac:dyDescent="0.25">
      <c r="A19" s="4">
        <v>15</v>
      </c>
      <c r="B19" t="s">
        <v>2</v>
      </c>
      <c r="C19" t="s">
        <v>5</v>
      </c>
      <c r="D19" t="s">
        <v>2</v>
      </c>
      <c r="G19" t="s">
        <v>3</v>
      </c>
    </row>
    <row r="20" spans="1:8" x14ac:dyDescent="0.25">
      <c r="A20" s="4">
        <v>16</v>
      </c>
      <c r="G20" t="s">
        <v>5</v>
      </c>
      <c r="H20" t="s">
        <v>5</v>
      </c>
    </row>
    <row r="21" spans="1:8" x14ac:dyDescent="0.25">
      <c r="A21" s="4">
        <v>17</v>
      </c>
      <c r="B21" t="s">
        <v>2</v>
      </c>
      <c r="C21" t="s">
        <v>2</v>
      </c>
      <c r="D21" t="s">
        <v>2</v>
      </c>
      <c r="F21" t="s">
        <v>2</v>
      </c>
    </row>
    <row r="22" spans="1:8" x14ac:dyDescent="0.25">
      <c r="A22" s="4">
        <v>18</v>
      </c>
      <c r="C22" t="s">
        <v>2</v>
      </c>
    </row>
    <row r="23" spans="1:8" x14ac:dyDescent="0.25">
      <c r="A23" s="4">
        <v>19</v>
      </c>
      <c r="B23" t="s">
        <v>2</v>
      </c>
      <c r="C23" t="s">
        <v>2</v>
      </c>
      <c r="D23" t="s">
        <v>2</v>
      </c>
      <c r="F23" t="s">
        <v>2</v>
      </c>
      <c r="G23" t="s">
        <v>2</v>
      </c>
    </row>
    <row r="24" spans="1:8" x14ac:dyDescent="0.25">
      <c r="A24" s="4">
        <v>20</v>
      </c>
      <c r="D24" t="s">
        <v>3</v>
      </c>
    </row>
    <row r="25" spans="1:8" x14ac:dyDescent="0.25">
      <c r="A25" s="4">
        <v>21</v>
      </c>
      <c r="B25" t="s">
        <v>2</v>
      </c>
      <c r="C25" t="s">
        <v>2</v>
      </c>
      <c r="D25" t="s">
        <v>3</v>
      </c>
      <c r="G25" t="s">
        <v>2</v>
      </c>
    </row>
    <row r="26" spans="1:8" x14ac:dyDescent="0.25">
      <c r="A26" s="4">
        <v>22</v>
      </c>
      <c r="D26" t="s">
        <v>3</v>
      </c>
    </row>
    <row r="27" spans="1:8" x14ac:dyDescent="0.25">
      <c r="A27" s="4">
        <v>23</v>
      </c>
      <c r="C27" t="s">
        <v>2</v>
      </c>
    </row>
    <row r="28" spans="1:8" x14ac:dyDescent="0.25">
      <c r="A28" s="4">
        <v>24</v>
      </c>
      <c r="D28" t="s">
        <v>3</v>
      </c>
    </row>
    <row r="29" spans="1:8" x14ac:dyDescent="0.25">
      <c r="A29" s="4">
        <v>25</v>
      </c>
      <c r="B29" t="s">
        <v>5</v>
      </c>
      <c r="C29" t="s">
        <v>2</v>
      </c>
      <c r="D29" t="s">
        <v>7</v>
      </c>
      <c r="E29" t="s">
        <v>2</v>
      </c>
      <c r="F29" t="s">
        <v>2</v>
      </c>
      <c r="G29" t="s">
        <v>6</v>
      </c>
    </row>
    <row r="30" spans="1:8" x14ac:dyDescent="0.25">
      <c r="A30" s="4">
        <v>26</v>
      </c>
      <c r="B30" t="s">
        <v>7</v>
      </c>
      <c r="C30" t="s">
        <v>2</v>
      </c>
    </row>
    <row r="31" spans="1:8" x14ac:dyDescent="0.25">
      <c r="A31" s="4">
        <v>27</v>
      </c>
      <c r="D31" t="s">
        <v>2</v>
      </c>
    </row>
    <row r="32" spans="1:8" x14ac:dyDescent="0.25">
      <c r="A32" s="4">
        <v>28</v>
      </c>
      <c r="D32" t="s">
        <v>3</v>
      </c>
    </row>
    <row r="33" spans="1:7" x14ac:dyDescent="0.25">
      <c r="A33" s="4">
        <v>29</v>
      </c>
      <c r="B33" t="s">
        <v>2</v>
      </c>
      <c r="D33" t="s">
        <v>2</v>
      </c>
      <c r="G33" t="s">
        <v>2</v>
      </c>
    </row>
    <row r="34" spans="1:7" x14ac:dyDescent="0.25">
      <c r="A34" s="4">
        <v>30</v>
      </c>
      <c r="D34" t="s">
        <v>2</v>
      </c>
    </row>
    <row r="35" spans="1:7" x14ac:dyDescent="0.25">
      <c r="A35" s="4">
        <v>31</v>
      </c>
      <c r="B35" t="s">
        <v>2</v>
      </c>
    </row>
    <row r="36" spans="1:7" x14ac:dyDescent="0.25">
      <c r="A36" s="4">
        <v>32</v>
      </c>
      <c r="D36" t="s">
        <v>6</v>
      </c>
    </row>
    <row r="37" spans="1:7" x14ac:dyDescent="0.25">
      <c r="A37" s="4">
        <v>33</v>
      </c>
      <c r="B37" t="s">
        <v>2</v>
      </c>
    </row>
    <row r="38" spans="1:7" x14ac:dyDescent="0.25">
      <c r="A38" s="4">
        <v>34</v>
      </c>
      <c r="B38" t="s">
        <v>5</v>
      </c>
      <c r="C38" t="s">
        <v>2</v>
      </c>
    </row>
    <row r="39" spans="1:7" x14ac:dyDescent="0.25">
      <c r="A39" s="4">
        <v>35</v>
      </c>
      <c r="B39" t="s">
        <v>6</v>
      </c>
      <c r="D39" t="s">
        <v>3</v>
      </c>
    </row>
    <row r="40" spans="1:7" x14ac:dyDescent="0.25">
      <c r="A40" s="4">
        <v>36</v>
      </c>
      <c r="B40" t="s">
        <v>6</v>
      </c>
      <c r="C40" t="s">
        <v>6</v>
      </c>
      <c r="D40" t="s">
        <v>6</v>
      </c>
      <c r="E40" t="s">
        <v>6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2</v>
      </c>
      <c r="C42" t="s">
        <v>2</v>
      </c>
      <c r="F42" t="s">
        <v>7</v>
      </c>
    </row>
    <row r="43" spans="1:7" x14ac:dyDescent="0.25">
      <c r="A43" s="4">
        <v>39</v>
      </c>
      <c r="B43" t="s">
        <v>2</v>
      </c>
      <c r="C43" t="s">
        <v>2</v>
      </c>
    </row>
    <row r="44" spans="1:7" x14ac:dyDescent="0.25">
      <c r="A44" s="4">
        <v>40</v>
      </c>
    </row>
    <row r="45" spans="1:7" x14ac:dyDescent="0.25">
      <c r="A45" s="4">
        <v>41</v>
      </c>
      <c r="B45" t="s">
        <v>5</v>
      </c>
      <c r="C45" t="s">
        <v>5</v>
      </c>
    </row>
    <row r="46" spans="1:7" x14ac:dyDescent="0.25">
      <c r="A46" s="4">
        <v>42</v>
      </c>
      <c r="D46" t="s">
        <v>2</v>
      </c>
    </row>
    <row r="47" spans="1:7" x14ac:dyDescent="0.25">
      <c r="A47" s="4">
        <v>43</v>
      </c>
      <c r="B47" t="s">
        <v>6</v>
      </c>
    </row>
    <row r="48" spans="1:7" x14ac:dyDescent="0.25">
      <c r="A48" s="4">
        <v>44</v>
      </c>
      <c r="F48" t="s">
        <v>7</v>
      </c>
    </row>
    <row r="49" spans="1:8" x14ac:dyDescent="0.25">
      <c r="A49" s="4">
        <v>45</v>
      </c>
      <c r="B49" t="s">
        <v>2</v>
      </c>
      <c r="C49" t="s">
        <v>2</v>
      </c>
    </row>
    <row r="50" spans="1:8" x14ac:dyDescent="0.25">
      <c r="A50" s="4">
        <v>46</v>
      </c>
    </row>
    <row r="51" spans="1:8" x14ac:dyDescent="0.25">
      <c r="A51" s="4">
        <v>47</v>
      </c>
      <c r="B51" t="s">
        <v>6</v>
      </c>
      <c r="C51" t="s">
        <v>6</v>
      </c>
      <c r="D51" t="s">
        <v>6</v>
      </c>
    </row>
    <row r="52" spans="1:8" x14ac:dyDescent="0.25">
      <c r="A52" s="4">
        <v>48</v>
      </c>
      <c r="D52" t="s">
        <v>3</v>
      </c>
      <c r="E52" t="s">
        <v>6</v>
      </c>
      <c r="F52" t="s">
        <v>7</v>
      </c>
    </row>
    <row r="53" spans="1:8" x14ac:dyDescent="0.25">
      <c r="A53" s="4">
        <v>49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</row>
    <row r="54" spans="1:8" x14ac:dyDescent="0.25">
      <c r="A54" s="4">
        <v>50</v>
      </c>
      <c r="B54" t="s">
        <v>2</v>
      </c>
      <c r="C54" t="s">
        <v>6</v>
      </c>
    </row>
    <row r="55" spans="1:8" x14ac:dyDescent="0.25">
      <c r="A55" s="4">
        <v>51</v>
      </c>
      <c r="B55" t="s">
        <v>2</v>
      </c>
      <c r="C55" t="s">
        <v>2</v>
      </c>
    </row>
    <row r="56" spans="1:8" x14ac:dyDescent="0.25">
      <c r="A56" s="4">
        <v>52</v>
      </c>
      <c r="C56" t="s">
        <v>6</v>
      </c>
    </row>
    <row r="57" spans="1:8" x14ac:dyDescent="0.25">
      <c r="A57" s="4">
        <v>53</v>
      </c>
      <c r="D57" t="s">
        <v>3</v>
      </c>
    </row>
    <row r="58" spans="1:8" x14ac:dyDescent="0.25">
      <c r="A58" s="4">
        <v>54</v>
      </c>
      <c r="B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6</v>
      </c>
    </row>
    <row r="60" spans="1:8" x14ac:dyDescent="0.25">
      <c r="A60" s="4">
        <v>56</v>
      </c>
      <c r="B60" t="s">
        <v>2</v>
      </c>
      <c r="C60" t="s">
        <v>2</v>
      </c>
      <c r="D60" t="s">
        <v>3</v>
      </c>
    </row>
    <row r="61" spans="1:8" x14ac:dyDescent="0.25">
      <c r="A61" s="18">
        <v>73</v>
      </c>
      <c r="G61" t="s">
        <v>3</v>
      </c>
    </row>
    <row r="62" spans="1:8" x14ac:dyDescent="0.25">
      <c r="A62" s="18">
        <v>74</v>
      </c>
      <c r="C62" t="s">
        <v>2</v>
      </c>
      <c r="G62" t="s">
        <v>2</v>
      </c>
    </row>
    <row r="63" spans="1:8" x14ac:dyDescent="0.25">
      <c r="A63" s="18">
        <v>101</v>
      </c>
      <c r="G63" t="s">
        <v>2</v>
      </c>
    </row>
    <row r="64" spans="1:8" x14ac:dyDescent="0.25">
      <c r="A64" s="18">
        <v>102</v>
      </c>
      <c r="B64" t="s">
        <v>2</v>
      </c>
      <c r="C64" t="s">
        <v>2</v>
      </c>
      <c r="E64" t="s">
        <v>2</v>
      </c>
      <c r="H64" t="s">
        <v>2</v>
      </c>
    </row>
    <row r="65" spans="1:8" x14ac:dyDescent="0.25">
      <c r="A65" s="18">
        <v>103</v>
      </c>
      <c r="G65" t="s">
        <v>2</v>
      </c>
    </row>
    <row r="66" spans="1:8" x14ac:dyDescent="0.25">
      <c r="A66" s="18">
        <v>104</v>
      </c>
      <c r="C66" t="s">
        <v>2</v>
      </c>
      <c r="F66" t="s">
        <v>2</v>
      </c>
    </row>
    <row r="67" spans="1:8" x14ac:dyDescent="0.25">
      <c r="A67" s="18">
        <v>105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</row>
    <row r="68" spans="1:8" x14ac:dyDescent="0.25">
      <c r="A68" s="18">
        <v>106</v>
      </c>
      <c r="B68" t="s">
        <v>2</v>
      </c>
      <c r="D68" t="s">
        <v>2</v>
      </c>
      <c r="E68" t="s">
        <v>2</v>
      </c>
      <c r="F68" t="s">
        <v>2</v>
      </c>
      <c r="H68" t="s">
        <v>2</v>
      </c>
    </row>
    <row r="69" spans="1:8" x14ac:dyDescent="0.25">
      <c r="A69" s="18">
        <v>107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</row>
    <row r="70" spans="1:8" x14ac:dyDescent="0.25">
      <c r="A70" s="18">
        <v>108</v>
      </c>
      <c r="D70" t="s">
        <v>2</v>
      </c>
      <c r="G70" t="s">
        <v>2</v>
      </c>
    </row>
    <row r="71" spans="1:8" x14ac:dyDescent="0.25">
      <c r="A71" s="18">
        <v>109</v>
      </c>
      <c r="B71" t="s">
        <v>2</v>
      </c>
      <c r="E71" t="s">
        <v>2</v>
      </c>
      <c r="H71" t="s">
        <v>2</v>
      </c>
    </row>
    <row r="72" spans="1:8" x14ac:dyDescent="0.25">
      <c r="A72" s="18">
        <v>110</v>
      </c>
      <c r="D72" t="s">
        <v>2</v>
      </c>
      <c r="G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</row>
    <row r="75" spans="1:8" x14ac:dyDescent="0.25">
      <c r="A75" s="18">
        <v>113</v>
      </c>
      <c r="B75" t="s">
        <v>2</v>
      </c>
      <c r="C75" t="s">
        <v>2</v>
      </c>
      <c r="D75" t="s">
        <v>2</v>
      </c>
      <c r="E75" t="s">
        <v>2</v>
      </c>
      <c r="G75" t="s">
        <v>2</v>
      </c>
      <c r="H75" t="s">
        <v>3</v>
      </c>
    </row>
    <row r="76" spans="1:8" x14ac:dyDescent="0.25">
      <c r="A76" s="18">
        <v>114</v>
      </c>
      <c r="B76" t="s">
        <v>2</v>
      </c>
      <c r="H76" t="s">
        <v>7</v>
      </c>
    </row>
    <row r="77" spans="1:8" x14ac:dyDescent="0.25">
      <c r="A77" s="18">
        <v>115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</row>
    <row r="78" spans="1:8" x14ac:dyDescent="0.25">
      <c r="A78" s="18">
        <v>116</v>
      </c>
      <c r="D78" t="s">
        <v>2</v>
      </c>
      <c r="H78" t="s">
        <v>2</v>
      </c>
    </row>
    <row r="79" spans="1:8" x14ac:dyDescent="0.25">
      <c r="A79" s="18">
        <v>117</v>
      </c>
    </row>
    <row r="80" spans="1:8" x14ac:dyDescent="0.25">
      <c r="A80" s="18">
        <v>118</v>
      </c>
      <c r="F80" t="s">
        <v>7</v>
      </c>
      <c r="H80" t="s">
        <v>2</v>
      </c>
    </row>
    <row r="81" spans="1:5" x14ac:dyDescent="0.25">
      <c r="A81" s="18">
        <v>119</v>
      </c>
      <c r="D81" t="s">
        <v>2</v>
      </c>
    </row>
    <row r="82" spans="1:5" x14ac:dyDescent="0.25">
      <c r="A82" s="18">
        <v>120</v>
      </c>
    </row>
    <row r="83" spans="1:5" x14ac:dyDescent="0.25">
      <c r="A83" s="18">
        <v>121</v>
      </c>
    </row>
    <row r="84" spans="1:5" x14ac:dyDescent="0.25">
      <c r="A84" s="18">
        <v>122</v>
      </c>
    </row>
    <row r="85" spans="1:5" x14ac:dyDescent="0.25">
      <c r="A85" s="18">
        <v>123</v>
      </c>
    </row>
    <row r="86" spans="1:5" x14ac:dyDescent="0.25">
      <c r="A86" s="18">
        <v>124</v>
      </c>
    </row>
    <row r="87" spans="1:5" x14ac:dyDescent="0.25">
      <c r="A87" s="18">
        <v>125</v>
      </c>
    </row>
    <row r="88" spans="1:5" x14ac:dyDescent="0.25">
      <c r="A88" s="18">
        <v>126</v>
      </c>
    </row>
    <row r="89" spans="1:5" x14ac:dyDescent="0.25">
      <c r="A89" s="18">
        <v>127</v>
      </c>
    </row>
    <row r="90" spans="1:5" x14ac:dyDescent="0.25">
      <c r="A90" s="18">
        <v>128</v>
      </c>
      <c r="B90" t="s">
        <v>2</v>
      </c>
    </row>
    <row r="91" spans="1:5" x14ac:dyDescent="0.25">
      <c r="A91" s="18">
        <v>129</v>
      </c>
    </row>
    <row r="92" spans="1:5" x14ac:dyDescent="0.25">
      <c r="A92" s="18">
        <v>130</v>
      </c>
      <c r="B92" t="s">
        <v>2</v>
      </c>
      <c r="C92" t="s">
        <v>2</v>
      </c>
      <c r="E92" t="s">
        <v>2</v>
      </c>
    </row>
    <row r="93" spans="1:5" x14ac:dyDescent="0.25">
      <c r="A93" s="18">
        <v>131</v>
      </c>
    </row>
    <row r="94" spans="1:5" x14ac:dyDescent="0.25">
      <c r="A94" s="18">
        <v>132</v>
      </c>
    </row>
    <row r="95" spans="1:5" x14ac:dyDescent="0.25">
      <c r="A95" s="18">
        <v>133</v>
      </c>
    </row>
  </sheetData>
  <conditionalFormatting sqref="B61:I62 I5:I60 B63:H95">
    <cfRule type="cellIs" dxfId="528" priority="18" operator="equal">
      <formula>"Energia"</formula>
    </cfRule>
    <cfRule type="cellIs" dxfId="527" priority="20" operator="equal">
      <formula>"Operação"</formula>
    </cfRule>
    <cfRule type="cellIs" dxfId="526" priority="21" operator="equal">
      <formula>"Chuva"</formula>
    </cfRule>
    <cfRule type="cellIs" dxfId="525" priority="22" operator="equal">
      <formula>"Elétrico"</formula>
    </cfRule>
    <cfRule type="cellIs" dxfId="524" priority="23" operator="equal">
      <formula>"Mecânico"</formula>
    </cfRule>
    <cfRule type="cellIs" dxfId="523" priority="24" operator="equal">
      <formula>"Ok"</formula>
    </cfRule>
  </conditionalFormatting>
  <conditionalFormatting sqref="B61:I62 I5:I60 B63:H95">
    <cfRule type="cellIs" dxfId="522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521" priority="16" operator="equal">
      <formula>"Energia"</formula>
    </cfRule>
  </conditionalFormatting>
  <conditionalFormatting sqref="B5:E60 G5:H60">
    <cfRule type="cellIs" dxfId="520" priority="9" operator="equal">
      <formula>"Energia"</formula>
    </cfRule>
    <cfRule type="cellIs" dxfId="519" priority="11" operator="equal">
      <formula>"Operação"</formula>
    </cfRule>
    <cfRule type="cellIs" dxfId="518" priority="12" operator="equal">
      <formula>"Chuva"</formula>
    </cfRule>
    <cfRule type="cellIs" dxfId="517" priority="13" operator="equal">
      <formula>"Elétrico"</formula>
    </cfRule>
    <cfRule type="cellIs" dxfId="516" priority="14" operator="equal">
      <formula>"Mecânico"</formula>
    </cfRule>
    <cfRule type="cellIs" dxfId="515" priority="15" operator="equal">
      <formula>"Ok"</formula>
    </cfRule>
  </conditionalFormatting>
  <conditionalFormatting sqref="B5:E60 G5:H60">
    <cfRule type="cellIs" dxfId="514" priority="10" operator="equal">
      <formula>"Feito"</formula>
    </cfRule>
  </conditionalFormatting>
  <conditionalFormatting sqref="F5:F11">
    <cfRule type="cellIs" dxfId="513" priority="8" operator="equal">
      <formula>"Energia"</formula>
    </cfRule>
  </conditionalFormatting>
  <conditionalFormatting sqref="F5:F60">
    <cfRule type="cellIs" dxfId="512" priority="1" operator="equal">
      <formula>"Energia"</formula>
    </cfRule>
    <cfRule type="cellIs" dxfId="511" priority="3" operator="equal">
      <formula>"Operação"</formula>
    </cfRule>
    <cfRule type="cellIs" dxfId="510" priority="4" operator="equal">
      <formula>"Chuva"</formula>
    </cfRule>
    <cfRule type="cellIs" dxfId="509" priority="5" operator="equal">
      <formula>"Elétrico"</formula>
    </cfRule>
    <cfRule type="cellIs" dxfId="508" priority="6" operator="equal">
      <formula>"Mecânico"</formula>
    </cfRule>
    <cfRule type="cellIs" dxfId="507" priority="7" operator="equal">
      <formula>"Ok"</formula>
    </cfRule>
  </conditionalFormatting>
  <conditionalFormatting sqref="F5:F60">
    <cfRule type="cellIs" dxfId="506" priority="2" operator="equal">
      <formula>"Feito"</formula>
    </cfRule>
  </conditionalFormatting>
  <dataValidations count="1">
    <dataValidation type="list" allowBlank="1" showInputMessage="1" showErrorMessage="1" sqref="B61:I62 B5:J60 B63:H95" xr:uid="{890558DB-9067-4566-AACF-477E514F10D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5CB5-91B5-4C3A-A925-F4B1CAC7F2B8}">
  <sheetPr codeName="Planilha51"/>
  <dimension ref="A3:L95"/>
  <sheetViews>
    <sheetView topLeftCell="A19" zoomScale="110" zoomScaleNormal="110" workbookViewId="0">
      <selection activeCell="F29" sqref="F2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44599</v>
      </c>
      <c r="C3" s="3">
        <f>B3+1</f>
        <v>44600</v>
      </c>
      <c r="D3" s="3">
        <f t="shared" ref="D3:H3" si="0">C3+1</f>
        <v>44601</v>
      </c>
      <c r="E3" s="3">
        <f t="shared" si="0"/>
        <v>44602</v>
      </c>
      <c r="F3" s="3">
        <f t="shared" si="0"/>
        <v>44603</v>
      </c>
      <c r="G3" s="3">
        <f t="shared" si="0"/>
        <v>44604</v>
      </c>
      <c r="H3" s="3">
        <f t="shared" si="0"/>
        <v>44605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COUNTIF($B$5:$H$95,K5)</f>
        <v>8</v>
      </c>
    </row>
    <row r="6" spans="1:12" x14ac:dyDescent="0.25">
      <c r="A6" s="4">
        <v>2</v>
      </c>
      <c r="K6" s="6" t="s">
        <v>5</v>
      </c>
      <c r="L6">
        <f>COUNTIF($B$5:$H$95,K6)</f>
        <v>3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1</v>
      </c>
    </row>
    <row r="10" spans="1:12" x14ac:dyDescent="0.25">
      <c r="A10" s="4">
        <v>6</v>
      </c>
      <c r="K10" s="10" t="s">
        <v>7</v>
      </c>
      <c r="L10">
        <f t="shared" si="2"/>
        <v>8</v>
      </c>
    </row>
    <row r="11" spans="1:12" x14ac:dyDescent="0.25">
      <c r="A11" s="4">
        <v>7</v>
      </c>
      <c r="L11">
        <f>SUM(L5:L10)</f>
        <v>22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  <c r="B20" t="s">
        <v>5</v>
      </c>
      <c r="C20" t="s">
        <v>5</v>
      </c>
      <c r="D20" t="s">
        <v>5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</row>
    <row r="30" spans="1:6" x14ac:dyDescent="0.25">
      <c r="A30" s="4">
        <v>26</v>
      </c>
      <c r="F30" t="s">
        <v>2</v>
      </c>
    </row>
    <row r="31" spans="1:6" x14ac:dyDescent="0.25">
      <c r="A31" s="4">
        <v>27</v>
      </c>
      <c r="F31" t="s">
        <v>2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B36" t="s">
        <v>7</v>
      </c>
      <c r="C36" t="s">
        <v>7</v>
      </c>
      <c r="D36" t="s">
        <v>6</v>
      </c>
    </row>
    <row r="37" spans="1:6" x14ac:dyDescent="0.25">
      <c r="A37" s="4">
        <v>33</v>
      </c>
      <c r="F37" t="s">
        <v>7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  <c r="B42" t="s">
        <v>2</v>
      </c>
    </row>
    <row r="43" spans="1:6" x14ac:dyDescent="0.25">
      <c r="A43" s="4">
        <v>39</v>
      </c>
      <c r="C43" t="s">
        <v>7</v>
      </c>
    </row>
    <row r="44" spans="1:6" x14ac:dyDescent="0.25">
      <c r="A44" s="4">
        <v>40</v>
      </c>
      <c r="B44" t="s">
        <v>3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  <c r="B48" t="s">
        <v>7</v>
      </c>
    </row>
    <row r="49" spans="1:6" x14ac:dyDescent="0.25">
      <c r="A49" s="4">
        <v>45</v>
      </c>
    </row>
    <row r="50" spans="1:6" x14ac:dyDescent="0.25">
      <c r="A50" s="4">
        <v>46</v>
      </c>
    </row>
    <row r="51" spans="1:6" x14ac:dyDescent="0.25">
      <c r="A51" s="4">
        <v>47</v>
      </c>
    </row>
    <row r="52" spans="1:6" x14ac:dyDescent="0.25">
      <c r="A52" s="4">
        <v>48</v>
      </c>
    </row>
    <row r="53" spans="1:6" x14ac:dyDescent="0.25">
      <c r="A53" s="4">
        <v>49</v>
      </c>
    </row>
    <row r="54" spans="1:6" x14ac:dyDescent="0.25">
      <c r="A54" s="4">
        <v>50</v>
      </c>
    </row>
    <row r="55" spans="1:6" x14ac:dyDescent="0.25">
      <c r="A55" s="4">
        <v>51</v>
      </c>
    </row>
    <row r="56" spans="1:6" x14ac:dyDescent="0.25">
      <c r="A56" s="4">
        <v>52</v>
      </c>
    </row>
    <row r="57" spans="1:6" x14ac:dyDescent="0.25">
      <c r="A57" s="4">
        <v>53</v>
      </c>
      <c r="E57" t="s">
        <v>2</v>
      </c>
      <c r="F57" t="s">
        <v>2</v>
      </c>
    </row>
    <row r="58" spans="1:6" x14ac:dyDescent="0.25">
      <c r="A58" s="4">
        <v>54</v>
      </c>
    </row>
    <row r="59" spans="1:6" x14ac:dyDescent="0.25">
      <c r="A59" s="4">
        <v>55</v>
      </c>
    </row>
    <row r="60" spans="1:6" x14ac:dyDescent="0.25">
      <c r="A60" s="4">
        <v>56</v>
      </c>
    </row>
    <row r="61" spans="1:6" x14ac:dyDescent="0.25">
      <c r="A61" s="18">
        <v>73</v>
      </c>
    </row>
    <row r="62" spans="1:6" x14ac:dyDescent="0.25">
      <c r="A62" s="18">
        <v>74</v>
      </c>
    </row>
    <row r="63" spans="1:6" x14ac:dyDescent="0.25">
      <c r="A63" s="18">
        <v>101</v>
      </c>
      <c r="B63" s="19" t="s">
        <v>7</v>
      </c>
    </row>
    <row r="64" spans="1:6" x14ac:dyDescent="0.25">
      <c r="A64" s="18">
        <v>102</v>
      </c>
      <c r="C64" t="s">
        <v>7</v>
      </c>
    </row>
    <row r="65" spans="1:6" x14ac:dyDescent="0.25">
      <c r="A65" s="18">
        <v>103</v>
      </c>
      <c r="D65" t="s">
        <v>7</v>
      </c>
    </row>
    <row r="66" spans="1:6" x14ac:dyDescent="0.25">
      <c r="A66" s="18">
        <v>104</v>
      </c>
      <c r="E66" t="s">
        <v>2</v>
      </c>
    </row>
    <row r="67" spans="1:6" x14ac:dyDescent="0.25">
      <c r="A67" s="18">
        <v>105</v>
      </c>
    </row>
    <row r="68" spans="1:6" x14ac:dyDescent="0.25">
      <c r="A68" s="18">
        <v>106</v>
      </c>
    </row>
    <row r="69" spans="1:6" x14ac:dyDescent="0.25">
      <c r="A69" s="18">
        <v>107</v>
      </c>
    </row>
    <row r="70" spans="1:6" x14ac:dyDescent="0.25">
      <c r="A70" s="18">
        <v>108</v>
      </c>
    </row>
    <row r="71" spans="1:6" x14ac:dyDescent="0.25">
      <c r="A71" s="18">
        <v>109</v>
      </c>
    </row>
    <row r="72" spans="1:6" x14ac:dyDescent="0.25">
      <c r="A72" s="18">
        <v>110</v>
      </c>
      <c r="F72" t="s">
        <v>6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2</v>
      </c>
    </row>
    <row r="76" spans="1:6" x14ac:dyDescent="0.25">
      <c r="A76" s="18">
        <v>114</v>
      </c>
    </row>
    <row r="77" spans="1:6" x14ac:dyDescent="0.25">
      <c r="A77" s="18">
        <v>115</v>
      </c>
      <c r="B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505" priority="18" operator="equal">
      <formula>"Energia"</formula>
    </cfRule>
    <cfRule type="cellIs" dxfId="504" priority="20" operator="equal">
      <formula>"Operação"</formula>
    </cfRule>
    <cfRule type="cellIs" dxfId="503" priority="21" operator="equal">
      <formula>"Chuva"</formula>
    </cfRule>
    <cfRule type="cellIs" dxfId="502" priority="22" operator="equal">
      <formula>"Elétrico"</formula>
    </cfRule>
    <cfRule type="cellIs" dxfId="501" priority="23" operator="equal">
      <formula>"Mecânico"</formula>
    </cfRule>
    <cfRule type="cellIs" dxfId="500" priority="24" operator="equal">
      <formula>"Ok"</formula>
    </cfRule>
  </conditionalFormatting>
  <conditionalFormatting sqref="B61:I62 I5:I60 B63:H95">
    <cfRule type="cellIs" dxfId="499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98" priority="16" operator="equal">
      <formula>"Energia"</formula>
    </cfRule>
  </conditionalFormatting>
  <conditionalFormatting sqref="B5:E60 G5:H60">
    <cfRule type="cellIs" dxfId="497" priority="9" operator="equal">
      <formula>"Energia"</formula>
    </cfRule>
    <cfRule type="cellIs" dxfId="496" priority="11" operator="equal">
      <formula>"Operação"</formula>
    </cfRule>
    <cfRule type="cellIs" dxfId="495" priority="12" operator="equal">
      <formula>"Chuva"</formula>
    </cfRule>
    <cfRule type="cellIs" dxfId="494" priority="13" operator="equal">
      <formula>"Elétrico"</formula>
    </cfRule>
    <cfRule type="cellIs" dxfId="493" priority="14" operator="equal">
      <formula>"Mecânico"</formula>
    </cfRule>
    <cfRule type="cellIs" dxfId="492" priority="15" operator="equal">
      <formula>"Ok"</formula>
    </cfRule>
  </conditionalFormatting>
  <conditionalFormatting sqref="B5:E60 G5:H60">
    <cfRule type="cellIs" dxfId="491" priority="10" operator="equal">
      <formula>"Feito"</formula>
    </cfRule>
  </conditionalFormatting>
  <conditionalFormatting sqref="F5:F11">
    <cfRule type="cellIs" dxfId="490" priority="8" operator="equal">
      <formula>"Energia"</formula>
    </cfRule>
  </conditionalFormatting>
  <conditionalFormatting sqref="F5:F60">
    <cfRule type="cellIs" dxfId="489" priority="1" operator="equal">
      <formula>"Energia"</formula>
    </cfRule>
    <cfRule type="cellIs" dxfId="488" priority="3" operator="equal">
      <formula>"Operação"</formula>
    </cfRule>
    <cfRule type="cellIs" dxfId="487" priority="4" operator="equal">
      <formula>"Chuva"</formula>
    </cfRule>
    <cfRule type="cellIs" dxfId="486" priority="5" operator="equal">
      <formula>"Elétrico"</formula>
    </cfRule>
    <cfRule type="cellIs" dxfId="485" priority="6" operator="equal">
      <formula>"Mecânico"</formula>
    </cfRule>
    <cfRule type="cellIs" dxfId="484" priority="7" operator="equal">
      <formula>"Ok"</formula>
    </cfRule>
  </conditionalFormatting>
  <conditionalFormatting sqref="F5:F60">
    <cfRule type="cellIs" dxfId="483" priority="2" operator="equal">
      <formula>"Feito"</formula>
    </cfRule>
  </conditionalFormatting>
  <dataValidations count="1">
    <dataValidation type="list" allowBlank="1" showInputMessage="1" showErrorMessage="1" sqref="B61:I62 B5:J60 B63:H95" xr:uid="{48F4910A-0C3A-4E78-B010-A43355670DE8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67AC-F113-4A5F-A971-20D657A318CB}">
  <sheetPr codeName="Planilha52"/>
  <dimension ref="A3:L95"/>
  <sheetViews>
    <sheetView zoomScale="110" zoomScaleNormal="110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H32" sqref="H3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44606</v>
      </c>
      <c r="C3" s="3">
        <f>B3+1</f>
        <v>44607</v>
      </c>
      <c r="D3" s="3">
        <f t="shared" ref="D3:H3" si="0">C3+1</f>
        <v>44608</v>
      </c>
      <c r="E3" s="3">
        <f t="shared" si="0"/>
        <v>44609</v>
      </c>
      <c r="F3" s="3">
        <f t="shared" si="0"/>
        <v>44610</v>
      </c>
      <c r="G3" s="3">
        <f t="shared" si="0"/>
        <v>44611</v>
      </c>
      <c r="H3" s="3">
        <f t="shared" si="0"/>
        <v>44612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COUNTIF($B$5:$H$95,K5)</f>
        <v>10</v>
      </c>
    </row>
    <row r="6" spans="1:12" x14ac:dyDescent="0.25">
      <c r="A6" s="4">
        <v>2</v>
      </c>
      <c r="B6" t="s">
        <v>2</v>
      </c>
      <c r="C6" t="s">
        <v>5</v>
      </c>
      <c r="D6" t="s">
        <v>3</v>
      </c>
      <c r="F6" t="s">
        <v>3</v>
      </c>
      <c r="K6" s="6" t="s">
        <v>5</v>
      </c>
      <c r="L6">
        <f>COUNTIF($B$5:$H$95,K6)</f>
        <v>1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4</v>
      </c>
    </row>
    <row r="10" spans="1:12" x14ac:dyDescent="0.25">
      <c r="A10" s="4">
        <v>6</v>
      </c>
      <c r="K10" s="10" t="s">
        <v>7</v>
      </c>
      <c r="L10">
        <f t="shared" si="2"/>
        <v>3</v>
      </c>
    </row>
    <row r="11" spans="1:12" x14ac:dyDescent="0.25">
      <c r="A11" s="4">
        <v>7</v>
      </c>
      <c r="L11">
        <f>SUM(L5:L10)</f>
        <v>18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B34" t="s">
        <v>7</v>
      </c>
      <c r="C34" t="s">
        <v>7</v>
      </c>
    </row>
    <row r="35" spans="1:6" x14ac:dyDescent="0.25">
      <c r="A35" s="4">
        <v>31</v>
      </c>
      <c r="D35" t="s">
        <v>2</v>
      </c>
      <c r="E35" t="s">
        <v>2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  <c r="F38" t="s">
        <v>2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</row>
    <row r="59" spans="1:2" x14ac:dyDescent="0.25">
      <c r="A59" s="4">
        <v>55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  <row r="63" spans="1:2" x14ac:dyDescent="0.25">
      <c r="A63" s="18">
        <v>101</v>
      </c>
      <c r="B63" s="19"/>
    </row>
    <row r="64" spans="1:2" x14ac:dyDescent="0.25">
      <c r="A64" s="18">
        <v>102</v>
      </c>
    </row>
    <row r="65" spans="1:6" x14ac:dyDescent="0.25">
      <c r="A65" s="18">
        <v>103</v>
      </c>
    </row>
    <row r="66" spans="1:6" x14ac:dyDescent="0.25">
      <c r="A66" s="18">
        <v>104</v>
      </c>
    </row>
    <row r="67" spans="1:6" x14ac:dyDescent="0.25">
      <c r="A67" s="18">
        <v>105</v>
      </c>
      <c r="D67" t="s">
        <v>2</v>
      </c>
    </row>
    <row r="68" spans="1:6" x14ac:dyDescent="0.25">
      <c r="A68" s="18">
        <v>106</v>
      </c>
      <c r="B68" t="s">
        <v>2</v>
      </c>
    </row>
    <row r="69" spans="1:6" x14ac:dyDescent="0.25">
      <c r="A69" s="18">
        <v>107</v>
      </c>
      <c r="E69" t="s">
        <v>2</v>
      </c>
    </row>
    <row r="70" spans="1:6" x14ac:dyDescent="0.25">
      <c r="A70" s="18">
        <v>108</v>
      </c>
      <c r="C70" t="s">
        <v>2</v>
      </c>
    </row>
    <row r="71" spans="1:6" x14ac:dyDescent="0.25">
      <c r="A71" s="18">
        <v>109</v>
      </c>
      <c r="F71" t="s">
        <v>2</v>
      </c>
    </row>
    <row r="72" spans="1:6" x14ac:dyDescent="0.25">
      <c r="A72" s="18">
        <v>110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7</v>
      </c>
      <c r="C75" t="s">
        <v>3</v>
      </c>
      <c r="D75" t="s">
        <v>3</v>
      </c>
    </row>
    <row r="76" spans="1:6" x14ac:dyDescent="0.25">
      <c r="A76" s="18">
        <v>114</v>
      </c>
    </row>
    <row r="77" spans="1:6" x14ac:dyDescent="0.25">
      <c r="A77" s="18">
        <v>115</v>
      </c>
      <c r="F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482" priority="18" operator="equal">
      <formula>"Energia"</formula>
    </cfRule>
    <cfRule type="cellIs" dxfId="481" priority="20" operator="equal">
      <formula>"Operação"</formula>
    </cfRule>
    <cfRule type="cellIs" dxfId="480" priority="21" operator="equal">
      <formula>"Chuva"</formula>
    </cfRule>
    <cfRule type="cellIs" dxfId="479" priority="22" operator="equal">
      <formula>"Elétrico"</formula>
    </cfRule>
    <cfRule type="cellIs" dxfId="478" priority="23" operator="equal">
      <formula>"Mecânico"</formula>
    </cfRule>
    <cfRule type="cellIs" dxfId="477" priority="24" operator="equal">
      <formula>"Ok"</formula>
    </cfRule>
  </conditionalFormatting>
  <conditionalFormatting sqref="B61:I62 I5:I60 B63:H95">
    <cfRule type="cellIs" dxfId="47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75" priority="16" operator="equal">
      <formula>"Energia"</formula>
    </cfRule>
  </conditionalFormatting>
  <conditionalFormatting sqref="B5:E60 G5:H60">
    <cfRule type="cellIs" dxfId="474" priority="9" operator="equal">
      <formula>"Energia"</formula>
    </cfRule>
    <cfRule type="cellIs" dxfId="473" priority="11" operator="equal">
      <formula>"Operação"</formula>
    </cfRule>
    <cfRule type="cellIs" dxfId="472" priority="12" operator="equal">
      <formula>"Chuva"</formula>
    </cfRule>
    <cfRule type="cellIs" dxfId="471" priority="13" operator="equal">
      <formula>"Elétrico"</formula>
    </cfRule>
    <cfRule type="cellIs" dxfId="470" priority="14" operator="equal">
      <formula>"Mecânico"</formula>
    </cfRule>
    <cfRule type="cellIs" dxfId="469" priority="15" operator="equal">
      <formula>"Ok"</formula>
    </cfRule>
  </conditionalFormatting>
  <conditionalFormatting sqref="B5:E60 G5:H60">
    <cfRule type="cellIs" dxfId="468" priority="10" operator="equal">
      <formula>"Feito"</formula>
    </cfRule>
  </conditionalFormatting>
  <conditionalFormatting sqref="F5:F11">
    <cfRule type="cellIs" dxfId="467" priority="8" operator="equal">
      <formula>"Energia"</formula>
    </cfRule>
  </conditionalFormatting>
  <conditionalFormatting sqref="F5:F60">
    <cfRule type="cellIs" dxfId="466" priority="1" operator="equal">
      <formula>"Energia"</formula>
    </cfRule>
    <cfRule type="cellIs" dxfId="465" priority="3" operator="equal">
      <formula>"Operação"</formula>
    </cfRule>
    <cfRule type="cellIs" dxfId="464" priority="4" operator="equal">
      <formula>"Chuva"</formula>
    </cfRule>
    <cfRule type="cellIs" dxfId="463" priority="5" operator="equal">
      <formula>"Elétrico"</formula>
    </cfRule>
    <cfRule type="cellIs" dxfId="462" priority="6" operator="equal">
      <formula>"Mecânico"</formula>
    </cfRule>
    <cfRule type="cellIs" dxfId="461" priority="7" operator="equal">
      <formula>"Ok"</formula>
    </cfRule>
  </conditionalFormatting>
  <conditionalFormatting sqref="F5:F60">
    <cfRule type="cellIs" dxfId="460" priority="2" operator="equal">
      <formula>"Feito"</formula>
    </cfRule>
  </conditionalFormatting>
  <dataValidations count="1">
    <dataValidation type="list" allowBlank="1" showInputMessage="1" showErrorMessage="1" sqref="B61:I62 B5:J60 B63:H95" xr:uid="{C4459BA2-84A3-46C6-AC88-FA9436AE72F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EF0-9DAB-42C7-950B-FA201B8F7AA6}">
  <dimension ref="A1:M95"/>
  <sheetViews>
    <sheetView topLeftCell="F1" zoomScale="110" zoomScaleNormal="110" workbookViewId="0">
      <pane ySplit="4" topLeftCell="A5" activePane="bottomLeft" state="frozen"/>
      <selection pane="bottomLeft" activeCell="H91" sqref="H9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1" spans="1:13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3" x14ac:dyDescent="0.25">
      <c r="A2" s="49"/>
      <c r="B2" s="49"/>
      <c r="C2" s="49"/>
      <c r="D2" s="49"/>
      <c r="E2" s="49"/>
      <c r="F2" s="49"/>
      <c r="G2" s="49"/>
      <c r="H2" s="49"/>
    </row>
    <row r="3" spans="1:13" x14ac:dyDescent="0.25">
      <c r="A3" s="24" t="s">
        <v>16</v>
      </c>
      <c r="B3" s="23">
        <v>44613</v>
      </c>
      <c r="C3" s="23">
        <f>B3+1</f>
        <v>44614</v>
      </c>
      <c r="D3" s="23">
        <f t="shared" ref="D3:H3" si="0">C3+1</f>
        <v>44615</v>
      </c>
      <c r="E3" s="23">
        <f t="shared" si="0"/>
        <v>44616</v>
      </c>
      <c r="F3" s="23">
        <f t="shared" si="0"/>
        <v>44617</v>
      </c>
      <c r="G3" s="23">
        <f t="shared" si="0"/>
        <v>44618</v>
      </c>
      <c r="H3" s="25">
        <f t="shared" si="0"/>
        <v>44619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K4" s="20" t="s">
        <v>1</v>
      </c>
    </row>
    <row r="5" spans="1:13" x14ac:dyDescent="0.25">
      <c r="A5" s="4">
        <v>1</v>
      </c>
      <c r="B5" s="38" t="s">
        <v>2</v>
      </c>
      <c r="C5" s="38" t="s">
        <v>2</v>
      </c>
      <c r="D5" s="38"/>
      <c r="E5" s="38"/>
      <c r="F5" s="38"/>
      <c r="G5" s="38" t="s">
        <v>2</v>
      </c>
      <c r="H5" s="38"/>
      <c r="K5" s="27" t="s">
        <v>2</v>
      </c>
      <c r="L5" s="33">
        <f>COUNTIF($B$5:$H$95,K5)</f>
        <v>79</v>
      </c>
      <c r="M5" s="34">
        <f>L5/$L$11</f>
        <v>0.69298245614035092</v>
      </c>
    </row>
    <row r="6" spans="1:13" x14ac:dyDescent="0.25">
      <c r="A6" s="4">
        <v>2</v>
      </c>
      <c r="B6" s="38"/>
      <c r="C6" s="38"/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K6" s="28" t="s">
        <v>5</v>
      </c>
      <c r="L6">
        <f>COUNTIF($B$5:$H$95,K6)</f>
        <v>9</v>
      </c>
      <c r="M6" s="35">
        <f t="shared" ref="M6:M10" si="2">L6/$L$11</f>
        <v>7.8947368421052627E-2</v>
      </c>
    </row>
    <row r="7" spans="1:13" x14ac:dyDescent="0.25">
      <c r="A7" s="4">
        <v>3</v>
      </c>
      <c r="B7" s="38"/>
      <c r="C7" s="38"/>
      <c r="D7" s="38"/>
      <c r="E7" s="38"/>
      <c r="F7" s="38"/>
      <c r="G7" s="38" t="s">
        <v>2</v>
      </c>
      <c r="H7" s="38" t="s">
        <v>2</v>
      </c>
      <c r="K7" s="29" t="s">
        <v>6</v>
      </c>
      <c r="L7">
        <f t="shared" ref="L7:L10" si="3">COUNTIF($B$5:$H$95,K7)</f>
        <v>16</v>
      </c>
      <c r="M7" s="35">
        <f t="shared" si="2"/>
        <v>0.14035087719298245</v>
      </c>
    </row>
    <row r="8" spans="1:13" x14ac:dyDescent="0.25">
      <c r="A8" s="4">
        <v>4</v>
      </c>
      <c r="B8" s="38"/>
      <c r="C8" s="38"/>
      <c r="D8" s="38"/>
      <c r="E8" s="38"/>
      <c r="F8" s="38"/>
      <c r="G8" s="38"/>
      <c r="H8" s="38"/>
      <c r="K8" s="30" t="s">
        <v>4</v>
      </c>
      <c r="L8">
        <f>COUNTIF($B$5:$H$95,K8)</f>
        <v>1</v>
      </c>
      <c r="M8" s="35">
        <f t="shared" si="2"/>
        <v>8.771929824561403E-3</v>
      </c>
    </row>
    <row r="9" spans="1:13" x14ac:dyDescent="0.25">
      <c r="A9" s="4">
        <v>5</v>
      </c>
      <c r="B9" s="38"/>
      <c r="C9" s="38"/>
      <c r="D9" s="38"/>
      <c r="E9" s="38"/>
      <c r="F9" s="38"/>
      <c r="G9" s="38"/>
      <c r="H9" s="38" t="s">
        <v>2</v>
      </c>
      <c r="K9" s="31" t="s">
        <v>3</v>
      </c>
      <c r="L9">
        <f t="shared" si="3"/>
        <v>1</v>
      </c>
      <c r="M9" s="35">
        <f t="shared" si="2"/>
        <v>8.771929824561403E-3</v>
      </c>
    </row>
    <row r="10" spans="1:13" x14ac:dyDescent="0.25">
      <c r="A10" s="4">
        <v>6</v>
      </c>
      <c r="B10" s="38"/>
      <c r="C10" s="38"/>
      <c r="D10" s="38"/>
      <c r="E10" s="38"/>
      <c r="F10" s="38"/>
      <c r="G10" s="38"/>
      <c r="H10" s="38" t="s">
        <v>2</v>
      </c>
      <c r="K10" s="32" t="s">
        <v>7</v>
      </c>
      <c r="L10" s="36">
        <f t="shared" si="3"/>
        <v>8</v>
      </c>
      <c r="M10" s="37">
        <f t="shared" si="2"/>
        <v>7.0175438596491224E-2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/>
      <c r="H11" s="38" t="s">
        <v>2</v>
      </c>
      <c r="K11" s="11" t="s">
        <v>17</v>
      </c>
      <c r="L11" s="11">
        <f>SUM(L5:L10)</f>
        <v>114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 t="s">
        <v>2</v>
      </c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 t="s">
        <v>6</v>
      </c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 t="s">
        <v>6</v>
      </c>
      <c r="H18" s="38" t="s">
        <v>6</v>
      </c>
    </row>
    <row r="19" spans="1:8" x14ac:dyDescent="0.25">
      <c r="A19" s="4">
        <v>15</v>
      </c>
      <c r="B19" s="38"/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/>
      <c r="E20" s="38"/>
      <c r="F20" s="38" t="s">
        <v>5</v>
      </c>
      <c r="G20" s="38" t="s">
        <v>5</v>
      </c>
      <c r="H20" s="38" t="s">
        <v>5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6</v>
      </c>
    </row>
    <row r="23" spans="1:8" x14ac:dyDescent="0.25">
      <c r="A23" s="4">
        <v>19</v>
      </c>
      <c r="B23" s="38"/>
      <c r="C23" s="38"/>
      <c r="D23" s="38"/>
      <c r="E23" s="38"/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/>
      <c r="E24" s="38"/>
      <c r="F24" s="38" t="s">
        <v>6</v>
      </c>
      <c r="G24" s="38"/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7</v>
      </c>
      <c r="D26" s="38" t="s">
        <v>2</v>
      </c>
      <c r="E26" s="38"/>
      <c r="F26" s="38"/>
      <c r="G26" s="38"/>
      <c r="H26" s="38" t="s">
        <v>2</v>
      </c>
    </row>
    <row r="27" spans="1:8" x14ac:dyDescent="0.25">
      <c r="A27" s="4">
        <v>23</v>
      </c>
      <c r="B27" s="38"/>
      <c r="C27" s="38"/>
      <c r="D27" s="38"/>
      <c r="E27" s="38"/>
      <c r="F27" s="38" t="s">
        <v>6</v>
      </c>
      <c r="G27" s="38" t="s">
        <v>2</v>
      </c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 t="s">
        <v>6</v>
      </c>
    </row>
    <row r="29" spans="1:8" x14ac:dyDescent="0.25">
      <c r="A29" s="4">
        <v>25</v>
      </c>
      <c r="B29" s="38"/>
      <c r="C29" s="38"/>
      <c r="D29" s="38"/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7</v>
      </c>
      <c r="F32" s="38" t="s">
        <v>7</v>
      </c>
      <c r="G32" s="38" t="s">
        <v>2</v>
      </c>
      <c r="H32" s="38" t="s">
        <v>2</v>
      </c>
    </row>
    <row r="33" spans="1:8" x14ac:dyDescent="0.25">
      <c r="A33" s="4">
        <v>29</v>
      </c>
      <c r="B33" s="38"/>
      <c r="C33" s="38"/>
      <c r="D33" s="38"/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/>
      <c r="E36" s="38"/>
      <c r="F36" s="38"/>
      <c r="G36" s="38"/>
      <c r="H36" s="38" t="s">
        <v>7</v>
      </c>
    </row>
    <row r="37" spans="1:8" x14ac:dyDescent="0.25">
      <c r="A37" s="4">
        <v>33</v>
      </c>
      <c r="B37" s="38"/>
      <c r="C37" s="38"/>
      <c r="D37" s="38"/>
      <c r="E37" s="38"/>
      <c r="F37" s="38" t="s">
        <v>5</v>
      </c>
      <c r="G37" s="38"/>
      <c r="H37" s="38"/>
    </row>
    <row r="38" spans="1:8" x14ac:dyDescent="0.25">
      <c r="A38" s="4">
        <v>34</v>
      </c>
      <c r="B38" s="38" t="s">
        <v>7</v>
      </c>
      <c r="C38" s="38" t="s">
        <v>4</v>
      </c>
      <c r="D38" s="38"/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/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 t="s">
        <v>5</v>
      </c>
      <c r="H42" s="38" t="s">
        <v>5</v>
      </c>
    </row>
    <row r="43" spans="1:8" x14ac:dyDescent="0.25">
      <c r="A43" s="4">
        <v>39</v>
      </c>
      <c r="B43" s="38"/>
      <c r="C43" s="38"/>
      <c r="D43" s="38"/>
      <c r="E43" s="38"/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/>
      <c r="C45" s="38" t="s">
        <v>3</v>
      </c>
      <c r="D45" s="38"/>
      <c r="E45" s="38"/>
      <c r="F45" s="38"/>
      <c r="G45" s="38"/>
      <c r="H45" s="38" t="s">
        <v>2</v>
      </c>
    </row>
    <row r="46" spans="1:8" x14ac:dyDescent="0.25">
      <c r="A46" s="4">
        <v>42</v>
      </c>
      <c r="B46" s="38"/>
      <c r="C46" s="38"/>
      <c r="D46" s="38"/>
      <c r="E46" s="38" t="s">
        <v>5</v>
      </c>
      <c r="F46" s="38"/>
      <c r="G46" s="38"/>
      <c r="H46" s="38"/>
    </row>
    <row r="47" spans="1:8" x14ac:dyDescent="0.25">
      <c r="A47" s="4">
        <v>43</v>
      </c>
      <c r="B47" s="38"/>
      <c r="C47" s="38"/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/>
      <c r="E48" s="38"/>
      <c r="F48" s="38" t="s">
        <v>6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/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 t="s">
        <v>2</v>
      </c>
      <c r="H55" s="38"/>
    </row>
    <row r="56" spans="1:8" x14ac:dyDescent="0.25">
      <c r="A56" s="4">
        <v>52</v>
      </c>
      <c r="B56" s="38"/>
      <c r="C56" s="38"/>
      <c r="D56" s="38"/>
      <c r="E56" s="38"/>
      <c r="F56" s="38" t="s">
        <v>6</v>
      </c>
      <c r="G56" s="38" t="s">
        <v>6</v>
      </c>
      <c r="H56" s="38" t="s">
        <v>6</v>
      </c>
    </row>
    <row r="57" spans="1:8" x14ac:dyDescent="0.25">
      <c r="A57" s="4">
        <v>53</v>
      </c>
      <c r="B57" s="38"/>
      <c r="C57" s="38"/>
      <c r="D57" s="38"/>
      <c r="E57" s="38"/>
      <c r="F57" s="38" t="s">
        <v>2</v>
      </c>
      <c r="G57" s="38" t="s">
        <v>2</v>
      </c>
      <c r="H57" s="38"/>
    </row>
    <row r="58" spans="1:8" x14ac:dyDescent="0.25">
      <c r="A58" s="4">
        <v>54</v>
      </c>
      <c r="B58" s="38" t="s">
        <v>6</v>
      </c>
      <c r="C58" s="38" t="s">
        <v>7</v>
      </c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 t="s">
        <v>6</v>
      </c>
      <c r="C59" s="38"/>
      <c r="D59" s="38"/>
      <c r="E59" s="38"/>
      <c r="F59" s="38" t="s">
        <v>2</v>
      </c>
      <c r="G59" s="38"/>
      <c r="H59" s="38" t="s">
        <v>6</v>
      </c>
    </row>
    <row r="60" spans="1:8" x14ac:dyDescent="0.25">
      <c r="A60" s="4">
        <v>56</v>
      </c>
      <c r="B60" s="38"/>
      <c r="C60" s="38"/>
      <c r="D60" s="38"/>
      <c r="E60" s="38" t="s">
        <v>7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 t="s">
        <v>2</v>
      </c>
      <c r="G61" s="38"/>
      <c r="H61" s="38" t="s">
        <v>7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6</v>
      </c>
      <c r="H62" s="38"/>
    </row>
    <row r="63" spans="1:8" x14ac:dyDescent="0.25">
      <c r="A63" s="18">
        <v>101</v>
      </c>
      <c r="B63" s="39"/>
      <c r="C63" s="38"/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/>
      <c r="D68" s="38"/>
      <c r="E68" s="38" t="s">
        <v>2</v>
      </c>
      <c r="F68" s="38"/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/>
      <c r="E72" s="38"/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5</v>
      </c>
      <c r="D75" s="38" t="s">
        <v>5</v>
      </c>
      <c r="E75" s="38"/>
      <c r="F75" s="38" t="s">
        <v>2</v>
      </c>
      <c r="G75" s="38"/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 t="s">
        <v>2</v>
      </c>
    </row>
    <row r="81" spans="1:8" x14ac:dyDescent="0.25">
      <c r="A81" s="18">
        <v>119</v>
      </c>
      <c r="B81" s="38"/>
      <c r="C81" s="38"/>
      <c r="D81" s="38"/>
      <c r="E81" s="38"/>
      <c r="F81" s="38" t="s">
        <v>2</v>
      </c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 t="s">
        <v>2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 t="s">
        <v>2</v>
      </c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459" priority="18" operator="equal">
      <formula>"Energia"</formula>
    </cfRule>
    <cfRule type="cellIs" dxfId="458" priority="20" operator="equal">
      <formula>"Operação"</formula>
    </cfRule>
    <cfRule type="cellIs" dxfId="457" priority="21" operator="equal">
      <formula>"Chuva"</formula>
    </cfRule>
    <cfRule type="cellIs" dxfId="456" priority="22" operator="equal">
      <formula>"Elétrico"</formula>
    </cfRule>
    <cfRule type="cellIs" dxfId="455" priority="23" operator="equal">
      <formula>"Mecânico"</formula>
    </cfRule>
    <cfRule type="cellIs" dxfId="454" priority="24" operator="equal">
      <formula>"Ok"</formula>
    </cfRule>
  </conditionalFormatting>
  <conditionalFormatting sqref="B61:I62 I5:I60 B63:H95">
    <cfRule type="cellIs" dxfId="453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52" priority="16" operator="equal">
      <formula>"Energia"</formula>
    </cfRule>
  </conditionalFormatting>
  <conditionalFormatting sqref="B5:E60 G5:H60">
    <cfRule type="cellIs" dxfId="451" priority="9" operator="equal">
      <formula>"Energia"</formula>
    </cfRule>
    <cfRule type="cellIs" dxfId="450" priority="11" operator="equal">
      <formula>"Operação"</formula>
    </cfRule>
    <cfRule type="cellIs" dxfId="449" priority="12" operator="equal">
      <formula>"Chuva"</formula>
    </cfRule>
    <cfRule type="cellIs" dxfId="448" priority="13" operator="equal">
      <formula>"Elétrico"</formula>
    </cfRule>
    <cfRule type="cellIs" dxfId="447" priority="14" operator="equal">
      <formula>"Mecânico"</formula>
    </cfRule>
    <cfRule type="cellIs" dxfId="446" priority="15" operator="equal">
      <formula>"Ok"</formula>
    </cfRule>
  </conditionalFormatting>
  <conditionalFormatting sqref="B5:E60 G5:H60">
    <cfRule type="cellIs" dxfId="445" priority="10" operator="equal">
      <formula>"Feito"</formula>
    </cfRule>
  </conditionalFormatting>
  <conditionalFormatting sqref="F5:F11">
    <cfRule type="cellIs" dxfId="444" priority="8" operator="equal">
      <formula>"Energia"</formula>
    </cfRule>
  </conditionalFormatting>
  <conditionalFormatting sqref="F5:F60">
    <cfRule type="cellIs" dxfId="443" priority="1" operator="equal">
      <formula>"Energia"</formula>
    </cfRule>
    <cfRule type="cellIs" dxfId="442" priority="3" operator="equal">
      <formula>"Operação"</formula>
    </cfRule>
    <cfRule type="cellIs" dxfId="441" priority="4" operator="equal">
      <formula>"Chuva"</formula>
    </cfRule>
    <cfRule type="cellIs" dxfId="440" priority="5" operator="equal">
      <formula>"Elétrico"</formula>
    </cfRule>
    <cfRule type="cellIs" dxfId="439" priority="6" operator="equal">
      <formula>"Mecânico"</formula>
    </cfRule>
    <cfRule type="cellIs" dxfId="438" priority="7" operator="equal">
      <formula>"Ok"</formula>
    </cfRule>
  </conditionalFormatting>
  <conditionalFormatting sqref="F5:F60">
    <cfRule type="cellIs" dxfId="437" priority="2" operator="equal">
      <formula>"Feito"</formula>
    </cfRule>
  </conditionalFormatting>
  <dataValidations count="1">
    <dataValidation type="list" allowBlank="1" showInputMessage="1" showErrorMessage="1" sqref="B61:I62 B5:J60 B63:H95" xr:uid="{358E2588-027E-4D75-A5EB-365CCA021F8A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9E6-CF6D-46B7-AFA3-408CDE42E8B3}">
  <dimension ref="A1:L95"/>
  <sheetViews>
    <sheetView zoomScale="110" zoomScaleNormal="110" workbookViewId="0">
      <pane ySplit="4" topLeftCell="A5" activePane="bottomLeft" state="frozen"/>
      <selection pane="bottomLeft" activeCell="K92" sqref="K9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44620</v>
      </c>
      <c r="C3" s="23">
        <f>B3+1</f>
        <v>44621</v>
      </c>
      <c r="D3" s="23">
        <f t="shared" ref="D3:H3" si="0">C3+1</f>
        <v>44622</v>
      </c>
      <c r="E3" s="23">
        <f t="shared" si="0"/>
        <v>44623</v>
      </c>
      <c r="F3" s="23">
        <f t="shared" si="0"/>
        <v>44624</v>
      </c>
      <c r="G3" s="23">
        <f t="shared" si="0"/>
        <v>44625</v>
      </c>
      <c r="H3" s="25">
        <f t="shared" si="0"/>
        <v>44626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3</v>
      </c>
      <c r="F5" s="38"/>
      <c r="G5" s="38" t="s">
        <v>2</v>
      </c>
      <c r="H5" s="38"/>
      <c r="J5" s="48" t="s">
        <v>2</v>
      </c>
      <c r="K5" s="33">
        <f>COUNTIF($B$5:$H$95,J5)</f>
        <v>137</v>
      </c>
      <c r="L5" s="34">
        <f t="shared" ref="L5:L10" si="2">K5/$K$11</f>
        <v>0.68159203980099503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2</v>
      </c>
      <c r="E6" s="38" t="s">
        <v>3</v>
      </c>
      <c r="F6" s="38"/>
      <c r="G6" s="38" t="s">
        <v>2</v>
      </c>
      <c r="H6" s="38"/>
      <c r="J6" s="42" t="s">
        <v>5</v>
      </c>
      <c r="K6">
        <f>COUNTIF($B$5:$H$95,J6)</f>
        <v>17</v>
      </c>
      <c r="L6" s="35">
        <f t="shared" si="2"/>
        <v>8.45771144278607E-2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14</v>
      </c>
      <c r="L7" s="35">
        <f t="shared" si="2"/>
        <v>6.965174129353234E-2</v>
      </c>
    </row>
    <row r="8" spans="1:12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>COUNTIF($B$5:$H$95,J8)</f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 t="s">
        <v>5</v>
      </c>
      <c r="E9" s="38"/>
      <c r="F9" s="38"/>
      <c r="G9" s="38"/>
      <c r="H9" s="38"/>
      <c r="J9" s="45" t="s">
        <v>3</v>
      </c>
      <c r="K9">
        <f t="shared" si="3"/>
        <v>17</v>
      </c>
      <c r="L9" s="35">
        <f t="shared" si="2"/>
        <v>8.45771144278607E-2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/>
      <c r="H10" s="38"/>
      <c r="J10" s="43" t="s">
        <v>7</v>
      </c>
      <c r="K10" s="36">
        <f t="shared" si="3"/>
        <v>16</v>
      </c>
      <c r="L10" s="37">
        <f t="shared" si="2"/>
        <v>7.9601990049751242E-2</v>
      </c>
    </row>
    <row r="11" spans="1:12" x14ac:dyDescent="0.25">
      <c r="A11" s="4">
        <v>7</v>
      </c>
      <c r="B11" s="38"/>
      <c r="C11" s="38"/>
      <c r="D11" s="38" t="s">
        <v>2</v>
      </c>
      <c r="E11" s="38"/>
      <c r="F11" s="38"/>
      <c r="G11" s="38"/>
      <c r="H11" s="38"/>
      <c r="J11" s="44" t="s">
        <v>17</v>
      </c>
      <c r="K11" s="11">
        <f>SUM(K5:K10)</f>
        <v>201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/>
      <c r="H17" s="38"/>
    </row>
    <row r="18" spans="1:8" x14ac:dyDescent="0.25">
      <c r="A18" s="4">
        <v>14</v>
      </c>
      <c r="B18" s="38" t="s">
        <v>2</v>
      </c>
      <c r="C18" s="38"/>
      <c r="D18" s="38" t="s">
        <v>6</v>
      </c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3</v>
      </c>
      <c r="F19" s="38"/>
      <c r="G19" s="38"/>
      <c r="H19" s="38"/>
    </row>
    <row r="20" spans="1:8" x14ac:dyDescent="0.25">
      <c r="A20" s="4">
        <v>16</v>
      </c>
      <c r="B20" s="38" t="s">
        <v>5</v>
      </c>
      <c r="C20" s="38" t="s">
        <v>5</v>
      </c>
      <c r="D20" s="38" t="s">
        <v>5</v>
      </c>
      <c r="E20" s="38" t="s">
        <v>3</v>
      </c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3</v>
      </c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 t="s">
        <v>2</v>
      </c>
      <c r="F22" s="38" t="s">
        <v>2</v>
      </c>
      <c r="G22" s="38"/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 t="s">
        <v>2</v>
      </c>
      <c r="E24" s="38" t="s">
        <v>3</v>
      </c>
      <c r="F24" s="38"/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3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7</v>
      </c>
      <c r="E26" s="38"/>
      <c r="F26" s="38"/>
      <c r="G26" s="38" t="s">
        <v>7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3</v>
      </c>
      <c r="F27" s="38"/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/>
      <c r="H28" s="38"/>
    </row>
    <row r="29" spans="1:8" x14ac:dyDescent="0.25">
      <c r="A29" s="4">
        <v>25</v>
      </c>
      <c r="B29" s="38" t="s">
        <v>6</v>
      </c>
      <c r="C29" s="38" t="s">
        <v>5</v>
      </c>
      <c r="D29" s="38" t="s">
        <v>2</v>
      </c>
      <c r="E29" s="38" t="s">
        <v>3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7</v>
      </c>
      <c r="D31" s="38" t="s">
        <v>2</v>
      </c>
      <c r="E31" s="38"/>
      <c r="F31" s="38"/>
      <c r="G31" s="38"/>
      <c r="H31" s="38" t="s">
        <v>2</v>
      </c>
    </row>
    <row r="32" spans="1:8" x14ac:dyDescent="0.25">
      <c r="A32" s="4">
        <v>28</v>
      </c>
      <c r="B32" s="38" t="s">
        <v>2</v>
      </c>
      <c r="C32" s="38"/>
      <c r="D32" s="38"/>
      <c r="E32" s="38" t="s">
        <v>3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3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6</v>
      </c>
      <c r="C34" s="38" t="s">
        <v>6</v>
      </c>
      <c r="D34" s="38" t="s">
        <v>5</v>
      </c>
      <c r="E34" s="38" t="s">
        <v>5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/>
      <c r="F35" s="38"/>
      <c r="G35" s="38"/>
      <c r="H35" s="38" t="s">
        <v>2</v>
      </c>
    </row>
    <row r="36" spans="1:8" x14ac:dyDescent="0.25">
      <c r="A36" s="4">
        <v>32</v>
      </c>
      <c r="B36" s="38" t="s">
        <v>7</v>
      </c>
      <c r="C36" s="38" t="s">
        <v>5</v>
      </c>
      <c r="D36" s="38" t="s">
        <v>7</v>
      </c>
      <c r="E36" s="38"/>
      <c r="F36" s="38"/>
      <c r="G36" s="38" t="s">
        <v>2</v>
      </c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/>
      <c r="E37" s="38" t="s">
        <v>3</v>
      </c>
      <c r="F37" s="38"/>
      <c r="G37" s="38" t="s">
        <v>6</v>
      </c>
      <c r="H37" s="38" t="s">
        <v>6</v>
      </c>
    </row>
    <row r="38" spans="1:8" x14ac:dyDescent="0.25">
      <c r="A38" s="4">
        <v>34</v>
      </c>
      <c r="B38" s="38" t="s">
        <v>7</v>
      </c>
      <c r="C38" s="38" t="s">
        <v>7</v>
      </c>
      <c r="D38" s="38" t="s">
        <v>7</v>
      </c>
      <c r="E38" s="38" t="s">
        <v>7</v>
      </c>
      <c r="F38" s="38" t="s">
        <v>7</v>
      </c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 t="s">
        <v>2</v>
      </c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2</v>
      </c>
    </row>
    <row r="43" spans="1:8" x14ac:dyDescent="0.25">
      <c r="A43" s="4">
        <v>39</v>
      </c>
      <c r="B43" s="38"/>
      <c r="C43" s="38"/>
      <c r="D43" s="38" t="s">
        <v>2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3</v>
      </c>
      <c r="F44" s="38"/>
      <c r="G44" s="38"/>
      <c r="H44" s="38"/>
    </row>
    <row r="45" spans="1:8" x14ac:dyDescent="0.25">
      <c r="A45" s="4">
        <v>41</v>
      </c>
      <c r="B45" s="38"/>
      <c r="C45" s="38"/>
      <c r="D45" s="38" t="s">
        <v>5</v>
      </c>
      <c r="E45" s="38"/>
      <c r="F45" s="38"/>
      <c r="G45" s="38" t="s">
        <v>6</v>
      </c>
      <c r="H45" s="38"/>
    </row>
    <row r="46" spans="1:8" x14ac:dyDescent="0.25">
      <c r="A46" s="4">
        <v>42</v>
      </c>
      <c r="B46" s="38" t="s">
        <v>2</v>
      </c>
      <c r="C46" s="38"/>
      <c r="D46" s="38"/>
      <c r="E46" s="38" t="s">
        <v>3</v>
      </c>
      <c r="F46" s="38"/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/>
      <c r="G47" s="38" t="s">
        <v>6</v>
      </c>
      <c r="H47" s="38"/>
    </row>
    <row r="48" spans="1:8" x14ac:dyDescent="0.25">
      <c r="A48" s="4">
        <v>44</v>
      </c>
      <c r="B48" s="38" t="s">
        <v>2</v>
      </c>
      <c r="C48" s="38"/>
      <c r="D48" s="38"/>
      <c r="E48" s="38" t="s">
        <v>2</v>
      </c>
      <c r="F48" s="38"/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3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3</v>
      </c>
      <c r="F54" s="38"/>
      <c r="G54" s="38"/>
      <c r="H54" s="38" t="s">
        <v>2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 t="s">
        <v>6</v>
      </c>
      <c r="C56" s="38"/>
      <c r="D56" s="38" t="s">
        <v>2</v>
      </c>
      <c r="E56" s="38" t="s">
        <v>3</v>
      </c>
      <c r="F56" s="38"/>
      <c r="G56" s="38" t="s">
        <v>2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5</v>
      </c>
      <c r="H59" s="38"/>
    </row>
    <row r="60" spans="1:8" x14ac:dyDescent="0.25">
      <c r="A60" s="4">
        <v>56</v>
      </c>
      <c r="B60" s="38"/>
      <c r="C60" s="38" t="s">
        <v>2</v>
      </c>
      <c r="D60" s="38" t="s">
        <v>2</v>
      </c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 t="s">
        <v>2</v>
      </c>
      <c r="C62" s="38"/>
      <c r="D62" s="38" t="s">
        <v>7</v>
      </c>
      <c r="E62" s="38"/>
      <c r="F62" s="38"/>
      <c r="G62" s="38"/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6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6</v>
      </c>
      <c r="G65" s="38"/>
      <c r="H65" s="38" t="s">
        <v>2</v>
      </c>
    </row>
    <row r="66" spans="1:8" x14ac:dyDescent="0.25">
      <c r="A66" s="18">
        <v>104</v>
      </c>
      <c r="B66" s="38" t="s">
        <v>2</v>
      </c>
      <c r="C66" s="38"/>
      <c r="D66" s="38"/>
      <c r="E66" s="38" t="s">
        <v>2</v>
      </c>
      <c r="F66" s="38" t="s">
        <v>6</v>
      </c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/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6</v>
      </c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7</v>
      </c>
      <c r="C74" s="38" t="s">
        <v>2</v>
      </c>
      <c r="D74" s="38" t="s">
        <v>2</v>
      </c>
      <c r="E74" s="38" t="s">
        <v>2</v>
      </c>
      <c r="F74" s="38" t="s">
        <v>7</v>
      </c>
      <c r="G74" s="38"/>
      <c r="H74" s="38"/>
    </row>
    <row r="75" spans="1:8" x14ac:dyDescent="0.25">
      <c r="A75" s="18">
        <v>113</v>
      </c>
      <c r="B75" s="38" t="s">
        <v>7</v>
      </c>
      <c r="C75" s="38" t="s">
        <v>2</v>
      </c>
      <c r="D75" s="38"/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/>
    </row>
    <row r="78" spans="1:8" x14ac:dyDescent="0.25">
      <c r="A78" s="18">
        <v>116</v>
      </c>
      <c r="B78" s="38" t="s">
        <v>2</v>
      </c>
      <c r="C78" s="38"/>
      <c r="D78" s="38"/>
      <c r="E78" s="38" t="s">
        <v>7</v>
      </c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5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 t="s">
        <v>2</v>
      </c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/>
      <c r="E90" s="38"/>
      <c r="F90" s="38" t="s">
        <v>5</v>
      </c>
      <c r="G90" s="38"/>
      <c r="H90" s="38" t="s">
        <v>2</v>
      </c>
    </row>
    <row r="91" spans="1:8" x14ac:dyDescent="0.25">
      <c r="A91" s="18">
        <v>129</v>
      </c>
      <c r="B91" s="38" t="s">
        <v>5</v>
      </c>
      <c r="C91" s="38" t="s">
        <v>5</v>
      </c>
      <c r="D91" s="38" t="s">
        <v>5</v>
      </c>
      <c r="E91" s="38" t="s">
        <v>5</v>
      </c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/>
      <c r="D92" s="38" t="s">
        <v>2</v>
      </c>
      <c r="E92" s="38"/>
      <c r="F92" s="38"/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436" priority="18" operator="equal">
      <formula>"Energia"</formula>
    </cfRule>
    <cfRule type="cellIs" dxfId="435" priority="20" operator="equal">
      <formula>"Operação"</formula>
    </cfRule>
    <cfRule type="cellIs" dxfId="434" priority="21" operator="equal">
      <formula>"Chuva"</formula>
    </cfRule>
    <cfRule type="cellIs" dxfId="433" priority="22" operator="equal">
      <formula>"Elétrico"</formula>
    </cfRule>
    <cfRule type="cellIs" dxfId="432" priority="23" operator="equal">
      <formula>"Mecânico"</formula>
    </cfRule>
    <cfRule type="cellIs" dxfId="431" priority="24" operator="equal">
      <formula>"Ok"</formula>
    </cfRule>
  </conditionalFormatting>
  <conditionalFormatting sqref="B61:I62 I5:I60 B63:H95">
    <cfRule type="cellIs" dxfId="430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29" priority="16" operator="equal">
      <formula>"Energia"</formula>
    </cfRule>
  </conditionalFormatting>
  <conditionalFormatting sqref="B5:E60 G5:H60">
    <cfRule type="cellIs" dxfId="428" priority="9" operator="equal">
      <formula>"Energia"</formula>
    </cfRule>
    <cfRule type="cellIs" dxfId="427" priority="11" operator="equal">
      <formula>"Operação"</formula>
    </cfRule>
    <cfRule type="cellIs" dxfId="426" priority="12" operator="equal">
      <formula>"Chuva"</formula>
    </cfRule>
    <cfRule type="cellIs" dxfId="425" priority="13" operator="equal">
      <formula>"Elétrico"</formula>
    </cfRule>
    <cfRule type="cellIs" dxfId="424" priority="14" operator="equal">
      <formula>"Mecânico"</formula>
    </cfRule>
    <cfRule type="cellIs" dxfId="423" priority="15" operator="equal">
      <formula>"Ok"</formula>
    </cfRule>
  </conditionalFormatting>
  <conditionalFormatting sqref="B5:E60 G5:H60">
    <cfRule type="cellIs" dxfId="422" priority="10" operator="equal">
      <formula>"Feito"</formula>
    </cfRule>
  </conditionalFormatting>
  <conditionalFormatting sqref="F5:F11">
    <cfRule type="cellIs" dxfId="421" priority="8" operator="equal">
      <formula>"Energia"</formula>
    </cfRule>
  </conditionalFormatting>
  <conditionalFormatting sqref="F5:F60">
    <cfRule type="cellIs" dxfId="420" priority="1" operator="equal">
      <formula>"Energia"</formula>
    </cfRule>
    <cfRule type="cellIs" dxfId="419" priority="3" operator="equal">
      <formula>"Operação"</formula>
    </cfRule>
    <cfRule type="cellIs" dxfId="418" priority="4" operator="equal">
      <formula>"Chuva"</formula>
    </cfRule>
    <cfRule type="cellIs" dxfId="417" priority="5" operator="equal">
      <formula>"Elétrico"</formula>
    </cfRule>
    <cfRule type="cellIs" dxfId="416" priority="6" operator="equal">
      <formula>"Mecânico"</formula>
    </cfRule>
    <cfRule type="cellIs" dxfId="415" priority="7" operator="equal">
      <formula>"Ok"</formula>
    </cfRule>
  </conditionalFormatting>
  <conditionalFormatting sqref="F5:F60">
    <cfRule type="cellIs" dxfId="414" priority="2" operator="equal">
      <formula>"Feito"</formula>
    </cfRule>
  </conditionalFormatting>
  <dataValidations count="1">
    <dataValidation type="list" allowBlank="1" showInputMessage="1" showErrorMessage="1" sqref="B61:I62 B5:I26 B27:J60 B63:H95" xr:uid="{B0509BEC-7B41-447C-8AAD-0BE38B5716B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939E-9624-4384-8F7F-273DDF7A0F07}">
  <dimension ref="A1:L95"/>
  <sheetViews>
    <sheetView zoomScale="110" zoomScaleNormal="110" workbookViewId="0">
      <pane ySplit="4" topLeftCell="A25" activePane="bottomLeft" state="frozen"/>
      <selection pane="bottomLeft" activeCell="C62" sqref="C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44627</v>
      </c>
      <c r="C3" s="23">
        <f>B3+1</f>
        <v>44628</v>
      </c>
      <c r="D3" s="23">
        <f t="shared" ref="D3:H3" si="0">C3+1</f>
        <v>44629</v>
      </c>
      <c r="E3" s="23">
        <f t="shared" si="0"/>
        <v>44630</v>
      </c>
      <c r="F3" s="23">
        <f t="shared" si="0"/>
        <v>44631</v>
      </c>
      <c r="G3" s="23">
        <f t="shared" si="0"/>
        <v>44632</v>
      </c>
      <c r="H3" s="25">
        <f t="shared" si="0"/>
        <v>44633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7</v>
      </c>
      <c r="D5" s="38" t="s">
        <v>2</v>
      </c>
      <c r="E5" s="38"/>
      <c r="F5" s="38" t="s">
        <v>2</v>
      </c>
      <c r="G5" s="38"/>
      <c r="H5" s="38"/>
      <c r="J5" s="48" t="s">
        <v>2</v>
      </c>
      <c r="K5" s="33">
        <f>COUNTIF($B$5:$H$95,J5)</f>
        <v>149</v>
      </c>
      <c r="L5" s="34">
        <f t="shared" ref="L5:L10" si="2">K5/$K$11</f>
        <v>0.80540540540540539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10</v>
      </c>
      <c r="L6" s="35">
        <f t="shared" si="2"/>
        <v>5.4054054054054057E-2</v>
      </c>
    </row>
    <row r="7" spans="1:12" x14ac:dyDescent="0.25">
      <c r="A7" s="4">
        <v>3</v>
      </c>
      <c r="B7" s="38" t="s">
        <v>2</v>
      </c>
      <c r="C7" s="38"/>
      <c r="D7" s="38" t="s">
        <v>2</v>
      </c>
      <c r="E7" s="38"/>
      <c r="F7" s="38" t="s">
        <v>7</v>
      </c>
      <c r="G7" s="38" t="s">
        <v>2</v>
      </c>
      <c r="H7" s="38" t="s">
        <v>2</v>
      </c>
      <c r="J7" s="46" t="s">
        <v>6</v>
      </c>
      <c r="K7" s="33">
        <f t="shared" si="3"/>
        <v>7</v>
      </c>
      <c r="L7" s="35">
        <f t="shared" si="2"/>
        <v>3.783783783783784E-2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7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 s="33">
        <f t="shared" si="3"/>
        <v>19</v>
      </c>
      <c r="L10" s="37">
        <f t="shared" si="2"/>
        <v>0.10270270270270271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185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 t="s">
        <v>2</v>
      </c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 t="s">
        <v>5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2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5</v>
      </c>
      <c r="G26" s="38"/>
      <c r="H26" s="38" t="s">
        <v>2</v>
      </c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 t="s">
        <v>7</v>
      </c>
      <c r="H27" s="38" t="s">
        <v>2</v>
      </c>
    </row>
    <row r="28" spans="1:8" x14ac:dyDescent="0.25">
      <c r="A28" s="4">
        <v>24</v>
      </c>
      <c r="B28" s="38"/>
      <c r="C28" s="38"/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5</v>
      </c>
      <c r="F29" s="38" t="s">
        <v>2</v>
      </c>
      <c r="G29" s="38" t="s">
        <v>6</v>
      </c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 t="s">
        <v>7</v>
      </c>
      <c r="E30" s="38" t="s">
        <v>2</v>
      </c>
      <c r="F30" s="38"/>
      <c r="G30" s="38" t="s">
        <v>7</v>
      </c>
      <c r="H30" s="38"/>
    </row>
    <row r="31" spans="1:8" x14ac:dyDescent="0.25">
      <c r="A31" s="4">
        <v>27</v>
      </c>
      <c r="B31" s="38"/>
      <c r="C31" s="38" t="s">
        <v>7</v>
      </c>
      <c r="D31" s="38"/>
      <c r="E31" s="38"/>
      <c r="F31" s="38" t="s">
        <v>6</v>
      </c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 t="s">
        <v>7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7</v>
      </c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7</v>
      </c>
      <c r="C37" s="38"/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/>
      <c r="C38" s="38" t="s">
        <v>2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/>
      <c r="C39" s="38"/>
      <c r="D39" s="38" t="s">
        <v>2</v>
      </c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7</v>
      </c>
      <c r="G44" s="38"/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7</v>
      </c>
      <c r="G45" s="38"/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6</v>
      </c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/>
      <c r="C49" s="38"/>
      <c r="D49" s="38" t="s">
        <v>2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5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 t="s">
        <v>2</v>
      </c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 t="s">
        <v>7</v>
      </c>
      <c r="F53" s="38"/>
      <c r="G53" s="38"/>
      <c r="H53" s="38"/>
    </row>
    <row r="54" spans="1:8" x14ac:dyDescent="0.25">
      <c r="A54" s="4">
        <v>50</v>
      </c>
      <c r="B54" s="38"/>
      <c r="C54" s="38"/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2</v>
      </c>
      <c r="E61" s="38"/>
      <c r="F61" s="38"/>
      <c r="G61" s="38"/>
      <c r="H61" s="38"/>
    </row>
    <row r="62" spans="1:8" x14ac:dyDescent="0.25">
      <c r="A62" s="18">
        <v>74</v>
      </c>
      <c r="B62" s="38"/>
      <c r="C62" s="38" t="s">
        <v>7</v>
      </c>
      <c r="D62" s="38"/>
      <c r="E62" s="38" t="s">
        <v>7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 t="s">
        <v>7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 t="s">
        <v>6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/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/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6</v>
      </c>
      <c r="D71" s="38" t="s">
        <v>6</v>
      </c>
      <c r="E71" s="38"/>
      <c r="F71" s="38" t="s">
        <v>2</v>
      </c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 t="s">
        <v>7</v>
      </c>
      <c r="E75" s="38" t="s">
        <v>7</v>
      </c>
      <c r="F75" s="38"/>
      <c r="G75" s="38"/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 t="s">
        <v>2</v>
      </c>
      <c r="C78" s="38"/>
      <c r="D78" s="38" t="s">
        <v>5</v>
      </c>
      <c r="E78" s="38"/>
      <c r="F78" s="38"/>
      <c r="G78" s="38"/>
      <c r="H78" s="38" t="s">
        <v>2</v>
      </c>
    </row>
    <row r="79" spans="1:8" x14ac:dyDescent="0.25">
      <c r="A79" s="18">
        <v>117</v>
      </c>
      <c r="B79" s="38"/>
      <c r="C79" s="38"/>
      <c r="D79" s="38" t="s">
        <v>2</v>
      </c>
      <c r="E79" s="38"/>
      <c r="F79" s="38"/>
      <c r="G79" s="38"/>
      <c r="H79" s="38"/>
    </row>
    <row r="80" spans="1:8" x14ac:dyDescent="0.25">
      <c r="A80" s="18">
        <v>118</v>
      </c>
      <c r="B80" s="38" t="s">
        <v>2</v>
      </c>
      <c r="C80" s="38"/>
      <c r="D80" s="38"/>
      <c r="E80" s="38" t="s">
        <v>2</v>
      </c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 t="s">
        <v>5</v>
      </c>
      <c r="F81" s="38" t="s">
        <v>2</v>
      </c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 t="s">
        <v>5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6</v>
      </c>
      <c r="D91" s="38" t="s">
        <v>2</v>
      </c>
      <c r="E91" s="38" t="s">
        <v>5</v>
      </c>
      <c r="F91" s="38"/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5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413" priority="18" operator="equal">
      <formula>"Energia"</formula>
    </cfRule>
    <cfRule type="cellIs" dxfId="412" priority="20" operator="equal">
      <formula>"Operação"</formula>
    </cfRule>
    <cfRule type="cellIs" dxfId="411" priority="21" operator="equal">
      <formula>"Chuva"</formula>
    </cfRule>
    <cfRule type="cellIs" dxfId="410" priority="22" operator="equal">
      <formula>"Elétrico"</formula>
    </cfRule>
    <cfRule type="cellIs" dxfId="409" priority="23" operator="equal">
      <formula>"Mecânico"</formula>
    </cfRule>
    <cfRule type="cellIs" dxfId="408" priority="24" operator="equal">
      <formula>"Ok"</formula>
    </cfRule>
  </conditionalFormatting>
  <conditionalFormatting sqref="B61:I62 I5:I60 B63:H95">
    <cfRule type="cellIs" dxfId="407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06" priority="16" operator="equal">
      <formula>"Energia"</formula>
    </cfRule>
  </conditionalFormatting>
  <conditionalFormatting sqref="B5:E60 G5:H60">
    <cfRule type="cellIs" dxfId="405" priority="9" operator="equal">
      <formula>"Energia"</formula>
    </cfRule>
    <cfRule type="cellIs" dxfId="404" priority="11" operator="equal">
      <formula>"Operação"</formula>
    </cfRule>
    <cfRule type="cellIs" dxfId="403" priority="12" operator="equal">
      <formula>"Chuva"</formula>
    </cfRule>
    <cfRule type="cellIs" dxfId="402" priority="13" operator="equal">
      <formula>"Elétrico"</formula>
    </cfRule>
    <cfRule type="cellIs" dxfId="401" priority="14" operator="equal">
      <formula>"Mecânico"</formula>
    </cfRule>
    <cfRule type="cellIs" dxfId="400" priority="15" operator="equal">
      <formula>"Ok"</formula>
    </cfRule>
  </conditionalFormatting>
  <conditionalFormatting sqref="B5:E60 G5:H60">
    <cfRule type="cellIs" dxfId="399" priority="10" operator="equal">
      <formula>"Feito"</formula>
    </cfRule>
  </conditionalFormatting>
  <conditionalFormatting sqref="F5:F11">
    <cfRule type="cellIs" dxfId="398" priority="8" operator="equal">
      <formula>"Energia"</formula>
    </cfRule>
  </conditionalFormatting>
  <conditionalFormatting sqref="F5:F60">
    <cfRule type="cellIs" dxfId="397" priority="1" operator="equal">
      <formula>"Energia"</formula>
    </cfRule>
    <cfRule type="cellIs" dxfId="396" priority="3" operator="equal">
      <formula>"Operação"</formula>
    </cfRule>
    <cfRule type="cellIs" dxfId="395" priority="4" operator="equal">
      <formula>"Chuva"</formula>
    </cfRule>
    <cfRule type="cellIs" dxfId="394" priority="5" operator="equal">
      <formula>"Elétrico"</formula>
    </cfRule>
    <cfRule type="cellIs" dxfId="393" priority="6" operator="equal">
      <formula>"Mecânico"</formula>
    </cfRule>
    <cfRule type="cellIs" dxfId="392" priority="7" operator="equal">
      <formula>"Ok"</formula>
    </cfRule>
  </conditionalFormatting>
  <conditionalFormatting sqref="F5:F60">
    <cfRule type="cellIs" dxfId="391" priority="2" operator="equal">
      <formula>"Feito"</formula>
    </cfRule>
  </conditionalFormatting>
  <dataValidations count="1">
    <dataValidation type="list" allowBlank="1" showInputMessage="1" showErrorMessage="1" sqref="B61:I62 B5:I26 B27:J60 B63:H95" xr:uid="{D1B2DD36-9754-4EBE-9DCB-AF5F149430F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F3FF-A37F-4337-A25B-A3563F13F53C}">
  <dimension ref="A1:L95"/>
  <sheetViews>
    <sheetView zoomScale="110" zoomScaleNormal="110" workbookViewId="0">
      <pane ySplit="4" topLeftCell="A5" activePane="bottomLeft" state="frozen"/>
      <selection pane="bottomLeft" activeCell="I3" sqref="I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18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44634</v>
      </c>
      <c r="C3" s="23">
        <f>B3+1</f>
        <v>44635</v>
      </c>
      <c r="D3" s="23">
        <f t="shared" ref="D3:H3" si="0">C3+1</f>
        <v>44636</v>
      </c>
      <c r="E3" s="23">
        <f t="shared" si="0"/>
        <v>44637</v>
      </c>
      <c r="F3" s="23">
        <f t="shared" si="0"/>
        <v>44638</v>
      </c>
      <c r="G3" s="23">
        <f t="shared" si="0"/>
        <v>44639</v>
      </c>
      <c r="H3" s="25">
        <f t="shared" si="0"/>
        <v>44640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/>
      <c r="F5" s="38"/>
      <c r="G5" s="38" t="s">
        <v>2</v>
      </c>
      <c r="H5" s="38"/>
      <c r="J5" s="48" t="s">
        <v>2</v>
      </c>
      <c r="K5" s="33">
        <f>COUNTIF($B$5:$H$95,J5)</f>
        <v>105</v>
      </c>
      <c r="L5" s="34">
        <f t="shared" ref="L5:L10" si="2">K5/$K$11</f>
        <v>0.66878980891719741</v>
      </c>
    </row>
    <row r="6" spans="1:12" x14ac:dyDescent="0.25">
      <c r="A6" s="4">
        <v>2</v>
      </c>
      <c r="B6" s="38" t="s">
        <v>2</v>
      </c>
      <c r="C6" s="38" t="s">
        <v>2</v>
      </c>
      <c r="D6" s="38"/>
      <c r="E6" s="38"/>
      <c r="F6" s="38"/>
      <c r="G6" s="38"/>
      <c r="H6" s="38" t="s">
        <v>2</v>
      </c>
      <c r="J6" s="42" t="s">
        <v>5</v>
      </c>
      <c r="K6" s="33">
        <f t="shared" ref="K6:K10" si="3">COUNTIF($B$5:$H$95,J6)</f>
        <v>18</v>
      </c>
      <c r="L6" s="35">
        <f t="shared" si="2"/>
        <v>0.11464968152866242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/>
      <c r="F7" s="38"/>
      <c r="G7" s="38" t="s">
        <v>7</v>
      </c>
      <c r="H7" s="38"/>
      <c r="J7" s="46" t="s">
        <v>6</v>
      </c>
      <c r="K7" s="33">
        <f t="shared" si="3"/>
        <v>13</v>
      </c>
      <c r="L7" s="35">
        <f t="shared" si="2"/>
        <v>8.2802547770700632E-2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/>
      <c r="F8" s="38"/>
      <c r="G8" s="38" t="s">
        <v>2</v>
      </c>
      <c r="H8" s="38" t="s">
        <v>2</v>
      </c>
      <c r="J8" s="47" t="s">
        <v>4</v>
      </c>
      <c r="K8" s="33">
        <f t="shared" si="3"/>
        <v>5</v>
      </c>
      <c r="L8" s="35">
        <f t="shared" si="2"/>
        <v>3.1847133757961783E-2</v>
      </c>
    </row>
    <row r="9" spans="1:12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5</v>
      </c>
      <c r="L9" s="35">
        <f t="shared" si="2"/>
        <v>3.1847133757961783E-2</v>
      </c>
    </row>
    <row r="10" spans="1:12" x14ac:dyDescent="0.25">
      <c r="A10" s="4">
        <v>6</v>
      </c>
      <c r="B10" s="38"/>
      <c r="C10" s="38" t="s">
        <v>6</v>
      </c>
      <c r="D10" s="38" t="s">
        <v>6</v>
      </c>
      <c r="E10" s="38"/>
      <c r="F10" s="38"/>
      <c r="G10" s="38"/>
      <c r="H10" s="38"/>
      <c r="J10" s="43" t="s">
        <v>7</v>
      </c>
      <c r="K10" s="33">
        <f t="shared" si="3"/>
        <v>11</v>
      </c>
      <c r="L10" s="37">
        <f t="shared" si="2"/>
        <v>7.0063694267515922E-2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157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/>
      <c r="F20" s="38"/>
      <c r="G20" s="38"/>
      <c r="H20" s="38"/>
    </row>
    <row r="21" spans="1:8" x14ac:dyDescent="0.25">
      <c r="A21" s="4">
        <v>17</v>
      </c>
      <c r="B21" s="38"/>
      <c r="C21" s="38" t="s">
        <v>2</v>
      </c>
      <c r="D21" s="38"/>
      <c r="E21" s="38"/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7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/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7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/>
      <c r="H25" s="38" t="s">
        <v>6</v>
      </c>
    </row>
    <row r="26" spans="1:8" x14ac:dyDescent="0.25">
      <c r="A26" s="4">
        <v>22</v>
      </c>
      <c r="B26" s="38"/>
      <c r="C26" s="38"/>
      <c r="D26" s="38" t="s">
        <v>2</v>
      </c>
      <c r="E26" s="38" t="s">
        <v>7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3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/>
      <c r="E28" s="38"/>
      <c r="F28" s="38"/>
      <c r="G28" s="38"/>
      <c r="H28" s="38" t="s">
        <v>2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6</v>
      </c>
      <c r="E29" s="38"/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5</v>
      </c>
      <c r="C33" s="38" t="s">
        <v>2</v>
      </c>
      <c r="D33" s="38" t="s">
        <v>3</v>
      </c>
      <c r="E33" s="38"/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 t="s">
        <v>7</v>
      </c>
      <c r="C34" s="38" t="s">
        <v>2</v>
      </c>
      <c r="D34" s="38"/>
      <c r="E34" s="38"/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3</v>
      </c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 t="s">
        <v>2</v>
      </c>
      <c r="F36" s="38"/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/>
      <c r="G37" s="38" t="s">
        <v>7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3</v>
      </c>
      <c r="E38" s="38"/>
      <c r="F38" s="38"/>
      <c r="G38" s="38"/>
      <c r="H38" s="38" t="s">
        <v>2</v>
      </c>
    </row>
    <row r="39" spans="1:8" x14ac:dyDescent="0.25">
      <c r="A39" s="4">
        <v>35</v>
      </c>
      <c r="B39" s="38" t="s">
        <v>6</v>
      </c>
      <c r="C39" s="38" t="s">
        <v>6</v>
      </c>
      <c r="D39" s="38" t="s">
        <v>6</v>
      </c>
      <c r="E39" s="38"/>
      <c r="F39" s="38"/>
      <c r="G39" s="38"/>
      <c r="H39" s="38" t="s">
        <v>5</v>
      </c>
    </row>
    <row r="40" spans="1:8" x14ac:dyDescent="0.25">
      <c r="A40" s="4">
        <v>36</v>
      </c>
      <c r="B40" s="38" t="s">
        <v>2</v>
      </c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 t="s">
        <v>2</v>
      </c>
      <c r="D41" s="38" t="s">
        <v>2</v>
      </c>
      <c r="E41" s="38" t="s">
        <v>2</v>
      </c>
      <c r="F41" s="38"/>
      <c r="G41" s="38" t="s">
        <v>6</v>
      </c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4</v>
      </c>
    </row>
    <row r="43" spans="1:8" x14ac:dyDescent="0.25">
      <c r="A43" s="4">
        <v>39</v>
      </c>
      <c r="B43" s="38"/>
      <c r="C43" s="38"/>
      <c r="D43" s="38" t="s">
        <v>3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 t="s">
        <v>2</v>
      </c>
      <c r="C45" s="38"/>
      <c r="D45" s="38"/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/>
      <c r="H46" s="38" t="s">
        <v>4</v>
      </c>
    </row>
    <row r="47" spans="1:8" x14ac:dyDescent="0.25">
      <c r="A47" s="4">
        <v>43</v>
      </c>
      <c r="B47" s="38"/>
      <c r="C47" s="38" t="s">
        <v>7</v>
      </c>
      <c r="D47" s="38"/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/>
    </row>
    <row r="49" spans="1:8" x14ac:dyDescent="0.25">
      <c r="A49" s="4">
        <v>45</v>
      </c>
      <c r="B49" s="38" t="s">
        <v>2</v>
      </c>
      <c r="C49" s="38"/>
      <c r="D49" s="38" t="s">
        <v>5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4</v>
      </c>
    </row>
    <row r="51" spans="1:8" x14ac:dyDescent="0.25">
      <c r="A51" s="4">
        <v>47</v>
      </c>
      <c r="B51" s="38"/>
      <c r="C51" s="38" t="s">
        <v>7</v>
      </c>
      <c r="D51" s="38" t="s">
        <v>5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5</v>
      </c>
      <c r="D53" s="38"/>
      <c r="E53" s="38"/>
      <c r="F53" s="38"/>
      <c r="G53" s="38"/>
      <c r="H53" s="38" t="s">
        <v>5</v>
      </c>
    </row>
    <row r="54" spans="1:8" x14ac:dyDescent="0.25">
      <c r="A54" s="4">
        <v>50</v>
      </c>
      <c r="B54" s="38"/>
      <c r="C54" s="38" t="s">
        <v>2</v>
      </c>
      <c r="D54" s="38"/>
      <c r="E54" s="38"/>
      <c r="F54" s="38"/>
      <c r="G54" s="38"/>
      <c r="H54" s="38" t="s">
        <v>4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/>
      <c r="C56" s="38" t="s">
        <v>2</v>
      </c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/>
      <c r="H57" s="38" t="s">
        <v>4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/>
      <c r="G58" s="38" t="s">
        <v>7</v>
      </c>
      <c r="H58" s="38"/>
    </row>
    <row r="59" spans="1:8" x14ac:dyDescent="0.25">
      <c r="A59" s="4">
        <v>55</v>
      </c>
      <c r="B59" s="38" t="s">
        <v>5</v>
      </c>
      <c r="C59" s="38" t="s">
        <v>5</v>
      </c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/>
      <c r="F62" s="38"/>
      <c r="G62" s="38" t="s">
        <v>7</v>
      </c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/>
      <c r="D66" s="38" t="s">
        <v>2</v>
      </c>
      <c r="E66" s="38"/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/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/>
      <c r="E69" s="38"/>
      <c r="F69" s="38"/>
      <c r="G69" s="38"/>
      <c r="H69" s="38" t="s">
        <v>2</v>
      </c>
    </row>
    <row r="70" spans="1:8" x14ac:dyDescent="0.25">
      <c r="A70" s="18">
        <v>108</v>
      </c>
      <c r="B70" s="38"/>
      <c r="C70" s="38"/>
      <c r="D70" s="38" t="s">
        <v>2</v>
      </c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 t="s">
        <v>5</v>
      </c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/>
      <c r="H76" s="38"/>
    </row>
    <row r="77" spans="1:8" x14ac:dyDescent="0.25">
      <c r="A77" s="18">
        <v>115</v>
      </c>
      <c r="B77" s="38" t="s">
        <v>6</v>
      </c>
      <c r="C77" s="38"/>
      <c r="D77" s="38"/>
      <c r="E77" s="38" t="s">
        <v>2</v>
      </c>
      <c r="F77" s="38"/>
      <c r="G77" s="38"/>
      <c r="H77" s="38"/>
    </row>
    <row r="78" spans="1:8" x14ac:dyDescent="0.25">
      <c r="A78" s="18">
        <v>116</v>
      </c>
      <c r="B78" s="38"/>
      <c r="C78" s="38"/>
      <c r="D78" s="38" t="s">
        <v>2</v>
      </c>
      <c r="E78" s="38"/>
      <c r="F78" s="38"/>
      <c r="G78" s="38" t="s">
        <v>6</v>
      </c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 t="s">
        <v>6</v>
      </c>
      <c r="H79" s="38"/>
    </row>
    <row r="80" spans="1:8" x14ac:dyDescent="0.25">
      <c r="A80" s="18">
        <v>118</v>
      </c>
      <c r="B80" s="38"/>
      <c r="C80" s="38" t="s">
        <v>5</v>
      </c>
      <c r="D80" s="38" t="s">
        <v>5</v>
      </c>
      <c r="E80" s="38"/>
      <c r="F80" s="38"/>
      <c r="G80" s="38"/>
      <c r="H80" s="38" t="s">
        <v>5</v>
      </c>
    </row>
    <row r="81" spans="1:8" x14ac:dyDescent="0.25">
      <c r="A81" s="18">
        <v>119</v>
      </c>
      <c r="B81" s="38"/>
      <c r="C81" s="38"/>
      <c r="D81" s="38" t="s">
        <v>5</v>
      </c>
      <c r="E81" s="38" t="s">
        <v>2</v>
      </c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5</v>
      </c>
      <c r="D90" s="38" t="s">
        <v>5</v>
      </c>
      <c r="E90" s="38" t="s">
        <v>2</v>
      </c>
      <c r="F90" s="38"/>
      <c r="G90" s="38"/>
      <c r="H90" s="38" t="s">
        <v>5</v>
      </c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 t="s">
        <v>5</v>
      </c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90" priority="18" operator="equal">
      <formula>"Energia"</formula>
    </cfRule>
    <cfRule type="cellIs" dxfId="389" priority="20" operator="equal">
      <formula>"Operação"</formula>
    </cfRule>
    <cfRule type="cellIs" dxfId="388" priority="21" operator="equal">
      <formula>"Chuva"</formula>
    </cfRule>
    <cfRule type="cellIs" dxfId="387" priority="22" operator="equal">
      <formula>"Elétrico"</formula>
    </cfRule>
    <cfRule type="cellIs" dxfId="386" priority="23" operator="equal">
      <formula>"Mecânico"</formula>
    </cfRule>
    <cfRule type="cellIs" dxfId="385" priority="24" operator="equal">
      <formula>"Ok"</formula>
    </cfRule>
  </conditionalFormatting>
  <conditionalFormatting sqref="B61:I62 I5:I60 B63:H95">
    <cfRule type="cellIs" dxfId="384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83" priority="16" operator="equal">
      <formula>"Energia"</formula>
    </cfRule>
  </conditionalFormatting>
  <conditionalFormatting sqref="B5:E60 G5:H60">
    <cfRule type="cellIs" dxfId="382" priority="9" operator="equal">
      <formula>"Energia"</formula>
    </cfRule>
    <cfRule type="cellIs" dxfId="381" priority="11" operator="equal">
      <formula>"Operação"</formula>
    </cfRule>
    <cfRule type="cellIs" dxfId="380" priority="12" operator="equal">
      <formula>"Chuva"</formula>
    </cfRule>
    <cfRule type="cellIs" dxfId="379" priority="13" operator="equal">
      <formula>"Elétrico"</formula>
    </cfRule>
    <cfRule type="cellIs" dxfId="378" priority="14" operator="equal">
      <formula>"Mecânico"</formula>
    </cfRule>
    <cfRule type="cellIs" dxfId="377" priority="15" operator="equal">
      <formula>"Ok"</formula>
    </cfRule>
  </conditionalFormatting>
  <conditionalFormatting sqref="B5:E60 G5:H60">
    <cfRule type="cellIs" dxfId="376" priority="10" operator="equal">
      <formula>"Feito"</formula>
    </cfRule>
  </conditionalFormatting>
  <conditionalFormatting sqref="F5:F11">
    <cfRule type="cellIs" dxfId="375" priority="8" operator="equal">
      <formula>"Energia"</formula>
    </cfRule>
  </conditionalFormatting>
  <conditionalFormatting sqref="F5:F60">
    <cfRule type="cellIs" dxfId="374" priority="1" operator="equal">
      <formula>"Energia"</formula>
    </cfRule>
    <cfRule type="cellIs" dxfId="373" priority="3" operator="equal">
      <formula>"Operação"</formula>
    </cfRule>
    <cfRule type="cellIs" dxfId="372" priority="4" operator="equal">
      <formula>"Chuva"</formula>
    </cfRule>
    <cfRule type="cellIs" dxfId="371" priority="5" operator="equal">
      <formula>"Elétrico"</formula>
    </cfRule>
    <cfRule type="cellIs" dxfId="370" priority="6" operator="equal">
      <formula>"Mecânico"</formula>
    </cfRule>
    <cfRule type="cellIs" dxfId="369" priority="7" operator="equal">
      <formula>"Ok"</formula>
    </cfRule>
  </conditionalFormatting>
  <conditionalFormatting sqref="F5:F60">
    <cfRule type="cellIs" dxfId="368" priority="2" operator="equal">
      <formula>"Feito"</formula>
    </cfRule>
  </conditionalFormatting>
  <dataValidations count="1">
    <dataValidation type="list" allowBlank="1" showInputMessage="1" showErrorMessage="1" sqref="B61:I62 B5:I26 B27:J60 B63:H95" xr:uid="{B71ED705-B474-421E-A45E-F447420276A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754-3280-4468-AEAD-2A3A85D90FAE}">
  <dimension ref="A1:L95"/>
  <sheetViews>
    <sheetView zoomScale="110" zoomScaleNormal="110" workbookViewId="0">
      <pane ySplit="4" topLeftCell="A68" activePane="bottomLeft" state="frozen"/>
      <selection pane="bottomLeft" activeCell="A3" sqref="A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19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44641</v>
      </c>
      <c r="C3" s="23">
        <f>B3+1</f>
        <v>44642</v>
      </c>
      <c r="D3" s="23">
        <f t="shared" ref="D3:H3" si="0">C3+1</f>
        <v>44643</v>
      </c>
      <c r="E3" s="23">
        <f t="shared" si="0"/>
        <v>44644</v>
      </c>
      <c r="F3" s="23">
        <f t="shared" si="0"/>
        <v>44645</v>
      </c>
      <c r="G3" s="23">
        <f t="shared" si="0"/>
        <v>44646</v>
      </c>
      <c r="H3" s="25">
        <f t="shared" si="0"/>
        <v>44647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2</v>
      </c>
      <c r="F5" s="38" t="s">
        <v>2</v>
      </c>
      <c r="G5" s="38"/>
      <c r="H5" s="38"/>
      <c r="J5" s="48" t="s">
        <v>2</v>
      </c>
      <c r="K5" s="33">
        <f>COUNTIF($B$5:$H$95,J5)</f>
        <v>161</v>
      </c>
      <c r="L5" s="34">
        <f t="shared" ref="L5:L10" si="2">K5/$K$11</f>
        <v>0.82564102564102559</v>
      </c>
    </row>
    <row r="6" spans="1:12" x14ac:dyDescent="0.25">
      <c r="A6" s="4">
        <v>2</v>
      </c>
      <c r="B6" s="38" t="s">
        <v>2</v>
      </c>
      <c r="C6" s="38" t="s">
        <v>2</v>
      </c>
      <c r="D6" s="38"/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16</v>
      </c>
      <c r="L6" s="35">
        <f t="shared" si="2"/>
        <v>8.2051282051282051E-2</v>
      </c>
    </row>
    <row r="7" spans="1:12" x14ac:dyDescent="0.25">
      <c r="A7" s="4">
        <v>3</v>
      </c>
      <c r="B7" s="38" t="s">
        <v>2</v>
      </c>
      <c r="C7" s="38"/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6</v>
      </c>
      <c r="L7" s="35">
        <f t="shared" si="2"/>
        <v>3.0769230769230771E-2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/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5</v>
      </c>
      <c r="C9" s="38"/>
      <c r="D9" s="38" t="s">
        <v>2</v>
      </c>
      <c r="E9" s="38"/>
      <c r="F9" s="38"/>
      <c r="G9" s="38"/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 t="s">
        <v>2</v>
      </c>
      <c r="G10" s="38"/>
      <c r="H10" s="38" t="s">
        <v>2</v>
      </c>
      <c r="J10" s="43" t="s">
        <v>7</v>
      </c>
      <c r="K10" s="33">
        <f t="shared" si="3"/>
        <v>12</v>
      </c>
      <c r="L10" s="37">
        <f t="shared" si="2"/>
        <v>6.1538461538461542E-2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 t="s">
        <v>2</v>
      </c>
      <c r="H11" s="38"/>
      <c r="J11" s="44" t="s">
        <v>17</v>
      </c>
      <c r="K11" s="11">
        <f>SUM(K5:K10)</f>
        <v>195</v>
      </c>
    </row>
    <row r="12" spans="1:12" x14ac:dyDescent="0.25">
      <c r="A12" s="4">
        <v>8</v>
      </c>
      <c r="B12" s="38"/>
      <c r="C12" s="38"/>
      <c r="D12" s="38"/>
      <c r="E12" s="38"/>
      <c r="F12" s="38" t="s">
        <v>2</v>
      </c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 t="s">
        <v>2</v>
      </c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 t="s">
        <v>6</v>
      </c>
      <c r="C20" s="38"/>
      <c r="D20" s="38"/>
      <c r="E20" s="38" t="s">
        <v>5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 t="s">
        <v>2</v>
      </c>
      <c r="H21" s="38"/>
    </row>
    <row r="22" spans="1:8" x14ac:dyDescent="0.25">
      <c r="A22" s="4">
        <v>18</v>
      </c>
      <c r="B22" s="38"/>
      <c r="C22" s="38" t="s">
        <v>2</v>
      </c>
      <c r="D22" s="38"/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5</v>
      </c>
      <c r="E25" s="38"/>
      <c r="F25" s="38" t="s">
        <v>2</v>
      </c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 t="s">
        <v>2</v>
      </c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5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6</v>
      </c>
      <c r="D31" s="38"/>
      <c r="E31" s="38"/>
      <c r="F31" s="38" t="s">
        <v>7</v>
      </c>
      <c r="G31" s="38"/>
      <c r="H31" s="38" t="s">
        <v>2</v>
      </c>
    </row>
    <row r="32" spans="1:8" x14ac:dyDescent="0.25">
      <c r="A32" s="4">
        <v>28</v>
      </c>
      <c r="B32" s="38" t="s">
        <v>6</v>
      </c>
      <c r="C32" s="38"/>
      <c r="D32" s="38"/>
      <c r="E32" s="38" t="s">
        <v>5</v>
      </c>
      <c r="F32" s="38"/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 t="s">
        <v>6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/>
      <c r="C38" s="38"/>
      <c r="D38" s="38" t="s">
        <v>2</v>
      </c>
      <c r="E38" s="38"/>
      <c r="F38" s="38" t="s">
        <v>2</v>
      </c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7</v>
      </c>
      <c r="E39" s="38" t="s">
        <v>2</v>
      </c>
      <c r="F39" s="38" t="s">
        <v>2</v>
      </c>
      <c r="G39" s="38" t="s">
        <v>2</v>
      </c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 t="s">
        <v>2</v>
      </c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2</v>
      </c>
      <c r="G45" s="38"/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7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7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 t="s">
        <v>6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2</v>
      </c>
      <c r="D53" s="38"/>
      <c r="E53" s="38" t="s">
        <v>2</v>
      </c>
      <c r="F53" s="38"/>
      <c r="G53" s="38" t="s">
        <v>2</v>
      </c>
      <c r="H53" s="38"/>
    </row>
    <row r="54" spans="1:8" x14ac:dyDescent="0.25">
      <c r="A54" s="4">
        <v>50</v>
      </c>
      <c r="B54" s="38"/>
      <c r="C54" s="38"/>
      <c r="D54" s="38" t="s">
        <v>7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 t="s">
        <v>7</v>
      </c>
      <c r="C58" s="38"/>
      <c r="D58" s="38"/>
      <c r="E58" s="38" t="s">
        <v>2</v>
      </c>
      <c r="F58" s="38"/>
      <c r="G58" s="38" t="s">
        <v>2</v>
      </c>
      <c r="H58" s="38" t="s">
        <v>2</v>
      </c>
    </row>
    <row r="59" spans="1:8" x14ac:dyDescent="0.25">
      <c r="A59" s="4">
        <v>55</v>
      </c>
      <c r="B59" s="38" t="s">
        <v>2</v>
      </c>
      <c r="C59" s="38" t="s">
        <v>7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7</v>
      </c>
      <c r="F60" s="38"/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7</v>
      </c>
      <c r="C62" s="38" t="s">
        <v>7</v>
      </c>
      <c r="D62" s="38"/>
      <c r="E62" s="38"/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/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/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 t="s">
        <v>7</v>
      </c>
      <c r="C75" s="38"/>
      <c r="D75" s="38"/>
      <c r="E75" s="38" t="s">
        <v>2</v>
      </c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 t="s">
        <v>2</v>
      </c>
      <c r="H76" s="38"/>
    </row>
    <row r="77" spans="1:8" x14ac:dyDescent="0.25">
      <c r="A77" s="18">
        <v>115</v>
      </c>
      <c r="B77" s="38" t="s">
        <v>2</v>
      </c>
      <c r="C77" s="38" t="s">
        <v>7</v>
      </c>
      <c r="D77" s="38"/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 t="s">
        <v>5</v>
      </c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 t="s">
        <v>5</v>
      </c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 t="s">
        <v>5</v>
      </c>
      <c r="G80" s="38"/>
      <c r="H80" s="38"/>
    </row>
    <row r="81" spans="1:8" x14ac:dyDescent="0.25">
      <c r="A81" s="18">
        <v>119</v>
      </c>
      <c r="B81" s="38" t="s">
        <v>5</v>
      </c>
      <c r="C81" s="38"/>
      <c r="D81" s="38"/>
      <c r="E81" s="38"/>
      <c r="F81" s="38"/>
      <c r="G81" s="38" t="s">
        <v>5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 t="s">
        <v>5</v>
      </c>
      <c r="G90" s="38"/>
      <c r="H90" s="38" t="s">
        <v>5</v>
      </c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67" priority="18" operator="equal">
      <formula>"Energia"</formula>
    </cfRule>
    <cfRule type="cellIs" dxfId="366" priority="20" operator="equal">
      <formula>"Operação"</formula>
    </cfRule>
    <cfRule type="cellIs" dxfId="365" priority="21" operator="equal">
      <formula>"Chuva"</formula>
    </cfRule>
    <cfRule type="cellIs" dxfId="364" priority="22" operator="equal">
      <formula>"Elétrico"</formula>
    </cfRule>
    <cfRule type="cellIs" dxfId="363" priority="23" operator="equal">
      <formula>"Mecânico"</formula>
    </cfRule>
    <cfRule type="cellIs" dxfId="362" priority="24" operator="equal">
      <formula>"Ok"</formula>
    </cfRule>
  </conditionalFormatting>
  <conditionalFormatting sqref="B61:I62 I5:I60 B63:H95">
    <cfRule type="cellIs" dxfId="361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60" priority="16" operator="equal">
      <formula>"Energia"</formula>
    </cfRule>
  </conditionalFormatting>
  <conditionalFormatting sqref="B5:E60 G5:H60">
    <cfRule type="cellIs" dxfId="359" priority="9" operator="equal">
      <formula>"Energia"</formula>
    </cfRule>
    <cfRule type="cellIs" dxfId="358" priority="11" operator="equal">
      <formula>"Operação"</formula>
    </cfRule>
    <cfRule type="cellIs" dxfId="357" priority="12" operator="equal">
      <formula>"Chuva"</formula>
    </cfRule>
    <cfRule type="cellIs" dxfId="356" priority="13" operator="equal">
      <formula>"Elétrico"</formula>
    </cfRule>
    <cfRule type="cellIs" dxfId="355" priority="14" operator="equal">
      <formula>"Mecânico"</formula>
    </cfRule>
    <cfRule type="cellIs" dxfId="354" priority="15" operator="equal">
      <formula>"Ok"</formula>
    </cfRule>
  </conditionalFormatting>
  <conditionalFormatting sqref="B5:E60 G5:H60">
    <cfRule type="cellIs" dxfId="353" priority="10" operator="equal">
      <formula>"Feito"</formula>
    </cfRule>
  </conditionalFormatting>
  <conditionalFormatting sqref="F5:F11">
    <cfRule type="cellIs" dxfId="352" priority="8" operator="equal">
      <formula>"Energia"</formula>
    </cfRule>
  </conditionalFormatting>
  <conditionalFormatting sqref="F5:F60">
    <cfRule type="cellIs" dxfId="351" priority="1" operator="equal">
      <formula>"Energia"</formula>
    </cfRule>
    <cfRule type="cellIs" dxfId="350" priority="3" operator="equal">
      <formula>"Operação"</formula>
    </cfRule>
    <cfRule type="cellIs" dxfId="349" priority="4" operator="equal">
      <formula>"Chuva"</formula>
    </cfRule>
    <cfRule type="cellIs" dxfId="348" priority="5" operator="equal">
      <formula>"Elétrico"</formula>
    </cfRule>
    <cfRule type="cellIs" dxfId="347" priority="6" operator="equal">
      <formula>"Mecânico"</formula>
    </cfRule>
    <cfRule type="cellIs" dxfId="346" priority="7" operator="equal">
      <formula>"Ok"</formula>
    </cfRule>
  </conditionalFormatting>
  <conditionalFormatting sqref="F5:F60">
    <cfRule type="cellIs" dxfId="345" priority="2" operator="equal">
      <formula>"Feito"</formula>
    </cfRule>
  </conditionalFormatting>
  <dataValidations count="1">
    <dataValidation type="list" allowBlank="1" showInputMessage="1" showErrorMessage="1" sqref="B61:I62 B5:I26 B27:J60 B63:H95" xr:uid="{02B77C1E-0A6F-48B7-92E9-813E4F5C59A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3C22-A431-48B9-8069-3793B6C02A1C}">
  <dimension ref="A1:L95"/>
  <sheetViews>
    <sheetView zoomScale="110" zoomScaleNormal="110" workbookViewId="0">
      <pane ySplit="4" topLeftCell="A86" activePane="bottomLeft" state="frozen"/>
      <selection pane="bottomLeft" activeCell="B93" sqref="B9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20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44648</v>
      </c>
      <c r="C3" s="23">
        <f>B3+1</f>
        <v>44649</v>
      </c>
      <c r="D3" s="23">
        <f t="shared" ref="D3:H3" si="0">C3+1</f>
        <v>44650</v>
      </c>
      <c r="E3" s="23">
        <f t="shared" si="0"/>
        <v>44651</v>
      </c>
      <c r="F3" s="23">
        <f t="shared" si="0"/>
        <v>44652</v>
      </c>
      <c r="G3" s="23">
        <f t="shared" si="0"/>
        <v>44653</v>
      </c>
      <c r="H3" s="25">
        <f t="shared" si="0"/>
        <v>44654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 s="33">
        <f>COUNTIF($B$5:$H$95,J5)</f>
        <v>173</v>
      </c>
      <c r="L5" s="34">
        <f t="shared" ref="L5:L10" si="2">K5/$K$11</f>
        <v>0.84390243902439022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15</v>
      </c>
      <c r="L6" s="35">
        <f t="shared" si="2"/>
        <v>7.3170731707317069E-2</v>
      </c>
    </row>
    <row r="7" spans="1:12" x14ac:dyDescent="0.25">
      <c r="A7" s="4">
        <v>3</v>
      </c>
      <c r="B7" s="38"/>
      <c r="C7" s="38" t="s">
        <v>2</v>
      </c>
      <c r="D7" s="38" t="s">
        <v>2</v>
      </c>
      <c r="E7" s="38"/>
      <c r="F7" s="38" t="s">
        <v>2</v>
      </c>
      <c r="G7" s="38"/>
      <c r="H7" s="38"/>
      <c r="J7" s="46" t="s">
        <v>6</v>
      </c>
      <c r="K7" s="33">
        <f t="shared" si="3"/>
        <v>7</v>
      </c>
      <c r="L7" s="35">
        <f t="shared" si="2"/>
        <v>3.4146341463414637E-2</v>
      </c>
    </row>
    <row r="8" spans="1:12" x14ac:dyDescent="0.25">
      <c r="A8" s="4">
        <v>4</v>
      </c>
      <c r="B8" s="38" t="s">
        <v>2</v>
      </c>
      <c r="C8" s="38"/>
      <c r="D8" s="38" t="s">
        <v>2</v>
      </c>
      <c r="E8" s="38" t="s">
        <v>2</v>
      </c>
      <c r="F8" s="38"/>
      <c r="G8" s="38" t="s">
        <v>2</v>
      </c>
      <c r="H8" s="38"/>
      <c r="J8" s="47" t="s">
        <v>4</v>
      </c>
      <c r="K8" s="33">
        <f t="shared" si="3"/>
        <v>4</v>
      </c>
      <c r="L8" s="35">
        <f t="shared" si="2"/>
        <v>1.9512195121951219E-2</v>
      </c>
    </row>
    <row r="9" spans="1:12" x14ac:dyDescent="0.25">
      <c r="A9" s="4">
        <v>5</v>
      </c>
      <c r="B9" s="38" t="s">
        <v>6</v>
      </c>
      <c r="C9" s="38"/>
      <c r="D9" s="38" t="s">
        <v>2</v>
      </c>
      <c r="E9" s="38" t="s">
        <v>2</v>
      </c>
      <c r="F9" s="38"/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 t="s">
        <v>6</v>
      </c>
      <c r="G10" s="38" t="s">
        <v>6</v>
      </c>
      <c r="H10" s="38" t="s">
        <v>5</v>
      </c>
      <c r="J10" s="43" t="s">
        <v>7</v>
      </c>
      <c r="K10" s="33">
        <f t="shared" si="3"/>
        <v>6</v>
      </c>
      <c r="L10" s="37">
        <f t="shared" si="2"/>
        <v>2.9268292682926831E-2</v>
      </c>
    </row>
    <row r="11" spans="1:12" x14ac:dyDescent="0.25">
      <c r="A11" s="4">
        <v>7</v>
      </c>
      <c r="B11" s="38"/>
      <c r="C11" s="38" t="s">
        <v>2</v>
      </c>
      <c r="D11" s="38"/>
      <c r="E11" s="38" t="s">
        <v>2</v>
      </c>
      <c r="F11" s="38"/>
      <c r="G11" s="38"/>
      <c r="H11" s="38" t="s">
        <v>5</v>
      </c>
      <c r="J11" s="44" t="s">
        <v>17</v>
      </c>
      <c r="K11" s="11">
        <f>SUM(K5:K10)</f>
        <v>205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 t="s">
        <v>7</v>
      </c>
      <c r="D19" s="38"/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/>
      <c r="D20" s="38" t="s">
        <v>7</v>
      </c>
      <c r="E20" s="38" t="s">
        <v>7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6</v>
      </c>
      <c r="C21" s="38"/>
      <c r="D21" s="38"/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5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5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5</v>
      </c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2</v>
      </c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2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2</v>
      </c>
      <c r="C37" s="38"/>
      <c r="D37" s="38"/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5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 t="s">
        <v>2</v>
      </c>
      <c r="C39" s="38" t="s">
        <v>2</v>
      </c>
      <c r="D39" s="38"/>
      <c r="E39" s="38" t="s">
        <v>2</v>
      </c>
      <c r="F39" s="38" t="s">
        <v>2</v>
      </c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 t="s">
        <v>2</v>
      </c>
      <c r="D40" s="38" t="s">
        <v>2</v>
      </c>
      <c r="E40" s="38" t="s">
        <v>2</v>
      </c>
      <c r="F40" s="38" t="s">
        <v>2</v>
      </c>
      <c r="G40" s="38" t="s">
        <v>2</v>
      </c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 t="s">
        <v>2</v>
      </c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 t="s">
        <v>2</v>
      </c>
      <c r="E44" s="38"/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2</v>
      </c>
      <c r="F45" s="38"/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4</v>
      </c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 t="s">
        <v>2</v>
      </c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7</v>
      </c>
      <c r="G54" s="38"/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4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7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/>
      <c r="F58" s="38"/>
      <c r="G58" s="38" t="s">
        <v>4</v>
      </c>
      <c r="H58" s="38"/>
    </row>
    <row r="59" spans="1:8" x14ac:dyDescent="0.25">
      <c r="A59" s="4">
        <v>55</v>
      </c>
      <c r="B59" s="38" t="s">
        <v>6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4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/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/>
      <c r="C68" s="38"/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 t="s">
        <v>2</v>
      </c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 t="s">
        <v>2</v>
      </c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7</v>
      </c>
      <c r="G75" s="38"/>
      <c r="H75" s="38" t="s">
        <v>2</v>
      </c>
    </row>
    <row r="76" spans="1:8" x14ac:dyDescent="0.25">
      <c r="A76" s="18">
        <v>114</v>
      </c>
      <c r="B76" s="38" t="s">
        <v>5</v>
      </c>
      <c r="C76" s="38"/>
      <c r="D76" s="38"/>
      <c r="E76" s="38" t="s">
        <v>2</v>
      </c>
      <c r="F76" s="38"/>
      <c r="G76" s="38" t="s">
        <v>2</v>
      </c>
      <c r="H76" s="38"/>
    </row>
    <row r="77" spans="1:8" x14ac:dyDescent="0.25">
      <c r="A77" s="18">
        <v>115</v>
      </c>
      <c r="B77" s="38"/>
      <c r="C77" s="38" t="s">
        <v>2</v>
      </c>
      <c r="D77" s="38"/>
      <c r="E77" s="38" t="s">
        <v>2</v>
      </c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/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 t="s">
        <v>5</v>
      </c>
      <c r="C80" s="38"/>
      <c r="D80" s="38"/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 t="s">
        <v>2</v>
      </c>
      <c r="H88" s="38" t="s">
        <v>2</v>
      </c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 t="s">
        <v>2</v>
      </c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/>
      <c r="G91" s="38" t="s">
        <v>2</v>
      </c>
      <c r="H91" s="38" t="s">
        <v>2</v>
      </c>
    </row>
    <row r="92" spans="1:8" x14ac:dyDescent="0.25">
      <c r="A92" s="18">
        <v>130</v>
      </c>
      <c r="B92" s="38" t="s">
        <v>2</v>
      </c>
      <c r="C92" s="38"/>
      <c r="D92" s="38"/>
      <c r="E92" s="38" t="s">
        <v>5</v>
      </c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44" priority="18" operator="equal">
      <formula>"Energia"</formula>
    </cfRule>
    <cfRule type="cellIs" dxfId="343" priority="20" operator="equal">
      <formula>"Operação"</formula>
    </cfRule>
    <cfRule type="cellIs" dxfId="342" priority="21" operator="equal">
      <formula>"Chuva"</formula>
    </cfRule>
    <cfRule type="cellIs" dxfId="341" priority="22" operator="equal">
      <formula>"Elétrico"</formula>
    </cfRule>
    <cfRule type="cellIs" dxfId="340" priority="23" operator="equal">
      <formula>"Mecânico"</formula>
    </cfRule>
    <cfRule type="cellIs" dxfId="339" priority="24" operator="equal">
      <formula>"Ok"</formula>
    </cfRule>
  </conditionalFormatting>
  <conditionalFormatting sqref="B61:I62 I5:I60 B63:H95">
    <cfRule type="cellIs" dxfId="33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37" priority="16" operator="equal">
      <formula>"Energia"</formula>
    </cfRule>
  </conditionalFormatting>
  <conditionalFormatting sqref="B5:E60 G5:H60">
    <cfRule type="cellIs" dxfId="336" priority="9" operator="equal">
      <formula>"Energia"</formula>
    </cfRule>
    <cfRule type="cellIs" dxfId="335" priority="11" operator="equal">
      <formula>"Operação"</formula>
    </cfRule>
    <cfRule type="cellIs" dxfId="334" priority="12" operator="equal">
      <formula>"Chuva"</formula>
    </cfRule>
    <cfRule type="cellIs" dxfId="333" priority="13" operator="equal">
      <formula>"Elétrico"</formula>
    </cfRule>
    <cfRule type="cellIs" dxfId="332" priority="14" operator="equal">
      <formula>"Mecânico"</formula>
    </cfRule>
    <cfRule type="cellIs" dxfId="331" priority="15" operator="equal">
      <formula>"Ok"</formula>
    </cfRule>
  </conditionalFormatting>
  <conditionalFormatting sqref="B5:E60 G5:H60">
    <cfRule type="cellIs" dxfId="330" priority="10" operator="equal">
      <formula>"Feito"</formula>
    </cfRule>
  </conditionalFormatting>
  <conditionalFormatting sqref="F5:F11">
    <cfRule type="cellIs" dxfId="329" priority="8" operator="equal">
      <formula>"Energia"</formula>
    </cfRule>
  </conditionalFormatting>
  <conditionalFormatting sqref="F5:F60">
    <cfRule type="cellIs" dxfId="328" priority="1" operator="equal">
      <formula>"Energia"</formula>
    </cfRule>
    <cfRule type="cellIs" dxfId="327" priority="3" operator="equal">
      <formula>"Operação"</formula>
    </cfRule>
    <cfRule type="cellIs" dxfId="326" priority="4" operator="equal">
      <formula>"Chuva"</formula>
    </cfRule>
    <cfRule type="cellIs" dxfId="325" priority="5" operator="equal">
      <formula>"Elétrico"</formula>
    </cfRule>
    <cfRule type="cellIs" dxfId="324" priority="6" operator="equal">
      <formula>"Mecânico"</formula>
    </cfRule>
    <cfRule type="cellIs" dxfId="323" priority="7" operator="equal">
      <formula>"Ok"</formula>
    </cfRule>
  </conditionalFormatting>
  <conditionalFormatting sqref="F5:F60">
    <cfRule type="cellIs" dxfId="322" priority="2" operator="equal">
      <formula>"Feito"</formula>
    </cfRule>
  </conditionalFormatting>
  <dataValidations count="1">
    <dataValidation type="list" allowBlank="1" showInputMessage="1" showErrorMessage="1" sqref="B61:I62 B5:I26 B27:J60 B63:H95" xr:uid="{DF050632-4731-4C88-AFE5-9A7497E78D4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7927-C817-46C9-AAFD-05192E0B5BA8}">
  <dimension ref="A1:L95"/>
  <sheetViews>
    <sheetView zoomScale="110" zoomScaleNormal="110" workbookViewId="0">
      <pane ySplit="4" topLeftCell="A77" activePane="bottomLeft" state="frozen"/>
      <selection pane="bottomLeft" activeCell="D87" sqref="D87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44655</v>
      </c>
      <c r="C3" s="23">
        <f>B3+1</f>
        <v>44656</v>
      </c>
      <c r="D3" s="23">
        <f t="shared" ref="D3:H3" si="0">C3+1</f>
        <v>44657</v>
      </c>
      <c r="E3" s="23">
        <f t="shared" si="0"/>
        <v>44658</v>
      </c>
      <c r="F3" s="23">
        <f t="shared" si="0"/>
        <v>44659</v>
      </c>
      <c r="G3" s="23">
        <f t="shared" si="0"/>
        <v>44660</v>
      </c>
      <c r="H3" s="25">
        <f t="shared" si="0"/>
        <v>44661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2</v>
      </c>
      <c r="F5" s="38"/>
      <c r="G5" s="38" t="s">
        <v>2</v>
      </c>
      <c r="H5" s="38"/>
      <c r="J5" s="48" t="s">
        <v>2</v>
      </c>
      <c r="K5" s="33">
        <f>COUNTIF($B$5:$H$95,J5)</f>
        <v>209</v>
      </c>
      <c r="L5" s="34">
        <f t="shared" ref="L5:L10" si="2">K5/$K$11</f>
        <v>0.87447698744769875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17</v>
      </c>
      <c r="L6" s="35">
        <f t="shared" si="2"/>
        <v>7.1129707112970716E-2</v>
      </c>
    </row>
    <row r="7" spans="1:12" x14ac:dyDescent="0.25">
      <c r="A7" s="4">
        <v>3</v>
      </c>
      <c r="B7" s="38" t="s">
        <v>2</v>
      </c>
      <c r="C7" s="38"/>
      <c r="D7" s="38"/>
      <c r="E7" s="38" t="s">
        <v>2</v>
      </c>
      <c r="F7" s="38"/>
      <c r="G7" s="38"/>
      <c r="H7" s="38" t="s">
        <v>2</v>
      </c>
      <c r="J7" s="46" t="s">
        <v>6</v>
      </c>
      <c r="K7" s="33">
        <f t="shared" si="3"/>
        <v>7</v>
      </c>
      <c r="L7" s="35">
        <f t="shared" si="2"/>
        <v>2.9288702928870293E-2</v>
      </c>
    </row>
    <row r="8" spans="1:12" x14ac:dyDescent="0.25">
      <c r="A8" s="4">
        <v>4</v>
      </c>
      <c r="B8" s="38" t="s">
        <v>2</v>
      </c>
      <c r="C8" s="38"/>
      <c r="D8" s="38" t="s">
        <v>2</v>
      </c>
      <c r="E8" s="38"/>
      <c r="F8" s="38" t="s">
        <v>2</v>
      </c>
      <c r="G8" s="38"/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 t="s">
        <v>2</v>
      </c>
      <c r="D9" s="38" t="s">
        <v>2</v>
      </c>
      <c r="E9" s="38" t="s">
        <v>2</v>
      </c>
      <c r="F9" s="38" t="s">
        <v>2</v>
      </c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5</v>
      </c>
      <c r="C10" s="38" t="s">
        <v>5</v>
      </c>
      <c r="D10" s="38"/>
      <c r="E10" s="38" t="s">
        <v>2</v>
      </c>
      <c r="F10" s="38" t="s">
        <v>2</v>
      </c>
      <c r="G10" s="38" t="s">
        <v>2</v>
      </c>
      <c r="H10" s="38" t="s">
        <v>2</v>
      </c>
      <c r="J10" s="43" t="s">
        <v>7</v>
      </c>
      <c r="K10" s="33">
        <f t="shared" si="3"/>
        <v>6</v>
      </c>
      <c r="L10" s="37">
        <f t="shared" si="2"/>
        <v>2.5104602510460251E-2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239</v>
      </c>
    </row>
    <row r="12" spans="1:12" x14ac:dyDescent="0.25">
      <c r="A12" s="4">
        <v>8</v>
      </c>
      <c r="B12" s="38"/>
      <c r="C12" s="38"/>
      <c r="D12" s="38"/>
      <c r="E12" s="38" t="s">
        <v>2</v>
      </c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 t="s">
        <v>6</v>
      </c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7</v>
      </c>
      <c r="H20" s="38"/>
    </row>
    <row r="21" spans="1:8" x14ac:dyDescent="0.25">
      <c r="A21" s="4">
        <v>17</v>
      </c>
      <c r="B21" s="38" t="s">
        <v>2</v>
      </c>
      <c r="C21" s="38" t="s">
        <v>2</v>
      </c>
      <c r="D21" s="38" t="s">
        <v>2</v>
      </c>
      <c r="E21" s="38"/>
      <c r="F21" s="38" t="s">
        <v>2</v>
      </c>
      <c r="G21" s="38"/>
      <c r="H21" s="38" t="s">
        <v>6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5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 t="s">
        <v>6</v>
      </c>
      <c r="E25" s="38"/>
      <c r="F25" s="38" t="s">
        <v>6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5</v>
      </c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 t="s">
        <v>5</v>
      </c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5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5</v>
      </c>
      <c r="D32" s="38"/>
      <c r="E32" s="38" t="s">
        <v>2</v>
      </c>
      <c r="F32" s="38" t="s">
        <v>2</v>
      </c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/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 t="s">
        <v>5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/>
      <c r="F37" s="38"/>
      <c r="G37" s="38"/>
      <c r="H37" s="38" t="s">
        <v>2</v>
      </c>
    </row>
    <row r="38" spans="1:8" x14ac:dyDescent="0.25">
      <c r="A38" s="4">
        <v>34</v>
      </c>
      <c r="B38" s="38" t="s">
        <v>2</v>
      </c>
      <c r="C38" s="38"/>
      <c r="D38" s="38" t="s">
        <v>2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 t="s">
        <v>2</v>
      </c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/>
      <c r="D41" s="38" t="s">
        <v>2</v>
      </c>
      <c r="E41" s="38"/>
      <c r="F41" s="38" t="s">
        <v>2</v>
      </c>
      <c r="G41" s="38"/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2</v>
      </c>
      <c r="E49" s="38"/>
      <c r="F49" s="38" t="s">
        <v>2</v>
      </c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7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5</v>
      </c>
      <c r="H59" s="38"/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2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 t="s">
        <v>2</v>
      </c>
      <c r="E63" s="38"/>
      <c r="F63" s="38" t="s">
        <v>5</v>
      </c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/>
      <c r="C68" s="38" t="s">
        <v>2</v>
      </c>
      <c r="D68" s="38" t="s">
        <v>7</v>
      </c>
      <c r="E68" s="38"/>
      <c r="F68" s="38" t="s">
        <v>5</v>
      </c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/>
      <c r="F69" s="38" t="s">
        <v>5</v>
      </c>
      <c r="G69" s="38" t="s">
        <v>2</v>
      </c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/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7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 t="s">
        <v>7</v>
      </c>
      <c r="E87" s="38"/>
      <c r="F87" s="38" t="s">
        <v>2</v>
      </c>
      <c r="G87" s="38" t="s">
        <v>2</v>
      </c>
      <c r="H87" s="38" t="s">
        <v>2</v>
      </c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2</v>
      </c>
      <c r="E88" s="38"/>
      <c r="F88" s="38"/>
      <c r="G88" s="38" t="s">
        <v>5</v>
      </c>
      <c r="H88" s="38" t="s">
        <v>2</v>
      </c>
    </row>
    <row r="89" spans="1:8" x14ac:dyDescent="0.25">
      <c r="A89" s="18">
        <v>127</v>
      </c>
      <c r="B89" s="38"/>
      <c r="C89" s="38"/>
      <c r="D89" s="38" t="s">
        <v>7</v>
      </c>
      <c r="E89" s="38"/>
      <c r="F89" s="38" t="s">
        <v>2</v>
      </c>
      <c r="G89" s="38" t="s">
        <v>2</v>
      </c>
      <c r="H89" s="38" t="s">
        <v>2</v>
      </c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21" priority="18" operator="equal">
      <formula>"Energia"</formula>
    </cfRule>
    <cfRule type="cellIs" dxfId="320" priority="20" operator="equal">
      <formula>"Operação"</formula>
    </cfRule>
    <cfRule type="cellIs" dxfId="319" priority="21" operator="equal">
      <formula>"Chuva"</formula>
    </cfRule>
    <cfRule type="cellIs" dxfId="318" priority="22" operator="equal">
      <formula>"Elétrico"</formula>
    </cfRule>
    <cfRule type="cellIs" dxfId="317" priority="23" operator="equal">
      <formula>"Mecânico"</formula>
    </cfRule>
    <cfRule type="cellIs" dxfId="316" priority="24" operator="equal">
      <formula>"Ok"</formula>
    </cfRule>
  </conditionalFormatting>
  <conditionalFormatting sqref="B61:I62 I5:I60 B63:H95">
    <cfRule type="cellIs" dxfId="31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14" priority="16" operator="equal">
      <formula>"Energia"</formula>
    </cfRule>
  </conditionalFormatting>
  <conditionalFormatting sqref="B5:E60 G5:H60">
    <cfRule type="cellIs" dxfId="313" priority="9" operator="equal">
      <formula>"Energia"</formula>
    </cfRule>
    <cfRule type="cellIs" dxfId="312" priority="11" operator="equal">
      <formula>"Operação"</formula>
    </cfRule>
    <cfRule type="cellIs" dxfId="311" priority="12" operator="equal">
      <formula>"Chuva"</formula>
    </cfRule>
    <cfRule type="cellIs" dxfId="310" priority="13" operator="equal">
      <formula>"Elétrico"</formula>
    </cfRule>
    <cfRule type="cellIs" dxfId="309" priority="14" operator="equal">
      <formula>"Mecânico"</formula>
    </cfRule>
    <cfRule type="cellIs" dxfId="308" priority="15" operator="equal">
      <formula>"Ok"</formula>
    </cfRule>
  </conditionalFormatting>
  <conditionalFormatting sqref="B5:E60 G5:H60">
    <cfRule type="cellIs" dxfId="307" priority="10" operator="equal">
      <formula>"Feito"</formula>
    </cfRule>
  </conditionalFormatting>
  <conditionalFormatting sqref="F5:F11">
    <cfRule type="cellIs" dxfId="306" priority="8" operator="equal">
      <formula>"Energia"</formula>
    </cfRule>
  </conditionalFormatting>
  <conditionalFormatting sqref="F5:F60">
    <cfRule type="cellIs" dxfId="305" priority="1" operator="equal">
      <formula>"Energia"</formula>
    </cfRule>
    <cfRule type="cellIs" dxfId="304" priority="3" operator="equal">
      <formula>"Operação"</formula>
    </cfRule>
    <cfRule type="cellIs" dxfId="303" priority="4" operator="equal">
      <formula>"Chuva"</formula>
    </cfRule>
    <cfRule type="cellIs" dxfId="302" priority="5" operator="equal">
      <formula>"Elétrico"</formula>
    </cfRule>
    <cfRule type="cellIs" dxfId="301" priority="6" operator="equal">
      <formula>"Mecânico"</formula>
    </cfRule>
    <cfRule type="cellIs" dxfId="300" priority="7" operator="equal">
      <formula>"Ok"</formula>
    </cfRule>
  </conditionalFormatting>
  <conditionalFormatting sqref="F5:F60">
    <cfRule type="cellIs" dxfId="299" priority="2" operator="equal">
      <formula>"Feito"</formula>
    </cfRule>
  </conditionalFormatting>
  <dataValidations count="1">
    <dataValidation type="list" allowBlank="1" showInputMessage="1" showErrorMessage="1" sqref="B61:I62 B5:I26 B27:J60 B63:H95" xr:uid="{6C0D45C4-E89D-4525-8678-833780C5B5C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ABF-BED8-4172-BD4B-4487C5F1E0C5}">
  <dimension ref="A1:L95"/>
  <sheetViews>
    <sheetView zoomScale="110" zoomScaleNormal="110" workbookViewId="0">
      <pane ySplit="4" topLeftCell="A62" activePane="bottomLeft" state="frozen"/>
      <selection pane="bottomLeft" activeCell="H63" sqref="H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44662</v>
      </c>
      <c r="C3" s="23">
        <f>B3+1</f>
        <v>44663</v>
      </c>
      <c r="D3" s="23">
        <f t="shared" ref="D3:H3" si="0">C3+1</f>
        <v>44664</v>
      </c>
      <c r="E3" s="23">
        <f t="shared" si="0"/>
        <v>44665</v>
      </c>
      <c r="F3" s="23">
        <f t="shared" si="0"/>
        <v>44666</v>
      </c>
      <c r="G3" s="23">
        <f t="shared" si="0"/>
        <v>44667</v>
      </c>
      <c r="H3" s="25">
        <f t="shared" si="0"/>
        <v>44668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 t="s">
        <v>3</v>
      </c>
      <c r="E5" s="38"/>
      <c r="F5" s="38" t="s">
        <v>5</v>
      </c>
      <c r="G5" s="38"/>
      <c r="H5" s="38" t="s">
        <v>5</v>
      </c>
      <c r="J5" s="48" t="s">
        <v>2</v>
      </c>
      <c r="K5" s="33">
        <f>COUNTIF($B$5:$H$95,J5)</f>
        <v>205</v>
      </c>
      <c r="L5" s="34">
        <f t="shared" ref="L5:L10" si="2">K5/$K$11</f>
        <v>0.78244274809160308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3</v>
      </c>
      <c r="E6" s="38"/>
      <c r="F6" s="38" t="s">
        <v>2</v>
      </c>
      <c r="G6" s="38"/>
      <c r="H6" s="38" t="s">
        <v>6</v>
      </c>
      <c r="J6" s="42" t="s">
        <v>5</v>
      </c>
      <c r="K6" s="33">
        <f t="shared" ref="K6:K10" si="3">COUNTIF($B$5:$H$95,J6)</f>
        <v>25</v>
      </c>
      <c r="L6" s="35">
        <f t="shared" si="2"/>
        <v>9.5419847328244281E-2</v>
      </c>
    </row>
    <row r="7" spans="1:12" x14ac:dyDescent="0.25">
      <c r="A7" s="4">
        <v>3</v>
      </c>
      <c r="B7" s="38"/>
      <c r="C7" s="38"/>
      <c r="D7" s="38" t="s">
        <v>3</v>
      </c>
      <c r="E7" s="38"/>
      <c r="F7" s="38" t="s">
        <v>2</v>
      </c>
      <c r="G7" s="38" t="s">
        <v>2</v>
      </c>
      <c r="H7" s="38"/>
      <c r="J7" s="46" t="s">
        <v>6</v>
      </c>
      <c r="K7" s="33">
        <f t="shared" si="3"/>
        <v>19</v>
      </c>
      <c r="L7" s="35">
        <f t="shared" si="2"/>
        <v>7.2519083969465645E-2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3</v>
      </c>
      <c r="E9" s="38"/>
      <c r="F9" s="38" t="s">
        <v>2</v>
      </c>
      <c r="G9" s="38"/>
      <c r="H9" s="38" t="s">
        <v>6</v>
      </c>
      <c r="J9" s="45" t="s">
        <v>3</v>
      </c>
      <c r="K9" s="33">
        <f t="shared" si="3"/>
        <v>11</v>
      </c>
      <c r="L9" s="35">
        <f t="shared" si="2"/>
        <v>4.1984732824427481E-2</v>
      </c>
    </row>
    <row r="10" spans="1:12" x14ac:dyDescent="0.25">
      <c r="A10" s="4">
        <v>6</v>
      </c>
      <c r="B10" s="38" t="s">
        <v>2</v>
      </c>
      <c r="C10" s="38" t="s">
        <v>2</v>
      </c>
      <c r="D10" s="38" t="s">
        <v>2</v>
      </c>
      <c r="E10" s="38" t="s">
        <v>2</v>
      </c>
      <c r="F10" s="38" t="s">
        <v>2</v>
      </c>
      <c r="G10" s="38" t="s">
        <v>3</v>
      </c>
      <c r="H10" s="38" t="s">
        <v>6</v>
      </c>
      <c r="J10" s="43" t="s">
        <v>7</v>
      </c>
      <c r="K10" s="33">
        <f t="shared" si="3"/>
        <v>2</v>
      </c>
      <c r="L10" s="37">
        <f t="shared" si="2"/>
        <v>7.6335877862595417E-3</v>
      </c>
    </row>
    <row r="11" spans="1:12" x14ac:dyDescent="0.25">
      <c r="A11" s="4">
        <v>7</v>
      </c>
      <c r="B11" s="38"/>
      <c r="C11" s="38"/>
      <c r="D11" s="38" t="s">
        <v>3</v>
      </c>
      <c r="E11" s="38" t="s">
        <v>5</v>
      </c>
      <c r="F11" s="38"/>
      <c r="G11" s="38" t="s">
        <v>3</v>
      </c>
      <c r="H11" s="38" t="s">
        <v>2</v>
      </c>
      <c r="J11" s="44" t="s">
        <v>17</v>
      </c>
      <c r="K11" s="11">
        <f>SUM(K5:K10)</f>
        <v>262</v>
      </c>
    </row>
    <row r="12" spans="1:12" x14ac:dyDescent="0.25">
      <c r="A12" s="4">
        <v>8</v>
      </c>
      <c r="B12" s="38" t="s">
        <v>5</v>
      </c>
      <c r="C12" s="38"/>
      <c r="D12" s="38"/>
      <c r="E12" s="38"/>
      <c r="F12" s="38"/>
      <c r="G12" s="38" t="s">
        <v>3</v>
      </c>
      <c r="H12" s="38"/>
    </row>
    <row r="13" spans="1:12" x14ac:dyDescent="0.25">
      <c r="A13" s="4">
        <v>9</v>
      </c>
      <c r="B13" s="38" t="s">
        <v>5</v>
      </c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 t="s">
        <v>2</v>
      </c>
      <c r="H14" s="38" t="s">
        <v>6</v>
      </c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 t="s">
        <v>6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2</v>
      </c>
      <c r="F19" s="38"/>
      <c r="G19" s="38" t="s">
        <v>2</v>
      </c>
      <c r="H19" s="38"/>
    </row>
    <row r="20" spans="1:8" x14ac:dyDescent="0.25">
      <c r="A20" s="4">
        <v>16</v>
      </c>
      <c r="B20" s="38" t="s">
        <v>7</v>
      </c>
      <c r="C20" s="38"/>
      <c r="D20" s="38" t="s">
        <v>3</v>
      </c>
      <c r="E20" s="38"/>
      <c r="F20" s="38" t="s">
        <v>2</v>
      </c>
      <c r="G20" s="38"/>
      <c r="H20" s="38" t="s">
        <v>6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6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 t="s">
        <v>2</v>
      </c>
      <c r="E24" s="38"/>
      <c r="F24" s="38" t="s">
        <v>2</v>
      </c>
      <c r="G24" s="38"/>
      <c r="H24" s="38" t="s">
        <v>6</v>
      </c>
    </row>
    <row r="25" spans="1:8" x14ac:dyDescent="0.25">
      <c r="A25" s="4">
        <v>21</v>
      </c>
      <c r="B25" s="38"/>
      <c r="C25" s="38" t="s">
        <v>2</v>
      </c>
      <c r="D25" s="38"/>
      <c r="E25" s="38" t="s">
        <v>2</v>
      </c>
      <c r="F25" s="38"/>
      <c r="G25" s="38" t="s">
        <v>2</v>
      </c>
      <c r="H25" s="38"/>
    </row>
    <row r="26" spans="1:8" x14ac:dyDescent="0.25">
      <c r="A26" s="4">
        <v>22</v>
      </c>
      <c r="B26" s="38" t="s">
        <v>5</v>
      </c>
      <c r="C26" s="38"/>
      <c r="D26" s="38" t="s">
        <v>2</v>
      </c>
      <c r="E26" s="38"/>
      <c r="F26" s="38" t="s">
        <v>2</v>
      </c>
      <c r="G26" s="38"/>
      <c r="H26" s="38" t="s">
        <v>6</v>
      </c>
    </row>
    <row r="27" spans="1:8" x14ac:dyDescent="0.25">
      <c r="A27" s="4">
        <v>23</v>
      </c>
      <c r="B27" s="38"/>
      <c r="C27" s="38" t="s">
        <v>5</v>
      </c>
      <c r="D27" s="38"/>
      <c r="E27" s="38" t="s">
        <v>2</v>
      </c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5</v>
      </c>
      <c r="E28" s="38"/>
      <c r="F28" s="38" t="s">
        <v>2</v>
      </c>
      <c r="G28" s="38"/>
      <c r="H28" s="38" t="s">
        <v>6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5</v>
      </c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6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 t="s">
        <v>5</v>
      </c>
      <c r="G34" s="38" t="s">
        <v>5</v>
      </c>
      <c r="H34" s="38" t="s">
        <v>5</v>
      </c>
    </row>
    <row r="35" spans="1:8" x14ac:dyDescent="0.25">
      <c r="A35" s="4">
        <v>31</v>
      </c>
      <c r="B35" s="38" t="s">
        <v>2</v>
      </c>
      <c r="C35" s="38"/>
      <c r="D35" s="38" t="s">
        <v>5</v>
      </c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 t="s">
        <v>5</v>
      </c>
      <c r="F36" s="38"/>
      <c r="G36" s="38"/>
      <c r="H36" s="38" t="s">
        <v>6</v>
      </c>
    </row>
    <row r="37" spans="1:8" x14ac:dyDescent="0.25">
      <c r="A37" s="4">
        <v>33</v>
      </c>
      <c r="B37" s="38"/>
      <c r="C37" s="38" t="s">
        <v>5</v>
      </c>
      <c r="D37" s="38"/>
      <c r="E37" s="38" t="s">
        <v>5</v>
      </c>
      <c r="F37" s="38"/>
      <c r="G37" s="38"/>
      <c r="H37" s="38" t="s">
        <v>6</v>
      </c>
    </row>
    <row r="38" spans="1:8" x14ac:dyDescent="0.25">
      <c r="A38" s="4">
        <v>34</v>
      </c>
      <c r="B38" s="38" t="s">
        <v>2</v>
      </c>
      <c r="C38" s="38"/>
      <c r="D38" s="38" t="s">
        <v>5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/>
      <c r="F39" s="38" t="s">
        <v>2</v>
      </c>
      <c r="G39" s="38"/>
      <c r="H39" s="38"/>
    </row>
    <row r="40" spans="1:8" x14ac:dyDescent="0.25">
      <c r="A40" s="4">
        <v>36</v>
      </c>
      <c r="B40" s="38"/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 t="s">
        <v>2</v>
      </c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 t="s">
        <v>2</v>
      </c>
      <c r="C43" s="38"/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 t="s">
        <v>2</v>
      </c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 t="s">
        <v>2</v>
      </c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5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 t="s">
        <v>2</v>
      </c>
      <c r="F50" s="38" t="s">
        <v>2</v>
      </c>
      <c r="G50" s="38" t="s">
        <v>6</v>
      </c>
      <c r="H50" s="38" t="s">
        <v>6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 t="s">
        <v>3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3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/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/>
      <c r="D63" s="38" t="s">
        <v>2</v>
      </c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 t="s">
        <v>2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 t="s">
        <v>2</v>
      </c>
      <c r="F69" s="38"/>
      <c r="G69" s="38" t="s">
        <v>2</v>
      </c>
      <c r="H69" s="38" t="s">
        <v>2</v>
      </c>
    </row>
    <row r="70" spans="1:8" x14ac:dyDescent="0.25">
      <c r="A70" s="18">
        <v>108</v>
      </c>
      <c r="B70" s="38"/>
      <c r="C70" s="38" t="s">
        <v>2</v>
      </c>
      <c r="D70" s="38" t="s">
        <v>5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5</v>
      </c>
      <c r="E71" s="38" t="s">
        <v>2</v>
      </c>
      <c r="F71" s="38" t="s">
        <v>2</v>
      </c>
      <c r="G71" s="38"/>
      <c r="H71" s="38"/>
    </row>
    <row r="72" spans="1:8" x14ac:dyDescent="0.25">
      <c r="A72" s="18">
        <v>110</v>
      </c>
      <c r="B72" s="38"/>
      <c r="C72" s="38"/>
      <c r="D72" s="38" t="s">
        <v>2</v>
      </c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 t="s">
        <v>6</v>
      </c>
      <c r="D74" s="38" t="s">
        <v>6</v>
      </c>
      <c r="E74" s="38" t="s">
        <v>6</v>
      </c>
      <c r="F74" s="38"/>
      <c r="G74" s="38"/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 t="s">
        <v>2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 t="s">
        <v>2</v>
      </c>
      <c r="C87" s="38" t="s">
        <v>2</v>
      </c>
      <c r="D87" s="38"/>
      <c r="E87" s="38"/>
      <c r="F87" s="38"/>
      <c r="G87" s="38"/>
      <c r="H87" s="38"/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5</v>
      </c>
      <c r="E88" s="38" t="s">
        <v>2</v>
      </c>
      <c r="F88" s="38"/>
      <c r="G88" s="38"/>
      <c r="H88" s="38"/>
    </row>
    <row r="89" spans="1:8" x14ac:dyDescent="0.25">
      <c r="A89" s="18">
        <v>127</v>
      </c>
      <c r="B89" s="38" t="s">
        <v>2</v>
      </c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/>
      <c r="E90" s="38"/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 t="s">
        <v>2</v>
      </c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/>
      <c r="D92" s="38" t="s">
        <v>7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98" priority="18" operator="equal">
      <formula>"Energia"</formula>
    </cfRule>
    <cfRule type="cellIs" dxfId="297" priority="20" operator="equal">
      <formula>"Operação"</formula>
    </cfRule>
    <cfRule type="cellIs" dxfId="296" priority="21" operator="equal">
      <formula>"Chuva"</formula>
    </cfRule>
    <cfRule type="cellIs" dxfId="295" priority="22" operator="equal">
      <formula>"Elétrico"</formula>
    </cfRule>
    <cfRule type="cellIs" dxfId="294" priority="23" operator="equal">
      <formula>"Mecânico"</formula>
    </cfRule>
    <cfRule type="cellIs" dxfId="293" priority="24" operator="equal">
      <formula>"Ok"</formula>
    </cfRule>
  </conditionalFormatting>
  <conditionalFormatting sqref="B61:I62 I5:I60 B63:H95">
    <cfRule type="cellIs" dxfId="29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91" priority="16" operator="equal">
      <formula>"Energia"</formula>
    </cfRule>
  </conditionalFormatting>
  <conditionalFormatting sqref="B5:E60 G5:H60">
    <cfRule type="cellIs" dxfId="290" priority="9" operator="equal">
      <formula>"Energia"</formula>
    </cfRule>
    <cfRule type="cellIs" dxfId="289" priority="11" operator="equal">
      <formula>"Operação"</formula>
    </cfRule>
    <cfRule type="cellIs" dxfId="288" priority="12" operator="equal">
      <formula>"Chuva"</formula>
    </cfRule>
    <cfRule type="cellIs" dxfId="287" priority="13" operator="equal">
      <formula>"Elétrico"</formula>
    </cfRule>
    <cfRule type="cellIs" dxfId="286" priority="14" operator="equal">
      <formula>"Mecânico"</formula>
    </cfRule>
    <cfRule type="cellIs" dxfId="285" priority="15" operator="equal">
      <formula>"Ok"</formula>
    </cfRule>
  </conditionalFormatting>
  <conditionalFormatting sqref="B5:E60 G5:H60">
    <cfRule type="cellIs" dxfId="284" priority="10" operator="equal">
      <formula>"Feito"</formula>
    </cfRule>
  </conditionalFormatting>
  <conditionalFormatting sqref="F5:F11">
    <cfRule type="cellIs" dxfId="283" priority="8" operator="equal">
      <formula>"Energia"</formula>
    </cfRule>
  </conditionalFormatting>
  <conditionalFormatting sqref="F5:F60">
    <cfRule type="cellIs" dxfId="282" priority="1" operator="equal">
      <formula>"Energia"</formula>
    </cfRule>
    <cfRule type="cellIs" dxfId="281" priority="3" operator="equal">
      <formula>"Operação"</formula>
    </cfRule>
    <cfRule type="cellIs" dxfId="280" priority="4" operator="equal">
      <formula>"Chuva"</formula>
    </cfRule>
    <cfRule type="cellIs" dxfId="279" priority="5" operator="equal">
      <formula>"Elétrico"</formula>
    </cfRule>
    <cfRule type="cellIs" dxfId="278" priority="6" operator="equal">
      <formula>"Mecânico"</formula>
    </cfRule>
    <cfRule type="cellIs" dxfId="277" priority="7" operator="equal">
      <formula>"Ok"</formula>
    </cfRule>
  </conditionalFormatting>
  <conditionalFormatting sqref="F5:F60">
    <cfRule type="cellIs" dxfId="276" priority="2" operator="equal">
      <formula>"Feito"</formula>
    </cfRule>
  </conditionalFormatting>
  <dataValidations count="1">
    <dataValidation type="list" allowBlank="1" showInputMessage="1" showErrorMessage="1" sqref="B61:I62 B5:I26 B27:J60 B63:H95" xr:uid="{1CF93FF4-3292-4DD4-91D7-7D58D6FD471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D6FD-B097-44D8-8DB3-34264EF15FDE}">
  <dimension ref="A1:L95"/>
  <sheetViews>
    <sheetView zoomScale="110" zoomScaleNormal="110" workbookViewId="0">
      <pane ySplit="4" topLeftCell="A25" activePane="bottomLeft" state="frozen"/>
      <selection pane="bottomLeft" activeCell="G63" sqref="G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44669</v>
      </c>
      <c r="C3" s="23">
        <f>B3+1</f>
        <v>44670</v>
      </c>
      <c r="D3" s="23">
        <f t="shared" ref="D3:H3" si="0">C3+1</f>
        <v>44671</v>
      </c>
      <c r="E3" s="23">
        <f t="shared" si="0"/>
        <v>44672</v>
      </c>
      <c r="F3" s="23">
        <f t="shared" si="0"/>
        <v>44673</v>
      </c>
      <c r="G3" s="23">
        <f t="shared" si="0"/>
        <v>44674</v>
      </c>
      <c r="H3" s="25">
        <f t="shared" si="0"/>
        <v>44675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5</v>
      </c>
      <c r="D5" s="38" t="s">
        <v>2</v>
      </c>
      <c r="E5" s="38"/>
      <c r="F5" s="38" t="s">
        <v>2</v>
      </c>
      <c r="G5" s="38"/>
      <c r="H5" s="38" t="s">
        <v>2</v>
      </c>
      <c r="J5" s="48" t="s">
        <v>2</v>
      </c>
      <c r="K5" s="33">
        <f>COUNTIF($B$5:$H$95,J5)</f>
        <v>178</v>
      </c>
      <c r="L5" s="34">
        <f t="shared" ref="L5:L10" si="2">K5/$K$11</f>
        <v>0.84360189573459721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26</v>
      </c>
      <c r="L6" s="35">
        <f t="shared" si="2"/>
        <v>0.12322274881516587</v>
      </c>
    </row>
    <row r="7" spans="1:12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5</v>
      </c>
      <c r="L7" s="35">
        <f t="shared" si="2"/>
        <v>2.3696682464454975E-2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7</v>
      </c>
      <c r="G9" s="38" t="s">
        <v>6</v>
      </c>
      <c r="H9" s="38" t="s">
        <v>6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 s="33">
        <f t="shared" si="3"/>
        <v>2</v>
      </c>
      <c r="L10" s="37">
        <f t="shared" si="2"/>
        <v>9.4786729857819912E-3</v>
      </c>
    </row>
    <row r="11" spans="1:12" x14ac:dyDescent="0.25">
      <c r="A11" s="4">
        <v>7</v>
      </c>
      <c r="B11" s="38" t="s">
        <v>2</v>
      </c>
      <c r="C11" s="38" t="s">
        <v>5</v>
      </c>
      <c r="D11" s="38" t="s">
        <v>5</v>
      </c>
      <c r="E11" s="38" t="s">
        <v>2</v>
      </c>
      <c r="F11" s="38" t="s">
        <v>5</v>
      </c>
      <c r="G11" s="38" t="s">
        <v>2</v>
      </c>
      <c r="H11" s="38" t="s">
        <v>2</v>
      </c>
      <c r="J11" s="44" t="s">
        <v>17</v>
      </c>
      <c r="K11" s="11">
        <f>SUM(K5:K10)</f>
        <v>211</v>
      </c>
    </row>
    <row r="12" spans="1:12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5</v>
      </c>
      <c r="H12" s="38" t="s">
        <v>2</v>
      </c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 t="s">
        <v>5</v>
      </c>
      <c r="G14" s="38" t="s">
        <v>5</v>
      </c>
      <c r="H14" s="38" t="s">
        <v>5</v>
      </c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 t="s">
        <v>2</v>
      </c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5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5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2</v>
      </c>
      <c r="C25" s="38"/>
      <c r="D25" s="38" t="s">
        <v>2</v>
      </c>
      <c r="E25" s="38"/>
      <c r="F25" s="38" t="s">
        <v>2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2</v>
      </c>
      <c r="G27" s="38"/>
      <c r="H27" s="38" t="s">
        <v>5</v>
      </c>
    </row>
    <row r="28" spans="1:8" x14ac:dyDescent="0.25">
      <c r="A28" s="4">
        <v>24</v>
      </c>
      <c r="B28" s="38"/>
      <c r="C28" s="38" t="s">
        <v>2</v>
      </c>
      <c r="D28" s="38"/>
      <c r="E28" s="38" t="s">
        <v>5</v>
      </c>
      <c r="F28" s="38" t="s">
        <v>5</v>
      </c>
      <c r="G28" s="38" t="s">
        <v>5</v>
      </c>
      <c r="H28" s="38"/>
    </row>
    <row r="29" spans="1:8" x14ac:dyDescent="0.25">
      <c r="A29" s="4">
        <v>25</v>
      </c>
      <c r="B29" s="38" t="s">
        <v>2</v>
      </c>
      <c r="C29" s="38" t="s">
        <v>5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 t="s">
        <v>5</v>
      </c>
      <c r="F30" s="38"/>
      <c r="G30" s="38" t="s">
        <v>2</v>
      </c>
      <c r="H30" s="38"/>
    </row>
    <row r="31" spans="1:8" x14ac:dyDescent="0.25">
      <c r="A31" s="4">
        <v>27</v>
      </c>
      <c r="B31" s="38" t="s">
        <v>2</v>
      </c>
      <c r="C31" s="38"/>
      <c r="D31" s="38" t="s">
        <v>5</v>
      </c>
      <c r="E31" s="38"/>
      <c r="F31" s="38" t="s">
        <v>2</v>
      </c>
      <c r="G31" s="38"/>
      <c r="H31" s="38" t="s">
        <v>2</v>
      </c>
    </row>
    <row r="32" spans="1:8" x14ac:dyDescent="0.25">
      <c r="A32" s="4">
        <v>28</v>
      </c>
      <c r="B32" s="38" t="s">
        <v>5</v>
      </c>
      <c r="C32" s="38"/>
      <c r="D32" s="38" t="s">
        <v>2</v>
      </c>
      <c r="E32" s="38"/>
      <c r="F32" s="38" t="s">
        <v>2</v>
      </c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5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5</v>
      </c>
      <c r="C34" s="38"/>
      <c r="D34" s="38" t="s">
        <v>2</v>
      </c>
      <c r="E34" s="38"/>
      <c r="F34" s="38" t="s">
        <v>5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5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 t="s">
        <v>2</v>
      </c>
      <c r="F37" s="38"/>
      <c r="G37" s="38" t="s">
        <v>2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2</v>
      </c>
      <c r="E38" s="38"/>
      <c r="F38" s="38" t="s">
        <v>2</v>
      </c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/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/>
      <c r="F40" s="38" t="s">
        <v>2</v>
      </c>
      <c r="G40" s="38"/>
      <c r="H40" s="38"/>
    </row>
    <row r="41" spans="1:8" x14ac:dyDescent="0.25">
      <c r="A41" s="4">
        <v>37</v>
      </c>
      <c r="B41" s="38"/>
      <c r="C41" s="38"/>
      <c r="D41" s="38" t="s">
        <v>2</v>
      </c>
      <c r="E41" s="38"/>
      <c r="F41" s="38"/>
      <c r="G41" s="38" t="s">
        <v>2</v>
      </c>
      <c r="H41" s="38"/>
    </row>
    <row r="42" spans="1:8" x14ac:dyDescent="0.25">
      <c r="A42" s="4">
        <v>38</v>
      </c>
      <c r="B42" s="38"/>
      <c r="C42" s="38" t="s">
        <v>2</v>
      </c>
      <c r="D42" s="38"/>
      <c r="E42" s="38" t="s">
        <v>2</v>
      </c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 t="s">
        <v>5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6</v>
      </c>
      <c r="D45" s="38"/>
      <c r="E45" s="38" t="s">
        <v>6</v>
      </c>
      <c r="F45" s="38"/>
      <c r="G45" s="38" t="s">
        <v>5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7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2</v>
      </c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/>
      <c r="H65" s="38"/>
    </row>
    <row r="66" spans="1:8" x14ac:dyDescent="0.25">
      <c r="A66" s="18">
        <v>104</v>
      </c>
      <c r="B66" s="38" t="s">
        <v>2</v>
      </c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/>
      <c r="E68" s="38"/>
      <c r="F68" s="38"/>
      <c r="G68" s="38"/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/>
      <c r="G69" s="38"/>
      <c r="H69" s="38"/>
    </row>
    <row r="70" spans="1:8" x14ac:dyDescent="0.25">
      <c r="A70" s="18">
        <v>108</v>
      </c>
      <c r="B70" s="38" t="s">
        <v>2</v>
      </c>
      <c r="C70" s="38" t="s">
        <v>2</v>
      </c>
      <c r="D70" s="38"/>
      <c r="E70" s="38"/>
      <c r="F70" s="38"/>
      <c r="G70" s="38"/>
      <c r="H70" s="38"/>
    </row>
    <row r="71" spans="1:8" x14ac:dyDescent="0.25">
      <c r="A71" s="18">
        <v>109</v>
      </c>
      <c r="B71" s="38" t="s">
        <v>2</v>
      </c>
      <c r="C71" s="38" t="s">
        <v>2</v>
      </c>
      <c r="D71" s="38"/>
      <c r="E71" s="38"/>
      <c r="F71" s="38"/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/>
      <c r="F75" s="38"/>
      <c r="G75" s="38"/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75" priority="18" operator="equal">
      <formula>"Energia"</formula>
    </cfRule>
    <cfRule type="cellIs" dxfId="274" priority="20" operator="equal">
      <formula>"Operação"</formula>
    </cfRule>
    <cfRule type="cellIs" dxfId="273" priority="21" operator="equal">
      <formula>"Chuva"</formula>
    </cfRule>
    <cfRule type="cellIs" dxfId="272" priority="22" operator="equal">
      <formula>"Elétrico"</formula>
    </cfRule>
    <cfRule type="cellIs" dxfId="271" priority="23" operator="equal">
      <formula>"Mecânico"</formula>
    </cfRule>
    <cfRule type="cellIs" dxfId="270" priority="24" operator="equal">
      <formula>"Ok"</formula>
    </cfRule>
  </conditionalFormatting>
  <conditionalFormatting sqref="B61:I62 I5:I60 B63:H95">
    <cfRule type="cellIs" dxfId="26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68" priority="16" operator="equal">
      <formula>"Energia"</formula>
    </cfRule>
  </conditionalFormatting>
  <conditionalFormatting sqref="B5:E60 G5:H60">
    <cfRule type="cellIs" dxfId="267" priority="9" operator="equal">
      <formula>"Energia"</formula>
    </cfRule>
    <cfRule type="cellIs" dxfId="266" priority="11" operator="equal">
      <formula>"Operação"</formula>
    </cfRule>
    <cfRule type="cellIs" dxfId="265" priority="12" operator="equal">
      <formula>"Chuva"</formula>
    </cfRule>
    <cfRule type="cellIs" dxfId="264" priority="13" operator="equal">
      <formula>"Elétrico"</formula>
    </cfRule>
    <cfRule type="cellIs" dxfId="263" priority="14" operator="equal">
      <formula>"Mecânico"</formula>
    </cfRule>
    <cfRule type="cellIs" dxfId="262" priority="15" operator="equal">
      <formula>"Ok"</formula>
    </cfRule>
  </conditionalFormatting>
  <conditionalFormatting sqref="B5:E60 G5:H60">
    <cfRule type="cellIs" dxfId="261" priority="10" operator="equal">
      <formula>"Feito"</formula>
    </cfRule>
  </conditionalFormatting>
  <conditionalFormatting sqref="F5:F11">
    <cfRule type="cellIs" dxfId="260" priority="8" operator="equal">
      <formula>"Energia"</formula>
    </cfRule>
  </conditionalFormatting>
  <conditionalFormatting sqref="F5:F60">
    <cfRule type="cellIs" dxfId="259" priority="1" operator="equal">
      <formula>"Energia"</formula>
    </cfRule>
    <cfRule type="cellIs" dxfId="258" priority="3" operator="equal">
      <formula>"Operação"</formula>
    </cfRule>
    <cfRule type="cellIs" dxfId="257" priority="4" operator="equal">
      <formula>"Chuva"</formula>
    </cfRule>
    <cfRule type="cellIs" dxfId="256" priority="5" operator="equal">
      <formula>"Elétrico"</formula>
    </cfRule>
    <cfRule type="cellIs" dxfId="255" priority="6" operator="equal">
      <formula>"Mecânico"</formula>
    </cfRule>
    <cfRule type="cellIs" dxfId="254" priority="7" operator="equal">
      <formula>"Ok"</formula>
    </cfRule>
  </conditionalFormatting>
  <conditionalFormatting sqref="F5:F60">
    <cfRule type="cellIs" dxfId="253" priority="2" operator="equal">
      <formula>"Feito"</formula>
    </cfRule>
  </conditionalFormatting>
  <dataValidations count="1">
    <dataValidation type="list" allowBlank="1" showInputMessage="1" showErrorMessage="1" sqref="B61:I62 B5:I26 B27:J60 B63:H95" xr:uid="{B5D290BB-FBAB-4B02-8CB4-B0277AE5698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DA78-45A4-416E-B309-9E5EC4675019}">
  <dimension ref="A1:L95"/>
  <sheetViews>
    <sheetView topLeftCell="G1" zoomScale="130" zoomScaleNormal="130" workbookViewId="0">
      <pane ySplit="4" topLeftCell="A5" activePane="bottomLeft" state="frozen"/>
      <selection pane="bottomLeft" activeCell="K12" sqref="K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22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44676</v>
      </c>
      <c r="C3" s="23">
        <f>B3+1</f>
        <v>44677</v>
      </c>
      <c r="D3" s="23">
        <f t="shared" ref="D3:H3" si="0">C3+1</f>
        <v>44678</v>
      </c>
      <c r="E3" s="23">
        <f t="shared" si="0"/>
        <v>44679</v>
      </c>
      <c r="F3" s="23">
        <f t="shared" si="0"/>
        <v>44680</v>
      </c>
      <c r="G3" s="23">
        <f t="shared" si="0"/>
        <v>44681</v>
      </c>
      <c r="H3" s="25">
        <f t="shared" si="0"/>
        <v>44682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6</v>
      </c>
      <c r="F5" s="38" t="s">
        <v>6</v>
      </c>
      <c r="G5" s="38" t="s">
        <v>2</v>
      </c>
      <c r="H5" s="38"/>
      <c r="J5" s="48" t="s">
        <v>2</v>
      </c>
      <c r="K5">
        <f>COUNTIF($B$5:$H$95,J5)</f>
        <v>227</v>
      </c>
      <c r="L5" s="34">
        <f t="shared" ref="L5:L10" si="2">K5/$K$11</f>
        <v>0.82846715328467158</v>
      </c>
    </row>
    <row r="6" spans="1:12" x14ac:dyDescent="0.25">
      <c r="A6" s="4">
        <v>2</v>
      </c>
      <c r="B6" s="38"/>
      <c r="C6" s="38" t="s">
        <v>2</v>
      </c>
      <c r="D6" s="38"/>
      <c r="E6" s="38" t="s">
        <v>5</v>
      </c>
      <c r="F6" s="38"/>
      <c r="G6" s="38" t="s">
        <v>5</v>
      </c>
      <c r="H6" s="38"/>
      <c r="J6" s="42" t="s">
        <v>5</v>
      </c>
      <c r="K6">
        <f>COUNTIF($B$5:$H$95,J6)</f>
        <v>30</v>
      </c>
      <c r="L6" s="35">
        <f t="shared" si="2"/>
        <v>0.10948905109489052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9</v>
      </c>
      <c r="L7" s="35">
        <f t="shared" si="2"/>
        <v>3.2846715328467155E-2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 t="s">
        <v>2</v>
      </c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8</v>
      </c>
      <c r="L10" s="37">
        <f t="shared" si="2"/>
        <v>2.9197080291970802E-2</v>
      </c>
    </row>
    <row r="11" spans="1:12" x14ac:dyDescent="0.25">
      <c r="A11" s="4">
        <v>7</v>
      </c>
      <c r="B11" s="38" t="s">
        <v>2</v>
      </c>
      <c r="C11" s="38" t="s">
        <v>2</v>
      </c>
      <c r="D11" s="38" t="s">
        <v>2</v>
      </c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274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 t="s">
        <v>2</v>
      </c>
      <c r="H13" s="38"/>
    </row>
    <row r="14" spans="1:12" x14ac:dyDescent="0.25">
      <c r="A14" s="4">
        <v>10</v>
      </c>
      <c r="B14" s="38"/>
      <c r="C14" s="38" t="s">
        <v>5</v>
      </c>
      <c r="D14" s="38" t="s">
        <v>5</v>
      </c>
      <c r="E14" s="38" t="s">
        <v>5</v>
      </c>
      <c r="F14" s="38" t="s">
        <v>5</v>
      </c>
      <c r="G14" s="38"/>
      <c r="H14" s="38"/>
    </row>
    <row r="15" spans="1:12" x14ac:dyDescent="0.25">
      <c r="A15" s="4">
        <v>11</v>
      </c>
      <c r="B15" s="38" t="s">
        <v>5</v>
      </c>
      <c r="C15" s="38"/>
      <c r="D15" s="38"/>
      <c r="E15" s="38"/>
      <c r="F15" s="38" t="s">
        <v>2</v>
      </c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5</v>
      </c>
      <c r="F19" s="38" t="s">
        <v>5</v>
      </c>
      <c r="G19" s="38"/>
      <c r="H19" s="38"/>
    </row>
    <row r="20" spans="1:8" x14ac:dyDescent="0.25">
      <c r="A20" s="4">
        <v>16</v>
      </c>
      <c r="B20" s="38"/>
      <c r="C20" s="38"/>
      <c r="D20" s="38" t="s">
        <v>5</v>
      </c>
      <c r="E20" s="38"/>
      <c r="F20" s="38" t="s">
        <v>2</v>
      </c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 t="s">
        <v>6</v>
      </c>
      <c r="D25" s="38"/>
      <c r="E25" s="38"/>
      <c r="F25" s="38" t="s">
        <v>7</v>
      </c>
      <c r="G25" s="38"/>
      <c r="H25" s="38" t="s">
        <v>6</v>
      </c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5</v>
      </c>
      <c r="D27" s="38" t="s">
        <v>5</v>
      </c>
      <c r="E27" s="38" t="s">
        <v>5</v>
      </c>
      <c r="F27" s="38"/>
      <c r="G27" s="38" t="s">
        <v>6</v>
      </c>
      <c r="H27" s="38" t="s">
        <v>5</v>
      </c>
    </row>
    <row r="28" spans="1:8" x14ac:dyDescent="0.25">
      <c r="A28" s="4">
        <v>24</v>
      </c>
      <c r="B28" s="38"/>
      <c r="C28" s="38"/>
      <c r="D28" s="38" t="s">
        <v>5</v>
      </c>
      <c r="E28" s="38" t="s">
        <v>5</v>
      </c>
      <c r="F28" s="38"/>
      <c r="G28" s="38" t="s">
        <v>6</v>
      </c>
      <c r="H28" s="38" t="s">
        <v>5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2</v>
      </c>
      <c r="F29" s="38" t="s">
        <v>2</v>
      </c>
      <c r="G29" s="38" t="s">
        <v>2</v>
      </c>
      <c r="H29" s="38" t="s">
        <v>5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7</v>
      </c>
    </row>
    <row r="32" spans="1:8" x14ac:dyDescent="0.25">
      <c r="A32" s="4">
        <v>28</v>
      </c>
      <c r="B32" s="38"/>
      <c r="C32" s="38" t="s">
        <v>2</v>
      </c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2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5</v>
      </c>
      <c r="G36" s="38"/>
      <c r="H36" s="38" t="s">
        <v>7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5</v>
      </c>
      <c r="G37" s="38"/>
      <c r="H37" s="38" t="s">
        <v>7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6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 t="s">
        <v>7</v>
      </c>
      <c r="G39" s="38"/>
      <c r="H39" s="38" t="s">
        <v>2</v>
      </c>
    </row>
    <row r="40" spans="1:8" x14ac:dyDescent="0.25">
      <c r="A40" s="4">
        <v>36</v>
      </c>
      <c r="B40" s="38" t="s">
        <v>5</v>
      </c>
      <c r="C40" s="38" t="s">
        <v>2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6</v>
      </c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7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/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5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7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2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5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 t="s">
        <v>2</v>
      </c>
      <c r="D63" s="38" t="s">
        <v>2</v>
      </c>
      <c r="E63" s="38" t="s">
        <v>2</v>
      </c>
      <c r="F63" s="38" t="s">
        <v>2</v>
      </c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 t="s">
        <v>2</v>
      </c>
      <c r="D65" s="38"/>
      <c r="E65" s="38" t="s">
        <v>2</v>
      </c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 t="s">
        <v>5</v>
      </c>
      <c r="C66" s="38" t="s">
        <v>5</v>
      </c>
      <c r="D66" s="38" t="s">
        <v>5</v>
      </c>
      <c r="E66" s="38" t="s">
        <v>5</v>
      </c>
      <c r="F66" s="38" t="s">
        <v>5</v>
      </c>
      <c r="G66" s="38" t="s">
        <v>5</v>
      </c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 t="s">
        <v>2</v>
      </c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/>
      <c r="G71" s="38" t="s">
        <v>2</v>
      </c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 t="s">
        <v>2</v>
      </c>
      <c r="F74" s="38"/>
      <c r="G74" s="38" t="s">
        <v>2</v>
      </c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2</v>
      </c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 t="s">
        <v>2</v>
      </c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 t="s">
        <v>2</v>
      </c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 t="s">
        <v>2</v>
      </c>
      <c r="F90" s="38"/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 t="s">
        <v>2</v>
      </c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2</v>
      </c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52" priority="18" operator="equal">
      <formula>"Energia"</formula>
    </cfRule>
    <cfRule type="cellIs" dxfId="251" priority="20" operator="equal">
      <formula>"Operação"</formula>
    </cfRule>
    <cfRule type="cellIs" dxfId="250" priority="21" operator="equal">
      <formula>"Chuva"</formula>
    </cfRule>
    <cfRule type="cellIs" dxfId="249" priority="22" operator="equal">
      <formula>"Elétrico"</formula>
    </cfRule>
    <cfRule type="cellIs" dxfId="248" priority="23" operator="equal">
      <formula>"Mecânico"</formula>
    </cfRule>
    <cfRule type="cellIs" dxfId="247" priority="24" operator="equal">
      <formula>"Ok"</formula>
    </cfRule>
  </conditionalFormatting>
  <conditionalFormatting sqref="B61:I62 I5:I60 B63:H95">
    <cfRule type="cellIs" dxfId="24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45" priority="16" operator="equal">
      <formula>"Energia"</formula>
    </cfRule>
  </conditionalFormatting>
  <conditionalFormatting sqref="B5:E60 G5:H60">
    <cfRule type="cellIs" dxfId="244" priority="9" operator="equal">
      <formula>"Energia"</formula>
    </cfRule>
    <cfRule type="cellIs" dxfId="243" priority="11" operator="equal">
      <formula>"Operação"</formula>
    </cfRule>
    <cfRule type="cellIs" dxfId="242" priority="12" operator="equal">
      <formula>"Chuva"</formula>
    </cfRule>
    <cfRule type="cellIs" dxfId="241" priority="13" operator="equal">
      <formula>"Elétrico"</formula>
    </cfRule>
    <cfRule type="cellIs" dxfId="240" priority="14" operator="equal">
      <formula>"Mecânico"</formula>
    </cfRule>
    <cfRule type="cellIs" dxfId="239" priority="15" operator="equal">
      <formula>"Ok"</formula>
    </cfRule>
  </conditionalFormatting>
  <conditionalFormatting sqref="B5:E60 G5:H60">
    <cfRule type="cellIs" dxfId="238" priority="10" operator="equal">
      <formula>"Feito"</formula>
    </cfRule>
  </conditionalFormatting>
  <conditionalFormatting sqref="F5:F11">
    <cfRule type="cellIs" dxfId="237" priority="8" operator="equal">
      <formula>"Energia"</formula>
    </cfRule>
  </conditionalFormatting>
  <conditionalFormatting sqref="F5:F60">
    <cfRule type="cellIs" dxfId="236" priority="1" operator="equal">
      <formula>"Energia"</formula>
    </cfRule>
    <cfRule type="cellIs" dxfId="235" priority="3" operator="equal">
      <formula>"Operação"</formula>
    </cfRule>
    <cfRule type="cellIs" dxfId="234" priority="4" operator="equal">
      <formula>"Chuva"</formula>
    </cfRule>
    <cfRule type="cellIs" dxfId="233" priority="5" operator="equal">
      <formula>"Elétrico"</formula>
    </cfRule>
    <cfRule type="cellIs" dxfId="232" priority="6" operator="equal">
      <formula>"Mecânico"</formula>
    </cfRule>
    <cfRule type="cellIs" dxfId="231" priority="7" operator="equal">
      <formula>"Ok"</formula>
    </cfRule>
  </conditionalFormatting>
  <conditionalFormatting sqref="F5:F60">
    <cfRule type="cellIs" dxfId="230" priority="2" operator="equal">
      <formula>"Feito"</formula>
    </cfRule>
  </conditionalFormatting>
  <dataValidations count="1">
    <dataValidation type="list" allowBlank="1" showInputMessage="1" showErrorMessage="1" sqref="B61:I62 B5:I26 B27:J60 B63:H95" xr:uid="{5194D348-D118-48E4-8C1B-D2F0EB2488E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153E-91C5-41C8-90C6-8C01BE1E0E63}">
  <dimension ref="A1:L95"/>
  <sheetViews>
    <sheetView zoomScale="130" zoomScaleNormal="130" workbookViewId="0">
      <pane ySplit="4" topLeftCell="A29" activePane="bottomLeft" state="frozen"/>
      <selection pane="bottomLeft" activeCell="H34" sqref="H3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23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44683</v>
      </c>
      <c r="C3" s="23">
        <f>B3+1</f>
        <v>44684</v>
      </c>
      <c r="D3" s="23">
        <f t="shared" ref="D3:H3" si="0">C3+1</f>
        <v>44685</v>
      </c>
      <c r="E3" s="23">
        <f t="shared" si="0"/>
        <v>44686</v>
      </c>
      <c r="F3" s="23">
        <f t="shared" si="0"/>
        <v>44687</v>
      </c>
      <c r="G3" s="23">
        <f t="shared" si="0"/>
        <v>44688</v>
      </c>
      <c r="H3" s="25">
        <f t="shared" si="0"/>
        <v>44689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 t="s">
        <v>7</v>
      </c>
      <c r="E5" s="38"/>
      <c r="F5" s="38" t="s">
        <v>5</v>
      </c>
      <c r="G5" s="38"/>
      <c r="H5" s="38" t="s">
        <v>2</v>
      </c>
      <c r="J5" s="48" t="s">
        <v>2</v>
      </c>
      <c r="K5">
        <f>COUNTIF($B$5:$H$95,J5)</f>
        <v>215</v>
      </c>
      <c r="L5" s="34">
        <f t="shared" ref="L5:L10" si="2">K5/$K$11</f>
        <v>0.85317460317460314</v>
      </c>
    </row>
    <row r="6" spans="1:12" x14ac:dyDescent="0.25">
      <c r="A6" s="4">
        <v>2</v>
      </c>
      <c r="B6" s="38" t="s">
        <v>7</v>
      </c>
      <c r="C6" s="38"/>
      <c r="D6" s="38" t="s">
        <v>7</v>
      </c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17</v>
      </c>
      <c r="L6" s="35">
        <f t="shared" si="2"/>
        <v>6.7460317460317457E-2</v>
      </c>
    </row>
    <row r="7" spans="1:12" x14ac:dyDescent="0.25">
      <c r="A7" s="4">
        <v>3</v>
      </c>
      <c r="B7" s="38" t="s">
        <v>7</v>
      </c>
      <c r="C7" s="38" t="s">
        <v>2</v>
      </c>
      <c r="D7" s="38" t="s">
        <v>7</v>
      </c>
      <c r="E7" s="38"/>
      <c r="F7" s="38" t="s">
        <v>5</v>
      </c>
      <c r="G7" s="38"/>
      <c r="H7" s="38"/>
      <c r="J7" s="46" t="s">
        <v>6</v>
      </c>
      <c r="K7">
        <f t="shared" ref="K7:K10" si="3">COUNTIF($B$5:$H$95,J7)</f>
        <v>3</v>
      </c>
      <c r="L7" s="35">
        <f t="shared" si="2"/>
        <v>1.1904761904761904E-2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5</v>
      </c>
      <c r="H10" s="38"/>
      <c r="J10" s="43" t="s">
        <v>7</v>
      </c>
      <c r="K10">
        <f t="shared" si="3"/>
        <v>17</v>
      </c>
      <c r="L10" s="37">
        <f t="shared" si="2"/>
        <v>6.7460317460317457E-2</v>
      </c>
    </row>
    <row r="11" spans="1:12" x14ac:dyDescent="0.25">
      <c r="A11" s="4">
        <v>7</v>
      </c>
      <c r="B11" s="38" t="s">
        <v>2</v>
      </c>
      <c r="C11" s="38" t="s">
        <v>2</v>
      </c>
      <c r="D11" s="38" t="s">
        <v>2</v>
      </c>
      <c r="E11" s="38"/>
      <c r="F11" s="38" t="s">
        <v>5</v>
      </c>
      <c r="G11" s="38"/>
      <c r="H11" s="38" t="s">
        <v>2</v>
      </c>
      <c r="J11" s="44" t="s">
        <v>17</v>
      </c>
      <c r="K11">
        <f>SUM(K5:K10)</f>
        <v>252</v>
      </c>
    </row>
    <row r="12" spans="1:12" x14ac:dyDescent="0.25">
      <c r="A12" s="4">
        <v>8</v>
      </c>
      <c r="B12" s="38"/>
      <c r="C12" s="38" t="s">
        <v>2</v>
      </c>
      <c r="D12" s="38"/>
      <c r="E12" s="38" t="s">
        <v>2</v>
      </c>
      <c r="F12" s="38"/>
      <c r="G12" s="38" t="s">
        <v>2</v>
      </c>
      <c r="H12" s="38"/>
    </row>
    <row r="13" spans="1:12" x14ac:dyDescent="0.25">
      <c r="A13" s="4">
        <v>9</v>
      </c>
      <c r="B13" s="38" t="s">
        <v>7</v>
      </c>
      <c r="C13" s="38" t="s">
        <v>2</v>
      </c>
      <c r="D13" s="38" t="s">
        <v>2</v>
      </c>
      <c r="E13" s="38"/>
      <c r="F13" s="38" t="s">
        <v>2</v>
      </c>
      <c r="G13" s="38" t="s">
        <v>2</v>
      </c>
      <c r="H13" s="38" t="s">
        <v>2</v>
      </c>
    </row>
    <row r="14" spans="1:12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 t="s">
        <v>2</v>
      </c>
    </row>
    <row r="15" spans="1:12" x14ac:dyDescent="0.25">
      <c r="A15" s="4">
        <v>11</v>
      </c>
      <c r="B15" s="38"/>
      <c r="C15" s="38"/>
      <c r="D15" s="38" t="s">
        <v>2</v>
      </c>
      <c r="E15" s="38"/>
      <c r="F15" s="38"/>
      <c r="G15" s="38"/>
      <c r="H15" s="38"/>
    </row>
    <row r="16" spans="1:12" x14ac:dyDescent="0.25">
      <c r="A16" s="4">
        <v>12</v>
      </c>
      <c r="B16" s="38" t="s">
        <v>2</v>
      </c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 t="s">
        <v>2</v>
      </c>
    </row>
    <row r="18" spans="1:8" x14ac:dyDescent="0.25">
      <c r="A18" s="4">
        <v>14</v>
      </c>
      <c r="B18" s="38" t="s">
        <v>5</v>
      </c>
      <c r="C18" s="38" t="s">
        <v>5</v>
      </c>
      <c r="D18" s="38" t="s">
        <v>5</v>
      </c>
      <c r="E18" s="38" t="s">
        <v>2</v>
      </c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/>
      <c r="C25" s="38" t="s">
        <v>2</v>
      </c>
      <c r="D25" s="38"/>
      <c r="E25" s="38" t="s">
        <v>6</v>
      </c>
      <c r="F25" s="38"/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 t="s">
        <v>5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 t="s">
        <v>5</v>
      </c>
      <c r="C28" s="38"/>
      <c r="D28" s="38"/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/>
      <c r="E29" s="38" t="s">
        <v>2</v>
      </c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 t="s">
        <v>2</v>
      </c>
      <c r="E31" s="38"/>
      <c r="F31" s="38" t="s">
        <v>2</v>
      </c>
      <c r="G31" s="38"/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7</v>
      </c>
      <c r="F34" s="38"/>
      <c r="G34" s="38"/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7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5</v>
      </c>
      <c r="C36" s="38"/>
      <c r="D36" s="38" t="s">
        <v>2</v>
      </c>
      <c r="E36" s="38"/>
      <c r="F36" s="38" t="s">
        <v>7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7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7</v>
      </c>
      <c r="D38" s="38"/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7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5</v>
      </c>
      <c r="D41" s="38"/>
      <c r="E41" s="38" t="s">
        <v>2</v>
      </c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/>
      <c r="D47" s="38"/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5</v>
      </c>
      <c r="G49" s="38" t="s">
        <v>5</v>
      </c>
      <c r="H49" s="38"/>
    </row>
    <row r="50" spans="1:8" x14ac:dyDescent="0.25">
      <c r="A50" s="4">
        <v>46</v>
      </c>
      <c r="B50" s="38" t="s">
        <v>2</v>
      </c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 t="s">
        <v>6</v>
      </c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7</v>
      </c>
      <c r="D54" s="38" t="s">
        <v>7</v>
      </c>
      <c r="E54" s="38" t="s">
        <v>7</v>
      </c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/>
      <c r="D55" s="38"/>
      <c r="E55" s="38" t="s">
        <v>2</v>
      </c>
      <c r="F55" s="38"/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 t="s">
        <v>2</v>
      </c>
      <c r="F61" s="38" t="s">
        <v>2</v>
      </c>
      <c r="G61" s="38" t="s">
        <v>2</v>
      </c>
      <c r="H61" s="38" t="s">
        <v>2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 t="s">
        <v>2</v>
      </c>
      <c r="F65" s="38"/>
      <c r="G65" s="38" t="s">
        <v>5</v>
      </c>
      <c r="H65" s="38" t="s">
        <v>5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 t="s">
        <v>2</v>
      </c>
      <c r="E67" s="38" t="s">
        <v>2</v>
      </c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 t="s">
        <v>2</v>
      </c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/>
      <c r="D75" s="38" t="s">
        <v>2</v>
      </c>
      <c r="E75" s="38" t="s">
        <v>2</v>
      </c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29" priority="18" operator="equal">
      <formula>"Energia"</formula>
    </cfRule>
    <cfRule type="cellIs" dxfId="228" priority="20" operator="equal">
      <formula>"Operação"</formula>
    </cfRule>
    <cfRule type="cellIs" dxfId="227" priority="21" operator="equal">
      <formula>"Chuva"</formula>
    </cfRule>
    <cfRule type="cellIs" dxfId="226" priority="22" operator="equal">
      <formula>"Elétrico"</formula>
    </cfRule>
    <cfRule type="cellIs" dxfId="225" priority="23" operator="equal">
      <formula>"Mecânico"</formula>
    </cfRule>
    <cfRule type="cellIs" dxfId="224" priority="24" operator="equal">
      <formula>"Ok"</formula>
    </cfRule>
  </conditionalFormatting>
  <conditionalFormatting sqref="B61:I62 I5:I60 B63:H95">
    <cfRule type="cellIs" dxfId="223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22" priority="16" operator="equal">
      <formula>"Energia"</formula>
    </cfRule>
  </conditionalFormatting>
  <conditionalFormatting sqref="B5:E60 G5:H60">
    <cfRule type="cellIs" dxfId="221" priority="9" operator="equal">
      <formula>"Energia"</formula>
    </cfRule>
    <cfRule type="cellIs" dxfId="220" priority="11" operator="equal">
      <formula>"Operação"</formula>
    </cfRule>
    <cfRule type="cellIs" dxfId="219" priority="12" operator="equal">
      <formula>"Chuva"</formula>
    </cfRule>
    <cfRule type="cellIs" dxfId="218" priority="13" operator="equal">
      <formula>"Elétrico"</formula>
    </cfRule>
    <cfRule type="cellIs" dxfId="217" priority="14" operator="equal">
      <formula>"Mecânico"</formula>
    </cfRule>
    <cfRule type="cellIs" dxfId="216" priority="15" operator="equal">
      <formula>"Ok"</formula>
    </cfRule>
  </conditionalFormatting>
  <conditionalFormatting sqref="B5:E60 G5:H60">
    <cfRule type="cellIs" dxfId="215" priority="10" operator="equal">
      <formula>"Feito"</formula>
    </cfRule>
  </conditionalFormatting>
  <conditionalFormatting sqref="F5:F11">
    <cfRule type="cellIs" dxfId="214" priority="8" operator="equal">
      <formula>"Energia"</formula>
    </cfRule>
  </conditionalFormatting>
  <conditionalFormatting sqref="F5:F60">
    <cfRule type="cellIs" dxfId="213" priority="1" operator="equal">
      <formula>"Energia"</formula>
    </cfRule>
    <cfRule type="cellIs" dxfId="212" priority="3" operator="equal">
      <formula>"Operação"</formula>
    </cfRule>
    <cfRule type="cellIs" dxfId="211" priority="4" operator="equal">
      <formula>"Chuva"</formula>
    </cfRule>
    <cfRule type="cellIs" dxfId="210" priority="5" operator="equal">
      <formula>"Elétrico"</formula>
    </cfRule>
    <cfRule type="cellIs" dxfId="209" priority="6" operator="equal">
      <formula>"Mecânico"</formula>
    </cfRule>
    <cfRule type="cellIs" dxfId="208" priority="7" operator="equal">
      <formula>"Ok"</formula>
    </cfRule>
  </conditionalFormatting>
  <conditionalFormatting sqref="F5:F60">
    <cfRule type="cellIs" dxfId="207" priority="2" operator="equal">
      <formula>"Feito"</formula>
    </cfRule>
  </conditionalFormatting>
  <dataValidations count="1">
    <dataValidation type="list" allowBlank="1" showInputMessage="1" showErrorMessage="1" sqref="B61:I62 B5:I26 B27:J60 B63:H95" xr:uid="{76EDEA77-54BD-4BE1-9DB8-B22CB00666F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5CAB-6923-4CF3-9F32-11EF48D7FD5C}">
  <dimension ref="A1:L95"/>
  <sheetViews>
    <sheetView zoomScale="115" zoomScaleNormal="115" workbookViewId="0">
      <pane ySplit="4" topLeftCell="A5" activePane="bottomLeft" state="frozen"/>
      <selection pane="bottomLeft" activeCell="I34" sqref="I3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24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44690</v>
      </c>
      <c r="C3" s="23">
        <f>B3+1</f>
        <v>44691</v>
      </c>
      <c r="D3" s="23">
        <f t="shared" ref="D3:H3" si="0">C3+1</f>
        <v>44692</v>
      </c>
      <c r="E3" s="23">
        <f t="shared" si="0"/>
        <v>44693</v>
      </c>
      <c r="F3" s="23">
        <f t="shared" si="0"/>
        <v>44694</v>
      </c>
      <c r="G3" s="23">
        <f t="shared" si="0"/>
        <v>44695</v>
      </c>
      <c r="H3" s="25">
        <f t="shared" si="0"/>
        <v>44696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7</v>
      </c>
      <c r="D5" s="38"/>
      <c r="E5" s="38"/>
      <c r="F5" s="38" t="s">
        <v>5</v>
      </c>
      <c r="G5" s="38"/>
      <c r="H5" s="38"/>
      <c r="J5" s="48" t="s">
        <v>2</v>
      </c>
      <c r="K5">
        <f>COUNTIF($B$5:$H$95,J5)</f>
        <v>227</v>
      </c>
      <c r="L5" s="34">
        <f t="shared" ref="L5:L10" si="2">K5/$K$11</f>
        <v>0.91532258064516125</v>
      </c>
    </row>
    <row r="6" spans="1:12" x14ac:dyDescent="0.25">
      <c r="A6" s="4">
        <v>2</v>
      </c>
      <c r="B6" s="38"/>
      <c r="C6" s="38" t="s">
        <v>7</v>
      </c>
      <c r="D6" s="38"/>
      <c r="E6" s="38" t="s">
        <v>5</v>
      </c>
      <c r="F6" s="38"/>
      <c r="G6" s="38" t="s">
        <v>2</v>
      </c>
      <c r="H6" s="38"/>
      <c r="J6" s="42" t="s">
        <v>5</v>
      </c>
      <c r="K6">
        <f>COUNTIF($B$5:$H$95,J6)</f>
        <v>7</v>
      </c>
      <c r="L6" s="35">
        <f t="shared" si="2"/>
        <v>2.8225806451612902E-2</v>
      </c>
    </row>
    <row r="7" spans="1:12" x14ac:dyDescent="0.25">
      <c r="A7" s="4">
        <v>3</v>
      </c>
      <c r="B7" s="38"/>
      <c r="C7" s="38" t="s">
        <v>7</v>
      </c>
      <c r="D7" s="38"/>
      <c r="E7" s="38"/>
      <c r="F7" s="38" t="s">
        <v>5</v>
      </c>
      <c r="G7" s="38" t="s">
        <v>2</v>
      </c>
      <c r="H7" s="38"/>
      <c r="J7" s="46" t="s">
        <v>6</v>
      </c>
      <c r="K7">
        <f t="shared" ref="K7:K10" si="3">COUNTIF($B$5:$H$95,J7)</f>
        <v>3</v>
      </c>
      <c r="L7" s="35">
        <f t="shared" si="2"/>
        <v>1.2096774193548387E-2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2</v>
      </c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11</v>
      </c>
      <c r="L10" s="37">
        <f t="shared" si="2"/>
        <v>4.4354838709677422E-2</v>
      </c>
    </row>
    <row r="11" spans="1:12" x14ac:dyDescent="0.25">
      <c r="A11" s="4">
        <v>7</v>
      </c>
      <c r="B11" s="38"/>
      <c r="C11" s="38"/>
      <c r="D11" s="38" t="s">
        <v>2</v>
      </c>
      <c r="E11" s="38" t="s">
        <v>2</v>
      </c>
      <c r="F11" s="38" t="s">
        <v>2</v>
      </c>
      <c r="G11" s="38"/>
      <c r="H11" s="38" t="s">
        <v>2</v>
      </c>
      <c r="J11" s="44" t="s">
        <v>17</v>
      </c>
      <c r="K11">
        <f>SUM(K5:K10)</f>
        <v>248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/>
      <c r="G12" s="38" t="s">
        <v>2</v>
      </c>
      <c r="H12" s="38"/>
    </row>
    <row r="13" spans="1:12" x14ac:dyDescent="0.25">
      <c r="A13" s="4">
        <v>9</v>
      </c>
      <c r="B13" s="38" t="s">
        <v>2</v>
      </c>
      <c r="C13" s="38"/>
      <c r="D13" s="38" t="s">
        <v>2</v>
      </c>
      <c r="E13" s="38"/>
      <c r="F13" s="38" t="s">
        <v>2</v>
      </c>
      <c r="G13" s="38"/>
      <c r="H13" s="38" t="s">
        <v>2</v>
      </c>
    </row>
    <row r="14" spans="1:12" x14ac:dyDescent="0.25">
      <c r="A14" s="4">
        <v>10</v>
      </c>
      <c r="B14" s="38" t="s">
        <v>2</v>
      </c>
      <c r="C14" s="38" t="s">
        <v>2</v>
      </c>
      <c r="D14" s="38" t="s">
        <v>2</v>
      </c>
      <c r="E14" s="38" t="s">
        <v>2</v>
      </c>
      <c r="F14" s="38" t="s">
        <v>2</v>
      </c>
      <c r="G14" s="38" t="s">
        <v>2</v>
      </c>
      <c r="H14" s="38" t="s">
        <v>2</v>
      </c>
    </row>
    <row r="15" spans="1:12" x14ac:dyDescent="0.25">
      <c r="A15" s="4">
        <v>11</v>
      </c>
      <c r="B15" s="38"/>
      <c r="C15" s="38"/>
      <c r="D15" s="38"/>
      <c r="E15" s="38" t="s">
        <v>2</v>
      </c>
      <c r="F15" s="38" t="s">
        <v>2</v>
      </c>
      <c r="G15" s="38" t="s">
        <v>2</v>
      </c>
      <c r="H15" s="38" t="s">
        <v>2</v>
      </c>
    </row>
    <row r="16" spans="1:12" x14ac:dyDescent="0.25">
      <c r="A16" s="4">
        <v>12</v>
      </c>
      <c r="B16" s="38"/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 t="s">
        <v>2</v>
      </c>
      <c r="H17" s="38"/>
    </row>
    <row r="18" spans="1:8" x14ac:dyDescent="0.25">
      <c r="A18" s="4">
        <v>14</v>
      </c>
      <c r="B18" s="38"/>
      <c r="C18" s="38" t="s">
        <v>2</v>
      </c>
      <c r="D18" s="38"/>
      <c r="E18" s="38" t="s">
        <v>2</v>
      </c>
      <c r="F18" s="38" t="s">
        <v>2</v>
      </c>
      <c r="G18" s="38" t="s">
        <v>2</v>
      </c>
      <c r="H18" s="38"/>
    </row>
    <row r="19" spans="1:8" x14ac:dyDescent="0.25">
      <c r="A19" s="4">
        <v>15</v>
      </c>
      <c r="B19" s="38"/>
      <c r="C19" s="38" t="s">
        <v>2</v>
      </c>
      <c r="D19" s="38"/>
      <c r="E19" s="38"/>
      <c r="F19" s="38" t="s">
        <v>2</v>
      </c>
      <c r="G19" s="38"/>
      <c r="H19" s="38"/>
    </row>
    <row r="20" spans="1:8" x14ac:dyDescent="0.25">
      <c r="A20" s="4">
        <v>16</v>
      </c>
      <c r="B20" s="38" t="s">
        <v>7</v>
      </c>
      <c r="C20" s="38"/>
      <c r="D20" s="38"/>
      <c r="E20" s="38" t="s">
        <v>2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/>
      <c r="F23" s="38" t="s">
        <v>2</v>
      </c>
      <c r="G23" s="38"/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/>
      <c r="F28" s="38" t="s">
        <v>2</v>
      </c>
      <c r="G28" s="38"/>
      <c r="H28" s="38"/>
    </row>
    <row r="29" spans="1:8" x14ac:dyDescent="0.25">
      <c r="A29" s="4">
        <v>25</v>
      </c>
      <c r="B29" s="38"/>
      <c r="C29" s="38" t="s">
        <v>2</v>
      </c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5</v>
      </c>
      <c r="F34" s="38" t="s">
        <v>5</v>
      </c>
      <c r="G34" s="38" t="s">
        <v>5</v>
      </c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 t="s">
        <v>7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/>
      <c r="C37" s="38" t="s">
        <v>7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 t="s">
        <v>2</v>
      </c>
      <c r="C38" s="38"/>
      <c r="D38" s="38"/>
      <c r="E38" s="38" t="s">
        <v>2</v>
      </c>
      <c r="F38" s="38"/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 t="s">
        <v>7</v>
      </c>
      <c r="C45" s="38"/>
      <c r="D45" s="38" t="s">
        <v>2</v>
      </c>
      <c r="E45" s="38"/>
      <c r="F45" s="38"/>
      <c r="G45" s="38" t="s">
        <v>2</v>
      </c>
      <c r="H45" s="38" t="s">
        <v>2</v>
      </c>
    </row>
    <row r="46" spans="1:8" x14ac:dyDescent="0.25">
      <c r="A46" s="4">
        <v>42</v>
      </c>
      <c r="B46" s="38"/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 t="s">
        <v>2</v>
      </c>
      <c r="F52" s="38"/>
      <c r="G52" s="38"/>
      <c r="H52" s="38" t="s">
        <v>2</v>
      </c>
    </row>
    <row r="53" spans="1:8" x14ac:dyDescent="0.25">
      <c r="A53" s="4">
        <v>49</v>
      </c>
      <c r="B53" s="38"/>
      <c r="C53" s="38"/>
      <c r="D53" s="38"/>
      <c r="E53" s="38"/>
      <c r="F53" s="38" t="s">
        <v>2</v>
      </c>
      <c r="G53" s="38"/>
      <c r="H53" s="38"/>
    </row>
    <row r="54" spans="1:8" x14ac:dyDescent="0.25">
      <c r="A54" s="4">
        <v>50</v>
      </c>
      <c r="B54" s="38"/>
      <c r="C54" s="38"/>
      <c r="D54" s="38" t="s">
        <v>6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7</v>
      </c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/>
      <c r="C62" s="38" t="s">
        <v>2</v>
      </c>
      <c r="D62" s="38"/>
      <c r="E62" s="38" t="s">
        <v>2</v>
      </c>
      <c r="F62" s="38" t="s">
        <v>2</v>
      </c>
      <c r="G62" s="38" t="s">
        <v>2</v>
      </c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 t="s">
        <v>2</v>
      </c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06" priority="18" operator="equal">
      <formula>"Energia"</formula>
    </cfRule>
    <cfRule type="cellIs" dxfId="205" priority="20" operator="equal">
      <formula>"Operação"</formula>
    </cfRule>
    <cfRule type="cellIs" dxfId="204" priority="21" operator="equal">
      <formula>"Chuva"</formula>
    </cfRule>
    <cfRule type="cellIs" dxfId="203" priority="22" operator="equal">
      <formula>"Elétrico"</formula>
    </cfRule>
    <cfRule type="cellIs" dxfId="202" priority="23" operator="equal">
      <formula>"Mecânico"</formula>
    </cfRule>
    <cfRule type="cellIs" dxfId="201" priority="24" operator="equal">
      <formula>"Ok"</formula>
    </cfRule>
  </conditionalFormatting>
  <conditionalFormatting sqref="B61:I62 I5:I60 B63:H95">
    <cfRule type="cellIs" dxfId="200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99" priority="16" operator="equal">
      <formula>"Energia"</formula>
    </cfRule>
  </conditionalFormatting>
  <conditionalFormatting sqref="B5:E60 G5:H60">
    <cfRule type="cellIs" dxfId="198" priority="9" operator="equal">
      <formula>"Energia"</formula>
    </cfRule>
    <cfRule type="cellIs" dxfId="197" priority="11" operator="equal">
      <formula>"Operação"</formula>
    </cfRule>
    <cfRule type="cellIs" dxfId="196" priority="12" operator="equal">
      <formula>"Chuva"</formula>
    </cfRule>
    <cfRule type="cellIs" dxfId="195" priority="13" operator="equal">
      <formula>"Elétrico"</formula>
    </cfRule>
    <cfRule type="cellIs" dxfId="194" priority="14" operator="equal">
      <formula>"Mecânico"</formula>
    </cfRule>
    <cfRule type="cellIs" dxfId="193" priority="15" operator="equal">
      <formula>"Ok"</formula>
    </cfRule>
  </conditionalFormatting>
  <conditionalFormatting sqref="B5:E60 G5:H60">
    <cfRule type="cellIs" dxfId="192" priority="10" operator="equal">
      <formula>"Feito"</formula>
    </cfRule>
  </conditionalFormatting>
  <conditionalFormatting sqref="F5:F11">
    <cfRule type="cellIs" dxfId="191" priority="8" operator="equal">
      <formula>"Energia"</formula>
    </cfRule>
  </conditionalFormatting>
  <conditionalFormatting sqref="F5:F60">
    <cfRule type="cellIs" dxfId="190" priority="1" operator="equal">
      <formula>"Energia"</formula>
    </cfRule>
    <cfRule type="cellIs" dxfId="189" priority="3" operator="equal">
      <formula>"Operação"</formula>
    </cfRule>
    <cfRule type="cellIs" dxfId="188" priority="4" operator="equal">
      <formula>"Chuva"</formula>
    </cfRule>
    <cfRule type="cellIs" dxfId="187" priority="5" operator="equal">
      <formula>"Elétrico"</formula>
    </cfRule>
    <cfRule type="cellIs" dxfId="186" priority="6" operator="equal">
      <formula>"Mecânico"</formula>
    </cfRule>
    <cfRule type="cellIs" dxfId="185" priority="7" operator="equal">
      <formula>"Ok"</formula>
    </cfRule>
  </conditionalFormatting>
  <conditionalFormatting sqref="F5:F60">
    <cfRule type="cellIs" dxfId="184" priority="2" operator="equal">
      <formula>"Feito"</formula>
    </cfRule>
  </conditionalFormatting>
  <dataValidations count="1">
    <dataValidation type="list" allowBlank="1" showInputMessage="1" showErrorMessage="1" sqref="B61:I62 B5:I26 B27:J60 B63:H95" xr:uid="{094840D5-7491-488A-9386-AE9B7E9EAA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BABA-7D29-4AFF-8A8A-D55AD8BC959B}">
  <dimension ref="A1:L95"/>
  <sheetViews>
    <sheetView zoomScale="115" zoomScaleNormal="115" workbookViewId="0">
      <pane ySplit="4" topLeftCell="A83" activePane="bottomLeft" state="frozen"/>
      <selection pane="bottomLeft" activeCell="H95" sqref="H9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44697</v>
      </c>
      <c r="C3" s="23">
        <f>B3+1</f>
        <v>44698</v>
      </c>
      <c r="D3" s="23">
        <f t="shared" ref="D3:H3" si="0">C3+1</f>
        <v>44699</v>
      </c>
      <c r="E3" s="23">
        <f t="shared" si="0"/>
        <v>44700</v>
      </c>
      <c r="F3" s="23">
        <f t="shared" si="0"/>
        <v>44701</v>
      </c>
      <c r="G3" s="23">
        <f t="shared" si="0"/>
        <v>44702</v>
      </c>
      <c r="H3" s="25">
        <f t="shared" si="0"/>
        <v>44703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>
        <f>COUNTIF($B$5:$H$95,J5)</f>
        <v>199</v>
      </c>
      <c r="L5" s="34">
        <f t="shared" ref="L5:L10" si="2">K5/$K$11</f>
        <v>0.88444444444444448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/>
      <c r="J6" s="42" t="s">
        <v>5</v>
      </c>
      <c r="K6">
        <f>COUNTIF($B$5:$H$95,J6)</f>
        <v>7</v>
      </c>
      <c r="L6" s="35">
        <f t="shared" si="2"/>
        <v>3.111111111111111E-2</v>
      </c>
    </row>
    <row r="7" spans="1:12" x14ac:dyDescent="0.25">
      <c r="A7" s="4">
        <v>3</v>
      </c>
      <c r="B7" s="38"/>
      <c r="C7" s="38" t="s">
        <v>2</v>
      </c>
      <c r="D7" s="38"/>
      <c r="E7" s="38"/>
      <c r="F7" s="38" t="s">
        <v>2</v>
      </c>
      <c r="G7" s="38"/>
      <c r="H7" s="38" t="s">
        <v>2</v>
      </c>
      <c r="J7" s="46" t="s">
        <v>6</v>
      </c>
      <c r="K7">
        <f t="shared" ref="K7:K10" si="3">COUNTIF($B$5:$H$95,J7)</f>
        <v>8</v>
      </c>
      <c r="L7" s="35">
        <f t="shared" si="2"/>
        <v>3.5555555555555556E-2</v>
      </c>
    </row>
    <row r="8" spans="1:12" x14ac:dyDescent="0.25">
      <c r="A8" s="4">
        <v>4</v>
      </c>
      <c r="B8" s="38" t="s">
        <v>2</v>
      </c>
      <c r="C8" s="38" t="s">
        <v>2</v>
      </c>
      <c r="D8" s="38"/>
      <c r="E8" s="38" t="s">
        <v>2</v>
      </c>
      <c r="F8" s="38" t="s">
        <v>2</v>
      </c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 t="s">
        <v>2</v>
      </c>
      <c r="D9" s="38" t="s">
        <v>7</v>
      </c>
      <c r="E9" s="38" t="s">
        <v>7</v>
      </c>
      <c r="F9" s="38" t="s">
        <v>7</v>
      </c>
      <c r="G9" s="38" t="s">
        <v>7</v>
      </c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/>
      <c r="F10" s="38" t="s">
        <v>2</v>
      </c>
      <c r="G10" s="38"/>
      <c r="H10" s="38"/>
      <c r="J10" s="43" t="s">
        <v>7</v>
      </c>
      <c r="K10">
        <f t="shared" si="3"/>
        <v>11</v>
      </c>
      <c r="L10" s="37">
        <f t="shared" si="2"/>
        <v>4.8888888888888891E-2</v>
      </c>
    </row>
    <row r="11" spans="1:12" x14ac:dyDescent="0.25">
      <c r="A11" s="4">
        <v>7</v>
      </c>
      <c r="B11" s="38"/>
      <c r="C11" s="38"/>
      <c r="D11" s="38" t="s">
        <v>2</v>
      </c>
      <c r="E11" s="38"/>
      <c r="F11" s="38"/>
      <c r="G11" s="38" t="s">
        <v>2</v>
      </c>
      <c r="H11" s="38"/>
      <c r="J11" s="44" t="s">
        <v>17</v>
      </c>
      <c r="K11">
        <f>SUM(K5:K10)</f>
        <v>225</v>
      </c>
    </row>
    <row r="12" spans="1:12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 t="s">
        <v>2</v>
      </c>
      <c r="C13" s="38" t="s">
        <v>2</v>
      </c>
      <c r="D13" s="38"/>
      <c r="E13" s="38"/>
      <c r="F13" s="38" t="s">
        <v>2</v>
      </c>
      <c r="G13" s="38"/>
      <c r="H13" s="38"/>
    </row>
    <row r="14" spans="1:12" x14ac:dyDescent="0.25">
      <c r="A14" s="4">
        <v>10</v>
      </c>
      <c r="B14" s="38" t="s">
        <v>2</v>
      </c>
      <c r="C14" s="38"/>
      <c r="D14" s="38" t="s">
        <v>2</v>
      </c>
      <c r="E14" s="38"/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 t="s">
        <v>2</v>
      </c>
      <c r="C15" s="38" t="s">
        <v>2</v>
      </c>
      <c r="D15" s="38" t="s">
        <v>2</v>
      </c>
      <c r="E15" s="38" t="s">
        <v>2</v>
      </c>
      <c r="F15" s="38" t="s">
        <v>2</v>
      </c>
      <c r="G15" s="38" t="s">
        <v>2</v>
      </c>
      <c r="H15" s="38"/>
    </row>
    <row r="16" spans="1:12" x14ac:dyDescent="0.25">
      <c r="A16" s="4">
        <v>12</v>
      </c>
      <c r="B16" s="38" t="s">
        <v>5</v>
      </c>
      <c r="C16" s="38"/>
      <c r="D16" s="38" t="s">
        <v>2</v>
      </c>
      <c r="E16" s="38" t="s">
        <v>2</v>
      </c>
      <c r="F16" s="38" t="s">
        <v>2</v>
      </c>
      <c r="G16" s="38" t="s">
        <v>5</v>
      </c>
      <c r="H16" s="38" t="s">
        <v>5</v>
      </c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 t="s">
        <v>2</v>
      </c>
      <c r="H17" s="38" t="s">
        <v>6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2</v>
      </c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 t="s">
        <v>2</v>
      </c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2</v>
      </c>
    </row>
    <row r="25" spans="1:8" x14ac:dyDescent="0.25">
      <c r="A25" s="4">
        <v>21</v>
      </c>
      <c r="B25" s="38"/>
      <c r="C25" s="38" t="s">
        <v>2</v>
      </c>
      <c r="D25" s="38" t="s">
        <v>6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2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5</v>
      </c>
      <c r="H29" s="38"/>
    </row>
    <row r="30" spans="1:8" x14ac:dyDescent="0.25">
      <c r="A30" s="4">
        <v>26</v>
      </c>
      <c r="B30" s="38" t="s">
        <v>2</v>
      </c>
      <c r="C30" s="38"/>
      <c r="D30" s="38"/>
      <c r="E30" s="38" t="s">
        <v>2</v>
      </c>
      <c r="F30" s="38"/>
      <c r="G30" s="38"/>
      <c r="H30" s="38" t="s">
        <v>2</v>
      </c>
    </row>
    <row r="31" spans="1:8" x14ac:dyDescent="0.25">
      <c r="A31" s="4">
        <v>27</v>
      </c>
      <c r="B31" s="38"/>
      <c r="C31" s="38"/>
      <c r="D31" s="38" t="s">
        <v>2</v>
      </c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/>
      <c r="H32" s="38" t="s">
        <v>2</v>
      </c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6</v>
      </c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2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/>
      <c r="H39" s="38" t="s">
        <v>2</v>
      </c>
    </row>
    <row r="40" spans="1:8" x14ac:dyDescent="0.25">
      <c r="A40" s="4">
        <v>36</v>
      </c>
      <c r="B40" s="38" t="s">
        <v>7</v>
      </c>
      <c r="C40" s="38" t="s">
        <v>7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/>
      <c r="D41" s="38" t="s">
        <v>2</v>
      </c>
      <c r="E41" s="38" t="s">
        <v>7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/>
      <c r="F42" s="38"/>
      <c r="G42" s="38"/>
      <c r="H42" s="38" t="s">
        <v>6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5</v>
      </c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7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 t="s">
        <v>2</v>
      </c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7</v>
      </c>
      <c r="E61" s="38" t="s">
        <v>7</v>
      </c>
      <c r="F61" s="38" t="s">
        <v>6</v>
      </c>
      <c r="G61" s="38"/>
      <c r="H61" s="38"/>
    </row>
    <row r="62" spans="1:8" x14ac:dyDescent="0.25">
      <c r="A62" s="18">
        <v>74</v>
      </c>
      <c r="B62" s="38" t="s">
        <v>2</v>
      </c>
      <c r="C62" s="38" t="s">
        <v>2</v>
      </c>
      <c r="D62" s="38" t="s">
        <v>2</v>
      </c>
      <c r="E62" s="38" t="s">
        <v>2</v>
      </c>
      <c r="F62" s="38"/>
      <c r="G62" s="38" t="s">
        <v>6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 t="s">
        <v>2</v>
      </c>
      <c r="D66" s="38"/>
      <c r="E66" s="38" t="s">
        <v>2</v>
      </c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/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 t="s">
        <v>2</v>
      </c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 t="s">
        <v>2</v>
      </c>
      <c r="G82" s="38" t="s">
        <v>2</v>
      </c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 t="s">
        <v>2</v>
      </c>
      <c r="E84" s="38"/>
      <c r="F84" s="38" t="s">
        <v>2</v>
      </c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 t="s">
        <v>2</v>
      </c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5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183" priority="18" operator="equal">
      <formula>"Energia"</formula>
    </cfRule>
    <cfRule type="cellIs" dxfId="182" priority="20" operator="equal">
      <formula>"Operação"</formula>
    </cfRule>
    <cfRule type="cellIs" dxfId="181" priority="21" operator="equal">
      <formula>"Chuva"</formula>
    </cfRule>
    <cfRule type="cellIs" dxfId="180" priority="22" operator="equal">
      <formula>"Elétrico"</formula>
    </cfRule>
    <cfRule type="cellIs" dxfId="179" priority="23" operator="equal">
      <formula>"Mecânico"</formula>
    </cfRule>
    <cfRule type="cellIs" dxfId="178" priority="24" operator="equal">
      <formula>"Ok"</formula>
    </cfRule>
  </conditionalFormatting>
  <conditionalFormatting sqref="B61:I62 I5:I60 B63:H95">
    <cfRule type="cellIs" dxfId="177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76" priority="16" operator="equal">
      <formula>"Energia"</formula>
    </cfRule>
  </conditionalFormatting>
  <conditionalFormatting sqref="B5:E60 G5:H60">
    <cfRule type="cellIs" dxfId="175" priority="9" operator="equal">
      <formula>"Energia"</formula>
    </cfRule>
    <cfRule type="cellIs" dxfId="174" priority="11" operator="equal">
      <formula>"Operação"</formula>
    </cfRule>
    <cfRule type="cellIs" dxfId="173" priority="12" operator="equal">
      <formula>"Chuva"</formula>
    </cfRule>
    <cfRule type="cellIs" dxfId="172" priority="13" operator="equal">
      <formula>"Elétrico"</formula>
    </cfRule>
    <cfRule type="cellIs" dxfId="171" priority="14" operator="equal">
      <formula>"Mecânico"</formula>
    </cfRule>
    <cfRule type="cellIs" dxfId="170" priority="15" operator="equal">
      <formula>"Ok"</formula>
    </cfRule>
  </conditionalFormatting>
  <conditionalFormatting sqref="B5:E60 G5:H60">
    <cfRule type="cellIs" dxfId="169" priority="10" operator="equal">
      <formula>"Feito"</formula>
    </cfRule>
  </conditionalFormatting>
  <conditionalFormatting sqref="F5:F11">
    <cfRule type="cellIs" dxfId="168" priority="8" operator="equal">
      <formula>"Energia"</formula>
    </cfRule>
  </conditionalFormatting>
  <conditionalFormatting sqref="F5:F60">
    <cfRule type="cellIs" dxfId="167" priority="1" operator="equal">
      <formula>"Energia"</formula>
    </cfRule>
    <cfRule type="cellIs" dxfId="166" priority="3" operator="equal">
      <formula>"Operação"</formula>
    </cfRule>
    <cfRule type="cellIs" dxfId="165" priority="4" operator="equal">
      <formula>"Chuva"</formula>
    </cfRule>
    <cfRule type="cellIs" dxfId="164" priority="5" operator="equal">
      <formula>"Elétrico"</formula>
    </cfRule>
    <cfRule type="cellIs" dxfId="163" priority="6" operator="equal">
      <formula>"Mecânico"</formula>
    </cfRule>
    <cfRule type="cellIs" dxfId="162" priority="7" operator="equal">
      <formula>"Ok"</formula>
    </cfRule>
  </conditionalFormatting>
  <conditionalFormatting sqref="F5:F60">
    <cfRule type="cellIs" dxfId="161" priority="2" operator="equal">
      <formula>"Feito"</formula>
    </cfRule>
  </conditionalFormatting>
  <dataValidations count="1">
    <dataValidation type="list" allowBlank="1" showInputMessage="1" showErrorMessage="1" sqref="B61:I62 B5:I26 B27:J60 B63:H95" xr:uid="{3937F2D2-9BF8-45C2-9FF6-EAE2B74C9F8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961-4A05-4116-8C89-60BCD1D30A35}">
  <dimension ref="A1:L95"/>
  <sheetViews>
    <sheetView zoomScale="115" zoomScaleNormal="115" workbookViewId="0">
      <pane ySplit="4" topLeftCell="A17" activePane="bottomLeft" state="frozen"/>
      <selection pane="bottomLeft" activeCell="H95" sqref="H9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26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44704</v>
      </c>
      <c r="C3" s="23">
        <f>B3+1</f>
        <v>44705</v>
      </c>
      <c r="D3" s="23">
        <f t="shared" ref="D3:H3" si="0">C3+1</f>
        <v>44706</v>
      </c>
      <c r="E3" s="23">
        <f t="shared" si="0"/>
        <v>44707</v>
      </c>
      <c r="F3" s="23">
        <f t="shared" si="0"/>
        <v>44708</v>
      </c>
      <c r="G3" s="23">
        <f t="shared" si="0"/>
        <v>44709</v>
      </c>
      <c r="H3" s="25">
        <f t="shared" si="0"/>
        <v>44710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/>
      <c r="D5" s="38" t="s">
        <v>2</v>
      </c>
      <c r="E5" s="38"/>
      <c r="F5" s="38"/>
      <c r="G5" s="38" t="s">
        <v>2</v>
      </c>
      <c r="H5" s="38"/>
      <c r="J5" s="48" t="s">
        <v>2</v>
      </c>
      <c r="K5">
        <f>COUNTIF($B$5:$H$95,J5)</f>
        <v>197</v>
      </c>
      <c r="L5" s="34">
        <f t="shared" ref="L5:L10" si="2">K5/$K$11</f>
        <v>0.84549356223175964</v>
      </c>
    </row>
    <row r="6" spans="1:12" x14ac:dyDescent="0.25">
      <c r="A6" s="4">
        <v>2</v>
      </c>
      <c r="B6" s="38" t="s">
        <v>6</v>
      </c>
      <c r="C6" s="38" t="s">
        <v>6</v>
      </c>
      <c r="D6" s="38"/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20</v>
      </c>
      <c r="L6" s="35">
        <f t="shared" si="2"/>
        <v>8.5836909871244635E-2</v>
      </c>
    </row>
    <row r="7" spans="1:12" x14ac:dyDescent="0.25">
      <c r="A7" s="4">
        <v>3</v>
      </c>
      <c r="B7" s="38"/>
      <c r="C7" s="38" t="s">
        <v>2</v>
      </c>
      <c r="D7" s="38"/>
      <c r="E7" s="38" t="s">
        <v>5</v>
      </c>
      <c r="F7" s="38"/>
      <c r="G7" s="38"/>
      <c r="H7" s="38" t="s">
        <v>2</v>
      </c>
      <c r="J7" s="46" t="s">
        <v>6</v>
      </c>
      <c r="K7">
        <f t="shared" ref="K7:K10" si="3">COUNTIF($B$5:$H$95,J7)</f>
        <v>5</v>
      </c>
      <c r="L7" s="35">
        <f t="shared" si="2"/>
        <v>2.1459227467811159E-2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 t="s">
        <v>5</v>
      </c>
      <c r="D9" s="38"/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2</v>
      </c>
      <c r="C10" s="38"/>
      <c r="D10" s="38"/>
      <c r="E10" s="38" t="s">
        <v>7</v>
      </c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4.7210300429184553E-2</v>
      </c>
    </row>
    <row r="11" spans="1:12" x14ac:dyDescent="0.25">
      <c r="A11" s="4">
        <v>7</v>
      </c>
      <c r="B11" s="38"/>
      <c r="C11" s="38" t="s">
        <v>2</v>
      </c>
      <c r="D11" s="38" t="s">
        <v>2</v>
      </c>
      <c r="E11" s="38"/>
      <c r="F11" s="38" t="s">
        <v>2</v>
      </c>
      <c r="G11" s="38"/>
      <c r="H11" s="38" t="s">
        <v>2</v>
      </c>
      <c r="J11" s="44" t="s">
        <v>17</v>
      </c>
      <c r="K11">
        <f>SUM(K5:K10)</f>
        <v>233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 t="s">
        <v>7</v>
      </c>
      <c r="F12" s="38"/>
      <c r="G12" s="38"/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/>
      <c r="H13" s="38" t="s">
        <v>2</v>
      </c>
    </row>
    <row r="14" spans="1:12" x14ac:dyDescent="0.25">
      <c r="A14" s="4">
        <v>10</v>
      </c>
      <c r="B14" s="38"/>
      <c r="C14" s="38" t="s">
        <v>2</v>
      </c>
      <c r="D14" s="38" t="s">
        <v>2</v>
      </c>
      <c r="E14" s="38" t="s">
        <v>2</v>
      </c>
      <c r="F14" s="38"/>
      <c r="G14" s="38" t="s">
        <v>2</v>
      </c>
      <c r="H14" s="38"/>
    </row>
    <row r="15" spans="1:12" x14ac:dyDescent="0.25">
      <c r="A15" s="4">
        <v>11</v>
      </c>
      <c r="B15" s="38"/>
      <c r="C15" s="38"/>
      <c r="D15" s="38" t="s">
        <v>5</v>
      </c>
      <c r="E15" s="38"/>
      <c r="F15" s="38" t="s">
        <v>2</v>
      </c>
      <c r="G15" s="38"/>
      <c r="H15" s="38" t="s">
        <v>2</v>
      </c>
    </row>
    <row r="16" spans="1:12" x14ac:dyDescent="0.25">
      <c r="A16" s="4">
        <v>12</v>
      </c>
      <c r="B16" s="38" t="s">
        <v>5</v>
      </c>
      <c r="C16" s="38" t="s">
        <v>5</v>
      </c>
      <c r="D16" s="38" t="s">
        <v>7</v>
      </c>
      <c r="E16" s="38" t="s">
        <v>2</v>
      </c>
      <c r="F16" s="38" t="s">
        <v>2</v>
      </c>
      <c r="G16" s="38" t="s">
        <v>2</v>
      </c>
      <c r="H16" s="38" t="s">
        <v>2</v>
      </c>
    </row>
    <row r="17" spans="1:8" x14ac:dyDescent="0.25">
      <c r="A17" s="4">
        <v>13</v>
      </c>
      <c r="B17" s="38" t="s">
        <v>6</v>
      </c>
      <c r="C17" s="38"/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 t="s">
        <v>2</v>
      </c>
      <c r="C18" s="38"/>
      <c r="D18" s="38"/>
      <c r="E18" s="38"/>
      <c r="F18" s="38"/>
      <c r="G18" s="38" t="s">
        <v>2</v>
      </c>
      <c r="H18" s="38" t="s">
        <v>2</v>
      </c>
    </row>
    <row r="19" spans="1:8" x14ac:dyDescent="0.25">
      <c r="A19" s="4">
        <v>15</v>
      </c>
      <c r="B19" s="38" t="s">
        <v>5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5</v>
      </c>
    </row>
    <row r="25" spans="1:8" x14ac:dyDescent="0.25">
      <c r="A25" s="4">
        <v>21</v>
      </c>
      <c r="B25" s="38"/>
      <c r="C25" s="38" t="s">
        <v>2</v>
      </c>
      <c r="D25" s="38"/>
      <c r="E25" s="38"/>
      <c r="F25" s="38" t="s">
        <v>2</v>
      </c>
      <c r="G25" s="38"/>
      <c r="H25" s="38"/>
    </row>
    <row r="26" spans="1:8" x14ac:dyDescent="0.25">
      <c r="A26" s="4">
        <v>22</v>
      </c>
      <c r="B26" s="38"/>
      <c r="C26" s="38"/>
      <c r="D26" s="38" t="s">
        <v>5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 t="s">
        <v>2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5</v>
      </c>
      <c r="C29" s="38"/>
      <c r="D29" s="38" t="s">
        <v>5</v>
      </c>
      <c r="E29" s="38"/>
      <c r="F29" s="38"/>
      <c r="G29" s="38" t="s">
        <v>5</v>
      </c>
      <c r="H29" s="38"/>
    </row>
    <row r="30" spans="1:8" x14ac:dyDescent="0.25">
      <c r="A30" s="4">
        <v>26</v>
      </c>
      <c r="B30" s="38"/>
      <c r="C30" s="38"/>
      <c r="D30" s="38" t="s">
        <v>7</v>
      </c>
      <c r="E30" s="38"/>
      <c r="F30" s="38"/>
      <c r="G30" s="38"/>
      <c r="H30" s="38"/>
    </row>
    <row r="31" spans="1:8" x14ac:dyDescent="0.25">
      <c r="A31" s="4">
        <v>27</v>
      </c>
      <c r="B31" s="38"/>
      <c r="C31" s="38" t="s">
        <v>2</v>
      </c>
      <c r="D31" s="38"/>
      <c r="E31" s="38"/>
      <c r="F31" s="38" t="s">
        <v>2</v>
      </c>
      <c r="G31" s="38"/>
      <c r="H31" s="38"/>
    </row>
    <row r="32" spans="1:8" x14ac:dyDescent="0.25">
      <c r="A32" s="4">
        <v>28</v>
      </c>
      <c r="B32" s="38"/>
      <c r="C32" s="38"/>
      <c r="D32" s="38" t="s">
        <v>2</v>
      </c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 t="s">
        <v>6</v>
      </c>
      <c r="E34" s="38" t="s">
        <v>6</v>
      </c>
      <c r="F34" s="38" t="s">
        <v>2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7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 t="s">
        <v>2</v>
      </c>
      <c r="C38" s="38"/>
      <c r="D38" s="38" t="s">
        <v>7</v>
      </c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2</v>
      </c>
      <c r="D41" s="38"/>
      <c r="E41" s="38"/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 t="s">
        <v>2</v>
      </c>
      <c r="G42" s="38" t="s">
        <v>7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 t="s">
        <v>2</v>
      </c>
      <c r="G43" s="38" t="s">
        <v>2</v>
      </c>
      <c r="H43" s="38"/>
    </row>
    <row r="44" spans="1:8" x14ac:dyDescent="0.25">
      <c r="A44" s="4">
        <v>40</v>
      </c>
      <c r="B44" s="38"/>
      <c r="C44" s="38"/>
      <c r="D44" s="38" t="s">
        <v>2</v>
      </c>
      <c r="E44" s="38" t="s">
        <v>7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7</v>
      </c>
      <c r="F45" s="38"/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/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/>
      <c r="D47" s="38" t="s">
        <v>2</v>
      </c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2</v>
      </c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5</v>
      </c>
      <c r="C54" s="38" t="s">
        <v>5</v>
      </c>
      <c r="D54" s="38" t="s">
        <v>5</v>
      </c>
      <c r="E54" s="38" t="s">
        <v>5</v>
      </c>
      <c r="F54" s="38" t="s">
        <v>5</v>
      </c>
      <c r="G54" s="38" t="s">
        <v>5</v>
      </c>
      <c r="H54" s="38" t="s">
        <v>5</v>
      </c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/>
      <c r="E58" s="38" t="s">
        <v>2</v>
      </c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2</v>
      </c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 t="s">
        <v>2</v>
      </c>
      <c r="E61" s="38" t="s">
        <v>2</v>
      </c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 t="s">
        <v>2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 t="s">
        <v>2</v>
      </c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 t="s">
        <v>2</v>
      </c>
      <c r="D70" s="38" t="s">
        <v>2</v>
      </c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/>
      <c r="D75" s="38" t="s">
        <v>2</v>
      </c>
      <c r="E75" s="38"/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 t="s">
        <v>2</v>
      </c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 t="s">
        <v>2</v>
      </c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 t="s">
        <v>2</v>
      </c>
      <c r="C91" s="38"/>
      <c r="D91" s="38" t="s">
        <v>2</v>
      </c>
      <c r="E91" s="38"/>
      <c r="F91" s="38" t="s">
        <v>2</v>
      </c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160" priority="18" operator="equal">
      <formula>"Energia"</formula>
    </cfRule>
    <cfRule type="cellIs" dxfId="159" priority="20" operator="equal">
      <formula>"Operação"</formula>
    </cfRule>
    <cfRule type="cellIs" dxfId="158" priority="21" operator="equal">
      <formula>"Chuva"</formula>
    </cfRule>
    <cfRule type="cellIs" dxfId="157" priority="22" operator="equal">
      <formula>"Elétrico"</formula>
    </cfRule>
    <cfRule type="cellIs" dxfId="156" priority="23" operator="equal">
      <formula>"Mecânico"</formula>
    </cfRule>
    <cfRule type="cellIs" dxfId="155" priority="24" operator="equal">
      <formula>"Ok"</formula>
    </cfRule>
  </conditionalFormatting>
  <conditionalFormatting sqref="B61:I62 I5:I60 B63:H95">
    <cfRule type="cellIs" dxfId="154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53" priority="16" operator="equal">
      <formula>"Energia"</formula>
    </cfRule>
  </conditionalFormatting>
  <conditionalFormatting sqref="B5:E60 G5:H60">
    <cfRule type="cellIs" dxfId="152" priority="9" operator="equal">
      <formula>"Energia"</formula>
    </cfRule>
    <cfRule type="cellIs" dxfId="151" priority="11" operator="equal">
      <formula>"Operação"</formula>
    </cfRule>
    <cfRule type="cellIs" dxfId="150" priority="12" operator="equal">
      <formula>"Chuva"</formula>
    </cfRule>
    <cfRule type="cellIs" dxfId="149" priority="13" operator="equal">
      <formula>"Elétrico"</formula>
    </cfRule>
    <cfRule type="cellIs" dxfId="148" priority="14" operator="equal">
      <formula>"Mecânico"</formula>
    </cfRule>
    <cfRule type="cellIs" dxfId="147" priority="15" operator="equal">
      <formula>"Ok"</formula>
    </cfRule>
  </conditionalFormatting>
  <conditionalFormatting sqref="B5:E60 G5:H60">
    <cfRule type="cellIs" dxfId="146" priority="10" operator="equal">
      <formula>"Feito"</formula>
    </cfRule>
  </conditionalFormatting>
  <conditionalFormatting sqref="F5:F11">
    <cfRule type="cellIs" dxfId="145" priority="8" operator="equal">
      <formula>"Energia"</formula>
    </cfRule>
  </conditionalFormatting>
  <conditionalFormatting sqref="F5:F60">
    <cfRule type="cellIs" dxfId="144" priority="1" operator="equal">
      <formula>"Energia"</formula>
    </cfRule>
    <cfRule type="cellIs" dxfId="143" priority="3" operator="equal">
      <formula>"Operação"</formula>
    </cfRule>
    <cfRule type="cellIs" dxfId="142" priority="4" operator="equal">
      <formula>"Chuva"</formula>
    </cfRule>
    <cfRule type="cellIs" dxfId="141" priority="5" operator="equal">
      <formula>"Elétrico"</formula>
    </cfRule>
    <cfRule type="cellIs" dxfId="140" priority="6" operator="equal">
      <formula>"Mecânico"</formula>
    </cfRule>
    <cfRule type="cellIs" dxfId="139" priority="7" operator="equal">
      <formula>"Ok"</formula>
    </cfRule>
  </conditionalFormatting>
  <conditionalFormatting sqref="F5:F60">
    <cfRule type="cellIs" dxfId="138" priority="2" operator="equal">
      <formula>"Feito"</formula>
    </cfRule>
  </conditionalFormatting>
  <dataValidations count="1">
    <dataValidation type="list" allowBlank="1" showInputMessage="1" showErrorMessage="1" sqref="B61:I62 B5:I26 B27:J60 B63:H95" xr:uid="{59B1C5BC-1292-4AB4-80EA-ADF83D56E3C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9B76-B875-4CCE-BBB5-8F217A8718D2}">
  <dimension ref="A1:L95"/>
  <sheetViews>
    <sheetView zoomScale="115" zoomScaleNormal="115" workbookViewId="0">
      <pane ySplit="4" topLeftCell="A5" activePane="bottomLeft" state="frozen"/>
      <selection pane="bottomLeft" activeCell="D86" sqref="D8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27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44711</v>
      </c>
      <c r="C3" s="23">
        <f>B3+1</f>
        <v>44712</v>
      </c>
      <c r="D3" s="23">
        <f t="shared" ref="D3:H3" si="0">C3+1</f>
        <v>44713</v>
      </c>
      <c r="E3" s="23">
        <f t="shared" si="0"/>
        <v>44714</v>
      </c>
      <c r="F3" s="23">
        <f t="shared" si="0"/>
        <v>44715</v>
      </c>
      <c r="G3" s="23">
        <f t="shared" si="0"/>
        <v>44716</v>
      </c>
      <c r="H3" s="25">
        <f t="shared" si="0"/>
        <v>44717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/>
      <c r="F5" s="38" t="s">
        <v>2</v>
      </c>
      <c r="G5" s="38"/>
      <c r="H5" s="38"/>
      <c r="J5" s="48" t="s">
        <v>2</v>
      </c>
      <c r="K5">
        <f>COUNTIF($B$5:$H$95,J5)</f>
        <v>196</v>
      </c>
      <c r="L5" s="34">
        <f t="shared" ref="L5:L10" si="2">K5/$K$11</f>
        <v>0.90322580645161288</v>
      </c>
    </row>
    <row r="6" spans="1:12" x14ac:dyDescent="0.25">
      <c r="A6" s="4">
        <v>2</v>
      </c>
      <c r="B6" s="38"/>
      <c r="C6" s="38"/>
      <c r="D6" s="38" t="s">
        <v>2</v>
      </c>
      <c r="E6" s="38"/>
      <c r="F6" s="38"/>
      <c r="G6" s="38" t="s">
        <v>2</v>
      </c>
      <c r="H6" s="38"/>
      <c r="J6" s="42" t="s">
        <v>5</v>
      </c>
      <c r="K6">
        <f>COUNTIF($B$5:$H$95,J6)</f>
        <v>5</v>
      </c>
      <c r="L6" s="35">
        <f t="shared" si="2"/>
        <v>2.3041474654377881E-2</v>
      </c>
    </row>
    <row r="7" spans="1:12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7</v>
      </c>
      <c r="L7" s="35">
        <f t="shared" si="2"/>
        <v>3.2258064516129031E-2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5</v>
      </c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2</v>
      </c>
      <c r="C10" s="38"/>
      <c r="D10" s="38"/>
      <c r="E10" s="38" t="s">
        <v>2</v>
      </c>
      <c r="F10" s="38" t="s">
        <v>2</v>
      </c>
      <c r="G10" s="38"/>
      <c r="H10" s="38" t="s">
        <v>2</v>
      </c>
      <c r="J10" s="43" t="s">
        <v>7</v>
      </c>
      <c r="K10">
        <f t="shared" si="3"/>
        <v>9</v>
      </c>
      <c r="L10" s="37">
        <f t="shared" si="2"/>
        <v>4.1474654377880185E-2</v>
      </c>
    </row>
    <row r="11" spans="1:12" x14ac:dyDescent="0.25">
      <c r="A11" s="4">
        <v>7</v>
      </c>
      <c r="B11" s="38"/>
      <c r="C11" s="38" t="s">
        <v>2</v>
      </c>
      <c r="D11" s="38"/>
      <c r="E11" s="38" t="s">
        <v>2</v>
      </c>
      <c r="F11" s="38" t="s">
        <v>7</v>
      </c>
      <c r="G11" s="38"/>
      <c r="H11" s="38" t="s">
        <v>2</v>
      </c>
      <c r="J11" s="44" t="s">
        <v>17</v>
      </c>
      <c r="K11">
        <f>SUM(K5:K10)</f>
        <v>217</v>
      </c>
    </row>
    <row r="12" spans="1:12" x14ac:dyDescent="0.25">
      <c r="A12" s="4">
        <v>8</v>
      </c>
      <c r="B12" s="38"/>
      <c r="C12" s="38"/>
      <c r="D12" s="38" t="s">
        <v>2</v>
      </c>
      <c r="E12" s="38"/>
      <c r="F12" s="38"/>
      <c r="G12" s="38" t="s">
        <v>2</v>
      </c>
      <c r="H12" s="38"/>
    </row>
    <row r="13" spans="1:12" x14ac:dyDescent="0.25">
      <c r="A13" s="4">
        <v>9</v>
      </c>
      <c r="B13" s="38" t="s">
        <v>5</v>
      </c>
      <c r="C13" s="38"/>
      <c r="D13" s="38" t="s">
        <v>2</v>
      </c>
      <c r="E13" s="38"/>
      <c r="F13" s="38" t="s">
        <v>2</v>
      </c>
      <c r="G13" s="38"/>
      <c r="H13" s="38"/>
    </row>
    <row r="14" spans="1:12" x14ac:dyDescent="0.25">
      <c r="A14" s="4">
        <v>10</v>
      </c>
      <c r="B14" s="38" t="s">
        <v>2</v>
      </c>
      <c r="C14" s="38"/>
      <c r="D14" s="38"/>
      <c r="E14" s="38"/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/>
      <c r="C15" s="38" t="s">
        <v>2</v>
      </c>
      <c r="D15" s="38" t="s">
        <v>2</v>
      </c>
      <c r="E15" s="38"/>
      <c r="F15" s="38"/>
      <c r="G15" s="38" t="s">
        <v>2</v>
      </c>
      <c r="H15" s="38"/>
    </row>
    <row r="16" spans="1:12" x14ac:dyDescent="0.25">
      <c r="A16" s="4">
        <v>12</v>
      </c>
      <c r="B16" s="38"/>
      <c r="C16" s="38" t="s">
        <v>2</v>
      </c>
      <c r="D16" s="38" t="s">
        <v>2</v>
      </c>
      <c r="E16" s="38" t="s">
        <v>2</v>
      </c>
      <c r="F16" s="38"/>
      <c r="G16" s="38" t="s">
        <v>2</v>
      </c>
      <c r="H16" s="38"/>
    </row>
    <row r="17" spans="1:8" x14ac:dyDescent="0.25">
      <c r="A17" s="4">
        <v>13</v>
      </c>
      <c r="B17" s="38" t="s">
        <v>2</v>
      </c>
      <c r="C17" s="38" t="s">
        <v>2</v>
      </c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/>
      <c r="C18" s="38" t="s">
        <v>2</v>
      </c>
      <c r="D18" s="38" t="s">
        <v>2</v>
      </c>
      <c r="E18" s="38" t="s">
        <v>2</v>
      </c>
      <c r="F18" s="38" t="s">
        <v>2</v>
      </c>
      <c r="G18" s="38" t="s">
        <v>2</v>
      </c>
      <c r="H18" s="38" t="s">
        <v>2</v>
      </c>
    </row>
    <row r="19" spans="1:8" x14ac:dyDescent="0.25">
      <c r="A19" s="4">
        <v>15</v>
      </c>
      <c r="B19" s="38"/>
      <c r="C19" s="38"/>
      <c r="D19" s="38" t="s">
        <v>7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 t="s">
        <v>7</v>
      </c>
      <c r="D20" s="38"/>
      <c r="E20" s="38"/>
      <c r="F20" s="38" t="s">
        <v>7</v>
      </c>
      <c r="G20" s="38"/>
      <c r="H20" s="38"/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 t="s">
        <v>7</v>
      </c>
      <c r="D22" s="38"/>
      <c r="E22" s="38"/>
      <c r="F22" s="38" t="s">
        <v>2</v>
      </c>
      <c r="G22" s="38"/>
      <c r="H22" s="38"/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 t="s">
        <v>7</v>
      </c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6</v>
      </c>
      <c r="F27" s="38"/>
      <c r="G27" s="38"/>
      <c r="H27" s="38" t="s">
        <v>2</v>
      </c>
    </row>
    <row r="28" spans="1:8" x14ac:dyDescent="0.25">
      <c r="A28" s="4">
        <v>24</v>
      </c>
      <c r="B28" s="38" t="s">
        <v>2</v>
      </c>
      <c r="C28" s="38"/>
      <c r="D28" s="38"/>
      <c r="E28" s="38" t="s">
        <v>6</v>
      </c>
      <c r="F28" s="38"/>
      <c r="G28" s="38"/>
      <c r="H28" s="38" t="s">
        <v>5</v>
      </c>
    </row>
    <row r="29" spans="1:8" x14ac:dyDescent="0.25">
      <c r="A29" s="4">
        <v>25</v>
      </c>
      <c r="B29" s="38" t="s">
        <v>5</v>
      </c>
      <c r="C29" s="38"/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6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2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 t="s">
        <v>2</v>
      </c>
      <c r="D34" s="38"/>
      <c r="E34" s="38" t="s">
        <v>6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 t="s">
        <v>7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 t="s">
        <v>7</v>
      </c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 t="s">
        <v>5</v>
      </c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 t="s">
        <v>2</v>
      </c>
      <c r="F42" s="38"/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 t="s">
        <v>2</v>
      </c>
      <c r="D48" s="38"/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 t="s">
        <v>2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 t="s">
        <v>2</v>
      </c>
      <c r="D60" s="38"/>
      <c r="E60" s="38"/>
      <c r="F60" s="38" t="s">
        <v>2</v>
      </c>
      <c r="G60" s="38"/>
      <c r="H60" s="38"/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/>
      <c r="H61" s="38" t="s">
        <v>2</v>
      </c>
    </row>
    <row r="62" spans="1:8" x14ac:dyDescent="0.25">
      <c r="A62" s="18">
        <v>74</v>
      </c>
      <c r="B62" s="38"/>
      <c r="C62" s="38"/>
      <c r="D62" s="38" t="s">
        <v>2</v>
      </c>
      <c r="E62" s="38" t="s">
        <v>2</v>
      </c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 t="s">
        <v>2</v>
      </c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/>
      <c r="D72" s="38" t="s">
        <v>2</v>
      </c>
      <c r="E72" s="38"/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 t="s">
        <v>6</v>
      </c>
      <c r="E86" s="38"/>
      <c r="F86" s="38"/>
      <c r="G86" s="38" t="s">
        <v>2</v>
      </c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137" priority="18" operator="equal">
      <formula>"Energia"</formula>
    </cfRule>
    <cfRule type="cellIs" dxfId="136" priority="20" operator="equal">
      <formula>"Operação"</formula>
    </cfRule>
    <cfRule type="cellIs" dxfId="135" priority="21" operator="equal">
      <formula>"Chuva"</formula>
    </cfRule>
    <cfRule type="cellIs" dxfId="134" priority="22" operator="equal">
      <formula>"Elétrico"</formula>
    </cfRule>
    <cfRule type="cellIs" dxfId="133" priority="23" operator="equal">
      <formula>"Mecânico"</formula>
    </cfRule>
    <cfRule type="cellIs" dxfId="132" priority="24" operator="equal">
      <formula>"Ok"</formula>
    </cfRule>
  </conditionalFormatting>
  <conditionalFormatting sqref="B61:I62 I5:I60 B63:H95">
    <cfRule type="cellIs" dxfId="131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30" priority="16" operator="equal">
      <formula>"Energia"</formula>
    </cfRule>
  </conditionalFormatting>
  <conditionalFormatting sqref="B5:E60 G5:H60">
    <cfRule type="cellIs" dxfId="129" priority="9" operator="equal">
      <formula>"Energia"</formula>
    </cfRule>
    <cfRule type="cellIs" dxfId="128" priority="11" operator="equal">
      <formula>"Operação"</formula>
    </cfRule>
    <cfRule type="cellIs" dxfId="127" priority="12" operator="equal">
      <formula>"Chuva"</formula>
    </cfRule>
    <cfRule type="cellIs" dxfId="126" priority="13" operator="equal">
      <formula>"Elétrico"</formula>
    </cfRule>
    <cfRule type="cellIs" dxfId="125" priority="14" operator="equal">
      <formula>"Mecânico"</formula>
    </cfRule>
    <cfRule type="cellIs" dxfId="124" priority="15" operator="equal">
      <formula>"Ok"</formula>
    </cfRule>
  </conditionalFormatting>
  <conditionalFormatting sqref="B5:E60 G5:H60">
    <cfRule type="cellIs" dxfId="123" priority="10" operator="equal">
      <formula>"Feito"</formula>
    </cfRule>
  </conditionalFormatting>
  <conditionalFormatting sqref="F5:F11">
    <cfRule type="cellIs" dxfId="122" priority="8" operator="equal">
      <formula>"Energia"</formula>
    </cfRule>
  </conditionalFormatting>
  <conditionalFormatting sqref="F5:F60">
    <cfRule type="cellIs" dxfId="121" priority="1" operator="equal">
      <formula>"Energia"</formula>
    </cfRule>
    <cfRule type="cellIs" dxfId="120" priority="3" operator="equal">
      <formula>"Operação"</formula>
    </cfRule>
    <cfRule type="cellIs" dxfId="119" priority="4" operator="equal">
      <formula>"Chuva"</formula>
    </cfRule>
    <cfRule type="cellIs" dxfId="118" priority="5" operator="equal">
      <formula>"Elétrico"</formula>
    </cfRule>
    <cfRule type="cellIs" dxfId="117" priority="6" operator="equal">
      <formula>"Mecânico"</formula>
    </cfRule>
    <cfRule type="cellIs" dxfId="116" priority="7" operator="equal">
      <formula>"Ok"</formula>
    </cfRule>
  </conditionalFormatting>
  <conditionalFormatting sqref="F5:F60">
    <cfRule type="cellIs" dxfId="115" priority="2" operator="equal">
      <formula>"Feito"</formula>
    </cfRule>
  </conditionalFormatting>
  <dataValidations count="1">
    <dataValidation type="list" allowBlank="1" showInputMessage="1" showErrorMessage="1" sqref="B61:I62 B5:I26 B27:J60 B63:H95" xr:uid="{17B60F38-DAB2-4EED-A6C2-3CF19B7CF27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4DC1-B9BF-4158-BDAD-8E5FE16AAC9C}">
  <dimension ref="A1:L95"/>
  <sheetViews>
    <sheetView zoomScale="115" zoomScaleNormal="115" workbookViewId="0">
      <pane ySplit="4" topLeftCell="A11" activePane="bottomLeft" state="frozen"/>
      <selection pane="bottomLeft" activeCell="I12" sqref="I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28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44718</v>
      </c>
      <c r="C3" s="23">
        <f>B3+1</f>
        <v>44719</v>
      </c>
      <c r="D3" s="23">
        <f t="shared" ref="D3:H3" si="0">C3+1</f>
        <v>44720</v>
      </c>
      <c r="E3" s="23">
        <f t="shared" si="0"/>
        <v>44721</v>
      </c>
      <c r="F3" s="23">
        <f t="shared" si="0"/>
        <v>44722</v>
      </c>
      <c r="G3" s="23">
        <f t="shared" si="0"/>
        <v>44723</v>
      </c>
      <c r="H3" s="25">
        <f t="shared" si="0"/>
        <v>44724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2</v>
      </c>
      <c r="F5" s="38"/>
      <c r="G5" s="38"/>
      <c r="H5" s="38" t="s">
        <v>2</v>
      </c>
      <c r="J5" s="48" t="s">
        <v>2</v>
      </c>
      <c r="K5">
        <f>COUNTIF($B$5:$H$95,J5)</f>
        <v>187</v>
      </c>
      <c r="L5" s="34">
        <f t="shared" ref="L5:L10" si="2">K5/$K$11</f>
        <v>0.9211822660098522</v>
      </c>
    </row>
    <row r="6" spans="1:12" x14ac:dyDescent="0.25">
      <c r="A6" s="4">
        <v>2</v>
      </c>
      <c r="B6" s="38" t="s">
        <v>2</v>
      </c>
      <c r="C6" s="38"/>
      <c r="D6" s="38"/>
      <c r="E6" s="38"/>
      <c r="F6" s="38" t="s">
        <v>2</v>
      </c>
      <c r="G6" s="38"/>
      <c r="H6" s="38" t="s">
        <v>7</v>
      </c>
      <c r="J6" s="42" t="s">
        <v>5</v>
      </c>
      <c r="K6">
        <f>COUNTIF($B$5:$H$95,J6)</f>
        <v>4</v>
      </c>
      <c r="L6" s="35">
        <f t="shared" si="2"/>
        <v>1.9704433497536946E-2</v>
      </c>
    </row>
    <row r="7" spans="1:12" x14ac:dyDescent="0.25">
      <c r="A7" s="4">
        <v>3</v>
      </c>
      <c r="B7" s="38" t="s">
        <v>2</v>
      </c>
      <c r="C7" s="38"/>
      <c r="D7" s="38"/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6</v>
      </c>
      <c r="L7" s="35">
        <f t="shared" si="2"/>
        <v>2.9556650246305417E-2</v>
      </c>
    </row>
    <row r="8" spans="1:12" x14ac:dyDescent="0.25">
      <c r="A8" s="4">
        <v>4</v>
      </c>
      <c r="B8" s="38" t="s">
        <v>2</v>
      </c>
      <c r="C8" s="38"/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 t="s">
        <v>2</v>
      </c>
      <c r="F9" s="38"/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7</v>
      </c>
      <c r="E10" s="38"/>
      <c r="F10" s="38" t="s">
        <v>2</v>
      </c>
      <c r="G10" s="38"/>
      <c r="H10" s="38"/>
      <c r="J10" s="43" t="s">
        <v>7</v>
      </c>
      <c r="K10">
        <f t="shared" si="3"/>
        <v>6</v>
      </c>
      <c r="L10" s="37">
        <f t="shared" si="2"/>
        <v>2.9556650246305417E-2</v>
      </c>
    </row>
    <row r="11" spans="1:12" x14ac:dyDescent="0.25">
      <c r="A11" s="4">
        <v>7</v>
      </c>
      <c r="B11" s="38"/>
      <c r="C11" s="38" t="s">
        <v>2</v>
      </c>
      <c r="D11" s="38"/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203</v>
      </c>
    </row>
    <row r="12" spans="1:12" x14ac:dyDescent="0.25">
      <c r="A12" s="4">
        <v>8</v>
      </c>
      <c r="B12" s="38" t="s">
        <v>2</v>
      </c>
      <c r="C12" s="38"/>
      <c r="D12" s="38" t="s">
        <v>2</v>
      </c>
      <c r="E12" s="38"/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 t="s">
        <v>2</v>
      </c>
      <c r="E13" s="38"/>
      <c r="F13" s="38"/>
      <c r="G13" s="38" t="s">
        <v>2</v>
      </c>
      <c r="H13" s="38"/>
    </row>
    <row r="14" spans="1:12" x14ac:dyDescent="0.25">
      <c r="A14" s="4">
        <v>10</v>
      </c>
      <c r="B14" s="38" t="s">
        <v>2</v>
      </c>
      <c r="C14" s="38" t="s">
        <v>2</v>
      </c>
      <c r="D14" s="38" t="s">
        <v>2</v>
      </c>
      <c r="E14" s="38"/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 t="s">
        <v>2</v>
      </c>
      <c r="C15" s="38"/>
      <c r="D15" s="38"/>
      <c r="E15" s="38"/>
      <c r="F15" s="38" t="s">
        <v>2</v>
      </c>
      <c r="G15" s="38"/>
      <c r="H15" s="38" t="s">
        <v>2</v>
      </c>
    </row>
    <row r="16" spans="1:12" x14ac:dyDescent="0.25">
      <c r="A16" s="4">
        <v>12</v>
      </c>
      <c r="B16" s="38" t="s">
        <v>2</v>
      </c>
      <c r="C16" s="38"/>
      <c r="D16" s="38"/>
      <c r="E16" s="38" t="s">
        <v>2</v>
      </c>
      <c r="F16" s="38"/>
      <c r="G16" s="38"/>
      <c r="H16" s="38" t="s">
        <v>2</v>
      </c>
    </row>
    <row r="17" spans="1:8" x14ac:dyDescent="0.25">
      <c r="A17" s="4">
        <v>13</v>
      </c>
      <c r="B17" s="38" t="s">
        <v>2</v>
      </c>
      <c r="C17" s="38" t="s">
        <v>2</v>
      </c>
      <c r="D17" s="38"/>
      <c r="E17" s="38" t="s">
        <v>2</v>
      </c>
      <c r="F17" s="38"/>
      <c r="G17" s="38" t="s">
        <v>2</v>
      </c>
      <c r="H17" s="38"/>
    </row>
    <row r="18" spans="1:8" x14ac:dyDescent="0.25">
      <c r="A18" s="4">
        <v>14</v>
      </c>
      <c r="B18" s="38" t="s">
        <v>2</v>
      </c>
      <c r="C18" s="38" t="s">
        <v>2</v>
      </c>
      <c r="D18" s="38" t="s">
        <v>2</v>
      </c>
      <c r="E18" s="38" t="s">
        <v>2</v>
      </c>
      <c r="F18" s="38" t="s">
        <v>7</v>
      </c>
      <c r="G18" s="38" t="s">
        <v>2</v>
      </c>
      <c r="H18" s="38" t="s">
        <v>2</v>
      </c>
    </row>
    <row r="19" spans="1:8" x14ac:dyDescent="0.25">
      <c r="A19" s="4">
        <v>15</v>
      </c>
      <c r="B19" s="38"/>
      <c r="C19" s="38" t="s">
        <v>6</v>
      </c>
      <c r="D19" s="38"/>
      <c r="E19" s="38"/>
      <c r="F19" s="38" t="s">
        <v>2</v>
      </c>
      <c r="G19" s="38" t="s">
        <v>2</v>
      </c>
      <c r="H19" s="38"/>
    </row>
    <row r="20" spans="1:8" x14ac:dyDescent="0.25">
      <c r="A20" s="4">
        <v>16</v>
      </c>
      <c r="B20" s="38" t="s">
        <v>2</v>
      </c>
      <c r="C20" s="38"/>
      <c r="D20" s="38"/>
      <c r="E20" s="38" t="s">
        <v>5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 t="s">
        <v>2</v>
      </c>
      <c r="F22" s="38"/>
      <c r="G22" s="38"/>
      <c r="H22" s="38"/>
    </row>
    <row r="23" spans="1:8" x14ac:dyDescent="0.25">
      <c r="A23" s="4">
        <v>19</v>
      </c>
      <c r="B23" s="38"/>
      <c r="C23" s="38" t="s">
        <v>6</v>
      </c>
      <c r="D23" s="38" t="s">
        <v>6</v>
      </c>
      <c r="E23" s="38"/>
      <c r="F23" s="38" t="s">
        <v>6</v>
      </c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/>
    </row>
    <row r="25" spans="1:8" x14ac:dyDescent="0.25">
      <c r="A25" s="4">
        <v>21</v>
      </c>
      <c r="B25" s="38"/>
      <c r="C25" s="38"/>
      <c r="D25" s="38" t="s">
        <v>6</v>
      </c>
      <c r="E25" s="38"/>
      <c r="F25" s="38"/>
      <c r="G25" s="38" t="s">
        <v>2</v>
      </c>
      <c r="H25" s="38" t="s">
        <v>2</v>
      </c>
    </row>
    <row r="26" spans="1:8" x14ac:dyDescent="0.25">
      <c r="A26" s="4">
        <v>22</v>
      </c>
      <c r="B26" s="38"/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/>
      <c r="D27" s="38" t="s">
        <v>2</v>
      </c>
      <c r="E27" s="38"/>
      <c r="F27" s="38"/>
      <c r="G27" s="38" t="s">
        <v>2</v>
      </c>
      <c r="H27" s="38" t="s">
        <v>2</v>
      </c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2</v>
      </c>
      <c r="H29" s="38"/>
    </row>
    <row r="30" spans="1:8" x14ac:dyDescent="0.25">
      <c r="A30" s="4">
        <v>26</v>
      </c>
      <c r="B30" s="38"/>
      <c r="C30" s="38" t="s">
        <v>2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 t="s">
        <v>2</v>
      </c>
      <c r="E31" s="38"/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 t="s">
        <v>2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 t="s">
        <v>7</v>
      </c>
      <c r="E34" s="38"/>
      <c r="F34" s="38"/>
      <c r="G34" s="38"/>
      <c r="H34" s="38"/>
    </row>
    <row r="35" spans="1:8" x14ac:dyDescent="0.25">
      <c r="A35" s="4">
        <v>31</v>
      </c>
      <c r="B35" s="38" t="s">
        <v>7</v>
      </c>
      <c r="C35" s="38"/>
      <c r="D35" s="38" t="s">
        <v>2</v>
      </c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 t="s">
        <v>2</v>
      </c>
      <c r="G37" s="38" t="s">
        <v>2</v>
      </c>
      <c r="H37" s="38"/>
    </row>
    <row r="38" spans="1:8" x14ac:dyDescent="0.25">
      <c r="A38" s="4">
        <v>34</v>
      </c>
      <c r="B38" s="38" t="s">
        <v>7</v>
      </c>
      <c r="C38" s="38"/>
      <c r="D38" s="38" t="s">
        <v>6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 t="s">
        <v>2</v>
      </c>
      <c r="C39" s="38"/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2</v>
      </c>
      <c r="C40" s="38"/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 t="s">
        <v>2</v>
      </c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 t="s">
        <v>2</v>
      </c>
      <c r="F42" s="38" t="s">
        <v>2</v>
      </c>
      <c r="G42" s="38"/>
      <c r="H42" s="38"/>
    </row>
    <row r="43" spans="1:8" x14ac:dyDescent="0.25">
      <c r="A43" s="4">
        <v>39</v>
      </c>
      <c r="B43" s="38" t="s">
        <v>2</v>
      </c>
      <c r="C43" s="38"/>
      <c r="D43" s="38" t="s">
        <v>2</v>
      </c>
      <c r="E43" s="38"/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/>
      <c r="G44" s="38" t="s">
        <v>2</v>
      </c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2</v>
      </c>
      <c r="G45" s="38"/>
      <c r="H45" s="38"/>
    </row>
    <row r="46" spans="1:8" x14ac:dyDescent="0.25">
      <c r="A46" s="4">
        <v>42</v>
      </c>
      <c r="B46" s="38"/>
      <c r="C46" s="38" t="s">
        <v>2</v>
      </c>
      <c r="D46" s="38"/>
      <c r="E46" s="38"/>
      <c r="F46" s="38" t="s">
        <v>2</v>
      </c>
      <c r="G46" s="38" t="s">
        <v>2</v>
      </c>
      <c r="H46" s="38"/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/>
    </row>
    <row r="48" spans="1:8" x14ac:dyDescent="0.25">
      <c r="A48" s="4">
        <v>44</v>
      </c>
      <c r="B48" s="38" t="s">
        <v>2</v>
      </c>
      <c r="C48" s="38"/>
      <c r="D48" s="38"/>
      <c r="E48" s="38" t="s">
        <v>5</v>
      </c>
      <c r="F48" s="38"/>
      <c r="G48" s="38"/>
      <c r="H48" s="38" t="s">
        <v>2</v>
      </c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 t="s">
        <v>2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 t="s">
        <v>2</v>
      </c>
      <c r="G52" s="38" t="s">
        <v>2</v>
      </c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 t="s">
        <v>2</v>
      </c>
      <c r="E55" s="38"/>
      <c r="F55" s="38"/>
      <c r="G55" s="38" t="s">
        <v>2</v>
      </c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5</v>
      </c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/>
      <c r="C61" s="38"/>
      <c r="D61" s="38" t="s">
        <v>2</v>
      </c>
      <c r="E61" s="38"/>
      <c r="F61" s="38"/>
      <c r="G61" s="38" t="s">
        <v>2</v>
      </c>
      <c r="H61" s="38"/>
    </row>
    <row r="62" spans="1:8" x14ac:dyDescent="0.25">
      <c r="A62" s="18">
        <v>74</v>
      </c>
      <c r="B62" s="38"/>
      <c r="C62" s="38"/>
      <c r="D62" s="38" t="s">
        <v>5</v>
      </c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 t="s">
        <v>2</v>
      </c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 t="s">
        <v>2</v>
      </c>
      <c r="D68" s="38"/>
      <c r="E68" s="38"/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/>
      <c r="D75" s="38"/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 t="s">
        <v>2</v>
      </c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 t="s">
        <v>2</v>
      </c>
      <c r="F84" s="38"/>
      <c r="G84" s="38" t="s">
        <v>2</v>
      </c>
      <c r="H84" s="38" t="s">
        <v>2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 t="s">
        <v>2</v>
      </c>
      <c r="E86" s="38" t="s">
        <v>2</v>
      </c>
      <c r="F86" s="38" t="s">
        <v>2</v>
      </c>
      <c r="G86" s="38" t="s">
        <v>2</v>
      </c>
      <c r="H86" s="38"/>
    </row>
    <row r="87" spans="1:8" x14ac:dyDescent="0.25">
      <c r="A87" s="18">
        <v>125</v>
      </c>
      <c r="B87" s="38"/>
      <c r="C87" s="38"/>
      <c r="D87" s="38" t="s">
        <v>2</v>
      </c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4" priority="18" operator="equal">
      <formula>"Energia"</formula>
    </cfRule>
    <cfRule type="cellIs" dxfId="113" priority="20" operator="equal">
      <formula>"Operação"</formula>
    </cfRule>
    <cfRule type="cellIs" dxfId="112" priority="21" operator="equal">
      <formula>"Chuva"</formula>
    </cfRule>
    <cfRule type="cellIs" dxfId="111" priority="22" operator="equal">
      <formula>"Elétrico"</formula>
    </cfRule>
    <cfRule type="cellIs" dxfId="110" priority="23" operator="equal">
      <formula>"Mecânico"</formula>
    </cfRule>
    <cfRule type="cellIs" dxfId="109" priority="24" operator="equal">
      <formula>"Ok"</formula>
    </cfRule>
  </conditionalFormatting>
  <conditionalFormatting sqref="B61:I62 I5:I60 B63:H95">
    <cfRule type="cellIs" dxfId="10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7" priority="16" operator="equal">
      <formula>"Energia"</formula>
    </cfRule>
  </conditionalFormatting>
  <conditionalFormatting sqref="B5:E60 G5:H60">
    <cfRule type="cellIs" dxfId="106" priority="9" operator="equal">
      <formula>"Energia"</formula>
    </cfRule>
    <cfRule type="cellIs" dxfId="105" priority="11" operator="equal">
      <formula>"Operação"</formula>
    </cfRule>
    <cfRule type="cellIs" dxfId="104" priority="12" operator="equal">
      <formula>"Chuva"</formula>
    </cfRule>
    <cfRule type="cellIs" dxfId="103" priority="13" operator="equal">
      <formula>"Elétrico"</formula>
    </cfRule>
    <cfRule type="cellIs" dxfId="102" priority="14" operator="equal">
      <formula>"Mecânico"</formula>
    </cfRule>
    <cfRule type="cellIs" dxfId="101" priority="15" operator="equal">
      <formula>"Ok"</formula>
    </cfRule>
  </conditionalFormatting>
  <conditionalFormatting sqref="B5:E60 G5:H60">
    <cfRule type="cellIs" dxfId="100" priority="10" operator="equal">
      <formula>"Feito"</formula>
    </cfRule>
  </conditionalFormatting>
  <conditionalFormatting sqref="F5:F11">
    <cfRule type="cellIs" dxfId="99" priority="8" operator="equal">
      <formula>"Energia"</formula>
    </cfRule>
  </conditionalFormatting>
  <conditionalFormatting sqref="F5:F60">
    <cfRule type="cellIs" dxfId="98" priority="1" operator="equal">
      <formula>"Energia"</formula>
    </cfRule>
    <cfRule type="cellIs" dxfId="97" priority="3" operator="equal">
      <formula>"Operação"</formula>
    </cfRule>
    <cfRule type="cellIs" dxfId="96" priority="4" operator="equal">
      <formula>"Chuva"</formula>
    </cfRule>
    <cfRule type="cellIs" dxfId="95" priority="5" operator="equal">
      <formula>"Elétrico"</formula>
    </cfRule>
    <cfRule type="cellIs" dxfId="94" priority="6" operator="equal">
      <formula>"Mecânico"</formula>
    </cfRule>
    <cfRule type="cellIs" dxfId="93" priority="7" operator="equal">
      <formula>"Ok"</formula>
    </cfRule>
  </conditionalFormatting>
  <conditionalFormatting sqref="F5:F60">
    <cfRule type="cellIs" dxfId="92" priority="2" operator="equal">
      <formula>"Feito"</formula>
    </cfRule>
  </conditionalFormatting>
  <dataValidations count="1">
    <dataValidation type="list" allowBlank="1" showInputMessage="1" showErrorMessage="1" sqref="B61:I62 B5:I26 B27:J60 B63:H95" xr:uid="{FCC8C18E-9A33-44E6-B137-BFA1A6CD490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7D08-F941-45E1-87E8-82C2C6A7B221}">
  <dimension ref="A1:L95"/>
  <sheetViews>
    <sheetView zoomScale="115" zoomScaleNormal="115" workbookViewId="0">
      <pane ySplit="4" topLeftCell="A15" activePane="bottomLeft" state="frozen"/>
      <selection pane="bottomLeft" activeCell="J50" sqref="J5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29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44725</v>
      </c>
      <c r="C3" s="23">
        <f>B3+1</f>
        <v>44726</v>
      </c>
      <c r="D3" s="23">
        <f t="shared" ref="D3:H3" si="0">C3+1</f>
        <v>44727</v>
      </c>
      <c r="E3" s="23">
        <f t="shared" si="0"/>
        <v>44728</v>
      </c>
      <c r="F3" s="23">
        <f t="shared" si="0"/>
        <v>44729</v>
      </c>
      <c r="G3" s="23">
        <f t="shared" si="0"/>
        <v>44730</v>
      </c>
      <c r="H3" s="25">
        <f t="shared" si="0"/>
        <v>44731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/>
      <c r="D5" s="38"/>
      <c r="E5" s="38" t="s">
        <v>2</v>
      </c>
      <c r="F5" s="38"/>
      <c r="G5" s="38"/>
      <c r="H5" s="38" t="s">
        <v>6</v>
      </c>
      <c r="J5" s="48" t="s">
        <v>2</v>
      </c>
      <c r="K5">
        <f>COUNTIF($B$5:$H$95,J5)</f>
        <v>171</v>
      </c>
      <c r="L5" s="34">
        <f t="shared" ref="L5:L10" si="2">K5/$K$11</f>
        <v>0.85929648241206025</v>
      </c>
    </row>
    <row r="6" spans="1:12" x14ac:dyDescent="0.25">
      <c r="A6" s="4">
        <v>2</v>
      </c>
      <c r="B6" s="38"/>
      <c r="C6" s="38" t="s">
        <v>2</v>
      </c>
      <c r="D6" s="38"/>
      <c r="E6" s="38"/>
      <c r="F6" s="38" t="s">
        <v>2</v>
      </c>
      <c r="G6" s="38"/>
      <c r="H6" s="38"/>
      <c r="J6" s="42" t="s">
        <v>5</v>
      </c>
      <c r="K6">
        <f>COUNTIF($B$5:$H$95,J6)</f>
        <v>4</v>
      </c>
      <c r="L6" s="35">
        <f t="shared" si="2"/>
        <v>2.0100502512562814E-2</v>
      </c>
    </row>
    <row r="7" spans="1:12" x14ac:dyDescent="0.25">
      <c r="A7" s="4">
        <v>3</v>
      </c>
      <c r="B7" s="38"/>
      <c r="C7" s="38"/>
      <c r="D7" s="38"/>
      <c r="E7" s="38" t="s">
        <v>2</v>
      </c>
      <c r="F7" s="38" t="s">
        <v>2</v>
      </c>
      <c r="G7" s="38"/>
      <c r="H7" s="38"/>
      <c r="J7" s="46" t="s">
        <v>6</v>
      </c>
      <c r="K7">
        <f t="shared" ref="K7:K10" si="3">COUNTIF($B$5:$H$95,J7)</f>
        <v>13</v>
      </c>
      <c r="L7" s="35">
        <f t="shared" si="2"/>
        <v>6.5326633165829151E-2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 t="s">
        <v>2</v>
      </c>
      <c r="D9" s="38" t="s">
        <v>2</v>
      </c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5.5276381909547742E-2</v>
      </c>
    </row>
    <row r="11" spans="1:12" x14ac:dyDescent="0.25">
      <c r="A11" s="4">
        <v>7</v>
      </c>
      <c r="B11" s="38" t="s">
        <v>2</v>
      </c>
      <c r="C11" s="38" t="s">
        <v>2</v>
      </c>
      <c r="D11" s="38" t="s">
        <v>2</v>
      </c>
      <c r="E11" s="38"/>
      <c r="F11" s="38" t="s">
        <v>2</v>
      </c>
      <c r="G11" s="38"/>
      <c r="H11" s="38" t="s">
        <v>6</v>
      </c>
      <c r="J11" s="44" t="s">
        <v>17</v>
      </c>
      <c r="K11">
        <f>SUM(K5:K10)</f>
        <v>199</v>
      </c>
    </row>
    <row r="12" spans="1:12" x14ac:dyDescent="0.25">
      <c r="A12" s="4">
        <v>8</v>
      </c>
      <c r="B12" s="38"/>
      <c r="C12" s="38" t="s">
        <v>2</v>
      </c>
      <c r="D12" s="38"/>
      <c r="E12" s="38" t="s">
        <v>2</v>
      </c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/>
      <c r="C13" s="38"/>
      <c r="D13" s="38" t="s">
        <v>2</v>
      </c>
      <c r="E13" s="38"/>
      <c r="F13" s="38" t="s">
        <v>2</v>
      </c>
      <c r="G13" s="38"/>
      <c r="H13" s="38" t="s">
        <v>2</v>
      </c>
    </row>
    <row r="14" spans="1:12" x14ac:dyDescent="0.25">
      <c r="A14" s="4">
        <v>10</v>
      </c>
      <c r="B14" s="38" t="s">
        <v>2</v>
      </c>
      <c r="C14" s="38" t="s">
        <v>2</v>
      </c>
      <c r="D14" s="38" t="s">
        <v>2</v>
      </c>
      <c r="E14" s="38" t="s">
        <v>2</v>
      </c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/>
      <c r="C15" s="38" t="s">
        <v>2</v>
      </c>
      <c r="D15" s="38"/>
      <c r="E15" s="38" t="s">
        <v>2</v>
      </c>
      <c r="F15" s="38"/>
      <c r="G15" s="38"/>
      <c r="H15" s="38" t="s">
        <v>7</v>
      </c>
    </row>
    <row r="16" spans="1:12" x14ac:dyDescent="0.25">
      <c r="A16" s="4">
        <v>12</v>
      </c>
      <c r="B16" s="38"/>
      <c r="C16" s="38" t="s">
        <v>2</v>
      </c>
      <c r="D16" s="38"/>
      <c r="E16" s="38"/>
      <c r="F16" s="38" t="s">
        <v>2</v>
      </c>
      <c r="G16" s="38"/>
      <c r="H16" s="38"/>
    </row>
    <row r="17" spans="1:8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 t="s">
        <v>2</v>
      </c>
      <c r="C18" s="38" t="s">
        <v>5</v>
      </c>
      <c r="D18" s="38"/>
      <c r="E18" s="38"/>
      <c r="F18" s="38" t="s">
        <v>7</v>
      </c>
      <c r="G18" s="38" t="s">
        <v>2</v>
      </c>
      <c r="H18" s="38"/>
    </row>
    <row r="19" spans="1:8" x14ac:dyDescent="0.25">
      <c r="A19" s="4">
        <v>15</v>
      </c>
      <c r="B19" s="38"/>
      <c r="C19" s="38" t="s">
        <v>2</v>
      </c>
      <c r="D19" s="38" t="s">
        <v>2</v>
      </c>
      <c r="E19" s="38"/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7</v>
      </c>
      <c r="E20" s="38"/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/>
      <c r="E21" s="38" t="s">
        <v>2</v>
      </c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/>
      <c r="D23" s="38" t="s">
        <v>2</v>
      </c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/>
      <c r="C25" s="38"/>
      <c r="D25" s="38"/>
      <c r="E25" s="38" t="s">
        <v>2</v>
      </c>
      <c r="F25" s="38"/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 t="s">
        <v>2</v>
      </c>
      <c r="E26" s="38"/>
      <c r="F26" s="38"/>
      <c r="G26" s="38" t="s">
        <v>2</v>
      </c>
      <c r="H26" s="38" t="s">
        <v>2</v>
      </c>
    </row>
    <row r="27" spans="1:8" x14ac:dyDescent="0.25">
      <c r="A27" s="4">
        <v>23</v>
      </c>
      <c r="B27" s="38"/>
      <c r="C27" s="38"/>
      <c r="D27" s="38" t="s">
        <v>2</v>
      </c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6</v>
      </c>
      <c r="D28" s="38"/>
      <c r="E28" s="38" t="s">
        <v>5</v>
      </c>
      <c r="F28" s="38"/>
      <c r="G28" s="38"/>
      <c r="H28" s="38"/>
    </row>
    <row r="29" spans="1:8" x14ac:dyDescent="0.25">
      <c r="A29" s="4">
        <v>25</v>
      </c>
      <c r="B29" s="38" t="s">
        <v>2</v>
      </c>
      <c r="C29" s="38"/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 t="s">
        <v>2</v>
      </c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/>
      <c r="F31" s="38" t="s">
        <v>2</v>
      </c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 t="s">
        <v>2</v>
      </c>
      <c r="C36" s="38"/>
      <c r="D36" s="38"/>
      <c r="E36" s="38" t="s">
        <v>7</v>
      </c>
      <c r="F36" s="38"/>
      <c r="G36" s="38"/>
      <c r="H36" s="38" t="s">
        <v>6</v>
      </c>
    </row>
    <row r="37" spans="1:8" x14ac:dyDescent="0.25">
      <c r="A37" s="4">
        <v>33</v>
      </c>
      <c r="B37" s="38"/>
      <c r="C37" s="38" t="s">
        <v>2</v>
      </c>
      <c r="D37" s="38" t="s">
        <v>2</v>
      </c>
      <c r="E37" s="38"/>
      <c r="F37" s="38"/>
      <c r="G37" s="38" t="s">
        <v>2</v>
      </c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/>
      <c r="F38" s="38" t="s">
        <v>7</v>
      </c>
      <c r="G38" s="38"/>
      <c r="H38" s="38"/>
    </row>
    <row r="39" spans="1:8" x14ac:dyDescent="0.25">
      <c r="A39" s="4">
        <v>35</v>
      </c>
      <c r="B39" s="38" t="s">
        <v>2</v>
      </c>
      <c r="C39" s="38"/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 t="s">
        <v>2</v>
      </c>
      <c r="C40" s="38"/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 t="s">
        <v>2</v>
      </c>
      <c r="D41" s="38"/>
      <c r="E41" s="38" t="s">
        <v>2</v>
      </c>
      <c r="F41" s="38"/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/>
      <c r="E42" s="38" t="s">
        <v>2</v>
      </c>
      <c r="F42" s="38"/>
      <c r="G42" s="38"/>
      <c r="H42" s="38" t="s">
        <v>6</v>
      </c>
    </row>
    <row r="43" spans="1:8" x14ac:dyDescent="0.25">
      <c r="A43" s="4">
        <v>39</v>
      </c>
      <c r="B43" s="38"/>
      <c r="C43" s="38" t="s">
        <v>6</v>
      </c>
      <c r="D43" s="38"/>
      <c r="E43" s="38"/>
      <c r="F43" s="38"/>
      <c r="G43" s="38" t="s">
        <v>2</v>
      </c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2</v>
      </c>
      <c r="F45" s="38"/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 t="s">
        <v>2</v>
      </c>
      <c r="E46" s="38"/>
      <c r="F46" s="38"/>
      <c r="G46" s="38" t="s">
        <v>2</v>
      </c>
      <c r="H46" s="38" t="s">
        <v>2</v>
      </c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 t="s">
        <v>2</v>
      </c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 t="s">
        <v>2</v>
      </c>
      <c r="D51" s="38"/>
      <c r="E51" s="38"/>
      <c r="F51" s="38"/>
      <c r="G51" s="38"/>
      <c r="H51" s="38"/>
    </row>
    <row r="52" spans="1:8" x14ac:dyDescent="0.25">
      <c r="A52" s="4">
        <v>48</v>
      </c>
      <c r="B52" s="38" t="s">
        <v>7</v>
      </c>
      <c r="C52" s="38" t="s">
        <v>2</v>
      </c>
      <c r="D52" s="38" t="s">
        <v>2</v>
      </c>
      <c r="E52" s="38" t="s">
        <v>2</v>
      </c>
      <c r="F52" s="38" t="s">
        <v>7</v>
      </c>
      <c r="G52" s="38" t="s">
        <v>2</v>
      </c>
      <c r="H52" s="38" t="s">
        <v>7</v>
      </c>
    </row>
    <row r="53" spans="1:8" x14ac:dyDescent="0.25">
      <c r="A53" s="4">
        <v>49</v>
      </c>
      <c r="B53" s="38"/>
      <c r="C53" s="38" t="s">
        <v>6</v>
      </c>
      <c r="D53" s="38"/>
      <c r="E53" s="38"/>
      <c r="F53" s="38"/>
      <c r="G53" s="38"/>
      <c r="H53" s="38" t="s">
        <v>6</v>
      </c>
    </row>
    <row r="54" spans="1:8" x14ac:dyDescent="0.25">
      <c r="A54" s="4">
        <v>50</v>
      </c>
      <c r="B54" s="38" t="s">
        <v>2</v>
      </c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7</v>
      </c>
      <c r="F57" s="38"/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/>
      <c r="E58" s="38" t="s">
        <v>7</v>
      </c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2</v>
      </c>
      <c r="H59" s="38"/>
    </row>
    <row r="60" spans="1:8" x14ac:dyDescent="0.25">
      <c r="A60" s="4">
        <v>56</v>
      </c>
      <c r="B60" s="38"/>
      <c r="C60" s="38"/>
      <c r="D60" s="38" t="s">
        <v>5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 t="s">
        <v>6</v>
      </c>
      <c r="D61" s="38"/>
      <c r="E61" s="38"/>
      <c r="F61" s="38" t="s">
        <v>2</v>
      </c>
      <c r="G61" s="38"/>
      <c r="H61" s="38"/>
    </row>
    <row r="62" spans="1:8" x14ac:dyDescent="0.25">
      <c r="A62" s="18">
        <v>74</v>
      </c>
      <c r="B62" s="38"/>
      <c r="C62" s="38" t="s">
        <v>2</v>
      </c>
      <c r="D62" s="38"/>
      <c r="E62" s="38"/>
      <c r="F62" s="38" t="s">
        <v>2</v>
      </c>
      <c r="G62" s="38"/>
      <c r="H62" s="38"/>
    </row>
    <row r="63" spans="1:8" x14ac:dyDescent="0.25">
      <c r="A63" s="18">
        <v>101</v>
      </c>
      <c r="B63" s="39"/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/>
      <c r="D64" s="38" t="s">
        <v>2</v>
      </c>
      <c r="E64" s="38"/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 t="s">
        <v>7</v>
      </c>
      <c r="G67" s="38"/>
      <c r="H67" s="38"/>
    </row>
    <row r="68" spans="1:8" x14ac:dyDescent="0.25">
      <c r="A68" s="18">
        <v>106</v>
      </c>
      <c r="B68" s="38"/>
      <c r="C68" s="38"/>
      <c r="D68" s="38" t="s">
        <v>2</v>
      </c>
      <c r="E68" s="38"/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/>
      <c r="C70" s="38"/>
      <c r="D70" s="38" t="s">
        <v>2</v>
      </c>
      <c r="E70" s="38"/>
      <c r="F70" s="38"/>
      <c r="G70" s="38"/>
      <c r="H70" s="38"/>
    </row>
    <row r="71" spans="1:8" x14ac:dyDescent="0.25">
      <c r="A71" s="18">
        <v>109</v>
      </c>
      <c r="B71" s="38" t="s">
        <v>2</v>
      </c>
      <c r="C71" s="38"/>
      <c r="D71" s="38"/>
      <c r="E71" s="38" t="s">
        <v>2</v>
      </c>
      <c r="F71" s="38"/>
      <c r="G71" s="38"/>
      <c r="H71" s="38"/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 t="s">
        <v>2</v>
      </c>
      <c r="F74" s="38" t="s">
        <v>2</v>
      </c>
      <c r="G74" s="38"/>
      <c r="H74" s="38" t="s">
        <v>2</v>
      </c>
    </row>
    <row r="75" spans="1:8" x14ac:dyDescent="0.25">
      <c r="A75" s="18">
        <v>113</v>
      </c>
      <c r="B75" s="38"/>
      <c r="C75" s="38"/>
      <c r="D75" s="38"/>
      <c r="E75" s="38"/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 t="s">
        <v>2</v>
      </c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 t="s">
        <v>2</v>
      </c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 t="s">
        <v>2</v>
      </c>
      <c r="E82" s="38" t="s">
        <v>2</v>
      </c>
      <c r="F82" s="38"/>
      <c r="G82" s="38" t="s">
        <v>2</v>
      </c>
      <c r="H82" s="38" t="s">
        <v>2</v>
      </c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 t="s">
        <v>2</v>
      </c>
      <c r="D84" s="38" t="s">
        <v>2</v>
      </c>
      <c r="E84" s="38" t="s">
        <v>6</v>
      </c>
      <c r="F84" s="38" t="s">
        <v>2</v>
      </c>
      <c r="G84" s="38" t="s">
        <v>2</v>
      </c>
      <c r="H84" s="38" t="s">
        <v>5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 t="s">
        <v>2</v>
      </c>
      <c r="E86" s="38" t="s">
        <v>2</v>
      </c>
      <c r="F86" s="38" t="s">
        <v>2</v>
      </c>
      <c r="G86" s="38" t="s">
        <v>2</v>
      </c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/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 t="s">
        <v>2</v>
      </c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 t="s">
        <v>2</v>
      </c>
      <c r="F95" s="38" t="s">
        <v>2</v>
      </c>
      <c r="G95" s="38" t="s">
        <v>6</v>
      </c>
      <c r="H95" s="38" t="s">
        <v>2</v>
      </c>
    </row>
  </sheetData>
  <mergeCells count="1">
    <mergeCell ref="A1:H2"/>
  </mergeCells>
  <conditionalFormatting sqref="B61:I62 I5:I60 B63:H95">
    <cfRule type="cellIs" dxfId="91" priority="18" operator="equal">
      <formula>"Energia"</formula>
    </cfRule>
    <cfRule type="cellIs" dxfId="90" priority="20" operator="equal">
      <formula>"Operação"</formula>
    </cfRule>
    <cfRule type="cellIs" dxfId="89" priority="21" operator="equal">
      <formula>"Chuva"</formula>
    </cfRule>
    <cfRule type="cellIs" dxfId="88" priority="22" operator="equal">
      <formula>"Elétrico"</formula>
    </cfRule>
    <cfRule type="cellIs" dxfId="87" priority="23" operator="equal">
      <formula>"Mecânico"</formula>
    </cfRule>
    <cfRule type="cellIs" dxfId="86" priority="24" operator="equal">
      <formula>"Ok"</formula>
    </cfRule>
  </conditionalFormatting>
  <conditionalFormatting sqref="B61:I62 I5:I60 B63:H95">
    <cfRule type="cellIs" dxfId="8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4" priority="16" operator="equal">
      <formula>"Energia"</formula>
    </cfRule>
  </conditionalFormatting>
  <conditionalFormatting sqref="B5:E60 G5:H60">
    <cfRule type="cellIs" dxfId="83" priority="9" operator="equal">
      <formula>"Energia"</formula>
    </cfRule>
    <cfRule type="cellIs" dxfId="82" priority="11" operator="equal">
      <formula>"Operação"</formula>
    </cfRule>
    <cfRule type="cellIs" dxfId="81" priority="12" operator="equal">
      <formula>"Chuva"</formula>
    </cfRule>
    <cfRule type="cellIs" dxfId="80" priority="13" operator="equal">
      <formula>"Elétrico"</formula>
    </cfRule>
    <cfRule type="cellIs" dxfId="79" priority="14" operator="equal">
      <formula>"Mecânico"</formula>
    </cfRule>
    <cfRule type="cellIs" dxfId="78" priority="15" operator="equal">
      <formula>"Ok"</formula>
    </cfRule>
  </conditionalFormatting>
  <conditionalFormatting sqref="B5:E60 G5:H60">
    <cfRule type="cellIs" dxfId="77" priority="10" operator="equal">
      <formula>"Feito"</formula>
    </cfRule>
  </conditionalFormatting>
  <conditionalFormatting sqref="F5:F11">
    <cfRule type="cellIs" dxfId="76" priority="8" operator="equal">
      <formula>"Energia"</formula>
    </cfRule>
  </conditionalFormatting>
  <conditionalFormatting sqref="F5:F60">
    <cfRule type="cellIs" dxfId="75" priority="1" operator="equal">
      <formula>"Energia"</formula>
    </cfRule>
    <cfRule type="cellIs" dxfId="74" priority="3" operator="equal">
      <formula>"Operação"</formula>
    </cfRule>
    <cfRule type="cellIs" dxfId="73" priority="4" operator="equal">
      <formula>"Chuva"</formula>
    </cfRule>
    <cfRule type="cellIs" dxfId="72" priority="5" operator="equal">
      <formula>"Elétrico"</formula>
    </cfRule>
    <cfRule type="cellIs" dxfId="71" priority="6" operator="equal">
      <formula>"Mecânico"</formula>
    </cfRule>
    <cfRule type="cellIs" dxfId="70" priority="7" operator="equal">
      <formula>"Ok"</formula>
    </cfRule>
  </conditionalFormatting>
  <conditionalFormatting sqref="F5:F60">
    <cfRule type="cellIs" dxfId="69" priority="2" operator="equal">
      <formula>"Feito"</formula>
    </cfRule>
  </conditionalFormatting>
  <dataValidations count="1">
    <dataValidation type="list" allowBlank="1" showInputMessage="1" showErrorMessage="1" sqref="B61:I62 B5:I26 B27:J60 B63:H95" xr:uid="{D655B016-5CFF-4AA7-BA7B-7320DA0D881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1967-8267-467A-8759-093D65B450F2}">
  <dimension ref="A1:L95"/>
  <sheetViews>
    <sheetView zoomScale="115" zoomScaleNormal="115" workbookViewId="0">
      <pane ySplit="4" topLeftCell="A5" activePane="bottomLeft" state="frozen"/>
      <selection pane="bottomLef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29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44732</v>
      </c>
      <c r="C3" s="23">
        <f>B3+1</f>
        <v>44733</v>
      </c>
      <c r="D3" s="23">
        <f t="shared" ref="D3:H3" si="0">C3+1</f>
        <v>44734</v>
      </c>
      <c r="E3" s="23">
        <f t="shared" si="0"/>
        <v>44735</v>
      </c>
      <c r="F3" s="23">
        <f t="shared" si="0"/>
        <v>44736</v>
      </c>
      <c r="G3" s="23">
        <f t="shared" si="0"/>
        <v>44737</v>
      </c>
      <c r="H3" s="25">
        <f t="shared" si="0"/>
        <v>44738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/>
      <c r="D5" s="38"/>
      <c r="E5" s="38" t="s">
        <v>2</v>
      </c>
      <c r="F5" s="38"/>
      <c r="G5" s="38"/>
      <c r="H5" s="38"/>
      <c r="J5" s="48" t="s">
        <v>2</v>
      </c>
      <c r="K5">
        <f>COUNTIF($B$5:$H$95,J5)</f>
        <v>149</v>
      </c>
      <c r="L5" s="34">
        <f t="shared" ref="L5:L10" si="2">K5/$K$11</f>
        <v>0.87134502923976609</v>
      </c>
    </row>
    <row r="6" spans="1:12" x14ac:dyDescent="0.25">
      <c r="A6" s="4">
        <v>2</v>
      </c>
      <c r="B6" s="38" t="s">
        <v>2</v>
      </c>
      <c r="C6" s="38"/>
      <c r="D6" s="38"/>
      <c r="E6" s="38"/>
      <c r="F6" s="38" t="s">
        <v>2</v>
      </c>
      <c r="G6" s="38"/>
      <c r="H6" s="38" t="s">
        <v>2</v>
      </c>
      <c r="J6" s="42" t="s">
        <v>5</v>
      </c>
      <c r="K6">
        <f>COUNTIF($B$5:$H$95,J6)</f>
        <v>8</v>
      </c>
      <c r="L6" s="35">
        <f t="shared" si="2"/>
        <v>4.6783625730994149E-2</v>
      </c>
    </row>
    <row r="7" spans="1:12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2</v>
      </c>
      <c r="L7" s="35">
        <f t="shared" si="2"/>
        <v>1.1695906432748537E-2</v>
      </c>
    </row>
    <row r="8" spans="1:12" x14ac:dyDescent="0.25">
      <c r="A8" s="4">
        <v>4</v>
      </c>
      <c r="B8" s="38"/>
      <c r="C8" s="38"/>
      <c r="D8" s="38" t="s">
        <v>2</v>
      </c>
      <c r="E8" s="38" t="s">
        <v>2</v>
      </c>
      <c r="F8" s="38"/>
      <c r="G8" s="38"/>
      <c r="H8" s="38"/>
      <c r="J8" s="47" t="s">
        <v>4</v>
      </c>
      <c r="K8">
        <f t="shared" si="3"/>
        <v>5</v>
      </c>
      <c r="L8" s="35">
        <f t="shared" si="2"/>
        <v>2.9239766081871343E-2</v>
      </c>
    </row>
    <row r="9" spans="1:12" x14ac:dyDescent="0.25">
      <c r="A9" s="4">
        <v>5</v>
      </c>
      <c r="B9" s="38"/>
      <c r="C9" s="38" t="s">
        <v>2</v>
      </c>
      <c r="D9" s="38"/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 t="s">
        <v>2</v>
      </c>
      <c r="H10" s="38"/>
      <c r="J10" s="43" t="s">
        <v>7</v>
      </c>
      <c r="K10">
        <f t="shared" si="3"/>
        <v>7</v>
      </c>
      <c r="L10" s="37">
        <f t="shared" si="2"/>
        <v>4.0935672514619881E-2</v>
      </c>
    </row>
    <row r="11" spans="1:12" x14ac:dyDescent="0.25">
      <c r="A11" s="4">
        <v>7</v>
      </c>
      <c r="B11" s="38"/>
      <c r="C11" s="38" t="s">
        <v>2</v>
      </c>
      <c r="D11" s="38"/>
      <c r="E11" s="38"/>
      <c r="F11" s="38"/>
      <c r="G11" s="38" t="s">
        <v>2</v>
      </c>
      <c r="H11" s="38"/>
      <c r="J11" s="44" t="s">
        <v>17</v>
      </c>
      <c r="K11">
        <f>SUM(K5:K10)</f>
        <v>171</v>
      </c>
    </row>
    <row r="12" spans="1:12" x14ac:dyDescent="0.25">
      <c r="A12" s="4">
        <v>8</v>
      </c>
      <c r="B12" s="38" t="s">
        <v>2</v>
      </c>
      <c r="C12" s="38" t="s">
        <v>7</v>
      </c>
      <c r="D12" s="38" t="s">
        <v>2</v>
      </c>
      <c r="E12" s="38"/>
      <c r="F12" s="38" t="s">
        <v>2</v>
      </c>
      <c r="G12" s="38"/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 t="s">
        <v>5</v>
      </c>
      <c r="E13" s="38"/>
      <c r="F13" s="38" t="s">
        <v>2</v>
      </c>
      <c r="G13" s="38"/>
      <c r="H13" s="38" t="s">
        <v>2</v>
      </c>
    </row>
    <row r="14" spans="1:12" x14ac:dyDescent="0.25">
      <c r="A14" s="4">
        <v>10</v>
      </c>
      <c r="B14" s="38"/>
      <c r="C14" s="38" t="s">
        <v>2</v>
      </c>
      <c r="D14" s="38" t="s">
        <v>2</v>
      </c>
      <c r="E14" s="38" t="s">
        <v>2</v>
      </c>
      <c r="F14" s="38"/>
      <c r="G14" s="38" t="s">
        <v>2</v>
      </c>
      <c r="H14" s="38"/>
    </row>
    <row r="15" spans="1:12" x14ac:dyDescent="0.25">
      <c r="A15" s="4">
        <v>11</v>
      </c>
      <c r="B15" s="38" t="s">
        <v>7</v>
      </c>
      <c r="C15" s="38"/>
      <c r="D15" s="38" t="s">
        <v>2</v>
      </c>
      <c r="E15" s="38"/>
      <c r="F15" s="38" t="s">
        <v>2</v>
      </c>
      <c r="G15" s="38"/>
      <c r="H15" s="38"/>
    </row>
    <row r="16" spans="1:12" x14ac:dyDescent="0.25">
      <c r="A16" s="4">
        <v>12</v>
      </c>
      <c r="B16" s="38" t="s">
        <v>2</v>
      </c>
      <c r="C16" s="38"/>
      <c r="D16" s="38" t="s">
        <v>2</v>
      </c>
      <c r="E16" s="38"/>
      <c r="F16" s="38" t="s">
        <v>2</v>
      </c>
      <c r="G16" s="38"/>
      <c r="H16" s="38" t="s">
        <v>2</v>
      </c>
    </row>
    <row r="17" spans="1:8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 t="s">
        <v>2</v>
      </c>
      <c r="H17" s="38"/>
    </row>
    <row r="18" spans="1:8" x14ac:dyDescent="0.25">
      <c r="A18" s="4">
        <v>14</v>
      </c>
      <c r="B18" s="38" t="s">
        <v>2</v>
      </c>
      <c r="C18" s="38"/>
      <c r="D18" s="38" t="s">
        <v>2</v>
      </c>
      <c r="E18" s="38"/>
      <c r="F18" s="38" t="s">
        <v>2</v>
      </c>
      <c r="G18" s="38"/>
      <c r="H18" s="38" t="s">
        <v>2</v>
      </c>
    </row>
    <row r="19" spans="1:8" x14ac:dyDescent="0.25">
      <c r="A19" s="4">
        <v>15</v>
      </c>
      <c r="B19" s="38"/>
      <c r="C19" s="38"/>
      <c r="D19" s="38" t="s">
        <v>2</v>
      </c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 t="s">
        <v>7</v>
      </c>
      <c r="D20" s="38"/>
      <c r="E20" s="38"/>
      <c r="F20" s="38" t="s">
        <v>5</v>
      </c>
      <c r="G20" s="38" t="s">
        <v>6</v>
      </c>
      <c r="H20" s="38"/>
    </row>
    <row r="21" spans="1:8" x14ac:dyDescent="0.25">
      <c r="A21" s="4">
        <v>17</v>
      </c>
      <c r="B21" s="38"/>
      <c r="C21" s="38"/>
      <c r="D21" s="38" t="s">
        <v>4</v>
      </c>
      <c r="E21" s="38"/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 t="s">
        <v>2</v>
      </c>
      <c r="D23" s="38" t="s">
        <v>5</v>
      </c>
      <c r="E23" s="38"/>
      <c r="F23" s="38"/>
      <c r="G23" s="38" t="s">
        <v>2</v>
      </c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2</v>
      </c>
      <c r="F25" s="38" t="s">
        <v>2</v>
      </c>
      <c r="G25" s="38"/>
      <c r="H25" s="38"/>
    </row>
    <row r="26" spans="1:8" x14ac:dyDescent="0.25">
      <c r="A26" s="4">
        <v>22</v>
      </c>
      <c r="B26" s="38"/>
      <c r="C26" s="38"/>
      <c r="D26" s="38" t="s">
        <v>4</v>
      </c>
      <c r="E26" s="38"/>
      <c r="F26" s="38"/>
      <c r="G26" s="38"/>
      <c r="H26" s="38"/>
    </row>
    <row r="27" spans="1:8" x14ac:dyDescent="0.25">
      <c r="A27" s="4">
        <v>23</v>
      </c>
      <c r="B27" s="38" t="s">
        <v>2</v>
      </c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 t="s">
        <v>7</v>
      </c>
      <c r="C28" s="38"/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/>
      <c r="C29" s="38" t="s">
        <v>5</v>
      </c>
      <c r="D29" s="38" t="s">
        <v>2</v>
      </c>
      <c r="E29" s="38" t="s">
        <v>5</v>
      </c>
      <c r="F29" s="38"/>
      <c r="G29" s="38" t="s">
        <v>2</v>
      </c>
      <c r="H29" s="38"/>
    </row>
    <row r="30" spans="1:8" x14ac:dyDescent="0.25">
      <c r="A30" s="4">
        <v>26</v>
      </c>
      <c r="B30" s="38"/>
      <c r="C30" s="38"/>
      <c r="D30" s="38" t="s">
        <v>2</v>
      </c>
      <c r="E30" s="38" t="s">
        <v>2</v>
      </c>
      <c r="F30" s="38"/>
      <c r="G30" s="38"/>
      <c r="H30" s="38" t="s">
        <v>2</v>
      </c>
    </row>
    <row r="31" spans="1:8" x14ac:dyDescent="0.25">
      <c r="A31" s="4">
        <v>27</v>
      </c>
      <c r="B31" s="38" t="s">
        <v>2</v>
      </c>
      <c r="C31" s="38"/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/>
      <c r="C36" s="38"/>
      <c r="D36" s="38"/>
      <c r="E36" s="38" t="s">
        <v>2</v>
      </c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 t="s">
        <v>2</v>
      </c>
      <c r="C38" s="38"/>
      <c r="D38" s="38"/>
      <c r="E38" s="38"/>
      <c r="F38" s="38"/>
      <c r="G38" s="38"/>
      <c r="H38" s="38" t="s">
        <v>2</v>
      </c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2</v>
      </c>
      <c r="C40" s="38" t="s">
        <v>2</v>
      </c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 t="s">
        <v>7</v>
      </c>
      <c r="E41" s="38"/>
      <c r="F41" s="38" t="s">
        <v>2</v>
      </c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/>
      <c r="G42" s="38"/>
      <c r="H42" s="38" t="s">
        <v>2</v>
      </c>
    </row>
    <row r="43" spans="1:8" x14ac:dyDescent="0.25">
      <c r="A43" s="4">
        <v>39</v>
      </c>
      <c r="B43" s="38" t="s">
        <v>2</v>
      </c>
      <c r="C43" s="38"/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/>
      <c r="C44" s="38"/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/>
      <c r="C45" s="38"/>
      <c r="D45" s="38" t="s">
        <v>4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 t="s">
        <v>2</v>
      </c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 t="s">
        <v>2</v>
      </c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 t="s">
        <v>2</v>
      </c>
      <c r="C52" s="38" t="s">
        <v>7</v>
      </c>
      <c r="D52" s="38" t="s">
        <v>2</v>
      </c>
      <c r="E52" s="38" t="s">
        <v>2</v>
      </c>
      <c r="F52" s="38" t="s">
        <v>2</v>
      </c>
      <c r="G52" s="38" t="s">
        <v>2</v>
      </c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 t="s">
        <v>2</v>
      </c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 t="s">
        <v>2</v>
      </c>
      <c r="F58" s="38"/>
      <c r="G58" s="38"/>
      <c r="H58" s="38"/>
    </row>
    <row r="59" spans="1:8" x14ac:dyDescent="0.25">
      <c r="A59" s="4">
        <v>55</v>
      </c>
      <c r="B59" s="38"/>
      <c r="C59" s="38"/>
      <c r="D59" s="38" t="s">
        <v>4</v>
      </c>
      <c r="E59" s="38"/>
      <c r="F59" s="38"/>
      <c r="G59" s="38"/>
      <c r="H59" s="38"/>
    </row>
    <row r="60" spans="1:8" x14ac:dyDescent="0.25">
      <c r="A60" s="4">
        <v>56</v>
      </c>
      <c r="B60" s="38"/>
      <c r="C60" s="38" t="s">
        <v>4</v>
      </c>
      <c r="D60" s="38"/>
      <c r="E60" s="38"/>
      <c r="F60" s="38"/>
      <c r="G60" s="38"/>
      <c r="H60" s="38"/>
    </row>
    <row r="61" spans="1:8" x14ac:dyDescent="0.25">
      <c r="A61" s="18">
        <v>73</v>
      </c>
      <c r="B61" s="38" t="s">
        <v>5</v>
      </c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/>
      <c r="E62" s="38" t="s">
        <v>2</v>
      </c>
      <c r="F62" s="38"/>
      <c r="G62" s="38"/>
      <c r="H62" s="38" t="s">
        <v>2</v>
      </c>
    </row>
    <row r="63" spans="1:8" x14ac:dyDescent="0.25">
      <c r="A63" s="18">
        <v>101</v>
      </c>
      <c r="B63" s="39"/>
      <c r="C63" s="38"/>
      <c r="D63" s="38" t="s">
        <v>2</v>
      </c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/>
      <c r="C64" s="38"/>
      <c r="D64" s="38"/>
      <c r="E64" s="38" t="s">
        <v>2</v>
      </c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 t="s">
        <v>2</v>
      </c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/>
      <c r="D68" s="38"/>
      <c r="E68" s="38"/>
      <c r="F68" s="38" t="s">
        <v>2</v>
      </c>
      <c r="G68" s="38"/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/>
      <c r="G69" s="38"/>
      <c r="H69" s="38" t="s">
        <v>2</v>
      </c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/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 t="s">
        <v>2</v>
      </c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/>
      <c r="D77" s="38"/>
      <c r="E77" s="38"/>
      <c r="F77" s="38"/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 t="s">
        <v>2</v>
      </c>
      <c r="C82" s="38" t="s">
        <v>2</v>
      </c>
      <c r="D82" s="38" t="s">
        <v>2</v>
      </c>
      <c r="E82" s="38" t="s">
        <v>2</v>
      </c>
      <c r="F82" s="38" t="s">
        <v>2</v>
      </c>
      <c r="G82" s="38" t="s">
        <v>2</v>
      </c>
      <c r="H82" s="38" t="s">
        <v>2</v>
      </c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 t="s">
        <v>2</v>
      </c>
      <c r="D84" s="38"/>
      <c r="E84" s="38" t="s">
        <v>2</v>
      </c>
      <c r="F84" s="38"/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 t="s">
        <v>7</v>
      </c>
      <c r="E86" s="38"/>
      <c r="F86" s="38" t="s">
        <v>2</v>
      </c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/>
      <c r="E90" s="38" t="s">
        <v>2</v>
      </c>
      <c r="F90" s="38" t="s">
        <v>2</v>
      </c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 t="s">
        <v>5</v>
      </c>
      <c r="D95" s="38" t="s">
        <v>5</v>
      </c>
      <c r="E95" s="38" t="s">
        <v>2</v>
      </c>
      <c r="F95" s="38" t="s">
        <v>2</v>
      </c>
      <c r="G95" s="38" t="s">
        <v>2</v>
      </c>
      <c r="H95" s="38" t="s">
        <v>2</v>
      </c>
    </row>
  </sheetData>
  <mergeCells count="1">
    <mergeCell ref="A1:H2"/>
  </mergeCells>
  <conditionalFormatting sqref="B61:I62 I5:I60 B63:H95">
    <cfRule type="cellIs" dxfId="68" priority="18" operator="equal">
      <formula>"Energia"</formula>
    </cfRule>
    <cfRule type="cellIs" dxfId="67" priority="20" operator="equal">
      <formula>"Operação"</formula>
    </cfRule>
    <cfRule type="cellIs" dxfId="66" priority="21" operator="equal">
      <formula>"Chuva"</formula>
    </cfRule>
    <cfRule type="cellIs" dxfId="65" priority="22" operator="equal">
      <formula>"Elétrico"</formula>
    </cfRule>
    <cfRule type="cellIs" dxfId="64" priority="23" operator="equal">
      <formula>"Mecânico"</formula>
    </cfRule>
    <cfRule type="cellIs" dxfId="63" priority="24" operator="equal">
      <formula>"Ok"</formula>
    </cfRule>
  </conditionalFormatting>
  <conditionalFormatting sqref="B61:I62 I5:I60 B63:H95">
    <cfRule type="cellIs" dxfId="6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61" priority="16" operator="equal">
      <formula>"Energia"</formula>
    </cfRule>
  </conditionalFormatting>
  <conditionalFormatting sqref="B5:E60 G5:H60">
    <cfRule type="cellIs" dxfId="60" priority="9" operator="equal">
      <formula>"Energia"</formula>
    </cfRule>
    <cfRule type="cellIs" dxfId="59" priority="11" operator="equal">
      <formula>"Operação"</formula>
    </cfRule>
    <cfRule type="cellIs" dxfId="58" priority="12" operator="equal">
      <formula>"Chuva"</formula>
    </cfRule>
    <cfRule type="cellIs" dxfId="57" priority="13" operator="equal">
      <formula>"Elétrico"</formula>
    </cfRule>
    <cfRule type="cellIs" dxfId="56" priority="14" operator="equal">
      <formula>"Mecânico"</formula>
    </cfRule>
    <cfRule type="cellIs" dxfId="55" priority="15" operator="equal">
      <formula>"Ok"</formula>
    </cfRule>
  </conditionalFormatting>
  <conditionalFormatting sqref="B5:E60 G5:H60">
    <cfRule type="cellIs" dxfId="54" priority="10" operator="equal">
      <formula>"Feito"</formula>
    </cfRule>
  </conditionalFormatting>
  <conditionalFormatting sqref="F5:F11">
    <cfRule type="cellIs" dxfId="53" priority="8" operator="equal">
      <formula>"Energia"</formula>
    </cfRule>
  </conditionalFormatting>
  <conditionalFormatting sqref="F5:F60">
    <cfRule type="cellIs" dxfId="52" priority="1" operator="equal">
      <formula>"Energia"</formula>
    </cfRule>
    <cfRule type="cellIs" dxfId="51" priority="3" operator="equal">
      <formula>"Operação"</formula>
    </cfRule>
    <cfRule type="cellIs" dxfId="50" priority="4" operator="equal">
      <formula>"Chuva"</formula>
    </cfRule>
    <cfRule type="cellIs" dxfId="49" priority="5" operator="equal">
      <formula>"Elétrico"</formula>
    </cfRule>
    <cfRule type="cellIs" dxfId="48" priority="6" operator="equal">
      <formula>"Mecânico"</formula>
    </cfRule>
    <cfRule type="cellIs" dxfId="47" priority="7" operator="equal">
      <formula>"Ok"</formula>
    </cfRule>
  </conditionalFormatting>
  <conditionalFormatting sqref="F5:F60">
    <cfRule type="cellIs" dxfId="46" priority="2" operator="equal">
      <formula>"Feito"</formula>
    </cfRule>
  </conditionalFormatting>
  <dataValidations count="1">
    <dataValidation type="list" allowBlank="1" showInputMessage="1" showErrorMessage="1" sqref="B61:I62 B5:I26 B27:J60 B63:H95" xr:uid="{6EA12A4E-3606-4FD7-A1A1-BAC4F884B7D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7E9-8C7F-4AE6-883D-B2AD44B970CC}">
  <dimension ref="A1:L95"/>
  <sheetViews>
    <sheetView zoomScale="115" zoomScaleNormal="115" workbookViewId="0">
      <pane ySplit="4" topLeftCell="A5" activePane="bottomLeft" state="frozen"/>
      <selection pane="bottomLef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30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44739</v>
      </c>
      <c r="C3" s="23">
        <f>B3+1</f>
        <v>44740</v>
      </c>
      <c r="D3" s="23">
        <f t="shared" ref="D3:H3" si="0">C3+1</f>
        <v>44741</v>
      </c>
      <c r="E3" s="23">
        <f t="shared" si="0"/>
        <v>44742</v>
      </c>
      <c r="F3" s="23">
        <f t="shared" si="0"/>
        <v>44743</v>
      </c>
      <c r="G3" s="23">
        <f t="shared" si="0"/>
        <v>44744</v>
      </c>
      <c r="H3" s="25">
        <f t="shared" si="0"/>
        <v>44745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5</v>
      </c>
      <c r="C5" s="38"/>
      <c r="D5" s="38"/>
      <c r="E5" s="38"/>
      <c r="F5" s="38"/>
      <c r="G5" s="38"/>
      <c r="H5" s="38"/>
      <c r="J5" s="48" t="s">
        <v>2</v>
      </c>
      <c r="K5">
        <f>COUNTIF($B$5:$H$95,J5)</f>
        <v>127</v>
      </c>
      <c r="L5" s="34">
        <f t="shared" ref="L5:L10" si="2">K5/$K$11</f>
        <v>0.8523489932885906</v>
      </c>
    </row>
    <row r="6" spans="1:12" x14ac:dyDescent="0.25">
      <c r="A6" s="4">
        <v>2</v>
      </c>
      <c r="B6" s="38"/>
      <c r="C6" s="38" t="s">
        <v>2</v>
      </c>
      <c r="D6" s="38"/>
      <c r="E6" s="38"/>
      <c r="F6" s="38"/>
      <c r="G6" s="38" t="s">
        <v>2</v>
      </c>
      <c r="H6" s="38" t="s">
        <v>2</v>
      </c>
      <c r="J6" s="42" t="s">
        <v>5</v>
      </c>
      <c r="K6">
        <f>COUNTIF($B$5:$H$95,J6)</f>
        <v>9</v>
      </c>
      <c r="L6" s="35">
        <f t="shared" si="2"/>
        <v>6.0402684563758392E-2</v>
      </c>
    </row>
    <row r="7" spans="1:12" x14ac:dyDescent="0.25">
      <c r="A7" s="4">
        <v>3</v>
      </c>
      <c r="B7" s="38" t="s">
        <v>2</v>
      </c>
      <c r="C7" s="38"/>
      <c r="D7" s="38" t="s">
        <v>2</v>
      </c>
      <c r="E7" s="38"/>
      <c r="F7" s="38"/>
      <c r="G7" s="38" t="s">
        <v>2</v>
      </c>
      <c r="H7" s="38"/>
      <c r="J7" s="46" t="s">
        <v>6</v>
      </c>
      <c r="K7">
        <f t="shared" ref="K7:K10" si="3">COUNTIF($B$5:$H$95,J7)</f>
        <v>4</v>
      </c>
      <c r="L7" s="35">
        <f t="shared" si="2"/>
        <v>2.6845637583892617E-2</v>
      </c>
    </row>
    <row r="8" spans="1:12" x14ac:dyDescent="0.25">
      <c r="A8" s="4">
        <v>4</v>
      </c>
      <c r="B8" s="38"/>
      <c r="C8" s="38" t="s">
        <v>2</v>
      </c>
      <c r="D8" s="38"/>
      <c r="E8" s="38" t="s">
        <v>2</v>
      </c>
      <c r="F8" s="38"/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2</v>
      </c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>
        <f t="shared" si="3"/>
        <v>9</v>
      </c>
      <c r="L10" s="37">
        <f t="shared" si="2"/>
        <v>6.0402684563758392E-2</v>
      </c>
    </row>
    <row r="11" spans="1:12" x14ac:dyDescent="0.25">
      <c r="A11" s="4">
        <v>7</v>
      </c>
      <c r="B11" s="38" t="s">
        <v>2</v>
      </c>
      <c r="C11" s="38"/>
      <c r="D11" s="38" t="s">
        <v>7</v>
      </c>
      <c r="E11" s="38"/>
      <c r="F11" s="38" t="s">
        <v>2</v>
      </c>
      <c r="G11" s="38"/>
      <c r="H11" s="38"/>
      <c r="J11" s="44" t="s">
        <v>17</v>
      </c>
      <c r="K11">
        <f>SUM(K5:K10)</f>
        <v>149</v>
      </c>
    </row>
    <row r="12" spans="1:12" x14ac:dyDescent="0.25">
      <c r="A12" s="4">
        <v>8</v>
      </c>
      <c r="B12" s="38"/>
      <c r="C12" s="38" t="s">
        <v>2</v>
      </c>
      <c r="D12" s="38" t="s">
        <v>2</v>
      </c>
      <c r="E12" s="38" t="s">
        <v>7</v>
      </c>
      <c r="F12" s="38" t="s">
        <v>7</v>
      </c>
      <c r="G12" s="38" t="s">
        <v>2</v>
      </c>
      <c r="H12" s="38"/>
    </row>
    <row r="13" spans="1:12" x14ac:dyDescent="0.25">
      <c r="A13" s="4">
        <v>9</v>
      </c>
      <c r="B13" s="38"/>
      <c r="C13" s="38" t="s">
        <v>2</v>
      </c>
      <c r="D13" s="38"/>
      <c r="E13" s="38" t="s">
        <v>2</v>
      </c>
      <c r="F13" s="38"/>
      <c r="G13" s="38" t="s">
        <v>2</v>
      </c>
      <c r="H13" s="38"/>
    </row>
    <row r="14" spans="1:12" x14ac:dyDescent="0.25">
      <c r="A14" s="4">
        <v>10</v>
      </c>
      <c r="B14" s="38"/>
      <c r="C14" s="38" t="s">
        <v>2</v>
      </c>
      <c r="D14" s="38" t="s">
        <v>2</v>
      </c>
      <c r="E14" s="38"/>
      <c r="F14" s="38" t="s">
        <v>7</v>
      </c>
      <c r="G14" s="38" t="s">
        <v>7</v>
      </c>
      <c r="H14" s="38"/>
    </row>
    <row r="15" spans="1:12" x14ac:dyDescent="0.25">
      <c r="A15" s="4">
        <v>11</v>
      </c>
      <c r="B15" s="38"/>
      <c r="C15" s="38" t="s">
        <v>2</v>
      </c>
      <c r="D15" s="38"/>
      <c r="E15" s="38"/>
      <c r="F15" s="38" t="s">
        <v>2</v>
      </c>
      <c r="G15" s="38"/>
      <c r="H15" s="38" t="s">
        <v>2</v>
      </c>
    </row>
    <row r="16" spans="1:12" x14ac:dyDescent="0.25">
      <c r="A16" s="4">
        <v>12</v>
      </c>
      <c r="B16" s="38"/>
      <c r="C16" s="38" t="s">
        <v>2</v>
      </c>
      <c r="D16" s="38"/>
      <c r="E16" s="38" t="s">
        <v>2</v>
      </c>
      <c r="F16" s="38"/>
      <c r="G16" s="38" t="s">
        <v>2</v>
      </c>
      <c r="H16" s="38"/>
    </row>
    <row r="17" spans="1:8" x14ac:dyDescent="0.25">
      <c r="A17" s="4">
        <v>13</v>
      </c>
      <c r="B17" s="38" t="s">
        <v>2</v>
      </c>
      <c r="C17" s="38"/>
      <c r="D17" s="38" t="s">
        <v>2</v>
      </c>
      <c r="E17" s="38"/>
      <c r="F17" s="38" t="s">
        <v>5</v>
      </c>
      <c r="G17" s="38"/>
      <c r="H17" s="38" t="s">
        <v>2</v>
      </c>
    </row>
    <row r="18" spans="1:8" x14ac:dyDescent="0.25">
      <c r="A18" s="4">
        <v>14</v>
      </c>
      <c r="B18" s="38"/>
      <c r="C18" s="38" t="s">
        <v>2</v>
      </c>
      <c r="D18" s="38"/>
      <c r="E18" s="38"/>
      <c r="F18" s="38"/>
      <c r="G18" s="38" t="s">
        <v>5</v>
      </c>
      <c r="H18" s="38"/>
    </row>
    <row r="19" spans="1:8" x14ac:dyDescent="0.25">
      <c r="A19" s="4">
        <v>15</v>
      </c>
      <c r="B19" s="38" t="s">
        <v>2</v>
      </c>
      <c r="C19" s="38"/>
      <c r="D19" s="38"/>
      <c r="E19" s="38"/>
      <c r="F19" s="38" t="s">
        <v>2</v>
      </c>
      <c r="G19" s="38" t="s">
        <v>2</v>
      </c>
      <c r="H19" s="38"/>
    </row>
    <row r="20" spans="1:8" x14ac:dyDescent="0.25">
      <c r="A20" s="4">
        <v>16</v>
      </c>
      <c r="B20" s="38" t="s">
        <v>5</v>
      </c>
      <c r="C20" s="38"/>
      <c r="D20" s="38"/>
      <c r="E20" s="38"/>
      <c r="F20" s="38" t="s">
        <v>2</v>
      </c>
      <c r="G20" s="38"/>
      <c r="H20" s="38"/>
    </row>
    <row r="21" spans="1:8" x14ac:dyDescent="0.25">
      <c r="A21" s="4">
        <v>17</v>
      </c>
      <c r="B21" s="38"/>
      <c r="C21" s="38"/>
      <c r="D21" s="38"/>
      <c r="E21" s="38" t="s">
        <v>2</v>
      </c>
      <c r="F21" s="38"/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 t="s">
        <v>2</v>
      </c>
      <c r="D23" s="38" t="s">
        <v>2</v>
      </c>
      <c r="E23" s="38" t="s">
        <v>2</v>
      </c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 t="s">
        <v>2</v>
      </c>
      <c r="C25" s="38" t="s">
        <v>2</v>
      </c>
      <c r="D25" s="38"/>
      <c r="E25" s="38"/>
      <c r="F25" s="38"/>
      <c r="G25" s="38" t="s">
        <v>2</v>
      </c>
      <c r="H25" s="38" t="s">
        <v>2</v>
      </c>
    </row>
    <row r="26" spans="1:8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8" x14ac:dyDescent="0.25">
      <c r="A27" s="4">
        <v>23</v>
      </c>
      <c r="B27" s="38"/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4">
        <v>25</v>
      </c>
      <c r="B29" s="38" t="s">
        <v>2</v>
      </c>
      <c r="C29" s="38"/>
      <c r="D29" s="38" t="s">
        <v>5</v>
      </c>
      <c r="E29" s="38"/>
      <c r="F29" s="38" t="s">
        <v>5</v>
      </c>
      <c r="G29" s="38"/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/>
      <c r="G30" s="38"/>
      <c r="H30" s="38"/>
    </row>
    <row r="31" spans="1:8" x14ac:dyDescent="0.25">
      <c r="A31" s="4">
        <v>27</v>
      </c>
      <c r="B31" s="38"/>
      <c r="C31" s="38"/>
      <c r="D31" s="38"/>
      <c r="E31" s="38"/>
      <c r="F31" s="38"/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 t="s">
        <v>2</v>
      </c>
      <c r="C36" s="38"/>
      <c r="D36" s="38"/>
      <c r="E36" s="38"/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8" x14ac:dyDescent="0.25">
      <c r="A38" s="4">
        <v>34</v>
      </c>
      <c r="B38" s="38"/>
      <c r="C38" s="38"/>
      <c r="D38" s="38"/>
      <c r="E38" s="38" t="s">
        <v>2</v>
      </c>
      <c r="F38" s="38" t="s">
        <v>2</v>
      </c>
      <c r="G38" s="38"/>
      <c r="H38" s="38"/>
    </row>
    <row r="39" spans="1:8" x14ac:dyDescent="0.25">
      <c r="A39" s="4">
        <v>35</v>
      </c>
      <c r="B39" s="38" t="s">
        <v>2</v>
      </c>
      <c r="C39" s="38"/>
      <c r="D39" s="38"/>
      <c r="E39" s="38"/>
      <c r="F39" s="38"/>
      <c r="G39" s="38" t="s">
        <v>2</v>
      </c>
      <c r="H39" s="38"/>
    </row>
    <row r="40" spans="1:8" x14ac:dyDescent="0.25">
      <c r="A40" s="4">
        <v>36</v>
      </c>
      <c r="B40" s="38"/>
      <c r="C40" s="38" t="s">
        <v>2</v>
      </c>
      <c r="D40" s="38"/>
      <c r="E40" s="38"/>
      <c r="F40" s="38"/>
      <c r="G40" s="38"/>
      <c r="H40" s="38" t="s">
        <v>2</v>
      </c>
    </row>
    <row r="41" spans="1:8" x14ac:dyDescent="0.25">
      <c r="A41" s="4">
        <v>37</v>
      </c>
      <c r="B41" s="38"/>
      <c r="C41" s="38"/>
      <c r="D41" s="38" t="s">
        <v>2</v>
      </c>
      <c r="E41" s="38"/>
      <c r="F41" s="38"/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/>
      <c r="E42" s="38"/>
      <c r="F42" s="38" t="s">
        <v>7</v>
      </c>
      <c r="G42" s="38" t="s">
        <v>2</v>
      </c>
      <c r="H42" s="38"/>
    </row>
    <row r="43" spans="1:8" x14ac:dyDescent="0.25">
      <c r="A43" s="4">
        <v>39</v>
      </c>
      <c r="B43" s="38" t="s">
        <v>2</v>
      </c>
      <c r="C43" s="38"/>
      <c r="D43" s="38"/>
      <c r="E43" s="38"/>
      <c r="F43" s="38"/>
      <c r="G43" s="38" t="s">
        <v>6</v>
      </c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 t="s">
        <v>7</v>
      </c>
      <c r="G44" s="38"/>
      <c r="H44" s="38"/>
    </row>
    <row r="45" spans="1:8" x14ac:dyDescent="0.25">
      <c r="A45" s="4">
        <v>41</v>
      </c>
      <c r="B45" s="38"/>
      <c r="C45" s="38"/>
      <c r="D45" s="38"/>
      <c r="E45" s="38"/>
      <c r="F45" s="38" t="s">
        <v>7</v>
      </c>
      <c r="G45" s="38"/>
      <c r="H45" s="38"/>
    </row>
    <row r="46" spans="1:8" x14ac:dyDescent="0.25">
      <c r="A46" s="4">
        <v>42</v>
      </c>
      <c r="B46" s="38" t="s">
        <v>2</v>
      </c>
      <c r="C46" s="38"/>
      <c r="D46" s="38"/>
      <c r="E46" s="38"/>
      <c r="F46" s="38" t="s">
        <v>2</v>
      </c>
      <c r="G46" s="38" t="s">
        <v>2</v>
      </c>
      <c r="H46" s="38"/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 t="s">
        <v>2</v>
      </c>
      <c r="F49" s="38"/>
      <c r="G49" s="38" t="s">
        <v>2</v>
      </c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 t="s">
        <v>2</v>
      </c>
      <c r="F51" s="38"/>
      <c r="G51" s="38" t="s">
        <v>2</v>
      </c>
      <c r="H51" s="38"/>
    </row>
    <row r="52" spans="1:8" x14ac:dyDescent="0.25">
      <c r="A52" s="4">
        <v>48</v>
      </c>
      <c r="B52" s="38" t="s">
        <v>2</v>
      </c>
      <c r="C52" s="38" t="s">
        <v>2</v>
      </c>
      <c r="D52" s="38" t="s">
        <v>2</v>
      </c>
      <c r="E52" s="38" t="s">
        <v>5</v>
      </c>
      <c r="F52" s="38" t="s">
        <v>5</v>
      </c>
      <c r="G52" s="38" t="s">
        <v>2</v>
      </c>
      <c r="H52" s="38" t="s">
        <v>2</v>
      </c>
    </row>
    <row r="53" spans="1:8" x14ac:dyDescent="0.25">
      <c r="A53" s="4">
        <v>49</v>
      </c>
      <c r="B53" s="38" t="s">
        <v>7</v>
      </c>
      <c r="C53" s="38"/>
      <c r="D53" s="38" t="s">
        <v>2</v>
      </c>
      <c r="E53" s="38" t="s">
        <v>2</v>
      </c>
      <c r="F53" s="38" t="s">
        <v>2</v>
      </c>
      <c r="G53" s="38" t="s">
        <v>2</v>
      </c>
      <c r="H53" s="38" t="s">
        <v>2</v>
      </c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/>
      <c r="D61" s="38"/>
      <c r="E61" s="38" t="s">
        <v>6</v>
      </c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 t="s">
        <v>2</v>
      </c>
      <c r="F62" s="38"/>
      <c r="G62" s="38"/>
      <c r="H62" s="38"/>
    </row>
    <row r="63" spans="1:8" x14ac:dyDescent="0.25">
      <c r="A63" s="18">
        <v>101</v>
      </c>
      <c r="B63" s="39"/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 t="s">
        <v>2</v>
      </c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/>
      <c r="E68" s="38"/>
      <c r="F68" s="38"/>
      <c r="G68" s="38" t="s">
        <v>2</v>
      </c>
      <c r="H68" s="38"/>
    </row>
    <row r="69" spans="1:8" x14ac:dyDescent="0.25">
      <c r="A69" s="18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 t="s">
        <v>2</v>
      </c>
      <c r="E74" s="38" t="s">
        <v>5</v>
      </c>
      <c r="F74" s="38"/>
      <c r="G74" s="38" t="s">
        <v>2</v>
      </c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 t="s">
        <v>2</v>
      </c>
      <c r="E76" s="38" t="s">
        <v>2</v>
      </c>
      <c r="F76" s="38" t="s">
        <v>2</v>
      </c>
      <c r="G76" s="38" t="s">
        <v>2</v>
      </c>
      <c r="H76" s="38" t="s">
        <v>2</v>
      </c>
    </row>
    <row r="77" spans="1:8" x14ac:dyDescent="0.25">
      <c r="A77" s="18">
        <v>115</v>
      </c>
      <c r="B77" s="38"/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 t="s">
        <v>2</v>
      </c>
      <c r="D82" s="38"/>
      <c r="E82" s="38" t="s">
        <v>2</v>
      </c>
      <c r="F82" s="38"/>
      <c r="G82" s="38" t="s">
        <v>2</v>
      </c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 t="s">
        <v>2</v>
      </c>
      <c r="C84" s="38"/>
      <c r="D84" s="38" t="s">
        <v>2</v>
      </c>
      <c r="E84" s="38"/>
      <c r="F84" s="38" t="s">
        <v>6</v>
      </c>
      <c r="G84" s="38"/>
      <c r="H84" s="38" t="s">
        <v>2</v>
      </c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 t="s">
        <v>2</v>
      </c>
      <c r="D86" s="38"/>
      <c r="E86" s="38" t="s">
        <v>2</v>
      </c>
      <c r="F86" s="38" t="s">
        <v>6</v>
      </c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 t="s">
        <v>2</v>
      </c>
      <c r="D95" s="38" t="s">
        <v>2</v>
      </c>
      <c r="E95" s="38" t="s">
        <v>2</v>
      </c>
      <c r="F95" s="38" t="s">
        <v>2</v>
      </c>
      <c r="G95" s="38" t="s">
        <v>2</v>
      </c>
      <c r="H95" s="38" t="s">
        <v>2</v>
      </c>
    </row>
  </sheetData>
  <mergeCells count="1">
    <mergeCell ref="A1:H2"/>
  </mergeCells>
  <conditionalFormatting sqref="B61:I62 I5:I60 B63:H95">
    <cfRule type="cellIs" dxfId="45" priority="18" operator="equal">
      <formula>"Energia"</formula>
    </cfRule>
    <cfRule type="cellIs" dxfId="44" priority="20" operator="equal">
      <formula>"Operação"</formula>
    </cfRule>
    <cfRule type="cellIs" dxfId="43" priority="21" operator="equal">
      <formula>"Chuva"</formula>
    </cfRule>
    <cfRule type="cellIs" dxfId="42" priority="22" operator="equal">
      <formula>"Elétrico"</formula>
    </cfRule>
    <cfRule type="cellIs" dxfId="41" priority="23" operator="equal">
      <formula>"Mecânico"</formula>
    </cfRule>
    <cfRule type="cellIs" dxfId="40" priority="24" operator="equal">
      <formula>"Ok"</formula>
    </cfRule>
  </conditionalFormatting>
  <conditionalFormatting sqref="B61:I62 I5:I60 B63:H95">
    <cfRule type="cellIs" dxfId="3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8" priority="16" operator="equal">
      <formula>"Energia"</formula>
    </cfRule>
  </conditionalFormatting>
  <conditionalFormatting sqref="B5:E60 G5:H60">
    <cfRule type="cellIs" dxfId="37" priority="9" operator="equal">
      <formula>"Energia"</formula>
    </cfRule>
    <cfRule type="cellIs" dxfId="36" priority="11" operator="equal">
      <formula>"Operação"</formula>
    </cfRule>
    <cfRule type="cellIs" dxfId="35" priority="12" operator="equal">
      <formula>"Chuva"</formula>
    </cfRule>
    <cfRule type="cellIs" dxfId="34" priority="13" operator="equal">
      <formula>"Elétrico"</formula>
    </cfRule>
    <cfRule type="cellIs" dxfId="33" priority="14" operator="equal">
      <formula>"Mecânico"</formula>
    </cfRule>
    <cfRule type="cellIs" dxfId="32" priority="15" operator="equal">
      <formula>"Ok"</formula>
    </cfRule>
  </conditionalFormatting>
  <conditionalFormatting sqref="B5:E60 G5:H60">
    <cfRule type="cellIs" dxfId="31" priority="10" operator="equal">
      <formula>"Feito"</formula>
    </cfRule>
  </conditionalFormatting>
  <conditionalFormatting sqref="F5:F11">
    <cfRule type="cellIs" dxfId="30" priority="8" operator="equal">
      <formula>"Energia"</formula>
    </cfRule>
  </conditionalFormatting>
  <conditionalFormatting sqref="F5:F60">
    <cfRule type="cellIs" dxfId="29" priority="1" operator="equal">
      <formula>"Energia"</formula>
    </cfRule>
    <cfRule type="cellIs" dxfId="28" priority="3" operator="equal">
      <formula>"Operação"</formula>
    </cfRule>
    <cfRule type="cellIs" dxfId="27" priority="4" operator="equal">
      <formula>"Chuva"</formula>
    </cfRule>
    <cfRule type="cellIs" dxfId="26" priority="5" operator="equal">
      <formula>"Elétrico"</formula>
    </cfRule>
    <cfRule type="cellIs" dxfId="25" priority="6" operator="equal">
      <formula>"Mecânico"</formula>
    </cfRule>
    <cfRule type="cellIs" dxfId="24" priority="7" operator="equal">
      <formula>"Ok"</formula>
    </cfRule>
  </conditionalFormatting>
  <conditionalFormatting sqref="F5:F60">
    <cfRule type="cellIs" dxfId="23" priority="2" operator="equal">
      <formula>"Feito"</formula>
    </cfRule>
  </conditionalFormatting>
  <dataValidations count="1">
    <dataValidation type="list" allowBlank="1" showInputMessage="1" showErrorMessage="1" sqref="B61:I62 B5:I26 B27:J60 B63:H95" xr:uid="{22311368-1E47-458A-8AC7-64FA7418A1A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AF79-273B-4A84-B9F3-EBF523019A58}">
  <dimension ref="A1:L95"/>
  <sheetViews>
    <sheetView zoomScale="115" zoomScaleNormal="115" workbookViewId="0">
      <pane ySplit="4" topLeftCell="A5" activePane="bottomLeft" state="frozen"/>
      <selection pane="bottomLef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31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44746</v>
      </c>
      <c r="C3" s="23">
        <f>B3+1</f>
        <v>44747</v>
      </c>
      <c r="D3" s="23">
        <f t="shared" ref="D3:H3" si="0">C3+1</f>
        <v>44748</v>
      </c>
      <c r="E3" s="23">
        <f t="shared" si="0"/>
        <v>44749</v>
      </c>
      <c r="F3" s="23">
        <f t="shared" si="0"/>
        <v>44750</v>
      </c>
      <c r="G3" s="23">
        <f t="shared" si="0"/>
        <v>44751</v>
      </c>
      <c r="H3" s="25">
        <f t="shared" si="0"/>
        <v>44752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/>
      <c r="D5" s="38"/>
      <c r="E5" s="38"/>
      <c r="F5" s="38"/>
      <c r="G5" s="38"/>
      <c r="H5" s="38"/>
      <c r="J5" s="48" t="s">
        <v>2</v>
      </c>
      <c r="K5">
        <f>COUNTIF($B$5:$H$95,J5)</f>
        <v>28</v>
      </c>
      <c r="L5" s="34">
        <f t="shared" ref="L5:L10" si="2">K5/$K$11</f>
        <v>0.8</v>
      </c>
    </row>
    <row r="6" spans="1:12" x14ac:dyDescent="0.25">
      <c r="A6" s="4">
        <v>2</v>
      </c>
      <c r="B6" s="38"/>
      <c r="C6" s="38" t="s">
        <v>2</v>
      </c>
      <c r="D6" s="38"/>
      <c r="E6" s="38"/>
      <c r="F6" s="38"/>
      <c r="G6" s="38"/>
      <c r="H6" s="38"/>
      <c r="J6" s="42" t="s">
        <v>5</v>
      </c>
      <c r="K6">
        <f>COUNTIF($B$5:$H$95,J6)</f>
        <v>0</v>
      </c>
      <c r="L6" s="35">
        <f t="shared" si="2"/>
        <v>0</v>
      </c>
    </row>
    <row r="7" spans="1:12" x14ac:dyDescent="0.25">
      <c r="A7" s="4">
        <v>3</v>
      </c>
      <c r="B7" s="38"/>
      <c r="C7" s="38" t="s">
        <v>7</v>
      </c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1</v>
      </c>
      <c r="L7" s="35">
        <f t="shared" si="2"/>
        <v>2.8571428571428571E-2</v>
      </c>
    </row>
    <row r="8" spans="1:12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 t="s">
        <v>2</v>
      </c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/>
      <c r="F10" s="38"/>
      <c r="G10" s="38"/>
      <c r="H10" s="38"/>
      <c r="J10" s="43" t="s">
        <v>7</v>
      </c>
      <c r="K10">
        <f t="shared" si="3"/>
        <v>6</v>
      </c>
      <c r="L10" s="37">
        <f t="shared" si="2"/>
        <v>0.17142857142857143</v>
      </c>
    </row>
    <row r="11" spans="1:12" x14ac:dyDescent="0.25">
      <c r="A11" s="4">
        <v>7</v>
      </c>
      <c r="B11" s="38" t="s">
        <v>7</v>
      </c>
      <c r="C11" s="38" t="s">
        <v>2</v>
      </c>
      <c r="D11" s="38"/>
      <c r="E11" s="38"/>
      <c r="F11" s="38"/>
      <c r="G11" s="38"/>
      <c r="H11" s="38"/>
      <c r="J11" s="44" t="s">
        <v>17</v>
      </c>
      <c r="K11">
        <f>SUM(K5:K10)</f>
        <v>35</v>
      </c>
    </row>
    <row r="12" spans="1:12" x14ac:dyDescent="0.25">
      <c r="A12" s="4">
        <v>8</v>
      </c>
      <c r="B12" s="38" t="s">
        <v>2</v>
      </c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 t="s">
        <v>7</v>
      </c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 t="s">
        <v>7</v>
      </c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 t="s">
        <v>2</v>
      </c>
      <c r="D15" s="38"/>
      <c r="E15" s="38"/>
      <c r="F15" s="38"/>
      <c r="G15" s="38"/>
      <c r="H15" s="38"/>
    </row>
    <row r="16" spans="1:12" x14ac:dyDescent="0.25">
      <c r="A16" s="4">
        <v>12</v>
      </c>
      <c r="B16" s="38" t="s">
        <v>2</v>
      </c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 t="s">
        <v>2</v>
      </c>
      <c r="D17" s="38"/>
      <c r="E17" s="38"/>
      <c r="F17" s="38"/>
      <c r="G17" s="38"/>
      <c r="H17" s="38"/>
    </row>
    <row r="18" spans="1:8" x14ac:dyDescent="0.25">
      <c r="A18" s="4">
        <v>14</v>
      </c>
      <c r="B18" s="38" t="s">
        <v>2</v>
      </c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7</v>
      </c>
      <c r="D19" s="38"/>
      <c r="E19" s="38"/>
      <c r="F19" s="38"/>
      <c r="G19" s="38"/>
      <c r="H19" s="38"/>
    </row>
    <row r="20" spans="1:8" x14ac:dyDescent="0.25">
      <c r="A20" s="4">
        <v>16</v>
      </c>
      <c r="B20" s="38"/>
      <c r="C20" s="38"/>
      <c r="D20" s="38"/>
      <c r="E20" s="38"/>
      <c r="F20" s="38"/>
      <c r="G20" s="38"/>
      <c r="H20" s="38"/>
    </row>
    <row r="21" spans="1:8" x14ac:dyDescent="0.25">
      <c r="A21" s="4">
        <v>17</v>
      </c>
      <c r="B21" s="38" t="s">
        <v>2</v>
      </c>
      <c r="C21" s="38"/>
      <c r="D21" s="38"/>
      <c r="E21" s="38"/>
      <c r="F21" s="38"/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 t="s">
        <v>2</v>
      </c>
      <c r="C23" s="38" t="s">
        <v>6</v>
      </c>
      <c r="D23" s="38"/>
      <c r="E23" s="38"/>
      <c r="F23" s="38"/>
      <c r="G23" s="38"/>
      <c r="H23" s="38"/>
    </row>
    <row r="24" spans="1:8" x14ac:dyDescent="0.25">
      <c r="A24" s="4">
        <v>20</v>
      </c>
      <c r="B24" s="38"/>
      <c r="C24" s="38"/>
      <c r="D24" s="38"/>
      <c r="E24" s="38"/>
      <c r="F24" s="38"/>
      <c r="G24" s="38"/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/>
      <c r="H25" s="38"/>
    </row>
    <row r="26" spans="1:8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8" x14ac:dyDescent="0.25">
      <c r="A27" s="4">
        <v>23</v>
      </c>
      <c r="B27" s="38"/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4">
        <v>25</v>
      </c>
      <c r="B29" s="38"/>
      <c r="C29" s="38" t="s">
        <v>2</v>
      </c>
      <c r="D29" s="38"/>
      <c r="E29" s="38"/>
      <c r="F29" s="38"/>
      <c r="G29" s="38"/>
      <c r="H29" s="38"/>
    </row>
    <row r="30" spans="1:8" x14ac:dyDescent="0.25">
      <c r="A30" s="4">
        <v>26</v>
      </c>
      <c r="B30" s="38"/>
      <c r="C30" s="38"/>
      <c r="D30" s="38"/>
      <c r="E30" s="38"/>
      <c r="F30" s="38"/>
      <c r="G30" s="38"/>
      <c r="H30" s="38"/>
    </row>
    <row r="31" spans="1:8" x14ac:dyDescent="0.25">
      <c r="A31" s="4">
        <v>27</v>
      </c>
      <c r="B31" s="38"/>
      <c r="C31" s="38"/>
      <c r="D31" s="38"/>
      <c r="E31" s="38"/>
      <c r="F31" s="38"/>
      <c r="G31" s="38"/>
      <c r="H31" s="38"/>
    </row>
    <row r="32" spans="1:8" x14ac:dyDescent="0.25">
      <c r="A32" s="4">
        <v>28</v>
      </c>
      <c r="B32" s="38"/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/>
      <c r="E33" s="38"/>
      <c r="F33" s="38"/>
      <c r="G33" s="38"/>
      <c r="H33" s="38"/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/>
      <c r="C36" s="38"/>
      <c r="D36" s="38"/>
      <c r="E36" s="38"/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8" x14ac:dyDescent="0.25">
      <c r="A38" s="4">
        <v>34</v>
      </c>
      <c r="B38" s="38"/>
      <c r="C38" s="38"/>
      <c r="D38" s="38"/>
      <c r="E38" s="38"/>
      <c r="F38" s="38"/>
      <c r="G38" s="38"/>
      <c r="H38" s="38"/>
    </row>
    <row r="39" spans="1:8" x14ac:dyDescent="0.25">
      <c r="A39" s="4">
        <v>35</v>
      </c>
      <c r="B39" s="38"/>
      <c r="C39" s="38" t="s">
        <v>2</v>
      </c>
      <c r="D39" s="38"/>
      <c r="E39" s="38"/>
      <c r="F39" s="38"/>
      <c r="G39" s="38"/>
      <c r="H39" s="38"/>
    </row>
    <row r="40" spans="1:8" x14ac:dyDescent="0.25">
      <c r="A40" s="4">
        <v>36</v>
      </c>
      <c r="B40" s="38"/>
      <c r="C40" s="38" t="s">
        <v>2</v>
      </c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 t="s">
        <v>2</v>
      </c>
      <c r="D41" s="38"/>
      <c r="E41" s="38"/>
      <c r="F41" s="38"/>
      <c r="G41" s="38"/>
      <c r="H41" s="38"/>
    </row>
    <row r="42" spans="1:8" x14ac:dyDescent="0.25">
      <c r="A42" s="4">
        <v>38</v>
      </c>
      <c r="B42" s="38"/>
      <c r="C42" s="38"/>
      <c r="D42" s="38"/>
      <c r="E42" s="38"/>
      <c r="F42" s="38"/>
      <c r="G42" s="38"/>
      <c r="H42" s="38"/>
    </row>
    <row r="43" spans="1:8" x14ac:dyDescent="0.25">
      <c r="A43" s="4">
        <v>39</v>
      </c>
      <c r="B43" s="38"/>
      <c r="C43" s="38"/>
      <c r="D43" s="38"/>
      <c r="E43" s="38"/>
      <c r="F43" s="38"/>
      <c r="G43" s="38"/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/>
      <c r="G44" s="38"/>
      <c r="H44" s="38"/>
    </row>
    <row r="45" spans="1:8" x14ac:dyDescent="0.25">
      <c r="A45" s="4">
        <v>41</v>
      </c>
      <c r="B45" s="38"/>
      <c r="C45" s="38"/>
      <c r="D45" s="38"/>
      <c r="E45" s="38"/>
      <c r="F45" s="38"/>
      <c r="G45" s="38"/>
      <c r="H45" s="38"/>
    </row>
    <row r="46" spans="1:8" x14ac:dyDescent="0.25">
      <c r="A46" s="4">
        <v>42</v>
      </c>
      <c r="B46" s="38"/>
      <c r="C46" s="38" t="s">
        <v>2</v>
      </c>
      <c r="D46" s="38"/>
      <c r="E46" s="38"/>
      <c r="F46" s="38"/>
      <c r="G46" s="38"/>
      <c r="H46" s="38"/>
    </row>
    <row r="47" spans="1:8" x14ac:dyDescent="0.25">
      <c r="A47" s="4">
        <v>43</v>
      </c>
      <c r="B47" s="38"/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/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 t="s">
        <v>7</v>
      </c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 t="s">
        <v>2</v>
      </c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 t="s">
        <v>2</v>
      </c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 t="s">
        <v>2</v>
      </c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/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/>
      <c r="D58" s="38"/>
      <c r="E58" s="38"/>
      <c r="F58" s="38"/>
      <c r="G58" s="38"/>
      <c r="H58" s="38"/>
    </row>
    <row r="59" spans="1:8" x14ac:dyDescent="0.25">
      <c r="A59" s="4">
        <v>55</v>
      </c>
      <c r="B59" s="38"/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/>
      <c r="H67" s="38"/>
    </row>
    <row r="68" spans="1:8" x14ac:dyDescent="0.25">
      <c r="A68" s="18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18">
        <v>107</v>
      </c>
      <c r="B69" s="38"/>
      <c r="C69" s="38"/>
      <c r="D69" s="38"/>
      <c r="E69" s="38"/>
      <c r="F69" s="38"/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18">
        <v>114</v>
      </c>
      <c r="B76" s="38" t="s">
        <v>2</v>
      </c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 t="s">
        <v>2</v>
      </c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2" priority="18" operator="equal">
      <formula>"Energia"</formula>
    </cfRule>
    <cfRule type="cellIs" dxfId="21" priority="20" operator="equal">
      <formula>"Operação"</formula>
    </cfRule>
    <cfRule type="cellIs" dxfId="20" priority="21" operator="equal">
      <formula>"Chuva"</formula>
    </cfRule>
    <cfRule type="cellIs" dxfId="19" priority="22" operator="equal">
      <formula>"Elétrico"</formula>
    </cfRule>
    <cfRule type="cellIs" dxfId="18" priority="23" operator="equal">
      <formula>"Mecânico"</formula>
    </cfRule>
    <cfRule type="cellIs" dxfId="17" priority="24" operator="equal">
      <formula>"Ok"</formula>
    </cfRule>
  </conditionalFormatting>
  <conditionalFormatting sqref="B61:I62 I5:I60 B63:H95">
    <cfRule type="cellIs" dxfId="1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5" priority="16" operator="equal">
      <formula>"Energia"</formula>
    </cfRule>
  </conditionalFormatting>
  <conditionalFormatting sqref="G5:H60 B5:E60">
    <cfRule type="cellIs" dxfId="14" priority="9" operator="equal">
      <formula>"Energia"</formula>
    </cfRule>
    <cfRule type="cellIs" dxfId="13" priority="11" operator="equal">
      <formula>"Operação"</formula>
    </cfRule>
    <cfRule type="cellIs" dxfId="12" priority="12" operator="equal">
      <formula>"Chuva"</formula>
    </cfRule>
    <cfRule type="cellIs" dxfId="11" priority="13" operator="equal">
      <formula>"Elétrico"</formula>
    </cfRule>
    <cfRule type="cellIs" dxfId="10" priority="14" operator="equal">
      <formula>"Mecânico"</formula>
    </cfRule>
    <cfRule type="cellIs" dxfId="9" priority="15" operator="equal">
      <formula>"Ok"</formula>
    </cfRule>
  </conditionalFormatting>
  <conditionalFormatting sqref="G5:H60 B5:E60">
    <cfRule type="cellIs" dxfId="8" priority="10" operator="equal">
      <formula>"Feito"</formula>
    </cfRule>
  </conditionalFormatting>
  <conditionalFormatting sqref="F5:F11">
    <cfRule type="cellIs" dxfId="7" priority="8" operator="equal">
      <formula>"Energia"</formula>
    </cfRule>
  </conditionalFormatting>
  <conditionalFormatting sqref="F5:F60">
    <cfRule type="cellIs" dxfId="6" priority="1" operator="equal">
      <formula>"Energia"</formula>
    </cfRule>
    <cfRule type="cellIs" dxfId="5" priority="3" operator="equal">
      <formula>"Operação"</formula>
    </cfRule>
    <cfRule type="cellIs" dxfId="4" priority="4" operator="equal">
      <formula>"Chuva"</formula>
    </cfRule>
    <cfRule type="cellIs" dxfId="3" priority="5" operator="equal">
      <formula>"Elétrico"</formula>
    </cfRule>
    <cfRule type="cellIs" dxfId="2" priority="6" operator="equal">
      <formula>"Mecânico"</formula>
    </cfRule>
    <cfRule type="cellIs" dxfId="1" priority="7" operator="equal">
      <formula>"Ok"</formula>
    </cfRule>
  </conditionalFormatting>
  <conditionalFormatting sqref="F5:F60">
    <cfRule type="cellIs" dxfId="0" priority="2" operator="equal">
      <formula>"Feito"</formula>
    </cfRule>
  </conditionalFormatting>
  <dataValidations count="1">
    <dataValidation type="list" allowBlank="1" showInputMessage="1" showErrorMessage="1" sqref="B61:I62 B63:H95 B27:J60 B5:I26" xr:uid="{3198641F-0E81-49B6-A2CC-2A620CAD361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114-528E-472E-914B-6C9F244D4CDD}">
  <sheetPr codeName="Planilha53"/>
  <dimension ref="B2:BS25"/>
  <sheetViews>
    <sheetView tabSelected="1" topLeftCell="BD1" zoomScale="115" zoomScaleNormal="115" workbookViewId="0">
      <selection activeCell="BQ16" sqref="BQ16"/>
    </sheetView>
  </sheetViews>
  <sheetFormatPr defaultRowHeight="15" x14ac:dyDescent="0.25"/>
  <cols>
    <col min="2" max="2" width="11.7109375" customWidth="1"/>
    <col min="3" max="3" width="10.42578125" bestFit="1" customWidth="1"/>
    <col min="5" max="5" width="10.42578125" bestFit="1" customWidth="1"/>
    <col min="40" max="40" width="10.85546875" bestFit="1" customWidth="1"/>
    <col min="72" max="72" width="10.42578125" customWidth="1"/>
  </cols>
  <sheetData>
    <row r="2" spans="2:71" x14ac:dyDescent="0.25">
      <c r="C2" s="16">
        <v>44182</v>
      </c>
      <c r="D2" s="16">
        <v>44190</v>
      </c>
      <c r="E2" s="16">
        <v>44198</v>
      </c>
      <c r="F2" s="16">
        <v>44210</v>
      </c>
      <c r="G2" s="16">
        <v>44218</v>
      </c>
      <c r="H2" s="16">
        <v>44226</v>
      </c>
      <c r="I2" s="16">
        <v>44234</v>
      </c>
      <c r="J2" s="16">
        <v>44242</v>
      </c>
      <c r="K2" s="16">
        <v>44251</v>
      </c>
      <c r="L2" s="16">
        <v>44258</v>
      </c>
      <c r="M2" s="16">
        <v>44266</v>
      </c>
      <c r="N2" s="16">
        <v>44274</v>
      </c>
      <c r="O2" s="16">
        <v>44282</v>
      </c>
      <c r="P2" s="16">
        <v>44290</v>
      </c>
      <c r="Q2" s="16">
        <v>44298</v>
      </c>
      <c r="R2" s="16">
        <v>44316</v>
      </c>
      <c r="S2" s="16">
        <v>44324</v>
      </c>
      <c r="T2" s="16">
        <v>44332</v>
      </c>
      <c r="U2" s="16">
        <v>44340</v>
      </c>
      <c r="V2" s="16">
        <v>44348</v>
      </c>
      <c r="W2" s="17">
        <v>44356</v>
      </c>
      <c r="X2" s="17">
        <v>44364</v>
      </c>
      <c r="Y2" s="17">
        <v>44372</v>
      </c>
      <c r="Z2" s="17">
        <v>44380</v>
      </c>
      <c r="AA2" s="17">
        <v>44394</v>
      </c>
      <c r="AB2" s="17">
        <v>44404</v>
      </c>
      <c r="AC2" s="17">
        <v>44412</v>
      </c>
      <c r="AD2" s="17">
        <v>44420</v>
      </c>
      <c r="AE2" s="17">
        <v>44428</v>
      </c>
      <c r="AF2" s="17">
        <v>44436</v>
      </c>
      <c r="AG2" s="17">
        <v>44444</v>
      </c>
      <c r="AH2" s="17">
        <v>44452</v>
      </c>
      <c r="AI2" s="17">
        <v>44460</v>
      </c>
      <c r="AJ2" s="17">
        <v>44466</v>
      </c>
      <c r="AK2" s="17">
        <v>44473</v>
      </c>
      <c r="AL2" s="17">
        <v>44480</v>
      </c>
      <c r="AM2" s="17">
        <v>44487</v>
      </c>
      <c r="AN2" s="17">
        <v>44494</v>
      </c>
      <c r="AO2" s="17">
        <v>44501</v>
      </c>
      <c r="AP2" s="17">
        <v>44508</v>
      </c>
      <c r="AQ2" s="17">
        <v>44515</v>
      </c>
      <c r="AR2" s="17">
        <v>44522</v>
      </c>
      <c r="AS2" s="17">
        <v>44529</v>
      </c>
      <c r="AT2" s="17">
        <v>44571</v>
      </c>
      <c r="AU2" s="17">
        <v>44578</v>
      </c>
      <c r="AV2" s="17">
        <v>44585</v>
      </c>
      <c r="AW2" s="17">
        <v>44592</v>
      </c>
      <c r="AX2" s="17">
        <v>44599</v>
      </c>
      <c r="AY2" s="17">
        <v>44606</v>
      </c>
      <c r="AZ2" s="17">
        <v>44613</v>
      </c>
      <c r="BA2" s="17">
        <v>44620</v>
      </c>
      <c r="BB2" s="17">
        <v>44627</v>
      </c>
      <c r="BC2" s="17">
        <v>44634</v>
      </c>
      <c r="BD2" s="17">
        <v>44641</v>
      </c>
      <c r="BE2" s="17">
        <v>44648</v>
      </c>
      <c r="BF2" s="17">
        <v>44655</v>
      </c>
      <c r="BG2" s="17">
        <v>44662</v>
      </c>
      <c r="BH2" s="17">
        <v>44669</v>
      </c>
      <c r="BI2" s="17">
        <v>44676</v>
      </c>
      <c r="BJ2" s="17">
        <v>44683</v>
      </c>
      <c r="BK2" s="17">
        <v>44690</v>
      </c>
      <c r="BL2" s="17">
        <v>44697</v>
      </c>
      <c r="BM2" s="17">
        <v>44704</v>
      </c>
      <c r="BN2" s="17">
        <v>44711</v>
      </c>
      <c r="BO2" s="17">
        <v>44718</v>
      </c>
      <c r="BP2" s="17">
        <v>44725</v>
      </c>
      <c r="BQ2" s="17">
        <v>44732</v>
      </c>
      <c r="BR2" s="17">
        <v>44739</v>
      </c>
      <c r="BS2" s="17">
        <v>44746</v>
      </c>
    </row>
    <row r="3" spans="2:71" x14ac:dyDescent="0.25">
      <c r="B3" s="5" t="s">
        <v>2</v>
      </c>
      <c r="C3">
        <f t="shared" ref="C3:N3" ca="1" si="0">COUNTIF($C$5:$J$60,B3)</f>
        <v>81</v>
      </c>
      <c r="D3">
        <f t="shared" ca="1" si="0"/>
        <v>101</v>
      </c>
      <c r="E3">
        <f t="shared" ca="1" si="0"/>
        <v>38</v>
      </c>
      <c r="F3">
        <f t="shared" ca="1" si="0"/>
        <v>38</v>
      </c>
      <c r="G3">
        <f t="shared" ca="1" si="0"/>
        <v>118</v>
      </c>
      <c r="H3">
        <f t="shared" ca="1" si="0"/>
        <v>122</v>
      </c>
      <c r="I3">
        <f t="shared" ca="1" si="0"/>
        <v>10</v>
      </c>
      <c r="J3">
        <f t="shared" ca="1" si="0"/>
        <v>9</v>
      </c>
      <c r="K3">
        <f t="shared" ca="1" si="0"/>
        <v>14</v>
      </c>
      <c r="L3">
        <f t="shared" ca="1" si="0"/>
        <v>75</v>
      </c>
      <c r="M3">
        <f t="shared" ca="1" si="0"/>
        <v>93</v>
      </c>
      <c r="N3">
        <f t="shared" ca="1" si="0"/>
        <v>113</v>
      </c>
      <c r="O3">
        <f ca="1">COUNTIF($C$5:$J$60,N3)</f>
        <v>139</v>
      </c>
      <c r="P3">
        <f ca="1">COUNTIF($C$5:$J$60,O3)</f>
        <v>49</v>
      </c>
      <c r="Q3">
        <f ca="1">COUNTIF($C$5:$J$60,P3)</f>
        <v>20</v>
      </c>
      <c r="R3">
        <f t="shared" ref="R3:V3" ca="1" si="1">COUNTIF($B$5:$I$60,Q3)</f>
        <v>86</v>
      </c>
      <c r="S3">
        <f t="shared" ca="1" si="1"/>
        <v>109</v>
      </c>
      <c r="T3">
        <f t="shared" ca="1" si="1"/>
        <v>113</v>
      </c>
      <c r="U3">
        <f t="shared" ca="1" si="1"/>
        <v>119</v>
      </c>
      <c r="V3">
        <f t="shared" ca="1" si="1"/>
        <v>100</v>
      </c>
      <c r="W3">
        <f t="shared" ref="W3:AB3" ca="1" si="2">COUNTIF($B$5:$I$60,V3)</f>
        <v>92</v>
      </c>
      <c r="X3">
        <f t="shared" ca="1" si="2"/>
        <v>93</v>
      </c>
      <c r="Y3">
        <f t="shared" ca="1" si="2"/>
        <v>95</v>
      </c>
      <c r="Z3">
        <f t="shared" ca="1" si="2"/>
        <v>80</v>
      </c>
      <c r="AA3">
        <f t="shared" ca="1" si="2"/>
        <v>92</v>
      </c>
      <c r="AB3">
        <f t="shared" ca="1" si="2"/>
        <v>83</v>
      </c>
      <c r="AC3">
        <f t="shared" ref="AC3:AH3" ca="1" si="3">COUNTIF($B$5:$I$60,AB3)</f>
        <v>102</v>
      </c>
      <c r="AD3">
        <f t="shared" ca="1" si="3"/>
        <v>98</v>
      </c>
      <c r="AE3">
        <f t="shared" ca="1" si="3"/>
        <v>112</v>
      </c>
      <c r="AF3">
        <f t="shared" ca="1" si="3"/>
        <v>153</v>
      </c>
      <c r="AG3">
        <f t="shared" ca="1" si="3"/>
        <v>194</v>
      </c>
      <c r="AH3">
        <f t="shared" ca="1" si="3"/>
        <v>66</v>
      </c>
      <c r="AI3">
        <f t="shared" ref="AI3:AI8" ca="1" si="4">COUNTIF($C$5:$I$60,AH3)</f>
        <v>127</v>
      </c>
      <c r="AJ3">
        <f t="shared" ref="AJ3:AS8" ca="1" si="5">COUNTIF($B$5:$I$60,AI3)</f>
        <v>113</v>
      </c>
      <c r="AK3">
        <f t="shared" ca="1" si="5"/>
        <v>170</v>
      </c>
      <c r="AL3">
        <f t="shared" ca="1" si="5"/>
        <v>20</v>
      </c>
      <c r="AM3">
        <f t="shared" ca="1" si="5"/>
        <v>7</v>
      </c>
      <c r="AN3">
        <f t="shared" ref="AN3:AO4" ca="1" si="6">COUNTIF($B$5:$I$60,AM3)</f>
        <v>69</v>
      </c>
      <c r="AO3">
        <f t="shared" ca="1" si="6"/>
        <v>85</v>
      </c>
      <c r="AP3">
        <f t="shared" ref="AP3:AQ4" ca="1" si="7">COUNTIF($B$5:$I$60,AO3)</f>
        <v>3</v>
      </c>
      <c r="AQ3">
        <f ca="1">COUNTIF($B$5:$I$60,AP3)</f>
        <v>0</v>
      </c>
      <c r="AR3">
        <f ca="1">COUNTIF($B$5:$I$60,AQ3)</f>
        <v>26</v>
      </c>
      <c r="AS3">
        <f ca="1">COUNTIF($B$5:$I$60,AR3)</f>
        <v>0</v>
      </c>
      <c r="AT3">
        <f t="shared" ref="AT3:AU8" ca="1" si="8">COUNTIF($B$5:$I$60,AS3)</f>
        <v>5</v>
      </c>
      <c r="AU3">
        <f ca="1">COUNTIF($B$5:$I$95,AT3)</f>
        <v>99</v>
      </c>
      <c r="AV3">
        <f t="shared" ref="AV3:AV4" ca="1" si="9">COUNTIF($B$5:$H$95,AU3)</f>
        <v>80</v>
      </c>
      <c r="AW3">
        <f t="shared" ref="AW3:AX4" ca="1" si="10">COUNTIF($B$5:$H$95,AV3)</f>
        <v>111</v>
      </c>
      <c r="AX3">
        <f t="shared" ca="1" si="10"/>
        <v>8</v>
      </c>
      <c r="AY3">
        <f ca="1">COUNTIF($B$5:$H$95,AX3)</f>
        <v>0</v>
      </c>
      <c r="AZ3">
        <f t="shared" ref="AY3:AZ4" ca="1" si="11">COUNTIF($B$5:$H$95,AY3)</f>
        <v>79</v>
      </c>
      <c r="BA3" s="33">
        <f>'28 02 2022'!K5</f>
        <v>137</v>
      </c>
      <c r="BB3">
        <f>'07 03 2022'!K5</f>
        <v>149</v>
      </c>
      <c r="BC3">
        <f>'14 03 2022'!K5</f>
        <v>105</v>
      </c>
      <c r="BD3">
        <f>'21 03 2022'!K5</f>
        <v>161</v>
      </c>
      <c r="BE3">
        <f>'28 03 2022'!K5</f>
        <v>173</v>
      </c>
      <c r="BF3">
        <f>'04 04 2022'!K5</f>
        <v>209</v>
      </c>
      <c r="BG3">
        <f ca="1">COUNTIF($B$5:$H$95,BF3)</f>
        <v>205</v>
      </c>
      <c r="BH3">
        <f ca="1">COUNTIF($B$5:$H$95,BG3)</f>
        <v>59</v>
      </c>
      <c r="BI3">
        <f ca="1">COUNTIF($B$5:$H$95,BH3)</f>
        <v>196</v>
      </c>
      <c r="BJ3">
        <f ca="1">COUNTIF($B$5:$H$95,BI3)</f>
        <v>215</v>
      </c>
      <c r="BK3">
        <f>'09 05 2022'!K5</f>
        <v>227</v>
      </c>
      <c r="BL3">
        <f>'16 05 2022'!K5</f>
        <v>199</v>
      </c>
      <c r="BM3">
        <f>'23 05 2022 '!K5</f>
        <v>197</v>
      </c>
      <c r="BN3">
        <f>'30 05 2022  '!K5</f>
        <v>196</v>
      </c>
      <c r="BO3">
        <f>'06 06 2022   '!K5</f>
        <v>187</v>
      </c>
      <c r="BP3">
        <f>'13 06 2022  '!K5</f>
        <v>171</v>
      </c>
      <c r="BQ3">
        <f>'20 06 2022  '!K5</f>
        <v>149</v>
      </c>
      <c r="BR3">
        <f>'27 06 2022  '!K5</f>
        <v>127</v>
      </c>
      <c r="BS3">
        <f>'04 07 2022'!K5</f>
        <v>28</v>
      </c>
    </row>
    <row r="4" spans="2:71" x14ac:dyDescent="0.25">
      <c r="B4" s="6" t="s">
        <v>5</v>
      </c>
      <c r="C4">
        <f ca="1">COUNTIF($C$5:$J$60,B4)</f>
        <v>0</v>
      </c>
      <c r="D4">
        <f t="shared" ref="C4:Q8" ca="1" si="12">COUNTIF($C$5:$J$60,C4)</f>
        <v>10</v>
      </c>
      <c r="E4">
        <f t="shared" ca="1" si="12"/>
        <v>12</v>
      </c>
      <c r="F4">
        <f t="shared" ca="1" si="12"/>
        <v>13</v>
      </c>
      <c r="G4">
        <f t="shared" ca="1" si="12"/>
        <v>19</v>
      </c>
      <c r="H4">
        <f t="shared" ca="1" si="12"/>
        <v>12</v>
      </c>
      <c r="I4">
        <f t="shared" ca="1" si="12"/>
        <v>2</v>
      </c>
      <c r="J4">
        <f t="shared" ca="1" si="12"/>
        <v>6</v>
      </c>
      <c r="K4">
        <f t="shared" ca="1" si="12"/>
        <v>1</v>
      </c>
      <c r="L4">
        <f t="shared" ca="1" si="12"/>
        <v>12</v>
      </c>
      <c r="M4">
        <f t="shared" ca="1" si="12"/>
        <v>9</v>
      </c>
      <c r="N4">
        <f t="shared" ca="1" si="12"/>
        <v>23</v>
      </c>
      <c r="O4">
        <f t="shared" ca="1" si="12"/>
        <v>23</v>
      </c>
      <c r="P4">
        <f t="shared" ca="1" si="12"/>
        <v>41</v>
      </c>
      <c r="Q4">
        <f t="shared" ca="1" si="12"/>
        <v>6</v>
      </c>
      <c r="R4">
        <f t="shared" ref="R4:AG8" ca="1" si="13">COUNTIF($B$5:$I$60,Q4)</f>
        <v>7</v>
      </c>
      <c r="S4">
        <f t="shared" ca="1" si="13"/>
        <v>19</v>
      </c>
      <c r="T4">
        <f t="shared" ca="1" si="13"/>
        <v>6</v>
      </c>
      <c r="U4">
        <f t="shared" ca="1" si="13"/>
        <v>9</v>
      </c>
      <c r="V4">
        <f t="shared" ca="1" si="13"/>
        <v>7</v>
      </c>
      <c r="W4">
        <f t="shared" ca="1" si="13"/>
        <v>5</v>
      </c>
      <c r="X4">
        <f t="shared" ca="1" si="13"/>
        <v>5</v>
      </c>
      <c r="Y4">
        <f t="shared" ca="1" si="13"/>
        <v>9</v>
      </c>
      <c r="Z4">
        <f t="shared" ca="1" si="13"/>
        <v>5</v>
      </c>
      <c r="AA4">
        <f t="shared" ca="1" si="13"/>
        <v>8</v>
      </c>
      <c r="AB4">
        <f t="shared" ca="1" si="13"/>
        <v>2</v>
      </c>
      <c r="AC4">
        <f t="shared" ca="1" si="13"/>
        <v>6</v>
      </c>
      <c r="AD4">
        <f t="shared" ca="1" si="13"/>
        <v>11</v>
      </c>
      <c r="AE4">
        <f t="shared" ca="1" si="13"/>
        <v>4</v>
      </c>
      <c r="AF4">
        <f t="shared" ca="1" si="13"/>
        <v>7</v>
      </c>
      <c r="AG4">
        <f t="shared" ca="1" si="13"/>
        <v>4</v>
      </c>
      <c r="AH4">
        <f t="shared" ref="AH4:AH8" ca="1" si="14">COUNTIF($B$5:$I$60,AG4)</f>
        <v>2</v>
      </c>
      <c r="AI4">
        <f t="shared" ca="1" si="4"/>
        <v>3</v>
      </c>
      <c r="AJ4">
        <f t="shared" ca="1" si="5"/>
        <v>3</v>
      </c>
      <c r="AK4">
        <f t="shared" ca="1" si="5"/>
        <v>4</v>
      </c>
      <c r="AL4">
        <f t="shared" ca="1" si="5"/>
        <v>2</v>
      </c>
      <c r="AM4">
        <f t="shared" ca="1" si="5"/>
        <v>0</v>
      </c>
      <c r="AN4">
        <f t="shared" ca="1" si="6"/>
        <v>5</v>
      </c>
      <c r="AO4">
        <f t="shared" ca="1" si="6"/>
        <v>4</v>
      </c>
      <c r="AP4">
        <f t="shared" ca="1" si="7"/>
        <v>0</v>
      </c>
      <c r="AQ4">
        <f t="shared" ca="1" si="7"/>
        <v>0</v>
      </c>
      <c r="AR4">
        <f ca="1">COUNTIF($B$5:$I$60,AQ4)</f>
        <v>0</v>
      </c>
      <c r="AS4">
        <f ca="1">COUNTIF($B$5:$I$60,AR4)</f>
        <v>0</v>
      </c>
      <c r="AT4">
        <f t="shared" ca="1" si="8"/>
        <v>1</v>
      </c>
      <c r="AU4">
        <f t="shared" ca="1" si="8"/>
        <v>11</v>
      </c>
      <c r="AV4">
        <f t="shared" ca="1" si="9"/>
        <v>18</v>
      </c>
      <c r="AW4">
        <f t="shared" ca="1" si="10"/>
        <v>7</v>
      </c>
      <c r="AX4">
        <f t="shared" ca="1" si="10"/>
        <v>3</v>
      </c>
      <c r="AY4">
        <f t="shared" ca="1" si="11"/>
        <v>1</v>
      </c>
      <c r="AZ4">
        <f t="shared" ca="1" si="11"/>
        <v>7</v>
      </c>
      <c r="BA4">
        <f>'28 02 2022'!K6</f>
        <v>17</v>
      </c>
      <c r="BB4">
        <f>'07 03 2022'!K6</f>
        <v>10</v>
      </c>
      <c r="BC4">
        <f>'14 03 2022'!K6</f>
        <v>18</v>
      </c>
      <c r="BD4">
        <f>'21 03 2022'!K6</f>
        <v>16</v>
      </c>
      <c r="BE4">
        <f>'28 03 2022'!K6</f>
        <v>15</v>
      </c>
      <c r="BF4">
        <f>'04 04 2022'!K6</f>
        <v>17</v>
      </c>
      <c r="BG4">
        <f t="shared" ref="BG4:BJ8" ca="1" si="15">COUNTIF($B$5:$H$95,BF4)</f>
        <v>25</v>
      </c>
      <c r="BH4">
        <f t="shared" ca="1" si="15"/>
        <v>10</v>
      </c>
      <c r="BI4">
        <f ca="1">COUNTIF($B$5:$H$95,BH4)</f>
        <v>27</v>
      </c>
      <c r="BJ4">
        <f ca="1">COUNTIF($B$5:$H$95,BI4)</f>
        <v>17</v>
      </c>
      <c r="BK4">
        <f>'09 05 2022'!K6</f>
        <v>7</v>
      </c>
      <c r="BL4">
        <f>'16 05 2022'!K6</f>
        <v>7</v>
      </c>
      <c r="BM4">
        <f>'23 05 2022 '!K6</f>
        <v>20</v>
      </c>
      <c r="BN4">
        <f>'30 05 2022  '!K6</f>
        <v>5</v>
      </c>
      <c r="BO4">
        <f>'06 06 2022   '!K6</f>
        <v>4</v>
      </c>
      <c r="BP4">
        <f>'13 06 2022  '!K6</f>
        <v>4</v>
      </c>
      <c r="BQ4">
        <f>'20 06 2022  '!K6</f>
        <v>8</v>
      </c>
      <c r="BR4">
        <f>'27 06 2022  '!K6</f>
        <v>9</v>
      </c>
      <c r="BS4">
        <f>'04 07 2022'!K6</f>
        <v>0</v>
      </c>
    </row>
    <row r="5" spans="2:71" x14ac:dyDescent="0.25">
      <c r="B5" s="7" t="s">
        <v>6</v>
      </c>
      <c r="C5">
        <f t="shared" ca="1" si="12"/>
        <v>3</v>
      </c>
      <c r="D5">
        <f t="shared" ca="1" si="12"/>
        <v>6</v>
      </c>
      <c r="E5">
        <f t="shared" ca="1" si="12"/>
        <v>12</v>
      </c>
      <c r="F5">
        <f t="shared" ca="1" si="12"/>
        <v>9</v>
      </c>
      <c r="G5">
        <f t="shared" ca="1" si="12"/>
        <v>4</v>
      </c>
      <c r="H5">
        <f t="shared" ca="1" si="12"/>
        <v>0</v>
      </c>
      <c r="I5">
        <f t="shared" ca="1" si="12"/>
        <v>1</v>
      </c>
      <c r="J5">
        <f t="shared" ca="1" si="12"/>
        <v>0</v>
      </c>
      <c r="K5">
        <f t="shared" ca="1" si="12"/>
        <v>1</v>
      </c>
      <c r="L5">
        <f t="shared" ca="1" si="12"/>
        <v>15</v>
      </c>
      <c r="M5">
        <f t="shared" ca="1" si="12"/>
        <v>8</v>
      </c>
      <c r="N5">
        <f t="shared" ca="1" si="12"/>
        <v>18</v>
      </c>
      <c r="O5">
        <f t="shared" ca="1" si="12"/>
        <v>5</v>
      </c>
      <c r="P5">
        <f t="shared" ca="1" si="12"/>
        <v>7</v>
      </c>
      <c r="Q5">
        <f t="shared" ca="1" si="12"/>
        <v>1</v>
      </c>
      <c r="R5">
        <f t="shared" ca="1" si="13"/>
        <v>4</v>
      </c>
      <c r="S5">
        <f t="shared" ca="1" si="13"/>
        <v>3</v>
      </c>
      <c r="T5">
        <f t="shared" ca="1" si="13"/>
        <v>5</v>
      </c>
      <c r="U5">
        <f t="shared" ca="1" si="13"/>
        <v>1</v>
      </c>
      <c r="V5">
        <f t="shared" ca="1" si="13"/>
        <v>0</v>
      </c>
      <c r="W5">
        <f t="shared" ca="1" si="13"/>
        <v>4</v>
      </c>
      <c r="X5">
        <f t="shared" ca="1" si="13"/>
        <v>3</v>
      </c>
      <c r="Y5">
        <f t="shared" ca="1" si="13"/>
        <v>5</v>
      </c>
      <c r="Z5">
        <f t="shared" ca="1" si="13"/>
        <v>3</v>
      </c>
      <c r="AA5">
        <f t="shared" ca="1" si="13"/>
        <v>2</v>
      </c>
      <c r="AB5">
        <f t="shared" ca="1" si="13"/>
        <v>0</v>
      </c>
      <c r="AC5">
        <f t="shared" ca="1" si="13"/>
        <v>3</v>
      </c>
      <c r="AD5">
        <f t="shared" ca="1" si="13"/>
        <v>7</v>
      </c>
      <c r="AE5">
        <f t="shared" ca="1" si="13"/>
        <v>3</v>
      </c>
      <c r="AF5">
        <f t="shared" ca="1" si="13"/>
        <v>1</v>
      </c>
      <c r="AG5">
        <f t="shared" ca="1" si="13"/>
        <v>2</v>
      </c>
      <c r="AH5">
        <f t="shared" ca="1" si="14"/>
        <v>4</v>
      </c>
      <c r="AI5">
        <f t="shared" ca="1" si="4"/>
        <v>4</v>
      </c>
      <c r="AJ5">
        <f t="shared" ca="1" si="5"/>
        <v>1</v>
      </c>
      <c r="AK5">
        <f t="shared" ca="1" si="5"/>
        <v>0</v>
      </c>
      <c r="AL5">
        <f t="shared" ca="1" si="5"/>
        <v>0</v>
      </c>
      <c r="AM5">
        <f t="shared" ca="1" si="5"/>
        <v>0</v>
      </c>
      <c r="AN5">
        <f t="shared" ca="1" si="5"/>
        <v>4</v>
      </c>
      <c r="AO5">
        <f t="shared" ca="1" si="5"/>
        <v>8</v>
      </c>
      <c r="AP5">
        <f t="shared" ca="1" si="5"/>
        <v>2</v>
      </c>
      <c r="AQ5">
        <f t="shared" ca="1" si="5"/>
        <v>2</v>
      </c>
      <c r="AR5">
        <f t="shared" ca="1" si="5"/>
        <v>1</v>
      </c>
      <c r="AS5">
        <f t="shared" ca="1" si="5"/>
        <v>0</v>
      </c>
      <c r="AT5">
        <f t="shared" ca="1" si="8"/>
        <v>0</v>
      </c>
      <c r="AU5">
        <f t="shared" ca="1" si="8"/>
        <v>8</v>
      </c>
      <c r="AV5">
        <f t="shared" ref="AV5:AZ8" ca="1" si="16">COUNTIF($B$5:$H$95,AU5)</f>
        <v>24</v>
      </c>
      <c r="AW5">
        <f t="shared" ca="1" si="16"/>
        <v>35</v>
      </c>
      <c r="AX5">
        <f t="shared" ca="1" si="16"/>
        <v>2</v>
      </c>
      <c r="AY5">
        <f t="shared" ca="1" si="16"/>
        <v>0</v>
      </c>
      <c r="AZ5">
        <f t="shared" ca="1" si="16"/>
        <v>17</v>
      </c>
      <c r="BA5">
        <f>'28 02 2022'!K7</f>
        <v>14</v>
      </c>
      <c r="BB5">
        <f>'07 03 2022'!K7</f>
        <v>7</v>
      </c>
      <c r="BC5">
        <f>'14 03 2022'!K7</f>
        <v>13</v>
      </c>
      <c r="BD5">
        <f>'21 03 2022'!K7</f>
        <v>6</v>
      </c>
      <c r="BE5">
        <f>'28 03 2022'!K7</f>
        <v>7</v>
      </c>
      <c r="BF5">
        <f>'04 04 2022'!K7</f>
        <v>7</v>
      </c>
      <c r="BG5">
        <f t="shared" ca="1" si="15"/>
        <v>19</v>
      </c>
      <c r="BH5">
        <f t="shared" ca="1" si="15"/>
        <v>1</v>
      </c>
      <c r="BI5">
        <f t="shared" ca="1" si="15"/>
        <v>7</v>
      </c>
      <c r="BJ5">
        <f t="shared" ca="1" si="15"/>
        <v>3</v>
      </c>
      <c r="BK5">
        <f>'09 05 2022'!K7</f>
        <v>3</v>
      </c>
      <c r="BL5">
        <f>'16 05 2022'!K7</f>
        <v>8</v>
      </c>
      <c r="BM5">
        <f>'23 05 2022 '!K7</f>
        <v>5</v>
      </c>
      <c r="BN5">
        <f>'30 05 2022  '!K7</f>
        <v>7</v>
      </c>
      <c r="BO5">
        <f>'06 06 2022   '!K7</f>
        <v>6</v>
      </c>
      <c r="BP5">
        <f>'13 06 2022  '!K7</f>
        <v>13</v>
      </c>
      <c r="BQ5">
        <f>'20 06 2022  '!K7</f>
        <v>2</v>
      </c>
      <c r="BR5">
        <f>'27 06 2022  '!K7</f>
        <v>4</v>
      </c>
      <c r="BS5">
        <f>'04 07 2022'!K7</f>
        <v>1</v>
      </c>
    </row>
    <row r="6" spans="2:71" x14ac:dyDescent="0.25">
      <c r="B6" s="8" t="s">
        <v>4</v>
      </c>
      <c r="C6">
        <f t="shared" ca="1" si="12"/>
        <v>12</v>
      </c>
      <c r="D6">
        <f t="shared" ca="1" si="12"/>
        <v>2</v>
      </c>
      <c r="E6">
        <f t="shared" ca="1" si="12"/>
        <v>0</v>
      </c>
      <c r="F6">
        <f t="shared" ca="1" si="12"/>
        <v>0</v>
      </c>
      <c r="G6">
        <f t="shared" ca="1" si="12"/>
        <v>19</v>
      </c>
      <c r="H6">
        <f t="shared" ca="1" si="12"/>
        <v>18</v>
      </c>
      <c r="I6">
        <f t="shared" ca="1" si="12"/>
        <v>0</v>
      </c>
      <c r="J6">
        <f t="shared" ca="1" si="12"/>
        <v>0</v>
      </c>
      <c r="K6">
        <f t="shared" ca="1" si="12"/>
        <v>0</v>
      </c>
      <c r="L6">
        <f t="shared" ca="1" si="12"/>
        <v>2</v>
      </c>
      <c r="M6">
        <f t="shared" ca="1" si="12"/>
        <v>9</v>
      </c>
      <c r="N6">
        <f t="shared" ca="1" si="12"/>
        <v>0</v>
      </c>
      <c r="O6">
        <f t="shared" ca="1" si="12"/>
        <v>0</v>
      </c>
      <c r="P6">
        <f t="shared" ca="1" si="12"/>
        <v>0</v>
      </c>
      <c r="Q6">
        <f t="shared" ca="1" si="12"/>
        <v>0</v>
      </c>
      <c r="R6">
        <f t="shared" ca="1" si="13"/>
        <v>0</v>
      </c>
      <c r="S6">
        <f t="shared" ca="1" si="13"/>
        <v>0</v>
      </c>
      <c r="T6">
        <f t="shared" ca="1" si="13"/>
        <v>0</v>
      </c>
      <c r="U6">
        <f t="shared" ca="1" si="13"/>
        <v>0</v>
      </c>
      <c r="V6">
        <f t="shared" ca="1" si="13"/>
        <v>0</v>
      </c>
      <c r="W6">
        <f t="shared" ca="1" si="13"/>
        <v>7</v>
      </c>
      <c r="X6">
        <f t="shared" ca="1" si="13"/>
        <v>0</v>
      </c>
      <c r="Y6">
        <f t="shared" ca="1" si="13"/>
        <v>0</v>
      </c>
      <c r="Z6">
        <f t="shared" ca="1" si="13"/>
        <v>0</v>
      </c>
      <c r="AA6">
        <f t="shared" ca="1" si="13"/>
        <v>3</v>
      </c>
      <c r="AB6">
        <f t="shared" ca="1" si="13"/>
        <v>0</v>
      </c>
      <c r="AC6">
        <f t="shared" ca="1" si="13"/>
        <v>0</v>
      </c>
      <c r="AD6">
        <f t="shared" ca="1" si="13"/>
        <v>0</v>
      </c>
      <c r="AE6">
        <f t="shared" ca="1" si="13"/>
        <v>0</v>
      </c>
      <c r="AF6">
        <f t="shared" ca="1" si="13"/>
        <v>0</v>
      </c>
      <c r="AG6">
        <f t="shared" ca="1" si="13"/>
        <v>0</v>
      </c>
      <c r="AH6">
        <f t="shared" ca="1" si="14"/>
        <v>0</v>
      </c>
      <c r="AI6">
        <f t="shared" ca="1" si="4"/>
        <v>0</v>
      </c>
      <c r="AJ6">
        <f t="shared" ca="1" si="5"/>
        <v>0</v>
      </c>
      <c r="AK6">
        <f t="shared" ca="1" si="5"/>
        <v>0</v>
      </c>
      <c r="AL6">
        <f t="shared" ca="1" si="5"/>
        <v>2</v>
      </c>
      <c r="AM6">
        <f t="shared" ca="1" si="5"/>
        <v>0</v>
      </c>
      <c r="AN6">
        <f t="shared" ca="1" si="5"/>
        <v>0</v>
      </c>
      <c r="AO6">
        <f t="shared" ca="1" si="5"/>
        <v>0</v>
      </c>
      <c r="AP6">
        <f t="shared" ca="1" si="5"/>
        <v>0</v>
      </c>
      <c r="AQ6">
        <f t="shared" ca="1" si="5"/>
        <v>0</v>
      </c>
      <c r="AR6">
        <f t="shared" ca="1" si="5"/>
        <v>0</v>
      </c>
      <c r="AS6">
        <f t="shared" ca="1" si="5"/>
        <v>2</v>
      </c>
      <c r="AT6">
        <f t="shared" ca="1" si="8"/>
        <v>0</v>
      </c>
      <c r="AU6">
        <f t="shared" ca="1" si="8"/>
        <v>0</v>
      </c>
      <c r="AV6">
        <f t="shared" ca="1" si="16"/>
        <v>0</v>
      </c>
      <c r="AW6">
        <f t="shared" ca="1" si="16"/>
        <v>0</v>
      </c>
      <c r="AX6">
        <f t="shared" ca="1" si="16"/>
        <v>0</v>
      </c>
      <c r="AY6">
        <f t="shared" ca="1" si="16"/>
        <v>0</v>
      </c>
      <c r="AZ6">
        <f ca="1">COUNTIF($B$5:$H$95,AY6)</f>
        <v>1</v>
      </c>
      <c r="BA6">
        <f>'28 02 2022'!K8</f>
        <v>0</v>
      </c>
      <c r="BB6">
        <f>'07 03 2022'!K8</f>
        <v>0</v>
      </c>
      <c r="BC6">
        <f>'14 03 2022'!K8</f>
        <v>5</v>
      </c>
      <c r="BD6">
        <f>'21 03 2022'!K8</f>
        <v>0</v>
      </c>
      <c r="BE6">
        <f>'28 03 2022'!K8</f>
        <v>4</v>
      </c>
      <c r="BF6">
        <f>'04 04 2022'!K8</f>
        <v>0</v>
      </c>
      <c r="BG6">
        <f t="shared" ca="1" si="15"/>
        <v>0</v>
      </c>
      <c r="BH6">
        <f t="shared" ca="1" si="15"/>
        <v>0</v>
      </c>
      <c r="BI6">
        <f t="shared" ca="1" si="15"/>
        <v>0</v>
      </c>
      <c r="BJ6">
        <f t="shared" ca="1" si="15"/>
        <v>0</v>
      </c>
      <c r="BK6">
        <f>'09 05 2022'!K8</f>
        <v>0</v>
      </c>
      <c r="BL6">
        <f>'16 05 2022'!K8</f>
        <v>0</v>
      </c>
      <c r="BM6">
        <f>'23 05 2022 '!K8</f>
        <v>0</v>
      </c>
      <c r="BN6">
        <f>'30 05 2022  '!K8</f>
        <v>0</v>
      </c>
      <c r="BO6">
        <f>'06 06 2022   '!K8</f>
        <v>0</v>
      </c>
      <c r="BP6">
        <f>'13 06 2022  '!K8</f>
        <v>0</v>
      </c>
      <c r="BQ6">
        <f>'20 06 2022  '!K8</f>
        <v>5</v>
      </c>
      <c r="BR6">
        <f>'27 06 2022  '!K8</f>
        <v>0</v>
      </c>
      <c r="BS6">
        <f>'04 07 2022'!K8</f>
        <v>0</v>
      </c>
    </row>
    <row r="7" spans="2:71" x14ac:dyDescent="0.25">
      <c r="B7" s="9" t="s">
        <v>3</v>
      </c>
      <c r="C7">
        <f ca="1">COUNTIF($C$5:$J$60,B7)</f>
        <v>0</v>
      </c>
      <c r="D7">
        <f t="shared" ca="1" si="12"/>
        <v>0</v>
      </c>
      <c r="E7">
        <f t="shared" ca="1" si="12"/>
        <v>39</v>
      </c>
      <c r="F7">
        <f t="shared" ca="1" si="12"/>
        <v>0</v>
      </c>
      <c r="G7">
        <f t="shared" ca="1" si="12"/>
        <v>0</v>
      </c>
      <c r="H7">
        <f t="shared" ca="1" si="12"/>
        <v>2</v>
      </c>
      <c r="I7">
        <f t="shared" ca="1" si="12"/>
        <v>26</v>
      </c>
      <c r="J7">
        <f t="shared" ca="1" si="12"/>
        <v>1</v>
      </c>
      <c r="K7">
        <f t="shared" ca="1" si="12"/>
        <v>1</v>
      </c>
      <c r="L7">
        <f t="shared" ca="1" si="12"/>
        <v>11</v>
      </c>
      <c r="M7">
        <f t="shared" ca="1" si="12"/>
        <v>0</v>
      </c>
      <c r="N7">
        <f t="shared" ca="1" si="12"/>
        <v>0</v>
      </c>
      <c r="O7">
        <f t="shared" ca="1" si="12"/>
        <v>0</v>
      </c>
      <c r="P7">
        <f t="shared" ca="1" si="12"/>
        <v>34</v>
      </c>
      <c r="Q7">
        <f t="shared" ca="1" si="12"/>
        <v>38</v>
      </c>
      <c r="R7">
        <f t="shared" ca="1" si="13"/>
        <v>0</v>
      </c>
      <c r="S7">
        <f t="shared" ca="1" si="13"/>
        <v>0</v>
      </c>
      <c r="T7">
        <f t="shared" ca="1" si="13"/>
        <v>0</v>
      </c>
      <c r="U7">
        <f t="shared" ca="1" si="13"/>
        <v>0</v>
      </c>
      <c r="V7">
        <f t="shared" ca="1" si="13"/>
        <v>0</v>
      </c>
      <c r="W7">
        <f t="shared" ca="1" si="13"/>
        <v>7</v>
      </c>
      <c r="X7">
        <f t="shared" ca="1" si="13"/>
        <v>0</v>
      </c>
      <c r="Y7">
        <f t="shared" ca="1" si="13"/>
        <v>0</v>
      </c>
      <c r="Z7">
        <v>0</v>
      </c>
      <c r="AA7">
        <f t="shared" ca="1" si="13"/>
        <v>0</v>
      </c>
      <c r="AB7">
        <f t="shared" ca="1" si="13"/>
        <v>0</v>
      </c>
      <c r="AC7">
        <f t="shared" ca="1" si="13"/>
        <v>0</v>
      </c>
      <c r="AD7">
        <f t="shared" ca="1" si="13"/>
        <v>0</v>
      </c>
      <c r="AE7">
        <v>0</v>
      </c>
      <c r="AF7">
        <f t="shared" ca="1" si="13"/>
        <v>0</v>
      </c>
      <c r="AG7">
        <f t="shared" ca="1" si="13"/>
        <v>0</v>
      </c>
      <c r="AH7">
        <f t="shared" ca="1" si="14"/>
        <v>0</v>
      </c>
      <c r="AI7">
        <f t="shared" ca="1" si="4"/>
        <v>0</v>
      </c>
      <c r="AJ7">
        <f t="shared" ca="1" si="5"/>
        <v>0</v>
      </c>
      <c r="AK7">
        <f t="shared" ca="1" si="5"/>
        <v>0</v>
      </c>
      <c r="AL7">
        <f t="shared" ca="1" si="5"/>
        <v>40</v>
      </c>
      <c r="AM7">
        <f t="shared" ca="1" si="5"/>
        <v>109</v>
      </c>
      <c r="AN7">
        <f t="shared" ca="1" si="5"/>
        <v>7</v>
      </c>
      <c r="AO7">
        <f t="shared" ca="1" si="5"/>
        <v>5</v>
      </c>
      <c r="AP7">
        <f t="shared" ca="1" si="5"/>
        <v>5</v>
      </c>
      <c r="AQ7">
        <f t="shared" ca="1" si="5"/>
        <v>13</v>
      </c>
      <c r="AR7">
        <f t="shared" ca="1" si="5"/>
        <v>22</v>
      </c>
      <c r="AS7">
        <f t="shared" ca="1" si="5"/>
        <v>38</v>
      </c>
      <c r="AT7">
        <f t="shared" ca="1" si="8"/>
        <v>0</v>
      </c>
      <c r="AU7">
        <f t="shared" ca="1" si="8"/>
        <v>5</v>
      </c>
      <c r="AV7">
        <f t="shared" ca="1" si="16"/>
        <v>31</v>
      </c>
      <c r="AW7">
        <f t="shared" ca="1" si="16"/>
        <v>16</v>
      </c>
      <c r="AX7">
        <f t="shared" ca="1" si="16"/>
        <v>1</v>
      </c>
      <c r="AY7">
        <f t="shared" ca="1" si="16"/>
        <v>4</v>
      </c>
      <c r="AZ7">
        <f t="shared" ca="1" si="16"/>
        <v>1</v>
      </c>
      <c r="BA7">
        <f>'28 02 2022'!K9</f>
        <v>17</v>
      </c>
      <c r="BB7">
        <f>'07 03 2022'!K9</f>
        <v>0</v>
      </c>
      <c r="BC7">
        <f>'14 03 2022'!K9</f>
        <v>5</v>
      </c>
      <c r="BD7">
        <f>'21 03 2022'!K9</f>
        <v>0</v>
      </c>
      <c r="BE7">
        <f>'28 03 2022'!K9</f>
        <v>0</v>
      </c>
      <c r="BF7">
        <f>'04 04 2022'!K9</f>
        <v>0</v>
      </c>
      <c r="BG7">
        <f t="shared" ca="1" si="15"/>
        <v>11</v>
      </c>
      <c r="BH7">
        <f t="shared" ca="1" si="15"/>
        <v>0</v>
      </c>
      <c r="BI7">
        <f t="shared" ca="1" si="15"/>
        <v>0</v>
      </c>
      <c r="BJ7">
        <f t="shared" ca="1" si="15"/>
        <v>0</v>
      </c>
      <c r="BK7">
        <f>'09 05 2022'!K9</f>
        <v>0</v>
      </c>
      <c r="BL7">
        <f>'16 05 2022'!K9</f>
        <v>0</v>
      </c>
      <c r="BM7">
        <f>'23 05 2022 '!K9</f>
        <v>0</v>
      </c>
      <c r="BN7">
        <f>'30 05 2022  '!K9</f>
        <v>0</v>
      </c>
      <c r="BO7">
        <f>'06 06 2022   '!K9</f>
        <v>0</v>
      </c>
      <c r="BP7">
        <f>'13 06 2022  '!K9</f>
        <v>0</v>
      </c>
      <c r="BQ7">
        <f>'20 06 2022  '!K9</f>
        <v>0</v>
      </c>
      <c r="BR7">
        <f>'27 06 2022  '!K9</f>
        <v>0</v>
      </c>
      <c r="BS7">
        <f>'04 07 2022'!K9</f>
        <v>0</v>
      </c>
    </row>
    <row r="8" spans="2:71" x14ac:dyDescent="0.25">
      <c r="B8" s="10" t="s">
        <v>7</v>
      </c>
      <c r="C8">
        <f t="shared" ca="1" si="12"/>
        <v>2</v>
      </c>
      <c r="D8">
        <f t="shared" ca="1" si="12"/>
        <v>7</v>
      </c>
      <c r="E8">
        <f t="shared" ca="1" si="12"/>
        <v>8</v>
      </c>
      <c r="F8">
        <f t="shared" ca="1" si="12"/>
        <v>1</v>
      </c>
      <c r="G8">
        <f t="shared" ca="1" si="12"/>
        <v>19</v>
      </c>
      <c r="H8">
        <f t="shared" ca="1" si="12"/>
        <v>21</v>
      </c>
      <c r="I8">
        <f t="shared" ca="1" si="12"/>
        <v>1</v>
      </c>
      <c r="J8">
        <f t="shared" ca="1" si="12"/>
        <v>2</v>
      </c>
      <c r="K8">
        <f t="shared" ca="1" si="12"/>
        <v>0</v>
      </c>
      <c r="L8">
        <f t="shared" ca="1" si="12"/>
        <v>12</v>
      </c>
      <c r="M8">
        <f t="shared" ca="1" si="12"/>
        <v>11</v>
      </c>
      <c r="N8">
        <f t="shared" ca="1" si="12"/>
        <v>37</v>
      </c>
      <c r="O8">
        <f t="shared" ca="1" si="12"/>
        <v>47</v>
      </c>
      <c r="P8">
        <f t="shared" ca="1" si="12"/>
        <v>15</v>
      </c>
      <c r="Q8">
        <f t="shared" ca="1" si="12"/>
        <v>12</v>
      </c>
      <c r="R8">
        <f t="shared" ca="1" si="13"/>
        <v>45</v>
      </c>
      <c r="S8">
        <f t="shared" ca="1" si="13"/>
        <v>37</v>
      </c>
      <c r="T8">
        <f t="shared" ca="1" si="13"/>
        <v>41</v>
      </c>
      <c r="U8">
        <f t="shared" ca="1" si="13"/>
        <v>20</v>
      </c>
      <c r="V8">
        <f t="shared" ca="1" si="13"/>
        <v>21</v>
      </c>
      <c r="W8">
        <f t="shared" ca="1" si="13"/>
        <v>14</v>
      </c>
      <c r="X8">
        <f t="shared" ca="1" si="13"/>
        <v>14</v>
      </c>
      <c r="Y8">
        <f t="shared" ca="1" si="13"/>
        <v>15</v>
      </c>
      <c r="Z8">
        <f t="shared" ca="1" si="13"/>
        <v>22</v>
      </c>
      <c r="AA8">
        <f t="shared" ca="1" si="13"/>
        <v>20</v>
      </c>
      <c r="AB8">
        <f t="shared" ca="1" si="13"/>
        <v>18</v>
      </c>
      <c r="AC8">
        <f t="shared" ca="1" si="13"/>
        <v>22</v>
      </c>
      <c r="AD8">
        <f t="shared" ca="1" si="13"/>
        <v>19</v>
      </c>
      <c r="AE8">
        <f t="shared" ca="1" si="13"/>
        <v>28</v>
      </c>
      <c r="AF8">
        <f t="shared" ca="1" si="13"/>
        <v>36</v>
      </c>
      <c r="AG8">
        <f t="shared" ca="1" si="13"/>
        <v>18</v>
      </c>
      <c r="AH8">
        <f t="shared" ca="1" si="14"/>
        <v>7</v>
      </c>
      <c r="AI8">
        <f t="shared" ca="1" si="4"/>
        <v>26</v>
      </c>
      <c r="AJ8">
        <f t="shared" ca="1" si="5"/>
        <v>20</v>
      </c>
      <c r="AK8">
        <f t="shared" ca="1" si="5"/>
        <v>21</v>
      </c>
      <c r="AL8">
        <f t="shared" ca="1" si="5"/>
        <v>1</v>
      </c>
      <c r="AM8">
        <f t="shared" ca="1" si="5"/>
        <v>1</v>
      </c>
      <c r="AN8">
        <f t="shared" ca="1" si="5"/>
        <v>28</v>
      </c>
      <c r="AO8">
        <f t="shared" ca="1" si="5"/>
        <v>20</v>
      </c>
      <c r="AP8">
        <f t="shared" ca="1" si="5"/>
        <v>6</v>
      </c>
      <c r="AQ8">
        <f t="shared" ca="1" si="5"/>
        <v>1</v>
      </c>
      <c r="AR8">
        <f t="shared" ca="1" si="5"/>
        <v>6</v>
      </c>
      <c r="AS8">
        <f t="shared" ca="1" si="5"/>
        <v>7</v>
      </c>
      <c r="AT8">
        <f t="shared" ca="1" si="8"/>
        <v>2</v>
      </c>
      <c r="AU8">
        <f t="shared" ca="1" si="8"/>
        <v>46</v>
      </c>
      <c r="AV8">
        <f t="shared" ca="1" si="16"/>
        <v>15</v>
      </c>
      <c r="AW8">
        <f t="shared" ca="1" si="16"/>
        <v>8</v>
      </c>
      <c r="AX8">
        <f t="shared" ca="1" si="16"/>
        <v>8</v>
      </c>
      <c r="AY8">
        <f t="shared" ca="1" si="16"/>
        <v>3</v>
      </c>
      <c r="AZ8">
        <f t="shared" ca="1" si="16"/>
        <v>8</v>
      </c>
      <c r="BA8">
        <f>'28 02 2022'!K10</f>
        <v>16</v>
      </c>
      <c r="BB8">
        <f>'07 03 2022'!K10</f>
        <v>19</v>
      </c>
      <c r="BC8">
        <f>'14 03 2022'!K10</f>
        <v>11</v>
      </c>
      <c r="BD8">
        <f>'21 03 2022'!K10</f>
        <v>12</v>
      </c>
      <c r="BE8">
        <f>'28 03 2022'!K10</f>
        <v>6</v>
      </c>
      <c r="BF8">
        <f>'04 04 2022'!K10</f>
        <v>6</v>
      </c>
      <c r="BG8">
        <f t="shared" ca="1" si="15"/>
        <v>2</v>
      </c>
      <c r="BH8">
        <f t="shared" ca="1" si="15"/>
        <v>1</v>
      </c>
      <c r="BI8">
        <f t="shared" ca="1" si="15"/>
        <v>5</v>
      </c>
      <c r="BJ8">
        <f t="shared" ca="1" si="15"/>
        <v>17</v>
      </c>
      <c r="BK8">
        <f>'09 05 2022'!K10</f>
        <v>11</v>
      </c>
      <c r="BL8">
        <f>'16 05 2022'!K10</f>
        <v>11</v>
      </c>
      <c r="BM8">
        <f>'23 05 2022 '!K10</f>
        <v>11</v>
      </c>
      <c r="BN8">
        <f>'30 05 2022  '!K10</f>
        <v>9</v>
      </c>
      <c r="BO8">
        <f>'06 06 2022   '!K10</f>
        <v>6</v>
      </c>
      <c r="BP8">
        <f>'13 06 2022  '!K10</f>
        <v>11</v>
      </c>
      <c r="BQ8">
        <f>'20 06 2022  '!K10</f>
        <v>7</v>
      </c>
      <c r="BR8">
        <f>'27 06 2022  '!K10</f>
        <v>9</v>
      </c>
      <c r="BS8">
        <f>'04 07 2022'!K10</f>
        <v>6</v>
      </c>
    </row>
    <row r="12" spans="2:71" x14ac:dyDescent="0.25">
      <c r="AA12" s="5" t="s">
        <v>2</v>
      </c>
      <c r="AU12" s="19"/>
    </row>
    <row r="13" spans="2:71" x14ac:dyDescent="0.25">
      <c r="AA13" s="6" t="s">
        <v>5</v>
      </c>
    </row>
    <row r="14" spans="2:71" x14ac:dyDescent="0.25">
      <c r="AA14" s="7" t="s">
        <v>6</v>
      </c>
    </row>
    <row r="15" spans="2:71" x14ac:dyDescent="0.25">
      <c r="AA15" s="8" t="s">
        <v>4</v>
      </c>
      <c r="AW15" s="19"/>
    </row>
    <row r="16" spans="2:71" x14ac:dyDescent="0.25">
      <c r="AA16" s="9" t="s">
        <v>3</v>
      </c>
    </row>
    <row r="17" spans="27:28" x14ac:dyDescent="0.25">
      <c r="AA17" s="10" t="s">
        <v>7</v>
      </c>
    </row>
    <row r="24" spans="27:28" x14ac:dyDescent="0.25">
      <c r="AB24">
        <f>600*3</f>
        <v>1800</v>
      </c>
    </row>
    <row r="25" spans="27:28" x14ac:dyDescent="0.25">
      <c r="AB25">
        <v>600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3B853C-15BD-4005-BA54-5DA2B07F4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FF1353-FD0D-4166-9242-D909A217DE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8FC48D-7AE5-43BA-A0BD-AAECD0D2A7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73</vt:i4>
      </vt:variant>
    </vt:vector>
  </HeadingPairs>
  <TitlesOfParts>
    <vt:vector size="73" baseType="lpstr">
      <vt:lpstr>17122020</vt:lpstr>
      <vt:lpstr>25122020</vt:lpstr>
      <vt:lpstr>02012021 </vt:lpstr>
      <vt:lpstr>14012021</vt:lpstr>
      <vt:lpstr>22012021</vt:lpstr>
      <vt:lpstr>30012021</vt:lpstr>
      <vt:lpstr>07022021</vt:lpstr>
      <vt:lpstr>15022021</vt:lpstr>
      <vt:lpstr>24022021</vt:lpstr>
      <vt:lpstr>03032021</vt:lpstr>
      <vt:lpstr>11032021</vt:lpstr>
      <vt:lpstr>19 03 2021</vt:lpstr>
      <vt:lpstr>27 03 2021</vt:lpstr>
      <vt:lpstr>04 04 2021</vt:lpstr>
      <vt:lpstr>12 04 2021</vt:lpstr>
      <vt:lpstr>30 04 2021</vt:lpstr>
      <vt:lpstr>08 05 2021</vt:lpstr>
      <vt:lpstr>16 05 2021</vt:lpstr>
      <vt:lpstr>24 05 2021</vt:lpstr>
      <vt:lpstr>01 06 2021</vt:lpstr>
      <vt:lpstr>09 06 2021</vt:lpstr>
      <vt:lpstr>17 06 2021</vt:lpstr>
      <vt:lpstr>25 06 2021 </vt:lpstr>
      <vt:lpstr>03 07 2021</vt:lpstr>
      <vt:lpstr>11 07 2021 </vt:lpstr>
      <vt:lpstr>19 07 2021</vt:lpstr>
      <vt:lpstr>27 07 2021</vt:lpstr>
      <vt:lpstr>04 08 2021</vt:lpstr>
      <vt:lpstr>12 08 2021</vt:lpstr>
      <vt:lpstr>20 08 2021</vt:lpstr>
      <vt:lpstr>28 08 2021</vt:lpstr>
      <vt:lpstr>05 09 2021</vt:lpstr>
      <vt:lpstr>13 09 2021 </vt:lpstr>
      <vt:lpstr>21 09 2021</vt:lpstr>
      <vt:lpstr>27 09 2021</vt:lpstr>
      <vt:lpstr>04 10 2021</vt:lpstr>
      <vt:lpstr>11 10 2021</vt:lpstr>
      <vt:lpstr>18 10 2021</vt:lpstr>
      <vt:lpstr>25 10 2021</vt:lpstr>
      <vt:lpstr>01 11 2021 </vt:lpstr>
      <vt:lpstr>08 11 2021</vt:lpstr>
      <vt:lpstr>15 11 2021</vt:lpstr>
      <vt:lpstr>22 11 2021</vt:lpstr>
      <vt:lpstr>29 11 2021</vt:lpstr>
      <vt:lpstr>06 12 2021 </vt:lpstr>
      <vt:lpstr>03 01 2022</vt:lpstr>
      <vt:lpstr>10 01 2022 </vt:lpstr>
      <vt:lpstr>17 01 2022</vt:lpstr>
      <vt:lpstr>24 01 2021</vt:lpstr>
      <vt:lpstr>31 01 2021</vt:lpstr>
      <vt:lpstr>07 02 2022</vt:lpstr>
      <vt:lpstr>14 02 2022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30 05 2022  </vt:lpstr>
      <vt:lpstr>06 06 2022   </vt:lpstr>
      <vt:lpstr>13 06 2022  </vt:lpstr>
      <vt:lpstr>20 06 2022  </vt:lpstr>
      <vt:lpstr>27 06 2022  </vt:lpstr>
      <vt:lpstr>04 07 2022</vt:lpstr>
      <vt:lpstr>Acumulado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SUPORTE</dc:creator>
  <cp:keywords/>
  <dc:description/>
  <cp:lastModifiedBy>Leonardo Santos</cp:lastModifiedBy>
  <cp:revision/>
  <dcterms:created xsi:type="dcterms:W3CDTF">2020-12-23T10:51:36Z</dcterms:created>
  <dcterms:modified xsi:type="dcterms:W3CDTF">2022-07-06T20:37:31Z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