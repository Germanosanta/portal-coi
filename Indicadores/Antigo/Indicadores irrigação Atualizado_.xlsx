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4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6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8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9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0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1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2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23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4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25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6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27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8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2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30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31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32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33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34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omments1.xml" ContentType="application/vnd.openxmlformats-officedocument.spreadsheetml.comments+xml"/>
  <Override PartName="/xl/drawings/drawing35.xml" ContentType="application/vnd.openxmlformats-officedocument.drawing+xml"/>
  <Override PartName="/xl/comments2.xml" ContentType="application/vnd.openxmlformats-officedocument.spreadsheetml.comments+xml"/>
  <Override PartName="/xl/drawings/drawing36.xml" ContentType="application/vnd.openxmlformats-officedocument.drawing+xml"/>
  <Override PartName="/xl/comments3.xml" ContentType="application/vnd.openxmlformats-officedocument.spreadsheetml.comments+xml"/>
  <Override PartName="/xl/drawings/drawing37.xml" ContentType="application/vnd.openxmlformats-officedocument.drawing+xml"/>
  <Override PartName="/xl/comments4.xml" ContentType="application/vnd.openxmlformats-officedocument.spreadsheetml.comments+xml"/>
  <Override PartName="/xl/drawings/drawing38.xml" ContentType="application/vnd.openxmlformats-officedocument.drawing+xml"/>
  <Override PartName="/xl/comments5.xml" ContentType="application/vnd.openxmlformats-officedocument.spreadsheetml.comments+xml"/>
  <Override PartName="/xl/drawings/drawing39.xml" ContentType="application/vnd.openxmlformats-officedocument.drawing+xml"/>
  <Override PartName="/xl/comments6.xml" ContentType="application/vnd.openxmlformats-officedocument.spreadsheetml.comments+xml"/>
  <Override PartName="/xl/drawings/drawing40.xml" ContentType="application/vnd.openxmlformats-officedocument.drawing+xml"/>
  <Override PartName="/xl/comments7.xml" ContentType="application/vnd.openxmlformats-officedocument.spreadsheetml.comments+xml"/>
  <Override PartName="/xl/drawings/drawing41.xml" ContentType="application/vnd.openxmlformats-officedocument.drawing+xml"/>
  <Override PartName="/xl/comments8.xml" ContentType="application/vnd.openxmlformats-officedocument.spreadsheetml.comments+xml"/>
  <Override PartName="/xl/drawings/drawing42.xml" ContentType="application/vnd.openxmlformats-officedocument.drawing+xml"/>
  <Override PartName="/xl/comments9.xml" ContentType="application/vnd.openxmlformats-officedocument.spreadsheetml.comments+xml"/>
  <Override PartName="/xl/drawings/drawing43.xml" ContentType="application/vnd.openxmlformats-officedocument.drawing+xml"/>
  <Override PartName="/xl/comments10.xml" ContentType="application/vnd.openxmlformats-officedocument.spreadsheetml.comments+xml"/>
  <Override PartName="/xl/drawings/drawing44.xml" ContentType="application/vnd.openxmlformats-officedocument.drawing+xml"/>
  <Override PartName="/xl/comments11.xml" ContentType="application/vnd.openxmlformats-officedocument.spreadsheetml.comments+xml"/>
  <Override PartName="/xl/drawings/drawing45.xml" ContentType="application/vnd.openxmlformats-officedocument.drawing+xml"/>
  <Override PartName="/xl/comments12.xml" ContentType="application/vnd.openxmlformats-officedocument.spreadsheetml.comments+xml"/>
  <Override PartName="/xl/drawings/drawing46.xml" ContentType="application/vnd.openxmlformats-officedocument.drawing+xml"/>
  <Override PartName="/xl/comments13.xml" ContentType="application/vnd.openxmlformats-officedocument.spreadsheetml.comments+xml"/>
  <Override PartName="/xl/drawings/drawing47.xml" ContentType="application/vnd.openxmlformats-officedocument.drawing+xml"/>
  <Override PartName="/xl/comments14.xml" ContentType="application/vnd.openxmlformats-officedocument.spreadsheetml.comments+xml"/>
  <Override PartName="/xl/drawings/drawing48.xml" ContentType="application/vnd.openxmlformats-officedocument.drawing+xml"/>
  <Override PartName="/xl/comments15.xml" ContentType="application/vnd.openxmlformats-officedocument.spreadsheetml.comments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9.xml" ContentType="application/vnd.openxmlformats-officedocument.drawing+xml"/>
  <Override PartName="/xl/slicers/slicer1.xml" ContentType="application/vnd.ms-excel.slicer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0.xml" ContentType="application/vnd.openxmlformats-officedocument.drawing+xml"/>
  <Override PartName="/xl/slicers/slicer2.xml" ContentType="application/vnd.ms-excel.slicer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51.xml" ContentType="application/vnd.openxmlformats-officedocument.drawing+xml"/>
  <Override PartName="/xl/slicers/slicer3.xml" ContentType="application/vnd.ms-excel.slicer+xml"/>
  <Override PartName="/xl/drawings/drawing52.xml" ContentType="application/vnd.openxmlformats-officedocument.drawing+xml"/>
  <Override PartName="/xl/slicers/slicer4.xml" ContentType="application/vnd.ms-excel.slicer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antacolombaagropecuaria.sharepoint.com/sites/arquivos/Documentos Compartilhados/Sistema de Irrigacao/Suporte Irrigação/Kalito/Indicadores/Antigo/"/>
    </mc:Choice>
  </mc:AlternateContent>
  <xr:revisionPtr revIDLastSave="1" documentId="13_ncr:1_{E2C0A003-83C1-4D16-9D90-41ABD4501ECA}" xr6:coauthVersionLast="47" xr6:coauthVersionMax="47" xr10:uidLastSave="{E351F8EB-BBC3-4C47-A54F-CBA0C1FCF139}"/>
  <bookViews>
    <workbookView xWindow="-120" yWindow="-120" windowWidth="20730" windowHeight="11160" tabRatio="0" xr2:uid="{9957A160-E9B6-41FE-B9D2-37B82D39C3C0}"/>
  </bookViews>
  <sheets>
    <sheet name="Base de Dados" sheetId="81" r:id="rId1"/>
    <sheet name="Acumulado" sheetId="16" r:id="rId2"/>
    <sheet name="17 12 2020" sheetId="2" r:id="rId3"/>
    <sheet name="25 12 2020" sheetId="4" r:id="rId4"/>
    <sheet name="02 01 2021 " sheetId="5" r:id="rId5"/>
    <sheet name="14 01 2021" sheetId="6" r:id="rId6"/>
    <sheet name="22 01 2021" sheetId="7" r:id="rId7"/>
    <sheet name="30 01 2021" sheetId="8" r:id="rId8"/>
    <sheet name="07 02 2021" sheetId="9" r:id="rId9"/>
    <sheet name="15 02 2021" sheetId="10" r:id="rId10"/>
    <sheet name="23 02 2021" sheetId="11" r:id="rId11"/>
    <sheet name="03 03 2021" sheetId="12" r:id="rId12"/>
    <sheet name="11 03 2021" sheetId="13" r:id="rId13"/>
    <sheet name="19 03 2021" sheetId="14" r:id="rId14"/>
    <sheet name="27 03 2021" sheetId="15" r:id="rId15"/>
    <sheet name="04 04 2021" sheetId="17" r:id="rId16"/>
    <sheet name="12 04 2021" sheetId="18" r:id="rId17"/>
    <sheet name="30 04 2021" sheetId="19" r:id="rId18"/>
    <sheet name="08 05 2021" sheetId="20" r:id="rId19"/>
    <sheet name="16 05 2021" sheetId="21" r:id="rId20"/>
    <sheet name="24 05 2021" sheetId="22" r:id="rId21"/>
    <sheet name="01 06 2021" sheetId="23" r:id="rId22"/>
    <sheet name="09 06 2021" sheetId="24" r:id="rId23"/>
    <sheet name="17 06 2021" sheetId="25" r:id="rId24"/>
    <sheet name="25 06 2021 " sheetId="26" r:id="rId25"/>
    <sheet name="03 07 2021" sheetId="27" r:id="rId26"/>
    <sheet name="11 07 2021 " sheetId="28" r:id="rId27"/>
    <sheet name="19 07 2021" sheetId="29" r:id="rId28"/>
    <sheet name="27 07 2021" sheetId="30" r:id="rId29"/>
    <sheet name="04 08 2021" sheetId="31" r:id="rId30"/>
    <sheet name="12 08 2021" sheetId="32" r:id="rId31"/>
    <sheet name="20 08 2021" sheetId="33" r:id="rId32"/>
    <sheet name="28 08 2021" sheetId="34" r:id="rId33"/>
    <sheet name="05 09 2021" sheetId="36" r:id="rId34"/>
    <sheet name="13 09 2021 " sheetId="37" r:id="rId35"/>
    <sheet name="21 09 2021" sheetId="38" r:id="rId36"/>
    <sheet name="27 09 2021" sheetId="39" r:id="rId37"/>
    <sheet name="04 10 2021" sheetId="40" r:id="rId38"/>
    <sheet name="11 10 2021" sheetId="41" r:id="rId39"/>
    <sheet name="18 10 2021" sheetId="42" r:id="rId40"/>
    <sheet name="25 10 2021" sheetId="43" r:id="rId41"/>
    <sheet name="01 11 2021 " sheetId="44" r:id="rId42"/>
    <sheet name="08 11 2021" sheetId="45" r:id="rId43"/>
    <sheet name="15 11 2021" sheetId="46" r:id="rId44"/>
    <sheet name="22 11 2021" sheetId="47" r:id="rId45"/>
    <sheet name="29 11 2021" sheetId="48" r:id="rId46"/>
    <sheet name="03 01 2022" sheetId="50" r:id="rId47"/>
    <sheet name="10 01 2022 " sheetId="51" r:id="rId48"/>
    <sheet name="17 01 2022" sheetId="52" r:id="rId49"/>
    <sheet name="24 01 2021" sheetId="53" r:id="rId50"/>
    <sheet name="31 01 2021" sheetId="56" r:id="rId51"/>
    <sheet name="07 02 2022" sheetId="58" r:id="rId52"/>
    <sheet name="14 02 2022" sheetId="59" r:id="rId53"/>
    <sheet name="21 02 2022" sheetId="60" r:id="rId54"/>
    <sheet name="28 02 2022" sheetId="61" r:id="rId55"/>
    <sheet name="07 03 2022" sheetId="62" r:id="rId56"/>
    <sheet name="14 03 2022" sheetId="63" r:id="rId57"/>
    <sheet name="21 03 2022" sheetId="64" r:id="rId58"/>
    <sheet name="28 03 2022" sheetId="65" r:id="rId59"/>
    <sheet name="04 04 2022" sheetId="66" r:id="rId60"/>
    <sheet name="11 04 2022" sheetId="67" r:id="rId61"/>
    <sheet name="18 04 2022" sheetId="68" r:id="rId62"/>
    <sheet name="25 04 2022" sheetId="70" r:id="rId63"/>
    <sheet name="02 05 2022" sheetId="71" r:id="rId64"/>
    <sheet name="09 05 2022" sheetId="72" r:id="rId65"/>
    <sheet name="16 05 2022" sheetId="73" r:id="rId66"/>
    <sheet name="23 05 2022 " sheetId="74" r:id="rId67"/>
    <sheet name="30 05 2022  " sheetId="75" r:id="rId68"/>
    <sheet name="06 06 2022   " sheetId="76" r:id="rId69"/>
    <sheet name="13 06 2022  " sheetId="77" r:id="rId70"/>
    <sheet name="20 06 2022  " sheetId="78" r:id="rId71"/>
    <sheet name="27 06 2022  " sheetId="79" r:id="rId72"/>
    <sheet name="04 07 2022" sheetId="80" r:id="rId73"/>
    <sheet name="11 07 2022 " sheetId="155" r:id="rId74"/>
    <sheet name="18 07 2022  " sheetId="157" r:id="rId75"/>
    <sheet name="25 07 2022" sheetId="160" r:id="rId76"/>
    <sheet name="01 08 2022 " sheetId="161" r:id="rId77"/>
    <sheet name="08 08 2022  " sheetId="162" r:id="rId78"/>
    <sheet name="15 08 2022   " sheetId="163" r:id="rId79"/>
    <sheet name="22 08 2022    " sheetId="164" r:id="rId80"/>
    <sheet name="29 08 2022    " sheetId="165" r:id="rId81"/>
    <sheet name="05 09 2022     " sheetId="166" r:id="rId82"/>
    <sheet name="12 09 2022      " sheetId="167" r:id="rId83"/>
    <sheet name="19 09 2022       " sheetId="168" r:id="rId84"/>
    <sheet name="26 09 2022       " sheetId="169" r:id="rId85"/>
    <sheet name="03 10 2022        " sheetId="170" r:id="rId86"/>
    <sheet name="10 10 2022        " sheetId="171" r:id="rId87"/>
    <sheet name="17 10 2022" sheetId="172" r:id="rId88"/>
    <sheet name="Base Planejado vs Executado" sheetId="156" r:id="rId89"/>
    <sheet name="Analise Planejado vs Executado" sheetId="158" r:id="rId90"/>
    <sheet name="Analise Semanal" sheetId="152" state="hidden" r:id="rId91"/>
    <sheet name="Analise Anual" sheetId="153" state="hidden" r:id="rId92"/>
    <sheet name="Dashboard de Indicadores" sheetId="154" r:id="rId93"/>
  </sheets>
  <externalReferences>
    <externalReference r:id="rId94"/>
  </externalReferences>
  <definedNames>
    <definedName name="DadosExternos_1" localSheetId="0" hidden="1">'Base de Dados'!$A$1:$D$427</definedName>
    <definedName name="PesquisarQuem">OFFSET('[1]Pesquisa de nome'!$A$3,,,COUNT('[1]Pesquisa de nome'!$B:$B),1)</definedName>
    <definedName name="SegmentaçãodeDados_Ano">#N/A</definedName>
    <definedName name="SegmentaçãodeDados_Ano1">#N/A</definedName>
    <definedName name="SegmentaçãodeDados_Mês">#N/A</definedName>
    <definedName name="SegmentaçãodeDados_Periodo">#N/A</definedName>
    <definedName name="SegmentaçãodeDados_Periodo1">#N/A</definedName>
    <definedName name="SegmentaçãodeDados_Semana">#N/A</definedName>
    <definedName name="SegmentaçãodeDados_Semana1">#N/A</definedName>
  </definedNames>
  <calcPr calcId="181029" iterate="1"/>
  <pivotCaches>
    <pivotCache cacheId="0" r:id="rId95"/>
    <pivotCache cacheId="1" r:id="rId96"/>
  </pivotCaches>
  <extLst>
    <ext xmlns:x14="http://schemas.microsoft.com/office/spreadsheetml/2009/9/main" uri="{BBE1A952-AA13-448e-AADC-164F8A28A991}">
      <x14:slicerCaches>
        <x14:slicerCache r:id="rId97"/>
        <x14:slicerCache r:id="rId98"/>
        <x14:slicerCache r:id="rId99"/>
        <x14:slicerCache r:id="rId100"/>
        <x14:slicerCache r:id="rId101"/>
        <x14:slicerCache r:id="rId102"/>
        <x14:slicerCache r:id="rId10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37" i="156" l="1"/>
  <c r="E537" i="156"/>
  <c r="F537" i="156"/>
  <c r="D531" i="156"/>
  <c r="D532" i="156"/>
  <c r="D533" i="156"/>
  <c r="D534" i="156"/>
  <c r="D535" i="156"/>
  <c r="D536" i="156"/>
  <c r="E531" i="156"/>
  <c r="E532" i="156"/>
  <c r="E533" i="156"/>
  <c r="E534" i="156"/>
  <c r="E535" i="156"/>
  <c r="E536" i="156"/>
  <c r="F531" i="156"/>
  <c r="F532" i="156"/>
  <c r="F533" i="156"/>
  <c r="F534" i="156"/>
  <c r="F535" i="156"/>
  <c r="F536" i="156"/>
  <c r="J19" i="172" l="1"/>
  <c r="J29" i="172" s="1"/>
  <c r="K10" i="172"/>
  <c r="K9" i="172"/>
  <c r="K8" i="172"/>
  <c r="P7" i="172"/>
  <c r="K7" i="172"/>
  <c r="P6" i="172"/>
  <c r="K6" i="172"/>
  <c r="M5" i="172"/>
  <c r="Q5" i="172" s="1"/>
  <c r="K5" i="172"/>
  <c r="B4" i="172"/>
  <c r="C3" i="172"/>
  <c r="D3" i="172" s="1"/>
  <c r="D525" i="156"/>
  <c r="D526" i="156"/>
  <c r="D527" i="156"/>
  <c r="D528" i="156"/>
  <c r="D529" i="156"/>
  <c r="D530" i="156"/>
  <c r="E525" i="156"/>
  <c r="E526" i="156"/>
  <c r="E527" i="156"/>
  <c r="E528" i="156"/>
  <c r="E529" i="156"/>
  <c r="E530" i="156"/>
  <c r="F525" i="156"/>
  <c r="F526" i="156"/>
  <c r="F527" i="156"/>
  <c r="F528" i="156"/>
  <c r="F529" i="156"/>
  <c r="F530" i="156"/>
  <c r="K11" i="172" l="1"/>
  <c r="L9" i="172" s="1"/>
  <c r="P8" i="172"/>
  <c r="P10" i="172" s="1"/>
  <c r="C4" i="172"/>
  <c r="D4" i="172"/>
  <c r="J21" i="172"/>
  <c r="J31" i="172" s="1"/>
  <c r="E3" i="172"/>
  <c r="J20" i="172"/>
  <c r="J30" i="172" s="1"/>
  <c r="J19" i="171"/>
  <c r="J29" i="171" s="1"/>
  <c r="K10" i="171"/>
  <c r="K9" i="171"/>
  <c r="K8" i="171"/>
  <c r="P7" i="171"/>
  <c r="K7" i="171"/>
  <c r="P6" i="171"/>
  <c r="K6" i="171"/>
  <c r="M5" i="171"/>
  <c r="Q5" i="171" s="1"/>
  <c r="K5" i="171"/>
  <c r="B4" i="171"/>
  <c r="C3" i="171"/>
  <c r="J20" i="171" s="1"/>
  <c r="J30" i="171" s="1"/>
  <c r="D524" i="156"/>
  <c r="E524" i="156"/>
  <c r="F524" i="156"/>
  <c r="L6" i="172" l="1"/>
  <c r="L5" i="172"/>
  <c r="L7" i="172"/>
  <c r="L8" i="172"/>
  <c r="L10" i="172"/>
  <c r="J22" i="172"/>
  <c r="J32" i="172" s="1"/>
  <c r="F3" i="172"/>
  <c r="E4" i="172"/>
  <c r="P8" i="171"/>
  <c r="P10" i="171" s="1"/>
  <c r="K11" i="171"/>
  <c r="L7" i="171" s="1"/>
  <c r="C4" i="171"/>
  <c r="D3" i="171"/>
  <c r="D518" i="156"/>
  <c r="D519" i="156"/>
  <c r="D520" i="156"/>
  <c r="D521" i="156"/>
  <c r="D522" i="156"/>
  <c r="D523" i="156"/>
  <c r="E518" i="156"/>
  <c r="E519" i="156"/>
  <c r="E520" i="156"/>
  <c r="E521" i="156"/>
  <c r="E522" i="156"/>
  <c r="E523" i="156"/>
  <c r="F518" i="156"/>
  <c r="F519" i="156"/>
  <c r="F520" i="156"/>
  <c r="F521" i="156"/>
  <c r="F522" i="156"/>
  <c r="F523" i="156"/>
  <c r="J19" i="170"/>
  <c r="J29" i="170" s="1"/>
  <c r="K10" i="170"/>
  <c r="K9" i="170"/>
  <c r="K8" i="170"/>
  <c r="P7" i="170"/>
  <c r="K7" i="170"/>
  <c r="P6" i="170"/>
  <c r="K6" i="170"/>
  <c r="M5" i="170"/>
  <c r="Q5" i="170" s="1"/>
  <c r="K5" i="170"/>
  <c r="C4" i="170"/>
  <c r="B4" i="170"/>
  <c r="C3" i="170"/>
  <c r="D3" i="170" s="1"/>
  <c r="D517" i="156"/>
  <c r="E517" i="156"/>
  <c r="F517" i="156"/>
  <c r="J23" i="172" l="1"/>
  <c r="J33" i="172" s="1"/>
  <c r="F4" i="172"/>
  <c r="G3" i="172"/>
  <c r="L5" i="171"/>
  <c r="L6" i="171"/>
  <c r="L9" i="171"/>
  <c r="L8" i="171"/>
  <c r="L10" i="171"/>
  <c r="E3" i="171"/>
  <c r="J21" i="171"/>
  <c r="J31" i="171" s="1"/>
  <c r="D4" i="171"/>
  <c r="K11" i="170"/>
  <c r="L6" i="170" s="1"/>
  <c r="P8" i="170"/>
  <c r="P10" i="170" s="1"/>
  <c r="E3" i="170"/>
  <c r="D4" i="170"/>
  <c r="J21" i="170"/>
  <c r="J31" i="170" s="1"/>
  <c r="J20" i="170"/>
  <c r="J30" i="170" s="1"/>
  <c r="D511" i="156"/>
  <c r="D512" i="156"/>
  <c r="D513" i="156"/>
  <c r="D514" i="156"/>
  <c r="D515" i="156"/>
  <c r="D516" i="156"/>
  <c r="E511" i="156"/>
  <c r="E512" i="156"/>
  <c r="E513" i="156"/>
  <c r="E514" i="156"/>
  <c r="E515" i="156"/>
  <c r="E516" i="156"/>
  <c r="F511" i="156"/>
  <c r="F512" i="156"/>
  <c r="F513" i="156"/>
  <c r="F514" i="156"/>
  <c r="F515" i="156"/>
  <c r="F516" i="156"/>
  <c r="J19" i="169"/>
  <c r="J29" i="169" s="1"/>
  <c r="K10" i="169"/>
  <c r="K9" i="169"/>
  <c r="K8" i="169"/>
  <c r="P7" i="169"/>
  <c r="K7" i="169"/>
  <c r="P6" i="169"/>
  <c r="K6" i="169"/>
  <c r="M5" i="169"/>
  <c r="Q5" i="169" s="1"/>
  <c r="K5" i="169"/>
  <c r="B4" i="169"/>
  <c r="C3" i="169"/>
  <c r="D3" i="169" s="1"/>
  <c r="J24" i="172" l="1"/>
  <c r="J34" i="172" s="1"/>
  <c r="G4" i="172"/>
  <c r="H3" i="172"/>
  <c r="F3" i="171"/>
  <c r="J22" i="171"/>
  <c r="J32" i="171" s="1"/>
  <c r="E4" i="171"/>
  <c r="L5" i="170"/>
  <c r="L8" i="170"/>
  <c r="L10" i="170"/>
  <c r="L9" i="170"/>
  <c r="L7" i="170"/>
  <c r="J22" i="170"/>
  <c r="J32" i="170" s="1"/>
  <c r="F3" i="170"/>
  <c r="E4" i="170"/>
  <c r="K11" i="169"/>
  <c r="L8" i="169" s="1"/>
  <c r="P8" i="169"/>
  <c r="P10" i="169" s="1"/>
  <c r="E3" i="169"/>
  <c r="D4" i="169"/>
  <c r="J21" i="169"/>
  <c r="J31" i="169" s="1"/>
  <c r="C4" i="169"/>
  <c r="J20" i="169"/>
  <c r="J30" i="169" s="1"/>
  <c r="H4" i="172" l="1"/>
  <c r="J25" i="172"/>
  <c r="J35" i="172" s="1"/>
  <c r="J23" i="171"/>
  <c r="J33" i="171" s="1"/>
  <c r="G3" i="171"/>
  <c r="F4" i="171"/>
  <c r="G3" i="170"/>
  <c r="J23" i="170"/>
  <c r="J33" i="170" s="1"/>
  <c r="F4" i="170"/>
  <c r="L10" i="169"/>
  <c r="L7" i="169"/>
  <c r="L5" i="169"/>
  <c r="L9" i="169"/>
  <c r="L6" i="169"/>
  <c r="J22" i="169"/>
  <c r="J32" i="169" s="1"/>
  <c r="F3" i="169"/>
  <c r="E4" i="169"/>
  <c r="J24" i="171" l="1"/>
  <c r="J34" i="171" s="1"/>
  <c r="H3" i="171"/>
  <c r="G4" i="171"/>
  <c r="J24" i="170"/>
  <c r="J34" i="170" s="1"/>
  <c r="G4" i="170"/>
  <c r="H3" i="170"/>
  <c r="J23" i="169"/>
  <c r="J33" i="169" s="1"/>
  <c r="F4" i="169"/>
  <c r="G3" i="169"/>
  <c r="H4" i="171" l="1"/>
  <c r="J25" i="171"/>
  <c r="J35" i="171" s="1"/>
  <c r="H4" i="170"/>
  <c r="J25" i="170"/>
  <c r="J35" i="170" s="1"/>
  <c r="J24" i="169"/>
  <c r="J34" i="169" s="1"/>
  <c r="G4" i="169"/>
  <c r="H3" i="169"/>
  <c r="H4" i="169" l="1"/>
  <c r="J25" i="169"/>
  <c r="J35" i="169" s="1"/>
  <c r="D510" i="156" l="1"/>
  <c r="E510" i="156"/>
  <c r="F510" i="156"/>
  <c r="D504" i="156"/>
  <c r="D505" i="156"/>
  <c r="D506" i="156"/>
  <c r="D507" i="156"/>
  <c r="D508" i="156"/>
  <c r="D509" i="156"/>
  <c r="E504" i="156"/>
  <c r="E505" i="156"/>
  <c r="E506" i="156"/>
  <c r="E507" i="156"/>
  <c r="E508" i="156"/>
  <c r="E509" i="156"/>
  <c r="F504" i="156"/>
  <c r="F505" i="156"/>
  <c r="F506" i="156"/>
  <c r="F507" i="156"/>
  <c r="F508" i="156"/>
  <c r="F509" i="156"/>
  <c r="E2" i="156"/>
  <c r="E3" i="156"/>
  <c r="E4" i="156"/>
  <c r="E5" i="156"/>
  <c r="E6" i="156"/>
  <c r="E7" i="156"/>
  <c r="E8" i="156"/>
  <c r="E9" i="156"/>
  <c r="E10" i="156"/>
  <c r="E11" i="156"/>
  <c r="E12" i="156"/>
  <c r="E13" i="156"/>
  <c r="E14" i="156"/>
  <c r="E15" i="156"/>
  <c r="E16" i="156"/>
  <c r="E17" i="156"/>
  <c r="E18" i="156"/>
  <c r="E19" i="156"/>
  <c r="E20" i="156"/>
  <c r="E21" i="156"/>
  <c r="E22" i="156"/>
  <c r="E23" i="156"/>
  <c r="E24" i="156"/>
  <c r="E25" i="156"/>
  <c r="E26" i="156"/>
  <c r="E27" i="156"/>
  <c r="E28" i="156"/>
  <c r="E29" i="156"/>
  <c r="E30" i="156"/>
  <c r="E31" i="156"/>
  <c r="E32" i="156"/>
  <c r="E33" i="156"/>
  <c r="E34" i="156"/>
  <c r="E35" i="156"/>
  <c r="E36" i="156"/>
  <c r="E37" i="156"/>
  <c r="E38" i="156"/>
  <c r="E39" i="156"/>
  <c r="E40" i="156"/>
  <c r="E41" i="156"/>
  <c r="E42" i="156"/>
  <c r="E43" i="156"/>
  <c r="E44" i="156"/>
  <c r="E45" i="156"/>
  <c r="E46" i="156"/>
  <c r="E47" i="156"/>
  <c r="E48" i="156"/>
  <c r="E49" i="156"/>
  <c r="E50" i="156"/>
  <c r="E51" i="156"/>
  <c r="E52" i="156"/>
  <c r="E53" i="156"/>
  <c r="E54" i="156"/>
  <c r="E55" i="156"/>
  <c r="E56" i="156"/>
  <c r="E57" i="156"/>
  <c r="E58" i="156"/>
  <c r="E59" i="156"/>
  <c r="E60" i="156"/>
  <c r="E61" i="156"/>
  <c r="E62" i="156"/>
  <c r="E63" i="156"/>
  <c r="E64" i="156"/>
  <c r="E65" i="156"/>
  <c r="E66" i="156"/>
  <c r="E67" i="156"/>
  <c r="E68" i="156"/>
  <c r="E69" i="156"/>
  <c r="E70" i="156"/>
  <c r="E71" i="156"/>
  <c r="E72" i="156"/>
  <c r="E73" i="156"/>
  <c r="E74" i="156"/>
  <c r="E75" i="156"/>
  <c r="E76" i="156"/>
  <c r="E77" i="156"/>
  <c r="E78" i="156"/>
  <c r="E79" i="156"/>
  <c r="E80" i="156"/>
  <c r="E81" i="156"/>
  <c r="E82" i="156"/>
  <c r="E83" i="156"/>
  <c r="E84" i="156"/>
  <c r="E85" i="156"/>
  <c r="E86" i="156"/>
  <c r="E87" i="156"/>
  <c r="E88" i="156"/>
  <c r="E89" i="156"/>
  <c r="E90" i="156"/>
  <c r="E91" i="156"/>
  <c r="E92" i="156"/>
  <c r="E93" i="156"/>
  <c r="E94" i="156"/>
  <c r="E95" i="156"/>
  <c r="E96" i="156"/>
  <c r="E97" i="156"/>
  <c r="E98" i="156"/>
  <c r="E99" i="156"/>
  <c r="E100" i="156"/>
  <c r="E101" i="156"/>
  <c r="E102" i="156"/>
  <c r="E103" i="156"/>
  <c r="E104" i="156"/>
  <c r="E105" i="156"/>
  <c r="E106" i="156"/>
  <c r="E107" i="156"/>
  <c r="E108" i="156"/>
  <c r="E109" i="156"/>
  <c r="E110" i="156"/>
  <c r="E111" i="156"/>
  <c r="E112" i="156"/>
  <c r="E113" i="156"/>
  <c r="E114" i="156"/>
  <c r="E115" i="156"/>
  <c r="E116" i="156"/>
  <c r="E117" i="156"/>
  <c r="E118" i="156"/>
  <c r="E119" i="156"/>
  <c r="E120" i="156"/>
  <c r="E121" i="156"/>
  <c r="E122" i="156"/>
  <c r="E123" i="156"/>
  <c r="E124" i="156"/>
  <c r="E125" i="156"/>
  <c r="E126" i="156"/>
  <c r="E127" i="156"/>
  <c r="E128" i="156"/>
  <c r="E129" i="156"/>
  <c r="E130" i="156"/>
  <c r="E131" i="156"/>
  <c r="E132" i="156"/>
  <c r="E133" i="156"/>
  <c r="E134" i="156"/>
  <c r="E135" i="156"/>
  <c r="E136" i="156"/>
  <c r="E137" i="156"/>
  <c r="E138" i="156"/>
  <c r="E139" i="156"/>
  <c r="E140" i="156"/>
  <c r="E141" i="156"/>
  <c r="E142" i="156"/>
  <c r="E143" i="156"/>
  <c r="E144" i="156"/>
  <c r="E145" i="156"/>
  <c r="E146" i="156"/>
  <c r="E147" i="156"/>
  <c r="E148" i="156"/>
  <c r="E149" i="156"/>
  <c r="E150" i="156"/>
  <c r="E151" i="156"/>
  <c r="E152" i="156"/>
  <c r="E153" i="156"/>
  <c r="E154" i="156"/>
  <c r="E155" i="156"/>
  <c r="E156" i="156"/>
  <c r="E157" i="156"/>
  <c r="E158" i="156"/>
  <c r="E159" i="156"/>
  <c r="E160" i="156"/>
  <c r="E161" i="156"/>
  <c r="E162" i="156"/>
  <c r="E163" i="156"/>
  <c r="E164" i="156"/>
  <c r="E165" i="156"/>
  <c r="E166" i="156"/>
  <c r="E167" i="156"/>
  <c r="E168" i="156"/>
  <c r="E169" i="156"/>
  <c r="E170" i="156"/>
  <c r="E171" i="156"/>
  <c r="E172" i="156"/>
  <c r="E173" i="156"/>
  <c r="E174" i="156"/>
  <c r="E175" i="156"/>
  <c r="E176" i="156"/>
  <c r="E177" i="156"/>
  <c r="E178" i="156"/>
  <c r="E179" i="156"/>
  <c r="E180" i="156"/>
  <c r="E181" i="156"/>
  <c r="E182" i="156"/>
  <c r="E183" i="156"/>
  <c r="E184" i="156"/>
  <c r="E185" i="156"/>
  <c r="E186" i="156"/>
  <c r="E187" i="156"/>
  <c r="E188" i="156"/>
  <c r="E189" i="156"/>
  <c r="E190" i="156"/>
  <c r="E191" i="156"/>
  <c r="E192" i="156"/>
  <c r="E193" i="156"/>
  <c r="E194" i="156"/>
  <c r="E195" i="156"/>
  <c r="E196" i="156"/>
  <c r="E197" i="156"/>
  <c r="E198" i="156"/>
  <c r="E199" i="156"/>
  <c r="E200" i="156"/>
  <c r="E201" i="156"/>
  <c r="E202" i="156"/>
  <c r="E203" i="156"/>
  <c r="E204" i="156"/>
  <c r="E205" i="156"/>
  <c r="E206" i="156"/>
  <c r="E207" i="156"/>
  <c r="E208" i="156"/>
  <c r="E209" i="156"/>
  <c r="E210" i="156"/>
  <c r="E211" i="156"/>
  <c r="E212" i="156"/>
  <c r="E213" i="156"/>
  <c r="E214" i="156"/>
  <c r="E215" i="156"/>
  <c r="E216" i="156"/>
  <c r="E217" i="156"/>
  <c r="E218" i="156"/>
  <c r="E219" i="156"/>
  <c r="E220" i="156"/>
  <c r="E221" i="156"/>
  <c r="E222" i="156"/>
  <c r="E223" i="156"/>
  <c r="E224" i="156"/>
  <c r="E225" i="156"/>
  <c r="E226" i="156"/>
  <c r="E227" i="156"/>
  <c r="E228" i="156"/>
  <c r="E229" i="156"/>
  <c r="E230" i="156"/>
  <c r="E231" i="156"/>
  <c r="E232" i="156"/>
  <c r="E233" i="156"/>
  <c r="E234" i="156"/>
  <c r="E235" i="156"/>
  <c r="E236" i="156"/>
  <c r="E237" i="156"/>
  <c r="E238" i="156"/>
  <c r="E239" i="156"/>
  <c r="E240" i="156"/>
  <c r="E241" i="156"/>
  <c r="E242" i="156"/>
  <c r="E243" i="156"/>
  <c r="E244" i="156"/>
  <c r="E245" i="156"/>
  <c r="E246" i="156"/>
  <c r="E247" i="156"/>
  <c r="E248" i="156"/>
  <c r="E249" i="156"/>
  <c r="E250" i="156"/>
  <c r="E251" i="156"/>
  <c r="E252" i="156"/>
  <c r="E253" i="156"/>
  <c r="E254" i="156"/>
  <c r="E255" i="156"/>
  <c r="E256" i="156"/>
  <c r="E257" i="156"/>
  <c r="E258" i="156"/>
  <c r="E259" i="156"/>
  <c r="E260" i="156"/>
  <c r="E261" i="156"/>
  <c r="E262" i="156"/>
  <c r="E263" i="156"/>
  <c r="E264" i="156"/>
  <c r="E265" i="156"/>
  <c r="E266" i="156"/>
  <c r="E267" i="156"/>
  <c r="E268" i="156"/>
  <c r="E269" i="156"/>
  <c r="E270" i="156"/>
  <c r="E271" i="156"/>
  <c r="E272" i="156"/>
  <c r="E273" i="156"/>
  <c r="E274" i="156"/>
  <c r="E275" i="156"/>
  <c r="E276" i="156"/>
  <c r="E277" i="156"/>
  <c r="E278" i="156"/>
  <c r="E279" i="156"/>
  <c r="E280" i="156"/>
  <c r="E281" i="156"/>
  <c r="E282" i="156"/>
  <c r="E283" i="156"/>
  <c r="E284" i="156"/>
  <c r="E285" i="156"/>
  <c r="E286" i="156"/>
  <c r="E287" i="156"/>
  <c r="E288" i="156"/>
  <c r="E289" i="156"/>
  <c r="E290" i="156"/>
  <c r="E291" i="156"/>
  <c r="E292" i="156"/>
  <c r="E293" i="156"/>
  <c r="E294" i="156"/>
  <c r="E295" i="156"/>
  <c r="E296" i="156"/>
  <c r="E297" i="156"/>
  <c r="E298" i="156"/>
  <c r="E299" i="156"/>
  <c r="E300" i="156"/>
  <c r="E301" i="156"/>
  <c r="E302" i="156"/>
  <c r="E303" i="156"/>
  <c r="E304" i="156"/>
  <c r="E305" i="156"/>
  <c r="E306" i="156"/>
  <c r="E307" i="156"/>
  <c r="E308" i="156"/>
  <c r="E309" i="156"/>
  <c r="E310" i="156"/>
  <c r="E311" i="156"/>
  <c r="E312" i="156"/>
  <c r="E313" i="156"/>
  <c r="E314" i="156"/>
  <c r="E315" i="156"/>
  <c r="E316" i="156"/>
  <c r="E317" i="156"/>
  <c r="E318" i="156"/>
  <c r="E319" i="156"/>
  <c r="E320" i="156"/>
  <c r="E321" i="156"/>
  <c r="E322" i="156"/>
  <c r="E323" i="156"/>
  <c r="E324" i="156"/>
  <c r="E325" i="156"/>
  <c r="E326" i="156"/>
  <c r="E327" i="156"/>
  <c r="E328" i="156"/>
  <c r="E329" i="156"/>
  <c r="E330" i="156"/>
  <c r="E331" i="156"/>
  <c r="E332" i="156"/>
  <c r="E333" i="156"/>
  <c r="E334" i="156"/>
  <c r="E335" i="156"/>
  <c r="E336" i="156"/>
  <c r="E337" i="156"/>
  <c r="E338" i="156"/>
  <c r="E339" i="156"/>
  <c r="E340" i="156"/>
  <c r="E341" i="156"/>
  <c r="E342" i="156"/>
  <c r="E343" i="156"/>
  <c r="E344" i="156"/>
  <c r="E345" i="156"/>
  <c r="E346" i="156"/>
  <c r="E347" i="156"/>
  <c r="E348" i="156"/>
  <c r="E349" i="156"/>
  <c r="E350" i="156"/>
  <c r="E351" i="156"/>
  <c r="E352" i="156"/>
  <c r="E353" i="156"/>
  <c r="E354" i="156"/>
  <c r="E355" i="156"/>
  <c r="E356" i="156"/>
  <c r="E357" i="156"/>
  <c r="E358" i="156"/>
  <c r="E359" i="156"/>
  <c r="E360" i="156"/>
  <c r="E361" i="156"/>
  <c r="E362" i="156"/>
  <c r="E363" i="156"/>
  <c r="E364" i="156"/>
  <c r="E365" i="156"/>
  <c r="E366" i="156"/>
  <c r="E367" i="156"/>
  <c r="E368" i="156"/>
  <c r="E369" i="156"/>
  <c r="E370" i="156"/>
  <c r="E371" i="156"/>
  <c r="E372" i="156"/>
  <c r="E373" i="156"/>
  <c r="E374" i="156"/>
  <c r="E375" i="156"/>
  <c r="E376" i="156"/>
  <c r="E377" i="156"/>
  <c r="E378" i="156"/>
  <c r="E379" i="156"/>
  <c r="E380" i="156"/>
  <c r="E381" i="156"/>
  <c r="E382" i="156"/>
  <c r="E383" i="156"/>
  <c r="E384" i="156"/>
  <c r="E385" i="156"/>
  <c r="E386" i="156"/>
  <c r="E387" i="156"/>
  <c r="E388" i="156"/>
  <c r="E389" i="156"/>
  <c r="E390" i="156"/>
  <c r="E391" i="156"/>
  <c r="E392" i="156"/>
  <c r="E393" i="156"/>
  <c r="E394" i="156"/>
  <c r="E395" i="156"/>
  <c r="E396" i="156"/>
  <c r="E397" i="156"/>
  <c r="E398" i="156"/>
  <c r="E399" i="156"/>
  <c r="E400" i="156"/>
  <c r="E401" i="156"/>
  <c r="E402" i="156"/>
  <c r="E403" i="156"/>
  <c r="E404" i="156"/>
  <c r="E405" i="156"/>
  <c r="E406" i="156"/>
  <c r="E407" i="156"/>
  <c r="E408" i="156"/>
  <c r="E409" i="156"/>
  <c r="E410" i="156"/>
  <c r="E411" i="156"/>
  <c r="E412" i="156"/>
  <c r="E413" i="156"/>
  <c r="E414" i="156"/>
  <c r="E415" i="156"/>
  <c r="E416" i="156"/>
  <c r="E417" i="156"/>
  <c r="E418" i="156"/>
  <c r="E419" i="156"/>
  <c r="E420" i="156"/>
  <c r="E421" i="156"/>
  <c r="E422" i="156"/>
  <c r="E423" i="156"/>
  <c r="E424" i="156"/>
  <c r="E425" i="156"/>
  <c r="E426" i="156"/>
  <c r="E427" i="156"/>
  <c r="E428" i="156"/>
  <c r="E429" i="156"/>
  <c r="E430" i="156"/>
  <c r="E431" i="156"/>
  <c r="E432" i="156"/>
  <c r="E433" i="156"/>
  <c r="E434" i="156"/>
  <c r="E435" i="156"/>
  <c r="E436" i="156"/>
  <c r="E437" i="156"/>
  <c r="E438" i="156"/>
  <c r="E439" i="156"/>
  <c r="E440" i="156"/>
  <c r="E441" i="156"/>
  <c r="E442" i="156"/>
  <c r="E443" i="156"/>
  <c r="E444" i="156"/>
  <c r="E445" i="156"/>
  <c r="E446" i="156"/>
  <c r="E447" i="156"/>
  <c r="E448" i="156"/>
  <c r="E449" i="156"/>
  <c r="E450" i="156"/>
  <c r="E451" i="156"/>
  <c r="E452" i="156"/>
  <c r="E453" i="156"/>
  <c r="E454" i="156"/>
  <c r="E455" i="156"/>
  <c r="E456" i="156"/>
  <c r="E457" i="156"/>
  <c r="E458" i="156"/>
  <c r="E459" i="156"/>
  <c r="E460" i="156"/>
  <c r="E461" i="156"/>
  <c r="E462" i="156"/>
  <c r="E463" i="156"/>
  <c r="E464" i="156"/>
  <c r="E465" i="156"/>
  <c r="E466" i="156"/>
  <c r="E467" i="156"/>
  <c r="E468" i="156"/>
  <c r="E469" i="156"/>
  <c r="E470" i="156"/>
  <c r="E471" i="156"/>
  <c r="E472" i="156"/>
  <c r="E473" i="156"/>
  <c r="E474" i="156"/>
  <c r="E475" i="156"/>
  <c r="E476" i="156"/>
  <c r="E477" i="156"/>
  <c r="E478" i="156"/>
  <c r="E479" i="156"/>
  <c r="E480" i="156"/>
  <c r="E481" i="156"/>
  <c r="E482" i="156"/>
  <c r="E483" i="156"/>
  <c r="E484" i="156"/>
  <c r="E485" i="156"/>
  <c r="E486" i="156"/>
  <c r="E487" i="156"/>
  <c r="E488" i="156"/>
  <c r="E489" i="156"/>
  <c r="E490" i="156"/>
  <c r="E491" i="156"/>
  <c r="E492" i="156"/>
  <c r="E493" i="156"/>
  <c r="E494" i="156"/>
  <c r="E495" i="156"/>
  <c r="E496" i="156"/>
  <c r="E497" i="156"/>
  <c r="E498" i="156"/>
  <c r="E499" i="156"/>
  <c r="E500" i="156"/>
  <c r="E501" i="156"/>
  <c r="E502" i="156"/>
  <c r="E503" i="156"/>
  <c r="J19" i="168"/>
  <c r="J29" i="168" s="1"/>
  <c r="K10" i="168"/>
  <c r="K9" i="168"/>
  <c r="K8" i="168"/>
  <c r="P7" i="168"/>
  <c r="K7" i="168"/>
  <c r="P6" i="168"/>
  <c r="K6" i="168"/>
  <c r="M5" i="168"/>
  <c r="Q5" i="168" s="1"/>
  <c r="K5" i="168"/>
  <c r="B4" i="168"/>
  <c r="C3" i="168"/>
  <c r="D3" i="168" s="1"/>
  <c r="D503" i="156"/>
  <c r="F503" i="156"/>
  <c r="P8" i="168" l="1"/>
  <c r="P10" i="168" s="1"/>
  <c r="K11" i="168"/>
  <c r="L5" i="168" s="1"/>
  <c r="C4" i="168"/>
  <c r="E3" i="168"/>
  <c r="D4" i="168"/>
  <c r="J21" i="168"/>
  <c r="J31" i="168" s="1"/>
  <c r="J20" i="168"/>
  <c r="J30" i="168" s="1"/>
  <c r="D422" i="156"/>
  <c r="F422" i="156"/>
  <c r="Q5" i="167"/>
  <c r="D497" i="156"/>
  <c r="D498" i="156"/>
  <c r="D499" i="156"/>
  <c r="D500" i="156"/>
  <c r="D501" i="156"/>
  <c r="D502" i="156"/>
  <c r="F497" i="156"/>
  <c r="F498" i="156"/>
  <c r="F499" i="156"/>
  <c r="F500" i="156"/>
  <c r="F501" i="156"/>
  <c r="F502" i="156"/>
  <c r="J19" i="167"/>
  <c r="J29" i="167" s="1"/>
  <c r="K10" i="167"/>
  <c r="K9" i="167"/>
  <c r="K8" i="167"/>
  <c r="P7" i="167"/>
  <c r="K7" i="167"/>
  <c r="P6" i="167"/>
  <c r="K6" i="167"/>
  <c r="M5" i="167"/>
  <c r="K5" i="167"/>
  <c r="B4" i="167"/>
  <c r="C3" i="167"/>
  <c r="D3" i="167" s="1"/>
  <c r="D496" i="156"/>
  <c r="F496" i="156"/>
  <c r="D490" i="156"/>
  <c r="D491" i="156"/>
  <c r="D492" i="156"/>
  <c r="D493" i="156"/>
  <c r="D494" i="156"/>
  <c r="D495" i="156"/>
  <c r="F490" i="156"/>
  <c r="F491" i="156"/>
  <c r="F492" i="156"/>
  <c r="F493" i="156"/>
  <c r="F494" i="156"/>
  <c r="F495" i="156"/>
  <c r="J19" i="166"/>
  <c r="J29" i="166" s="1"/>
  <c r="K10" i="166"/>
  <c r="K9" i="166"/>
  <c r="K8" i="166"/>
  <c r="P7" i="166"/>
  <c r="K7" i="166"/>
  <c r="P6" i="166"/>
  <c r="K6" i="166"/>
  <c r="Q5" i="166"/>
  <c r="M5" i="166"/>
  <c r="K5" i="166"/>
  <c r="B4" i="166"/>
  <c r="C3" i="166"/>
  <c r="D3" i="166" s="1"/>
  <c r="D489" i="156"/>
  <c r="F489" i="156"/>
  <c r="D483" i="156"/>
  <c r="D484" i="156"/>
  <c r="D485" i="156"/>
  <c r="D486" i="156"/>
  <c r="D487" i="156"/>
  <c r="D488" i="156"/>
  <c r="F483" i="156"/>
  <c r="F484" i="156"/>
  <c r="F485" i="156"/>
  <c r="F486" i="156"/>
  <c r="F487" i="156"/>
  <c r="F488" i="156"/>
  <c r="L10" i="168" l="1"/>
  <c r="L6" i="168"/>
  <c r="L8" i="168"/>
  <c r="L7" i="168"/>
  <c r="L9" i="168"/>
  <c r="J22" i="168"/>
  <c r="J32" i="168" s="1"/>
  <c r="F3" i="168"/>
  <c r="E4" i="168"/>
  <c r="P8" i="167"/>
  <c r="P10" i="167" s="1"/>
  <c r="C4" i="167"/>
  <c r="K11" i="167"/>
  <c r="L5" i="167" s="1"/>
  <c r="E3" i="167"/>
  <c r="J21" i="167"/>
  <c r="J31" i="167" s="1"/>
  <c r="D4" i="167"/>
  <c r="J20" i="167"/>
  <c r="J30" i="167" s="1"/>
  <c r="K11" i="166"/>
  <c r="L8" i="166" s="1"/>
  <c r="P8" i="166"/>
  <c r="P10" i="166" s="1"/>
  <c r="J21" i="166"/>
  <c r="J31" i="166" s="1"/>
  <c r="E3" i="166"/>
  <c r="D4" i="166"/>
  <c r="C4" i="166"/>
  <c r="J20" i="166"/>
  <c r="J30" i="166" s="1"/>
  <c r="J19" i="165"/>
  <c r="J29" i="165" s="1"/>
  <c r="K10" i="165"/>
  <c r="K9" i="165"/>
  <c r="K8" i="165"/>
  <c r="P7" i="165"/>
  <c r="K7" i="165"/>
  <c r="P6" i="165"/>
  <c r="K6" i="165"/>
  <c r="M5" i="165"/>
  <c r="Q5" i="165" s="1"/>
  <c r="K5" i="165"/>
  <c r="B4" i="165"/>
  <c r="C3" i="165"/>
  <c r="D3" i="165" s="1"/>
  <c r="F478" i="156"/>
  <c r="F479" i="156"/>
  <c r="F480" i="156"/>
  <c r="F481" i="156"/>
  <c r="F482" i="156"/>
  <c r="D482" i="156"/>
  <c r="D478" i="156"/>
  <c r="D476" i="156"/>
  <c r="D477" i="156"/>
  <c r="D479" i="156"/>
  <c r="D480" i="156"/>
  <c r="D481" i="156"/>
  <c r="F476" i="156"/>
  <c r="F477" i="156"/>
  <c r="J23" i="168" l="1"/>
  <c r="J33" i="168" s="1"/>
  <c r="F4" i="168"/>
  <c r="G3" i="168"/>
  <c r="L6" i="167"/>
  <c r="L10" i="167"/>
  <c r="L8" i="167"/>
  <c r="L7" i="167"/>
  <c r="L9" i="167"/>
  <c r="J22" i="167"/>
  <c r="J32" i="167" s="1"/>
  <c r="F3" i="167"/>
  <c r="E4" i="167"/>
  <c r="L6" i="166"/>
  <c r="L7" i="166"/>
  <c r="L10" i="166"/>
  <c r="L9" i="166"/>
  <c r="L5" i="166"/>
  <c r="J22" i="166"/>
  <c r="J32" i="166" s="1"/>
  <c r="F3" i="166"/>
  <c r="E4" i="166"/>
  <c r="P8" i="165"/>
  <c r="P10" i="165" s="1"/>
  <c r="K11" i="165"/>
  <c r="L6" i="165" s="1"/>
  <c r="C4" i="165"/>
  <c r="J21" i="165"/>
  <c r="J31" i="165" s="1"/>
  <c r="E3" i="165"/>
  <c r="D4" i="165"/>
  <c r="J20" i="165"/>
  <c r="J30" i="165" s="1"/>
  <c r="J19" i="164"/>
  <c r="J29" i="164" s="1"/>
  <c r="K10" i="164"/>
  <c r="K9" i="164"/>
  <c r="K8" i="164"/>
  <c r="P7" i="164"/>
  <c r="K7" i="164"/>
  <c r="P6" i="164"/>
  <c r="K6" i="164"/>
  <c r="Q5" i="164"/>
  <c r="M5" i="164"/>
  <c r="K5" i="164"/>
  <c r="B4" i="164"/>
  <c r="C3" i="164"/>
  <c r="J20" i="164" s="1"/>
  <c r="J30" i="164" s="1"/>
  <c r="E426" i="81"/>
  <c r="F427" i="81"/>
  <c r="F426" i="81"/>
  <c r="P8" i="163"/>
  <c r="P10" i="163"/>
  <c r="D475" i="156"/>
  <c r="F475" i="156"/>
  <c r="K16" i="158"/>
  <c r="K15" i="158"/>
  <c r="D3" i="156"/>
  <c r="D4" i="156"/>
  <c r="D5" i="156"/>
  <c r="D6" i="156"/>
  <c r="D7" i="156"/>
  <c r="D8" i="156"/>
  <c r="D9" i="156"/>
  <c r="D10" i="156"/>
  <c r="D11" i="156"/>
  <c r="D12" i="156"/>
  <c r="D13" i="156"/>
  <c r="D14" i="156"/>
  <c r="D15" i="156"/>
  <c r="D16" i="156"/>
  <c r="D17" i="156"/>
  <c r="D18" i="156"/>
  <c r="D19" i="156"/>
  <c r="D20" i="156"/>
  <c r="D21" i="156"/>
  <c r="D22" i="156"/>
  <c r="D23" i="156"/>
  <c r="D24" i="156"/>
  <c r="D25" i="156"/>
  <c r="D26" i="156"/>
  <c r="D27" i="156"/>
  <c r="D28" i="156"/>
  <c r="D29" i="156"/>
  <c r="D30" i="156"/>
  <c r="D31" i="156"/>
  <c r="D32" i="156"/>
  <c r="D33" i="156"/>
  <c r="D34" i="156"/>
  <c r="D35" i="156"/>
  <c r="D36" i="156"/>
  <c r="D37" i="156"/>
  <c r="D38" i="156"/>
  <c r="D39" i="156"/>
  <c r="D40" i="156"/>
  <c r="D41" i="156"/>
  <c r="D42" i="156"/>
  <c r="D43" i="156"/>
  <c r="D44" i="156"/>
  <c r="D45" i="156"/>
  <c r="D46" i="156"/>
  <c r="D47" i="156"/>
  <c r="D48" i="156"/>
  <c r="D49" i="156"/>
  <c r="D50" i="156"/>
  <c r="D51" i="156"/>
  <c r="D52" i="156"/>
  <c r="D53" i="156"/>
  <c r="D54" i="156"/>
  <c r="D55" i="156"/>
  <c r="D56" i="156"/>
  <c r="D57" i="156"/>
  <c r="D58" i="156"/>
  <c r="D59" i="156"/>
  <c r="D60" i="156"/>
  <c r="D61" i="156"/>
  <c r="D62" i="156"/>
  <c r="D63" i="156"/>
  <c r="D64" i="156"/>
  <c r="D65" i="156"/>
  <c r="D66" i="156"/>
  <c r="D67" i="156"/>
  <c r="D68" i="156"/>
  <c r="D69" i="156"/>
  <c r="D70" i="156"/>
  <c r="D71" i="156"/>
  <c r="D72" i="156"/>
  <c r="D73" i="156"/>
  <c r="D74" i="156"/>
  <c r="D75" i="156"/>
  <c r="D76" i="156"/>
  <c r="D77" i="156"/>
  <c r="D78" i="156"/>
  <c r="D79" i="156"/>
  <c r="D80" i="156"/>
  <c r="D81" i="156"/>
  <c r="D82" i="156"/>
  <c r="D83" i="156"/>
  <c r="D84" i="156"/>
  <c r="D85" i="156"/>
  <c r="D86" i="156"/>
  <c r="D87" i="156"/>
  <c r="D88" i="156"/>
  <c r="D89" i="156"/>
  <c r="D90" i="156"/>
  <c r="D91" i="156"/>
  <c r="D92" i="156"/>
  <c r="D93" i="156"/>
  <c r="D94" i="156"/>
  <c r="D95" i="156"/>
  <c r="D96" i="156"/>
  <c r="D97" i="156"/>
  <c r="D98" i="156"/>
  <c r="D99" i="156"/>
  <c r="D100" i="156"/>
  <c r="D101" i="156"/>
  <c r="D102" i="156"/>
  <c r="D103" i="156"/>
  <c r="D104" i="156"/>
  <c r="D105" i="156"/>
  <c r="D106" i="156"/>
  <c r="D107" i="156"/>
  <c r="D108" i="156"/>
  <c r="D109" i="156"/>
  <c r="D110" i="156"/>
  <c r="D111" i="156"/>
  <c r="D112" i="156"/>
  <c r="D113" i="156"/>
  <c r="D114" i="156"/>
  <c r="D115" i="156"/>
  <c r="D116" i="156"/>
  <c r="D117" i="156"/>
  <c r="D118" i="156"/>
  <c r="D119" i="156"/>
  <c r="D120" i="156"/>
  <c r="D121" i="156"/>
  <c r="D122" i="156"/>
  <c r="D123" i="156"/>
  <c r="D124" i="156"/>
  <c r="D125" i="156"/>
  <c r="D126" i="156"/>
  <c r="D127" i="156"/>
  <c r="D128" i="156"/>
  <c r="D129" i="156"/>
  <c r="D130" i="156"/>
  <c r="D131" i="156"/>
  <c r="D132" i="156"/>
  <c r="D133" i="156"/>
  <c r="D134" i="156"/>
  <c r="D135" i="156"/>
  <c r="D136" i="156"/>
  <c r="D137" i="156"/>
  <c r="D138" i="156"/>
  <c r="D139" i="156"/>
  <c r="D140" i="156"/>
  <c r="D141" i="156"/>
  <c r="D142" i="156"/>
  <c r="D143" i="156"/>
  <c r="D144" i="156"/>
  <c r="D145" i="156"/>
  <c r="D146" i="156"/>
  <c r="D147" i="156"/>
  <c r="D148" i="156"/>
  <c r="D149" i="156"/>
  <c r="D150" i="156"/>
  <c r="D151" i="156"/>
  <c r="D152" i="156"/>
  <c r="D153" i="156"/>
  <c r="D154" i="156"/>
  <c r="D155" i="156"/>
  <c r="D156" i="156"/>
  <c r="D157" i="156"/>
  <c r="D158" i="156"/>
  <c r="D159" i="156"/>
  <c r="D160" i="156"/>
  <c r="D161" i="156"/>
  <c r="D162" i="156"/>
  <c r="D163" i="156"/>
  <c r="D164" i="156"/>
  <c r="D165" i="156"/>
  <c r="D166" i="156"/>
  <c r="D167" i="156"/>
  <c r="D168" i="156"/>
  <c r="D169" i="156"/>
  <c r="D170" i="156"/>
  <c r="D171" i="156"/>
  <c r="D172" i="156"/>
  <c r="D173" i="156"/>
  <c r="D174" i="156"/>
  <c r="D175" i="156"/>
  <c r="D176" i="156"/>
  <c r="D177" i="156"/>
  <c r="D178" i="156"/>
  <c r="D179" i="156"/>
  <c r="D180" i="156"/>
  <c r="D181" i="156"/>
  <c r="D182" i="156"/>
  <c r="D183" i="156"/>
  <c r="D184" i="156"/>
  <c r="D185" i="156"/>
  <c r="D186" i="156"/>
  <c r="D187" i="156"/>
  <c r="D188" i="156"/>
  <c r="D189" i="156"/>
  <c r="D190" i="156"/>
  <c r="D191" i="156"/>
  <c r="D192" i="156"/>
  <c r="D193" i="156"/>
  <c r="D194" i="156"/>
  <c r="D195" i="156"/>
  <c r="D196" i="156"/>
  <c r="D197" i="156"/>
  <c r="D198" i="156"/>
  <c r="D199" i="156"/>
  <c r="D200" i="156"/>
  <c r="D201" i="156"/>
  <c r="D202" i="156"/>
  <c r="D203" i="156"/>
  <c r="D204" i="156"/>
  <c r="D205" i="156"/>
  <c r="D206" i="156"/>
  <c r="D207" i="156"/>
  <c r="D208" i="156"/>
  <c r="D209" i="156"/>
  <c r="D210" i="156"/>
  <c r="D211" i="156"/>
  <c r="D212" i="156"/>
  <c r="D213" i="156"/>
  <c r="D214" i="156"/>
  <c r="D215" i="156"/>
  <c r="D216" i="156"/>
  <c r="D217" i="156"/>
  <c r="D218" i="156"/>
  <c r="D219" i="156"/>
  <c r="D220" i="156"/>
  <c r="D221" i="156"/>
  <c r="D222" i="156"/>
  <c r="D223" i="156"/>
  <c r="D224" i="156"/>
  <c r="D225" i="156"/>
  <c r="D226" i="156"/>
  <c r="D227" i="156"/>
  <c r="D228" i="156"/>
  <c r="D229" i="156"/>
  <c r="D230" i="156"/>
  <c r="D231" i="156"/>
  <c r="D232" i="156"/>
  <c r="D233" i="156"/>
  <c r="D234" i="156"/>
  <c r="D235" i="156"/>
  <c r="D236" i="156"/>
  <c r="D237" i="156"/>
  <c r="D238" i="156"/>
  <c r="D239" i="156"/>
  <c r="D240" i="156"/>
  <c r="D241" i="156"/>
  <c r="D242" i="156"/>
  <c r="D243" i="156"/>
  <c r="D244" i="156"/>
  <c r="D245" i="156"/>
  <c r="D246" i="156"/>
  <c r="D247" i="156"/>
  <c r="D248" i="156"/>
  <c r="D249" i="156"/>
  <c r="D250" i="156"/>
  <c r="D251" i="156"/>
  <c r="D252" i="156"/>
  <c r="D253" i="156"/>
  <c r="D254" i="156"/>
  <c r="D255" i="156"/>
  <c r="D256" i="156"/>
  <c r="D257" i="156"/>
  <c r="D258" i="156"/>
  <c r="D259" i="156"/>
  <c r="D260" i="156"/>
  <c r="D261" i="156"/>
  <c r="D262" i="156"/>
  <c r="D263" i="156"/>
  <c r="D264" i="156"/>
  <c r="D265" i="156"/>
  <c r="D266" i="156"/>
  <c r="D267" i="156"/>
  <c r="D268" i="156"/>
  <c r="D269" i="156"/>
  <c r="D270" i="156"/>
  <c r="D271" i="156"/>
  <c r="D272" i="156"/>
  <c r="D273" i="156"/>
  <c r="D274" i="156"/>
  <c r="D275" i="156"/>
  <c r="D276" i="156"/>
  <c r="D277" i="156"/>
  <c r="D278" i="156"/>
  <c r="D279" i="156"/>
  <c r="D280" i="156"/>
  <c r="D281" i="156"/>
  <c r="D282" i="156"/>
  <c r="D283" i="156"/>
  <c r="D284" i="156"/>
  <c r="D285" i="156"/>
  <c r="D286" i="156"/>
  <c r="D287" i="156"/>
  <c r="D288" i="156"/>
  <c r="D289" i="156"/>
  <c r="D290" i="156"/>
  <c r="D291" i="156"/>
  <c r="D292" i="156"/>
  <c r="D293" i="156"/>
  <c r="D294" i="156"/>
  <c r="D295" i="156"/>
  <c r="D296" i="156"/>
  <c r="D297" i="156"/>
  <c r="D298" i="156"/>
  <c r="D299" i="156"/>
  <c r="D300" i="156"/>
  <c r="D301" i="156"/>
  <c r="D302" i="156"/>
  <c r="D303" i="156"/>
  <c r="D304" i="156"/>
  <c r="D305" i="156"/>
  <c r="D306" i="156"/>
  <c r="D307" i="156"/>
  <c r="D308" i="156"/>
  <c r="D309" i="156"/>
  <c r="D310" i="156"/>
  <c r="D311" i="156"/>
  <c r="D312" i="156"/>
  <c r="D313" i="156"/>
  <c r="D314" i="156"/>
  <c r="D315" i="156"/>
  <c r="D316" i="156"/>
  <c r="D317" i="156"/>
  <c r="D318" i="156"/>
  <c r="D319" i="156"/>
  <c r="D320" i="156"/>
  <c r="D321" i="156"/>
  <c r="D322" i="156"/>
  <c r="D323" i="156"/>
  <c r="D324" i="156"/>
  <c r="D325" i="156"/>
  <c r="D326" i="156"/>
  <c r="D327" i="156"/>
  <c r="D328" i="156"/>
  <c r="D329" i="156"/>
  <c r="D330" i="156"/>
  <c r="D331" i="156"/>
  <c r="D332" i="156"/>
  <c r="D333" i="156"/>
  <c r="D334" i="156"/>
  <c r="D335" i="156"/>
  <c r="D336" i="156"/>
  <c r="D337" i="156"/>
  <c r="D338" i="156"/>
  <c r="D339" i="156"/>
  <c r="D340" i="156"/>
  <c r="D341" i="156"/>
  <c r="D342" i="156"/>
  <c r="D343" i="156"/>
  <c r="D344" i="156"/>
  <c r="D345" i="156"/>
  <c r="D346" i="156"/>
  <c r="D347" i="156"/>
  <c r="D348" i="156"/>
  <c r="D349" i="156"/>
  <c r="D350" i="156"/>
  <c r="D351" i="156"/>
  <c r="D352" i="156"/>
  <c r="D353" i="156"/>
  <c r="D354" i="156"/>
  <c r="D355" i="156"/>
  <c r="D356" i="156"/>
  <c r="D357" i="156"/>
  <c r="D358" i="156"/>
  <c r="D359" i="156"/>
  <c r="D360" i="156"/>
  <c r="D361" i="156"/>
  <c r="D362" i="156"/>
  <c r="D363" i="156"/>
  <c r="D364" i="156"/>
  <c r="D365" i="156"/>
  <c r="D366" i="156"/>
  <c r="D367" i="156"/>
  <c r="D368" i="156"/>
  <c r="D369" i="156"/>
  <c r="D370" i="156"/>
  <c r="D371" i="156"/>
  <c r="D372" i="156"/>
  <c r="D373" i="156"/>
  <c r="D374" i="156"/>
  <c r="D375" i="156"/>
  <c r="D376" i="156"/>
  <c r="D377" i="156"/>
  <c r="D378" i="156"/>
  <c r="D379" i="156"/>
  <c r="D380" i="156"/>
  <c r="D381" i="156"/>
  <c r="D382" i="156"/>
  <c r="D383" i="156"/>
  <c r="D384" i="156"/>
  <c r="D385" i="156"/>
  <c r="D386" i="156"/>
  <c r="D387" i="156"/>
  <c r="D388" i="156"/>
  <c r="D389" i="156"/>
  <c r="D390" i="156"/>
  <c r="D391" i="156"/>
  <c r="D392" i="156"/>
  <c r="D393" i="156"/>
  <c r="D394" i="156"/>
  <c r="D395" i="156"/>
  <c r="D396" i="156"/>
  <c r="D397" i="156"/>
  <c r="D398" i="156"/>
  <c r="D399" i="156"/>
  <c r="D400" i="156"/>
  <c r="D401" i="156"/>
  <c r="D402" i="156"/>
  <c r="D403" i="156"/>
  <c r="D404" i="156"/>
  <c r="D405" i="156"/>
  <c r="D406" i="156"/>
  <c r="D407" i="156"/>
  <c r="D408" i="156"/>
  <c r="D409" i="156"/>
  <c r="D410" i="156"/>
  <c r="D411" i="156"/>
  <c r="D412" i="156"/>
  <c r="D413" i="156"/>
  <c r="D414" i="156"/>
  <c r="D415" i="156"/>
  <c r="D416" i="156"/>
  <c r="D417" i="156"/>
  <c r="D418" i="156"/>
  <c r="D419" i="156"/>
  <c r="D420" i="156"/>
  <c r="D421" i="156"/>
  <c r="D423" i="156"/>
  <c r="D424" i="156"/>
  <c r="D425" i="156"/>
  <c r="D426" i="156"/>
  <c r="D427" i="156"/>
  <c r="D428" i="156"/>
  <c r="D429" i="156"/>
  <c r="D430" i="156"/>
  <c r="D431" i="156"/>
  <c r="D432" i="156"/>
  <c r="D433" i="156"/>
  <c r="D434" i="156"/>
  <c r="D435" i="156"/>
  <c r="D436" i="156"/>
  <c r="D437" i="156"/>
  <c r="D438" i="156"/>
  <c r="D439" i="156"/>
  <c r="D440" i="156"/>
  <c r="D441" i="156"/>
  <c r="D442" i="156"/>
  <c r="D443" i="156"/>
  <c r="D444" i="156"/>
  <c r="D445" i="156"/>
  <c r="D446" i="156"/>
  <c r="D447" i="156"/>
  <c r="D448" i="156"/>
  <c r="D449" i="156"/>
  <c r="D450" i="156"/>
  <c r="D451" i="156"/>
  <c r="D452" i="156"/>
  <c r="D453" i="156"/>
  <c r="D454" i="156"/>
  <c r="D455" i="156"/>
  <c r="D456" i="156"/>
  <c r="D457" i="156"/>
  <c r="D458" i="156"/>
  <c r="D459" i="156"/>
  <c r="D460" i="156"/>
  <c r="D461" i="156"/>
  <c r="D462" i="156"/>
  <c r="D463" i="156"/>
  <c r="D464" i="156"/>
  <c r="D465" i="156"/>
  <c r="D466" i="156"/>
  <c r="D467" i="156"/>
  <c r="D468" i="156"/>
  <c r="D469" i="156"/>
  <c r="D470" i="156"/>
  <c r="D471" i="156"/>
  <c r="D472" i="156"/>
  <c r="D473" i="156"/>
  <c r="D474" i="156"/>
  <c r="D2" i="156"/>
  <c r="F3" i="156"/>
  <c r="F4" i="156"/>
  <c r="F5" i="156"/>
  <c r="F6" i="156"/>
  <c r="F7" i="156"/>
  <c r="F8" i="156"/>
  <c r="F9" i="156"/>
  <c r="F10" i="156"/>
  <c r="F11" i="156"/>
  <c r="F12" i="156"/>
  <c r="F13" i="156"/>
  <c r="F14" i="156"/>
  <c r="F15" i="156"/>
  <c r="F16" i="156"/>
  <c r="F17" i="156"/>
  <c r="F18" i="156"/>
  <c r="F19" i="156"/>
  <c r="F20" i="156"/>
  <c r="F21" i="156"/>
  <c r="F22" i="156"/>
  <c r="F23" i="156"/>
  <c r="F24" i="156"/>
  <c r="F25" i="156"/>
  <c r="F26" i="156"/>
  <c r="F27" i="156"/>
  <c r="F28" i="156"/>
  <c r="F29" i="156"/>
  <c r="F30" i="156"/>
  <c r="F31" i="156"/>
  <c r="F32" i="156"/>
  <c r="F33" i="156"/>
  <c r="F34" i="156"/>
  <c r="F35" i="156"/>
  <c r="F36" i="156"/>
  <c r="F37" i="156"/>
  <c r="F38" i="156"/>
  <c r="F39" i="156"/>
  <c r="F40" i="156"/>
  <c r="F41" i="156"/>
  <c r="F42" i="156"/>
  <c r="F43" i="156"/>
  <c r="F44" i="156"/>
  <c r="F45" i="156"/>
  <c r="F46" i="156"/>
  <c r="F47" i="156"/>
  <c r="F48" i="156"/>
  <c r="F49" i="156"/>
  <c r="F50" i="156"/>
  <c r="F51" i="156"/>
  <c r="F52" i="156"/>
  <c r="F53" i="156"/>
  <c r="F54" i="156"/>
  <c r="F55" i="156"/>
  <c r="F56" i="156"/>
  <c r="F57" i="156"/>
  <c r="F58" i="156"/>
  <c r="F59" i="156"/>
  <c r="F60" i="156"/>
  <c r="F61" i="156"/>
  <c r="F62" i="156"/>
  <c r="F63" i="156"/>
  <c r="F64" i="156"/>
  <c r="F65" i="156"/>
  <c r="F66" i="156"/>
  <c r="F67" i="156"/>
  <c r="F68" i="156"/>
  <c r="F69" i="156"/>
  <c r="F70" i="156"/>
  <c r="F71" i="156"/>
  <c r="F72" i="156"/>
  <c r="F73" i="156"/>
  <c r="F74" i="156"/>
  <c r="F75" i="156"/>
  <c r="F76" i="156"/>
  <c r="F77" i="156"/>
  <c r="F78" i="156"/>
  <c r="F79" i="156"/>
  <c r="F80" i="156"/>
  <c r="F81" i="156"/>
  <c r="F82" i="156"/>
  <c r="F83" i="156"/>
  <c r="F84" i="156"/>
  <c r="F85" i="156"/>
  <c r="F86" i="156"/>
  <c r="F87" i="156"/>
  <c r="F88" i="156"/>
  <c r="F89" i="156"/>
  <c r="F90" i="156"/>
  <c r="F91" i="156"/>
  <c r="F92" i="156"/>
  <c r="F93" i="156"/>
  <c r="F94" i="156"/>
  <c r="F95" i="156"/>
  <c r="F96" i="156"/>
  <c r="F97" i="156"/>
  <c r="F98" i="156"/>
  <c r="F99" i="156"/>
  <c r="F100" i="156"/>
  <c r="F101" i="156"/>
  <c r="F102" i="156"/>
  <c r="F103" i="156"/>
  <c r="F104" i="156"/>
  <c r="F105" i="156"/>
  <c r="F106" i="156"/>
  <c r="F107" i="156"/>
  <c r="F108" i="156"/>
  <c r="F109" i="156"/>
  <c r="F110" i="156"/>
  <c r="F111" i="156"/>
  <c r="F112" i="156"/>
  <c r="F113" i="156"/>
  <c r="F114" i="156"/>
  <c r="F115" i="156"/>
  <c r="F116" i="156"/>
  <c r="F117" i="156"/>
  <c r="F118" i="156"/>
  <c r="F119" i="156"/>
  <c r="F120" i="156"/>
  <c r="F121" i="156"/>
  <c r="F122" i="156"/>
  <c r="F123" i="156"/>
  <c r="F124" i="156"/>
  <c r="F125" i="156"/>
  <c r="F126" i="156"/>
  <c r="F127" i="156"/>
  <c r="F128" i="156"/>
  <c r="F129" i="156"/>
  <c r="F130" i="156"/>
  <c r="F131" i="156"/>
  <c r="F132" i="156"/>
  <c r="F133" i="156"/>
  <c r="F134" i="156"/>
  <c r="F135" i="156"/>
  <c r="F136" i="156"/>
  <c r="F137" i="156"/>
  <c r="F138" i="156"/>
  <c r="F139" i="156"/>
  <c r="F140" i="156"/>
  <c r="F141" i="156"/>
  <c r="F142" i="156"/>
  <c r="F143" i="156"/>
  <c r="F144" i="156"/>
  <c r="F145" i="156"/>
  <c r="F146" i="156"/>
  <c r="F147" i="156"/>
  <c r="F148" i="156"/>
  <c r="F149" i="156"/>
  <c r="F150" i="156"/>
  <c r="F151" i="156"/>
  <c r="F152" i="156"/>
  <c r="F153" i="156"/>
  <c r="F154" i="156"/>
  <c r="F155" i="156"/>
  <c r="F156" i="156"/>
  <c r="F157" i="156"/>
  <c r="F158" i="156"/>
  <c r="F159" i="156"/>
  <c r="F160" i="156"/>
  <c r="F161" i="156"/>
  <c r="F162" i="156"/>
  <c r="F163" i="156"/>
  <c r="F164" i="156"/>
  <c r="F165" i="156"/>
  <c r="F166" i="156"/>
  <c r="F167" i="156"/>
  <c r="F168" i="156"/>
  <c r="F169" i="156"/>
  <c r="F170" i="156"/>
  <c r="F171" i="156"/>
  <c r="F172" i="156"/>
  <c r="F173" i="156"/>
  <c r="F174" i="156"/>
  <c r="F175" i="156"/>
  <c r="F176" i="156"/>
  <c r="F177" i="156"/>
  <c r="F178" i="156"/>
  <c r="F179" i="156"/>
  <c r="F180" i="156"/>
  <c r="F181" i="156"/>
  <c r="F182" i="156"/>
  <c r="F183" i="156"/>
  <c r="F184" i="156"/>
  <c r="F185" i="156"/>
  <c r="F186" i="156"/>
  <c r="F187" i="156"/>
  <c r="F188" i="156"/>
  <c r="F189" i="156"/>
  <c r="F190" i="156"/>
  <c r="F191" i="156"/>
  <c r="F192" i="156"/>
  <c r="F193" i="156"/>
  <c r="F194" i="156"/>
  <c r="F195" i="156"/>
  <c r="F196" i="156"/>
  <c r="F197" i="156"/>
  <c r="F198" i="156"/>
  <c r="F199" i="156"/>
  <c r="F200" i="156"/>
  <c r="F201" i="156"/>
  <c r="F202" i="156"/>
  <c r="F203" i="156"/>
  <c r="F204" i="156"/>
  <c r="F205" i="156"/>
  <c r="F206" i="156"/>
  <c r="F207" i="156"/>
  <c r="F208" i="156"/>
  <c r="F209" i="156"/>
  <c r="F210" i="156"/>
  <c r="F211" i="156"/>
  <c r="F212" i="156"/>
  <c r="F213" i="156"/>
  <c r="F214" i="156"/>
  <c r="F215" i="156"/>
  <c r="F216" i="156"/>
  <c r="F217" i="156"/>
  <c r="F218" i="156"/>
  <c r="F219" i="156"/>
  <c r="F220" i="156"/>
  <c r="F221" i="156"/>
  <c r="F222" i="156"/>
  <c r="F223" i="156"/>
  <c r="F224" i="156"/>
  <c r="F225" i="156"/>
  <c r="F226" i="156"/>
  <c r="F227" i="156"/>
  <c r="F228" i="156"/>
  <c r="F229" i="156"/>
  <c r="F230" i="156"/>
  <c r="F231" i="156"/>
  <c r="F232" i="156"/>
  <c r="F233" i="156"/>
  <c r="F234" i="156"/>
  <c r="F235" i="156"/>
  <c r="F236" i="156"/>
  <c r="F237" i="156"/>
  <c r="F238" i="156"/>
  <c r="F239" i="156"/>
  <c r="F240" i="156"/>
  <c r="F241" i="156"/>
  <c r="F242" i="156"/>
  <c r="F243" i="156"/>
  <c r="F244" i="156"/>
  <c r="F245" i="156"/>
  <c r="F246" i="156"/>
  <c r="F247" i="156"/>
  <c r="F248" i="156"/>
  <c r="F249" i="156"/>
  <c r="F250" i="156"/>
  <c r="F251" i="156"/>
  <c r="F252" i="156"/>
  <c r="F253" i="156"/>
  <c r="F254" i="156"/>
  <c r="F255" i="156"/>
  <c r="F256" i="156"/>
  <c r="F257" i="156"/>
  <c r="F258" i="156"/>
  <c r="F259" i="156"/>
  <c r="F260" i="156"/>
  <c r="F261" i="156"/>
  <c r="F262" i="156"/>
  <c r="F263" i="156"/>
  <c r="F264" i="156"/>
  <c r="F265" i="156"/>
  <c r="F266" i="156"/>
  <c r="F267" i="156"/>
  <c r="F268" i="156"/>
  <c r="F269" i="156"/>
  <c r="F270" i="156"/>
  <c r="F271" i="156"/>
  <c r="F272" i="156"/>
  <c r="F273" i="156"/>
  <c r="F274" i="156"/>
  <c r="F275" i="156"/>
  <c r="F276" i="156"/>
  <c r="F277" i="156"/>
  <c r="F278" i="156"/>
  <c r="F279" i="156"/>
  <c r="F280" i="156"/>
  <c r="F281" i="156"/>
  <c r="F282" i="156"/>
  <c r="F283" i="156"/>
  <c r="F284" i="156"/>
  <c r="F285" i="156"/>
  <c r="F286" i="156"/>
  <c r="F287" i="156"/>
  <c r="F288" i="156"/>
  <c r="F289" i="156"/>
  <c r="F290" i="156"/>
  <c r="F291" i="156"/>
  <c r="F292" i="156"/>
  <c r="F293" i="156"/>
  <c r="F294" i="156"/>
  <c r="F295" i="156"/>
  <c r="F296" i="156"/>
  <c r="F297" i="156"/>
  <c r="F298" i="156"/>
  <c r="F299" i="156"/>
  <c r="F300" i="156"/>
  <c r="F301" i="156"/>
  <c r="F302" i="156"/>
  <c r="F303" i="156"/>
  <c r="F304" i="156"/>
  <c r="F305" i="156"/>
  <c r="F306" i="156"/>
  <c r="F307" i="156"/>
  <c r="F308" i="156"/>
  <c r="F309" i="156"/>
  <c r="F310" i="156"/>
  <c r="F311" i="156"/>
  <c r="F312" i="156"/>
  <c r="F313" i="156"/>
  <c r="F314" i="156"/>
  <c r="F315" i="156"/>
  <c r="F316" i="156"/>
  <c r="F317" i="156"/>
  <c r="F318" i="156"/>
  <c r="F319" i="156"/>
  <c r="F320" i="156"/>
  <c r="F321" i="156"/>
  <c r="F322" i="156"/>
  <c r="F323" i="156"/>
  <c r="F324" i="156"/>
  <c r="F325" i="156"/>
  <c r="F326" i="156"/>
  <c r="F327" i="156"/>
  <c r="F328" i="156"/>
  <c r="F329" i="156"/>
  <c r="F330" i="156"/>
  <c r="F331" i="156"/>
  <c r="F332" i="156"/>
  <c r="F333" i="156"/>
  <c r="F334" i="156"/>
  <c r="F335" i="156"/>
  <c r="F336" i="156"/>
  <c r="F337" i="156"/>
  <c r="F338" i="156"/>
  <c r="F339" i="156"/>
  <c r="F340" i="156"/>
  <c r="F341" i="156"/>
  <c r="F342" i="156"/>
  <c r="F343" i="156"/>
  <c r="F344" i="156"/>
  <c r="F345" i="156"/>
  <c r="F346" i="156"/>
  <c r="F347" i="156"/>
  <c r="F348" i="156"/>
  <c r="F349" i="156"/>
  <c r="F350" i="156"/>
  <c r="F351" i="156"/>
  <c r="F352" i="156"/>
  <c r="F353" i="156"/>
  <c r="F354" i="156"/>
  <c r="F355" i="156"/>
  <c r="F356" i="156"/>
  <c r="F357" i="156"/>
  <c r="F358" i="156"/>
  <c r="F359" i="156"/>
  <c r="F360" i="156"/>
  <c r="F361" i="156"/>
  <c r="F362" i="156"/>
  <c r="F363" i="156"/>
  <c r="F364" i="156"/>
  <c r="F365" i="156"/>
  <c r="F366" i="156"/>
  <c r="F367" i="156"/>
  <c r="F368" i="156"/>
  <c r="F369" i="156"/>
  <c r="F370" i="156"/>
  <c r="F371" i="156"/>
  <c r="F372" i="156"/>
  <c r="F373" i="156"/>
  <c r="F374" i="156"/>
  <c r="F375" i="156"/>
  <c r="F376" i="156"/>
  <c r="F377" i="156"/>
  <c r="F378" i="156"/>
  <c r="F379" i="156"/>
  <c r="F380" i="156"/>
  <c r="F381" i="156"/>
  <c r="F382" i="156"/>
  <c r="F383" i="156"/>
  <c r="F384" i="156"/>
  <c r="F385" i="156"/>
  <c r="F386" i="156"/>
  <c r="F387" i="156"/>
  <c r="F388" i="156"/>
  <c r="F389" i="156"/>
  <c r="F390" i="156"/>
  <c r="F391" i="156"/>
  <c r="F392" i="156"/>
  <c r="F393" i="156"/>
  <c r="F394" i="156"/>
  <c r="F395" i="156"/>
  <c r="F396" i="156"/>
  <c r="F397" i="156"/>
  <c r="F398" i="156"/>
  <c r="F399" i="156"/>
  <c r="F400" i="156"/>
  <c r="F401" i="156"/>
  <c r="F402" i="156"/>
  <c r="F403" i="156"/>
  <c r="F404" i="156"/>
  <c r="F405" i="156"/>
  <c r="F406" i="156"/>
  <c r="F407" i="156"/>
  <c r="F408" i="156"/>
  <c r="F409" i="156"/>
  <c r="F410" i="156"/>
  <c r="F411" i="156"/>
  <c r="F412" i="156"/>
  <c r="F413" i="156"/>
  <c r="F414" i="156"/>
  <c r="F415" i="156"/>
  <c r="F416" i="156"/>
  <c r="F417" i="156"/>
  <c r="F418" i="156"/>
  <c r="F419" i="156"/>
  <c r="F420" i="156"/>
  <c r="F421" i="156"/>
  <c r="F423" i="156"/>
  <c r="F424" i="156"/>
  <c r="F425" i="156"/>
  <c r="F426" i="156"/>
  <c r="F427" i="156"/>
  <c r="F428" i="156"/>
  <c r="F429" i="156"/>
  <c r="F430" i="156"/>
  <c r="F431" i="156"/>
  <c r="F432" i="156"/>
  <c r="F433" i="156"/>
  <c r="F434" i="156"/>
  <c r="F435" i="156"/>
  <c r="F436" i="156"/>
  <c r="F437" i="156"/>
  <c r="F438" i="156"/>
  <c r="F439" i="156"/>
  <c r="F440" i="156"/>
  <c r="F441" i="156"/>
  <c r="F442" i="156"/>
  <c r="F443" i="156"/>
  <c r="F444" i="156"/>
  <c r="F445" i="156"/>
  <c r="F446" i="156"/>
  <c r="F447" i="156"/>
  <c r="F448" i="156"/>
  <c r="F449" i="156"/>
  <c r="F450" i="156"/>
  <c r="F451" i="156"/>
  <c r="F452" i="156"/>
  <c r="F453" i="156"/>
  <c r="F454" i="156"/>
  <c r="F455" i="156"/>
  <c r="F456" i="156"/>
  <c r="F457" i="156"/>
  <c r="F458" i="156"/>
  <c r="F459" i="156"/>
  <c r="F460" i="156"/>
  <c r="F461" i="156"/>
  <c r="F462" i="156"/>
  <c r="F463" i="156"/>
  <c r="F464" i="156"/>
  <c r="F465" i="156"/>
  <c r="F466" i="156"/>
  <c r="F467" i="156"/>
  <c r="F468" i="156"/>
  <c r="F469" i="156"/>
  <c r="F470" i="156"/>
  <c r="F471" i="156"/>
  <c r="F472" i="156"/>
  <c r="F473" i="156"/>
  <c r="F474" i="156"/>
  <c r="F2" i="156"/>
  <c r="E289" i="81"/>
  <c r="F289" i="81"/>
  <c r="F14" i="81"/>
  <c r="F117" i="81"/>
  <c r="F118" i="81"/>
  <c r="F119" i="81"/>
  <c r="F120" i="81"/>
  <c r="F121" i="81"/>
  <c r="F230" i="81"/>
  <c r="F231" i="81"/>
  <c r="F232" i="81"/>
  <c r="F233" i="81"/>
  <c r="F234" i="81"/>
  <c r="F235" i="81"/>
  <c r="F15" i="81"/>
  <c r="F16" i="81"/>
  <c r="F17" i="81"/>
  <c r="F18" i="81"/>
  <c r="F19" i="81"/>
  <c r="F362" i="81"/>
  <c r="F363" i="81"/>
  <c r="F364" i="81"/>
  <c r="F365" i="81"/>
  <c r="F366" i="81"/>
  <c r="F367" i="81"/>
  <c r="F260" i="81"/>
  <c r="F261" i="81"/>
  <c r="F262" i="81"/>
  <c r="F263" i="81"/>
  <c r="F264" i="81"/>
  <c r="F265" i="81"/>
  <c r="F56" i="81"/>
  <c r="F57" i="81"/>
  <c r="F58" i="81"/>
  <c r="F59" i="81"/>
  <c r="F60" i="81"/>
  <c r="F61" i="81"/>
  <c r="F134" i="81"/>
  <c r="F135" i="81"/>
  <c r="F136" i="81"/>
  <c r="F137" i="81"/>
  <c r="F138" i="81"/>
  <c r="F139" i="81"/>
  <c r="F80" i="81"/>
  <c r="F81" i="81"/>
  <c r="F82" i="81"/>
  <c r="F83" i="81"/>
  <c r="F84" i="81"/>
  <c r="F85" i="81"/>
  <c r="F338" i="81"/>
  <c r="F339" i="81"/>
  <c r="F340" i="81"/>
  <c r="F341" i="81"/>
  <c r="F342" i="81"/>
  <c r="F343" i="81"/>
  <c r="F422" i="81"/>
  <c r="F423" i="81"/>
  <c r="F424" i="81"/>
  <c r="F425" i="81"/>
  <c r="F158" i="81"/>
  <c r="F159" i="81"/>
  <c r="F160" i="81"/>
  <c r="F161" i="81"/>
  <c r="F162" i="81"/>
  <c r="F163" i="81"/>
  <c r="F206" i="81"/>
  <c r="F207" i="81"/>
  <c r="F208" i="81"/>
  <c r="F209" i="81"/>
  <c r="F210" i="81"/>
  <c r="F211" i="81"/>
  <c r="F182" i="81"/>
  <c r="F183" i="81"/>
  <c r="F184" i="81"/>
  <c r="F185" i="81"/>
  <c r="F186" i="81"/>
  <c r="F187" i="81"/>
  <c r="F392" i="81"/>
  <c r="F393" i="81"/>
  <c r="F394" i="81"/>
  <c r="F395" i="81"/>
  <c r="F396" i="81"/>
  <c r="F397" i="81"/>
  <c r="F38" i="81"/>
  <c r="F39" i="81"/>
  <c r="F40" i="81"/>
  <c r="F41" i="81"/>
  <c r="F42" i="81"/>
  <c r="F43" i="81"/>
  <c r="F290" i="81"/>
  <c r="F291" i="81"/>
  <c r="F292" i="81"/>
  <c r="F293" i="81"/>
  <c r="F294" i="81"/>
  <c r="F295" i="81"/>
  <c r="F314" i="81"/>
  <c r="F315" i="81"/>
  <c r="F316" i="81"/>
  <c r="F317" i="81"/>
  <c r="F318" i="81"/>
  <c r="F319" i="81"/>
  <c r="F98" i="81"/>
  <c r="F99" i="81"/>
  <c r="F100" i="81"/>
  <c r="F101" i="81"/>
  <c r="F102" i="81"/>
  <c r="F103" i="81"/>
  <c r="F236" i="81"/>
  <c r="F237" i="81"/>
  <c r="F238" i="81"/>
  <c r="F239" i="81"/>
  <c r="F240" i="81"/>
  <c r="F241" i="81"/>
  <c r="F368" i="81"/>
  <c r="F369" i="81"/>
  <c r="F370" i="81"/>
  <c r="F371" i="81"/>
  <c r="F372" i="81"/>
  <c r="F373" i="81"/>
  <c r="F398" i="81"/>
  <c r="F399" i="81"/>
  <c r="F400" i="81"/>
  <c r="F401" i="81"/>
  <c r="F402" i="81"/>
  <c r="F403" i="81"/>
  <c r="F266" i="81"/>
  <c r="F267" i="81"/>
  <c r="F268" i="81"/>
  <c r="F269" i="81"/>
  <c r="F270" i="81"/>
  <c r="F271" i="81"/>
  <c r="F62" i="81"/>
  <c r="F63" i="81"/>
  <c r="F64" i="81"/>
  <c r="F65" i="81"/>
  <c r="F66" i="81"/>
  <c r="F67" i="81"/>
  <c r="F344" i="81"/>
  <c r="F345" i="81"/>
  <c r="F346" i="81"/>
  <c r="F347" i="81"/>
  <c r="F348" i="81"/>
  <c r="F349" i="81"/>
  <c r="F140" i="81"/>
  <c r="F141" i="81"/>
  <c r="F142" i="81"/>
  <c r="F143" i="81"/>
  <c r="F144" i="81"/>
  <c r="F145" i="81"/>
  <c r="F212" i="81"/>
  <c r="F213" i="81"/>
  <c r="F214" i="81"/>
  <c r="F215" i="81"/>
  <c r="F216" i="81"/>
  <c r="F217" i="81"/>
  <c r="F86" i="81"/>
  <c r="F87" i="81"/>
  <c r="F88" i="81"/>
  <c r="F89" i="81"/>
  <c r="F90" i="81"/>
  <c r="F91" i="81"/>
  <c r="F164" i="81"/>
  <c r="F165" i="81"/>
  <c r="F166" i="81"/>
  <c r="F167" i="81"/>
  <c r="F168" i="81"/>
  <c r="F169" i="81"/>
  <c r="F404" i="81"/>
  <c r="F405" i="81"/>
  <c r="F406" i="81"/>
  <c r="F407" i="81"/>
  <c r="F408" i="81"/>
  <c r="F409" i="81"/>
  <c r="F188" i="81"/>
  <c r="F189" i="81"/>
  <c r="F190" i="81"/>
  <c r="F191" i="81"/>
  <c r="F192" i="81"/>
  <c r="F193" i="81"/>
  <c r="F20" i="81"/>
  <c r="F21" i="81"/>
  <c r="F22" i="81"/>
  <c r="F23" i="81"/>
  <c r="F24" i="81"/>
  <c r="F25" i="81"/>
  <c r="F296" i="81"/>
  <c r="F297" i="81"/>
  <c r="F298" i="81"/>
  <c r="F299" i="81"/>
  <c r="F300" i="81"/>
  <c r="F301" i="81"/>
  <c r="F320" i="81"/>
  <c r="F321" i="81"/>
  <c r="F322" i="81"/>
  <c r="F323" i="81"/>
  <c r="F324" i="81"/>
  <c r="F325" i="81"/>
  <c r="F44" i="81"/>
  <c r="F45" i="81"/>
  <c r="F46" i="81"/>
  <c r="F47" i="81"/>
  <c r="F48" i="81"/>
  <c r="F49" i="81"/>
  <c r="F242" i="81"/>
  <c r="F243" i="81"/>
  <c r="F244" i="81"/>
  <c r="F245" i="81"/>
  <c r="F246" i="81"/>
  <c r="F247" i="81"/>
  <c r="F104" i="81"/>
  <c r="F105" i="81"/>
  <c r="F106" i="81"/>
  <c r="F107" i="81"/>
  <c r="F108" i="81"/>
  <c r="F109" i="81"/>
  <c r="F374" i="81"/>
  <c r="F375" i="81"/>
  <c r="F376" i="81"/>
  <c r="F377" i="81"/>
  <c r="F378" i="81"/>
  <c r="F379" i="81"/>
  <c r="F272" i="81"/>
  <c r="F273" i="81"/>
  <c r="F274" i="81"/>
  <c r="F275" i="81"/>
  <c r="F276" i="81"/>
  <c r="F277" i="81"/>
  <c r="F122" i="81"/>
  <c r="F123" i="81"/>
  <c r="F124" i="81"/>
  <c r="F125" i="81"/>
  <c r="F126" i="81"/>
  <c r="F127" i="81"/>
  <c r="F2" i="81"/>
  <c r="F3" i="81"/>
  <c r="F4" i="81"/>
  <c r="F5" i="81"/>
  <c r="F6" i="81"/>
  <c r="F7" i="81"/>
  <c r="F350" i="81"/>
  <c r="F351" i="81"/>
  <c r="F352" i="81"/>
  <c r="F353" i="81"/>
  <c r="F354" i="81"/>
  <c r="F355" i="81"/>
  <c r="F218" i="81"/>
  <c r="F219" i="81"/>
  <c r="F220" i="81"/>
  <c r="F221" i="81"/>
  <c r="F222" i="81"/>
  <c r="F223" i="81"/>
  <c r="F68" i="81"/>
  <c r="F69" i="81"/>
  <c r="F70" i="81"/>
  <c r="F71" i="81"/>
  <c r="F72" i="81"/>
  <c r="F73" i="81"/>
  <c r="F146" i="81"/>
  <c r="F147" i="81"/>
  <c r="F148" i="81"/>
  <c r="F149" i="81"/>
  <c r="F150" i="81"/>
  <c r="F151" i="81"/>
  <c r="F410" i="81"/>
  <c r="F411" i="81"/>
  <c r="F412" i="81"/>
  <c r="F413" i="81"/>
  <c r="F414" i="81"/>
  <c r="F415" i="81"/>
  <c r="F170" i="81"/>
  <c r="F171" i="81"/>
  <c r="F172" i="81"/>
  <c r="F173" i="81"/>
  <c r="F174" i="81"/>
  <c r="F175" i="81"/>
  <c r="F302" i="81"/>
  <c r="F303" i="81"/>
  <c r="F304" i="81"/>
  <c r="F305" i="81"/>
  <c r="F306" i="81"/>
  <c r="F307" i="81"/>
  <c r="F326" i="81"/>
  <c r="F327" i="81"/>
  <c r="F328" i="81"/>
  <c r="F329" i="81"/>
  <c r="F330" i="81"/>
  <c r="F331" i="81"/>
  <c r="F194" i="81"/>
  <c r="F195" i="81"/>
  <c r="F196" i="81"/>
  <c r="F197" i="81"/>
  <c r="F198" i="81"/>
  <c r="F199" i="81"/>
  <c r="F26" i="81"/>
  <c r="F27" i="81"/>
  <c r="F28" i="81"/>
  <c r="F29" i="81"/>
  <c r="F30" i="81"/>
  <c r="F31" i="81"/>
  <c r="F248" i="81"/>
  <c r="F249" i="81"/>
  <c r="F250" i="81"/>
  <c r="F251" i="81"/>
  <c r="F252" i="81"/>
  <c r="F253" i="81"/>
  <c r="F50" i="81"/>
  <c r="F51" i="81"/>
  <c r="F52" i="81"/>
  <c r="F53" i="81"/>
  <c r="F54" i="81"/>
  <c r="F55" i="81"/>
  <c r="F380" i="81"/>
  <c r="F381" i="81"/>
  <c r="F382" i="81"/>
  <c r="F383" i="81"/>
  <c r="F384" i="81"/>
  <c r="F385" i="81"/>
  <c r="F278" i="81"/>
  <c r="F279" i="81"/>
  <c r="F280" i="81"/>
  <c r="F281" i="81"/>
  <c r="F282" i="81"/>
  <c r="F283" i="81"/>
  <c r="F110" i="81"/>
  <c r="F111" i="81"/>
  <c r="F112" i="81"/>
  <c r="F113" i="81"/>
  <c r="F114" i="81"/>
  <c r="F115" i="81"/>
  <c r="F356" i="81"/>
  <c r="F357" i="81"/>
  <c r="F358" i="81"/>
  <c r="F359" i="81"/>
  <c r="F360" i="81"/>
  <c r="F361" i="81"/>
  <c r="F128" i="81"/>
  <c r="F129" i="81"/>
  <c r="F130" i="81"/>
  <c r="F131" i="81"/>
  <c r="F132" i="81"/>
  <c r="F133" i="81"/>
  <c r="F224" i="81"/>
  <c r="F225" i="81"/>
  <c r="F226" i="81"/>
  <c r="F227" i="81"/>
  <c r="F228" i="81"/>
  <c r="F229" i="81"/>
  <c r="F8" i="81"/>
  <c r="F9" i="81"/>
  <c r="F10" i="81"/>
  <c r="F11" i="81"/>
  <c r="F12" i="81"/>
  <c r="F13" i="81"/>
  <c r="F74" i="81"/>
  <c r="F75" i="81"/>
  <c r="F76" i="81"/>
  <c r="F77" i="81"/>
  <c r="F78" i="81"/>
  <c r="F79" i="81"/>
  <c r="F416" i="81"/>
  <c r="F417" i="81"/>
  <c r="F418" i="81"/>
  <c r="F419" i="81"/>
  <c r="F420" i="81"/>
  <c r="F421" i="81"/>
  <c r="F152" i="81"/>
  <c r="F153" i="81"/>
  <c r="F154" i="81"/>
  <c r="F155" i="81"/>
  <c r="F156" i="81"/>
  <c r="F157" i="81"/>
  <c r="F200" i="81"/>
  <c r="F201" i="81"/>
  <c r="F202" i="81"/>
  <c r="F203" i="81"/>
  <c r="F204" i="81"/>
  <c r="F205" i="81"/>
  <c r="F308" i="81"/>
  <c r="F309" i="81"/>
  <c r="F310" i="81"/>
  <c r="F311" i="81"/>
  <c r="F312" i="81"/>
  <c r="F313" i="81"/>
  <c r="F332" i="81"/>
  <c r="F333" i="81"/>
  <c r="F334" i="81"/>
  <c r="F335" i="81"/>
  <c r="F336" i="81"/>
  <c r="F337" i="81"/>
  <c r="F176" i="81"/>
  <c r="F177" i="81"/>
  <c r="F178" i="81"/>
  <c r="F179" i="81"/>
  <c r="F180" i="81"/>
  <c r="F181" i="81"/>
  <c r="F254" i="81"/>
  <c r="F255" i="81"/>
  <c r="F256" i="81"/>
  <c r="F257" i="81"/>
  <c r="F258" i="81"/>
  <c r="F259" i="81"/>
  <c r="F32" i="81"/>
  <c r="F33" i="81"/>
  <c r="F34" i="81"/>
  <c r="F35" i="81"/>
  <c r="F36" i="81"/>
  <c r="F37" i="81"/>
  <c r="F92" i="81"/>
  <c r="F93" i="81"/>
  <c r="F94" i="81"/>
  <c r="F95" i="81"/>
  <c r="F96" i="81"/>
  <c r="F97" i="81"/>
  <c r="F386" i="81"/>
  <c r="F387" i="81"/>
  <c r="F388" i="81"/>
  <c r="F389" i="81"/>
  <c r="F390" i="81"/>
  <c r="F391" i="81"/>
  <c r="F284" i="81"/>
  <c r="F285" i="81"/>
  <c r="F286" i="81"/>
  <c r="F287" i="81"/>
  <c r="F288" i="81"/>
  <c r="F116" i="81"/>
  <c r="E117" i="81"/>
  <c r="E118" i="81"/>
  <c r="E119" i="81"/>
  <c r="E120" i="81"/>
  <c r="E121" i="81"/>
  <c r="E230" i="81"/>
  <c r="E231" i="81"/>
  <c r="E232" i="81"/>
  <c r="E233" i="81"/>
  <c r="E234" i="81"/>
  <c r="E235" i="81"/>
  <c r="E14" i="81"/>
  <c r="E15" i="81"/>
  <c r="E16" i="81"/>
  <c r="E17" i="81"/>
  <c r="E18" i="81"/>
  <c r="E19" i="81"/>
  <c r="E362" i="81"/>
  <c r="E363" i="81"/>
  <c r="E364" i="81"/>
  <c r="E365" i="81"/>
  <c r="E366" i="81"/>
  <c r="E367" i="81"/>
  <c r="E260" i="81"/>
  <c r="E261" i="81"/>
  <c r="E262" i="81"/>
  <c r="E263" i="81"/>
  <c r="E264" i="81"/>
  <c r="E265" i="81"/>
  <c r="E56" i="81"/>
  <c r="E57" i="81"/>
  <c r="E58" i="81"/>
  <c r="E59" i="81"/>
  <c r="E60" i="81"/>
  <c r="E61" i="81"/>
  <c r="E134" i="81"/>
  <c r="E135" i="81"/>
  <c r="E136" i="81"/>
  <c r="E137" i="81"/>
  <c r="E138" i="81"/>
  <c r="E139" i="81"/>
  <c r="E80" i="81"/>
  <c r="E81" i="81"/>
  <c r="E82" i="81"/>
  <c r="E83" i="81"/>
  <c r="E84" i="81"/>
  <c r="E85" i="81"/>
  <c r="E338" i="81"/>
  <c r="E339" i="81"/>
  <c r="E340" i="81"/>
  <c r="E341" i="81"/>
  <c r="E342" i="81"/>
  <c r="E343" i="81"/>
  <c r="E422" i="81"/>
  <c r="E423" i="81"/>
  <c r="E424" i="81"/>
  <c r="E425" i="81"/>
  <c r="E427" i="81"/>
  <c r="E158" i="81"/>
  <c r="E159" i="81"/>
  <c r="E160" i="81"/>
  <c r="E161" i="81"/>
  <c r="E162" i="81"/>
  <c r="E163" i="81"/>
  <c r="E206" i="81"/>
  <c r="E207" i="81"/>
  <c r="E208" i="81"/>
  <c r="E209" i="81"/>
  <c r="E210" i="81"/>
  <c r="E211" i="81"/>
  <c r="E182" i="81"/>
  <c r="E183" i="81"/>
  <c r="E184" i="81"/>
  <c r="E185" i="81"/>
  <c r="E186" i="81"/>
  <c r="E187" i="81"/>
  <c r="E392" i="81"/>
  <c r="E393" i="81"/>
  <c r="E394" i="81"/>
  <c r="E395" i="81"/>
  <c r="E396" i="81"/>
  <c r="E397" i="81"/>
  <c r="E38" i="81"/>
  <c r="E39" i="81"/>
  <c r="E40" i="81"/>
  <c r="E41" i="81"/>
  <c r="E42" i="81"/>
  <c r="E43" i="81"/>
  <c r="E290" i="81"/>
  <c r="E291" i="81"/>
  <c r="E292" i="81"/>
  <c r="E293" i="81"/>
  <c r="E294" i="81"/>
  <c r="E295" i="81"/>
  <c r="E314" i="81"/>
  <c r="E315" i="81"/>
  <c r="E316" i="81"/>
  <c r="E317" i="81"/>
  <c r="E318" i="81"/>
  <c r="E319" i="81"/>
  <c r="E98" i="81"/>
  <c r="E99" i="81"/>
  <c r="E100" i="81"/>
  <c r="E101" i="81"/>
  <c r="E102" i="81"/>
  <c r="E103" i="81"/>
  <c r="E236" i="81"/>
  <c r="E237" i="81"/>
  <c r="E238" i="81"/>
  <c r="E239" i="81"/>
  <c r="E240" i="81"/>
  <c r="E241" i="81"/>
  <c r="E368" i="81"/>
  <c r="E369" i="81"/>
  <c r="E370" i="81"/>
  <c r="E371" i="81"/>
  <c r="E372" i="81"/>
  <c r="E373" i="81"/>
  <c r="E398" i="81"/>
  <c r="E399" i="81"/>
  <c r="E400" i="81"/>
  <c r="E401" i="81"/>
  <c r="E402" i="81"/>
  <c r="E403" i="81"/>
  <c r="E266" i="81"/>
  <c r="E267" i="81"/>
  <c r="E268" i="81"/>
  <c r="E269" i="81"/>
  <c r="E270" i="81"/>
  <c r="E271" i="81"/>
  <c r="E62" i="81"/>
  <c r="E63" i="81"/>
  <c r="E64" i="81"/>
  <c r="E65" i="81"/>
  <c r="E66" i="81"/>
  <c r="E67" i="81"/>
  <c r="E344" i="81"/>
  <c r="E345" i="81"/>
  <c r="E346" i="81"/>
  <c r="E347" i="81"/>
  <c r="E348" i="81"/>
  <c r="E349" i="81"/>
  <c r="E140" i="81"/>
  <c r="E141" i="81"/>
  <c r="E142" i="81"/>
  <c r="E143" i="81"/>
  <c r="E144" i="81"/>
  <c r="E145" i="81"/>
  <c r="E212" i="81"/>
  <c r="E213" i="81"/>
  <c r="E214" i="81"/>
  <c r="E215" i="81"/>
  <c r="E216" i="81"/>
  <c r="E217" i="81"/>
  <c r="E86" i="81"/>
  <c r="E87" i="81"/>
  <c r="E88" i="81"/>
  <c r="E89" i="81"/>
  <c r="E90" i="81"/>
  <c r="E91" i="81"/>
  <c r="E164" i="81"/>
  <c r="E165" i="81"/>
  <c r="E166" i="81"/>
  <c r="E167" i="81"/>
  <c r="E168" i="81"/>
  <c r="E169" i="81"/>
  <c r="E404" i="81"/>
  <c r="E405" i="81"/>
  <c r="E406" i="81"/>
  <c r="E407" i="81"/>
  <c r="E408" i="81"/>
  <c r="E409" i="81"/>
  <c r="E188" i="81"/>
  <c r="E189" i="81"/>
  <c r="E190" i="81"/>
  <c r="E191" i="81"/>
  <c r="E192" i="81"/>
  <c r="E193" i="81"/>
  <c r="E20" i="81"/>
  <c r="E21" i="81"/>
  <c r="E22" i="81"/>
  <c r="E23" i="81"/>
  <c r="E24" i="81"/>
  <c r="E25" i="81"/>
  <c r="E296" i="81"/>
  <c r="E297" i="81"/>
  <c r="E298" i="81"/>
  <c r="E299" i="81"/>
  <c r="E300" i="81"/>
  <c r="E301" i="81"/>
  <c r="E320" i="81"/>
  <c r="E321" i="81"/>
  <c r="E322" i="81"/>
  <c r="E323" i="81"/>
  <c r="E324" i="81"/>
  <c r="E325" i="81"/>
  <c r="E44" i="81"/>
  <c r="E45" i="81"/>
  <c r="E46" i="81"/>
  <c r="E47" i="81"/>
  <c r="E48" i="81"/>
  <c r="E49" i="81"/>
  <c r="E242" i="81"/>
  <c r="E243" i="81"/>
  <c r="E244" i="81"/>
  <c r="E245" i="81"/>
  <c r="E246" i="81"/>
  <c r="E247" i="81"/>
  <c r="E104" i="81"/>
  <c r="E105" i="81"/>
  <c r="E106" i="81"/>
  <c r="E107" i="81"/>
  <c r="E108" i="81"/>
  <c r="E109" i="81"/>
  <c r="E374" i="81"/>
  <c r="E375" i="81"/>
  <c r="E376" i="81"/>
  <c r="E377" i="81"/>
  <c r="E378" i="81"/>
  <c r="E379" i="81"/>
  <c r="E272" i="81"/>
  <c r="E273" i="81"/>
  <c r="E274" i="81"/>
  <c r="E275" i="81"/>
  <c r="E276" i="81"/>
  <c r="E277" i="81"/>
  <c r="E122" i="81"/>
  <c r="E123" i="81"/>
  <c r="E124" i="81"/>
  <c r="E125" i="81"/>
  <c r="E126" i="81"/>
  <c r="E127" i="81"/>
  <c r="E2" i="81"/>
  <c r="E3" i="81"/>
  <c r="E4" i="81"/>
  <c r="E5" i="81"/>
  <c r="E6" i="81"/>
  <c r="E7" i="81"/>
  <c r="E350" i="81"/>
  <c r="E351" i="81"/>
  <c r="E352" i="81"/>
  <c r="E353" i="81"/>
  <c r="E354" i="81"/>
  <c r="E355" i="81"/>
  <c r="E218" i="81"/>
  <c r="E219" i="81"/>
  <c r="E220" i="81"/>
  <c r="E221" i="81"/>
  <c r="E222" i="81"/>
  <c r="E223" i="81"/>
  <c r="E68" i="81"/>
  <c r="E69" i="81"/>
  <c r="E70" i="81"/>
  <c r="E71" i="81"/>
  <c r="E72" i="81"/>
  <c r="E73" i="81"/>
  <c r="E146" i="81"/>
  <c r="E147" i="81"/>
  <c r="E148" i="81"/>
  <c r="E149" i="81"/>
  <c r="E150" i="81"/>
  <c r="E151" i="81"/>
  <c r="E410" i="81"/>
  <c r="E411" i="81"/>
  <c r="E412" i="81"/>
  <c r="E413" i="81"/>
  <c r="E414" i="81"/>
  <c r="E415" i="81"/>
  <c r="E170" i="81"/>
  <c r="E171" i="81"/>
  <c r="E172" i="81"/>
  <c r="E173" i="81"/>
  <c r="E174" i="81"/>
  <c r="E175" i="81"/>
  <c r="E302" i="81"/>
  <c r="E303" i="81"/>
  <c r="E304" i="81"/>
  <c r="E305" i="81"/>
  <c r="E306" i="81"/>
  <c r="E307" i="81"/>
  <c r="E326" i="81"/>
  <c r="E327" i="81"/>
  <c r="E328" i="81"/>
  <c r="E329" i="81"/>
  <c r="E330" i="81"/>
  <c r="E331" i="81"/>
  <c r="E194" i="81"/>
  <c r="E195" i="81"/>
  <c r="E196" i="81"/>
  <c r="E197" i="81"/>
  <c r="E198" i="81"/>
  <c r="E199" i="81"/>
  <c r="E26" i="81"/>
  <c r="E27" i="81"/>
  <c r="E28" i="81"/>
  <c r="E29" i="81"/>
  <c r="E30" i="81"/>
  <c r="E31" i="81"/>
  <c r="E248" i="81"/>
  <c r="E249" i="81"/>
  <c r="E250" i="81"/>
  <c r="E251" i="81"/>
  <c r="E252" i="81"/>
  <c r="E253" i="81"/>
  <c r="E50" i="81"/>
  <c r="E51" i="81"/>
  <c r="E52" i="81"/>
  <c r="E53" i="81"/>
  <c r="E54" i="81"/>
  <c r="E55" i="81"/>
  <c r="E380" i="81"/>
  <c r="E381" i="81"/>
  <c r="E382" i="81"/>
  <c r="E383" i="81"/>
  <c r="E384" i="81"/>
  <c r="E385" i="81"/>
  <c r="E278" i="81"/>
  <c r="E279" i="81"/>
  <c r="E280" i="81"/>
  <c r="E281" i="81"/>
  <c r="E282" i="81"/>
  <c r="E283" i="81"/>
  <c r="E110" i="81"/>
  <c r="E111" i="81"/>
  <c r="E112" i="81"/>
  <c r="E113" i="81"/>
  <c r="E114" i="81"/>
  <c r="E115" i="81"/>
  <c r="E356" i="81"/>
  <c r="E357" i="81"/>
  <c r="E358" i="81"/>
  <c r="E359" i="81"/>
  <c r="E360" i="81"/>
  <c r="E361" i="81"/>
  <c r="E128" i="81"/>
  <c r="E129" i="81"/>
  <c r="E130" i="81"/>
  <c r="E131" i="81"/>
  <c r="E132" i="81"/>
  <c r="E133" i="81"/>
  <c r="E224" i="81"/>
  <c r="E225" i="81"/>
  <c r="E226" i="81"/>
  <c r="E227" i="81"/>
  <c r="E228" i="81"/>
  <c r="E229" i="81"/>
  <c r="E8" i="81"/>
  <c r="E9" i="81"/>
  <c r="E10" i="81"/>
  <c r="E11" i="81"/>
  <c r="E12" i="81"/>
  <c r="E13" i="81"/>
  <c r="E74" i="81"/>
  <c r="E75" i="81"/>
  <c r="E76" i="81"/>
  <c r="E77" i="81"/>
  <c r="E78" i="81"/>
  <c r="E79" i="81"/>
  <c r="E416" i="81"/>
  <c r="E417" i="81"/>
  <c r="E418" i="81"/>
  <c r="E419" i="81"/>
  <c r="E420" i="81"/>
  <c r="E421" i="81"/>
  <c r="E152" i="81"/>
  <c r="E153" i="81"/>
  <c r="E154" i="81"/>
  <c r="E155" i="81"/>
  <c r="E156" i="81"/>
  <c r="E157" i="81"/>
  <c r="E200" i="81"/>
  <c r="E201" i="81"/>
  <c r="E202" i="81"/>
  <c r="E203" i="81"/>
  <c r="E204" i="81"/>
  <c r="E205" i="81"/>
  <c r="E308" i="81"/>
  <c r="E309" i="81"/>
  <c r="E310" i="81"/>
  <c r="E311" i="81"/>
  <c r="E312" i="81"/>
  <c r="E313" i="81"/>
  <c r="E332" i="81"/>
  <c r="E333" i="81"/>
  <c r="E334" i="81"/>
  <c r="E335" i="81"/>
  <c r="E336" i="81"/>
  <c r="E337" i="81"/>
  <c r="E176" i="81"/>
  <c r="E177" i="81"/>
  <c r="E178" i="81"/>
  <c r="E179" i="81"/>
  <c r="E180" i="81"/>
  <c r="E181" i="81"/>
  <c r="E254" i="81"/>
  <c r="E255" i="81"/>
  <c r="E256" i="81"/>
  <c r="E257" i="81"/>
  <c r="E258" i="81"/>
  <c r="E259" i="81"/>
  <c r="E32" i="81"/>
  <c r="E33" i="81"/>
  <c r="E34" i="81"/>
  <c r="E35" i="81"/>
  <c r="E36" i="81"/>
  <c r="E37" i="81"/>
  <c r="E92" i="81"/>
  <c r="E93" i="81"/>
  <c r="E94" i="81"/>
  <c r="E95" i="81"/>
  <c r="E96" i="81"/>
  <c r="E97" i="81"/>
  <c r="E386" i="81"/>
  <c r="E387" i="81"/>
  <c r="E388" i="81"/>
  <c r="E389" i="81"/>
  <c r="E390" i="81"/>
  <c r="E391" i="81"/>
  <c r="E284" i="81"/>
  <c r="E285" i="81"/>
  <c r="E286" i="81"/>
  <c r="E287" i="81"/>
  <c r="E288" i="81"/>
  <c r="E116" i="81"/>
  <c r="J19" i="163"/>
  <c r="J29" i="163" s="1"/>
  <c r="K10" i="163"/>
  <c r="K9" i="163"/>
  <c r="K8" i="163"/>
  <c r="P7" i="163"/>
  <c r="K7" i="163"/>
  <c r="P6" i="163"/>
  <c r="K6" i="163"/>
  <c r="M5" i="163"/>
  <c r="Q5" i="163" s="1"/>
  <c r="K5" i="163"/>
  <c r="B4" i="163"/>
  <c r="D3" i="163"/>
  <c r="D4" i="163" s="1"/>
  <c r="C3" i="163"/>
  <c r="J20" i="163" s="1"/>
  <c r="J30" i="163" s="1"/>
  <c r="J19" i="162"/>
  <c r="J29" i="162" s="1"/>
  <c r="K10" i="162"/>
  <c r="K9" i="162"/>
  <c r="K8" i="162"/>
  <c r="P7" i="162"/>
  <c r="K7" i="162"/>
  <c r="P6" i="162"/>
  <c r="K6" i="162"/>
  <c r="M5" i="162"/>
  <c r="Q5" i="162" s="1"/>
  <c r="K5" i="162"/>
  <c r="B4" i="162"/>
  <c r="C3" i="162"/>
  <c r="J20" i="162" s="1"/>
  <c r="J30" i="162" s="1"/>
  <c r="J19" i="161"/>
  <c r="J29" i="161" s="1"/>
  <c r="K10" i="161"/>
  <c r="K9" i="161"/>
  <c r="K8" i="161"/>
  <c r="P7" i="161"/>
  <c r="K7" i="161"/>
  <c r="P6" i="161"/>
  <c r="K6" i="161"/>
  <c r="M5" i="161"/>
  <c r="Q5" i="161" s="1"/>
  <c r="K5" i="161"/>
  <c r="B4" i="161"/>
  <c r="C3" i="161"/>
  <c r="J20" i="161" s="1"/>
  <c r="J30" i="161" s="1"/>
  <c r="B25" i="158"/>
  <c r="C25" i="158"/>
  <c r="C24" i="158"/>
  <c r="C22" i="158"/>
  <c r="C23" i="158"/>
  <c r="B24" i="158"/>
  <c r="B23" i="158"/>
  <c r="B22" i="158"/>
  <c r="O15" i="157"/>
  <c r="N15" i="157"/>
  <c r="N16" i="157"/>
  <c r="P8" i="157"/>
  <c r="P10" i="157"/>
  <c r="J24" i="168" l="1"/>
  <c r="J34" i="168" s="1"/>
  <c r="H3" i="168"/>
  <c r="G4" i="168"/>
  <c r="G3" i="167"/>
  <c r="J23" i="167"/>
  <c r="J33" i="167" s="1"/>
  <c r="F4" i="167"/>
  <c r="F4" i="166"/>
  <c r="J23" i="166"/>
  <c r="J33" i="166" s="1"/>
  <c r="G3" i="166"/>
  <c r="L9" i="165"/>
  <c r="L7" i="165"/>
  <c r="L5" i="165"/>
  <c r="L10" i="165"/>
  <c r="L8" i="165"/>
  <c r="J22" i="165"/>
  <c r="J32" i="165" s="1"/>
  <c r="F3" i="165"/>
  <c r="E4" i="165"/>
  <c r="K11" i="164"/>
  <c r="L8" i="164" s="1"/>
  <c r="P8" i="164"/>
  <c r="P10" i="164" s="1"/>
  <c r="C4" i="164"/>
  <c r="D3" i="164"/>
  <c r="K11" i="163"/>
  <c r="L5" i="163" s="1"/>
  <c r="C4" i="163"/>
  <c r="E3" i="163"/>
  <c r="J21" i="163"/>
  <c r="J31" i="163" s="1"/>
  <c r="K11" i="162"/>
  <c r="L7" i="162" s="1"/>
  <c r="D3" i="162"/>
  <c r="D4" i="162" s="1"/>
  <c r="C4" i="162"/>
  <c r="P8" i="162"/>
  <c r="P10" i="162" s="1"/>
  <c r="N17" i="162"/>
  <c r="P8" i="161"/>
  <c r="N16" i="161" s="1"/>
  <c r="D3" i="161"/>
  <c r="D4" i="161" s="1"/>
  <c r="C4" i="161"/>
  <c r="K11" i="161"/>
  <c r="L9" i="161" s="1"/>
  <c r="E3" i="161"/>
  <c r="N17" i="161"/>
  <c r="J21" i="161"/>
  <c r="J31" i="161" s="1"/>
  <c r="O6" i="155"/>
  <c r="J25" i="168" l="1"/>
  <c r="J35" i="168" s="1"/>
  <c r="H4" i="168"/>
  <c r="J24" i="167"/>
  <c r="J34" i="167" s="1"/>
  <c r="H3" i="167"/>
  <c r="G4" i="167"/>
  <c r="J24" i="166"/>
  <c r="J34" i="166" s="1"/>
  <c r="G4" i="166"/>
  <c r="H3" i="166"/>
  <c r="J23" i="165"/>
  <c r="J33" i="165" s="1"/>
  <c r="F4" i="165"/>
  <c r="G3" i="165"/>
  <c r="L10" i="164"/>
  <c r="L5" i="164"/>
  <c r="L9" i="164"/>
  <c r="L7" i="164"/>
  <c r="L6" i="164"/>
  <c r="J21" i="164"/>
  <c r="J31" i="164" s="1"/>
  <c r="E3" i="164"/>
  <c r="D4" i="164"/>
  <c r="L8" i="163"/>
  <c r="L6" i="163"/>
  <c r="L9" i="163"/>
  <c r="L7" i="163"/>
  <c r="L10" i="163"/>
  <c r="J22" i="163"/>
  <c r="J32" i="163" s="1"/>
  <c r="F3" i="163"/>
  <c r="E4" i="163"/>
  <c r="L5" i="162"/>
  <c r="L6" i="162"/>
  <c r="L9" i="162"/>
  <c r="L8" i="162"/>
  <c r="L10" i="162"/>
  <c r="J21" i="162"/>
  <c r="J31" i="162" s="1"/>
  <c r="E3" i="162"/>
  <c r="N16" i="162"/>
  <c r="O16" i="162" s="1"/>
  <c r="F3" i="162"/>
  <c r="E4" i="162"/>
  <c r="J22" i="162"/>
  <c r="J32" i="162" s="1"/>
  <c r="L5" i="161"/>
  <c r="L8" i="161"/>
  <c r="L7" i="161"/>
  <c r="P10" i="161"/>
  <c r="O16" i="161"/>
  <c r="L10" i="161"/>
  <c r="L6" i="161"/>
  <c r="J22" i="161"/>
  <c r="J32" i="161" s="1"/>
  <c r="F3" i="161"/>
  <c r="E4" i="161"/>
  <c r="J20" i="160"/>
  <c r="J30" i="160" s="1"/>
  <c r="J19" i="160"/>
  <c r="J29" i="160" s="1"/>
  <c r="K10" i="160"/>
  <c r="K9" i="160"/>
  <c r="K8" i="160"/>
  <c r="P7" i="160"/>
  <c r="K7" i="160"/>
  <c r="P6" i="160"/>
  <c r="K6" i="160"/>
  <c r="M5" i="160"/>
  <c r="Q5" i="160" s="1"/>
  <c r="K5" i="160"/>
  <c r="N17" i="160" s="1"/>
  <c r="B4" i="160"/>
  <c r="D3" i="160"/>
  <c r="E3" i="160" s="1"/>
  <c r="C3" i="160"/>
  <c r="C4" i="160" s="1"/>
  <c r="H4" i="167" l="1"/>
  <c r="J25" i="167"/>
  <c r="J35" i="167" s="1"/>
  <c r="H4" i="166"/>
  <c r="J25" i="166"/>
  <c r="J35" i="166" s="1"/>
  <c r="J24" i="165"/>
  <c r="J34" i="165" s="1"/>
  <c r="G4" i="165"/>
  <c r="H3" i="165"/>
  <c r="J22" i="164"/>
  <c r="J32" i="164" s="1"/>
  <c r="F3" i="164"/>
  <c r="E4" i="164"/>
  <c r="J23" i="163"/>
  <c r="J33" i="163" s="1"/>
  <c r="F4" i="163"/>
  <c r="G3" i="163"/>
  <c r="J23" i="162"/>
  <c r="J33" i="162" s="1"/>
  <c r="G3" i="162"/>
  <c r="F4" i="162"/>
  <c r="J23" i="161"/>
  <c r="J33" i="161" s="1"/>
  <c r="F4" i="161"/>
  <c r="G3" i="161"/>
  <c r="P8" i="160"/>
  <c r="N16" i="160" s="1"/>
  <c r="O16" i="160" s="1"/>
  <c r="J22" i="160"/>
  <c r="J32" i="160" s="1"/>
  <c r="F3" i="160"/>
  <c r="E4" i="160"/>
  <c r="K11" i="160"/>
  <c r="L7" i="160" s="1"/>
  <c r="D4" i="160"/>
  <c r="J21" i="160"/>
  <c r="J31" i="160" s="1"/>
  <c r="H4" i="165" l="1"/>
  <c r="J25" i="165"/>
  <c r="J35" i="165" s="1"/>
  <c r="J23" i="164"/>
  <c r="J33" i="164" s="1"/>
  <c r="G3" i="164"/>
  <c r="F4" i="164"/>
  <c r="J24" i="163"/>
  <c r="J34" i="163" s="1"/>
  <c r="H3" i="163"/>
  <c r="G4" i="163"/>
  <c r="J24" i="162"/>
  <c r="J34" i="162" s="1"/>
  <c r="G4" i="162"/>
  <c r="H3" i="162"/>
  <c r="J24" i="161"/>
  <c r="J34" i="161" s="1"/>
  <c r="H3" i="161"/>
  <c r="G4" i="161"/>
  <c r="P10" i="160"/>
  <c r="L5" i="160"/>
  <c r="L8" i="160"/>
  <c r="L6" i="160"/>
  <c r="L9" i="160"/>
  <c r="J23" i="160"/>
  <c r="J33" i="160" s="1"/>
  <c r="F4" i="160"/>
  <c r="G3" i="160"/>
  <c r="L10" i="160"/>
  <c r="J24" i="164" l="1"/>
  <c r="J34" i="164" s="1"/>
  <c r="H3" i="164"/>
  <c r="G4" i="164"/>
  <c r="H4" i="163"/>
  <c r="J25" i="163"/>
  <c r="J35" i="163" s="1"/>
  <c r="J25" i="162"/>
  <c r="J35" i="162" s="1"/>
  <c r="H4" i="162"/>
  <c r="J25" i="161"/>
  <c r="J35" i="161" s="1"/>
  <c r="H4" i="161"/>
  <c r="J24" i="160"/>
  <c r="J34" i="160" s="1"/>
  <c r="G4" i="160"/>
  <c r="H3" i="160"/>
  <c r="H4" i="164" l="1"/>
  <c r="J25" i="164"/>
  <c r="J35" i="164" s="1"/>
  <c r="H4" i="160"/>
  <c r="J25" i="160"/>
  <c r="J35" i="160" s="1"/>
  <c r="C43" i="158" l="1"/>
  <c r="C44" i="158"/>
  <c r="C45" i="158"/>
  <c r="C46" i="158"/>
  <c r="C47" i="158"/>
  <c r="C48" i="158"/>
  <c r="C49" i="158"/>
  <c r="C50" i="158"/>
  <c r="C42" i="158"/>
  <c r="C17" i="158"/>
  <c r="B17" i="158"/>
  <c r="B18" i="158"/>
  <c r="B50" i="158"/>
  <c r="B43" i="158"/>
  <c r="B44" i="158"/>
  <c r="B45" i="158"/>
  <c r="B46" i="158"/>
  <c r="B47" i="158"/>
  <c r="B48" i="158"/>
  <c r="B49" i="158"/>
  <c r="B42" i="158"/>
  <c r="C18" i="158"/>
  <c r="C19" i="158"/>
  <c r="C20" i="158"/>
  <c r="C21" i="158"/>
  <c r="B19" i="158"/>
  <c r="B20" i="158"/>
  <c r="B21" i="158"/>
  <c r="P7" i="157"/>
  <c r="P6" i="157"/>
  <c r="D14" i="152"/>
  <c r="D15" i="152"/>
  <c r="D16" i="152"/>
  <c r="D17" i="152"/>
  <c r="D18" i="152"/>
  <c r="D13" i="152"/>
  <c r="C14" i="152"/>
  <c r="C15" i="152"/>
  <c r="C16" i="152"/>
  <c r="C17" i="152"/>
  <c r="C18" i="152"/>
  <c r="C13" i="152"/>
  <c r="F15" i="153"/>
  <c r="F16" i="153"/>
  <c r="F17" i="153"/>
  <c r="F18" i="153"/>
  <c r="F19" i="153"/>
  <c r="F14" i="153"/>
  <c r="G15" i="153"/>
  <c r="G16" i="153"/>
  <c r="G17" i="153"/>
  <c r="G18" i="153"/>
  <c r="G19" i="153"/>
  <c r="G14" i="153"/>
  <c r="J19" i="157"/>
  <c r="J29" i="157" s="1"/>
  <c r="K10" i="157"/>
  <c r="K9" i="157"/>
  <c r="K8" i="157"/>
  <c r="K7" i="157"/>
  <c r="K6" i="157"/>
  <c r="M5" i="157"/>
  <c r="Q5" i="157" s="1"/>
  <c r="K5" i="157"/>
  <c r="B4" i="157"/>
  <c r="C3" i="157"/>
  <c r="J20" i="157" s="1"/>
  <c r="J30" i="157" s="1"/>
  <c r="C26" i="158" l="1"/>
  <c r="D17" i="158" s="1"/>
  <c r="C51" i="158"/>
  <c r="D43" i="158" s="1"/>
  <c r="G20" i="153"/>
  <c r="H16" i="153" s="1"/>
  <c r="D19" i="152"/>
  <c r="E13" i="152" s="1"/>
  <c r="D3" i="157"/>
  <c r="E3" i="157" s="1"/>
  <c r="C4" i="157"/>
  <c r="E4" i="157"/>
  <c r="J22" i="157"/>
  <c r="J32" i="157" s="1"/>
  <c r="F3" i="157"/>
  <c r="K11" i="157"/>
  <c r="L10" i="157" s="1"/>
  <c r="D4" i="157"/>
  <c r="J21" i="157"/>
  <c r="J31" i="157" s="1"/>
  <c r="D18" i="158" l="1"/>
  <c r="D22" i="158"/>
  <c r="D42" i="158"/>
  <c r="D44" i="158"/>
  <c r="D47" i="158"/>
  <c r="D45" i="158"/>
  <c r="D46" i="158"/>
  <c r="D19" i="158"/>
  <c r="D20" i="158"/>
  <c r="D21" i="158"/>
  <c r="H14" i="153"/>
  <c r="H17" i="153"/>
  <c r="H18" i="153"/>
  <c r="H19" i="153"/>
  <c r="H15" i="153"/>
  <c r="E16" i="152"/>
  <c r="E14" i="152"/>
  <c r="E17" i="152"/>
  <c r="E18" i="152"/>
  <c r="E15" i="152"/>
  <c r="L6" i="157"/>
  <c r="L5" i="157"/>
  <c r="L9" i="157"/>
  <c r="L8" i="157"/>
  <c r="L7" i="157"/>
  <c r="J23" i="157"/>
  <c r="J33" i="157" s="1"/>
  <c r="F4" i="157"/>
  <c r="G3" i="157"/>
  <c r="J24" i="157" l="1"/>
  <c r="J34" i="157" s="1"/>
  <c r="H3" i="157"/>
  <c r="G4" i="157"/>
  <c r="K10" i="64"/>
  <c r="K11" i="63"/>
  <c r="L9" i="63" s="1"/>
  <c r="K11" i="62"/>
  <c r="L10" i="62" s="1"/>
  <c r="L5" i="61"/>
  <c r="L10" i="61"/>
  <c r="K11" i="61"/>
  <c r="M10" i="60"/>
  <c r="M6" i="60"/>
  <c r="M7" i="60"/>
  <c r="M8" i="60"/>
  <c r="M9" i="60"/>
  <c r="M10" i="59"/>
  <c r="L11" i="59"/>
  <c r="M10" i="58"/>
  <c r="L11" i="58"/>
  <c r="M5" i="58"/>
  <c r="M5" i="155"/>
  <c r="R5" i="155" s="1"/>
  <c r="P5" i="155"/>
  <c r="Q5" i="155"/>
  <c r="J25" i="157" l="1"/>
  <c r="J35" i="157" s="1"/>
  <c r="H4" i="157"/>
  <c r="L10" i="63"/>
  <c r="J19" i="155"/>
  <c r="J29" i="155" s="1"/>
  <c r="K10" i="155"/>
  <c r="K9" i="155"/>
  <c r="K8" i="155"/>
  <c r="K7" i="155"/>
  <c r="K6" i="155"/>
  <c r="K5" i="155"/>
  <c r="B4" i="155"/>
  <c r="C3" i="155"/>
  <c r="D3" i="155" s="1"/>
  <c r="J21" i="155" s="1"/>
  <c r="M5" i="80"/>
  <c r="O5" i="11"/>
  <c r="M6" i="59"/>
  <c r="M7" i="59"/>
  <c r="M8" i="59"/>
  <c r="M9" i="59"/>
  <c r="M5" i="59"/>
  <c r="M6" i="58"/>
  <c r="M7" i="58"/>
  <c r="M8" i="58"/>
  <c r="M9" i="58"/>
  <c r="M6" i="56"/>
  <c r="M7" i="56"/>
  <c r="M8" i="56"/>
  <c r="M9" i="56"/>
  <c r="M10" i="56"/>
  <c r="M5" i="56"/>
  <c r="M6" i="53"/>
  <c r="M7" i="53"/>
  <c r="M8" i="53"/>
  <c r="M9" i="53"/>
  <c r="M10" i="53"/>
  <c r="M5" i="53"/>
  <c r="M6" i="52"/>
  <c r="M7" i="52"/>
  <c r="M8" i="52"/>
  <c r="M9" i="52"/>
  <c r="M10" i="52"/>
  <c r="M5" i="52"/>
  <c r="M6" i="51"/>
  <c r="M7" i="51"/>
  <c r="M8" i="51"/>
  <c r="M9" i="51"/>
  <c r="M10" i="51"/>
  <c r="M5" i="51"/>
  <c r="M6" i="50"/>
  <c r="M7" i="50"/>
  <c r="M8" i="50"/>
  <c r="M9" i="50"/>
  <c r="M10" i="50"/>
  <c r="M5" i="50"/>
  <c r="M6" i="48"/>
  <c r="M7" i="48"/>
  <c r="M8" i="48"/>
  <c r="M9" i="48"/>
  <c r="M10" i="48"/>
  <c r="M5" i="48"/>
  <c r="M6" i="47"/>
  <c r="M7" i="47"/>
  <c r="M8" i="47"/>
  <c r="M9" i="47"/>
  <c r="M10" i="47"/>
  <c r="M5" i="47"/>
  <c r="M6" i="46"/>
  <c r="M7" i="46"/>
  <c r="M8" i="46"/>
  <c r="M9" i="46"/>
  <c r="M10" i="46"/>
  <c r="M5" i="46"/>
  <c r="M6" i="45"/>
  <c r="M7" i="45"/>
  <c r="M8" i="45"/>
  <c r="M9" i="45"/>
  <c r="M10" i="45"/>
  <c r="M5" i="45"/>
  <c r="M6" i="44"/>
  <c r="M7" i="44"/>
  <c r="M8" i="44"/>
  <c r="M9" i="44"/>
  <c r="M10" i="44"/>
  <c r="M5" i="44"/>
  <c r="M6" i="43"/>
  <c r="M7" i="43"/>
  <c r="M8" i="43"/>
  <c r="M9" i="43"/>
  <c r="M10" i="43"/>
  <c r="M5" i="43"/>
  <c r="M6" i="42"/>
  <c r="M7" i="42"/>
  <c r="M8" i="42"/>
  <c r="M9" i="42"/>
  <c r="M10" i="42"/>
  <c r="M5" i="42"/>
  <c r="M6" i="41"/>
  <c r="M7" i="41"/>
  <c r="M8" i="41"/>
  <c r="M9" i="41"/>
  <c r="M10" i="41"/>
  <c r="M5" i="41"/>
  <c r="M6" i="40"/>
  <c r="M7" i="40"/>
  <c r="M8" i="40"/>
  <c r="M9" i="40"/>
  <c r="M10" i="40"/>
  <c r="M5" i="40"/>
  <c r="M6" i="39"/>
  <c r="M7" i="39"/>
  <c r="M8" i="39"/>
  <c r="M9" i="39"/>
  <c r="M10" i="39"/>
  <c r="M5" i="39"/>
  <c r="M6" i="38"/>
  <c r="M7" i="38"/>
  <c r="M8" i="38"/>
  <c r="M9" i="38"/>
  <c r="M10" i="38"/>
  <c r="M5" i="38"/>
  <c r="M6" i="37"/>
  <c r="M7" i="37"/>
  <c r="M8" i="37"/>
  <c r="M9" i="37"/>
  <c r="M10" i="37"/>
  <c r="M5" i="37"/>
  <c r="M6" i="36"/>
  <c r="M7" i="36"/>
  <c r="M8" i="36"/>
  <c r="M9" i="36"/>
  <c r="M10" i="36"/>
  <c r="M5" i="36"/>
  <c r="M6" i="34"/>
  <c r="M7" i="34"/>
  <c r="M8" i="34"/>
  <c r="M9" i="34"/>
  <c r="M10" i="34"/>
  <c r="M5" i="34"/>
  <c r="M6" i="33"/>
  <c r="M7" i="33"/>
  <c r="M8" i="33"/>
  <c r="M9" i="33"/>
  <c r="M10" i="33"/>
  <c r="M5" i="33"/>
  <c r="M6" i="32"/>
  <c r="M7" i="32"/>
  <c r="M8" i="32"/>
  <c r="M9" i="32"/>
  <c r="M10" i="32"/>
  <c r="M5" i="32"/>
  <c r="M6" i="31"/>
  <c r="M7" i="31"/>
  <c r="M8" i="31"/>
  <c r="M9" i="31"/>
  <c r="M10" i="31"/>
  <c r="M5" i="31"/>
  <c r="M6" i="30"/>
  <c r="M7" i="30"/>
  <c r="M8" i="30"/>
  <c r="M9" i="30"/>
  <c r="M10" i="30"/>
  <c r="M5" i="30"/>
  <c r="M6" i="29"/>
  <c r="M7" i="29"/>
  <c r="M8" i="29"/>
  <c r="M9" i="29"/>
  <c r="M10" i="29"/>
  <c r="M5" i="29"/>
  <c r="M6" i="28"/>
  <c r="M7" i="28"/>
  <c r="M8" i="28"/>
  <c r="M9" i="28"/>
  <c r="M10" i="28"/>
  <c r="M5" i="28"/>
  <c r="M6" i="27"/>
  <c r="M7" i="27"/>
  <c r="M8" i="27"/>
  <c r="M9" i="27"/>
  <c r="M10" i="27"/>
  <c r="M5" i="27"/>
  <c r="M6" i="26"/>
  <c r="M7" i="26"/>
  <c r="M8" i="26"/>
  <c r="M9" i="26"/>
  <c r="M10" i="26"/>
  <c r="M5" i="26"/>
  <c r="M6" i="25"/>
  <c r="M7" i="25"/>
  <c r="M8" i="25"/>
  <c r="M9" i="25"/>
  <c r="M10" i="25"/>
  <c r="M5" i="25"/>
  <c r="M6" i="24"/>
  <c r="M7" i="24"/>
  <c r="M8" i="24"/>
  <c r="M9" i="24"/>
  <c r="M10" i="24"/>
  <c r="M5" i="24"/>
  <c r="M6" i="23"/>
  <c r="M7" i="23"/>
  <c r="M8" i="23"/>
  <c r="M9" i="23"/>
  <c r="M10" i="23"/>
  <c r="M5" i="23"/>
  <c r="M6" i="22"/>
  <c r="M7" i="22"/>
  <c r="M8" i="22"/>
  <c r="M9" i="22"/>
  <c r="M10" i="22"/>
  <c r="M5" i="22"/>
  <c r="M6" i="21"/>
  <c r="M7" i="21"/>
  <c r="M8" i="21"/>
  <c r="M9" i="21"/>
  <c r="M10" i="21"/>
  <c r="M5" i="21"/>
  <c r="M6" i="20"/>
  <c r="M7" i="20"/>
  <c r="M8" i="20"/>
  <c r="M9" i="20"/>
  <c r="M10" i="20"/>
  <c r="M5" i="20"/>
  <c r="M6" i="19"/>
  <c r="M7" i="19"/>
  <c r="M8" i="19"/>
  <c r="M9" i="19"/>
  <c r="M10" i="19"/>
  <c r="M5" i="19"/>
  <c r="N6" i="18"/>
  <c r="N7" i="18"/>
  <c r="N8" i="18"/>
  <c r="N9" i="18"/>
  <c r="N10" i="18"/>
  <c r="N5" i="18"/>
  <c r="N6" i="17"/>
  <c r="N7" i="17"/>
  <c r="N8" i="17"/>
  <c r="N9" i="17"/>
  <c r="N10" i="17"/>
  <c r="N5" i="17"/>
  <c r="N6" i="15"/>
  <c r="N7" i="15"/>
  <c r="N8" i="15"/>
  <c r="N9" i="15"/>
  <c r="N10" i="15"/>
  <c r="N5" i="15"/>
  <c r="N6" i="14"/>
  <c r="N7" i="14"/>
  <c r="N8" i="14"/>
  <c r="N9" i="14"/>
  <c r="N10" i="14"/>
  <c r="N5" i="14"/>
  <c r="N6" i="13"/>
  <c r="N7" i="13"/>
  <c r="N8" i="13"/>
  <c r="N9" i="13"/>
  <c r="N10" i="13"/>
  <c r="N5" i="13"/>
  <c r="N6" i="12"/>
  <c r="N7" i="12"/>
  <c r="N8" i="12"/>
  <c r="N9" i="12"/>
  <c r="N10" i="12"/>
  <c r="N5" i="12"/>
  <c r="N6" i="11"/>
  <c r="N7" i="11"/>
  <c r="N8" i="11"/>
  <c r="N9" i="11"/>
  <c r="N10" i="11"/>
  <c r="N5" i="11"/>
  <c r="N6" i="10"/>
  <c r="N7" i="10"/>
  <c r="N8" i="10"/>
  <c r="N9" i="10"/>
  <c r="N10" i="10"/>
  <c r="N5" i="10"/>
  <c r="N7" i="9"/>
  <c r="N6" i="9"/>
  <c r="N8" i="9"/>
  <c r="N9" i="9"/>
  <c r="N10" i="9"/>
  <c r="N5" i="9"/>
  <c r="N6" i="8"/>
  <c r="N7" i="8"/>
  <c r="N8" i="8"/>
  <c r="N9" i="8"/>
  <c r="N10" i="8"/>
  <c r="N5" i="8"/>
  <c r="N6" i="7"/>
  <c r="N7" i="7"/>
  <c r="N8" i="7"/>
  <c r="N9" i="7"/>
  <c r="N10" i="7"/>
  <c r="N5" i="7"/>
  <c r="N6" i="6"/>
  <c r="N7" i="6"/>
  <c r="N8" i="6"/>
  <c r="N9" i="6"/>
  <c r="N10" i="6"/>
  <c r="N5" i="6"/>
  <c r="N6" i="5"/>
  <c r="N7" i="5"/>
  <c r="N8" i="5"/>
  <c r="N9" i="5"/>
  <c r="N10" i="5"/>
  <c r="N5" i="5"/>
  <c r="N6" i="4"/>
  <c r="N7" i="4"/>
  <c r="N8" i="4"/>
  <c r="N9" i="4"/>
  <c r="N10" i="4"/>
  <c r="N5" i="4"/>
  <c r="N6" i="2"/>
  <c r="N7" i="2"/>
  <c r="N8" i="2"/>
  <c r="N9" i="2"/>
  <c r="N10" i="2"/>
  <c r="N5" i="2"/>
  <c r="C4" i="2"/>
  <c r="M5" i="4"/>
  <c r="BR3" i="16"/>
  <c r="BR4" i="16"/>
  <c r="BR5" i="16"/>
  <c r="BR6" i="16"/>
  <c r="BR7" i="16"/>
  <c r="BR8" i="16"/>
  <c r="BQ3" i="16"/>
  <c r="BQ4" i="16"/>
  <c r="BQ5" i="16"/>
  <c r="BQ6" i="16"/>
  <c r="BQ7" i="16"/>
  <c r="BQ8" i="16"/>
  <c r="K10" i="80"/>
  <c r="BS8" i="16" s="1"/>
  <c r="K9" i="80"/>
  <c r="BS7" i="16" s="1"/>
  <c r="K8" i="80"/>
  <c r="BS6" i="16" s="1"/>
  <c r="K7" i="80"/>
  <c r="BS5" i="16" s="1"/>
  <c r="K6" i="80"/>
  <c r="BS4" i="16" s="1"/>
  <c r="K5" i="80"/>
  <c r="BS3" i="16" s="1"/>
  <c r="B4" i="80"/>
  <c r="C3" i="80"/>
  <c r="K10" i="79"/>
  <c r="K9" i="79"/>
  <c r="K8" i="79"/>
  <c r="K7" i="79"/>
  <c r="K6" i="79"/>
  <c r="K5" i="79"/>
  <c r="B4" i="79"/>
  <c r="C3" i="79"/>
  <c r="K10" i="78"/>
  <c r="K9" i="78"/>
  <c r="K8" i="78"/>
  <c r="K7" i="78"/>
  <c r="K6" i="78"/>
  <c r="K5" i="78"/>
  <c r="B4" i="78"/>
  <c r="C3" i="78"/>
  <c r="K10" i="77"/>
  <c r="BP8" i="16" s="1"/>
  <c r="K9" i="77"/>
  <c r="BP7" i="16" s="1"/>
  <c r="K8" i="77"/>
  <c r="BP6" i="16" s="1"/>
  <c r="K7" i="77"/>
  <c r="BP5" i="16" s="1"/>
  <c r="K6" i="77"/>
  <c r="BP4" i="16" s="1"/>
  <c r="K5" i="77"/>
  <c r="BP3" i="16" s="1"/>
  <c r="B4" i="77"/>
  <c r="C3" i="77"/>
  <c r="K10" i="76"/>
  <c r="BO8" i="16" s="1"/>
  <c r="K9" i="76"/>
  <c r="BO7" i="16" s="1"/>
  <c r="K8" i="76"/>
  <c r="BO6" i="16" s="1"/>
  <c r="K7" i="76"/>
  <c r="BO5" i="16" s="1"/>
  <c r="K6" i="76"/>
  <c r="BO4" i="16" s="1"/>
  <c r="K5" i="76"/>
  <c r="BO3" i="16" s="1"/>
  <c r="B4" i="76"/>
  <c r="C3" i="76"/>
  <c r="K10" i="75"/>
  <c r="BN8" i="16" s="1"/>
  <c r="K9" i="75"/>
  <c r="BN7" i="16" s="1"/>
  <c r="K8" i="75"/>
  <c r="BN6" i="16" s="1"/>
  <c r="K7" i="75"/>
  <c r="BN5" i="16" s="1"/>
  <c r="K6" i="75"/>
  <c r="BN4" i="16" s="1"/>
  <c r="K5" i="75"/>
  <c r="BN3" i="16" s="1"/>
  <c r="B4" i="75"/>
  <c r="C3" i="75"/>
  <c r="K10" i="74"/>
  <c r="BM8" i="16" s="1"/>
  <c r="K9" i="74"/>
  <c r="BM7" i="16" s="1"/>
  <c r="K8" i="74"/>
  <c r="BM6" i="16" s="1"/>
  <c r="K7" i="74"/>
  <c r="BM5" i="16" s="1"/>
  <c r="K6" i="74"/>
  <c r="BM4" i="16" s="1"/>
  <c r="K5" i="74"/>
  <c r="BM3" i="16" s="1"/>
  <c r="B4" i="74"/>
  <c r="C3" i="74"/>
  <c r="K10" i="73"/>
  <c r="BL8" i="16" s="1"/>
  <c r="K9" i="73"/>
  <c r="BL7" i="16" s="1"/>
  <c r="K8" i="73"/>
  <c r="BL6" i="16" s="1"/>
  <c r="K7" i="73"/>
  <c r="BL5" i="16" s="1"/>
  <c r="K6" i="73"/>
  <c r="BL4" i="16" s="1"/>
  <c r="K5" i="73"/>
  <c r="BL3" i="16" s="1"/>
  <c r="B4" i="73"/>
  <c r="C3" i="73"/>
  <c r="K10" i="72"/>
  <c r="BK8" i="16" s="1"/>
  <c r="K9" i="72"/>
  <c r="BK7" i="16" s="1"/>
  <c r="K8" i="72"/>
  <c r="BK6" i="16" s="1"/>
  <c r="K7" i="72"/>
  <c r="BK5" i="16" s="1"/>
  <c r="K6" i="72"/>
  <c r="BK4" i="16" s="1"/>
  <c r="K5" i="72"/>
  <c r="BK3" i="16" s="1"/>
  <c r="B4" i="72"/>
  <c r="C3" i="72"/>
  <c r="C4" i="72" s="1"/>
  <c r="K10" i="71"/>
  <c r="K9" i="71"/>
  <c r="K8" i="71"/>
  <c r="K7" i="71"/>
  <c r="K6" i="71"/>
  <c r="K5" i="71"/>
  <c r="B4" i="71"/>
  <c r="C3" i="71"/>
  <c r="D3" i="71" s="1"/>
  <c r="J31" i="155" l="1"/>
  <c r="J20" i="155"/>
  <c r="J30" i="155" s="1"/>
  <c r="K11" i="155"/>
  <c r="L6" i="155" s="1"/>
  <c r="E3" i="155"/>
  <c r="J22" i="155" s="1"/>
  <c r="J32" i="155" s="1"/>
  <c r="D4" i="155"/>
  <c r="C4" i="155"/>
  <c r="C4" i="80"/>
  <c r="D3" i="80"/>
  <c r="K11" i="80"/>
  <c r="L10" i="80" s="1"/>
  <c r="C4" i="79"/>
  <c r="D3" i="79"/>
  <c r="K11" i="79"/>
  <c r="L5" i="79"/>
  <c r="L6" i="79"/>
  <c r="L7" i="79"/>
  <c r="L8" i="79"/>
  <c r="L9" i="79"/>
  <c r="L10" i="79"/>
  <c r="C4" i="78"/>
  <c r="D3" i="78"/>
  <c r="K11" i="78"/>
  <c r="L5" i="78"/>
  <c r="L6" i="78"/>
  <c r="L7" i="78"/>
  <c r="L8" i="78"/>
  <c r="L9" i="78"/>
  <c r="L10" i="78"/>
  <c r="C4" i="77"/>
  <c r="D3" i="77"/>
  <c r="K11" i="77"/>
  <c r="L5" i="77"/>
  <c r="L6" i="77"/>
  <c r="L7" i="77"/>
  <c r="L8" i="77"/>
  <c r="L9" i="77"/>
  <c r="L10" i="77"/>
  <c r="C4" i="76"/>
  <c r="D3" i="76"/>
  <c r="K11" i="76"/>
  <c r="L5" i="76"/>
  <c r="L6" i="76"/>
  <c r="L7" i="76"/>
  <c r="L8" i="76"/>
  <c r="L9" i="76"/>
  <c r="L10" i="76"/>
  <c r="C4" i="75"/>
  <c r="D3" i="75"/>
  <c r="K11" i="75"/>
  <c r="L5" i="75"/>
  <c r="L6" i="75"/>
  <c r="L7" i="75"/>
  <c r="L8" i="75"/>
  <c r="L9" i="75"/>
  <c r="L10" i="75"/>
  <c r="C4" i="74"/>
  <c r="D3" i="74"/>
  <c r="K11" i="74"/>
  <c r="L5" i="74"/>
  <c r="L6" i="74"/>
  <c r="L7" i="74"/>
  <c r="L8" i="74"/>
  <c r="L9" i="74"/>
  <c r="L10" i="74"/>
  <c r="C4" i="73"/>
  <c r="D3" i="73"/>
  <c r="K11" i="73"/>
  <c r="L5" i="73"/>
  <c r="L6" i="73"/>
  <c r="L7" i="73"/>
  <c r="L8" i="73"/>
  <c r="L9" i="73"/>
  <c r="L10" i="73"/>
  <c r="D3" i="72"/>
  <c r="D4" i="72" s="1"/>
  <c r="K11" i="72"/>
  <c r="L7" i="72" s="1"/>
  <c r="E3" i="72"/>
  <c r="D4" i="71"/>
  <c r="E3" i="71"/>
  <c r="E4" i="71" s="1"/>
  <c r="C4" i="71"/>
  <c r="K11" i="71"/>
  <c r="L6" i="71" s="1"/>
  <c r="F3" i="71"/>
  <c r="L9" i="155" l="1"/>
  <c r="L10" i="155"/>
  <c r="L5" i="155"/>
  <c r="L7" i="155"/>
  <c r="L8" i="155"/>
  <c r="E4" i="155"/>
  <c r="F3" i="155"/>
  <c r="J23" i="155" s="1"/>
  <c r="J33" i="155" s="1"/>
  <c r="L8" i="80"/>
  <c r="L7" i="80"/>
  <c r="L6" i="80"/>
  <c r="L5" i="80"/>
  <c r="L9" i="80"/>
  <c r="D4" i="80"/>
  <c r="E3" i="80"/>
  <c r="D4" i="79"/>
  <c r="E3" i="79"/>
  <c r="D4" i="78"/>
  <c r="E3" i="78"/>
  <c r="D4" i="77"/>
  <c r="E3" i="77"/>
  <c r="D4" i="76"/>
  <c r="E3" i="76"/>
  <c r="D4" i="75"/>
  <c r="E3" i="75"/>
  <c r="D4" i="74"/>
  <c r="E3" i="74"/>
  <c r="D4" i="73"/>
  <c r="E3" i="73"/>
  <c r="L8" i="72"/>
  <c r="L10" i="72"/>
  <c r="L9" i="72"/>
  <c r="L5" i="72"/>
  <c r="L6" i="72"/>
  <c r="F3" i="72"/>
  <c r="E4" i="72"/>
  <c r="L7" i="71"/>
  <c r="L9" i="71"/>
  <c r="L8" i="71"/>
  <c r="L10" i="71"/>
  <c r="L5" i="71"/>
  <c r="F4" i="71"/>
  <c r="G3" i="71"/>
  <c r="F4" i="155" l="1"/>
  <c r="G3" i="155"/>
  <c r="J24" i="155" s="1"/>
  <c r="J34" i="155" s="1"/>
  <c r="E4" i="80"/>
  <c r="F3" i="80"/>
  <c r="E4" i="79"/>
  <c r="F3" i="79"/>
  <c r="E4" i="78"/>
  <c r="F3" i="78"/>
  <c r="E4" i="77"/>
  <c r="F3" i="77"/>
  <c r="E4" i="76"/>
  <c r="F3" i="76"/>
  <c r="E4" i="75"/>
  <c r="F3" i="75"/>
  <c r="E4" i="74"/>
  <c r="F3" i="74"/>
  <c r="E4" i="73"/>
  <c r="F3" i="73"/>
  <c r="G3" i="72"/>
  <c r="F4" i="72"/>
  <c r="H3" i="71"/>
  <c r="H4" i="71" s="1"/>
  <c r="G4" i="71"/>
  <c r="H3" i="155" l="1"/>
  <c r="G4" i="155"/>
  <c r="F4" i="80"/>
  <c r="G3" i="80"/>
  <c r="F4" i="79"/>
  <c r="G3" i="79"/>
  <c r="F4" i="78"/>
  <c r="G3" i="78"/>
  <c r="F4" i="77"/>
  <c r="G3" i="77"/>
  <c r="F4" i="76"/>
  <c r="G3" i="76"/>
  <c r="F4" i="75"/>
  <c r="G3" i="75"/>
  <c r="F4" i="74"/>
  <c r="G3" i="74"/>
  <c r="F4" i="73"/>
  <c r="G3" i="73"/>
  <c r="G4" i="72"/>
  <c r="H3" i="72"/>
  <c r="H4" i="72" s="1"/>
  <c r="K6" i="70"/>
  <c r="K10" i="70"/>
  <c r="K9" i="70"/>
  <c r="K8" i="70"/>
  <c r="K7" i="70"/>
  <c r="K5" i="70"/>
  <c r="B4" i="70"/>
  <c r="C3" i="70"/>
  <c r="D3" i="70" s="1"/>
  <c r="K10" i="68"/>
  <c r="K9" i="68"/>
  <c r="K8" i="68"/>
  <c r="K7" i="68"/>
  <c r="K6" i="68"/>
  <c r="K5" i="68"/>
  <c r="B4" i="68"/>
  <c r="C3" i="68"/>
  <c r="H4" i="155" l="1"/>
  <c r="J25" i="155"/>
  <c r="J35" i="155" s="1"/>
  <c r="G4" i="80"/>
  <c r="H3" i="80"/>
  <c r="H4" i="80" s="1"/>
  <c r="G4" i="79"/>
  <c r="H3" i="79"/>
  <c r="H4" i="79" s="1"/>
  <c r="G4" i="78"/>
  <c r="H3" i="78"/>
  <c r="H4" i="78" s="1"/>
  <c r="G4" i="77"/>
  <c r="H3" i="77"/>
  <c r="H4" i="77" s="1"/>
  <c r="G4" i="76"/>
  <c r="H3" i="76"/>
  <c r="H4" i="76" s="1"/>
  <c r="G4" i="75"/>
  <c r="H3" i="75"/>
  <c r="H4" i="75" s="1"/>
  <c r="G4" i="74"/>
  <c r="H3" i="74"/>
  <c r="H4" i="74" s="1"/>
  <c r="G4" i="73"/>
  <c r="H3" i="73"/>
  <c r="H4" i="73" s="1"/>
  <c r="D3" i="68"/>
  <c r="D4" i="68" s="1"/>
  <c r="C4" i="68"/>
  <c r="K11" i="70"/>
  <c r="L10" i="70" s="1"/>
  <c r="D4" i="70"/>
  <c r="E3" i="70"/>
  <c r="C4" i="70"/>
  <c r="K11" i="68"/>
  <c r="L6" i="68" s="1"/>
  <c r="E3" i="68"/>
  <c r="L9" i="70" l="1"/>
  <c r="L6" i="70"/>
  <c r="L5" i="70"/>
  <c r="L8" i="70"/>
  <c r="L7" i="70"/>
  <c r="E4" i="70"/>
  <c r="F3" i="70"/>
  <c r="L5" i="68"/>
  <c r="L7" i="68"/>
  <c r="L9" i="68"/>
  <c r="L8" i="68"/>
  <c r="L10" i="68"/>
  <c r="F3" i="68"/>
  <c r="E4" i="68"/>
  <c r="G3" i="70" l="1"/>
  <c r="F4" i="70"/>
  <c r="G3" i="68"/>
  <c r="F4" i="68"/>
  <c r="H3" i="70" l="1"/>
  <c r="H4" i="70" s="1"/>
  <c r="G4" i="70"/>
  <c r="G4" i="68"/>
  <c r="H3" i="68"/>
  <c r="H4" i="68" s="1"/>
  <c r="K10" i="67" l="1"/>
  <c r="K9" i="67"/>
  <c r="K8" i="67"/>
  <c r="K7" i="67"/>
  <c r="K6" i="67"/>
  <c r="K5" i="67"/>
  <c r="B4" i="67"/>
  <c r="C3" i="67"/>
  <c r="D3" i="67" s="1"/>
  <c r="D4" i="67" s="1"/>
  <c r="K10" i="66"/>
  <c r="BF8" i="16" s="1"/>
  <c r="K9" i="66"/>
  <c r="BF7" i="16" s="1"/>
  <c r="K8" i="66"/>
  <c r="BF6" i="16" s="1"/>
  <c r="K7" i="66"/>
  <c r="BF5" i="16" s="1"/>
  <c r="K6" i="66"/>
  <c r="BF4" i="16" s="1"/>
  <c r="K5" i="66"/>
  <c r="BF3" i="16" s="1"/>
  <c r="B4" i="66"/>
  <c r="C3" i="66"/>
  <c r="D3" i="66" s="1"/>
  <c r="K10" i="65"/>
  <c r="BE8" i="16" s="1"/>
  <c r="K9" i="65"/>
  <c r="BE7" i="16" s="1"/>
  <c r="K8" i="65"/>
  <c r="BE6" i="16" s="1"/>
  <c r="K7" i="65"/>
  <c r="BE5" i="16" s="1"/>
  <c r="K6" i="65"/>
  <c r="BE4" i="16" s="1"/>
  <c r="K5" i="65"/>
  <c r="B4" i="65"/>
  <c r="C3" i="65"/>
  <c r="D3" i="65" s="1"/>
  <c r="D4" i="65" s="1"/>
  <c r="BD8" i="16"/>
  <c r="K9" i="64"/>
  <c r="BD7" i="16" s="1"/>
  <c r="K8" i="64"/>
  <c r="BD6" i="16" s="1"/>
  <c r="K7" i="64"/>
  <c r="BD5" i="16" s="1"/>
  <c r="K6" i="64"/>
  <c r="BD4" i="16" s="1"/>
  <c r="K5" i="64"/>
  <c r="BD3" i="16" s="1"/>
  <c r="B4" i="64"/>
  <c r="C3" i="64"/>
  <c r="D3" i="64" s="1"/>
  <c r="D4" i="64" s="1"/>
  <c r="K10" i="63"/>
  <c r="BC8" i="16" s="1"/>
  <c r="K9" i="63"/>
  <c r="BC7" i="16" s="1"/>
  <c r="K8" i="63"/>
  <c r="BC6" i="16" s="1"/>
  <c r="K7" i="63"/>
  <c r="BC5" i="16" s="1"/>
  <c r="K6" i="63"/>
  <c r="BC4" i="16" s="1"/>
  <c r="K5" i="63"/>
  <c r="BC3" i="16" s="1"/>
  <c r="B4" i="63"/>
  <c r="C3" i="63"/>
  <c r="D3" i="63" s="1"/>
  <c r="D4" i="63" s="1"/>
  <c r="K6" i="62"/>
  <c r="BB4" i="16" s="1"/>
  <c r="K7" i="62"/>
  <c r="BB5" i="16" s="1"/>
  <c r="K8" i="62"/>
  <c r="BB6" i="16" s="1"/>
  <c r="K9" i="62"/>
  <c r="BB7" i="16" s="1"/>
  <c r="K10" i="62"/>
  <c r="BB8" i="16" s="1"/>
  <c r="K5" i="62"/>
  <c r="BB3" i="16" s="1"/>
  <c r="B4" i="62"/>
  <c r="C3" i="62"/>
  <c r="C4" i="62" l="1"/>
  <c r="D3" i="62"/>
  <c r="D4" i="62" s="1"/>
  <c r="C4" i="67"/>
  <c r="K11" i="67"/>
  <c r="L7" i="67" s="1"/>
  <c r="E3" i="67"/>
  <c r="K11" i="66"/>
  <c r="L8" i="66" s="1"/>
  <c r="D4" i="66"/>
  <c r="E3" i="66"/>
  <c r="E4" i="66" s="1"/>
  <c r="C4" i="66"/>
  <c r="F3" i="66"/>
  <c r="K11" i="65"/>
  <c r="L8" i="65" s="1"/>
  <c r="BE3" i="16"/>
  <c r="C4" i="65"/>
  <c r="E3" i="65"/>
  <c r="K11" i="64"/>
  <c r="L6" i="64" s="1"/>
  <c r="C4" i="64"/>
  <c r="E3" i="64"/>
  <c r="C4" i="63"/>
  <c r="L8" i="63"/>
  <c r="E3" i="63"/>
  <c r="E3" i="62"/>
  <c r="E4" i="62" s="1"/>
  <c r="L8" i="62"/>
  <c r="F3" i="62"/>
  <c r="L9" i="67" l="1"/>
  <c r="L5" i="67"/>
  <c r="L10" i="67"/>
  <c r="L8" i="67"/>
  <c r="L6" i="67"/>
  <c r="E4" i="67"/>
  <c r="F3" i="67"/>
  <c r="L10" i="66"/>
  <c r="L9" i="66"/>
  <c r="L6" i="66"/>
  <c r="L5" i="66"/>
  <c r="L7" i="66"/>
  <c r="F4" i="66"/>
  <c r="G3" i="66"/>
  <c r="L7" i="65"/>
  <c r="L6" i="65"/>
  <c r="L5" i="65"/>
  <c r="L9" i="65"/>
  <c r="L10" i="65"/>
  <c r="F3" i="65"/>
  <c r="E4" i="65"/>
  <c r="L5" i="64"/>
  <c r="L9" i="64"/>
  <c r="L8" i="64"/>
  <c r="L10" i="64"/>
  <c r="L7" i="64"/>
  <c r="E4" i="64"/>
  <c r="F3" i="64"/>
  <c r="L5" i="63"/>
  <c r="L7" i="63"/>
  <c r="L6" i="63"/>
  <c r="E4" i="63"/>
  <c r="F3" i="63"/>
  <c r="L7" i="62"/>
  <c r="L6" i="62"/>
  <c r="L9" i="62"/>
  <c r="L5" i="62"/>
  <c r="F4" i="62"/>
  <c r="G3" i="62"/>
  <c r="G3" i="67" l="1"/>
  <c r="F4" i="67"/>
  <c r="H3" i="66"/>
  <c r="H4" i="66" s="1"/>
  <c r="G4" i="66"/>
  <c r="G3" i="65"/>
  <c r="F4" i="65"/>
  <c r="G3" i="64"/>
  <c r="F4" i="64"/>
  <c r="G3" i="63"/>
  <c r="F4" i="63"/>
  <c r="H3" i="62"/>
  <c r="H4" i="62" s="1"/>
  <c r="G4" i="62"/>
  <c r="G4" i="67" l="1"/>
  <c r="H3" i="67"/>
  <c r="H4" i="67" s="1"/>
  <c r="H3" i="65"/>
  <c r="H4" i="65" s="1"/>
  <c r="G4" i="65"/>
  <c r="G4" i="64"/>
  <c r="H3" i="64"/>
  <c r="H4" i="64" s="1"/>
  <c r="H3" i="63"/>
  <c r="H4" i="63" s="1"/>
  <c r="G4" i="63"/>
  <c r="K10" i="61"/>
  <c r="BA8" i="16" s="1"/>
  <c r="K9" i="61"/>
  <c r="BA7" i="16" s="1"/>
  <c r="K8" i="61"/>
  <c r="BA6" i="16" s="1"/>
  <c r="K7" i="61"/>
  <c r="BA5" i="16" s="1"/>
  <c r="K6" i="61"/>
  <c r="BA4" i="16" s="1"/>
  <c r="K5" i="61"/>
  <c r="BA3" i="16" s="1"/>
  <c r="B4" i="61"/>
  <c r="C3" i="61"/>
  <c r="C3" i="60"/>
  <c r="C4" i="61" l="1"/>
  <c r="D3" i="61"/>
  <c r="D4" i="61" s="1"/>
  <c r="L6" i="61"/>
  <c r="E3" i="61"/>
  <c r="E4" i="61" s="1"/>
  <c r="B4" i="60"/>
  <c r="L8" i="60"/>
  <c r="L9" i="61" l="1"/>
  <c r="L8" i="61"/>
  <c r="L7" i="61"/>
  <c r="F3" i="61"/>
  <c r="G3" i="61" s="1"/>
  <c r="F4" i="61"/>
  <c r="L10" i="60"/>
  <c r="L9" i="60"/>
  <c r="L7" i="60"/>
  <c r="L6" i="60"/>
  <c r="L5" i="60"/>
  <c r="C4" i="60"/>
  <c r="H3" i="61" l="1"/>
  <c r="H4" i="61" s="1"/>
  <c r="G4" i="61"/>
  <c r="L11" i="60"/>
  <c r="D3" i="60"/>
  <c r="M5" i="60" l="1"/>
  <c r="E3" i="60"/>
  <c r="D4" i="60"/>
  <c r="F3" i="60" l="1"/>
  <c r="E4" i="60"/>
  <c r="F4" i="60" l="1"/>
  <c r="G3" i="60"/>
  <c r="G4" i="60" l="1"/>
  <c r="H3" i="60"/>
  <c r="H4" i="60" s="1"/>
  <c r="L10" i="59" l="1"/>
  <c r="L9" i="59"/>
  <c r="L8" i="59"/>
  <c r="L7" i="59"/>
  <c r="L6" i="59"/>
  <c r="L5" i="59"/>
  <c r="B4" i="59"/>
  <c r="C3" i="59"/>
  <c r="C4" i="59" s="1"/>
  <c r="L10" i="58"/>
  <c r="L9" i="58"/>
  <c r="L8" i="58"/>
  <c r="L7" i="58"/>
  <c r="L6" i="58"/>
  <c r="L5" i="58"/>
  <c r="B4" i="58"/>
  <c r="C3" i="58"/>
  <c r="C4" i="58" s="1"/>
  <c r="L10" i="56"/>
  <c r="L9" i="56"/>
  <c r="L8" i="56"/>
  <c r="L7" i="56"/>
  <c r="L6" i="56"/>
  <c r="L5" i="56"/>
  <c r="B4" i="56"/>
  <c r="C3" i="56"/>
  <c r="C4" i="56" s="1"/>
  <c r="L5" i="52"/>
  <c r="L7" i="53"/>
  <c r="L8" i="53"/>
  <c r="L9" i="53"/>
  <c r="L10" i="53"/>
  <c r="L6" i="53"/>
  <c r="L5" i="53"/>
  <c r="B4" i="53"/>
  <c r="C3" i="53"/>
  <c r="C4" i="53" s="1"/>
  <c r="L10" i="52"/>
  <c r="L9" i="52"/>
  <c r="L8" i="52"/>
  <c r="L7" i="52"/>
  <c r="L6" i="52"/>
  <c r="B4" i="52"/>
  <c r="C3" i="52"/>
  <c r="C4" i="52" s="1"/>
  <c r="B4" i="50"/>
  <c r="B4" i="51"/>
  <c r="L10" i="51"/>
  <c r="L9" i="51"/>
  <c r="L8" i="51"/>
  <c r="L7" i="51"/>
  <c r="L6" i="51"/>
  <c r="L5" i="51"/>
  <c r="C3" i="51"/>
  <c r="D3" i="51" s="1"/>
  <c r="D4" i="51" s="1"/>
  <c r="L10" i="50"/>
  <c r="L9" i="50"/>
  <c r="L8" i="50"/>
  <c r="L7" i="50"/>
  <c r="L6" i="50"/>
  <c r="L5" i="50"/>
  <c r="C3" i="50"/>
  <c r="D3" i="50" s="1"/>
  <c r="L10" i="48"/>
  <c r="L9" i="48"/>
  <c r="L8" i="48"/>
  <c r="L7" i="48"/>
  <c r="L6" i="48"/>
  <c r="L5" i="48"/>
  <c r="B4" i="48"/>
  <c r="C3" i="48"/>
  <c r="C4" i="48" s="1"/>
  <c r="D3" i="59" l="1"/>
  <c r="D3" i="58"/>
  <c r="L11" i="56"/>
  <c r="D3" i="56"/>
  <c r="L11" i="53"/>
  <c r="D3" i="53"/>
  <c r="L11" i="52"/>
  <c r="D3" i="52"/>
  <c r="C4" i="51"/>
  <c r="L11" i="51"/>
  <c r="E3" i="51"/>
  <c r="E4" i="51" s="1"/>
  <c r="L11" i="50"/>
  <c r="C4" i="50"/>
  <c r="E3" i="50"/>
  <c r="D4" i="50"/>
  <c r="L11" i="48"/>
  <c r="D3" i="48"/>
  <c r="D4" i="59" l="1"/>
  <c r="E3" i="59"/>
  <c r="E3" i="58"/>
  <c r="D4" i="58"/>
  <c r="E3" i="56"/>
  <c r="D4" i="56"/>
  <c r="E3" i="53"/>
  <c r="D4" i="53"/>
  <c r="E3" i="52"/>
  <c r="D4" i="52"/>
  <c r="F3" i="51"/>
  <c r="F4" i="51" s="1"/>
  <c r="F3" i="50"/>
  <c r="E4" i="50"/>
  <c r="E3" i="48"/>
  <c r="D4" i="48"/>
  <c r="F3" i="59" l="1"/>
  <c r="E4" i="59"/>
  <c r="F3" i="58"/>
  <c r="E4" i="58"/>
  <c r="F3" i="56"/>
  <c r="E4" i="56"/>
  <c r="F3" i="53"/>
  <c r="E4" i="53"/>
  <c r="F3" i="52"/>
  <c r="E4" i="52"/>
  <c r="G3" i="51"/>
  <c r="G4" i="51" s="1"/>
  <c r="F4" i="50"/>
  <c r="G3" i="50"/>
  <c r="F3" i="48"/>
  <c r="E4" i="48"/>
  <c r="F4" i="59" l="1"/>
  <c r="G3" i="59"/>
  <c r="F4" i="58"/>
  <c r="G3" i="58"/>
  <c r="F4" i="56"/>
  <c r="G3" i="56"/>
  <c r="G3" i="53"/>
  <c r="F4" i="53"/>
  <c r="F4" i="52"/>
  <c r="G3" i="52"/>
  <c r="H3" i="51"/>
  <c r="H4" i="51" s="1"/>
  <c r="H3" i="50"/>
  <c r="H4" i="50" s="1"/>
  <c r="G4" i="50"/>
  <c r="F4" i="48"/>
  <c r="G3" i="48"/>
  <c r="G4" i="59" l="1"/>
  <c r="H3" i="59"/>
  <c r="H4" i="59" s="1"/>
  <c r="G4" i="58"/>
  <c r="H3" i="58"/>
  <c r="H4" i="58" s="1"/>
  <c r="G4" i="56"/>
  <c r="H3" i="56"/>
  <c r="H4" i="56" s="1"/>
  <c r="G4" i="53"/>
  <c r="H3" i="53"/>
  <c r="H4" i="53" s="1"/>
  <c r="G4" i="52"/>
  <c r="H3" i="52"/>
  <c r="H4" i="52" s="1"/>
  <c r="G4" i="48"/>
  <c r="H3" i="48"/>
  <c r="H4" i="48" s="1"/>
  <c r="C3" i="47" l="1"/>
  <c r="C4" i="47"/>
  <c r="B4" i="47"/>
  <c r="L10" i="47"/>
  <c r="L9" i="47"/>
  <c r="L8" i="47"/>
  <c r="L7" i="47"/>
  <c r="L6" i="47"/>
  <c r="L5" i="47"/>
  <c r="L5" i="46"/>
  <c r="L10" i="46"/>
  <c r="L9" i="46"/>
  <c r="L8" i="46"/>
  <c r="L7" i="46"/>
  <c r="L6" i="46"/>
  <c r="B4" i="46"/>
  <c r="C3" i="46"/>
  <c r="C4" i="46" s="1"/>
  <c r="L10" i="45"/>
  <c r="L9" i="45"/>
  <c r="L8" i="45"/>
  <c r="L7" i="45"/>
  <c r="L6" i="45"/>
  <c r="L5" i="45"/>
  <c r="B4" i="45"/>
  <c r="C3" i="45"/>
  <c r="C4" i="45" s="1"/>
  <c r="L5" i="44"/>
  <c r="L10" i="44"/>
  <c r="L9" i="44"/>
  <c r="L8" i="44"/>
  <c r="L7" i="44"/>
  <c r="L6" i="44"/>
  <c r="B4" i="44"/>
  <c r="C3" i="44"/>
  <c r="D3" i="44" s="1"/>
  <c r="L5" i="43"/>
  <c r="L6" i="43"/>
  <c r="L7" i="43"/>
  <c r="L8" i="43"/>
  <c r="L9" i="43"/>
  <c r="L10" i="43"/>
  <c r="B4" i="43"/>
  <c r="C3" i="43"/>
  <c r="C4" i="43" s="1"/>
  <c r="L11" i="47" l="1"/>
  <c r="D3" i="47"/>
  <c r="L11" i="46"/>
  <c r="D3" i="46"/>
  <c r="L11" i="45"/>
  <c r="D3" i="45"/>
  <c r="L11" i="44"/>
  <c r="C4" i="44"/>
  <c r="E3" i="44"/>
  <c r="D4" i="44"/>
  <c r="L11" i="43"/>
  <c r="D3" i="43"/>
  <c r="D4" i="47" l="1"/>
  <c r="E3" i="47"/>
  <c r="E3" i="46"/>
  <c r="D4" i="46"/>
  <c r="E3" i="45"/>
  <c r="D4" i="45"/>
  <c r="F3" i="44"/>
  <c r="E4" i="44"/>
  <c r="E3" i="43"/>
  <c r="D4" i="43"/>
  <c r="F3" i="47" l="1"/>
  <c r="E4" i="47"/>
  <c r="F3" i="46"/>
  <c r="E4" i="46"/>
  <c r="F3" i="45"/>
  <c r="E4" i="45"/>
  <c r="F4" i="44"/>
  <c r="G3" i="44"/>
  <c r="F3" i="43"/>
  <c r="E4" i="43"/>
  <c r="G3" i="47" l="1"/>
  <c r="F4" i="47"/>
  <c r="F4" i="46"/>
  <c r="G3" i="46"/>
  <c r="F4" i="45"/>
  <c r="G3" i="45"/>
  <c r="G4" i="44"/>
  <c r="H3" i="44"/>
  <c r="H4" i="44" s="1"/>
  <c r="F4" i="43"/>
  <c r="G3" i="43"/>
  <c r="G4" i="47" l="1"/>
  <c r="H3" i="47"/>
  <c r="H4" i="47" s="1"/>
  <c r="G4" i="46"/>
  <c r="H3" i="46"/>
  <c r="H4" i="46" s="1"/>
  <c r="G4" i="45"/>
  <c r="H3" i="45"/>
  <c r="H4" i="45" s="1"/>
  <c r="G4" i="43"/>
  <c r="H3" i="43"/>
  <c r="H4" i="43" s="1"/>
  <c r="L10" i="42" l="1"/>
  <c r="L9" i="42"/>
  <c r="L8" i="42"/>
  <c r="L7" i="42"/>
  <c r="L6" i="42"/>
  <c r="L5" i="42"/>
  <c r="B4" i="42"/>
  <c r="C3" i="42"/>
  <c r="C4" i="42" s="1"/>
  <c r="AB24" i="16"/>
  <c r="L11" i="42" l="1"/>
  <c r="D3" i="42"/>
  <c r="L10" i="41"/>
  <c r="L9" i="41"/>
  <c r="L8" i="41"/>
  <c r="L7" i="41"/>
  <c r="L6" i="41"/>
  <c r="L5" i="41"/>
  <c r="B4" i="41"/>
  <c r="C3" i="41"/>
  <c r="C4" i="41" s="1"/>
  <c r="L10" i="40"/>
  <c r="L9" i="40"/>
  <c r="L8" i="40"/>
  <c r="L7" i="40"/>
  <c r="L6" i="40"/>
  <c r="L5" i="40"/>
  <c r="B4" i="40"/>
  <c r="C3" i="40"/>
  <c r="C4" i="40" s="1"/>
  <c r="L10" i="39"/>
  <c r="L9" i="39"/>
  <c r="L8" i="39"/>
  <c r="L7" i="39"/>
  <c r="L6" i="39"/>
  <c r="L5" i="39"/>
  <c r="B4" i="39"/>
  <c r="C3" i="39"/>
  <c r="D3" i="39" s="1"/>
  <c r="B4" i="38"/>
  <c r="L10" i="38" s="1"/>
  <c r="C3" i="38"/>
  <c r="C4" i="38" s="1"/>
  <c r="L10" i="37"/>
  <c r="L9" i="37"/>
  <c r="L8" i="37"/>
  <c r="L7" i="37"/>
  <c r="L6" i="37"/>
  <c r="L5" i="37"/>
  <c r="B4" i="37"/>
  <c r="C3" i="37"/>
  <c r="D3" i="37" s="1"/>
  <c r="L10" i="36"/>
  <c r="L9" i="36"/>
  <c r="L8" i="36"/>
  <c r="L7" i="36"/>
  <c r="L6" i="36"/>
  <c r="L5" i="36"/>
  <c r="B4" i="36"/>
  <c r="C3" i="36"/>
  <c r="D3" i="36" s="1"/>
  <c r="L10" i="34"/>
  <c r="L9" i="34"/>
  <c r="L8" i="34"/>
  <c r="L7" i="34"/>
  <c r="L6" i="34"/>
  <c r="L5" i="34"/>
  <c r="B4" i="34"/>
  <c r="C3" i="34"/>
  <c r="D3" i="34" s="1"/>
  <c r="L10" i="33"/>
  <c r="L9" i="33"/>
  <c r="L8" i="33"/>
  <c r="L7" i="33"/>
  <c r="L6" i="33"/>
  <c r="L5" i="33"/>
  <c r="B4" i="33"/>
  <c r="C3" i="33"/>
  <c r="D3" i="33" s="1"/>
  <c r="L10" i="32"/>
  <c r="L9" i="32"/>
  <c r="L8" i="32"/>
  <c r="L7" i="32"/>
  <c r="L6" i="32"/>
  <c r="L5" i="32"/>
  <c r="B4" i="32"/>
  <c r="C3" i="32"/>
  <c r="D3" i="32" s="1"/>
  <c r="L10" i="31"/>
  <c r="L9" i="31"/>
  <c r="L8" i="31"/>
  <c r="L7" i="31"/>
  <c r="L6" i="31"/>
  <c r="L5" i="31"/>
  <c r="B4" i="31"/>
  <c r="C3" i="31"/>
  <c r="C4" i="31" s="1"/>
  <c r="L10" i="30"/>
  <c r="L9" i="30"/>
  <c r="L8" i="30"/>
  <c r="L7" i="30"/>
  <c r="L6" i="30"/>
  <c r="L5" i="30"/>
  <c r="B4" i="30"/>
  <c r="C3" i="30"/>
  <c r="D3" i="30" s="1"/>
  <c r="L10" i="29"/>
  <c r="L9" i="29"/>
  <c r="L8" i="29"/>
  <c r="L7" i="29"/>
  <c r="L6" i="29"/>
  <c r="L5" i="29"/>
  <c r="B4" i="29"/>
  <c r="C3" i="29"/>
  <c r="C4" i="29" s="1"/>
  <c r="L10" i="28"/>
  <c r="L9" i="28"/>
  <c r="L8" i="28"/>
  <c r="L7" i="28"/>
  <c r="L6" i="28"/>
  <c r="L5" i="28"/>
  <c r="B4" i="28"/>
  <c r="C3" i="28"/>
  <c r="D3" i="28" s="1"/>
  <c r="E3" i="42" l="1"/>
  <c r="D4" i="42"/>
  <c r="L11" i="41"/>
  <c r="D3" i="41"/>
  <c r="L11" i="40"/>
  <c r="D3" i="40"/>
  <c r="C4" i="39"/>
  <c r="L11" i="39"/>
  <c r="E3" i="39"/>
  <c r="D4" i="39"/>
  <c r="L7" i="38"/>
  <c r="L8" i="38"/>
  <c r="L5" i="38"/>
  <c r="L9" i="38"/>
  <c r="L6" i="38"/>
  <c r="D3" i="38"/>
  <c r="L11" i="37"/>
  <c r="D4" i="37"/>
  <c r="E3" i="37"/>
  <c r="C4" i="37"/>
  <c r="L11" i="36"/>
  <c r="D4" i="36"/>
  <c r="E3" i="36"/>
  <c r="C4" i="36"/>
  <c r="L11" i="34"/>
  <c r="D4" i="34"/>
  <c r="E3" i="34"/>
  <c r="C4" i="34"/>
  <c r="L11" i="33"/>
  <c r="D4" i="33"/>
  <c r="E3" i="33"/>
  <c r="C4" i="33"/>
  <c r="L11" i="32"/>
  <c r="D4" i="32"/>
  <c r="E3" i="32"/>
  <c r="C4" i="32"/>
  <c r="L11" i="31"/>
  <c r="D3" i="31"/>
  <c r="L11" i="30"/>
  <c r="D4" i="30"/>
  <c r="E3" i="30"/>
  <c r="C4" i="30"/>
  <c r="L11" i="29"/>
  <c r="D3" i="29"/>
  <c r="L11" i="28"/>
  <c r="D4" i="28"/>
  <c r="E3" i="28"/>
  <c r="C4" i="28"/>
  <c r="L10" i="27"/>
  <c r="L9" i="27"/>
  <c r="L8" i="27"/>
  <c r="L7" i="27"/>
  <c r="L6" i="27"/>
  <c r="L5" i="27"/>
  <c r="B4" i="27"/>
  <c r="C3" i="27"/>
  <c r="D3" i="27" s="1"/>
  <c r="F3" i="42" l="1"/>
  <c r="E4" i="42"/>
  <c r="E3" i="41"/>
  <c r="D4" i="41"/>
  <c r="D4" i="40"/>
  <c r="E3" i="40"/>
  <c r="F3" i="39"/>
  <c r="E4" i="39"/>
  <c r="L11" i="38"/>
  <c r="D4" i="38"/>
  <c r="E3" i="38"/>
  <c r="F3" i="37"/>
  <c r="E4" i="37"/>
  <c r="E4" i="36"/>
  <c r="F3" i="36"/>
  <c r="E4" i="34"/>
  <c r="F3" i="34"/>
  <c r="F3" i="33"/>
  <c r="E4" i="33"/>
  <c r="E4" i="32"/>
  <c r="F3" i="32"/>
  <c r="E3" i="31"/>
  <c r="D4" i="31"/>
  <c r="F3" i="30"/>
  <c r="E4" i="30"/>
  <c r="E3" i="29"/>
  <c r="D4" i="29"/>
  <c r="E4" i="28"/>
  <c r="F3" i="28"/>
  <c r="L11" i="27"/>
  <c r="D4" i="27"/>
  <c r="E3" i="27"/>
  <c r="C4" i="27"/>
  <c r="L10" i="26"/>
  <c r="L9" i="26"/>
  <c r="L8" i="26"/>
  <c r="L7" i="26"/>
  <c r="L6" i="26"/>
  <c r="L5" i="26"/>
  <c r="B4" i="26"/>
  <c r="C3" i="26"/>
  <c r="C4" i="26" s="1"/>
  <c r="L10" i="25"/>
  <c r="L9" i="25"/>
  <c r="L8" i="25"/>
  <c r="L7" i="25"/>
  <c r="L6" i="25"/>
  <c r="L5" i="25"/>
  <c r="B4" i="25"/>
  <c r="C3" i="25"/>
  <c r="D3" i="25" s="1"/>
  <c r="L10" i="24"/>
  <c r="L9" i="24"/>
  <c r="L8" i="24"/>
  <c r="L7" i="24"/>
  <c r="L6" i="24"/>
  <c r="L5" i="24"/>
  <c r="B4" i="24"/>
  <c r="C3" i="24"/>
  <c r="C4" i="24" s="1"/>
  <c r="L10" i="23"/>
  <c r="L9" i="23"/>
  <c r="L8" i="23"/>
  <c r="L7" i="23"/>
  <c r="L6" i="23"/>
  <c r="L5" i="23"/>
  <c r="B4" i="23"/>
  <c r="C3" i="23"/>
  <c r="D3" i="23" s="1"/>
  <c r="L10" i="22"/>
  <c r="L9" i="22"/>
  <c r="L8" i="22"/>
  <c r="L7" i="22"/>
  <c r="L6" i="22"/>
  <c r="L5" i="22"/>
  <c r="B4" i="22"/>
  <c r="C3" i="22"/>
  <c r="D3" i="22" s="1"/>
  <c r="L5" i="20"/>
  <c r="L10" i="21"/>
  <c r="L9" i="21"/>
  <c r="L8" i="21"/>
  <c r="L7" i="21"/>
  <c r="L6" i="21"/>
  <c r="L5" i="21"/>
  <c r="B4" i="21"/>
  <c r="C3" i="21"/>
  <c r="D3" i="21" s="1"/>
  <c r="L10" i="20"/>
  <c r="L9" i="20"/>
  <c r="L8" i="20"/>
  <c r="L7" i="20"/>
  <c r="L6" i="20"/>
  <c r="B4" i="20"/>
  <c r="C3" i="20"/>
  <c r="D3" i="20" s="1"/>
  <c r="L10" i="19"/>
  <c r="L9" i="19"/>
  <c r="L8" i="19"/>
  <c r="L7" i="19"/>
  <c r="L6" i="19"/>
  <c r="L5" i="19"/>
  <c r="B4" i="19"/>
  <c r="C3" i="19"/>
  <c r="D3" i="19" s="1"/>
  <c r="M10" i="18"/>
  <c r="M9" i="18"/>
  <c r="M8" i="18"/>
  <c r="M7" i="18"/>
  <c r="M6" i="18"/>
  <c r="M5" i="18"/>
  <c r="C4" i="18"/>
  <c r="D3" i="18"/>
  <c r="E3" i="18" s="1"/>
  <c r="F4" i="42" l="1"/>
  <c r="G3" i="42"/>
  <c r="F3" i="41"/>
  <c r="E4" i="41"/>
  <c r="F3" i="40"/>
  <c r="E4" i="40"/>
  <c r="D3" i="24"/>
  <c r="E3" i="24" s="1"/>
  <c r="F4" i="39"/>
  <c r="G3" i="39"/>
  <c r="E4" i="38"/>
  <c r="F3" i="38"/>
  <c r="G3" i="37"/>
  <c r="F4" i="37"/>
  <c r="G3" i="36"/>
  <c r="F4" i="36"/>
  <c r="G3" i="34"/>
  <c r="F4" i="34"/>
  <c r="G3" i="33"/>
  <c r="F4" i="33"/>
  <c r="G3" i="32"/>
  <c r="F4" i="32"/>
  <c r="E4" i="31"/>
  <c r="F3" i="31"/>
  <c r="G3" i="30"/>
  <c r="F4" i="30"/>
  <c r="F3" i="29"/>
  <c r="E4" i="29"/>
  <c r="G3" i="28"/>
  <c r="F4" i="28"/>
  <c r="E4" i="27"/>
  <c r="F3" i="27"/>
  <c r="L11" i="26"/>
  <c r="D3" i="26"/>
  <c r="L11" i="25"/>
  <c r="D4" i="25"/>
  <c r="E3" i="25"/>
  <c r="C4" i="25"/>
  <c r="L11" i="24"/>
  <c r="F3" i="24"/>
  <c r="E4" i="24"/>
  <c r="D4" i="24"/>
  <c r="L11" i="23"/>
  <c r="D4" i="23"/>
  <c r="E3" i="23"/>
  <c r="C4" i="23"/>
  <c r="L11" i="22"/>
  <c r="E3" i="22"/>
  <c r="D4" i="22"/>
  <c r="C4" i="22"/>
  <c r="L11" i="21"/>
  <c r="D4" i="21"/>
  <c r="E3" i="21"/>
  <c r="C4" i="21"/>
  <c r="L11" i="20"/>
  <c r="E3" i="20"/>
  <c r="D4" i="20"/>
  <c r="C4" i="20"/>
  <c r="L11" i="19"/>
  <c r="E3" i="19"/>
  <c r="D4" i="19"/>
  <c r="C4" i="19"/>
  <c r="M11" i="18"/>
  <c r="E4" i="18"/>
  <c r="F3" i="18"/>
  <c r="D4" i="18"/>
  <c r="G4" i="42" l="1"/>
  <c r="H3" i="42"/>
  <c r="H4" i="42" s="1"/>
  <c r="F4" i="41"/>
  <c r="G3" i="41"/>
  <c r="F4" i="40"/>
  <c r="G3" i="40"/>
  <c r="H3" i="39"/>
  <c r="H4" i="39" s="1"/>
  <c r="G4" i="39"/>
  <c r="F4" i="38"/>
  <c r="G3" i="38"/>
  <c r="H3" i="37"/>
  <c r="G4" i="37"/>
  <c r="H3" i="36"/>
  <c r="G4" i="36"/>
  <c r="H3" i="34"/>
  <c r="G4" i="34"/>
  <c r="H3" i="33"/>
  <c r="G4" i="33"/>
  <c r="H3" i="32"/>
  <c r="G4" i="32"/>
  <c r="G3" i="31"/>
  <c r="F4" i="31"/>
  <c r="H3" i="30"/>
  <c r="G4" i="30"/>
  <c r="G3" i="29"/>
  <c r="F4" i="29"/>
  <c r="H3" i="28"/>
  <c r="G4" i="28"/>
  <c r="G3" i="27"/>
  <c r="F4" i="27"/>
  <c r="D4" i="26"/>
  <c r="E3" i="26"/>
  <c r="F3" i="25"/>
  <c r="E4" i="25"/>
  <c r="G3" i="24"/>
  <c r="F4" i="24"/>
  <c r="E4" i="23"/>
  <c r="F3" i="23"/>
  <c r="E4" i="22"/>
  <c r="F3" i="22"/>
  <c r="E4" i="21"/>
  <c r="F3" i="21"/>
  <c r="F3" i="20"/>
  <c r="E4" i="20"/>
  <c r="E4" i="19"/>
  <c r="F3" i="19"/>
  <c r="G3" i="18"/>
  <c r="F4" i="18"/>
  <c r="G4" i="41" l="1"/>
  <c r="H3" i="41"/>
  <c r="H4" i="41" s="1"/>
  <c r="G4" i="40"/>
  <c r="H3" i="40"/>
  <c r="H4" i="40" s="1"/>
  <c r="G4" i="38"/>
  <c r="H3" i="38"/>
  <c r="H4" i="38" s="1"/>
  <c r="H4" i="37"/>
  <c r="H4" i="36"/>
  <c r="I3" i="36"/>
  <c r="I4" i="36" s="1"/>
  <c r="H4" i="34"/>
  <c r="I3" i="34"/>
  <c r="I4" i="34" s="1"/>
  <c r="H4" i="33"/>
  <c r="I3" i="33"/>
  <c r="I4" i="33" s="1"/>
  <c r="H4" i="32"/>
  <c r="I3" i="32"/>
  <c r="I4" i="32" s="1"/>
  <c r="G4" i="31"/>
  <c r="H3" i="31"/>
  <c r="H4" i="30"/>
  <c r="I3" i="30"/>
  <c r="I4" i="30" s="1"/>
  <c r="G4" i="29"/>
  <c r="H3" i="29"/>
  <c r="H4" i="28"/>
  <c r="I3" i="28"/>
  <c r="I4" i="28" s="1"/>
  <c r="H3" i="27"/>
  <c r="G4" i="27"/>
  <c r="F3" i="26"/>
  <c r="E4" i="26"/>
  <c r="F4" i="25"/>
  <c r="G3" i="25"/>
  <c r="G4" i="24"/>
  <c r="H3" i="24"/>
  <c r="G3" i="23"/>
  <c r="F4" i="23"/>
  <c r="F4" i="22"/>
  <c r="G3" i="22"/>
  <c r="G3" i="21"/>
  <c r="F4" i="21"/>
  <c r="F4" i="20"/>
  <c r="G3" i="20"/>
  <c r="F4" i="19"/>
  <c r="G3" i="19"/>
  <c r="H3" i="18"/>
  <c r="G4" i="18"/>
  <c r="I3" i="31" l="1"/>
  <c r="I4" i="31" s="1"/>
  <c r="H4" i="31"/>
  <c r="I3" i="29"/>
  <c r="I4" i="29" s="1"/>
  <c r="H4" i="29"/>
  <c r="H4" i="27"/>
  <c r="I3" i="27"/>
  <c r="I4" i="27" s="1"/>
  <c r="G3" i="26"/>
  <c r="F4" i="26"/>
  <c r="H3" i="25"/>
  <c r="G4" i="25"/>
  <c r="I3" i="24"/>
  <c r="I4" i="24" s="1"/>
  <c r="H4" i="24"/>
  <c r="H3" i="23"/>
  <c r="G4" i="23"/>
  <c r="H3" i="22"/>
  <c r="G4" i="22"/>
  <c r="H3" i="21"/>
  <c r="G4" i="21"/>
  <c r="H3" i="20"/>
  <c r="G4" i="20"/>
  <c r="H3" i="19"/>
  <c r="G4" i="19"/>
  <c r="I3" i="18"/>
  <c r="H4" i="18"/>
  <c r="H3" i="26" l="1"/>
  <c r="G4" i="26"/>
  <c r="H4" i="25"/>
  <c r="I3" i="25"/>
  <c r="I4" i="25" s="1"/>
  <c r="H4" i="23"/>
  <c r="I3" i="23"/>
  <c r="I4" i="23" s="1"/>
  <c r="I3" i="22"/>
  <c r="I4" i="22" s="1"/>
  <c r="H4" i="22"/>
  <c r="H4" i="21"/>
  <c r="I3" i="21"/>
  <c r="I4" i="21" s="1"/>
  <c r="I3" i="20"/>
  <c r="I4" i="20" s="1"/>
  <c r="H4" i="20"/>
  <c r="I3" i="19"/>
  <c r="I4" i="19" s="1"/>
  <c r="H4" i="19"/>
  <c r="I4" i="18"/>
  <c r="J3" i="18"/>
  <c r="J4" i="18" s="1"/>
  <c r="H4" i="26" l="1"/>
  <c r="I3" i="26"/>
  <c r="I4" i="26" s="1"/>
  <c r="M10" i="17"/>
  <c r="M9" i="17"/>
  <c r="M8" i="17"/>
  <c r="M7" i="17"/>
  <c r="M6" i="17"/>
  <c r="M5" i="17"/>
  <c r="C4" i="17"/>
  <c r="D3" i="17"/>
  <c r="E3" i="17" s="1"/>
  <c r="M73" i="15"/>
  <c r="M72" i="15"/>
  <c r="M71" i="15"/>
  <c r="M70" i="15"/>
  <c r="M69" i="15"/>
  <c r="M68" i="15"/>
  <c r="M10" i="15"/>
  <c r="M9" i="15"/>
  <c r="M8" i="15"/>
  <c r="M7" i="15"/>
  <c r="M6" i="15"/>
  <c r="M5" i="15"/>
  <c r="C4" i="15"/>
  <c r="D3" i="15"/>
  <c r="D4" i="15" s="1"/>
  <c r="M73" i="14"/>
  <c r="M72" i="14"/>
  <c r="M71" i="14"/>
  <c r="M70" i="14"/>
  <c r="M69" i="14"/>
  <c r="M68" i="14"/>
  <c r="M10" i="14"/>
  <c r="M9" i="14"/>
  <c r="M8" i="14"/>
  <c r="M7" i="14"/>
  <c r="M6" i="14"/>
  <c r="M5" i="14"/>
  <c r="C4" i="14"/>
  <c r="D3" i="14"/>
  <c r="E3" i="14" s="1"/>
  <c r="M73" i="13"/>
  <c r="M72" i="13"/>
  <c r="M71" i="13"/>
  <c r="M70" i="13"/>
  <c r="M69" i="13"/>
  <c r="M68" i="13"/>
  <c r="M10" i="13"/>
  <c r="M9" i="13"/>
  <c r="M8" i="13"/>
  <c r="M7" i="13"/>
  <c r="M6" i="13"/>
  <c r="M5" i="13"/>
  <c r="C4" i="13"/>
  <c r="D3" i="13"/>
  <c r="E3" i="13" s="1"/>
  <c r="M73" i="12"/>
  <c r="M72" i="12"/>
  <c r="M71" i="12"/>
  <c r="M70" i="12"/>
  <c r="M69" i="12"/>
  <c r="M68" i="12"/>
  <c r="M10" i="12"/>
  <c r="M9" i="12"/>
  <c r="M8" i="12"/>
  <c r="M7" i="12"/>
  <c r="M6" i="12"/>
  <c r="M5" i="12"/>
  <c r="C4" i="12"/>
  <c r="D3" i="12"/>
  <c r="E3" i="12" s="1"/>
  <c r="M73" i="11"/>
  <c r="M72" i="11"/>
  <c r="M71" i="11"/>
  <c r="M70" i="11"/>
  <c r="M69" i="11"/>
  <c r="M68" i="11"/>
  <c r="C67" i="11"/>
  <c r="D66" i="11"/>
  <c r="D67" i="11" s="1"/>
  <c r="M10" i="11"/>
  <c r="M9" i="11"/>
  <c r="M8" i="11"/>
  <c r="M7" i="11"/>
  <c r="M6" i="11"/>
  <c r="M5" i="11"/>
  <c r="C4" i="11"/>
  <c r="D3" i="11"/>
  <c r="D4" i="11" s="1"/>
  <c r="M69" i="10"/>
  <c r="M70" i="10"/>
  <c r="M71" i="10"/>
  <c r="M72" i="10"/>
  <c r="M73" i="10"/>
  <c r="M68" i="10"/>
  <c r="C67" i="10"/>
  <c r="D66" i="10"/>
  <c r="M10" i="10"/>
  <c r="M9" i="10"/>
  <c r="M8" i="10"/>
  <c r="M7" i="10"/>
  <c r="M6" i="10"/>
  <c r="M5" i="10"/>
  <c r="C4" i="10"/>
  <c r="D3" i="10"/>
  <c r="E3" i="10" s="1"/>
  <c r="M10" i="9"/>
  <c r="M9" i="9"/>
  <c r="M8" i="9"/>
  <c r="M7" i="9"/>
  <c r="M6" i="9"/>
  <c r="M5" i="9"/>
  <c r="C4" i="9"/>
  <c r="D3" i="9"/>
  <c r="D4" i="9" s="1"/>
  <c r="M10" i="8"/>
  <c r="M9" i="8"/>
  <c r="M8" i="8"/>
  <c r="M7" i="8"/>
  <c r="M6" i="8"/>
  <c r="M5" i="8"/>
  <c r="C4" i="8"/>
  <c r="D3" i="8"/>
  <c r="D4" i="8" s="1"/>
  <c r="M10" i="7"/>
  <c r="M9" i="7"/>
  <c r="M8" i="7"/>
  <c r="M7" i="7"/>
  <c r="M6" i="7"/>
  <c r="M5" i="7"/>
  <c r="C4" i="7"/>
  <c r="D3" i="7"/>
  <c r="D4" i="7" s="1"/>
  <c r="M10" i="6"/>
  <c r="M9" i="6"/>
  <c r="M8" i="6"/>
  <c r="M7" i="6"/>
  <c r="M6" i="6"/>
  <c r="M5" i="6"/>
  <c r="C4" i="6"/>
  <c r="D3" i="6"/>
  <c r="E3" i="6" s="1"/>
  <c r="M10" i="5"/>
  <c r="M9" i="5"/>
  <c r="M8" i="5"/>
  <c r="M7" i="5"/>
  <c r="M6" i="5"/>
  <c r="M5" i="5"/>
  <c r="C4" i="5"/>
  <c r="D3" i="5"/>
  <c r="E3" i="5" s="1"/>
  <c r="D67" i="10" l="1"/>
  <c r="E66" i="10"/>
  <c r="E67" i="10" s="1"/>
  <c r="F66" i="10"/>
  <c r="G66" i="10" s="1"/>
  <c r="E66" i="11"/>
  <c r="F66" i="11" s="1"/>
  <c r="E3" i="7"/>
  <c r="F3" i="7" s="1"/>
  <c r="M11" i="17"/>
  <c r="E4" i="17"/>
  <c r="F3" i="17"/>
  <c r="D4" i="17"/>
  <c r="M11" i="15"/>
  <c r="M74" i="15"/>
  <c r="E3" i="15"/>
  <c r="M74" i="14"/>
  <c r="M11" i="14"/>
  <c r="F3" i="14"/>
  <c r="E4" i="14"/>
  <c r="D4" i="14"/>
  <c r="M11" i="13"/>
  <c r="M74" i="13"/>
  <c r="F3" i="13"/>
  <c r="E4" i="13"/>
  <c r="D4" i="13"/>
  <c r="M74" i="12"/>
  <c r="M11" i="12"/>
  <c r="F3" i="12"/>
  <c r="E4" i="12"/>
  <c r="D4" i="12"/>
  <c r="M74" i="11"/>
  <c r="E3" i="11"/>
  <c r="F3" i="11" s="1"/>
  <c r="M11" i="11"/>
  <c r="G66" i="11"/>
  <c r="F67" i="11"/>
  <c r="F4" i="11"/>
  <c r="G3" i="11"/>
  <c r="E67" i="11"/>
  <c r="M74" i="10"/>
  <c r="H66" i="10"/>
  <c r="G67" i="10"/>
  <c r="F67" i="10"/>
  <c r="M11" i="10"/>
  <c r="E4" i="10"/>
  <c r="F3" i="10"/>
  <c r="D4" i="10"/>
  <c r="M11" i="9"/>
  <c r="E3" i="9"/>
  <c r="E4" i="9" s="1"/>
  <c r="M11" i="8"/>
  <c r="E3" i="8"/>
  <c r="M11" i="7"/>
  <c r="G3" i="7"/>
  <c r="F4" i="7"/>
  <c r="E4" i="7"/>
  <c r="M11" i="6"/>
  <c r="E4" i="6"/>
  <c r="F3" i="6"/>
  <c r="D4" i="6"/>
  <c r="M11" i="5"/>
  <c r="E4" i="5"/>
  <c r="F3" i="5"/>
  <c r="D4" i="5"/>
  <c r="M10" i="4"/>
  <c r="M9" i="4"/>
  <c r="M8" i="4"/>
  <c r="M7" i="4"/>
  <c r="M6" i="4"/>
  <c r="C4" i="4"/>
  <c r="D3" i="4"/>
  <c r="D4" i="4" s="1"/>
  <c r="E4" i="11" l="1"/>
  <c r="F3" i="9"/>
  <c r="F4" i="17"/>
  <c r="G3" i="17"/>
  <c r="F3" i="15"/>
  <c r="E4" i="15"/>
  <c r="G3" i="14"/>
  <c r="F4" i="14"/>
  <c r="F4" i="13"/>
  <c r="G3" i="13"/>
  <c r="G3" i="12"/>
  <c r="F4" i="12"/>
  <c r="G4" i="11"/>
  <c r="H3" i="11"/>
  <c r="H66" i="11"/>
  <c r="G67" i="11"/>
  <c r="I66" i="10"/>
  <c r="H67" i="10"/>
  <c r="G3" i="10"/>
  <c r="F4" i="10"/>
  <c r="F4" i="9"/>
  <c r="G3" i="9"/>
  <c r="E4" i="8"/>
  <c r="F3" i="8"/>
  <c r="H3" i="7"/>
  <c r="G4" i="7"/>
  <c r="G3" i="6"/>
  <c r="F4" i="6"/>
  <c r="F4" i="5"/>
  <c r="G3" i="5"/>
  <c r="M11" i="4"/>
  <c r="E3" i="4"/>
  <c r="M6" i="2"/>
  <c r="M7" i="2"/>
  <c r="M8" i="2"/>
  <c r="M9" i="2"/>
  <c r="M10" i="2"/>
  <c r="M5" i="2"/>
  <c r="H3" i="17" l="1"/>
  <c r="G4" i="17"/>
  <c r="F4" i="15"/>
  <c r="G3" i="15"/>
  <c r="G4" i="14"/>
  <c r="H3" i="14"/>
  <c r="G4" i="13"/>
  <c r="H3" i="13"/>
  <c r="G4" i="12"/>
  <c r="H3" i="12"/>
  <c r="H67" i="11"/>
  <c r="I66" i="11"/>
  <c r="I3" i="11"/>
  <c r="H4" i="11"/>
  <c r="I67" i="10"/>
  <c r="J66" i="10"/>
  <c r="J67" i="10" s="1"/>
  <c r="H3" i="10"/>
  <c r="G4" i="10"/>
  <c r="G4" i="9"/>
  <c r="H3" i="9"/>
  <c r="F4" i="8"/>
  <c r="G3" i="8"/>
  <c r="H4" i="7"/>
  <c r="I3" i="7"/>
  <c r="H3" i="6"/>
  <c r="G4" i="6"/>
  <c r="H3" i="5"/>
  <c r="G4" i="5"/>
  <c r="F3" i="4"/>
  <c r="E4" i="4"/>
  <c r="M11" i="2"/>
  <c r="D3" i="2"/>
  <c r="D4" i="2" s="1"/>
  <c r="I3" i="17" l="1"/>
  <c r="H4" i="17"/>
  <c r="H3" i="15"/>
  <c r="G4" i="15"/>
  <c r="I3" i="14"/>
  <c r="H4" i="14"/>
  <c r="I3" i="13"/>
  <c r="H4" i="13"/>
  <c r="I3" i="12"/>
  <c r="H4" i="12"/>
  <c r="J66" i="11"/>
  <c r="J67" i="11" s="1"/>
  <c r="I67" i="11"/>
  <c r="J3" i="11"/>
  <c r="J4" i="11" s="1"/>
  <c r="I4" i="11"/>
  <c r="I3" i="10"/>
  <c r="H4" i="10"/>
  <c r="I3" i="9"/>
  <c r="H4" i="9"/>
  <c r="H3" i="8"/>
  <c r="G4" i="8"/>
  <c r="J3" i="7"/>
  <c r="J4" i="7" s="1"/>
  <c r="I4" i="7"/>
  <c r="I3" i="6"/>
  <c r="H4" i="6"/>
  <c r="I3" i="5"/>
  <c r="H4" i="5"/>
  <c r="F4" i="4"/>
  <c r="G3" i="4"/>
  <c r="E3" i="2"/>
  <c r="F3" i="2" s="1"/>
  <c r="G3" i="2" s="1"/>
  <c r="F4" i="2"/>
  <c r="E4" i="2"/>
  <c r="I4" i="17" l="1"/>
  <c r="J3" i="17"/>
  <c r="J4" i="17" s="1"/>
  <c r="H4" i="15"/>
  <c r="I3" i="15"/>
  <c r="J3" i="14"/>
  <c r="J4" i="14" s="1"/>
  <c r="I4" i="14"/>
  <c r="J3" i="13"/>
  <c r="J4" i="13" s="1"/>
  <c r="I4" i="13"/>
  <c r="J3" i="12"/>
  <c r="J4" i="12" s="1"/>
  <c r="I4" i="12"/>
  <c r="I4" i="10"/>
  <c r="J3" i="10"/>
  <c r="J4" i="10" s="1"/>
  <c r="I4" i="9"/>
  <c r="J3" i="9"/>
  <c r="J4" i="9" s="1"/>
  <c r="I3" i="8"/>
  <c r="H4" i="8"/>
  <c r="I4" i="6"/>
  <c r="J3" i="6"/>
  <c r="J4" i="6" s="1"/>
  <c r="I4" i="5"/>
  <c r="J3" i="5"/>
  <c r="J4" i="5" s="1"/>
  <c r="H3" i="4"/>
  <c r="G4" i="4"/>
  <c r="H3" i="2"/>
  <c r="G4" i="2"/>
  <c r="J3" i="15" l="1"/>
  <c r="J4" i="15" s="1"/>
  <c r="I4" i="15"/>
  <c r="I4" i="8"/>
  <c r="J3" i="8"/>
  <c r="J4" i="8" s="1"/>
  <c r="H4" i="4"/>
  <c r="I3" i="4"/>
  <c r="H4" i="2"/>
  <c r="I3" i="2"/>
  <c r="J3" i="4" l="1"/>
  <c r="J4" i="4" s="1"/>
  <c r="I4" i="4"/>
  <c r="I4" i="2"/>
  <c r="J3" i="2"/>
  <c r="J4" i="2" s="1"/>
  <c r="C3" i="16"/>
  <c r="D3" i="16"/>
  <c r="E3" i="16"/>
  <c r="F3" i="16"/>
  <c r="G3" i="16"/>
  <c r="H3" i="16"/>
  <c r="I3" i="16"/>
  <c r="J3" i="16"/>
  <c r="K3" i="16"/>
  <c r="L3" i="16"/>
  <c r="M3" i="16"/>
  <c r="N3" i="16"/>
  <c r="O3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AD3" i="16"/>
  <c r="AE3" i="16"/>
  <c r="AF3" i="16"/>
  <c r="AG3" i="16"/>
  <c r="AH3" i="16"/>
  <c r="AI3" i="16"/>
  <c r="AJ3" i="16"/>
  <c r="AK3" i="16"/>
  <c r="AL3" i="16"/>
  <c r="AM3" i="16"/>
  <c r="AN3" i="16"/>
  <c r="AO3" i="16"/>
  <c r="AP3" i="16"/>
  <c r="AQ3" i="16"/>
  <c r="AR3" i="16"/>
  <c r="AS3" i="16"/>
  <c r="AT3" i="16"/>
  <c r="AU3" i="16"/>
  <c r="AV3" i="16"/>
  <c r="AW3" i="16"/>
  <c r="AX3" i="16"/>
  <c r="AY3" i="16"/>
  <c r="AZ3" i="16"/>
  <c r="BG3" i="16"/>
  <c r="BH3" i="16"/>
  <c r="BI3" i="16"/>
  <c r="BJ3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AE4" i="16"/>
  <c r="AF4" i="16"/>
  <c r="AG4" i="16"/>
  <c r="AH4" i="16"/>
  <c r="AI4" i="16"/>
  <c r="AJ4" i="16"/>
  <c r="AK4" i="16"/>
  <c r="AL4" i="16"/>
  <c r="AM4" i="16"/>
  <c r="AN4" i="16"/>
  <c r="AO4" i="16"/>
  <c r="AP4" i="16"/>
  <c r="AQ4" i="16"/>
  <c r="AR4" i="16"/>
  <c r="AS4" i="16"/>
  <c r="AT4" i="16"/>
  <c r="AU4" i="16"/>
  <c r="AV4" i="16"/>
  <c r="AW4" i="16"/>
  <c r="AX4" i="16"/>
  <c r="AY4" i="16"/>
  <c r="AZ4" i="16"/>
  <c r="BG4" i="16"/>
  <c r="BH4" i="16"/>
  <c r="BI4" i="16"/>
  <c r="BJ4" i="16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AE5" i="16"/>
  <c r="AF5" i="16"/>
  <c r="AG5" i="16"/>
  <c r="AH5" i="16"/>
  <c r="AI5" i="16"/>
  <c r="AJ5" i="16"/>
  <c r="AK5" i="16"/>
  <c r="AL5" i="16"/>
  <c r="AM5" i="16"/>
  <c r="AN5" i="16"/>
  <c r="AO5" i="16"/>
  <c r="AP5" i="16"/>
  <c r="AQ5" i="16"/>
  <c r="AR5" i="16"/>
  <c r="AS5" i="16"/>
  <c r="AT5" i="16"/>
  <c r="AU5" i="16"/>
  <c r="AV5" i="16"/>
  <c r="AW5" i="16"/>
  <c r="AX5" i="16"/>
  <c r="AY5" i="16"/>
  <c r="AZ5" i="16"/>
  <c r="BG5" i="16"/>
  <c r="BH5" i="16"/>
  <c r="BI5" i="16"/>
  <c r="BJ5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AE6" i="16"/>
  <c r="AF6" i="16"/>
  <c r="AG6" i="16"/>
  <c r="AH6" i="16"/>
  <c r="AI6" i="16"/>
  <c r="AJ6" i="16"/>
  <c r="AK6" i="16"/>
  <c r="AL6" i="16"/>
  <c r="AM6" i="16"/>
  <c r="AN6" i="16"/>
  <c r="AO6" i="16"/>
  <c r="AP6" i="16"/>
  <c r="AQ6" i="16"/>
  <c r="AR6" i="16"/>
  <c r="AS6" i="16"/>
  <c r="AT6" i="16"/>
  <c r="AU6" i="16"/>
  <c r="AV6" i="16"/>
  <c r="AW6" i="16"/>
  <c r="AX6" i="16"/>
  <c r="AY6" i="16"/>
  <c r="AZ6" i="16"/>
  <c r="BG6" i="16"/>
  <c r="BH6" i="16"/>
  <c r="BI6" i="16"/>
  <c r="BJ6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AA7" i="16"/>
  <c r="AB7" i="16"/>
  <c r="AC7" i="16"/>
  <c r="AD7" i="16"/>
  <c r="AF7" i="16"/>
  <c r="AG7" i="16"/>
  <c r="AH7" i="16"/>
  <c r="AI7" i="16"/>
  <c r="AJ7" i="16"/>
  <c r="AK7" i="16"/>
  <c r="AL7" i="16"/>
  <c r="AM7" i="16"/>
  <c r="AN7" i="16"/>
  <c r="AO7" i="16"/>
  <c r="AP7" i="16"/>
  <c r="AQ7" i="16"/>
  <c r="AR7" i="16"/>
  <c r="AS7" i="16"/>
  <c r="AT7" i="16"/>
  <c r="AU7" i="16"/>
  <c r="AV7" i="16"/>
  <c r="AW7" i="16"/>
  <c r="AX7" i="16"/>
  <c r="AY7" i="16"/>
  <c r="AZ7" i="16"/>
  <c r="BG7" i="16"/>
  <c r="BH7" i="16"/>
  <c r="BI7" i="16"/>
  <c r="BJ7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AG8" i="16"/>
  <c r="AH8" i="16"/>
  <c r="AI8" i="16"/>
  <c r="AJ8" i="16"/>
  <c r="AK8" i="16"/>
  <c r="AL8" i="16"/>
  <c r="AM8" i="16"/>
  <c r="AN8" i="16"/>
  <c r="AO8" i="16"/>
  <c r="AP8" i="16"/>
  <c r="AQ8" i="16"/>
  <c r="AR8" i="16"/>
  <c r="AS8" i="16"/>
  <c r="AT8" i="16"/>
  <c r="AU8" i="16"/>
  <c r="AV8" i="16"/>
  <c r="AW8" i="16"/>
  <c r="AX8" i="16"/>
  <c r="AY8" i="16"/>
  <c r="AZ8" i="16"/>
  <c r="BG8" i="16"/>
  <c r="BH8" i="16"/>
  <c r="BI8" i="16"/>
  <c r="BJ8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K29" authorId="0" shapeId="0" xr:uid="{CC48DA03-A5C4-4C71-9AD9-07083895F8F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 36 e 19</t>
        </r>
      </text>
    </comment>
    <comment ref="K30" authorId="0" shapeId="0" xr:uid="{BDF0DF7A-99D0-4E65-AFC3-0112214D5F4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 113 muita demanda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K19" authorId="0" shapeId="0" xr:uid="{C6FC0C07-3114-420A-B5F6-97E9D1CD4D0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119, 45 e 52 e 46</t>
        </r>
      </text>
    </comment>
    <comment ref="K20" authorId="0" shapeId="0" xr:uid="{A8B37F26-B45E-4D5D-A8CA-4CB64ADD78E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117</t>
        </r>
      </text>
    </comment>
    <comment ref="K21" authorId="0" shapeId="0" xr:uid="{1374E30D-1883-4DF9-91C7-317F92EB8512}">
      <text>
        <r>
          <rPr>
            <b/>
            <sz val="9"/>
            <color indexed="81"/>
            <rFont val="Segoe UI"/>
            <family val="2"/>
          </rPr>
          <t>Kalito Silva:
pivo 45 e 5 e 52</t>
        </r>
      </text>
    </comment>
    <comment ref="K22" authorId="0" shapeId="0" xr:uid="{B88B41ED-CB67-424F-99CB-ED68CD8728E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124 E O PIV 5 E 10 E 20</t>
        </r>
      </text>
    </comment>
    <comment ref="K23" authorId="0" shapeId="0" xr:uid="{0B586302-79E1-4844-8FB4-1DFA44B2959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31 E 52 </t>
        </r>
      </text>
    </comment>
    <comment ref="K25" authorId="0" shapeId="0" xr:uid="{DD85382D-AE6B-43C7-AB85-BD24151338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11 E 31 </t>
        </r>
      </text>
    </comment>
    <comment ref="K30" authorId="0" shapeId="0" xr:uid="{912ABC9C-2C33-4184-B997-7E48C782C88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37 cancelado do planejamento</t>
        </r>
      </text>
    </comment>
    <comment ref="K32" authorId="0" shapeId="0" xr:uid="{981B18BC-71FD-4606-B3BD-136DD8256DA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48</t>
        </r>
      </text>
    </comment>
    <comment ref="H50" authorId="0" shapeId="0" xr:uid="{56A65BD6-252C-486D-A014-F652EB3E6BE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verificar</t>
        </r>
      </text>
    </comment>
    <comment ref="E51" authorId="0" shapeId="0" xr:uid="{36CD5F83-FF31-4DAC-858F-3BF987594CE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</t>
        </r>
      </text>
    </comment>
    <comment ref="F51" authorId="0" shapeId="0" xr:uid="{960DE2A7-4DEC-4090-A48A-D1D6885DEB4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verificar</t>
        </r>
      </text>
    </comment>
    <comment ref="G51" authorId="0" shapeId="0" xr:uid="{4E49A5F3-73E5-43CC-945D-A09C6A60C39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verificar</t>
        </r>
      </text>
    </comment>
    <comment ref="G52" authorId="0" shapeId="0" xr:uid="{2293002B-97CC-45E6-8C0F-DCBC185F066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verificar</t>
        </r>
      </text>
    </comment>
    <comment ref="E53" authorId="0" shapeId="0" xr:uid="{5B5CBA60-2B2B-45CB-A68D-2F8584BB38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</t>
        </r>
      </text>
    </comment>
    <comment ref="G53" authorId="0" shapeId="0" xr:uid="{17288FA3-1BEC-4E0A-887E-261E6ED7227B}">
      <text>
        <r>
          <rPr>
            <b/>
            <sz val="9"/>
            <color indexed="81"/>
            <rFont val="Segoe UI"/>
            <family val="2"/>
          </rPr>
          <t>Kalito Silva
Verificar</t>
        </r>
      </text>
    </comment>
    <comment ref="D56" authorId="0" shapeId="0" xr:uid="{E9D81A66-796A-4536-B6D4-0023B8AABF2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Acrescentado tarde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K21" authorId="0" shapeId="0" xr:uid="{05D5C4C2-1FAA-4BFF-86D4-441E393CD64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52 e 37</t>
        </r>
      </text>
    </comment>
    <comment ref="K22" authorId="0" shapeId="0" xr:uid="{13F09D81-7525-4972-AE26-7FC1B5EAC81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23 37 52</t>
        </r>
      </text>
    </comment>
    <comment ref="K23" authorId="0" shapeId="0" xr:uid="{B5079628-27D6-428B-9171-B3395BD8710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23 37 52 133</t>
        </r>
      </text>
    </comment>
    <comment ref="K24" authorId="0" shapeId="0" xr:uid="{FF0AF55E-B11D-4A8A-8EFA-5E53CC51FB2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37 108 50 24</t>
        </r>
      </text>
    </comment>
    <comment ref="K25" authorId="0" shapeId="0" xr:uid="{833B76BA-F248-4E2C-B083-2CB0619AEFB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52 50 108 125 127</t>
        </r>
      </text>
    </comment>
    <comment ref="J30" authorId="0" shapeId="0" xr:uid="{F715F32F-D42A-404B-86CE-78E240B7D2C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06</t>
        </r>
      </text>
    </comment>
    <comment ref="K31" authorId="0" shapeId="0" xr:uid="{285CA879-857A-45D7-840F-3B638C2C580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47 E 49 e </t>
        </r>
      </text>
    </comment>
    <comment ref="K32" authorId="0" shapeId="0" xr:uid="{7006F717-927D-4CD3-88EA-1BA3B73A700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35</t>
        </r>
      </text>
    </comment>
    <comment ref="G33" authorId="0" shapeId="0" xr:uid="{B9E25E58-488B-4B95-A92D-E08F87637B1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PINEU</t>
        </r>
      </text>
    </comment>
    <comment ref="K33" authorId="0" shapeId="0" xr:uid="{EBE18183-CEB0-4A25-AC6D-B2C3B7C1389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36</t>
        </r>
      </text>
    </comment>
    <comment ref="K34" authorId="0" shapeId="0" xr:uid="{7DB84D1A-DE16-4574-BF07-E9367B9F1F1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7</t>
        </r>
      </text>
    </comment>
    <comment ref="F35" authorId="0" shapeId="0" xr:uid="{750CFE08-E119-472D-A532-46504BBAECC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G35" authorId="0" shapeId="0" xr:uid="{D4C6B440-AC83-4F0C-93DC-DB90CD33B6E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F40" authorId="0" shapeId="0" xr:uid="{5384010F-C8E0-46DF-88D2-5D47667006B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E51" authorId="0" shapeId="0" xr:uid="{EA6B09AC-3D6B-4C4B-BA98-A567D355795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F51" authorId="0" shapeId="0" xr:uid="{05C03BEA-DD9D-4D65-BFF7-02772348FE0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E52" authorId="0" shapeId="0" xr:uid="{C4F14320-A8A1-42C2-94F3-E7D57F49B64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 e sucção</t>
        </r>
      </text>
    </comment>
    <comment ref="E53" authorId="0" shapeId="0" xr:uid="{028C1004-CD10-4DEC-A4D7-9CB9F30BE9F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F53" authorId="0" shapeId="0" xr:uid="{7061BCFC-B034-4490-B3F9-DBF61662C5F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E61" authorId="0" shapeId="0" xr:uid="{24C81138-CD24-4CCC-9A4E-9D1DF179D52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E63" authorId="0" shapeId="0" xr:uid="{077A7D56-B5AF-44BD-A264-A05543E5143B}">
      <text>
        <r>
          <rPr>
            <b/>
            <sz val="9"/>
            <color indexed="81"/>
            <rFont val="Segoe UI"/>
            <family val="2"/>
          </rPr>
          <t>Kalito Silva:adubação</t>
        </r>
      </text>
    </comment>
    <comment ref="F74" authorId="0" shapeId="0" xr:uid="{3CF2B344-6146-49B5-975E-F7AB086713D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F76" authorId="0" shapeId="0" xr:uid="{EBBC80DC-4639-4271-9949-C209FE66F5B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E82" authorId="0" shapeId="0" xr:uid="{BB0807E9-C612-4594-8B0F-DA31E87DC8B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G86" authorId="0" shapeId="0" xr:uid="{F20981CC-08BD-41EF-8139-BC23C5CBFAB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PINEU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F11" authorId="0" shapeId="0" xr:uid="{13D9C6D2-6D12-4FD3-AB9D-B0BC340B892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D18" authorId="0" shapeId="0" xr:uid="{173B6AB4-BEE2-4309-B0C4-AADA1E8C95C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motorredutor</t>
        </r>
      </text>
    </comment>
    <comment ref="E18" authorId="0" shapeId="0" xr:uid="{7B753661-8C0F-4A73-9745-8C996B15A8D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F18" authorId="0" shapeId="0" xr:uid="{224014E0-5643-436E-A219-FA6C9F4003D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K20" authorId="0" shapeId="0" xr:uid="{DEC7818A-A815-48B2-8A8F-CCB549BF32B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120</t>
        </r>
      </text>
    </comment>
    <comment ref="K21" authorId="0" shapeId="0" xr:uid="{70D0A617-6412-4A48-941E-9FD512BEFB7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26 e 45</t>
        </r>
      </text>
    </comment>
    <comment ref="K22" authorId="0" shapeId="0" xr:uid="{526FAB46-7600-420D-B29A-ABC2EE340B7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46 E 26 45</t>
        </r>
      </text>
    </comment>
    <comment ref="K23" authorId="0" shapeId="0" xr:uid="{8CDEAEB3-A429-448C-A946-130CB459D8A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24 54 51 35 45</t>
        </r>
      </text>
    </comment>
    <comment ref="K24" authorId="0" shapeId="0" xr:uid="{8C8B0DEF-67C1-4597-898B-77DFBEB1778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35 26 54 43 45</t>
        </r>
      </text>
    </comment>
    <comment ref="K25" authorId="0" shapeId="0" xr:uid="{4959C2C7-C1CE-496D-A782-4C5F0631F26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43 54 50 45 35 45 26</t>
        </r>
      </text>
    </comment>
    <comment ref="C27" authorId="0" shapeId="0" xr:uid="{AD385811-247C-4ADE-B70A-5FFA2ACB76D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H27" authorId="0" shapeId="0" xr:uid="{2ADA389F-98DB-4454-8D89-DE3358147F5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K31" authorId="0" shapeId="0" xr:uid="{DAE7EC23-A9A0-4434-83F3-2E02C3B404A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8</t>
        </r>
      </text>
    </comment>
    <comment ref="K32" authorId="0" shapeId="0" xr:uid="{C8E7EE34-3772-4EB6-B6F1-4595B452674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36 CANCELADO DO PLANEJAMENTO</t>
        </r>
      </text>
    </comment>
    <comment ref="B50" authorId="0" shapeId="0" xr:uid="{2F828265-C60E-48BD-8BBA-E986218366E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C50" authorId="0" shapeId="0" xr:uid="{7B1C2278-7F0B-4E0E-8A24-8D17324B780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transplantio</t>
        </r>
      </text>
    </comment>
    <comment ref="E50" authorId="0" shapeId="0" xr:uid="{5B9B5B83-02F8-4003-B303-188B140A3D5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fertileiro</t>
        </r>
      </text>
    </comment>
    <comment ref="B51" authorId="0" shapeId="0" xr:uid="{2102482C-CD92-49DC-960A-902D28C0040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segurança</t>
        </r>
      </text>
    </comment>
    <comment ref="F51" authorId="0" shapeId="0" xr:uid="{577C52A4-749C-4014-983A-B7B70053E50C}">
      <text>
        <r>
          <rPr>
            <b/>
            <sz val="9"/>
            <color indexed="81"/>
            <rFont val="Segoe UI"/>
            <family val="2"/>
          </rPr>
          <t>Kalito Silva:
Sem Apontamento</t>
        </r>
      </text>
    </comment>
    <comment ref="B61" authorId="0" shapeId="0" xr:uid="{4C8CACFB-45B1-4F6E-9D55-75F22841736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segurança</t>
        </r>
      </text>
    </comment>
    <comment ref="E61" authorId="0" shapeId="0" xr:uid="{FEEB0D82-060D-484D-AC35-CEED0E868253}">
      <text>
        <r>
          <rPr>
            <b/>
            <sz val="9"/>
            <color indexed="81"/>
            <rFont val="Segoe UI"/>
            <family val="2"/>
          </rPr>
          <t>Kalito Silvverificar</t>
        </r>
      </text>
    </comment>
    <comment ref="F61" authorId="0" shapeId="0" xr:uid="{DBD5A0AD-5549-4531-BDE8-58514768EEB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G61" authorId="0" shapeId="0" xr:uid="{327CC56D-B36E-4E09-B63F-B253A4B5536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E62" authorId="0" shapeId="0" xr:uid="{FC2CE669-B932-43BC-9C1E-AA4747C9349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verificar</t>
        </r>
      </text>
    </comment>
    <comment ref="F62" authorId="0" shapeId="0" xr:uid="{9E426DAC-F5A8-409C-8266-6AB777CC596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G62" authorId="0" shapeId="0" xr:uid="{9FE09C5A-1EF4-4374-AD3A-BC72E34C64B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E74" authorId="0" shapeId="0" xr:uid="{F38AFF35-8B90-4F0E-B46E-E497639EC51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infefert</t>
        </r>
      </text>
    </comment>
    <comment ref="D86" authorId="0" shapeId="0" xr:uid="{4F2E94DE-8D75-41EC-891B-B4CA77859BC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mecânico/trator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F14" authorId="0" shapeId="0" xr:uid="{37544C35-7A49-4E31-9A46-4C77D55EB02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E16" authorId="0" shapeId="0" xr:uid="{46EFDACE-B928-40E9-A6DC-FD3637B0485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</t>
        </r>
      </text>
    </comment>
    <comment ref="F17" authorId="0" shapeId="0" xr:uid="{F9F03463-9323-4D04-A233-595F826A832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E18" authorId="0" shapeId="0" xr:uid="{82C21A91-1C12-4588-A44B-879BC8B9047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G18" authorId="0" shapeId="0" xr:uid="{7EF31C70-A6AE-4B08-8B81-B1F8EEBEED7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K20" authorId="0" shapeId="0" xr:uid="{E96BFB36-6B91-4096-B65A-CB13CC0E80C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50 51 54</t>
        </r>
      </text>
    </comment>
    <comment ref="K21" authorId="0" shapeId="0" xr:uid="{5BCC6522-EE91-4058-B1FB-7C7E9BB7B5A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33 43 51 53</t>
        </r>
      </text>
    </comment>
    <comment ref="K23" authorId="0" shapeId="0" xr:uid="{A2A5105A-8FB6-4F85-8647-AFF3FEACD37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12 50 54 101</t>
        </r>
      </text>
    </comment>
    <comment ref="K24" authorId="0" shapeId="0" xr:uid="{77623EF4-A333-4A15-996A-F75955D7C2E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56</t>
        </r>
      </text>
    </comment>
    <comment ref="F27" authorId="0" shapeId="0" xr:uid="{66FD34CC-5BB3-42A4-8795-AA4313642EB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H30" authorId="0" shapeId="0" xr:uid="{02FD8C40-E32A-4B21-9994-87DC1D86DFE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K30" authorId="0" shapeId="0" xr:uid="{69FE8503-81C0-4D98-A8EC-0ED33CD96EC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 5 cancelado do planejamento</t>
        </r>
      </text>
    </comment>
    <comment ref="D35" authorId="0" shapeId="0" xr:uid="{AF380CFE-CEA3-4BCA-A5A3-0E2CEC50F8B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D50" authorId="0" shapeId="0" xr:uid="{7B58E7FC-4703-4C24-9189-AA827E28625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PULVERIZÇÃO</t>
        </r>
      </text>
    </comment>
    <comment ref="G51" authorId="0" shapeId="0" xr:uid="{B32E0505-EB6E-40A9-A095-7FD9F6EFB87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F56" authorId="0" shapeId="0" xr:uid="{D9E2AD9D-E113-4469-95CD-FFE5AE2B037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 redutor
</t>
        </r>
      </text>
    </comment>
    <comment ref="E62" authorId="0" shapeId="0" xr:uid="{49F1DB0E-6779-4302-BF26-F118AA62A88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 MAIS O GIRO NÃO FECHAVA</t>
        </r>
      </text>
    </comment>
    <comment ref="D95" authorId="0" shapeId="0" xr:uid="{44B6E951-D08C-476C-B554-76848B51934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D11" authorId="0" shapeId="0" xr:uid="{3F609399-5F81-4875-93E9-426937E83DB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</t>
        </r>
      </text>
    </comment>
    <comment ref="C18" authorId="0" shapeId="0" xr:uid="{5D8B36BC-E22B-4671-990F-5B72BC3E9DE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D18" authorId="0" shapeId="0" xr:uid="{8F1611DE-A616-48E2-9A72-5569F56A65D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E18" authorId="0" shapeId="0" xr:uid="{0ABA2BE5-2518-4B2A-860A-F0559AED501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F18" authorId="0" shapeId="0" xr:uid="{86FBA6FA-524B-4C27-AAA6-5C06EF9AA41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H18" authorId="0" shapeId="0" xr:uid="{A3E53AD3-847F-405A-9EC9-B8FA56D084B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K19" authorId="0" shapeId="0" xr:uid="{0094C82B-2B41-440D-84D8-0C4A93A2E92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56</t>
        </r>
      </text>
    </comment>
    <comment ref="K20" authorId="0" shapeId="0" xr:uid="{2033EDD5-4A65-4858-BE04-F1F50A3847C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33</t>
        </r>
      </text>
    </comment>
    <comment ref="K21" authorId="0" shapeId="0" xr:uid="{B423EEFE-57D0-4DFC-8B08-38F5C0893BA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32 33 51 56</t>
        </r>
      </text>
    </comment>
    <comment ref="K22" authorId="0" shapeId="0" xr:uid="{4B55CC30-0F29-4B97-9F7E-DF019358049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01 33</t>
        </r>
      </text>
    </comment>
    <comment ref="B23" authorId="0" shapeId="0" xr:uid="{84984EFF-11BD-409C-A72E-D4D841A9DCA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G27" authorId="0" shapeId="0" xr:uid="{6976D4CC-99EC-4D6A-BAFD-B36D49157BF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K31" authorId="0" shapeId="0" xr:uid="{45AB4DE0-A8B9-4C84-AD8A-84149D350A1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6 E 10</t>
        </r>
      </text>
    </comment>
    <comment ref="D36" authorId="0" shapeId="0" xr:uid="{12FD5821-7EA7-4F51-9D69-5C548B1AB0D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E36" authorId="0" shapeId="0" xr:uid="{C650EFCD-35A9-4475-A5A6-49F6AB90667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D47" authorId="0" shapeId="0" xr:uid="{C75DCA03-7E24-4B35-9818-251C493E872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F47" authorId="0" shapeId="0" xr:uid="{8E436896-9E40-46EB-B15C-9BA3C3828F5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E50" authorId="0" shapeId="0" xr:uid="{9C6DCA77-B3F4-4C3B-B0B1-A8B67197B29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F51" authorId="0" shapeId="0" xr:uid="{CE058642-87A6-4D31-B07E-43491056187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do auto rompido</t>
        </r>
      </text>
    </comment>
    <comment ref="F53" authorId="0" shapeId="0" xr:uid="{3D171806-7155-4E49-9358-D62AC8B7990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B82" authorId="0" shapeId="0" xr:uid="{32F6AE32-C355-45B3-B61F-C3D6A32C116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C82" authorId="0" shapeId="0" xr:uid="{A8590EFC-271D-41F7-9D96-2B1A15D7573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B84" authorId="0" shapeId="0" xr:uid="{67BA587D-6A21-47E5-8E36-018E1C7D2CA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C84" authorId="0" shapeId="0" xr:uid="{C6864F4F-7176-42A7-835D-F1B71F09880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B86" authorId="0" shapeId="0" xr:uid="{359CA4E2-AE0A-4498-84A8-3B7F8888B30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C86" authorId="0" shapeId="0" xr:uid="{678F44C7-D268-4083-8A36-12170B2D095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B95" authorId="0" shapeId="0" xr:uid="{8F6557D7-ABC7-48A9-82DD-14FFB7C10D2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C95" authorId="0" shapeId="0" xr:uid="{2572E1D8-F1C0-4A8A-9FA2-1203A56B24D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C11" authorId="0" shapeId="0" xr:uid="{63097EFF-489A-44BD-AB41-7062B58B9FD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</t>
        </r>
      </text>
    </comment>
    <comment ref="B15" authorId="0" shapeId="0" xr:uid="{1A942656-5E28-432D-B4A5-B27FC709E50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C15" authorId="0" shapeId="0" xr:uid="{1321A158-0D30-4084-BB55-1AA0E91A255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E16" authorId="0" shapeId="0" xr:uid="{7F9AEC56-9A3E-4507-B9E5-D6B32ED3CE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K19" authorId="0" shapeId="0" xr:uid="{FE253E74-2E1E-4AAD-A799-CC76A4BBEEC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55</t>
        </r>
      </text>
    </comment>
    <comment ref="K20" authorId="0" shapeId="0" xr:uid="{1F27984D-C601-4370-B273-37FAC90CEBE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55 01 </t>
        </r>
      </text>
    </comment>
    <comment ref="K21" authorId="0" shapeId="0" xr:uid="{B9420556-4D9F-431B-ACED-9359E8C8EDD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55 01</t>
        </r>
      </text>
    </comment>
    <comment ref="B23" authorId="0" shapeId="0" xr:uid="{39CB9767-BA73-431C-BA29-9097B17A6D6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castanha</t>
        </r>
      </text>
    </comment>
    <comment ref="K23" authorId="0" shapeId="0" xr:uid="{721CCAB1-F52F-4FF5-A1AB-7E7216D4DC7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54 53 
</t>
        </r>
      </text>
    </comment>
    <comment ref="K25" authorId="0" shapeId="0" xr:uid="{EAEF0569-6527-4713-BE9A-B6D7535810C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 102</t>
        </r>
      </text>
    </comment>
    <comment ref="K30" authorId="0" shapeId="0" xr:uid="{21A48962-C184-4CCB-B4A3-66B47725173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07</t>
        </r>
      </text>
    </comment>
    <comment ref="K31" authorId="0" shapeId="0" xr:uid="{5EB6AAB4-8C91-4B85-9B94-D08E66446BF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104 103 </t>
        </r>
      </text>
    </comment>
    <comment ref="B34" authorId="0" shapeId="0" xr:uid="{560ED78A-F7A0-454A-96CC-02130FCF7FC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injeferd</t>
        </r>
      </text>
    </comment>
    <comment ref="B35" authorId="0" shapeId="0" xr:uid="{7C214F69-D96B-481B-B8DF-6D1B60E217A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syngenta</t>
        </r>
      </text>
    </comment>
    <comment ref="F35" authorId="0" shapeId="0" xr:uid="{FF2EC83B-5588-4C21-B860-6A65CE13D2D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B37" authorId="0" shapeId="0" xr:uid="{DEA0A851-4C22-4DB8-BE3D-E5307CC50E4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C37" authorId="0" shapeId="0" xr:uid="{50E519D5-6A1A-4B18-B28D-B1145A8AFBA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G47" authorId="0" shapeId="0" xr:uid="{79BA4E15-A653-4A22-8E2C-2FC9DEDB7A6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F49" authorId="0" shapeId="0" xr:uid="{DFF426F1-755D-4136-8BEC-4F27F5720D9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D50" authorId="0" shapeId="0" xr:uid="{EB1D3142-045D-4FD3-B1C5-4FFE091113F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F50" authorId="0" shapeId="0" xr:uid="{8E163D54-7E28-4347-B3EE-4056D8C12A1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B52" authorId="0" shapeId="0" xr:uid="{536FAEB7-BCB7-4B69-BEF0-BC992EB9397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Reservatorio</t>
        </r>
      </text>
    </comment>
    <comment ref="C52" authorId="0" shapeId="0" xr:uid="{898DEEF5-2D67-4AEE-A648-C335C8D1466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Reservatorio</t>
        </r>
      </text>
    </comment>
    <comment ref="F52" authorId="0" shapeId="0" xr:uid="{2B889818-2A22-493C-B6DD-0C2A5A5B274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B53" authorId="0" shapeId="0" xr:uid="{31701FDD-E974-440D-B766-9904F6F8FF7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C53" authorId="0" shapeId="0" xr:uid="{9A8CAC9A-B81B-4689-B4B2-B56FE86E0AA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B56" authorId="0" shapeId="0" xr:uid="{2BDF06D7-8C20-45FF-81D7-156D480E644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F62" authorId="0" shapeId="0" xr:uid="{A17DE172-3615-4798-B61B-1988A1EEBC8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65" authorId="0" shapeId="0" xr:uid="{4B75DA1F-9EE7-4345-B07D-E63D7D11BD9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syngenta</t>
        </r>
      </text>
    </comment>
    <comment ref="D65" authorId="0" shapeId="0" xr:uid="{F56E4AB6-2974-4F98-9E40-9D023AB52A9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E65" authorId="0" shapeId="0" xr:uid="{F2EC189D-99AA-4F07-9BFC-C8B623DB83E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B66" authorId="0" shapeId="0" xr:uid="{24DDFADE-6277-4CC8-A64F-BA5AE1F6DCE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syngenta</t>
        </r>
      </text>
    </comment>
    <comment ref="C82" authorId="0" shapeId="0" xr:uid="{DEEF319E-D02A-461D-A311-3D1AB0A0CC9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B86" authorId="0" shapeId="0" xr:uid="{56E53F2D-CBC5-4A0D-B416-6E09DA55FEC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D86" authorId="0" shapeId="0" xr:uid="{598B0FB6-2243-42EC-AAE0-91541678F66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H95" authorId="0" shapeId="0" xr:uid="{83B3EDC3-C1EE-4DB7-B3B2-00E0B0D6304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F5" authorId="0" shapeId="0" xr:uid="{8842D555-1C1A-49F1-98E1-372D314B12B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G5" authorId="0" shapeId="0" xr:uid="{1A4E9D3C-ABDF-4F22-9635-1558597BA18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D16" authorId="0" shapeId="0" xr:uid="{B6F8AB07-AD50-4687-8F87-3A424393239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D18" authorId="0" shapeId="0" xr:uid="{895CA321-4CC6-4CFF-9ECA-FEF07B942FC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K19" authorId="0" shapeId="0" xr:uid="{4AE4131C-B321-4DD3-BE33-2909AEB4A26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20 102</t>
        </r>
      </text>
    </comment>
    <comment ref="K20" authorId="0" shapeId="0" xr:uid="{5DCE9531-8888-471C-8C3F-838225FF997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53</t>
        </r>
      </text>
    </comment>
    <comment ref="K21" authorId="0" shapeId="0" xr:uid="{E5A44FC2-BB34-4347-B3A3-4617761E812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13 47</t>
        </r>
      </text>
    </comment>
    <comment ref="B27" authorId="0" shapeId="0" xr:uid="{4C40B0E1-019A-4683-86E5-15D98D9B486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27" authorId="0" shapeId="0" xr:uid="{1E4A2900-070D-4527-9307-063E2B67C87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F27" authorId="0" shapeId="0" xr:uid="{97C2CF08-B446-4075-A7F0-1EFB962D584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K30" authorId="0" shapeId="0" xr:uid="{90ED8476-3369-4FFB-8087-FF41808E915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8</t>
        </r>
      </text>
    </comment>
    <comment ref="K32" authorId="0" shapeId="0" xr:uid="{8454CBB1-6247-40EF-8B2F-BBAA6317135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48 104 114 124</t>
        </r>
      </text>
    </comment>
    <comment ref="B35" authorId="0" shapeId="0" xr:uid="{0391AAB8-1CFC-4CFC-B6F7-2A8E05D47C1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C35" authorId="0" shapeId="0" xr:uid="{75326F98-9C2F-4ACE-B90A-B7BA0831906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D36" authorId="0" shapeId="0" xr:uid="{B637C1F4-B163-47A4-8FFD-2F5ECB4A5CA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C37" authorId="0" shapeId="0" xr:uid="{FE48E19C-4521-4A5D-9D8C-A61769C0B03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D37" authorId="0" shapeId="0" xr:uid="{F5ABD9AE-AE00-4DD2-8442-AF01EB11E5E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F48" authorId="0" shapeId="0" xr:uid="{85C42DEB-BF2F-4002-8472-B1BA9C058C8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G48" authorId="0" shapeId="0" xr:uid="{7A84BC5B-DA87-40E3-8420-6E16871CF6C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H51" authorId="0" shapeId="0" xr:uid="{B0E108F4-36E6-44F7-A57D-CDDEE552D3F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Sucção Entupida</t>
        </r>
      </text>
    </comment>
    <comment ref="H56" authorId="0" shapeId="0" xr:uid="{86FD3FBC-AE75-4C46-A6FC-D9D6B25024F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Sucção Entupida</t>
        </r>
      </text>
    </comment>
    <comment ref="B61" authorId="0" shapeId="0" xr:uid="{2DCA023A-62BD-434F-B040-E12F2162C35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61" authorId="0" shapeId="0" xr:uid="{C43E7497-125E-4969-902F-551356C42A3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61" authorId="0" shapeId="0" xr:uid="{D3816A0F-6BC6-4DEB-B7F3-1575D092403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61" authorId="0" shapeId="0" xr:uid="{8036A9D8-0A05-46F9-B89B-EF2DD89BDE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Sucção Entupida</t>
        </r>
      </text>
    </comment>
    <comment ref="H61" authorId="0" shapeId="0" xr:uid="{C11B16C1-5462-488B-A769-2C29E77AA93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Sucção Entupida</t>
        </r>
      </text>
    </comment>
    <comment ref="F62" authorId="0" shapeId="0" xr:uid="{949A6D59-D66E-4A8A-A379-E690473A23F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62" authorId="0" shapeId="0" xr:uid="{769E83BC-8F5C-4342-9BC0-AD5DE71C079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Sucção Entupida</t>
        </r>
      </text>
    </comment>
    <comment ref="H62" authorId="0" shapeId="0" xr:uid="{0E067F05-E557-4E80-8C5F-7974489CC5B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Sucção Entupida</t>
        </r>
      </text>
    </comment>
    <comment ref="C65" authorId="0" shapeId="0" xr:uid="{62D6AA76-F936-4CED-AFD6-35F25766C7D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C66" authorId="0" shapeId="0" xr:uid="{E98A6C06-5F6D-4558-9FFC-83B1657D603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H82" authorId="0" shapeId="0" xr:uid="{2A11AD76-E024-49A9-80D0-EC7ED99477E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H83" authorId="0" shapeId="0" xr:uid="{17FC459E-6CBB-4976-8428-FBECD5CDC93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G86" authorId="0" shapeId="0" xr:uid="{310FC00D-0660-499A-8E7A-7FC4B5A449C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B95" authorId="0" shapeId="0" xr:uid="{AC2BAD6A-BF0A-483E-8600-E73DB37396C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PINEU</t>
        </r>
      </text>
    </comment>
    <comment ref="C95" authorId="0" shapeId="0" xr:uid="{D2CAFC97-3E05-44A0-B3B0-AAE453B8B07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H95" authorId="0" shapeId="0" xr:uid="{B4C009B2-A1AB-47EC-BBC0-429423F0420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Mecanico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C14" authorId="0" shapeId="0" xr:uid="{F1BA365B-85B6-4A34-9B67-A77DD6F1A6E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G21" authorId="0" shapeId="0" xr:uid="{A940C7B5-EE63-4E43-BCE0-F511D4FC837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F23" authorId="0" shapeId="0" xr:uid="{A5DEE053-038A-43FA-9FE5-16032EC20D1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</t>
        </r>
      </text>
    </comment>
    <comment ref="C27" authorId="0" shapeId="0" xr:uid="{48091DD2-EA4F-491D-B6F8-FF99C31D055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C30" authorId="0" shapeId="0" xr:uid="{77D6FA62-AE45-41BA-B983-4AC57FA20AF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F32" authorId="0" shapeId="0" xr:uid="{F0B9706B-E262-4213-97B2-E9B25BA972C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</t>
        </r>
      </text>
    </comment>
    <comment ref="H34" authorId="0" shapeId="0" xr:uid="{F4083B4D-B528-4CBB-857D-EA0BBADD554D}">
      <text>
        <r>
          <rPr>
            <b/>
            <sz val="9"/>
            <color indexed="81"/>
            <rFont val="Segoe UI"/>
            <family val="2"/>
          </rPr>
          <t>Kalito Silva:
Adutora</t>
        </r>
      </text>
    </comment>
    <comment ref="C51" authorId="0" shapeId="0" xr:uid="{DFD076EF-3363-4569-85E1-3896FD21E35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D52" authorId="0" shapeId="0" xr:uid="{09483E4B-5F10-42A4-88A1-130D43CDA69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B56" authorId="0" shapeId="0" xr:uid="{6DDD3BB1-5B18-4D67-AB4E-C25B3857E6F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Sucção Entupida</t>
        </r>
      </text>
    </comment>
    <comment ref="C57" authorId="0" shapeId="0" xr:uid="{99D781C2-47C3-43D5-A6DA-737D0B5F854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 e afeirições</t>
        </r>
      </text>
    </comment>
    <comment ref="B61" authorId="0" shapeId="0" xr:uid="{A665F5D6-1B17-4A4C-A024-534CCE86023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Sucção Entupida</t>
        </r>
      </text>
    </comment>
    <comment ref="B62" authorId="0" shapeId="0" xr:uid="{5C08D206-1365-44F7-AFEE-8F506B2A314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Sucção Entupida</t>
        </r>
      </text>
    </comment>
    <comment ref="E62" authorId="0" shapeId="0" xr:uid="{87891914-9D5A-4D79-9B97-4B13DECECDB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Sucção Entupida</t>
        </r>
      </text>
    </comment>
    <comment ref="C86" authorId="0" shapeId="0" xr:uid="{B5B21B63-D92B-4D3E-AAA1-192DF957BBE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E5" authorId="0" shapeId="0" xr:uid="{171213F5-4F4C-44FD-ACFF-33B72AEE39E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INJEFERD</t>
        </r>
      </text>
    </comment>
    <comment ref="G16" authorId="0" shapeId="0" xr:uid="{12B11623-9F1D-4E78-A7DF-6EC4114245C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B23" authorId="0" shapeId="0" xr:uid="{50829F6D-81E3-445A-BA06-7E8E245EE37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E29" authorId="0" shapeId="0" xr:uid="{518AF6FE-9E2E-46B3-88A9-978838EA9FF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B34" authorId="0" shapeId="0" xr:uid="{D18B3892-DBEE-4485-8124-C70F0C34E99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Adurora</t>
        </r>
      </text>
    </comment>
    <comment ref="F34" authorId="0" shapeId="0" xr:uid="{E0DFA145-86A0-425E-B893-B689B5D07FA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 E AFEIRIÇÕES</t>
        </r>
      </text>
    </comment>
    <comment ref="E36" authorId="0" shapeId="0" xr:uid="{3A9E57AD-F64D-43BE-8853-A9191B1D104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F36" authorId="0" shapeId="0" xr:uid="{D4720B79-6A49-454B-9FFC-33A2754A516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B37" authorId="0" shapeId="0" xr:uid="{8AD748E7-EFF2-461C-AD3D-544B622CBE0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Entrga do Produto</t>
        </r>
      </text>
    </comment>
    <comment ref="D37" authorId="0" shapeId="0" xr:uid="{4DBECBB8-5609-44D2-845C-47B82A03C5A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B54" authorId="0" shapeId="0" xr:uid="{4D3FAB80-6B25-44A4-9E78-D7C52CD5518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D56" authorId="0" shapeId="0" xr:uid="{7FAA3D26-4309-460C-B487-B1579E7784D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F58" authorId="0" shapeId="0" xr:uid="{4EF24851-180F-4AB6-98EF-501AEFB2FBC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B59" authorId="0" shapeId="0" xr:uid="{1923D628-5820-444C-8A83-BC74B76D0B8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C59" authorId="0" shapeId="0" xr:uid="{95233F9C-6DB5-41A5-BCFF-6A3A92D3CB4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C61" authorId="0" shapeId="0" xr:uid="{2698CB6C-F132-4091-8B36-C707E228BBC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B62" authorId="0" shapeId="0" xr:uid="{851E73BF-F9A1-482A-9CC3-78F4E0683C9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C62" authorId="0" shapeId="0" xr:uid="{7021F913-FA5D-408E-BB60-5F2C195D814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C63" authorId="0" shapeId="0" xr:uid="{DD37A205-1041-440F-A004-E2507003548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D63" authorId="0" shapeId="0" xr:uid="{F3770C6E-DE41-4300-8AC6-860E149230C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CONTCTORA</t>
        </r>
      </text>
    </comment>
    <comment ref="G63" authorId="0" shapeId="0" xr:uid="{5843C787-7901-4BEE-96D6-E6A63798B6A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da syngenta</t>
        </r>
      </text>
    </comment>
    <comment ref="G65" authorId="0" shapeId="0" xr:uid="{DFB1F310-1CBA-45F6-B59A-73F06BB22F4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da syngenta</t>
        </r>
      </text>
    </comment>
    <comment ref="C74" authorId="0" shapeId="0" xr:uid="{4B7DE354-5C54-40F1-8772-FB6FF816B37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da syngenta</t>
        </r>
      </text>
    </comment>
    <comment ref="D74" authorId="0" shapeId="0" xr:uid="{E3ECBFFC-9014-450B-BC78-3DAD29A1ACC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da syngenta</t>
        </r>
      </text>
    </comment>
    <comment ref="F74" authorId="0" shapeId="0" xr:uid="{37A8C457-7D1C-430B-9092-5DA7FF3EF29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da syngenta</t>
        </r>
      </text>
    </comment>
    <comment ref="G74" authorId="0" shapeId="0" xr:uid="{3DD78CFB-B748-4724-A184-7B4AB7BBB538}">
      <text>
        <r>
          <rPr>
            <b/>
            <sz val="9"/>
            <color indexed="81"/>
            <rFont val="Segoe UI"/>
            <family val="2"/>
          </rPr>
          <t>Kalito Silva
PAINEL DO PIVO</t>
        </r>
      </text>
    </comment>
    <comment ref="H74" authorId="0" shapeId="0" xr:uid="{343D79F5-60B9-4C59-9AA1-7C6AF7508CF4}">
      <text>
        <r>
          <rPr>
            <b/>
            <sz val="9"/>
            <color indexed="81"/>
            <rFont val="Segoe UI"/>
            <family val="2"/>
          </rPr>
          <t>Kalito Silva
PAINEL DO PIVO</t>
        </r>
      </text>
    </comment>
    <comment ref="C76" authorId="0" shapeId="0" xr:uid="{CDD8C7DD-699A-4E3A-9A97-CB3E93E2C3A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da syngenta</t>
        </r>
      </text>
    </comment>
    <comment ref="D76" authorId="0" shapeId="0" xr:uid="{F7A72579-0C9A-4756-B372-03440249332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da syngenta</t>
        </r>
      </text>
    </comment>
    <comment ref="G76" authorId="0" shapeId="0" xr:uid="{7D58BEF0-DDC0-4C4A-804B-2C5FE949A6B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da syngenta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E27" authorId="0" shapeId="0" xr:uid="{325B7D9C-173F-42E1-A52D-451D0D0ADDC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vedação</t>
        </r>
      </text>
    </comment>
    <comment ref="F27" authorId="0" shapeId="0" xr:uid="{67976AE2-0804-4EE9-AA8C-00489880EE6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K33" authorId="0" shapeId="0" xr:uid="{C37FBAF3-8D7A-48A2-AF8C-52607A6574D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29</t>
        </r>
      </text>
    </comment>
    <comment ref="F34" authorId="0" shapeId="0" xr:uid="{3EE557D4-58CF-488B-81FF-0C3A5DC0C4B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C36" authorId="0" shapeId="0" xr:uid="{1A2E1F1E-B8A8-4460-9036-FFAB1C866A0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E36" authorId="0" shapeId="0" xr:uid="{8809479E-42EE-454F-8B18-9D0FF8650C9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F37" authorId="0" shapeId="0" xr:uid="{028169C4-23E3-4C61-8CB2-932140BDC5F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E51" authorId="0" shapeId="0" xr:uid="{4CFD87E0-1E69-4619-B01E-C296DCE5B54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D52" authorId="0" shapeId="0" xr:uid="{3DD8EEFD-B48F-4029-B04C-FC7F7B04F68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</t>
        </r>
      </text>
    </comment>
    <comment ref="B63" authorId="0" shapeId="0" xr:uid="{FD262DDE-8503-43E9-8B0D-7056BF33A20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C63" authorId="0" shapeId="0" xr:uid="{026D1D73-7C66-4E5A-82BB-8471C99992D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E63" authorId="0" shapeId="0" xr:uid="{199102A7-C98C-405B-B420-3ADCD01736C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F63" authorId="0" shapeId="0" xr:uid="{D18239A9-D703-4AF3-ABB3-930DA01BA7D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B65" authorId="0" shapeId="0" xr:uid="{4B84CB26-CBDA-4586-9880-AD5B71A932D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C65" authorId="0" shapeId="0" xr:uid="{28144416-5B03-43F5-B21D-916F5F75471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D65" authorId="0" shapeId="0" xr:uid="{AB4E3D17-ED66-4CF0-8F1C-3B1E4FE8ED0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E65" authorId="0" shapeId="0" xr:uid="{13A97537-BD57-4DB8-AC53-1232F14B58D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F65" authorId="0" shapeId="0" xr:uid="{048B95CA-6B41-4E8E-8953-4170BB2A5E2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D66" authorId="0" shapeId="0" xr:uid="{943D162B-0BF6-4AAB-B618-5531897591E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E66" authorId="0" shapeId="0" xr:uid="{1167F388-E3B3-4F73-B903-ED51059E7FF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F66" authorId="0" shapeId="0" xr:uid="{76729E87-A5D2-47D9-90AB-59EE3557357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B74" authorId="0" shapeId="0" xr:uid="{87F6E29D-774A-4267-ABC1-EFEA9DEE115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B76" authorId="0" shapeId="0" xr:uid="{BA7BEAB7-5069-419D-A1D4-3F9483A5D11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E76" authorId="0" shapeId="0" xr:uid="{126A9563-F953-40C0-B4EB-588270E6480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B82" authorId="0" shapeId="0" xr:uid="{FAD9C0AA-2442-4268-8586-49218F2C7C3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B84" authorId="0" shapeId="0" xr:uid="{D43F66FC-09C7-4DEC-843B-BB91FEC4A18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E94" authorId="0" shapeId="0" xr:uid="{CD6BAFD3-1981-46E8-9D9C-242B01A9E14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E95" authorId="0" shapeId="0" xr:uid="{23C306C4-F36D-438F-93E9-FCB24CD8AB8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C5" authorId="0" shapeId="0" xr:uid="{F741D88A-3330-4EF9-9D25-5467B2DDFF5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D5" authorId="0" shapeId="0" xr:uid="{D72279A7-27FF-4ED6-A81F-66616779E7B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F23" authorId="0" shapeId="0" xr:uid="{B8E5A33C-66FC-4120-BFC5-FFDE41127B2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C27" authorId="0" shapeId="0" xr:uid="{00D4DF7E-CBB8-4DCE-A5D9-C8D5C47813F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E27" authorId="0" shapeId="0" xr:uid="{99C99845-E00E-4CE2-80BC-69A0BADEEAB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entrga do produto</t>
        </r>
      </text>
    </comment>
    <comment ref="D28" authorId="0" shapeId="0" xr:uid="{E7C6B661-A7AF-4B41-AB4D-CAC9D07F1C4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C30" authorId="0" shapeId="0" xr:uid="{C1884020-2146-47A4-8429-A10D7491DC9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D30" authorId="0" shapeId="0" xr:uid="{F1F95FE8-9D7A-4573-BDDE-EB19FBA4F47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H34" authorId="0" shapeId="0" xr:uid="{35FBF893-999D-4412-90F4-109DEC868E3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C35" authorId="0" shapeId="0" xr:uid="{3624D22B-9895-466A-8D58-6F9A709EE54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E36" authorId="0" shapeId="0" xr:uid="{9CD63351-4260-4A7E-B9D5-92647CFBDA5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entrga do produto</t>
        </r>
      </text>
    </comment>
    <comment ref="C37" authorId="0" shapeId="0" xr:uid="{A11C7DE1-B32A-43E3-8326-8C7F0FEE594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castanha</t>
        </r>
      </text>
    </comment>
    <comment ref="G51" authorId="0" shapeId="0" xr:uid="{957A6784-9A7A-48D0-99A6-BCBBAE76558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Entupimento</t>
        </r>
      </text>
    </comment>
    <comment ref="B59" authorId="0" shapeId="0" xr:uid="{B2AFD2A9-0748-4CD9-8F11-43C8DC90F57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Transplantio</t>
        </r>
      </text>
    </comment>
    <comment ref="F59" authorId="0" shapeId="0" xr:uid="{614B0561-30E2-4122-BB00-951CEAF6A21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D60" authorId="0" shapeId="0" xr:uid="{52C99C40-0B38-433B-B058-E8871840F2A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F74" authorId="0" shapeId="0" xr:uid="{C6014926-0580-4543-AFC9-171BBAD539C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F76" authorId="0" shapeId="0" xr:uid="{0AE7DDBB-20FC-45AC-9DAF-D560C094E59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E5" authorId="0" shapeId="0" xr:uid="{739E7CB7-2486-4D14-95CF-4F8A8575C44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K22" authorId="0" shapeId="0" xr:uid="{90E13023-72B7-49C7-A825-33D6CC690D8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13</t>
        </r>
      </text>
    </comment>
    <comment ref="B27" authorId="0" shapeId="0" xr:uid="{081CC4B9-90C7-480E-8AF3-05BF305AF8C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C27" authorId="0" shapeId="0" xr:uid="{D25E3BB4-5530-4C55-B0FD-ED1ACFAFFE3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D27" authorId="0" shapeId="0" xr:uid="{4B8AA35A-D544-447F-BFCE-7B1E868A26A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E27" authorId="0" shapeId="0" xr:uid="{B4E8617D-F6D4-4EB5-9AE7-BC73A084D2C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D28" authorId="0" shapeId="0" xr:uid="{48BD2E7E-6401-45D0-85FE-EA519ABB361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E28" authorId="0" shapeId="0" xr:uid="{C1EF4C15-73F3-4A43-8668-16CC155C720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E30" authorId="0" shapeId="0" xr:uid="{396138CB-413A-4FAE-9352-A71EDCDAE49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F30" authorId="0" shapeId="0" xr:uid="{E1FA8DF1-F5EA-4535-B656-625D6529A8A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K30" authorId="0" shapeId="0" xr:uid="{063AD173-99B3-44E9-AFA6-B9679AD934B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22</t>
        </r>
      </text>
    </comment>
    <comment ref="K31" authorId="0" shapeId="0" xr:uid="{0930D03C-04CC-4302-A614-03588236D43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28 e 49</t>
        </r>
      </text>
    </comment>
    <comment ref="F32" authorId="0" shapeId="0" xr:uid="{9FFFF613-AC99-43F8-88F0-97121E320F6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34" authorId="0" shapeId="0" xr:uid="{9656E1A3-5440-4D2A-B377-FF2B22B53A2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C34" authorId="0" shapeId="0" xr:uid="{37C89298-1B5C-4ED1-8D4C-957EAFCFD96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D34" authorId="0" shapeId="0" xr:uid="{225DC668-8ADB-4C5D-8A8F-FD9785F1CBF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E34" authorId="0" shapeId="0" xr:uid="{FD32E52E-EC43-490C-886E-D19C9715BD7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F34" authorId="0" shapeId="0" xr:uid="{6C4EFFB5-16AE-4DFE-8A86-E56DBEE7EB9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35" authorId="0" shapeId="0" xr:uid="{0984B3C9-5D02-4B5C-8108-C1CB755959B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mangote</t>
        </r>
      </text>
    </comment>
    <comment ref="D35" authorId="0" shapeId="0" xr:uid="{83F1985B-07D1-4CF3-823C-68A23420E0B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E35" authorId="0" shapeId="0" xr:uid="{F9285996-E8C4-4944-A257-C80DE6E92F3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F35" authorId="0" shapeId="0" xr:uid="{BF7A43F6-4862-4B99-9875-91C6C8DEDA3C}">
      <text>
        <r>
          <rPr>
            <b/>
            <sz val="9"/>
            <color indexed="81"/>
            <rFont val="Segoe UI"/>
            <family val="2"/>
          </rPr>
          <t>Kalito Silva
Syngenta</t>
        </r>
      </text>
    </comment>
    <comment ref="G35" authorId="0" shapeId="0" xr:uid="{07F2A23D-0752-4430-A94C-A5A242909E1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E36" authorId="0" shapeId="0" xr:uid="{BE1CFB27-AA7A-4DDB-9F53-CC47E5C46C3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F36" authorId="0" shapeId="0" xr:uid="{6B519791-BEE4-4EDB-8155-99F43D80C61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37" authorId="0" shapeId="0" xr:uid="{E2657D07-C9C6-4C20-B8E7-1990281C925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F37" authorId="0" shapeId="0" xr:uid="{FC735E2E-76D7-45B7-AFC3-DEAAE93CDDD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40" authorId="0" shapeId="0" xr:uid="{3494FF79-C103-4683-8B98-8B7FC20BE7A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E51" authorId="0" shapeId="0" xr:uid="{D5EF82F9-B02C-410F-918A-1818CB96923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Entupimento</t>
        </r>
      </text>
    </comment>
    <comment ref="D53" authorId="0" shapeId="0" xr:uid="{298E86EA-D557-481E-8657-F036F34F5CE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C54" authorId="0" shapeId="0" xr:uid="{D9DC102D-ECD1-4EF7-8960-03D3595F953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mecânico/Trator</t>
        </r>
      </text>
    </comment>
    <comment ref="H56" authorId="0" shapeId="0" xr:uid="{A3C48B1E-5C1F-493D-B56A-982FE19A1A1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E57" authorId="0" shapeId="0" xr:uid="{A0C57BD8-AFA4-4D6A-9943-C7057BDB8C0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E59" authorId="0" shapeId="0" xr:uid="{E168C3AC-AAF9-4249-9262-D5608E29C5A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B63" authorId="0" shapeId="0" xr:uid="{9F1D32C7-91DD-450B-AE58-0EC68E1682F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F63" authorId="0" shapeId="0" xr:uid="{902395DC-3F80-4772-A5C2-9D0734038E2B}">
      <text>
        <r>
          <rPr>
            <b/>
            <sz val="9"/>
            <color indexed="81"/>
            <rFont val="Segoe UI"/>
            <family val="2"/>
          </rPr>
          <t>Kalito Silva:
pulverização</t>
        </r>
      </text>
    </comment>
    <comment ref="D76" authorId="0" shapeId="0" xr:uid="{EC35CCDF-5481-44E5-A5E9-6FDACE8C2A2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F76" authorId="0" shapeId="0" xr:uid="{3FAA6824-CF2E-4225-A7D5-AC866FB0D4DB}">
      <text>
        <r>
          <rPr>
            <b/>
            <sz val="9"/>
            <color indexed="81"/>
            <rFont val="Segoe UI"/>
            <family val="2"/>
          </rPr>
          <t>Kalito Silva:
pulverização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C7" authorId="0" shapeId="0" xr:uid="{A6178EF8-DD47-438D-B466-94320C2CFA3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H9" authorId="0" shapeId="0" xr:uid="{527CAC9E-BEF7-4F4E-B842-6F5928E9068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10" authorId="0" shapeId="0" xr:uid="{8199E32E-09E8-4E55-A7B1-75A3E36F2CD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11" authorId="0" shapeId="0" xr:uid="{E642AD20-86ED-46DF-9B00-98ED5BC0852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18" authorId="0" shapeId="0" xr:uid="{A7529DFB-05F9-48BA-8AC7-A32BB1E80CC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K24" authorId="0" shapeId="0" xr:uid="{85577908-7048-4AFB-A116-D0CB077577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 12 13 06 05</t>
        </r>
      </text>
    </comment>
    <comment ref="K25" authorId="0" shapeId="0" xr:uid="{AEE11856-4F60-438D-A40D-06E18E259FA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14 07 27 06 05</t>
        </r>
      </text>
    </comment>
    <comment ref="B26" authorId="0" shapeId="0" xr:uid="{D91A73BA-BC44-4E03-91F2-3C36ABE9A47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Auto trafo</t>
        </r>
      </text>
    </comment>
    <comment ref="B27" authorId="0" shapeId="0" xr:uid="{A3CC491C-B9F6-4FFF-949C-76F6DF3DE33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C27" authorId="0" shapeId="0" xr:uid="{074D1BFE-9AB4-436C-9325-1459B5C9715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D27" authorId="0" shapeId="0" xr:uid="{A88DECB6-4FED-4D75-A13B-5EED7C1B6F0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B28" authorId="0" shapeId="0" xr:uid="{C2CFBF2C-12B5-454F-9E03-B727A8C0782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F28" authorId="0" shapeId="0" xr:uid="{469ECF57-28E1-4B95-BF38-19E786979F2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F29" authorId="0" shapeId="0" xr:uid="{F9667316-A187-43A4-B246-984737B067A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G29" authorId="0" shapeId="0" xr:uid="{2075C369-53F4-4987-ADC5-6E5A2B9A2DE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K29" authorId="0" shapeId="0" xr:uid="{B9711538-3CAB-4506-8175-62EB0246C03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101 103</t>
        </r>
      </text>
    </comment>
    <comment ref="C30" authorId="0" shapeId="0" xr:uid="{C41E2387-5A7C-4FC0-9774-2DD47862194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D30" authorId="0" shapeId="0" xr:uid="{4AF40A89-5142-4F1C-8AA3-2C8CF17E242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F30" authorId="0" shapeId="0" xr:uid="{BDBF302D-ECD6-44CB-AD98-DA684F6454C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H30" authorId="0" shapeId="0" xr:uid="{A70EF9B0-3BF6-412C-9399-D591DCB6F67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K30" authorId="0" shapeId="0" xr:uid="{24549F4F-CA64-4AA8-95D0-36EC3987F6E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 48</t>
        </r>
      </text>
    </comment>
    <comment ref="H31" authorId="0" shapeId="0" xr:uid="{538A7078-AF41-494C-8C43-D8119FA0120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K31" authorId="0" shapeId="0" xr:uid="{FDCEF99C-F239-4DF5-9AD4-5E72EA55EC8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 55</t>
        </r>
      </text>
    </comment>
    <comment ref="F32" authorId="0" shapeId="0" xr:uid="{26C1A6AB-5814-4447-B516-88C4B1E0379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H32" authorId="0" shapeId="0" xr:uid="{5C4D5AA3-B4F6-48FF-BE6C-C18B858733D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34" authorId="0" shapeId="0" xr:uid="{8B52F6C6-DBA7-4677-B80E-7C5211CCF3D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H34" authorId="0" shapeId="0" xr:uid="{D76C2BDB-090E-47E0-BBC4-34F79AF613B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35" authorId="0" shapeId="0" xr:uid="{23D5E04F-A2FA-4324-AF88-37D74BF0F6C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H35" authorId="0" shapeId="0" xr:uid="{697F9C91-2981-4333-9C2F-3BECFC858F6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K35" authorId="0" shapeId="0" xr:uid="{035E393F-A1A3-4C0E-B388-310585A4DDE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104</t>
        </r>
      </text>
    </comment>
    <comment ref="F36" authorId="0" shapeId="0" xr:uid="{66AE0F30-FA68-4D29-8BCC-3A4A9EBAB8A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atolado</t>
        </r>
      </text>
    </comment>
    <comment ref="B47" authorId="0" shapeId="0" xr:uid="{39775DA1-E733-47DD-B40B-86F359BE41B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C47" authorId="0" shapeId="0" xr:uid="{64FBE907-ADA3-42C6-9490-08AC711D4AA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D47" authorId="0" shapeId="0" xr:uid="{1AE2971D-BFA5-460A-A889-C49920FCDF4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H47" authorId="0" shapeId="0" xr:uid="{49A8C526-C48A-4D1F-9EA0-854C0705230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B48" authorId="0" shapeId="0" xr:uid="{FADD3220-6257-4AAA-878B-64EAFFB8DFB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C48" authorId="0" shapeId="0" xr:uid="{D90FBEE3-E814-4DCA-B232-B98B9CFEC73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B49" authorId="0" shapeId="0" xr:uid="{95B42608-4573-4D33-B5A1-190D83A7481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C49" authorId="0" shapeId="0" xr:uid="{41196E54-D1F7-47E1-BAEC-BD64E67A0D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B51" authorId="0" shapeId="0" xr:uid="{9E49BA14-F6E8-492B-8AB3-C9C68041E7E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D52" authorId="0" shapeId="0" xr:uid="{E0745E6D-97D0-44C6-986D-3329240A080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de tabaco</t>
        </r>
      </text>
    </comment>
    <comment ref="D53" authorId="0" shapeId="0" xr:uid="{EE4C09D8-7835-425B-B290-1AC28C5BA91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de tabaco</t>
        </r>
      </text>
    </comment>
    <comment ref="C55" authorId="0" shapeId="0" xr:uid="{F2612CFE-3703-49C9-BAEE-053537E3159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C56" authorId="0" shapeId="0" xr:uid="{4BEBE54E-E819-491B-BF40-1D1BF7B285D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D56" authorId="0" shapeId="0" xr:uid="{A0D83A00-1DCC-4DBE-AE41-0D4C699C7E0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E56" authorId="0" shapeId="0" xr:uid="{0A6DACA0-BFAA-4F3D-8241-309CC9239ED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C58" authorId="0" shapeId="0" xr:uid="{41F25C63-023D-4038-BC19-5D352F389C4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D58" authorId="0" shapeId="0" xr:uid="{40E83588-3787-4EFC-9A93-2F9F9C2A795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C59" authorId="0" shapeId="0" xr:uid="{1E0C1F9C-F1A4-48E8-9D46-EB195A8E1A3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C63" authorId="0" shapeId="0" xr:uid="{AF8812B1-C2EA-4485-946E-A7F52D44B09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63" authorId="0" shapeId="0" xr:uid="{F297FDD2-E7AB-40B4-BA8E-8EA27D347FA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63" authorId="0" shapeId="0" xr:uid="{AB81466F-F1DA-48A5-A4C9-E0FB6743A62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65" authorId="0" shapeId="0" xr:uid="{02784334-2762-4237-A84B-A4DC34B8723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65" authorId="0" shapeId="0" xr:uid="{1EF13E18-4258-4B80-B21C-67E3793232B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65" authorId="0" shapeId="0" xr:uid="{A34E10C5-BE4D-4F86-9082-FE7D6CAD8F6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66" authorId="0" shapeId="0" xr:uid="{6D025F0A-A9F0-480D-966F-3E3D2AF644D1}">
      <text>
        <r>
          <rPr>
            <b/>
            <sz val="9"/>
            <color indexed="81"/>
            <rFont val="Segoe UI"/>
            <family val="2"/>
          </rPr>
          <t xml:space="preserve">Kalito Silva:
contactora
</t>
        </r>
      </text>
    </comment>
    <comment ref="E66" authorId="0" shapeId="0" xr:uid="{546609AC-6D15-4A91-A124-34FA7A23AF0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E18" authorId="0" shapeId="0" xr:uid="{F0D91F9B-F759-43E6-844F-60E86FD40A1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FALTADE AGUA</t>
        </r>
      </text>
    </comment>
    <comment ref="C23" authorId="0" shapeId="0" xr:uid="{017127F8-6E97-41F3-8F08-008036A0D55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D23" authorId="0" shapeId="0" xr:uid="{3FCB237A-3F46-4B74-B178-6FF708A85C1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E23" authorId="0" shapeId="0" xr:uid="{F9B3E18E-AA67-4CA4-B535-E0FA7D32607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F26" authorId="0" shapeId="0" xr:uid="{2EE3FA4D-64D1-48F3-96FE-9CA38C5405D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E27" authorId="0" shapeId="0" xr:uid="{010E9D53-6066-473E-9943-3522D8C301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FALTADE AGUA</t>
        </r>
      </text>
    </comment>
    <comment ref="C28" authorId="0" shapeId="0" xr:uid="{9CDFF5B2-7CF6-49EB-8371-A2D3CE96C3C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D28" authorId="0" shapeId="0" xr:uid="{92D94316-8F53-45F8-B91A-6A14F1BA58E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B30" authorId="0" shapeId="0" xr:uid="{BD50A85B-B95C-4C5F-93FC-796BC2267CA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B32" authorId="0" shapeId="0" xr:uid="{DA8CE679-A6FC-4687-BC2F-5C0303E8079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B34" authorId="0" shapeId="0" xr:uid="{8158FF37-0DC1-49BE-A9FF-66093D43D23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D34" authorId="0" shapeId="0" xr:uid="{CBD4D536-3CB2-4895-B61C-4DAE04D7BDC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E34" authorId="0" shapeId="0" xr:uid="{029A7CFE-075C-47B7-AF70-98E643A58B9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FALTADE AGUA</t>
        </r>
      </text>
    </comment>
    <comment ref="B37" authorId="0" shapeId="0" xr:uid="{DCE3B5D2-E530-4591-A8F2-A3FF6F1B882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E37" authorId="0" shapeId="0" xr:uid="{0307E0FF-848A-4038-97AF-097418C339D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FALTADE AGUA</t>
        </r>
      </text>
    </comment>
    <comment ref="B47" authorId="0" shapeId="0" xr:uid="{75ECF915-B92A-4814-9B8D-7A5ACB0131E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C47" authorId="0" shapeId="0" xr:uid="{E8AEFC05-06C6-469F-8CBC-9905AC75562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H47" authorId="0" shapeId="0" xr:uid="{6B066216-BDD9-498D-8277-163950B855E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D49" authorId="0" shapeId="0" xr:uid="{9291147B-33B6-4977-9CC7-3DF330A19AC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G50" authorId="0" shapeId="0" xr:uid="{6315E2E8-DDA6-466E-BA99-5C455154701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C52" authorId="0" shapeId="0" xr:uid="{B38403D5-E7EE-47ED-9DB8-D8233A462D0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D52" authorId="0" shapeId="0" xr:uid="{F608E694-76FE-4271-A777-708A167D9BE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B54" authorId="0" shapeId="0" xr:uid="{C9B84417-F4AB-4B0F-8623-D64DEF8E1DB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B58" authorId="0" shapeId="0" xr:uid="{912C2ACA-26CB-4EB2-8EB5-90A464BC64A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C59" authorId="0" shapeId="0" xr:uid="{37E8069C-B7F0-4B03-9CD0-D0B2AECD2D3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C63" authorId="0" shapeId="0" xr:uid="{1761D05C-9FC6-4808-92B6-A16066FA33D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63" authorId="0" shapeId="0" xr:uid="{F447F2EE-6725-4C7E-8317-02614282AED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65" authorId="0" shapeId="0" xr:uid="{59E6BF21-B972-4CD3-A0C3-12908EA4F78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65" authorId="0" shapeId="0" xr:uid="{188C1A89-88B2-4980-AA51-B5E108AF3AA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65" authorId="0" shapeId="0" xr:uid="{CCAD2D92-CE2B-42FC-8C5B-C2A2E47E6C8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66" authorId="0" shapeId="0" xr:uid="{97731068-5137-43F5-9CD5-381591CD5F4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66" authorId="0" shapeId="0" xr:uid="{2F83A1A1-9D9B-4881-A6AB-48E17EDFD23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66" authorId="0" shapeId="0" xr:uid="{693AD854-E12A-483B-B96E-AEA274BBEF1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69" authorId="0" shapeId="0" xr:uid="{727F289B-9483-447F-87D7-C6F2A719A5F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B71" authorId="0" shapeId="0" xr:uid="{3707CCAF-4B34-43BB-ADCD-03CB0739F54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C74" authorId="0" shapeId="0" xr:uid="{397A37D9-9BE8-4289-A4B0-F63F20C2220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76" authorId="0" shapeId="0" xr:uid="{83A5B3D0-4621-435C-95D7-EB1A63C7150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83" authorId="0" shapeId="0" xr:uid="{565E9F37-850B-40F8-844A-CF8A3FCC917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F85" authorId="0" shapeId="0" xr:uid="{1763B705-020D-4807-BF96-247CAA8F1C1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C95" authorId="0" shapeId="0" xr:uid="{25B304EB-1159-4EC2-BEF2-E60C7F96C2C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D95" authorId="0" shapeId="0" xr:uid="{99E39509-778D-4591-9F23-5B7D67F0A33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722433-7FEA-485E-9B9F-8519F0B4B54C}" keepAlive="1" name="Consulta - 01 06 2021" description="Conexão com a consulta '01 06 2021' na pasta de trabalho." type="5" refreshedVersion="8" background="1" saveData="1">
    <dbPr connection="Provider=Microsoft.Mashup.OleDb.1;Data Source=$Workbook$;Location=&quot;01 06 2021&quot;;Extended Properties=&quot;&quot;" command="SELECT * FROM [01 06 2021]"/>
  </connection>
  <connection id="2" xr16:uid="{5994CBC3-8A8A-4B92-9EC7-8F7292E00A72}" keepAlive="1" name="Consulta - 01 11 2021" description="Conexão com a consulta '01 11 2021' na pasta de trabalho." type="5" refreshedVersion="0" background="1">
    <dbPr connection="Provider=Microsoft.Mashup.OleDb.1;Data Source=$Workbook$;Location=&quot;01 11 2021&quot;;Extended Properties=&quot;&quot;" command="SELECT * FROM [01 11 2021]"/>
  </connection>
  <connection id="3" xr16:uid="{50939E5F-3DDF-4F50-955C-AEABF1C1C1DB}" keepAlive="1" name="Consulta - 02 01 2021" description="Conexão com a consulta '02 01 2021' na pasta de trabalho." type="5" refreshedVersion="0" background="1">
    <dbPr connection="Provider=Microsoft.Mashup.OleDb.1;Data Source=$Workbook$;Location=&quot;02 01 2021&quot;;Extended Properties=&quot;&quot;" command="SELECT * FROM [02 01 2021]"/>
  </connection>
  <connection id="4" xr16:uid="{C9FE3E18-289A-4BD7-B8A6-CA54EF3DB40A}" keepAlive="1" name="Consulta - 02 05 2022" description="Conexão com a consulta '02 05 2022' na pasta de trabalho." type="5" refreshedVersion="0" background="1">
    <dbPr connection="Provider=Microsoft.Mashup.OleDb.1;Data Source=$Workbook$;Location=&quot;02 05 2022&quot;;Extended Properties=&quot;&quot;" command="SELECT * FROM [02 05 2022]"/>
  </connection>
  <connection id="5" xr16:uid="{F8405DF0-7954-4276-A8C7-1DF2C38B989C}" keepAlive="1" name="Consulta - 03 01 2022" description="Conexão com a consulta '03 01 2022' na pasta de trabalho." type="5" refreshedVersion="0" background="1">
    <dbPr connection="Provider=Microsoft.Mashup.OleDb.1;Data Source=$Workbook$;Location=&quot;03 01 2022&quot;;Extended Properties=&quot;&quot;" command="SELECT * FROM [03 01 2022]"/>
  </connection>
  <connection id="6" xr16:uid="{8169417D-D363-44C1-93A4-F13EEC0E7051}" keepAlive="1" name="Consulta - 03 03 2021" description="Conexão com a consulta '03 03 2021' na pasta de trabalho." type="5" refreshedVersion="0" background="1">
    <dbPr connection="Provider=Microsoft.Mashup.OleDb.1;Data Source=$Workbook$;Location=&quot;03 03 2021&quot;;Extended Properties=&quot;&quot;" command="SELECT * FROM [03 03 2021]"/>
  </connection>
  <connection id="7" xr16:uid="{14107D9A-E77D-4A34-B280-8B2C6C608DDA}" keepAlive="1" name="Consulta - 03 07 2021" description="Conexão com a consulta '03 07 2021' na pasta de trabalho." type="5" refreshedVersion="0" background="1">
    <dbPr connection="Provider=Microsoft.Mashup.OleDb.1;Data Source=$Workbook$;Location=&quot;03 07 2021&quot;;Extended Properties=&quot;&quot;" command="SELECT * FROM [03 07 2021]"/>
  </connection>
  <connection id="8" xr16:uid="{B3D1A555-9EAF-4FA0-B4FD-2C3518AE2901}" keepAlive="1" name="Consulta - 04 04 2021" description="Conexão com a consulta '04 04 2021' na pasta de trabalho." type="5" refreshedVersion="0" background="1">
    <dbPr connection="Provider=Microsoft.Mashup.OleDb.1;Data Source=$Workbook$;Location=&quot;04 04 2021&quot;;Extended Properties=&quot;&quot;" command="SELECT * FROM [04 04 2021]"/>
  </connection>
  <connection id="9" xr16:uid="{E04B7FF7-D668-455E-995E-EF4A1421B0B2}" keepAlive="1" name="Consulta - 04 04 2022" description="Conexão com a consulta '04 04 2022' na pasta de trabalho." type="5" refreshedVersion="0" background="1">
    <dbPr connection="Provider=Microsoft.Mashup.OleDb.1;Data Source=$Workbook$;Location=&quot;04 04 2022&quot;;Extended Properties=&quot;&quot;" command="SELECT * FROM [04 04 2022]"/>
  </connection>
  <connection id="10" xr16:uid="{27614E90-11C7-4FE0-8F8B-C04D7CB493CE}" keepAlive="1" name="Consulta - 04 07 2022" description="Conexão com a consulta '04 07 2022' na pasta de trabalho." type="5" refreshedVersion="0" background="1">
    <dbPr connection="Provider=Microsoft.Mashup.OleDb.1;Data Source=$Workbook$;Location=&quot;04 07 2022&quot;;Extended Properties=&quot;&quot;" command="SELECT * FROM [04 07 2022]"/>
  </connection>
  <connection id="11" xr16:uid="{8F72702E-22A2-43FD-94E3-D0C3CC11CD4C}" keepAlive="1" name="Consulta - 04 08 2021" description="Conexão com a consulta '04 08 2021' na pasta de trabalho." type="5" refreshedVersion="0" background="1">
    <dbPr connection="Provider=Microsoft.Mashup.OleDb.1;Data Source=$Workbook$;Location=&quot;04 08 2021&quot;;Extended Properties=&quot;&quot;" command="SELECT * FROM [04 08 2021]"/>
  </connection>
  <connection id="12" xr16:uid="{7A014CF4-56D2-49CD-84E7-0C6665ECDD12}" keepAlive="1" name="Consulta - 04 10 2021" description="Conexão com a consulta '04 10 2021' na pasta de trabalho." type="5" refreshedVersion="0" background="1">
    <dbPr connection="Provider=Microsoft.Mashup.OleDb.1;Data Source=$Workbook$;Location=&quot;04 10 2021&quot;;Extended Properties=&quot;&quot;" command="SELECT * FROM [04 10 2021]"/>
  </connection>
  <connection id="13" xr16:uid="{AAB4DA5E-75A0-4D9E-BD10-4166C288BA85}" keepAlive="1" name="Consulta - 05 09 2021" description="Conexão com a consulta '05 09 2021' na pasta de trabalho." type="5" refreshedVersion="0" background="1">
    <dbPr connection="Provider=Microsoft.Mashup.OleDb.1;Data Source=$Workbook$;Location=&quot;05 09 2021&quot;;Extended Properties=&quot;&quot;" command="SELECT * FROM [05 09 2021]"/>
  </connection>
  <connection id="14" xr16:uid="{4EC71DAF-27B6-49C7-BFBB-F3D9F63851AE}" keepAlive="1" name="Consulta - 06 06 2022" description="Conexão com a consulta '06 06 2022' na pasta de trabalho." type="5" refreshedVersion="0" background="1">
    <dbPr connection="Provider=Microsoft.Mashup.OleDb.1;Data Source=$Workbook$;Location=&quot;06 06 2022&quot;;Extended Properties=&quot;&quot;" command="SELECT * FROM [06 06 2022]"/>
  </connection>
  <connection id="15" xr16:uid="{DD99F235-48BB-4C44-99AE-078B7C5DF099}" keepAlive="1" name="Consulta - 07 02 2021" description="Conexão com a consulta '07 02 2021' na pasta de trabalho." type="5" refreshedVersion="0" background="1">
    <dbPr connection="Provider=Microsoft.Mashup.OleDb.1;Data Source=$Workbook$;Location=&quot;07 02 2021&quot;;Extended Properties=&quot;&quot;" command="SELECT * FROM [07 02 2021]"/>
  </connection>
  <connection id="16" xr16:uid="{4585471A-8BC3-4D07-908E-3F0359AB84BA}" keepAlive="1" name="Consulta - 07 02 2022" description="Conexão com a consulta '07 02 2022' na pasta de trabalho." type="5" refreshedVersion="0" background="1">
    <dbPr connection="Provider=Microsoft.Mashup.OleDb.1;Data Source=$Workbook$;Location=&quot;07 02 2022&quot;;Extended Properties=&quot;&quot;" command="SELECT * FROM [07 02 2022]"/>
  </connection>
  <connection id="17" xr16:uid="{AA11E154-D6D8-41F3-8644-C50CCC16C6EC}" keepAlive="1" name="Consulta - 07 03 2022" description="Conexão com a consulta '07 03 2022' na pasta de trabalho." type="5" refreshedVersion="0" background="1">
    <dbPr connection="Provider=Microsoft.Mashup.OleDb.1;Data Source=$Workbook$;Location=&quot;07 03 2022&quot;;Extended Properties=&quot;&quot;" command="SELECT * FROM [07 03 2022]"/>
  </connection>
  <connection id="18" xr16:uid="{59B8C678-0E34-42B5-BD8D-33714DFE1795}" keepAlive="1" name="Consulta - 08 05 2021" description="Conexão com a consulta '08 05 2021' na pasta de trabalho." type="5" refreshedVersion="0" background="1">
    <dbPr connection="Provider=Microsoft.Mashup.OleDb.1;Data Source=$Workbook$;Location=&quot;08 05 2021&quot;;Extended Properties=&quot;&quot;" command="SELECT * FROM [08 05 2021]"/>
  </connection>
  <connection id="19" xr16:uid="{820EFB6D-554E-452C-B8FC-DA56E60CECEE}" keepAlive="1" name="Consulta - 08 11 2021" description="Conexão com a consulta '08 11 2021' na pasta de trabalho." type="5" refreshedVersion="0" background="1">
    <dbPr connection="Provider=Microsoft.Mashup.OleDb.1;Data Source=$Workbook$;Location=&quot;08 11 2021&quot;;Extended Properties=&quot;&quot;" command="SELECT * FROM [08 11 2021]"/>
  </connection>
  <connection id="20" xr16:uid="{75AEDC8E-A746-4B11-B8B0-BD8A66EE4AF9}" keepAlive="1" name="Consulta - 09 05 2022" description="Conexão com a consulta '09 05 2022' na pasta de trabalho." type="5" refreshedVersion="0" background="1">
    <dbPr connection="Provider=Microsoft.Mashup.OleDb.1;Data Source=$Workbook$;Location=&quot;09 05 2022&quot;;Extended Properties=&quot;&quot;" command="SELECT * FROM [09 05 2022]"/>
  </connection>
  <connection id="21" xr16:uid="{5329D934-D037-40E7-AF4D-BFDEC826945C}" keepAlive="1" name="Consulta - 09 06 2021" description="Conexão com a consulta '09 06 2021' na pasta de trabalho." type="5" refreshedVersion="0" background="1">
    <dbPr connection="Provider=Microsoft.Mashup.OleDb.1;Data Source=$Workbook$;Location=&quot;09 06 2021&quot;;Extended Properties=&quot;&quot;" command="SELECT * FROM [09 06 2021]"/>
  </connection>
  <connection id="22" xr16:uid="{C12265D0-D3B1-4D90-AA36-FE549D468788}" keepAlive="1" name="Consulta - 10 01 2022" description="Conexão com a consulta '10 01 2022' na pasta de trabalho." type="5" refreshedVersion="0" background="1">
    <dbPr connection="Provider=Microsoft.Mashup.OleDb.1;Data Source=$Workbook$;Location=&quot;10 01 2022&quot;;Extended Properties=&quot;&quot;" command="SELECT * FROM [10 01 2022]"/>
  </connection>
  <connection id="23" xr16:uid="{3571DFFD-0832-485D-A433-906FB9AA5DF7}" keepAlive="1" name="Consulta - 11 03 2021" description="Conexão com a consulta '11 03 2021' na pasta de trabalho." type="5" refreshedVersion="0" background="1">
    <dbPr connection="Provider=Microsoft.Mashup.OleDb.1;Data Source=$Workbook$;Location=&quot;11 03 2021&quot;;Extended Properties=&quot;&quot;" command="SELECT * FROM [11 03 2021]"/>
  </connection>
  <connection id="24" xr16:uid="{9649B400-49FD-4E74-A038-1A31170A1C77}" keepAlive="1" name="Consulta - 11 04 2022" description="Conexão com a consulta '11 04 2022' na pasta de trabalho." type="5" refreshedVersion="0" background="1">
    <dbPr connection="Provider=Microsoft.Mashup.OleDb.1;Data Source=$Workbook$;Location=&quot;11 04 2022&quot;;Extended Properties=&quot;&quot;" command="SELECT * FROM [11 04 2022]"/>
  </connection>
  <connection id="25" xr16:uid="{544B5E2E-F37B-4344-9223-FEC88C5E4ECD}" keepAlive="1" name="Consulta - 11 07 2021" description="Conexão com a consulta '11 07 2021' na pasta de trabalho." type="5" refreshedVersion="0" background="1">
    <dbPr connection="Provider=Microsoft.Mashup.OleDb.1;Data Source=$Workbook$;Location=&quot;11 07 2021&quot;;Extended Properties=&quot;&quot;" command="SELECT * FROM [11 07 2021]"/>
  </connection>
  <connection id="26" xr16:uid="{AF0155C3-13B8-496D-AA30-75BF74D7317F}" keepAlive="1" name="Consulta - 11 10 2021" description="Conexão com a consulta '11 10 2021' na pasta de trabalho." type="5" refreshedVersion="0" background="1">
    <dbPr connection="Provider=Microsoft.Mashup.OleDb.1;Data Source=$Workbook$;Location=&quot;11 10 2021&quot;;Extended Properties=&quot;&quot;" command="SELECT * FROM [11 10 2021]"/>
  </connection>
  <connection id="27" xr16:uid="{8720F58B-DC90-4546-A095-736E47AFD4A0}" keepAlive="1" name="Consulta - 12 04 2021" description="Conexão com a consulta '12 04 2021' na pasta de trabalho." type="5" refreshedVersion="0" background="1">
    <dbPr connection="Provider=Microsoft.Mashup.OleDb.1;Data Source=$Workbook$;Location=&quot;12 04 2021&quot;;Extended Properties=&quot;&quot;" command="SELECT * FROM [12 04 2021]"/>
  </connection>
  <connection id="28" xr16:uid="{A98C4AD6-3ED9-4ABC-BC55-FBC531E60B4A}" keepAlive="1" name="Consulta - 12 08 2021" description="Conexão com a consulta '12 08 2021' na pasta de trabalho." type="5" refreshedVersion="0" background="1">
    <dbPr connection="Provider=Microsoft.Mashup.OleDb.1;Data Source=$Workbook$;Location=&quot;12 08 2021&quot;;Extended Properties=&quot;&quot;" command="SELECT * FROM [12 08 2021]"/>
  </connection>
  <connection id="29" xr16:uid="{D4ABFA35-9D90-4049-9B36-AD246E0E89FB}" keepAlive="1" name="Consulta - 13 06 2022" description="Conexão com a consulta '13 06 2022' na pasta de trabalho." type="5" refreshedVersion="0" background="1">
    <dbPr connection="Provider=Microsoft.Mashup.OleDb.1;Data Source=$Workbook$;Location=&quot;13 06 2022&quot;;Extended Properties=&quot;&quot;" command="SELECT * FROM [13 06 2022]"/>
  </connection>
  <connection id="30" xr16:uid="{834703E2-D6EB-4A0F-A676-1065ECEB9484}" keepAlive="1" name="Consulta - 13 09 2021" description="Conexão com a consulta '13 09 2021' na pasta de trabalho." type="5" refreshedVersion="0" background="1">
    <dbPr connection="Provider=Microsoft.Mashup.OleDb.1;Data Source=$Workbook$;Location=&quot;13 09 2021&quot;;Extended Properties=&quot;&quot;" command="SELECT * FROM [13 09 2021]"/>
  </connection>
  <connection id="31" xr16:uid="{407C2C40-6347-45FC-A5C9-CA01EC77F0C5}" keepAlive="1" name="Consulta - 14 01 2021" description="Conexão com a consulta '14 01 2021' na pasta de trabalho." type="5" refreshedVersion="0" background="1">
    <dbPr connection="Provider=Microsoft.Mashup.OleDb.1;Data Source=$Workbook$;Location=&quot;14 01 2021&quot;;Extended Properties=&quot;&quot;" command="SELECT * FROM [14 01 2021]"/>
  </connection>
  <connection id="32" xr16:uid="{C020318E-37A4-4545-A9B3-B10CCACDE1C0}" keepAlive="1" name="Consulta - 14 02 2022" description="Conexão com a consulta '14 02 2022' na pasta de trabalho." type="5" refreshedVersion="0" background="1">
    <dbPr connection="Provider=Microsoft.Mashup.OleDb.1;Data Source=$Workbook$;Location=&quot;14 02 2022&quot;;Extended Properties=&quot;&quot;" command="SELECT * FROM [14 02 2022]"/>
  </connection>
  <connection id="33" xr16:uid="{AE0CA5D5-EBC9-4952-9F4C-B063D6E2A25D}" keepAlive="1" name="Consulta - 14 03 2022" description="Conexão com a consulta '14 03 2022' na pasta de trabalho." type="5" refreshedVersion="0" background="1">
    <dbPr connection="Provider=Microsoft.Mashup.OleDb.1;Data Source=$Workbook$;Location=&quot;14 03 2022&quot;;Extended Properties=&quot;&quot;" command="SELECT * FROM [14 03 2022]"/>
  </connection>
  <connection id="34" xr16:uid="{15BD51B9-A107-4227-BAA2-DAE67138CE9D}" keepAlive="1" name="Consulta - 15 02 2021" description="Conexão com a consulta '15 02 2021' na pasta de trabalho." type="5" refreshedVersion="0" background="1">
    <dbPr connection="Provider=Microsoft.Mashup.OleDb.1;Data Source=$Workbook$;Location=&quot;15 02 2021&quot;;Extended Properties=&quot;&quot;" command="SELECT * FROM [15 02 2021]"/>
  </connection>
  <connection id="35" xr16:uid="{E0FC9C39-C5FB-48AF-B6D3-7824EA852E39}" keepAlive="1" name="Consulta - 15 11 2021" description="Conexão com a consulta '15 11 2021' na pasta de trabalho." type="5" refreshedVersion="0" background="1">
    <dbPr connection="Provider=Microsoft.Mashup.OleDb.1;Data Source=$Workbook$;Location=&quot;15 11 2021&quot;;Extended Properties=&quot;&quot;" command="SELECT * FROM [15 11 2021]"/>
  </connection>
  <connection id="36" xr16:uid="{24259F78-C834-4B15-8829-1166207CDAAF}" keepAlive="1" name="Consulta - 16 05 2021" description="Conexão com a consulta '16 05 2021' na pasta de trabalho." type="5" refreshedVersion="0" background="1">
    <dbPr connection="Provider=Microsoft.Mashup.OleDb.1;Data Source=$Workbook$;Location=&quot;16 05 2021&quot;;Extended Properties=&quot;&quot;" command="SELECT * FROM [16 05 2021]"/>
  </connection>
  <connection id="37" xr16:uid="{B296663E-2434-40BE-A799-AD473CACCEE0}" keepAlive="1" name="Consulta - 16 05 2022" description="Conexão com a consulta '16 05 2022' na pasta de trabalho." type="5" refreshedVersion="0" background="1">
    <dbPr connection="Provider=Microsoft.Mashup.OleDb.1;Data Source=$Workbook$;Location=&quot;16 05 2022&quot;;Extended Properties=&quot;&quot;" command="SELECT * FROM [16 05 2022]"/>
  </connection>
  <connection id="38" xr16:uid="{7114E0F3-7152-4BEF-A31B-6FC3BDDF2B48}" keepAlive="1" name="Consulta - 17 01 2022" description="Conexão com a consulta '17 01 2022' na pasta de trabalho." type="5" refreshedVersion="0" background="1">
    <dbPr connection="Provider=Microsoft.Mashup.OleDb.1;Data Source=$Workbook$;Location=&quot;17 01 2022&quot;;Extended Properties=&quot;&quot;" command="SELECT * FROM [17 01 2022]"/>
  </connection>
  <connection id="39" xr16:uid="{43771EE2-459E-4E22-B9D8-F7BA8C2DABFA}" keepAlive="1" name="Consulta - 17 06 2021" description="Conexão com a consulta '17 06 2021' na pasta de trabalho." type="5" refreshedVersion="0" background="1">
    <dbPr connection="Provider=Microsoft.Mashup.OleDb.1;Data Source=$Workbook$;Location=&quot;17 06 2021&quot;;Extended Properties=&quot;&quot;" command="SELECT * FROM [17 06 2021]"/>
  </connection>
  <connection id="40" xr16:uid="{7B03E717-69A7-46BD-873E-35A84F42F829}" keepAlive="1" name="Consulta - 17 12 2020" description="Conexão com a consulta '17 12 2020' na pasta de trabalho." type="5" refreshedVersion="0" background="1">
    <dbPr connection="Provider=Microsoft.Mashup.OleDb.1;Data Source=$Workbook$;Location=&quot;17 12 2020&quot;;Extended Properties=&quot;&quot;" command="SELECT * FROM [17 12 2020]"/>
  </connection>
  <connection id="41" xr16:uid="{CBD80CF0-F0C6-4A55-9C94-517DDDCDA3D5}" keepAlive="1" name="Consulta - 18 04 2022" description="Conexão com a consulta '18 04 2022' na pasta de trabalho." type="5" refreshedVersion="0" background="1">
    <dbPr connection="Provider=Microsoft.Mashup.OleDb.1;Data Source=$Workbook$;Location=&quot;18 04 2022&quot;;Extended Properties=&quot;&quot;" command="SELECT * FROM [18 04 2022]"/>
  </connection>
  <connection id="42" xr16:uid="{95DEB4FC-6F0A-4B3F-B50A-03A7BBE391F4}" keepAlive="1" name="Consulta - 18 10 2021" description="Conexão com a consulta '18 10 2021' na pasta de trabalho." type="5" refreshedVersion="0" background="1">
    <dbPr connection="Provider=Microsoft.Mashup.OleDb.1;Data Source=$Workbook$;Location=&quot;18 10 2021&quot;;Extended Properties=&quot;&quot;" command="SELECT * FROM [18 10 2021]"/>
  </connection>
  <connection id="43" xr16:uid="{1A192427-2A64-4EDA-8245-429FC1954763}" keepAlive="1" name="Consulta - 19 03 2021" description="Conexão com a consulta '19 03 2021' na pasta de trabalho." type="5" refreshedVersion="0" background="1">
    <dbPr connection="Provider=Microsoft.Mashup.OleDb.1;Data Source=$Workbook$;Location=&quot;19 03 2021&quot;;Extended Properties=&quot;&quot;" command="SELECT * FROM [19 03 2021]"/>
  </connection>
  <connection id="44" xr16:uid="{307933BE-5BBE-4513-8F06-DE8CC1514085}" keepAlive="1" name="Consulta - 19 07 2021" description="Conexão com a consulta '19 07 2021' na pasta de trabalho." type="5" refreshedVersion="0" background="1">
    <dbPr connection="Provider=Microsoft.Mashup.OleDb.1;Data Source=$Workbook$;Location=&quot;19 07 2021&quot;;Extended Properties=&quot;&quot;" command="SELECT * FROM [19 07 2021]"/>
  </connection>
  <connection id="45" xr16:uid="{497521F9-DC13-4A72-A5AE-0DA0D4D27400}" keepAlive="1" name="Consulta - 20 06 2022" description="Conexão com a consulta '20 06 2022' na pasta de trabalho." type="5" refreshedVersion="0" background="1">
    <dbPr connection="Provider=Microsoft.Mashup.OleDb.1;Data Source=$Workbook$;Location=&quot;20 06 2022&quot;;Extended Properties=&quot;&quot;" command="SELECT * FROM [20 06 2022]"/>
  </connection>
  <connection id="46" xr16:uid="{E61EDB71-3EAF-45DC-A0B2-22D0DA5710A6}" keepAlive="1" name="Consulta - 20 08 2021" description="Conexão com a consulta '20 08 2021' na pasta de trabalho." type="5" refreshedVersion="0" background="1">
    <dbPr connection="Provider=Microsoft.Mashup.OleDb.1;Data Source=$Workbook$;Location=&quot;20 08 2021&quot;;Extended Properties=&quot;&quot;" command="SELECT * FROM [20 08 2021]"/>
  </connection>
  <connection id="47" xr16:uid="{AD7F155F-A1D3-4374-B114-4A92A2D9F982}" keepAlive="1" name="Consulta - 21 02 2022" description="Conexão com a consulta '21 02 2022' na pasta de trabalho." type="5" refreshedVersion="0" background="1">
    <dbPr connection="Provider=Microsoft.Mashup.OleDb.1;Data Source=$Workbook$;Location=&quot;21 02 2022&quot;;Extended Properties=&quot;&quot;" command="SELECT * FROM [21 02 2022]"/>
  </connection>
  <connection id="48" xr16:uid="{CD3A5162-C2F1-4CAB-94F9-9E47962A5389}" keepAlive="1" name="Consulta - 21 03 2022" description="Conexão com a consulta '21 03 2022' na pasta de trabalho." type="5" refreshedVersion="0" background="1">
    <dbPr connection="Provider=Microsoft.Mashup.OleDb.1;Data Source=$Workbook$;Location=&quot;21 03 2022&quot;;Extended Properties=&quot;&quot;" command="SELECT * FROM [21 03 2022]"/>
  </connection>
  <connection id="49" xr16:uid="{BDF205E8-3436-4B74-B072-3C5112DB9998}" keepAlive="1" name="Consulta - 21 09 2021" description="Conexão com a consulta '21 09 2021' na pasta de trabalho." type="5" refreshedVersion="0" background="1">
    <dbPr connection="Provider=Microsoft.Mashup.OleDb.1;Data Source=$Workbook$;Location=&quot;21 09 2021&quot;;Extended Properties=&quot;&quot;" command="SELECT * FROM [21 09 2021]"/>
  </connection>
  <connection id="50" xr16:uid="{8FE8DC54-7A58-41DA-A199-208C994A2D4F}" keepAlive="1" name="Consulta - 22 01 2021" description="Conexão com a consulta '22 01 2021' na pasta de trabalho." type="5" refreshedVersion="0" background="1">
    <dbPr connection="Provider=Microsoft.Mashup.OleDb.1;Data Source=$Workbook$;Location=&quot;22 01 2021&quot;;Extended Properties=&quot;&quot;" command="SELECT * FROM [22 01 2021]"/>
  </connection>
  <connection id="51" xr16:uid="{CF4351B8-958F-4E83-9924-D6FA473F224A}" keepAlive="1" name="Consulta - 22 11 2021" description="Conexão com a consulta '22 11 2021' na pasta de trabalho." type="5" refreshedVersion="0" background="1">
    <dbPr connection="Provider=Microsoft.Mashup.OleDb.1;Data Source=$Workbook$;Location=&quot;22 11 2021&quot;;Extended Properties=&quot;&quot;" command="SELECT * FROM [22 11 2021]"/>
  </connection>
  <connection id="52" xr16:uid="{A97BBB67-A2FB-4811-AA22-5A182A7AE176}" keepAlive="1" name="Consulta - 23 02 2021" description="Conexão com a consulta '23 02 2021' na pasta de trabalho." type="5" refreshedVersion="0" background="1">
    <dbPr connection="Provider=Microsoft.Mashup.OleDb.1;Data Source=$Workbook$;Location=&quot;23 02 2021&quot;;Extended Properties=&quot;&quot;" command="SELECT * FROM [23 02 2021]"/>
  </connection>
  <connection id="53" xr16:uid="{1FFB4898-C341-4CA1-9F15-C1799B8F75DC}" keepAlive="1" name="Consulta - 23 05 2022" description="Conexão com a consulta '23 05 2022' na pasta de trabalho." type="5" refreshedVersion="0" background="1">
    <dbPr connection="Provider=Microsoft.Mashup.OleDb.1;Data Source=$Workbook$;Location=&quot;23 05 2022&quot;;Extended Properties=&quot;&quot;" command="SELECT * FROM [23 05 2022]"/>
  </connection>
  <connection id="54" xr16:uid="{1901662B-218F-4108-A3B6-2A7FAC8FD4C7}" keepAlive="1" name="Consulta - 24 01 2021" description="Conexão com a consulta '24 01 2021' na pasta de trabalho." type="5" refreshedVersion="0" background="1">
    <dbPr connection="Provider=Microsoft.Mashup.OleDb.1;Data Source=$Workbook$;Location=&quot;24 01 2021&quot;;Extended Properties=&quot;&quot;" command="SELECT * FROM [24 01 2021]"/>
  </connection>
  <connection id="55" xr16:uid="{F7BD1D80-EF40-4935-BA2C-42E5F51DAE01}" keepAlive="1" name="Consulta - 24 05 2021" description="Conexão com a consulta '24 05 2021' na pasta de trabalho." type="5" refreshedVersion="0" background="1">
    <dbPr connection="Provider=Microsoft.Mashup.OleDb.1;Data Source=$Workbook$;Location=&quot;24 05 2021&quot;;Extended Properties=&quot;&quot;" command="SELECT * FROM [24 05 2021]"/>
  </connection>
  <connection id="56" xr16:uid="{520A3FEC-EE31-4DE7-A62C-0AA98C96F8CA}" keepAlive="1" name="Consulta - 25 04 2022" description="Conexão com a consulta '25 04 2022' na pasta de trabalho." type="5" refreshedVersion="0" background="1">
    <dbPr connection="Provider=Microsoft.Mashup.OleDb.1;Data Source=$Workbook$;Location=&quot;25 04 2022&quot;;Extended Properties=&quot;&quot;" command="SELECT * FROM [25 04 2022]"/>
  </connection>
  <connection id="57" xr16:uid="{0992BBF9-0B01-4681-A5DB-ABD09083181A}" keepAlive="1" name="Consulta - 25 06 2021" description="Conexão com a consulta '25 06 2021' na pasta de trabalho." type="5" refreshedVersion="0" background="1">
    <dbPr connection="Provider=Microsoft.Mashup.OleDb.1;Data Source=$Workbook$;Location=&quot;25 06 2021&quot;;Extended Properties=&quot;&quot;" command="SELECT * FROM [25 06 2021]"/>
  </connection>
  <connection id="58" xr16:uid="{1C60F119-EDCE-41D7-A421-A89D04B57ED9}" keepAlive="1" name="Consulta - 25 10 2021" description="Conexão com a consulta '25 10 2021' na pasta de trabalho." type="5" refreshedVersion="0" background="1">
    <dbPr connection="Provider=Microsoft.Mashup.OleDb.1;Data Source=$Workbook$;Location=&quot;25 10 2021&quot;;Extended Properties=&quot;&quot;" command="SELECT * FROM [25 10 2021]"/>
  </connection>
  <connection id="59" xr16:uid="{DA635637-2429-4CC4-8887-5A0AC7D6CDE7}" keepAlive="1" name="Consulta - 25 12 2020" description="Conexão com a consulta '25 12 2020' na pasta de trabalho." type="5" refreshedVersion="0" background="1">
    <dbPr connection="Provider=Microsoft.Mashup.OleDb.1;Data Source=$Workbook$;Location=&quot;25 12 2020&quot;;Extended Properties=&quot;&quot;" command="SELECT * FROM [25 12 2020]"/>
  </connection>
  <connection id="60" xr16:uid="{2259E109-34B9-4FFA-AF93-10352F02C451}" keepAlive="1" name="Consulta - 27 03 2021" description="Conexão com a consulta '27 03 2021' na pasta de trabalho." type="5" refreshedVersion="0" background="1">
    <dbPr connection="Provider=Microsoft.Mashup.OleDb.1;Data Source=$Workbook$;Location=&quot;27 03 2021&quot;;Extended Properties=&quot;&quot;" command="SELECT * FROM [27 03 2021]"/>
  </connection>
  <connection id="61" xr16:uid="{A9647A4D-107E-4117-AF0B-7103F4D2FE7D}" keepAlive="1" name="Consulta - 27 06 2022" description="Conexão com a consulta '27 06 2022' na pasta de trabalho." type="5" refreshedVersion="0" background="1">
    <dbPr connection="Provider=Microsoft.Mashup.OleDb.1;Data Source=$Workbook$;Location=&quot;27 06 2022&quot;;Extended Properties=&quot;&quot;" command="SELECT * FROM [27 06 2022]"/>
  </connection>
  <connection id="62" xr16:uid="{CD3D3D35-CC9A-47DA-B8FB-8D2E972BA748}" keepAlive="1" name="Consulta - 27 07 2021" description="Conexão com a consulta '27 07 2021' na pasta de trabalho." type="5" refreshedVersion="0" background="1">
    <dbPr connection="Provider=Microsoft.Mashup.OleDb.1;Data Source=$Workbook$;Location=&quot;27 07 2021&quot;;Extended Properties=&quot;&quot;" command="SELECT * FROM [27 07 2021]"/>
  </connection>
  <connection id="63" xr16:uid="{F0DD96DB-B417-4E11-91F2-B39A39EC7FB0}" keepAlive="1" name="Consulta - 27 09 2021" description="Conexão com a consulta '27 09 2021' na pasta de trabalho." type="5" refreshedVersion="0" background="1">
    <dbPr connection="Provider=Microsoft.Mashup.OleDb.1;Data Source=$Workbook$;Location=&quot;27 09 2021&quot;;Extended Properties=&quot;&quot;" command="SELECT * FROM [27 09 2021]"/>
  </connection>
  <connection id="64" xr16:uid="{4F57FF1C-2EB9-4E17-91E3-18FC62AFB699}" keepAlive="1" name="Consulta - 28 02 2022" description="Conexão com a consulta '28 02 2022' na pasta de trabalho." type="5" refreshedVersion="0" background="1">
    <dbPr connection="Provider=Microsoft.Mashup.OleDb.1;Data Source=$Workbook$;Location=&quot;28 02 2022&quot;;Extended Properties=&quot;&quot;" command="SELECT * FROM [28 02 2022]"/>
  </connection>
  <connection id="65" xr16:uid="{64E85A20-EC71-4C7A-BC10-A398A2161D37}" keepAlive="1" name="Consulta - 28 03 2022" description="Conexão com a consulta '28 03 2022' na pasta de trabalho." type="5" refreshedVersion="0" background="1">
    <dbPr connection="Provider=Microsoft.Mashup.OleDb.1;Data Source=$Workbook$;Location=&quot;28 03 2022&quot;;Extended Properties=&quot;&quot;" command="SELECT * FROM [28 03 2022]"/>
  </connection>
  <connection id="66" xr16:uid="{24CF0AF3-AE9E-454A-863A-B82F063F7AEC}" keepAlive="1" name="Consulta - 28 08 2021" description="Conexão com a consulta '28 08 2021' na pasta de trabalho." type="5" refreshedVersion="0" background="1">
    <dbPr connection="Provider=Microsoft.Mashup.OleDb.1;Data Source=$Workbook$;Location=&quot;28 08 2021&quot;;Extended Properties=&quot;&quot;" command="SELECT * FROM [28 08 2021]"/>
  </connection>
  <connection id="67" xr16:uid="{4F01A84F-F977-4E36-B9E8-77414A34C511}" keepAlive="1" name="Consulta - 29 11 2021" description="Conexão com a consulta '29 11 2021' na pasta de trabalho." type="5" refreshedVersion="0" background="1">
    <dbPr connection="Provider=Microsoft.Mashup.OleDb.1;Data Source=$Workbook$;Location=&quot;29 11 2021&quot;;Extended Properties=&quot;&quot;" command="SELECT * FROM [29 11 2021]"/>
  </connection>
  <connection id="68" xr16:uid="{5BF38289-4A57-443C-8EDA-6290A0D5CED1}" keepAlive="1" name="Consulta - 30 01 2021" description="Conexão com a consulta '30 01 2021' na pasta de trabalho." type="5" refreshedVersion="0" background="1">
    <dbPr connection="Provider=Microsoft.Mashup.OleDb.1;Data Source=$Workbook$;Location=&quot;30 01 2021&quot;;Extended Properties=&quot;&quot;" command="SELECT * FROM [30 01 2021]"/>
  </connection>
  <connection id="69" xr16:uid="{074ED4D4-B3FB-46E1-90DD-9546F70F08AA}" keepAlive="1" name="Consulta - 30 04 2021" description="Conexão com a consulta '30 04 2021' na pasta de trabalho." type="5" refreshedVersion="0" background="1">
    <dbPr connection="Provider=Microsoft.Mashup.OleDb.1;Data Source=$Workbook$;Location=&quot;30 04 2021&quot;;Extended Properties=&quot;&quot;" command="SELECT * FROM [30 04 2021]"/>
  </connection>
  <connection id="70" xr16:uid="{FA9F2944-6122-4EF8-888C-BB52AA9C8C82}" keepAlive="1" name="Consulta - 30 05 2022" description="Conexão com a consulta '30 05 2022' na pasta de trabalho." type="5" refreshedVersion="0" background="1">
    <dbPr connection="Provider=Microsoft.Mashup.OleDb.1;Data Source=$Workbook$;Location=&quot;30 05 2022&quot;;Extended Properties=&quot;&quot;" command="SELECT * FROM [30 05 2022]"/>
  </connection>
  <connection id="71" xr16:uid="{0752A2BD-B2AA-407F-801E-63DB96F02CC8}" keepAlive="1" name="Consulta - 31 01 2021" description="Conexão com a consulta '31 01 2021' na pasta de trabalho." type="5" refreshedVersion="0" background="1">
    <dbPr connection="Provider=Microsoft.Mashup.OleDb.1;Data Source=$Workbook$;Location=&quot;31 01 2021&quot;;Extended Properties=&quot;&quot;" command="SELECT * FROM [31 01 2021]"/>
  </connection>
</connections>
</file>

<file path=xl/sharedStrings.xml><?xml version="1.0" encoding="utf-8"?>
<sst xmlns="http://schemas.openxmlformats.org/spreadsheetml/2006/main" count="15749" uniqueCount="83">
  <si>
    <t>Pivô</t>
  </si>
  <si>
    <t>Parametros</t>
  </si>
  <si>
    <t>Feito</t>
  </si>
  <si>
    <t>Chuva</t>
  </si>
  <si>
    <t>Energia</t>
  </si>
  <si>
    <t>Mecânico</t>
  </si>
  <si>
    <t>Elétrico</t>
  </si>
  <si>
    <t>Operação</t>
  </si>
  <si>
    <t>Vedação</t>
  </si>
  <si>
    <t>Mangote</t>
  </si>
  <si>
    <t>Adutora</t>
  </si>
  <si>
    <t>Redutor</t>
  </si>
  <si>
    <t>Castanha</t>
  </si>
  <si>
    <t>Micro</t>
  </si>
  <si>
    <t>feito</t>
  </si>
  <si>
    <t>Atendimento de irrigação - (Planejando vs Executado) - Semana 21/02/2022</t>
  </si>
  <si>
    <t>Data</t>
  </si>
  <si>
    <t>Total</t>
  </si>
  <si>
    <t>Atendimento de irrigação - (Planejando vs Executado) - Semana 14/03/2022</t>
  </si>
  <si>
    <t>Atendimento de irrigação - (Planejando vs Executado) - Semana 21/03/2022</t>
  </si>
  <si>
    <t>Atendimento de irrigação - (Planejando vs Executado) - Semana 28/03/2022</t>
  </si>
  <si>
    <t>Atendimento de irrigação - (Planejando vs Executado) - Semana 04/04/2022</t>
  </si>
  <si>
    <t>Atendimento de irrigação - (Planejando vs Executado) - Semana 25/04/2022</t>
  </si>
  <si>
    <t>Atendimento de irrigação - (Planejando vs Executado) - Semana 02/05/2022</t>
  </si>
  <si>
    <t>Atendimento de irrigação - (Planejando vs Executado) - Semana 08/05/2022</t>
  </si>
  <si>
    <t>Atendimento de irrigação - (Planejando vs Executado) - Semana 16/05/2022</t>
  </si>
  <si>
    <t>Atendimento de irrigação - (Planejando vs Executado) - Semana 23/05/2022</t>
  </si>
  <si>
    <t>Atendimento de irrigação - (Planejando vs Executado) - Semana 30/05/2022</t>
  </si>
  <si>
    <t>Atendimento de irrigação - (Planejando vs Executado) - Semana 06/06/2022</t>
  </si>
  <si>
    <t>Atendimento de irrigação - (Planejando vs Executado) - Semana 13/06/2022</t>
  </si>
  <si>
    <t>Atendimento de irrigação - (Planejando vs Executado) - Semana 27/06/2022</t>
  </si>
  <si>
    <t>Atendimento de irrigação - (Planejando vs Executado) - Semana 04/07/2022</t>
  </si>
  <si>
    <t>Contagem</t>
  </si>
  <si>
    <t>Porcentagem</t>
  </si>
  <si>
    <t>Semana</t>
  </si>
  <si>
    <t>Atendimento de irrigação - (Planejando vs Executado) - Semana 28/02/2022</t>
  </si>
  <si>
    <t>Atendimento de irrigação - (Planejando vs Executado) - Semana 07/03/2022</t>
  </si>
  <si>
    <t>Atendimento de irrigação - (Planejando vs Executado) - Semana 11/04/2022</t>
  </si>
  <si>
    <t>Atendimento de irrigação - (Planejando vs Executado) - Semana 18/04/2022</t>
  </si>
  <si>
    <t>Atendimento de irrigação - (Planejando vs Executado) - Semana 20/06/2022</t>
  </si>
  <si>
    <t>Ano</t>
  </si>
  <si>
    <t>Periodo</t>
  </si>
  <si>
    <t>Rótulos de Linha</t>
  </si>
  <si>
    <t>Atendimento de irrigação - (Planejando vs Executado) - Semana 11/07/2022</t>
  </si>
  <si>
    <t>Planejado</t>
  </si>
  <si>
    <t>Cancelado</t>
  </si>
  <si>
    <t>Acrescentado</t>
  </si>
  <si>
    <t>ª1</t>
  </si>
  <si>
    <t>ª2</t>
  </si>
  <si>
    <t>ª3</t>
  </si>
  <si>
    <t>ª4</t>
  </si>
  <si>
    <t>ª5</t>
  </si>
  <si>
    <t>ª6</t>
  </si>
  <si>
    <t>ª7</t>
  </si>
  <si>
    <t>Dia da Semana</t>
  </si>
  <si>
    <t xml:space="preserve">     </t>
  </si>
  <si>
    <t>Porcentagem Semanal</t>
  </si>
  <si>
    <t>Atendimento de irrigação - (Planejando vs Executado) - Semana 18/07/2022</t>
  </si>
  <si>
    <t>Contagem Semanal</t>
  </si>
  <si>
    <t>Verificação</t>
  </si>
  <si>
    <t>Percentual Anual</t>
  </si>
  <si>
    <t>Contagem Anual</t>
  </si>
  <si>
    <t>Parâmetros</t>
  </si>
  <si>
    <t>Soma de Contagem</t>
  </si>
  <si>
    <t>Atendimento de irrigação - (Planejando vs Executado) - Semana 25/07/2022</t>
  </si>
  <si>
    <t xml:space="preserve">Planejado </t>
  </si>
  <si>
    <t>Rótulos de Coluna</t>
  </si>
  <si>
    <t>Atendimento de irrigação - (Planejando vs Executado) - Semana 01/08/2022</t>
  </si>
  <si>
    <t>.</t>
  </si>
  <si>
    <t>,</t>
  </si>
  <si>
    <t>Atendimento de irrigação - (Planejando vs Executado) - Semana 08/08/2022</t>
  </si>
  <si>
    <t>]</t>
  </si>
  <si>
    <t>Atendimento de irrigação - (Planejando vs Executado) - Semana 15/08/2022</t>
  </si>
  <si>
    <t>Atendimento de irrigação - (Planejando vs Executado) - Semana 22/08/2022</t>
  </si>
  <si>
    <t>Atendimento de irrigação - (Planejando vs Executado) - Semana 29/08/2022</t>
  </si>
  <si>
    <t>Atendimento de irrigação - (Planejando vs Executado) - Semana 05/09/2022</t>
  </si>
  <si>
    <t>Atendimento de irrigação - (Planejando vs Executado) - Semana 12/09/2022</t>
  </si>
  <si>
    <t>Atendimento de irrigação - (Planejando vs Executado) - Semana 19/09/2022</t>
  </si>
  <si>
    <t>Mês</t>
  </si>
  <si>
    <t>Atendimento de irrigação - (Planejando vs Executado) - Semana 26/09/2022</t>
  </si>
  <si>
    <t>Atendimento de irrigação - (Planejando vs Executado) - Semana 03/10/2022</t>
  </si>
  <si>
    <t>Atendimento de irrigação - (Planejando vs Executado) - Semana 10/10/2022</t>
  </si>
  <si>
    <t>Atendimento de irrigação - (Planejando vs Executado) - Semana 17/10/2022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</si>
</sst>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9"/>
      <color theme="4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name val="Calibri"/>
      <family val="2"/>
      <scheme val="minor"/>
    </font>
    <font>
      <sz val="10"/>
      <color theme="3" tint="9.9917600024414813E-2"/>
      <name val="Arial"/>
      <family val="2"/>
    </font>
    <font>
      <b/>
      <sz val="10"/>
      <name val="Calibri Light"/>
      <family val="2"/>
      <scheme val="maj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b/>
      <sz val="10"/>
      <color theme="3" tint="9.9917600024414813E-2"/>
      <name val="Arial"/>
      <family val="2"/>
    </font>
    <font>
      <b/>
      <sz val="10"/>
      <color theme="1"/>
      <name val="Calibri Light"/>
      <family val="2"/>
      <scheme val="major"/>
    </font>
    <font>
      <b/>
      <sz val="9"/>
      <color theme="4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/>
      <right/>
      <top style="dotted">
        <color theme="0"/>
      </top>
      <bottom/>
      <diagonal/>
    </border>
    <border>
      <left/>
      <right style="dotted">
        <color theme="1"/>
      </right>
      <top style="dotted">
        <color theme="0"/>
      </top>
      <bottom/>
      <diagonal/>
    </border>
    <border>
      <left/>
      <right style="dotted">
        <color theme="1"/>
      </right>
      <top/>
      <bottom/>
      <diagonal/>
    </border>
    <border>
      <left/>
      <right/>
      <top/>
      <bottom style="dotted">
        <color theme="1"/>
      </bottom>
      <diagonal/>
    </border>
    <border>
      <left/>
      <right style="dotted">
        <color theme="1"/>
      </right>
      <top/>
      <bottom style="dotted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74">
    <xf numFmtId="0" fontId="0" fillId="0" borderId="0" xfId="0"/>
    <xf numFmtId="14" fontId="3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 wrapText="1"/>
    </xf>
    <xf numFmtId="14" fontId="6" fillId="0" borderId="0" xfId="1" applyNumberFormat="1" applyFont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indent="1"/>
    </xf>
    <xf numFmtId="0" fontId="7" fillId="4" borderId="0" xfId="0" applyFont="1" applyFill="1" applyAlignment="1">
      <alignment horizontal="left" indent="1"/>
    </xf>
    <xf numFmtId="0" fontId="7" fillId="6" borderId="0" xfId="0" applyFont="1" applyFill="1" applyAlignment="1">
      <alignment horizontal="left" indent="1"/>
    </xf>
    <xf numFmtId="0" fontId="7" fillId="3" borderId="0" xfId="0" applyFont="1" applyFill="1" applyAlignment="1">
      <alignment horizontal="left" indent="1"/>
    </xf>
    <xf numFmtId="0" fontId="7" fillId="7" borderId="0" xfId="0" applyFont="1" applyFill="1" applyAlignment="1">
      <alignment horizontal="left" indent="1"/>
    </xf>
    <xf numFmtId="0" fontId="7" fillId="8" borderId="0" xfId="0" applyFont="1" applyFill="1" applyAlignment="1">
      <alignment horizontal="left" indent="1"/>
    </xf>
    <xf numFmtId="0" fontId="2" fillId="0" borderId="0" xfId="0" applyFont="1"/>
    <xf numFmtId="0" fontId="7" fillId="9" borderId="0" xfId="0" applyFont="1" applyFill="1" applyAlignment="1">
      <alignment horizontal="left" indent="1"/>
    </xf>
    <xf numFmtId="0" fontId="7" fillId="10" borderId="0" xfId="0" applyFont="1" applyFill="1" applyAlignment="1">
      <alignment horizontal="left" indent="1"/>
    </xf>
    <xf numFmtId="0" fontId="7" fillId="11" borderId="0" xfId="0" applyFont="1" applyFill="1" applyAlignment="1">
      <alignment horizontal="left" indent="1"/>
    </xf>
    <xf numFmtId="0" fontId="7" fillId="2" borderId="0" xfId="0" applyFont="1" applyFill="1" applyAlignment="1">
      <alignment horizontal="left" indent="1"/>
    </xf>
    <xf numFmtId="16" fontId="2" fillId="0" borderId="0" xfId="0" applyNumberFormat="1" applyFont="1"/>
    <xf numFmtId="16" fontId="0" fillId="0" borderId="0" xfId="0" applyNumberFormat="1"/>
    <xf numFmtId="0" fontId="5" fillId="2" borderId="0" xfId="0" applyFont="1" applyFill="1" applyAlignment="1">
      <alignment horizontal="center" vertical="center"/>
    </xf>
    <xf numFmtId="0" fontId="8" fillId="0" borderId="0" xfId="0" applyFont="1"/>
    <xf numFmtId="0" fontId="10" fillId="0" borderId="0" xfId="0" applyFont="1"/>
    <xf numFmtId="0" fontId="13" fillId="2" borderId="4" xfId="0" applyFont="1" applyFill="1" applyBorder="1" applyAlignment="1">
      <alignment horizontal="center" vertical="center" wrapText="1"/>
    </xf>
    <xf numFmtId="14" fontId="14" fillId="2" borderId="5" xfId="0" applyNumberFormat="1" applyFont="1" applyFill="1" applyBorder="1" applyAlignment="1">
      <alignment horizontal="left" indent="1"/>
    </xf>
    <xf numFmtId="16" fontId="12" fillId="2" borderId="3" xfId="1" applyNumberFormat="1" applyFont="1" applyFill="1" applyBorder="1" applyAlignment="1">
      <alignment horizontal="left"/>
    </xf>
    <xf numFmtId="0" fontId="15" fillId="2" borderId="7" xfId="0" applyFont="1" applyFill="1" applyBorder="1" applyAlignment="1">
      <alignment horizontal="center" vertical="center"/>
    </xf>
    <xf numFmtId="16" fontId="12" fillId="2" borderId="2" xfId="1" applyNumberFormat="1" applyFont="1" applyFill="1" applyBorder="1" applyAlignment="1">
      <alignment horizontal="left"/>
    </xf>
    <xf numFmtId="14" fontId="14" fillId="2" borderId="8" xfId="0" applyNumberFormat="1" applyFont="1" applyFill="1" applyBorder="1" applyAlignment="1">
      <alignment horizontal="left" indent="1"/>
    </xf>
    <xf numFmtId="0" fontId="7" fillId="5" borderId="4" xfId="0" applyFont="1" applyFill="1" applyBorder="1" applyAlignment="1">
      <alignment horizontal="left" indent="1"/>
    </xf>
    <xf numFmtId="0" fontId="7" fillId="4" borderId="4" xfId="0" applyFont="1" applyFill="1" applyBorder="1" applyAlignment="1">
      <alignment horizontal="left" indent="1"/>
    </xf>
    <xf numFmtId="0" fontId="7" fillId="6" borderId="4" xfId="0" applyFont="1" applyFill="1" applyBorder="1" applyAlignment="1">
      <alignment horizontal="left" indent="1"/>
    </xf>
    <xf numFmtId="0" fontId="7" fillId="3" borderId="4" xfId="0" applyFont="1" applyFill="1" applyBorder="1" applyAlignment="1">
      <alignment horizontal="left" indent="1"/>
    </xf>
    <xf numFmtId="0" fontId="7" fillId="7" borderId="4" xfId="0" applyFont="1" applyFill="1" applyBorder="1" applyAlignment="1">
      <alignment horizontal="left" indent="1"/>
    </xf>
    <xf numFmtId="0" fontId="7" fillId="8" borderId="4" xfId="0" applyFont="1" applyFill="1" applyBorder="1" applyAlignment="1">
      <alignment horizontal="left" indent="1"/>
    </xf>
    <xf numFmtId="0" fontId="0" fillId="0" borderId="9" xfId="0" applyBorder="1"/>
    <xf numFmtId="9" fontId="0" fillId="0" borderId="10" xfId="2" applyFont="1" applyBorder="1"/>
    <xf numFmtId="9" fontId="0" fillId="0" borderId="11" xfId="2" applyFont="1" applyBorder="1"/>
    <xf numFmtId="0" fontId="0" fillId="0" borderId="12" xfId="0" applyBorder="1"/>
    <xf numFmtId="9" fontId="0" fillId="0" borderId="13" xfId="2" applyFont="1" applyBorder="1"/>
    <xf numFmtId="0" fontId="0" fillId="12" borderId="6" xfId="0" applyFill="1" applyBorder="1"/>
    <xf numFmtId="0" fontId="8" fillId="12" borderId="6" xfId="0" applyFont="1" applyFill="1" applyBorder="1"/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7" borderId="4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10" fillId="0" borderId="14" xfId="0" applyFont="1" applyBorder="1" applyAlignment="1">
      <alignment vertical="center"/>
    </xf>
    <xf numFmtId="0" fontId="0" fillId="0" borderId="14" xfId="0" applyBorder="1"/>
    <xf numFmtId="0" fontId="0" fillId="0" borderId="6" xfId="0" applyBorder="1"/>
    <xf numFmtId="14" fontId="0" fillId="0" borderId="0" xfId="0" applyNumberFormat="1"/>
    <xf numFmtId="9" fontId="0" fillId="0" borderId="0" xfId="2" applyFont="1"/>
    <xf numFmtId="14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49" fontId="0" fillId="0" borderId="0" xfId="0" applyNumberFormat="1"/>
    <xf numFmtId="1" fontId="0" fillId="0" borderId="0" xfId="0" applyNumberFormat="1"/>
    <xf numFmtId="0" fontId="17" fillId="0" borderId="0" xfId="0" applyFont="1"/>
    <xf numFmtId="10" fontId="0" fillId="0" borderId="0" xfId="2" applyNumberFormat="1" applyFont="1"/>
    <xf numFmtId="9" fontId="0" fillId="0" borderId="0" xfId="0" applyNumberFormat="1"/>
    <xf numFmtId="0" fontId="0" fillId="0" borderId="0" xfId="2" applyNumberFormat="1" applyFont="1"/>
    <xf numFmtId="2" fontId="0" fillId="0" borderId="0" xfId="0" applyNumberFormat="1"/>
    <xf numFmtId="0" fontId="0" fillId="5" borderId="0" xfId="0" applyFill="1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/>
    </xf>
    <xf numFmtId="0" fontId="11" fillId="0" borderId="0" xfId="0" applyFont="1" applyAlignment="1">
      <alignment horizontal="center" vertical="center" readingOrder="1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Normal" xfId="0" builtinId="0"/>
    <cellStyle name="Porcentagem" xfId="2" builtinId="5"/>
    <cellStyle name="Título" xfId="1" builtinId="15"/>
  </cellStyles>
  <dxfs count="2161">
    <dxf>
      <numFmt numFmtId="30" formatCode="@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</dxf>
    <dxf>
      <numFmt numFmtId="1" formatCode="0"/>
    </dxf>
    <dxf>
      <numFmt numFmtId="1" formatCode="0"/>
    </dxf>
    <dxf>
      <font>
        <b/>
        <i val="0"/>
      </font>
      <fill>
        <patternFill>
          <bgColor theme="1" tint="0.499984740745262"/>
        </patternFill>
      </fill>
    </dxf>
    <dxf>
      <font>
        <b/>
        <i val="0"/>
      </font>
      <fill>
        <patternFill>
          <bgColor theme="2" tint="-0.2499465926084170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1" tint="0.49998474074526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0.24994659260841701"/>
        </patternFill>
      </fill>
    </dxf>
    <dxf>
      <font>
        <b/>
        <i val="0"/>
      </font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ill>
        <patternFill>
          <bgColor rgb="FF517B7B"/>
        </patternFill>
      </fill>
    </dxf>
    <dxf>
      <font>
        <b/>
        <i val="0"/>
      </font>
      <fill>
        <patternFill>
          <bgColor theme="6"/>
        </patternFill>
      </fill>
    </dxf>
  </dxfs>
  <tableStyles count="2" defaultTableStyle="TableStyleMedium2" defaultPivotStyle="PivotStyleLight16">
    <tableStyle name="Estilo de Segmentação de Dados 1" pivot="0" table="0" count="3" xr9:uid="{80DA1C1E-CEAC-441D-84A4-669C31946363}">
      <tableStyleElement type="wholeTable" dxfId="2160"/>
    </tableStyle>
    <tableStyle name="Estilo de Segmentação de Dados 1 2" pivot="0" table="0" count="3" xr9:uid="{8C0AFC35-B11C-40A4-98B1-AD5A91DF4C68}">
      <tableStyleElement type="wholeTable" dxfId="2159"/>
    </tableStyle>
  </tableStyles>
  <colors>
    <mruColors>
      <color rgb="FF005C2A"/>
      <color rgb="FF2E508E"/>
      <color rgb="FF004821"/>
      <color rgb="FFD60093"/>
      <color rgb="FF517B7B"/>
      <color rgb="FFFF9900"/>
    </mruColors>
  </colors>
  <extLst>
    <ext xmlns:x14="http://schemas.microsoft.com/office/spreadsheetml/2009/9/main" uri="{46F421CA-312F-682f-3DD2-61675219B42D}">
      <x14:dxfs count="4">
        <dxf>
          <font>
            <b/>
            <i val="0"/>
          </font>
          <fill>
            <patternFill>
              <bgColor theme="0"/>
            </patternFill>
          </fill>
        </dxf>
        <dxf>
          <fill>
            <patternFill>
              <bgColor theme="2" tint="-0.24994659260841701"/>
            </patternFill>
          </fill>
        </dxf>
        <dxf>
          <fill>
            <patternFill>
              <bgColor theme="0" tint="-0.14996795556505021"/>
            </patternFill>
          </fill>
        </dxf>
        <dxf>
          <font>
            <b/>
            <i val="0"/>
            <color theme="0"/>
          </font>
          <fill>
            <patternFill>
              <bgColor theme="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3"/>
            <x14:slicerStyleElement type="selectedItemWithNoData" dxfId="2"/>
          </x14:slicerStyleElements>
        </x14:slicerStyle>
        <x14:slicerStyle name="Estilo de Segmentação de Dados 1 2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ustomXml" Target="../customXml/item4.xml"/><Relationship Id="rId16" Type="http://schemas.openxmlformats.org/officeDocument/2006/relationships/worksheet" Target="worksheets/sheet16.xml"/><Relationship Id="rId107" Type="http://schemas.openxmlformats.org/officeDocument/2006/relationships/sharedStrings" Target="sharedStrings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microsoft.com/office/2007/relationships/slicerCache" Target="slicerCaches/slicerCache6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pivotCacheDefinition" Target="pivotCache/pivotCacheDefinition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microsoft.com/office/2007/relationships/slicerCache" Target="slicerCaches/slicerCache7.xml"/><Relationship Id="rId108" Type="http://schemas.openxmlformats.org/officeDocument/2006/relationships/calcChain" Target="calcChain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externalLink" Target="externalLinks/externalLink1.xml"/><Relationship Id="rId99" Type="http://schemas.microsoft.com/office/2007/relationships/slicerCache" Target="slicerCaches/slicerCache3.xml"/><Relationship Id="rId101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customXml" Target="../customXml/item1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microsoft.com/office/2007/relationships/slicerCache" Target="slicerCaches/slicerCache1.xml"/><Relationship Id="rId104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ustomXml" Target="../customXml/item2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microsoft.com/office/2007/relationships/slicerCache" Target="slicerCaches/slicerCache4.xml"/><Relationship Id="rId105" Type="http://schemas.openxmlformats.org/officeDocument/2006/relationships/connections" Target="connection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microsoft.com/office/2007/relationships/slicerCache" Target="slicerCaches/slicerCache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Atendimento de irrigação. Planejando vs Executado - 1°semestre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Acumulado!$B$3</c:f>
              <c:strCache>
                <c:ptCount val="1"/>
                <c:pt idx="0">
                  <c:v>Feito</c:v>
                </c:pt>
              </c:strCache>
            </c:strRef>
          </c:tx>
          <c:spPr>
            <a:solidFill>
              <a:srgbClr val="00B050"/>
            </a:solidFill>
            <a:ln w="127000">
              <a:solidFill>
                <a:srgbClr val="00B05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Acumulado!$C$3:$Z$3</c:f>
              <c:numCache>
                <c:formatCode>General</c:formatCode>
                <c:ptCount val="24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</c:v>
                </c:pt>
                <c:pt idx="5">
                  <c:v>0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1</c:v>
                </c:pt>
                <c:pt idx="10">
                  <c:v>0</c:v>
                </c:pt>
                <c:pt idx="11">
                  <c:v>4</c:v>
                </c:pt>
                <c:pt idx="12">
                  <c:v>5</c:v>
                </c:pt>
                <c:pt idx="13">
                  <c:v>7</c:v>
                </c:pt>
                <c:pt idx="14">
                  <c:v>1</c:v>
                </c:pt>
                <c:pt idx="15">
                  <c:v>0</c:v>
                </c:pt>
                <c:pt idx="16">
                  <c:v>4</c:v>
                </c:pt>
                <c:pt idx="17">
                  <c:v>5</c:v>
                </c:pt>
                <c:pt idx="18">
                  <c:v>7</c:v>
                </c:pt>
                <c:pt idx="19">
                  <c:v>0</c:v>
                </c:pt>
                <c:pt idx="20">
                  <c:v>4</c:v>
                </c:pt>
                <c:pt idx="21">
                  <c:v>5</c:v>
                </c:pt>
                <c:pt idx="22">
                  <c:v>7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B-48BE-BF8F-F19A994FC378}"/>
            </c:ext>
          </c:extLst>
        </c:ser>
        <c:ser>
          <c:idx val="1"/>
          <c:order val="1"/>
          <c:tx>
            <c:strRef>
              <c:f>Acumulado!$B$4</c:f>
              <c:strCache>
                <c:ptCount val="1"/>
                <c:pt idx="0">
                  <c:v>Mecânico</c:v>
                </c:pt>
              </c:strCache>
            </c:strRef>
          </c:tx>
          <c:spPr>
            <a:solidFill>
              <a:srgbClr val="FF0000"/>
            </a:solidFill>
            <a:ln w="127000">
              <a:solidFill>
                <a:srgbClr val="FF000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Acumulado!$C$4:$Z$4</c:f>
              <c:numCache>
                <c:formatCode>General</c:formatCode>
                <c:ptCount val="24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</c:v>
                </c:pt>
                <c:pt idx="5">
                  <c:v>0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1</c:v>
                </c:pt>
                <c:pt idx="10">
                  <c:v>0</c:v>
                </c:pt>
                <c:pt idx="11">
                  <c:v>4</c:v>
                </c:pt>
                <c:pt idx="12">
                  <c:v>5</c:v>
                </c:pt>
                <c:pt idx="13">
                  <c:v>7</c:v>
                </c:pt>
                <c:pt idx="14">
                  <c:v>1</c:v>
                </c:pt>
                <c:pt idx="15">
                  <c:v>0</c:v>
                </c:pt>
                <c:pt idx="16">
                  <c:v>4</c:v>
                </c:pt>
                <c:pt idx="17">
                  <c:v>5</c:v>
                </c:pt>
                <c:pt idx="18">
                  <c:v>7</c:v>
                </c:pt>
                <c:pt idx="19">
                  <c:v>0</c:v>
                </c:pt>
                <c:pt idx="20">
                  <c:v>4</c:v>
                </c:pt>
                <c:pt idx="21">
                  <c:v>5</c:v>
                </c:pt>
                <c:pt idx="22">
                  <c:v>7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6B-48BE-BF8F-F19A994FC378}"/>
            </c:ext>
          </c:extLst>
        </c:ser>
        <c:ser>
          <c:idx val="2"/>
          <c:order val="2"/>
          <c:tx>
            <c:strRef>
              <c:f>Acumulado!$B$5</c:f>
              <c:strCache>
                <c:ptCount val="1"/>
                <c:pt idx="0">
                  <c:v>Elétrico</c:v>
                </c:pt>
              </c:strCache>
            </c:strRef>
          </c:tx>
          <c:spPr>
            <a:solidFill>
              <a:srgbClr val="FFC000"/>
            </a:solidFill>
            <a:ln w="127000">
              <a:solidFill>
                <a:srgbClr val="FF990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Acumulado!$C$5:$Z$5</c:f>
              <c:numCache>
                <c:formatCode>General</c:formatCode>
                <c:ptCount val="24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  <c:pt idx="4">
                  <c:v>7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6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6B-48BE-BF8F-F19A994FC378}"/>
            </c:ext>
          </c:extLst>
        </c:ser>
        <c:ser>
          <c:idx val="3"/>
          <c:order val="3"/>
          <c:tx>
            <c:strRef>
              <c:f>Acumulado!$B$6</c:f>
              <c:strCache>
                <c:ptCount val="1"/>
                <c:pt idx="0">
                  <c:v>Energia</c:v>
                </c:pt>
              </c:strCache>
            </c:strRef>
          </c:tx>
          <c:spPr>
            <a:solidFill>
              <a:srgbClr val="FFFF00"/>
            </a:solidFill>
            <a:ln w="127000">
              <a:solidFill>
                <a:srgbClr val="FFFF0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Acumulado!$C$6:$Z$6</c:f>
              <c:numCache>
                <c:formatCode>General</c:formatCode>
                <c:ptCount val="24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  <c:pt idx="5">
                  <c:v>7</c:v>
                </c:pt>
                <c:pt idx="6">
                  <c:v>3</c:v>
                </c:pt>
                <c:pt idx="7">
                  <c:v>4</c:v>
                </c:pt>
                <c:pt idx="8">
                  <c:v>8</c:v>
                </c:pt>
                <c:pt idx="9">
                  <c:v>4</c:v>
                </c:pt>
                <c:pt idx="10">
                  <c:v>8</c:v>
                </c:pt>
                <c:pt idx="11">
                  <c:v>4</c:v>
                </c:pt>
                <c:pt idx="12">
                  <c:v>8</c:v>
                </c:pt>
                <c:pt idx="13">
                  <c:v>4</c:v>
                </c:pt>
                <c:pt idx="14">
                  <c:v>8</c:v>
                </c:pt>
                <c:pt idx="15">
                  <c:v>4</c:v>
                </c:pt>
                <c:pt idx="16">
                  <c:v>6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6B-48BE-BF8F-F19A994FC378}"/>
            </c:ext>
          </c:extLst>
        </c:ser>
        <c:ser>
          <c:idx val="4"/>
          <c:order val="4"/>
          <c:tx>
            <c:strRef>
              <c:f>Acumulado!$B$7</c:f>
              <c:strCache>
                <c:ptCount val="1"/>
                <c:pt idx="0">
                  <c:v>Chuva</c:v>
                </c:pt>
              </c:strCache>
            </c:strRef>
          </c:tx>
          <c:spPr>
            <a:solidFill>
              <a:srgbClr val="00B0F0"/>
            </a:solidFill>
            <a:ln w="127000">
              <a:solidFill>
                <a:srgbClr val="00B0F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Acumulado!$C$7:$Z$7</c:f>
              <c:numCache>
                <c:formatCode>General</c:formatCode>
                <c:ptCount val="2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  <c:pt idx="6">
                  <c:v>3</c:v>
                </c:pt>
                <c:pt idx="7">
                  <c:v>5</c:v>
                </c:pt>
                <c:pt idx="8">
                  <c:v>6</c:v>
                </c:pt>
                <c:pt idx="9">
                  <c:v>3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6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6B-48BE-BF8F-F19A994FC378}"/>
            </c:ext>
          </c:extLst>
        </c:ser>
        <c:ser>
          <c:idx val="5"/>
          <c:order val="5"/>
          <c:tx>
            <c:strRef>
              <c:f>Acumulado!$B$8</c:f>
              <c:strCache>
                <c:ptCount val="1"/>
                <c:pt idx="0">
                  <c:v>Operação</c:v>
                </c:pt>
              </c:strCache>
            </c:strRef>
          </c:tx>
          <c:spPr>
            <a:solidFill>
              <a:srgbClr val="7030A0"/>
            </a:solidFill>
            <a:ln w="127000">
              <a:solidFill>
                <a:srgbClr val="7030A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Acumulado!$C$8:$Z$8</c:f>
              <c:numCache>
                <c:formatCode>General</c:formatCode>
                <c:ptCount val="24"/>
                <c:pt idx="0">
                  <c:v>0</c:v>
                </c:pt>
                <c:pt idx="1">
                  <c:v>4</c:v>
                </c:pt>
                <c:pt idx="2">
                  <c:v>7</c:v>
                </c:pt>
                <c:pt idx="3">
                  <c:v>3</c:v>
                </c:pt>
                <c:pt idx="4">
                  <c:v>6</c:v>
                </c:pt>
                <c:pt idx="5">
                  <c:v>4</c:v>
                </c:pt>
                <c:pt idx="6">
                  <c:v>8</c:v>
                </c:pt>
                <c:pt idx="7">
                  <c:v>3</c:v>
                </c:pt>
                <c:pt idx="8">
                  <c:v>6</c:v>
                </c:pt>
                <c:pt idx="9">
                  <c:v>3</c:v>
                </c:pt>
                <c:pt idx="10">
                  <c:v>6</c:v>
                </c:pt>
                <c:pt idx="11">
                  <c:v>3</c:v>
                </c:pt>
                <c:pt idx="12">
                  <c:v>6</c:v>
                </c:pt>
                <c:pt idx="13">
                  <c:v>3</c:v>
                </c:pt>
                <c:pt idx="14">
                  <c:v>6</c:v>
                </c:pt>
                <c:pt idx="15">
                  <c:v>3</c:v>
                </c:pt>
                <c:pt idx="16">
                  <c:v>5</c:v>
                </c:pt>
                <c:pt idx="17">
                  <c:v>3</c:v>
                </c:pt>
                <c:pt idx="18">
                  <c:v>5</c:v>
                </c:pt>
                <c:pt idx="19">
                  <c:v>3</c:v>
                </c:pt>
                <c:pt idx="20">
                  <c:v>5</c:v>
                </c:pt>
                <c:pt idx="21">
                  <c:v>3</c:v>
                </c:pt>
                <c:pt idx="22">
                  <c:v>5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6B-48BE-BF8F-F19A994FC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207490255"/>
        <c:axId val="1207491087"/>
      </c:barChart>
      <c:dateAx>
        <c:axId val="1207490255"/>
        <c:scaling>
          <c:orientation val="minMax"/>
          <c:max val="44387"/>
          <c:min val="44180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491087"/>
        <c:crosses val="autoZero"/>
        <c:auto val="1"/>
        <c:lblOffset val="100"/>
        <c:baseTimeUnit val="days"/>
        <c:majorUnit val="9"/>
        <c:majorTimeUnit val="days"/>
      </c:dateAx>
      <c:valAx>
        <c:axId val="120749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49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Atendimento de irrigação. Planejando vs Executado - 2°semestre</a:t>
            </a:r>
          </a:p>
        </c:rich>
      </c:tx>
      <c:layout>
        <c:manualLayout>
          <c:xMode val="edge"/>
          <c:yMode val="edge"/>
          <c:x val="0.10965705297818547"/>
          <c:y val="5.3921568627450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Acumulado!$B$3</c:f>
              <c:strCache>
                <c:ptCount val="1"/>
                <c:pt idx="0">
                  <c:v>Feito</c:v>
                </c:pt>
              </c:strCache>
            </c:strRef>
          </c:tx>
          <c:spPr>
            <a:solidFill>
              <a:srgbClr val="00B050"/>
            </a:solidFill>
            <a:ln w="127000">
              <a:solidFill>
                <a:srgbClr val="00B050"/>
              </a:solidFill>
              <a:miter lim="800000"/>
            </a:ln>
            <a:effectLst/>
          </c:spPr>
          <c:invertIfNegative val="0"/>
          <c:cat>
            <c:numRef>
              <c:f>Acumulado!$Z$2:$AU$2</c:f>
              <c:numCache>
                <c:formatCode>d\-mmm</c:formatCode>
                <c:ptCount val="22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  <c:pt idx="11">
                  <c:v>44473</c:v>
                </c:pt>
                <c:pt idx="12">
                  <c:v>44480</c:v>
                </c:pt>
                <c:pt idx="13">
                  <c:v>44487</c:v>
                </c:pt>
                <c:pt idx="14">
                  <c:v>44494</c:v>
                </c:pt>
                <c:pt idx="15">
                  <c:v>44501</c:v>
                </c:pt>
                <c:pt idx="16">
                  <c:v>44508</c:v>
                </c:pt>
                <c:pt idx="17">
                  <c:v>44515</c:v>
                </c:pt>
                <c:pt idx="18">
                  <c:v>44522</c:v>
                </c:pt>
                <c:pt idx="19">
                  <c:v>44529</c:v>
                </c:pt>
                <c:pt idx="20">
                  <c:v>44571</c:v>
                </c:pt>
                <c:pt idx="21">
                  <c:v>44578</c:v>
                </c:pt>
              </c:numCache>
            </c:numRef>
          </c:cat>
          <c:val>
            <c:numRef>
              <c:f>Acumulado!$Z$3:$AU$3</c:f>
              <c:numCache>
                <c:formatCode>General</c:formatCode>
                <c:ptCount val="22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0</c:v>
                </c:pt>
                <c:pt idx="5">
                  <c:v>4</c:v>
                </c:pt>
                <c:pt idx="6">
                  <c:v>5</c:v>
                </c:pt>
                <c:pt idx="7">
                  <c:v>7</c:v>
                </c:pt>
                <c:pt idx="8">
                  <c:v>0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0</c:v>
                </c:pt>
                <c:pt idx="13">
                  <c:v>4</c:v>
                </c:pt>
                <c:pt idx="14">
                  <c:v>5</c:v>
                </c:pt>
                <c:pt idx="15">
                  <c:v>7</c:v>
                </c:pt>
                <c:pt idx="16">
                  <c:v>0</c:v>
                </c:pt>
                <c:pt idx="17">
                  <c:v>4</c:v>
                </c:pt>
                <c:pt idx="18">
                  <c:v>5</c:v>
                </c:pt>
                <c:pt idx="19">
                  <c:v>7</c:v>
                </c:pt>
                <c:pt idx="20">
                  <c:v>0</c:v>
                </c:pt>
                <c:pt idx="2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3-4129-88E9-A7E5F247FF2F}"/>
            </c:ext>
          </c:extLst>
        </c:ser>
        <c:ser>
          <c:idx val="1"/>
          <c:order val="1"/>
          <c:tx>
            <c:strRef>
              <c:f>Acumulado!$B$4</c:f>
              <c:strCache>
                <c:ptCount val="1"/>
                <c:pt idx="0">
                  <c:v>Mecânico</c:v>
                </c:pt>
              </c:strCache>
            </c:strRef>
          </c:tx>
          <c:spPr>
            <a:solidFill>
              <a:srgbClr val="FF0000"/>
            </a:solidFill>
            <a:ln w="127000">
              <a:solidFill>
                <a:srgbClr val="FF0000"/>
              </a:solidFill>
              <a:miter lim="800000"/>
            </a:ln>
            <a:effectLst/>
          </c:spPr>
          <c:invertIfNegative val="0"/>
          <c:cat>
            <c:numRef>
              <c:f>Acumulado!$Z$2:$AU$2</c:f>
              <c:numCache>
                <c:formatCode>d\-mmm</c:formatCode>
                <c:ptCount val="22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  <c:pt idx="11">
                  <c:v>44473</c:v>
                </c:pt>
                <c:pt idx="12">
                  <c:v>44480</c:v>
                </c:pt>
                <c:pt idx="13">
                  <c:v>44487</c:v>
                </c:pt>
                <c:pt idx="14">
                  <c:v>44494</c:v>
                </c:pt>
                <c:pt idx="15">
                  <c:v>44501</c:v>
                </c:pt>
                <c:pt idx="16">
                  <c:v>44508</c:v>
                </c:pt>
                <c:pt idx="17">
                  <c:v>44515</c:v>
                </c:pt>
                <c:pt idx="18">
                  <c:v>44522</c:v>
                </c:pt>
                <c:pt idx="19">
                  <c:v>44529</c:v>
                </c:pt>
                <c:pt idx="20">
                  <c:v>44571</c:v>
                </c:pt>
                <c:pt idx="21">
                  <c:v>44578</c:v>
                </c:pt>
              </c:numCache>
            </c:numRef>
          </c:cat>
          <c:val>
            <c:numRef>
              <c:f>Acumulado!$Z$4:$AU$4</c:f>
              <c:numCache>
                <c:formatCode>General</c:formatCode>
                <c:ptCount val="22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0</c:v>
                </c:pt>
                <c:pt idx="5">
                  <c:v>4</c:v>
                </c:pt>
                <c:pt idx="6">
                  <c:v>5</c:v>
                </c:pt>
                <c:pt idx="7">
                  <c:v>7</c:v>
                </c:pt>
                <c:pt idx="8">
                  <c:v>0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0</c:v>
                </c:pt>
                <c:pt idx="13">
                  <c:v>4</c:v>
                </c:pt>
                <c:pt idx="14">
                  <c:v>5</c:v>
                </c:pt>
                <c:pt idx="15">
                  <c:v>7</c:v>
                </c:pt>
                <c:pt idx="16">
                  <c:v>0</c:v>
                </c:pt>
                <c:pt idx="17">
                  <c:v>4</c:v>
                </c:pt>
                <c:pt idx="18">
                  <c:v>5</c:v>
                </c:pt>
                <c:pt idx="19">
                  <c:v>7</c:v>
                </c:pt>
                <c:pt idx="20">
                  <c:v>0</c:v>
                </c:pt>
                <c:pt idx="2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3-4129-88E9-A7E5F247FF2F}"/>
            </c:ext>
          </c:extLst>
        </c:ser>
        <c:ser>
          <c:idx val="2"/>
          <c:order val="2"/>
          <c:tx>
            <c:strRef>
              <c:f>Acumulado!$B$5</c:f>
              <c:strCache>
                <c:ptCount val="1"/>
                <c:pt idx="0">
                  <c:v>Elétrico</c:v>
                </c:pt>
              </c:strCache>
            </c:strRef>
          </c:tx>
          <c:spPr>
            <a:solidFill>
              <a:srgbClr val="FFC000"/>
            </a:solidFill>
            <a:ln w="127000">
              <a:solidFill>
                <a:srgbClr val="FF9900"/>
              </a:solidFill>
              <a:miter lim="800000"/>
            </a:ln>
            <a:effectLst/>
          </c:spPr>
          <c:invertIfNegative val="0"/>
          <c:cat>
            <c:numRef>
              <c:f>Acumulado!$Z$2:$AU$2</c:f>
              <c:numCache>
                <c:formatCode>d\-mmm</c:formatCode>
                <c:ptCount val="22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  <c:pt idx="11">
                  <c:v>44473</c:v>
                </c:pt>
                <c:pt idx="12">
                  <c:v>44480</c:v>
                </c:pt>
                <c:pt idx="13">
                  <c:v>44487</c:v>
                </c:pt>
                <c:pt idx="14">
                  <c:v>44494</c:v>
                </c:pt>
                <c:pt idx="15">
                  <c:v>44501</c:v>
                </c:pt>
                <c:pt idx="16">
                  <c:v>44508</c:v>
                </c:pt>
                <c:pt idx="17">
                  <c:v>44515</c:v>
                </c:pt>
                <c:pt idx="18">
                  <c:v>44522</c:v>
                </c:pt>
                <c:pt idx="19">
                  <c:v>44529</c:v>
                </c:pt>
                <c:pt idx="20">
                  <c:v>44571</c:v>
                </c:pt>
                <c:pt idx="21">
                  <c:v>44578</c:v>
                </c:pt>
              </c:numCache>
            </c:numRef>
          </c:cat>
          <c:val>
            <c:numRef>
              <c:f>Acumulado!$Z$5:$AU$5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3-4129-88E9-A7E5F247FF2F}"/>
            </c:ext>
          </c:extLst>
        </c:ser>
        <c:ser>
          <c:idx val="3"/>
          <c:order val="3"/>
          <c:tx>
            <c:strRef>
              <c:f>Acumulado!$B$6</c:f>
              <c:strCache>
                <c:ptCount val="1"/>
                <c:pt idx="0">
                  <c:v>Energia</c:v>
                </c:pt>
              </c:strCache>
            </c:strRef>
          </c:tx>
          <c:spPr>
            <a:solidFill>
              <a:srgbClr val="FFFF00"/>
            </a:solidFill>
            <a:ln w="127000">
              <a:solidFill>
                <a:srgbClr val="FFFF00"/>
              </a:solidFill>
              <a:miter lim="800000"/>
            </a:ln>
            <a:effectLst/>
          </c:spPr>
          <c:invertIfNegative val="0"/>
          <c:cat>
            <c:numRef>
              <c:f>Acumulado!$Z$2:$AU$2</c:f>
              <c:numCache>
                <c:formatCode>d\-mmm</c:formatCode>
                <c:ptCount val="22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  <c:pt idx="11">
                  <c:v>44473</c:v>
                </c:pt>
                <c:pt idx="12">
                  <c:v>44480</c:v>
                </c:pt>
                <c:pt idx="13">
                  <c:v>44487</c:v>
                </c:pt>
                <c:pt idx="14">
                  <c:v>44494</c:v>
                </c:pt>
                <c:pt idx="15">
                  <c:v>44501</c:v>
                </c:pt>
                <c:pt idx="16">
                  <c:v>44508</c:v>
                </c:pt>
                <c:pt idx="17">
                  <c:v>44515</c:v>
                </c:pt>
                <c:pt idx="18">
                  <c:v>44522</c:v>
                </c:pt>
                <c:pt idx="19">
                  <c:v>44529</c:v>
                </c:pt>
                <c:pt idx="20">
                  <c:v>44571</c:v>
                </c:pt>
                <c:pt idx="21">
                  <c:v>44578</c:v>
                </c:pt>
              </c:numCache>
            </c:numRef>
          </c:cat>
          <c:val>
            <c:numRef>
              <c:f>Acumulado!$Z$6:$AU$6</c:f>
              <c:numCache>
                <c:formatCode>General</c:formatCode>
                <c:ptCount val="2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23-4129-88E9-A7E5F247FF2F}"/>
            </c:ext>
          </c:extLst>
        </c:ser>
        <c:ser>
          <c:idx val="4"/>
          <c:order val="4"/>
          <c:tx>
            <c:strRef>
              <c:f>Acumulado!$B$7</c:f>
              <c:strCache>
                <c:ptCount val="1"/>
                <c:pt idx="0">
                  <c:v>Chuva</c:v>
                </c:pt>
              </c:strCache>
            </c:strRef>
          </c:tx>
          <c:spPr>
            <a:solidFill>
              <a:srgbClr val="00B0F0"/>
            </a:solidFill>
            <a:ln w="127000">
              <a:solidFill>
                <a:srgbClr val="00B0F0"/>
              </a:solidFill>
              <a:miter lim="800000"/>
            </a:ln>
            <a:effectLst/>
          </c:spPr>
          <c:invertIfNegative val="0"/>
          <c:cat>
            <c:numRef>
              <c:f>Acumulado!$Z$2:$AU$2</c:f>
              <c:numCache>
                <c:formatCode>d\-mmm</c:formatCode>
                <c:ptCount val="22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  <c:pt idx="11">
                  <c:v>44473</c:v>
                </c:pt>
                <c:pt idx="12">
                  <c:v>44480</c:v>
                </c:pt>
                <c:pt idx="13">
                  <c:v>44487</c:v>
                </c:pt>
                <c:pt idx="14">
                  <c:v>44494</c:v>
                </c:pt>
                <c:pt idx="15">
                  <c:v>44501</c:v>
                </c:pt>
                <c:pt idx="16">
                  <c:v>44508</c:v>
                </c:pt>
                <c:pt idx="17">
                  <c:v>44515</c:v>
                </c:pt>
                <c:pt idx="18">
                  <c:v>44522</c:v>
                </c:pt>
                <c:pt idx="19">
                  <c:v>44529</c:v>
                </c:pt>
                <c:pt idx="20">
                  <c:v>44571</c:v>
                </c:pt>
                <c:pt idx="21">
                  <c:v>44578</c:v>
                </c:pt>
              </c:numCache>
            </c:numRef>
          </c:cat>
          <c:val>
            <c:numRef>
              <c:f>Acumulado!$Z$7:$AU$7</c:f>
              <c:numCache>
                <c:formatCode>General</c:formatCode>
                <c:ptCount val="22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0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23-4129-88E9-A7E5F247FF2F}"/>
            </c:ext>
          </c:extLst>
        </c:ser>
        <c:ser>
          <c:idx val="5"/>
          <c:order val="5"/>
          <c:tx>
            <c:strRef>
              <c:f>Acumulado!$B$8</c:f>
              <c:strCache>
                <c:ptCount val="1"/>
                <c:pt idx="0">
                  <c:v>Operação</c:v>
                </c:pt>
              </c:strCache>
            </c:strRef>
          </c:tx>
          <c:spPr>
            <a:solidFill>
              <a:srgbClr val="7030A0"/>
            </a:solidFill>
            <a:ln w="127000">
              <a:solidFill>
                <a:srgbClr val="7030A0"/>
              </a:solidFill>
              <a:miter lim="800000"/>
            </a:ln>
            <a:effectLst/>
          </c:spPr>
          <c:invertIfNegative val="0"/>
          <c:cat>
            <c:numRef>
              <c:f>Acumulado!$Z$2:$AU$2</c:f>
              <c:numCache>
                <c:formatCode>d\-mmm</c:formatCode>
                <c:ptCount val="22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  <c:pt idx="11">
                  <c:v>44473</c:v>
                </c:pt>
                <c:pt idx="12">
                  <c:v>44480</c:v>
                </c:pt>
                <c:pt idx="13">
                  <c:v>44487</c:v>
                </c:pt>
                <c:pt idx="14">
                  <c:v>44494</c:v>
                </c:pt>
                <c:pt idx="15">
                  <c:v>44501</c:v>
                </c:pt>
                <c:pt idx="16">
                  <c:v>44508</c:v>
                </c:pt>
                <c:pt idx="17">
                  <c:v>44515</c:v>
                </c:pt>
                <c:pt idx="18">
                  <c:v>44522</c:v>
                </c:pt>
                <c:pt idx="19">
                  <c:v>44529</c:v>
                </c:pt>
                <c:pt idx="20">
                  <c:v>44571</c:v>
                </c:pt>
                <c:pt idx="21">
                  <c:v>44578</c:v>
                </c:pt>
              </c:numCache>
            </c:numRef>
          </c:cat>
          <c:val>
            <c:numRef>
              <c:f>Acumulado!$Z$8:$AU$8</c:f>
              <c:numCache>
                <c:formatCode>General</c:formatCode>
                <c:ptCount val="22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5</c:v>
                </c:pt>
                <c:pt idx="10">
                  <c:v>3</c:v>
                </c:pt>
                <c:pt idx="11">
                  <c:v>5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  <c:pt idx="15">
                  <c:v>5</c:v>
                </c:pt>
                <c:pt idx="16">
                  <c:v>3</c:v>
                </c:pt>
                <c:pt idx="17">
                  <c:v>5</c:v>
                </c:pt>
                <c:pt idx="18">
                  <c:v>3</c:v>
                </c:pt>
                <c:pt idx="19">
                  <c:v>5</c:v>
                </c:pt>
                <c:pt idx="20">
                  <c:v>3</c:v>
                </c:pt>
                <c:pt idx="2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23-4129-88E9-A7E5F247F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207490255"/>
        <c:axId val="1207491087"/>
      </c:barChart>
      <c:dateAx>
        <c:axId val="1207490255"/>
        <c:scaling>
          <c:orientation val="minMax"/>
          <c:min val="44378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491087"/>
        <c:crosses val="autoZero"/>
        <c:auto val="1"/>
        <c:lblOffset val="100"/>
        <c:baseTimeUnit val="days"/>
        <c:majorUnit val="7"/>
        <c:majorTimeUnit val="days"/>
      </c:dateAx>
      <c:valAx>
        <c:axId val="120749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49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Atendimento de irrigação. Planejando vs Executado - 1°semestre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Acumulado!$B$3</c:f>
              <c:strCache>
                <c:ptCount val="1"/>
                <c:pt idx="0">
                  <c:v>Feito</c:v>
                </c:pt>
              </c:strCache>
            </c:strRef>
          </c:tx>
          <c:spPr>
            <a:solidFill>
              <a:srgbClr val="00B050"/>
            </a:solidFill>
            <a:ln w="127000">
              <a:solidFill>
                <a:srgbClr val="00B050"/>
              </a:solidFill>
              <a:miter lim="800000"/>
            </a:ln>
            <a:effectLst/>
          </c:spPr>
          <c:invertIfNegative val="0"/>
          <c:cat>
            <c:numRef>
              <c:f>Acumulado!$AV$2:$BS$2</c:f>
              <c:numCache>
                <c:formatCode>d\-mmm</c:formatCode>
                <c:ptCount val="24"/>
                <c:pt idx="0">
                  <c:v>44585</c:v>
                </c:pt>
                <c:pt idx="1">
                  <c:v>44592</c:v>
                </c:pt>
                <c:pt idx="2">
                  <c:v>44599</c:v>
                </c:pt>
                <c:pt idx="3">
                  <c:v>44606</c:v>
                </c:pt>
                <c:pt idx="4">
                  <c:v>44613</c:v>
                </c:pt>
                <c:pt idx="5">
                  <c:v>44620</c:v>
                </c:pt>
                <c:pt idx="6">
                  <c:v>44627</c:v>
                </c:pt>
                <c:pt idx="7">
                  <c:v>44634</c:v>
                </c:pt>
                <c:pt idx="8">
                  <c:v>44641</c:v>
                </c:pt>
                <c:pt idx="9">
                  <c:v>44648</c:v>
                </c:pt>
                <c:pt idx="10">
                  <c:v>44655</c:v>
                </c:pt>
                <c:pt idx="11">
                  <c:v>44662</c:v>
                </c:pt>
                <c:pt idx="12">
                  <c:v>44669</c:v>
                </c:pt>
                <c:pt idx="13">
                  <c:v>44676</c:v>
                </c:pt>
                <c:pt idx="14">
                  <c:v>44683</c:v>
                </c:pt>
                <c:pt idx="15">
                  <c:v>44690</c:v>
                </c:pt>
                <c:pt idx="16">
                  <c:v>44697</c:v>
                </c:pt>
                <c:pt idx="17">
                  <c:v>44704</c:v>
                </c:pt>
                <c:pt idx="18">
                  <c:v>44711</c:v>
                </c:pt>
                <c:pt idx="19">
                  <c:v>44718</c:v>
                </c:pt>
                <c:pt idx="20">
                  <c:v>44725</c:v>
                </c:pt>
                <c:pt idx="21">
                  <c:v>44732</c:v>
                </c:pt>
                <c:pt idx="22">
                  <c:v>44739</c:v>
                </c:pt>
                <c:pt idx="23">
                  <c:v>44746</c:v>
                </c:pt>
              </c:numCache>
            </c:numRef>
          </c:cat>
          <c:val>
            <c:numRef>
              <c:f>Acumulado!$AV$3:$BS$3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137</c:v>
                </c:pt>
                <c:pt idx="6">
                  <c:v>149</c:v>
                </c:pt>
                <c:pt idx="7">
                  <c:v>105</c:v>
                </c:pt>
                <c:pt idx="8">
                  <c:v>161</c:v>
                </c:pt>
                <c:pt idx="9">
                  <c:v>173</c:v>
                </c:pt>
                <c:pt idx="10">
                  <c:v>209</c:v>
                </c:pt>
                <c:pt idx="11">
                  <c:v>0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227</c:v>
                </c:pt>
                <c:pt idx="16">
                  <c:v>199</c:v>
                </c:pt>
                <c:pt idx="17">
                  <c:v>197</c:v>
                </c:pt>
                <c:pt idx="18">
                  <c:v>196</c:v>
                </c:pt>
                <c:pt idx="19">
                  <c:v>187</c:v>
                </c:pt>
                <c:pt idx="20">
                  <c:v>171</c:v>
                </c:pt>
                <c:pt idx="21">
                  <c:v>149</c:v>
                </c:pt>
                <c:pt idx="22">
                  <c:v>127</c:v>
                </c:pt>
                <c:pt idx="23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1-487B-A6D4-2AA16C6474CA}"/>
            </c:ext>
          </c:extLst>
        </c:ser>
        <c:ser>
          <c:idx val="1"/>
          <c:order val="1"/>
          <c:tx>
            <c:strRef>
              <c:f>Acumulado!$B$4</c:f>
              <c:strCache>
                <c:ptCount val="1"/>
                <c:pt idx="0">
                  <c:v>Mecânico</c:v>
                </c:pt>
              </c:strCache>
            </c:strRef>
          </c:tx>
          <c:spPr>
            <a:solidFill>
              <a:srgbClr val="FF0000"/>
            </a:solidFill>
            <a:ln w="127000">
              <a:solidFill>
                <a:srgbClr val="FF0000"/>
              </a:solidFill>
              <a:miter lim="800000"/>
            </a:ln>
            <a:effectLst/>
          </c:spPr>
          <c:invertIfNegative val="0"/>
          <c:cat>
            <c:numRef>
              <c:f>Acumulado!$AV$2:$BS$2</c:f>
              <c:numCache>
                <c:formatCode>d\-mmm</c:formatCode>
                <c:ptCount val="24"/>
                <c:pt idx="0">
                  <c:v>44585</c:v>
                </c:pt>
                <c:pt idx="1">
                  <c:v>44592</c:v>
                </c:pt>
                <c:pt idx="2">
                  <c:v>44599</c:v>
                </c:pt>
                <c:pt idx="3">
                  <c:v>44606</c:v>
                </c:pt>
                <c:pt idx="4">
                  <c:v>44613</c:v>
                </c:pt>
                <c:pt idx="5">
                  <c:v>44620</c:v>
                </c:pt>
                <c:pt idx="6">
                  <c:v>44627</c:v>
                </c:pt>
                <c:pt idx="7">
                  <c:v>44634</c:v>
                </c:pt>
                <c:pt idx="8">
                  <c:v>44641</c:v>
                </c:pt>
                <c:pt idx="9">
                  <c:v>44648</c:v>
                </c:pt>
                <c:pt idx="10">
                  <c:v>44655</c:v>
                </c:pt>
                <c:pt idx="11">
                  <c:v>44662</c:v>
                </c:pt>
                <c:pt idx="12">
                  <c:v>44669</c:v>
                </c:pt>
                <c:pt idx="13">
                  <c:v>44676</c:v>
                </c:pt>
                <c:pt idx="14">
                  <c:v>44683</c:v>
                </c:pt>
                <c:pt idx="15">
                  <c:v>44690</c:v>
                </c:pt>
                <c:pt idx="16">
                  <c:v>44697</c:v>
                </c:pt>
                <c:pt idx="17">
                  <c:v>44704</c:v>
                </c:pt>
                <c:pt idx="18">
                  <c:v>44711</c:v>
                </c:pt>
                <c:pt idx="19">
                  <c:v>44718</c:v>
                </c:pt>
                <c:pt idx="20">
                  <c:v>44725</c:v>
                </c:pt>
                <c:pt idx="21">
                  <c:v>44732</c:v>
                </c:pt>
                <c:pt idx="22">
                  <c:v>44739</c:v>
                </c:pt>
                <c:pt idx="23">
                  <c:v>44746</c:v>
                </c:pt>
              </c:numCache>
            </c:numRef>
          </c:cat>
          <c:val>
            <c:numRef>
              <c:f>Acumulado!$AV$4:$BS$4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17</c:v>
                </c:pt>
                <c:pt idx="6">
                  <c:v>10</c:v>
                </c:pt>
                <c:pt idx="7">
                  <c:v>18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0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7</c:v>
                </c:pt>
                <c:pt idx="16">
                  <c:v>7</c:v>
                </c:pt>
                <c:pt idx="17">
                  <c:v>20</c:v>
                </c:pt>
                <c:pt idx="18">
                  <c:v>5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71-487B-A6D4-2AA16C6474CA}"/>
            </c:ext>
          </c:extLst>
        </c:ser>
        <c:ser>
          <c:idx val="2"/>
          <c:order val="2"/>
          <c:tx>
            <c:strRef>
              <c:f>Acumulado!$B$5</c:f>
              <c:strCache>
                <c:ptCount val="1"/>
                <c:pt idx="0">
                  <c:v>Elétrico</c:v>
                </c:pt>
              </c:strCache>
            </c:strRef>
          </c:tx>
          <c:spPr>
            <a:solidFill>
              <a:srgbClr val="FFC000"/>
            </a:solidFill>
            <a:ln w="127000">
              <a:solidFill>
                <a:srgbClr val="FF9900"/>
              </a:solidFill>
              <a:miter lim="800000"/>
            </a:ln>
            <a:effectLst/>
          </c:spPr>
          <c:invertIfNegative val="0"/>
          <c:cat>
            <c:numRef>
              <c:f>Acumulado!$AV$2:$BS$2</c:f>
              <c:numCache>
                <c:formatCode>d\-mmm</c:formatCode>
                <c:ptCount val="24"/>
                <c:pt idx="0">
                  <c:v>44585</c:v>
                </c:pt>
                <c:pt idx="1">
                  <c:v>44592</c:v>
                </c:pt>
                <c:pt idx="2">
                  <c:v>44599</c:v>
                </c:pt>
                <c:pt idx="3">
                  <c:v>44606</c:v>
                </c:pt>
                <c:pt idx="4">
                  <c:v>44613</c:v>
                </c:pt>
                <c:pt idx="5">
                  <c:v>44620</c:v>
                </c:pt>
                <c:pt idx="6">
                  <c:v>44627</c:v>
                </c:pt>
                <c:pt idx="7">
                  <c:v>44634</c:v>
                </c:pt>
                <c:pt idx="8">
                  <c:v>44641</c:v>
                </c:pt>
                <c:pt idx="9">
                  <c:v>44648</c:v>
                </c:pt>
                <c:pt idx="10">
                  <c:v>44655</c:v>
                </c:pt>
                <c:pt idx="11">
                  <c:v>44662</c:v>
                </c:pt>
                <c:pt idx="12">
                  <c:v>44669</c:v>
                </c:pt>
                <c:pt idx="13">
                  <c:v>44676</c:v>
                </c:pt>
                <c:pt idx="14">
                  <c:v>44683</c:v>
                </c:pt>
                <c:pt idx="15">
                  <c:v>44690</c:v>
                </c:pt>
                <c:pt idx="16">
                  <c:v>44697</c:v>
                </c:pt>
                <c:pt idx="17">
                  <c:v>44704</c:v>
                </c:pt>
                <c:pt idx="18">
                  <c:v>44711</c:v>
                </c:pt>
                <c:pt idx="19">
                  <c:v>44718</c:v>
                </c:pt>
                <c:pt idx="20">
                  <c:v>44725</c:v>
                </c:pt>
                <c:pt idx="21">
                  <c:v>44732</c:v>
                </c:pt>
                <c:pt idx="22">
                  <c:v>44739</c:v>
                </c:pt>
                <c:pt idx="23">
                  <c:v>44746</c:v>
                </c:pt>
              </c:numCache>
            </c:numRef>
          </c:cat>
          <c:val>
            <c:numRef>
              <c:f>Acumulado!$AV$5:$BS$5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14</c:v>
                </c:pt>
                <c:pt idx="6">
                  <c:v>7</c:v>
                </c:pt>
                <c:pt idx="7">
                  <c:v>13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1</c:v>
                </c:pt>
                <c:pt idx="12">
                  <c:v>0</c:v>
                </c:pt>
                <c:pt idx="13">
                  <c:v>4</c:v>
                </c:pt>
                <c:pt idx="14">
                  <c:v>5</c:v>
                </c:pt>
                <c:pt idx="15">
                  <c:v>3</c:v>
                </c:pt>
                <c:pt idx="16">
                  <c:v>8</c:v>
                </c:pt>
                <c:pt idx="17">
                  <c:v>5</c:v>
                </c:pt>
                <c:pt idx="18">
                  <c:v>7</c:v>
                </c:pt>
                <c:pt idx="19">
                  <c:v>6</c:v>
                </c:pt>
                <c:pt idx="20">
                  <c:v>13</c:v>
                </c:pt>
                <c:pt idx="21">
                  <c:v>2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71-487B-A6D4-2AA16C6474CA}"/>
            </c:ext>
          </c:extLst>
        </c:ser>
        <c:ser>
          <c:idx val="3"/>
          <c:order val="3"/>
          <c:tx>
            <c:strRef>
              <c:f>Acumulado!$B$6</c:f>
              <c:strCache>
                <c:ptCount val="1"/>
                <c:pt idx="0">
                  <c:v>Energia</c:v>
                </c:pt>
              </c:strCache>
            </c:strRef>
          </c:tx>
          <c:spPr>
            <a:solidFill>
              <a:srgbClr val="FFFF00"/>
            </a:solidFill>
            <a:ln w="127000">
              <a:solidFill>
                <a:srgbClr val="FFFF00"/>
              </a:solidFill>
              <a:miter lim="800000"/>
            </a:ln>
            <a:effectLst/>
          </c:spPr>
          <c:invertIfNegative val="0"/>
          <c:cat>
            <c:numRef>
              <c:f>Acumulado!$AV$2:$BS$2</c:f>
              <c:numCache>
                <c:formatCode>d\-mmm</c:formatCode>
                <c:ptCount val="24"/>
                <c:pt idx="0">
                  <c:v>44585</c:v>
                </c:pt>
                <c:pt idx="1">
                  <c:v>44592</c:v>
                </c:pt>
                <c:pt idx="2">
                  <c:v>44599</c:v>
                </c:pt>
                <c:pt idx="3">
                  <c:v>44606</c:v>
                </c:pt>
                <c:pt idx="4">
                  <c:v>44613</c:v>
                </c:pt>
                <c:pt idx="5">
                  <c:v>44620</c:v>
                </c:pt>
                <c:pt idx="6">
                  <c:v>44627</c:v>
                </c:pt>
                <c:pt idx="7">
                  <c:v>44634</c:v>
                </c:pt>
                <c:pt idx="8">
                  <c:v>44641</c:v>
                </c:pt>
                <c:pt idx="9">
                  <c:v>44648</c:v>
                </c:pt>
                <c:pt idx="10">
                  <c:v>44655</c:v>
                </c:pt>
                <c:pt idx="11">
                  <c:v>44662</c:v>
                </c:pt>
                <c:pt idx="12">
                  <c:v>44669</c:v>
                </c:pt>
                <c:pt idx="13">
                  <c:v>44676</c:v>
                </c:pt>
                <c:pt idx="14">
                  <c:v>44683</c:v>
                </c:pt>
                <c:pt idx="15">
                  <c:v>44690</c:v>
                </c:pt>
                <c:pt idx="16">
                  <c:v>44697</c:v>
                </c:pt>
                <c:pt idx="17">
                  <c:v>44704</c:v>
                </c:pt>
                <c:pt idx="18">
                  <c:v>44711</c:v>
                </c:pt>
                <c:pt idx="19">
                  <c:v>44718</c:v>
                </c:pt>
                <c:pt idx="20">
                  <c:v>44725</c:v>
                </c:pt>
                <c:pt idx="21">
                  <c:v>44732</c:v>
                </c:pt>
                <c:pt idx="22">
                  <c:v>44739</c:v>
                </c:pt>
                <c:pt idx="23">
                  <c:v>44746</c:v>
                </c:pt>
              </c:numCache>
            </c:numRef>
          </c:cat>
          <c:val>
            <c:numRef>
              <c:f>Acumulado!$AV$6:$BS$6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4</c:v>
                </c:pt>
                <c:pt idx="3">
                  <c:v>6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4</c:v>
                </c:pt>
                <c:pt idx="12">
                  <c:v>6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71-487B-A6D4-2AA16C6474CA}"/>
            </c:ext>
          </c:extLst>
        </c:ser>
        <c:ser>
          <c:idx val="4"/>
          <c:order val="4"/>
          <c:tx>
            <c:strRef>
              <c:f>Acumulado!$B$7</c:f>
              <c:strCache>
                <c:ptCount val="1"/>
                <c:pt idx="0">
                  <c:v>Chuva</c:v>
                </c:pt>
              </c:strCache>
            </c:strRef>
          </c:tx>
          <c:spPr>
            <a:solidFill>
              <a:srgbClr val="00B0F0"/>
            </a:solidFill>
            <a:ln w="127000">
              <a:solidFill>
                <a:srgbClr val="00B0F0"/>
              </a:solidFill>
              <a:miter lim="800000"/>
            </a:ln>
            <a:effectLst/>
          </c:spPr>
          <c:invertIfNegative val="0"/>
          <c:cat>
            <c:numRef>
              <c:f>Acumulado!$AV$2:$BS$2</c:f>
              <c:numCache>
                <c:formatCode>d\-mmm</c:formatCode>
                <c:ptCount val="24"/>
                <c:pt idx="0">
                  <c:v>44585</c:v>
                </c:pt>
                <c:pt idx="1">
                  <c:v>44592</c:v>
                </c:pt>
                <c:pt idx="2">
                  <c:v>44599</c:v>
                </c:pt>
                <c:pt idx="3">
                  <c:v>44606</c:v>
                </c:pt>
                <c:pt idx="4">
                  <c:v>44613</c:v>
                </c:pt>
                <c:pt idx="5">
                  <c:v>44620</c:v>
                </c:pt>
                <c:pt idx="6">
                  <c:v>44627</c:v>
                </c:pt>
                <c:pt idx="7">
                  <c:v>44634</c:v>
                </c:pt>
                <c:pt idx="8">
                  <c:v>44641</c:v>
                </c:pt>
                <c:pt idx="9">
                  <c:v>44648</c:v>
                </c:pt>
                <c:pt idx="10">
                  <c:v>44655</c:v>
                </c:pt>
                <c:pt idx="11">
                  <c:v>44662</c:v>
                </c:pt>
                <c:pt idx="12">
                  <c:v>44669</c:v>
                </c:pt>
                <c:pt idx="13">
                  <c:v>44676</c:v>
                </c:pt>
                <c:pt idx="14">
                  <c:v>44683</c:v>
                </c:pt>
                <c:pt idx="15">
                  <c:v>44690</c:v>
                </c:pt>
                <c:pt idx="16">
                  <c:v>44697</c:v>
                </c:pt>
                <c:pt idx="17">
                  <c:v>44704</c:v>
                </c:pt>
                <c:pt idx="18">
                  <c:v>44711</c:v>
                </c:pt>
                <c:pt idx="19">
                  <c:v>44718</c:v>
                </c:pt>
                <c:pt idx="20">
                  <c:v>44725</c:v>
                </c:pt>
                <c:pt idx="21">
                  <c:v>44732</c:v>
                </c:pt>
                <c:pt idx="22">
                  <c:v>44739</c:v>
                </c:pt>
                <c:pt idx="23">
                  <c:v>44746</c:v>
                </c:pt>
              </c:numCache>
            </c:numRef>
          </c:cat>
          <c:val>
            <c:numRef>
              <c:f>Acumulado!$AV$7:$BS$7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17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71-487B-A6D4-2AA16C6474CA}"/>
            </c:ext>
          </c:extLst>
        </c:ser>
        <c:ser>
          <c:idx val="5"/>
          <c:order val="5"/>
          <c:tx>
            <c:strRef>
              <c:f>Acumulado!$B$8</c:f>
              <c:strCache>
                <c:ptCount val="1"/>
                <c:pt idx="0">
                  <c:v>Operação</c:v>
                </c:pt>
              </c:strCache>
            </c:strRef>
          </c:tx>
          <c:spPr>
            <a:solidFill>
              <a:srgbClr val="7030A0"/>
            </a:solidFill>
            <a:ln w="127000">
              <a:solidFill>
                <a:srgbClr val="7030A0"/>
              </a:solidFill>
              <a:miter lim="800000"/>
            </a:ln>
            <a:effectLst/>
          </c:spPr>
          <c:invertIfNegative val="0"/>
          <c:cat>
            <c:numRef>
              <c:f>Acumulado!$AV$2:$BS$2</c:f>
              <c:numCache>
                <c:formatCode>d\-mmm</c:formatCode>
                <c:ptCount val="24"/>
                <c:pt idx="0">
                  <c:v>44585</c:v>
                </c:pt>
                <c:pt idx="1">
                  <c:v>44592</c:v>
                </c:pt>
                <c:pt idx="2">
                  <c:v>44599</c:v>
                </c:pt>
                <c:pt idx="3">
                  <c:v>44606</c:v>
                </c:pt>
                <c:pt idx="4">
                  <c:v>44613</c:v>
                </c:pt>
                <c:pt idx="5">
                  <c:v>44620</c:v>
                </c:pt>
                <c:pt idx="6">
                  <c:v>44627</c:v>
                </c:pt>
                <c:pt idx="7">
                  <c:v>44634</c:v>
                </c:pt>
                <c:pt idx="8">
                  <c:v>44641</c:v>
                </c:pt>
                <c:pt idx="9">
                  <c:v>44648</c:v>
                </c:pt>
                <c:pt idx="10">
                  <c:v>44655</c:v>
                </c:pt>
                <c:pt idx="11">
                  <c:v>44662</c:v>
                </c:pt>
                <c:pt idx="12">
                  <c:v>44669</c:v>
                </c:pt>
                <c:pt idx="13">
                  <c:v>44676</c:v>
                </c:pt>
                <c:pt idx="14">
                  <c:v>44683</c:v>
                </c:pt>
                <c:pt idx="15">
                  <c:v>44690</c:v>
                </c:pt>
                <c:pt idx="16">
                  <c:v>44697</c:v>
                </c:pt>
                <c:pt idx="17">
                  <c:v>44704</c:v>
                </c:pt>
                <c:pt idx="18">
                  <c:v>44711</c:v>
                </c:pt>
                <c:pt idx="19">
                  <c:v>44718</c:v>
                </c:pt>
                <c:pt idx="20">
                  <c:v>44725</c:v>
                </c:pt>
                <c:pt idx="21">
                  <c:v>44732</c:v>
                </c:pt>
                <c:pt idx="22">
                  <c:v>44739</c:v>
                </c:pt>
                <c:pt idx="23">
                  <c:v>44746</c:v>
                </c:pt>
              </c:numCache>
            </c:numRef>
          </c:cat>
          <c:val>
            <c:numRef>
              <c:f>Acumulado!$AV$8:$BS$8</c:f>
              <c:numCache>
                <c:formatCode>General</c:formatCode>
                <c:ptCount val="2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4</c:v>
                </c:pt>
                <c:pt idx="5">
                  <c:v>16</c:v>
                </c:pt>
                <c:pt idx="6">
                  <c:v>19</c:v>
                </c:pt>
                <c:pt idx="7">
                  <c:v>11</c:v>
                </c:pt>
                <c:pt idx="8">
                  <c:v>12</c:v>
                </c:pt>
                <c:pt idx="9">
                  <c:v>6</c:v>
                </c:pt>
                <c:pt idx="10">
                  <c:v>6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9</c:v>
                </c:pt>
                <c:pt idx="19">
                  <c:v>6</c:v>
                </c:pt>
                <c:pt idx="20">
                  <c:v>11</c:v>
                </c:pt>
                <c:pt idx="21">
                  <c:v>7</c:v>
                </c:pt>
                <c:pt idx="22">
                  <c:v>9</c:v>
                </c:pt>
                <c:pt idx="2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71-487B-A6D4-2AA16C647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1207490255"/>
        <c:axId val="1207491087"/>
      </c:barChart>
      <c:dateAx>
        <c:axId val="1207490255"/>
        <c:scaling>
          <c:orientation val="minMax"/>
          <c:min val="44571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491087"/>
        <c:crosses val="autoZero"/>
        <c:auto val="1"/>
        <c:lblOffset val="100"/>
        <c:baseTimeUnit val="days"/>
        <c:majorUnit val="2"/>
        <c:majorTimeUnit val="days"/>
      </c:dateAx>
      <c:valAx>
        <c:axId val="120749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49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DE1-4FE8-BF09-D53F21CCBD4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E1-4FE8-BF09-D53F21CCBD4F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DE1-4FE8-BF09-D53F21CCBD4F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DE1-4FE8-BF09-D53F21CCBD4F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DE1-4FE8-BF09-D53F21CCBD4F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DE1-4FE8-BF09-D53F21CCBD4F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E1-4FE8-BF09-D53F21CCBD4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DE1-4FE8-BF09-D53F21CCBD4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2DE1-4FE8-BF09-D53F21CCBD4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DE1-4FE8-BF09-D53F21CCBD4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2DE1-4FE8-BF09-D53F21CCBD4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DE1-4FE8-BF09-D53F21CCBD4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 12 2020'!$L$5:$L$10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'17 12 2020'!$M$5:$M$10</c:f>
              <c:numCache>
                <c:formatCode>General</c:formatCode>
                <c:ptCount val="6"/>
                <c:pt idx="0">
                  <c:v>81</c:v>
                </c:pt>
                <c:pt idx="1">
                  <c:v>12</c:v>
                </c:pt>
                <c:pt idx="2">
                  <c:v>3</c:v>
                </c:pt>
                <c:pt idx="3">
                  <c:v>12</c:v>
                </c:pt>
                <c:pt idx="4">
                  <c:v>24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1-4FE8-BF09-D53F21CCBD4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85-46B4-87AC-C189192E9B9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85-46B4-87AC-C189192E9B92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285-46B4-87AC-C189192E9B92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285-46B4-87AC-C189192E9B92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285-46B4-87AC-C189192E9B92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285-46B4-87AC-C189192E9B92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85-46B4-87AC-C189192E9B9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285-46B4-87AC-C189192E9B9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285-46B4-87AC-C189192E9B9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285-46B4-87AC-C189192E9B9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285-46B4-87AC-C189192E9B9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285-46B4-87AC-C189192E9B92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 12 2020'!$L$5:$L$10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'25 12 2020'!$M$5:$M$10</c:f>
              <c:numCache>
                <c:formatCode>General</c:formatCode>
                <c:ptCount val="6"/>
                <c:pt idx="0">
                  <c:v>101</c:v>
                </c:pt>
                <c:pt idx="1">
                  <c:v>10</c:v>
                </c:pt>
                <c:pt idx="2">
                  <c:v>6</c:v>
                </c:pt>
                <c:pt idx="3">
                  <c:v>2</c:v>
                </c:pt>
                <c:pt idx="4">
                  <c:v>0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285-46B4-87AC-C189192E9B9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48A-4FF9-ACEE-8F63C3ED7F6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48A-4FF9-ACEE-8F63C3ED7F61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48A-4FF9-ACEE-8F63C3ED7F61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48A-4FF9-ACEE-8F63C3ED7F61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48A-4FF9-ACEE-8F63C3ED7F61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48A-4FF9-ACEE-8F63C3ED7F61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8A-4FF9-ACEE-8F63C3ED7F6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48A-4FF9-ACEE-8F63C3ED7F6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848A-4FF9-ACEE-8F63C3ED7F6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848A-4FF9-ACEE-8F63C3ED7F6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848A-4FF9-ACEE-8F63C3ED7F6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848A-4FF9-ACEE-8F63C3ED7F6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 01 2021 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'02 01 2021 '!$M$5:$M$10</c:f>
              <c:numCache>
                <c:formatCode>General</c:formatCode>
                <c:ptCount val="6"/>
                <c:pt idx="0">
                  <c:v>38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39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48A-4FF9-ACEE-8F63C3ED7F6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D25-4A73-82A9-DC27C74F398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D25-4A73-82A9-DC27C74F3987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D25-4A73-82A9-DC27C74F3987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D25-4A73-82A9-DC27C74F3987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D25-4A73-82A9-DC27C74F3987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D25-4A73-82A9-DC27C74F3987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25-4A73-82A9-DC27C74F398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D25-4A73-82A9-DC27C74F398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D25-4A73-82A9-DC27C74F398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0D25-4A73-82A9-DC27C74F398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0D25-4A73-82A9-DC27C74F398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0D25-4A73-82A9-DC27C74F398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 01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'14 01 2021'!$M$5:$M$10</c:f>
              <c:numCache>
                <c:formatCode>General</c:formatCode>
                <c:ptCount val="6"/>
                <c:pt idx="0">
                  <c:v>38</c:v>
                </c:pt>
                <c:pt idx="1">
                  <c:v>13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D25-4A73-82A9-DC27C74F398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00-47B8-9083-30629C8472E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00-47B8-9083-30629C8472E5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00-47B8-9083-30629C8472E5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200-47B8-9083-30629C8472E5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200-47B8-9083-30629C8472E5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200-47B8-9083-30629C8472E5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00-47B8-9083-30629C8472E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200-47B8-9083-30629C8472E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200-47B8-9083-30629C8472E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3200-47B8-9083-30629C8472E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3200-47B8-9083-30629C8472E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3200-47B8-9083-30629C8472E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 01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'22 01 2021'!$M$5:$M$10</c:f>
              <c:numCache>
                <c:formatCode>General</c:formatCode>
                <c:ptCount val="6"/>
                <c:pt idx="0">
                  <c:v>118</c:v>
                </c:pt>
                <c:pt idx="1">
                  <c:v>19</c:v>
                </c:pt>
                <c:pt idx="2">
                  <c:v>4</c:v>
                </c:pt>
                <c:pt idx="3">
                  <c:v>19</c:v>
                </c:pt>
                <c:pt idx="4">
                  <c:v>0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200-47B8-9083-30629C8472E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01-4C56-8D1A-0D32CB7D1F6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01-4C56-8D1A-0D32CB7D1F60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01-4C56-8D1A-0D32CB7D1F6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201-4C56-8D1A-0D32CB7D1F60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201-4C56-8D1A-0D32CB7D1F60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201-4C56-8D1A-0D32CB7D1F60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01-4C56-8D1A-0D32CB7D1F6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201-4C56-8D1A-0D32CB7D1F6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201-4C56-8D1A-0D32CB7D1F6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201-4C56-8D1A-0D32CB7D1F6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201-4C56-8D1A-0D32CB7D1F6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6201-4C56-8D1A-0D32CB7D1F6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 01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'30 01 2021'!$M$5:$M$10</c:f>
              <c:numCache>
                <c:formatCode>General</c:formatCode>
                <c:ptCount val="6"/>
                <c:pt idx="0">
                  <c:v>122</c:v>
                </c:pt>
                <c:pt idx="1">
                  <c:v>12</c:v>
                </c:pt>
                <c:pt idx="2">
                  <c:v>0</c:v>
                </c:pt>
                <c:pt idx="3">
                  <c:v>18</c:v>
                </c:pt>
                <c:pt idx="4">
                  <c:v>2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01-4C56-8D1A-0D32CB7D1F6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E87-47E3-8E92-408B82D3FD2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E87-47E3-8E92-408B82D3FD2E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E87-47E3-8E92-408B82D3FD2E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E87-47E3-8E92-408B82D3FD2E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E87-47E3-8E92-408B82D3FD2E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E87-47E3-8E92-408B82D3FD2E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87-47E3-8E92-408B82D3FD2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E87-47E3-8E92-408B82D3FD2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E87-47E3-8E92-408B82D3FD2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E87-47E3-8E92-408B82D3FD2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E87-47E3-8E92-408B82D3FD2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E87-47E3-8E92-408B82D3FD2E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 02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'07 02 2021'!$M$5:$M$10</c:f>
              <c:numCache>
                <c:formatCode>General</c:formatCode>
                <c:ptCount val="6"/>
                <c:pt idx="0">
                  <c:v>10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E87-47E3-8E92-408B82D3FD2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5E-4DFA-BFE6-1B32E633829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5E-4DFA-BFE6-1B32E633829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5E-4DFA-BFE6-1B32E633829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5E-4DFA-BFE6-1B32E633829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5E-4DFA-BFE6-1B32E633829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BF5E-4DFA-BFE6-1B32E6338298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5E-4DFA-BFE6-1B32E63382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 02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'15 02 2021'!$M$5:$M$10</c:f>
              <c:numCache>
                <c:formatCode>General</c:formatCode>
                <c:ptCount val="6"/>
                <c:pt idx="0">
                  <c:v>9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F5E-4DFA-BFE6-1B32E633829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3B-4FC8-A413-C4CAE7B1A43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3B-4FC8-A413-C4CAE7B1A43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23B-4FC8-A413-C4CAE7B1A43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23B-4FC8-A413-C4CAE7B1A43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23B-4FC8-A413-C4CAE7B1A43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23B-4FC8-A413-C4CAE7B1A4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 02 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'15 02 2021'!$M$68:$M$73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23B-4FC8-A413-C4CAE7B1A43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67-44FE-AD50-F42876C4FBA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67-44FE-AD50-F42876C4FBA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67-44FE-AD50-F42876C4FBA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67-44FE-AD50-F42876C4FBA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67-44FE-AD50-F42876C4FBA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67-44FE-AD50-F42876C4FBA1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67-44FE-AD50-F42876C4FB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 02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'23 02 2021'!$M$5:$M$10</c:f>
              <c:numCache>
                <c:formatCode>General</c:formatCode>
                <c:ptCount val="6"/>
                <c:pt idx="0">
                  <c:v>14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767-44FE-AD50-F42876C4FBA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36-40DB-B5F7-92627EF22C3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36-40DB-B5F7-92627EF22C3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36-40DB-B5F7-92627EF22C3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136-40DB-B5F7-92627EF22C3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136-40DB-B5F7-92627EF22C3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136-40DB-B5F7-92627EF22C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 02 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'23 02 2021'!$M$68:$M$73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36-40DB-B5F7-92627EF22C3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F7-420D-B0DF-A7BA062F661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F7-420D-B0DF-A7BA062F661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4F7-420D-B0DF-A7BA062F661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4F7-420D-B0DF-A7BA062F661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F7-420D-B0DF-A7BA062F661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4F7-420D-B0DF-A7BA062F661B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F7-420D-B0DF-A7BA062F66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 03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'03 03 2021'!$M$5:$M$10</c:f>
              <c:numCache>
                <c:formatCode>General</c:formatCode>
                <c:ptCount val="6"/>
                <c:pt idx="0">
                  <c:v>75</c:v>
                </c:pt>
                <c:pt idx="1">
                  <c:v>12</c:v>
                </c:pt>
                <c:pt idx="2">
                  <c:v>15</c:v>
                </c:pt>
                <c:pt idx="3">
                  <c:v>2</c:v>
                </c:pt>
                <c:pt idx="4">
                  <c:v>11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4F7-420D-B0DF-A7BA062F661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B6-4394-9910-C769536C07F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B6-4394-9910-C769536C07F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B6-4394-9910-C769536C07F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8B6-4394-9910-C769536C07F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8B6-4394-9910-C769536C07F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8B6-4394-9910-C769536C07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 03 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'03 03 2021'!$M$68:$M$73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8B6-4394-9910-C769536C07F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14-4E72-84B0-FF4E0AB085C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F14-4E72-84B0-FF4E0AB085C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F14-4E72-84B0-FF4E0AB085C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F14-4E72-84B0-FF4E0AB085C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F14-4E72-84B0-FF4E0AB085C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F14-4E72-84B0-FF4E0AB085CF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14-4E72-84B0-FF4E0AB085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 03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'11 03 2021'!$M$5:$M$10</c:f>
              <c:numCache>
                <c:formatCode>General</c:formatCode>
                <c:ptCount val="6"/>
                <c:pt idx="0">
                  <c:v>93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0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F14-4E72-84B0-FF4E0AB085C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18-4907-A6CA-2E13971893C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D18-4907-A6CA-2E13971893C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D18-4907-A6CA-2E13971893C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D18-4907-A6CA-2E13971893C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D18-4907-A6CA-2E13971893C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D18-4907-A6CA-2E13971893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 03 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'11 03 2021'!$M$68:$M$73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D18-4907-A6CA-2E13971893C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8E-4CE6-AFFE-D2C11FB1809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8E-4CE6-AFFE-D2C11FB1809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8E-4CE6-AFFE-D2C11FB1809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F8E-4CE6-AFFE-D2C11FB1809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F8E-4CE6-AFFE-D2C11FB1809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FF8E-4CE6-AFFE-D2C11FB1809E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8E-4CE6-AFFE-D2C11FB180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 03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'19 03 2021'!$M$5:$M$10</c:f>
              <c:numCache>
                <c:formatCode>General</c:formatCode>
                <c:ptCount val="6"/>
                <c:pt idx="0">
                  <c:v>113</c:v>
                </c:pt>
                <c:pt idx="1">
                  <c:v>23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F8E-4CE6-AFFE-D2C11FB1809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64-403D-B791-136BBE2083E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64-403D-B791-136BBE2083E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564-403D-B791-136BBE2083E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564-403D-B791-136BBE2083E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564-403D-B791-136BBE2083E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564-403D-B791-136BBE2083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 03 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'19 03 2021'!$M$68:$M$73</c:f>
              <c:numCache>
                <c:formatCode>General</c:formatCode>
                <c:ptCount val="6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564-403D-B791-136BBE2083E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1D-4696-AC5B-07D52332E65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1D-4696-AC5B-07D52332E65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C1D-4696-AC5B-07D52332E65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C1D-4696-AC5B-07D52332E65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C1D-4696-AC5B-07D52332E65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C1D-4696-AC5B-07D52332E658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1D-4696-AC5B-07D52332E6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 03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'27 03 2021'!$M$5:$M$10</c:f>
              <c:numCache>
                <c:formatCode>General</c:formatCode>
                <c:ptCount val="6"/>
                <c:pt idx="0">
                  <c:v>139</c:v>
                </c:pt>
                <c:pt idx="1">
                  <c:v>23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C1D-4696-AC5B-07D52332E65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D2-46DC-B232-9F87E8C3CE3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D2-46DC-B232-9F87E8C3CE3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BD2-46DC-B232-9F87E8C3CE3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BD2-46DC-B232-9F87E8C3CE3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BD2-46DC-B232-9F87E8C3CE3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BD2-46DC-B232-9F87E8C3CE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 03 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'27 03 2021'!$M$68:$M$73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BD2-46DC-B232-9F87E8C3CE3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292-49DE-99AD-8921FDB3048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92-49DE-99AD-8921FDB3048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292-49DE-99AD-8921FDB30481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292-49DE-99AD-8921FDB30481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92-49DE-99AD-8921FDB30481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292-49DE-99AD-8921FDB30481}"/>
              </c:ext>
            </c:extLst>
          </c:dPt>
          <c:dLbls>
            <c:dLbl>
              <c:idx val="0"/>
              <c:layout>
                <c:manualLayout>
                  <c:x val="4.6967888234433148E-3"/>
                  <c:y val="1.396880459786549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92-49DE-99AD-8921FDB30481}"/>
                </c:ext>
              </c:extLst>
            </c:dLbl>
            <c:dLbl>
              <c:idx val="1"/>
              <c:layout>
                <c:manualLayout>
                  <c:x val="-3.3362990833321455E-3"/>
                  <c:y val="1.248206536593252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92-49DE-99AD-8921FDB30481}"/>
                </c:ext>
              </c:extLst>
            </c:dLbl>
            <c:dLbl>
              <c:idx val="2"/>
              <c:layout>
                <c:manualLayout>
                  <c:x val="-1.2628982412944153E-2"/>
                  <c:y val="4.17529829647785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292-49DE-99AD-8921FDB30481}"/>
                </c:ext>
              </c:extLst>
            </c:dLbl>
            <c:dLbl>
              <c:idx val="4"/>
              <c:layout>
                <c:manualLayout>
                  <c:x val="2.1080578138011209E-2"/>
                  <c:y val="-2.931766175816331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292-49DE-99AD-8921FDB30481}"/>
                </c:ext>
              </c:extLst>
            </c:dLbl>
            <c:dLbl>
              <c:idx val="5"/>
              <c:layout>
                <c:manualLayout>
                  <c:x val="2.6172800294629504E-2"/>
                  <c:y val="-1.58699170538641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292-49DE-99AD-8921FDB30481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'21 02 2022'!$K$5:$K$10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'21 02 2022'!$M$5:$M$10</c:f>
              <c:numCache>
                <c:formatCode>0%</c:formatCode>
                <c:ptCount val="6"/>
                <c:pt idx="0">
                  <c:v>0.69298245614035092</c:v>
                </c:pt>
                <c:pt idx="1">
                  <c:v>7.8947368421052627E-2</c:v>
                </c:pt>
                <c:pt idx="2">
                  <c:v>0.14035087719298245</c:v>
                </c:pt>
                <c:pt idx="3">
                  <c:v>8.771929824561403E-3</c:v>
                </c:pt>
                <c:pt idx="4">
                  <c:v>8.771929824561403E-3</c:v>
                </c:pt>
                <c:pt idx="5">
                  <c:v>7.0175438596491224E-2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2-49DE-99AD-8921FDB30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C0-476E-8081-1F9CE4CE08B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C0-476E-8081-1F9CE4CE08B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C0-476E-8081-1F9CE4CE08B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C0-476E-8081-1F9CE4CE08B0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BC0-476E-8081-1F9CE4CE08B0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BC0-476E-8081-1F9CE4CE08B0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BC0-476E-8081-1F9CE4CE08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 02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'28 02 2022'!$L$5:$L$10</c:f>
              <c:numCache>
                <c:formatCode>0%</c:formatCode>
                <c:ptCount val="6"/>
                <c:pt idx="0">
                  <c:v>0.68159203980099503</c:v>
                </c:pt>
                <c:pt idx="1">
                  <c:v>8.45771144278607E-2</c:v>
                </c:pt>
                <c:pt idx="2">
                  <c:v>6.965174129353234E-2</c:v>
                </c:pt>
                <c:pt idx="3">
                  <c:v>0</c:v>
                </c:pt>
                <c:pt idx="4">
                  <c:v>8.45771144278607E-2</c:v>
                </c:pt>
                <c:pt idx="5">
                  <c:v>7.9601990049751242E-2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BC0-476E-8081-1F9CE4CE08B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4F-466A-8651-7F0F1049687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4F-466A-8651-7F0F10496874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4F-466A-8651-7F0F10496874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4F-466A-8651-7F0F10496874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E4F-466A-8651-7F0F10496874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E4F-466A-8651-7F0F10496874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E4F-466A-8651-7F0F104968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 03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'07 03 2022'!$L$5:$L$10</c:f>
              <c:numCache>
                <c:formatCode>0%</c:formatCode>
                <c:ptCount val="6"/>
                <c:pt idx="0">
                  <c:v>0.80540540540540539</c:v>
                </c:pt>
                <c:pt idx="1">
                  <c:v>5.4054054054054057E-2</c:v>
                </c:pt>
                <c:pt idx="2">
                  <c:v>3.783783783783784E-2</c:v>
                </c:pt>
                <c:pt idx="3">
                  <c:v>0</c:v>
                </c:pt>
                <c:pt idx="4">
                  <c:v>0</c:v>
                </c:pt>
                <c:pt idx="5">
                  <c:v>0.10270270270270271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E4F-466A-8651-7F0F1049687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5C-45AE-A57F-F1B39533685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5C-45AE-A57F-F1B395336854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5C-45AE-A57F-F1B395336854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5C-45AE-A57F-F1B395336854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65C-45AE-A57F-F1B395336854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65C-45AE-A57F-F1B395336854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65C-45AE-A57F-F1B3953368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 03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'14 03 2022'!$L$5:$L$10</c:f>
              <c:numCache>
                <c:formatCode>0%</c:formatCode>
                <c:ptCount val="6"/>
                <c:pt idx="0">
                  <c:v>0.66878980891719741</c:v>
                </c:pt>
                <c:pt idx="1">
                  <c:v>0.11464968152866242</c:v>
                </c:pt>
                <c:pt idx="2">
                  <c:v>8.2802547770700632E-2</c:v>
                </c:pt>
                <c:pt idx="3">
                  <c:v>3.1847133757961783E-2</c:v>
                </c:pt>
                <c:pt idx="4">
                  <c:v>3.1847133757961783E-2</c:v>
                </c:pt>
                <c:pt idx="5">
                  <c:v>7.0063694267515922E-2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65C-45AE-A57F-F1B39533685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C8-4973-91C8-683B624D862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C8-4973-91C8-683B624D8625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C8-4973-91C8-683B624D8625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C8-4973-91C8-683B624D8625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5C8-4973-91C8-683B624D8625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5C8-4973-91C8-683B624D8625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5C8-4973-91C8-683B624D86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 03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'21 03 2022'!$L$5:$L$10</c:f>
              <c:numCache>
                <c:formatCode>0%</c:formatCode>
                <c:ptCount val="6"/>
                <c:pt idx="0">
                  <c:v>0.82564102564102559</c:v>
                </c:pt>
                <c:pt idx="1">
                  <c:v>8.2051282051282051E-2</c:v>
                </c:pt>
                <c:pt idx="2">
                  <c:v>3.0769230769230771E-2</c:v>
                </c:pt>
                <c:pt idx="3">
                  <c:v>0</c:v>
                </c:pt>
                <c:pt idx="4">
                  <c:v>0</c:v>
                </c:pt>
                <c:pt idx="5">
                  <c:v>6.1538461538461542E-2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5C8-4973-91C8-683B624D862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66-4364-A10D-CC40F036845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66-4364-A10D-CC40F036845B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66-4364-A10D-CC40F036845B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F66-4364-A10D-CC40F036845B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F66-4364-A10D-CC40F036845B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F66-4364-A10D-CC40F036845B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F66-4364-A10D-CC40F03684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 03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'28 03 2022'!$L$5:$L$10</c:f>
              <c:numCache>
                <c:formatCode>0%</c:formatCode>
                <c:ptCount val="6"/>
                <c:pt idx="0">
                  <c:v>0.84390243902439022</c:v>
                </c:pt>
                <c:pt idx="1">
                  <c:v>7.3170731707317069E-2</c:v>
                </c:pt>
                <c:pt idx="2">
                  <c:v>3.4146341463414637E-2</c:v>
                </c:pt>
                <c:pt idx="3">
                  <c:v>1.9512195121951219E-2</c:v>
                </c:pt>
                <c:pt idx="4">
                  <c:v>0</c:v>
                </c:pt>
                <c:pt idx="5">
                  <c:v>2.9268292682926831E-2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F66-4364-A10D-CC40F036845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6F-45F4-94AC-6BD4E82F954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6F-45F4-94AC-6BD4E82F954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6F-45F4-94AC-6BD4E82F954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6F-45F4-94AC-6BD4E82F9540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B6F-45F4-94AC-6BD4E82F9540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B6F-45F4-94AC-6BD4E82F9540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6F-45F4-94AC-6BD4E82F95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 04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'04 04 2022'!$L$5:$L$10</c:f>
              <c:numCache>
                <c:formatCode>0%</c:formatCode>
                <c:ptCount val="6"/>
                <c:pt idx="0">
                  <c:v>0.87447698744769875</c:v>
                </c:pt>
                <c:pt idx="1">
                  <c:v>7.1129707112970716E-2</c:v>
                </c:pt>
                <c:pt idx="2">
                  <c:v>2.9288702928870293E-2</c:v>
                </c:pt>
                <c:pt idx="3">
                  <c:v>0</c:v>
                </c:pt>
                <c:pt idx="4">
                  <c:v>0</c:v>
                </c:pt>
                <c:pt idx="5">
                  <c:v>2.5104602510460251E-2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B6F-45F4-94AC-6BD4E82F954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DE-4835-8780-F7460D4196F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DE-4835-8780-F7460D4196FE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DE-4835-8780-F7460D4196FE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5DE-4835-8780-F7460D4196FE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5DE-4835-8780-F7460D4196FE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5DE-4835-8780-F7460D4196FE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DE-4835-8780-F7460D4196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 04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'11 04 2022'!$L$5:$L$10</c:f>
              <c:numCache>
                <c:formatCode>0%</c:formatCode>
                <c:ptCount val="6"/>
                <c:pt idx="0">
                  <c:v>0.78244274809160308</c:v>
                </c:pt>
                <c:pt idx="1">
                  <c:v>9.5419847328244281E-2</c:v>
                </c:pt>
                <c:pt idx="2">
                  <c:v>7.2519083969465645E-2</c:v>
                </c:pt>
                <c:pt idx="3">
                  <c:v>0</c:v>
                </c:pt>
                <c:pt idx="4">
                  <c:v>4.1984732824427481E-2</c:v>
                </c:pt>
                <c:pt idx="5">
                  <c:v>7.6335877862595417E-3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DE-4835-8780-F7460D4196F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EA-4D15-9496-142BC52B9A0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EA-4D15-9496-142BC52B9A0A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EA-4D15-9496-142BC52B9A0A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EA-4D15-9496-142BC52B9A0A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5EA-4D15-9496-142BC52B9A0A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5EA-4D15-9496-142BC52B9A0A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5EA-4D15-9496-142BC52B9A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 04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'18 04 2022'!$L$5:$L$10</c:f>
              <c:numCache>
                <c:formatCode>0%</c:formatCode>
                <c:ptCount val="6"/>
                <c:pt idx="0">
                  <c:v>0.84360189573459721</c:v>
                </c:pt>
                <c:pt idx="1">
                  <c:v>0.12322274881516587</c:v>
                </c:pt>
                <c:pt idx="2">
                  <c:v>2.3696682464454975E-2</c:v>
                </c:pt>
                <c:pt idx="3">
                  <c:v>0</c:v>
                </c:pt>
                <c:pt idx="4">
                  <c:v>0</c:v>
                </c:pt>
                <c:pt idx="5">
                  <c:v>9.4786729857819912E-3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5EA-4D15-9496-142BC52B9A0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D8-4F4F-99B5-0EF4A818CC1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D8-4F4F-99B5-0EF4A818CC1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D8-4F4F-99B5-0EF4A818CC1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D8-4F4F-99B5-0EF4A818CC10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FD8-4F4F-99B5-0EF4A818CC10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FD8-4F4F-99B5-0EF4A818CC10}"/>
              </c:ext>
            </c:extLst>
          </c:dPt>
          <c:dLbls>
            <c:dLbl>
              <c:idx val="0"/>
              <c:layout>
                <c:manualLayout>
                  <c:x val="4.1124466212805438E-2"/>
                  <c:y val="-3.189106521140183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D8-4F4F-99B5-0EF4A818CC10}"/>
                </c:ext>
              </c:extLst>
            </c:dLbl>
            <c:dLbl>
              <c:idx val="1"/>
              <c:layout>
                <c:manualLayout>
                  <c:x val="-2.0420799396064414E-2"/>
                  <c:y val="-1.554050821349872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D8-4F4F-99B5-0EF4A818CC10}"/>
                </c:ext>
              </c:extLst>
            </c:dLbl>
            <c:dLbl>
              <c:idx val="2"/>
              <c:layout>
                <c:manualLayout>
                  <c:x val="5.9063354116357649E-3"/>
                  <c:y val="4.5303339347748496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D8-4F4F-99B5-0EF4A818CC1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FD8-4F4F-99B5-0EF4A818CC1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FD8-4F4F-99B5-0EF4A818CC10}"/>
                </c:ext>
              </c:extLst>
            </c:dLbl>
            <c:dLbl>
              <c:idx val="5"/>
              <c:layout>
                <c:manualLayout>
                  <c:x val="2.5172926586354148E-2"/>
                  <c:y val="-1.058452746329346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FD8-4F4F-99B5-0EF4A818CC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 04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'25 04 2022'!$L$5:$L$10</c:f>
              <c:numCache>
                <c:formatCode>0%</c:formatCode>
                <c:ptCount val="6"/>
                <c:pt idx="0">
                  <c:v>0.82846715328467158</c:v>
                </c:pt>
                <c:pt idx="1">
                  <c:v>0.10948905109489052</c:v>
                </c:pt>
                <c:pt idx="2">
                  <c:v>3.2846715328467155E-2</c:v>
                </c:pt>
                <c:pt idx="3">
                  <c:v>0</c:v>
                </c:pt>
                <c:pt idx="4">
                  <c:v>0</c:v>
                </c:pt>
                <c:pt idx="5">
                  <c:v>2.9197080291970802E-2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FD8-4F4F-99B5-0EF4A818CC1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07-4592-9804-228779E1EF4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07-4592-9804-228779E1EF44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07-4592-9804-228779E1EF44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07-4592-9804-228779E1EF44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07-4592-9804-228779E1EF44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807-4592-9804-228779E1EF44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07-4592-9804-228779E1EF44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07-4592-9804-228779E1EF4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07-4592-9804-228779E1EF4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07-4592-9804-228779E1EF44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807-4592-9804-228779E1EF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 05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'02 05 2022'!$L$5:$L$10</c:f>
              <c:numCache>
                <c:formatCode>0%</c:formatCode>
                <c:ptCount val="6"/>
                <c:pt idx="0">
                  <c:v>0.85317460317460314</c:v>
                </c:pt>
                <c:pt idx="1">
                  <c:v>6.7460317460317457E-2</c:v>
                </c:pt>
                <c:pt idx="2">
                  <c:v>1.1904761904761904E-2</c:v>
                </c:pt>
                <c:pt idx="3">
                  <c:v>0</c:v>
                </c:pt>
                <c:pt idx="4">
                  <c:v>0</c:v>
                </c:pt>
                <c:pt idx="5">
                  <c:v>6.7460317460317457E-2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807-4592-9804-228779E1EF4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1F-4812-98C8-A660006834B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1F-4812-98C8-A660006834BB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1F-4812-98C8-A660006834BB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D1F-4812-98C8-A660006834BB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D1F-4812-98C8-A660006834BB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D1F-4812-98C8-A660006834BB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1F-4812-98C8-A660006834BB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1F-4812-98C8-A660006834BB}"/>
                </c:ext>
              </c:extLst>
            </c:dLbl>
            <c:dLbl>
              <c:idx val="2"/>
              <c:layout>
                <c:manualLayout>
                  <c:x val="9.6124898245039583E-3"/>
                  <c:y val="-5.7195603409354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1F-4812-98C8-A660006834B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D1F-4812-98C8-A660006834B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D1F-4812-98C8-A660006834BB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D1F-4812-98C8-A660006834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 05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'09 05 2022'!$L$5:$L$10</c:f>
              <c:numCache>
                <c:formatCode>0%</c:formatCode>
                <c:ptCount val="6"/>
                <c:pt idx="0">
                  <c:v>0.91532258064516125</c:v>
                </c:pt>
                <c:pt idx="1">
                  <c:v>2.8225806451612902E-2</c:v>
                </c:pt>
                <c:pt idx="2">
                  <c:v>1.2096774193548387E-2</c:v>
                </c:pt>
                <c:pt idx="3">
                  <c:v>0</c:v>
                </c:pt>
                <c:pt idx="4">
                  <c:v>0</c:v>
                </c:pt>
                <c:pt idx="5">
                  <c:v>4.4354838709677422E-2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D1F-4812-98C8-A660006834B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80-4893-8ED5-5400286BE7A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80-4893-8ED5-5400286BE7A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80-4893-8ED5-5400286BE7A9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80-4893-8ED5-5400286BE7A9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F80-4893-8ED5-5400286BE7A9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F80-4893-8ED5-5400286BE7A9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80-4893-8ED5-5400286BE7A9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80-4893-8ED5-5400286BE7A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80-4893-8ED5-5400286BE7A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80-4893-8ED5-5400286BE7A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F80-4893-8ED5-5400286BE7A9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F80-4893-8ED5-5400286BE7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 05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'16 05 2022'!$L$5:$L$10</c:f>
              <c:numCache>
                <c:formatCode>0%</c:formatCode>
                <c:ptCount val="6"/>
                <c:pt idx="0">
                  <c:v>0.88444444444444448</c:v>
                </c:pt>
                <c:pt idx="1">
                  <c:v>3.111111111111111E-2</c:v>
                </c:pt>
                <c:pt idx="2">
                  <c:v>3.5555555555555556E-2</c:v>
                </c:pt>
                <c:pt idx="3">
                  <c:v>0</c:v>
                </c:pt>
                <c:pt idx="4">
                  <c:v>0</c:v>
                </c:pt>
                <c:pt idx="5">
                  <c:v>4.8888888888888891E-2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F80-4893-8ED5-5400286BE7A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CA-4C15-93C0-3A5860216B9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CA-4C15-93C0-3A5860216B9C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CA-4C15-93C0-3A5860216B9C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CA-4C15-93C0-3A5860216B9C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8CA-4C15-93C0-3A5860216B9C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8CA-4C15-93C0-3A5860216B9C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CA-4C15-93C0-3A5860216B9C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CA-4C15-93C0-3A5860216B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CA-4C15-93C0-3A5860216B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CA-4C15-93C0-3A5860216B9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8CA-4C15-93C0-3A5860216B9C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8CA-4C15-93C0-3A5860216B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 05 2022 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'23 05 2022 '!$L$5:$L$10</c:f>
              <c:numCache>
                <c:formatCode>0%</c:formatCode>
                <c:ptCount val="6"/>
                <c:pt idx="0">
                  <c:v>0.84549356223175964</c:v>
                </c:pt>
                <c:pt idx="1">
                  <c:v>8.5836909871244635E-2</c:v>
                </c:pt>
                <c:pt idx="2">
                  <c:v>2.1459227467811159E-2</c:v>
                </c:pt>
                <c:pt idx="3">
                  <c:v>0</c:v>
                </c:pt>
                <c:pt idx="4">
                  <c:v>0</c:v>
                </c:pt>
                <c:pt idx="5">
                  <c:v>4.7210300429184553E-2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8CA-4C15-93C0-3A5860216B9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20-485E-9893-BC284E40174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20-485E-9893-BC284E40174F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20-485E-9893-BC284E40174F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20-485E-9893-BC284E40174F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120-485E-9893-BC284E40174F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120-485E-9893-BC284E40174F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20-485E-9893-BC284E40174F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20-485E-9893-BC284E40174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20-485E-9893-BC284E40174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120-485E-9893-BC284E40174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120-485E-9893-BC284E40174F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120-485E-9893-BC284E4017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 05 2022  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'30 05 2022  '!$L$5:$L$10</c:f>
              <c:numCache>
                <c:formatCode>0%</c:formatCode>
                <c:ptCount val="6"/>
                <c:pt idx="0">
                  <c:v>0.90322580645161288</c:v>
                </c:pt>
                <c:pt idx="1">
                  <c:v>2.3041474654377881E-2</c:v>
                </c:pt>
                <c:pt idx="2">
                  <c:v>3.2258064516129031E-2</c:v>
                </c:pt>
                <c:pt idx="3">
                  <c:v>0</c:v>
                </c:pt>
                <c:pt idx="4">
                  <c:v>0</c:v>
                </c:pt>
                <c:pt idx="5">
                  <c:v>4.1474654377880185E-2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120-485E-9893-BC284E40174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FC-496B-A855-AC4740C58CF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FC-496B-A855-AC4740C58CFE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FC-496B-A855-AC4740C58CFE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FC-496B-A855-AC4740C58CFE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EFC-496B-A855-AC4740C58CFE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EFC-496B-A855-AC4740C58CFE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FC-496B-A855-AC4740C58CFE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FC-496B-A855-AC4740C58CF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FC-496B-A855-AC4740C58CF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FC-496B-A855-AC4740C58CF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EFC-496B-A855-AC4740C58CFE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EFC-496B-A855-AC4740C58C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 06 2022   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'06 06 2022   '!$L$5:$L$10</c:f>
              <c:numCache>
                <c:formatCode>0%</c:formatCode>
                <c:ptCount val="6"/>
                <c:pt idx="0">
                  <c:v>0.9211822660098522</c:v>
                </c:pt>
                <c:pt idx="1">
                  <c:v>1.9704433497536946E-2</c:v>
                </c:pt>
                <c:pt idx="2">
                  <c:v>2.9556650246305417E-2</c:v>
                </c:pt>
                <c:pt idx="3">
                  <c:v>0</c:v>
                </c:pt>
                <c:pt idx="4">
                  <c:v>0</c:v>
                </c:pt>
                <c:pt idx="5">
                  <c:v>2.9556650246305417E-2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EFC-496B-A855-AC4740C58CF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CD-45AE-AC05-8F712CDDBA9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CD-45AE-AC05-8F712CDDBA9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CD-45AE-AC05-8F712CDDBA99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9CD-45AE-AC05-8F712CDDBA99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9CD-45AE-AC05-8F712CDDBA99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9CD-45AE-AC05-8F712CDDBA99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CD-45AE-AC05-8F712CDDBA99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CD-45AE-AC05-8F712CDDBA9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CD-45AE-AC05-8F712CDDBA9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9CD-45AE-AC05-8F712CDDBA9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9CD-45AE-AC05-8F712CDDBA99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9CD-45AE-AC05-8F712CDDBA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 06 2022  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'13 06 2022  '!$L$5:$L$10</c:f>
              <c:numCache>
                <c:formatCode>0%</c:formatCode>
                <c:ptCount val="6"/>
                <c:pt idx="0">
                  <c:v>0.85929648241206025</c:v>
                </c:pt>
                <c:pt idx="1">
                  <c:v>2.0100502512562814E-2</c:v>
                </c:pt>
                <c:pt idx="2">
                  <c:v>6.5326633165829151E-2</c:v>
                </c:pt>
                <c:pt idx="3">
                  <c:v>0</c:v>
                </c:pt>
                <c:pt idx="4">
                  <c:v>0</c:v>
                </c:pt>
                <c:pt idx="5">
                  <c:v>5.5276381909547742E-2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9CD-45AE-AC05-8F712CDDBA9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C6-4D76-AA9B-AC750793A3A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C6-4D76-AA9B-AC750793A3A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C6-4D76-AA9B-AC750793A3A9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C6-4D76-AA9B-AC750793A3A9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C6-4D76-AA9B-AC750793A3A9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9C6-4D76-AA9B-AC750793A3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 06 2022  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'20 06 2022  '!$L$5:$L$10</c:f>
              <c:numCache>
                <c:formatCode>0%</c:formatCode>
                <c:ptCount val="6"/>
                <c:pt idx="0">
                  <c:v>0.87134502923976609</c:v>
                </c:pt>
                <c:pt idx="1">
                  <c:v>4.6783625730994149E-2</c:v>
                </c:pt>
                <c:pt idx="2">
                  <c:v>1.1695906432748537E-2</c:v>
                </c:pt>
                <c:pt idx="3">
                  <c:v>2.9239766081871343E-2</c:v>
                </c:pt>
                <c:pt idx="4">
                  <c:v>0</c:v>
                </c:pt>
                <c:pt idx="5">
                  <c:v>4.0935672514619881E-2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C6-4D76-AA9B-AC750793A3A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A9-4A1A-90D7-52340F69065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A9-4A1A-90D7-52340F69065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A9-4A1A-90D7-52340F690659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A9-4A1A-90D7-52340F690659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2A9-4A1A-90D7-52340F690659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2A9-4A1A-90D7-52340F6906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 06 2022  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'27 06 2022  '!$L$5:$L$10</c:f>
              <c:numCache>
                <c:formatCode>0%</c:formatCode>
                <c:ptCount val="6"/>
                <c:pt idx="0">
                  <c:v>0.8523489932885906</c:v>
                </c:pt>
                <c:pt idx="1">
                  <c:v>6.0402684563758392E-2</c:v>
                </c:pt>
                <c:pt idx="2">
                  <c:v>2.6845637583892617E-2</c:v>
                </c:pt>
                <c:pt idx="3">
                  <c:v>0</c:v>
                </c:pt>
                <c:pt idx="4">
                  <c:v>0</c:v>
                </c:pt>
                <c:pt idx="5">
                  <c:v>6.0402684563758392E-2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2A9-4A1A-90D7-52340F69065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4A-4982-BD7E-CA39CC9F305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4A-4982-BD7E-CA39CC9F3053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4A-4982-BD7E-CA39CC9F3053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4A-4982-BD7E-CA39CC9F3053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74A-4982-BD7E-CA39CC9F3053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74A-4982-BD7E-CA39CC9F30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 07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'04 07 2022'!$L$5:$L$10</c:f>
              <c:numCache>
                <c:formatCode>0%</c:formatCode>
                <c:ptCount val="6"/>
                <c:pt idx="0">
                  <c:v>0.91503267973856206</c:v>
                </c:pt>
                <c:pt idx="1">
                  <c:v>6.5359477124183009E-3</c:v>
                </c:pt>
                <c:pt idx="2">
                  <c:v>2.6143790849673203E-2</c:v>
                </c:pt>
                <c:pt idx="3">
                  <c:v>0</c:v>
                </c:pt>
                <c:pt idx="4">
                  <c:v>0</c:v>
                </c:pt>
                <c:pt idx="5">
                  <c:v>5.2287581699346407E-2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74A-4982-BD7E-CA39CC9F305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F0"/>
          </a:solidFill>
          <a:ln w="19050">
            <a:solidFill>
              <a:srgbClr val="00B0F0"/>
            </a:solidFill>
          </a:ln>
          <a:effectLst/>
        </c:spPr>
        <c:dLbl>
          <c:idx val="0"/>
          <c:layout>
            <c:manualLayout>
              <c:x val="0.10555555555555556"/>
              <c:y val="4.12182852143482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763888888888888"/>
                  <c:h val="0.1423611111111111"/>
                </c:manualLayout>
              </c15:layout>
            </c:ext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accent4"/>
            </a:solidFill>
          </a:ln>
          <a:effectLst/>
        </c:spPr>
        <c:dLbl>
          <c:idx val="0"/>
          <c:layout>
            <c:manualLayout>
              <c:x val="6.7040791776027994E-2"/>
              <c:y val="1.26403470399533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FF00"/>
          </a:solidFill>
          <a:ln w="19050">
            <a:solidFill>
              <a:srgbClr val="FFFF00"/>
            </a:solidFill>
          </a:ln>
          <a:effectLst/>
        </c:spPr>
        <c:dLbl>
          <c:idx val="0"/>
          <c:layout>
            <c:manualLayout>
              <c:x val="7.3895732358608454E-2"/>
              <c:y val="5.24048796579744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50"/>
          </a:solidFill>
          <a:ln w="19050">
            <a:solidFill>
              <a:srgbClr val="00B050"/>
            </a:solidFill>
          </a:ln>
          <a:effectLst/>
        </c:spPr>
        <c:dLbl>
          <c:idx val="0"/>
          <c:layout>
            <c:manualLayout>
              <c:x val="0.26634514435695539"/>
              <c:y val="-1.8335520559930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00"/>
          </a:solidFill>
          <a:ln w="19050">
            <a:solidFill>
              <a:srgbClr val="FF0000"/>
            </a:solidFill>
          </a:ln>
          <a:effectLst/>
        </c:spPr>
        <c:dLbl>
          <c:idx val="0"/>
          <c:layout>
            <c:manualLayout>
              <c:x val="-3.765857392825897E-2"/>
              <c:y val="-1.66910906969962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D60093"/>
          </a:solidFill>
          <a:ln w="19050">
            <a:solidFill>
              <a:srgbClr val="D60093"/>
            </a:solidFill>
          </a:ln>
          <a:effectLst/>
        </c:spPr>
        <c:dLbl>
          <c:idx val="0"/>
          <c:layout>
            <c:manualLayout>
              <c:x val="3.2439851268591426E-2"/>
              <c:y val="-3.37543744531933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Série1</c:v>
          </c:tx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rgbClr val="00B0F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9C-406D-9A4B-5596163A648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9C-406D-9A4B-5596163A648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9C-406D-9A4B-5596163A6486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29C-406D-9A4B-5596163A6486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29C-406D-9A4B-5596163A6486}"/>
              </c:ext>
            </c:extLst>
          </c:dPt>
          <c:dPt>
            <c:idx val="5"/>
            <c:bubble3D val="0"/>
            <c:spPr>
              <a:solidFill>
                <a:srgbClr val="D60093"/>
              </a:solidFill>
              <a:ln w="19050">
                <a:solidFill>
                  <a:srgbClr val="D6009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29C-406D-9A4B-5596163A6486}"/>
              </c:ext>
            </c:extLst>
          </c:dPt>
          <c:dLbls>
            <c:dLbl>
              <c:idx val="0"/>
              <c:layout>
                <c:manualLayout>
                  <c:x val="0.10555555555555556"/>
                  <c:y val="4.121828521434820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763888888888888"/>
                      <c:h val="0.14236111111111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29C-406D-9A4B-5596163A6486}"/>
                </c:ext>
              </c:extLst>
            </c:dLbl>
            <c:dLbl>
              <c:idx val="1"/>
              <c:layout>
                <c:manualLayout>
                  <c:x val="6.7040791776027994E-2"/>
                  <c:y val="1.264034703995333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9C-406D-9A4B-5596163A6486}"/>
                </c:ext>
              </c:extLst>
            </c:dLbl>
            <c:dLbl>
              <c:idx val="2"/>
              <c:layout>
                <c:manualLayout>
                  <c:x val="7.3895732358608454E-2"/>
                  <c:y val="5.240487965797442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9C-406D-9A4B-5596163A6486}"/>
                </c:ext>
              </c:extLst>
            </c:dLbl>
            <c:dLbl>
              <c:idx val="3"/>
              <c:layout>
                <c:manualLayout>
                  <c:x val="0.26634514435695539"/>
                  <c:y val="-1.83355205599300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29C-406D-9A4B-5596163A6486}"/>
                </c:ext>
              </c:extLst>
            </c:dLbl>
            <c:dLbl>
              <c:idx val="4"/>
              <c:layout>
                <c:manualLayout>
                  <c:x val="-3.765857392825897E-2"/>
                  <c:y val="-1.669109069699620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29C-406D-9A4B-5596163A6486}"/>
                </c:ext>
              </c:extLst>
            </c:dLbl>
            <c:dLbl>
              <c:idx val="5"/>
              <c:layout>
                <c:manualLayout>
                  <c:x val="3.2439851268591426E-2"/>
                  <c:y val="-3.375437445319334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29C-406D-9A4B-5596163A64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cat>
          <c:val>
            <c:numLit>
              <c:formatCode>General</c:formatCode>
              <c:ptCount val="6"/>
              <c:pt idx="0">
                <c:v>5.8302756033330468E-2</c:v>
              </c:pt>
              <c:pt idx="1">
                <c:v>5.4934028669231562E-2</c:v>
              </c:pt>
              <c:pt idx="2">
                <c:v>9.3109741629455681E-3</c:v>
              </c:pt>
              <c:pt idx="3">
                <c:v>0.69000582457752668</c:v>
              </c:pt>
              <c:pt idx="4">
                <c:v>8.4051848810755281E-2</c:v>
              </c:pt>
              <c:pt idx="5">
                <c:v>0.10339456774621048</c:v>
              </c:pt>
            </c:numLit>
          </c:val>
          <c:extLst>
            <c:ext xmlns:c16="http://schemas.microsoft.com/office/drawing/2014/chart" uri="{C3380CC4-5D6E-409C-BE32-E72D297353CC}">
              <c16:uniqueId val="{0000000C-B29C-406D-9A4B-5596163A648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irrigação Atualizado_.xlsx]Analise Planejado vs Executado!Planejado_vs_Executado_01B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5C2A"/>
          </a:solidFill>
          <a:ln>
            <a:solidFill>
              <a:srgbClr val="005C2A"/>
            </a:solidFill>
          </a:ln>
          <a:effectLst/>
        </c:spPr>
        <c:dLbl>
          <c:idx val="0"/>
          <c:layout>
            <c:manualLayout>
              <c:x val="3.5571194528542606E-2"/>
              <c:y val="-2.9248666249303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dLbl>
          <c:idx val="0"/>
          <c:layout>
            <c:manualLayout>
              <c:x val="-4.3779931727437174E-2"/>
              <c:y val="9.28276309971258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solidFill>
              <a:srgbClr val="FFC000"/>
            </a:solidFill>
          </a:ln>
          <a:effectLst/>
        </c:spPr>
        <c:dLbl>
          <c:idx val="0"/>
          <c:layout>
            <c:manualLayout>
              <c:x val="-5.4724914659296971E-3"/>
              <c:y val="-2.90417649298646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F0"/>
          </a:solidFill>
          <a:ln>
            <a:solidFill>
              <a:srgbClr val="00B0F0"/>
            </a:solidFill>
          </a:ln>
          <a:effectLst/>
        </c:spPr>
        <c:dLbl>
          <c:idx val="0"/>
          <c:layout>
            <c:manualLayout>
              <c:x val="-5.5542755049371121E-3"/>
              <c:y val="-8.11205233131445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FF00"/>
          </a:solidFill>
          <a:ln>
            <a:solidFill>
              <a:srgbClr val="FFFF00"/>
            </a:solidFill>
          </a:ln>
          <a:effectLst/>
        </c:spPr>
        <c:dLbl>
          <c:idx val="0"/>
          <c:layout>
            <c:manualLayout>
              <c:x val="2.1749847788394332E-2"/>
              <c:y val="-0.107783254332506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B050"/>
          </a:solidFill>
          <a:ln>
            <a:solidFill>
              <a:srgbClr val="00B050"/>
            </a:solidFill>
          </a:ln>
          <a:effectLst/>
        </c:spPr>
        <c:dLbl>
          <c:idx val="0"/>
          <c:layout>
            <c:manualLayout>
              <c:x val="9.2810677939121358E-2"/>
              <c:y val="-3.92465666403224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242215919520765"/>
          <c:y val="0.17389781195951251"/>
          <c:w val="0.45883627058640786"/>
          <c:h val="0.77314814814814814"/>
        </c:manualLayout>
      </c:layout>
      <c:pieChart>
        <c:varyColors val="1"/>
        <c:ser>
          <c:idx val="0"/>
          <c:order val="0"/>
          <c:tx>
            <c:strRef>
              <c:f>'Analise Planejado vs Executado'!$E$3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5C2A"/>
              </a:solidFill>
              <a:ln>
                <a:solidFill>
                  <a:srgbClr val="005C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EF-49DD-B7D5-48B9F203ACF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EF-49DD-B7D5-48B9F203ACF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EF-49DD-B7D5-48B9F203ACF6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CEF-49DD-B7D5-48B9F203ACF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081-4149-A4EA-4BD234E24C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081-4149-A4EA-4BD234E24C12}"/>
              </c:ext>
            </c:extLst>
          </c:dPt>
          <c:dLbls>
            <c:dLbl>
              <c:idx val="0"/>
              <c:layout>
                <c:manualLayout>
                  <c:x val="3.5571194528542606E-2"/>
                  <c:y val="-2.92486662493038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EF-49DD-B7D5-48B9F203ACF6}"/>
                </c:ext>
              </c:extLst>
            </c:dLbl>
            <c:dLbl>
              <c:idx val="1"/>
              <c:layout>
                <c:manualLayout>
                  <c:x val="-4.3779931727437174E-2"/>
                  <c:y val="9.282763099712580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EF-49DD-B7D5-48B9F203ACF6}"/>
                </c:ext>
              </c:extLst>
            </c:dLbl>
            <c:dLbl>
              <c:idx val="2"/>
              <c:layout>
                <c:manualLayout>
                  <c:x val="-5.4724914659296971E-3"/>
                  <c:y val="-2.904176492986464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EF-49DD-B7D5-48B9F203ACF6}"/>
                </c:ext>
              </c:extLst>
            </c:dLbl>
            <c:dLbl>
              <c:idx val="3"/>
              <c:layout>
                <c:manualLayout>
                  <c:x val="9.2810677939121358E-2"/>
                  <c:y val="-3.924656664032240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CEF-49DD-B7D5-48B9F203AC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'Analise Planejado vs Executado'!$D$4:$D$7</c:f>
              <c:strCache>
                <c:ptCount val="4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Operação</c:v>
                </c:pt>
              </c:strCache>
            </c:strRef>
          </c:cat>
          <c:val>
            <c:numRef>
              <c:f>'Analise Planejado vs Executado'!$E$4:$E$7</c:f>
              <c:numCache>
                <c:formatCode>0.00%</c:formatCode>
                <c:ptCount val="4"/>
                <c:pt idx="0">
                  <c:v>0.84493670886075944</c:v>
                </c:pt>
                <c:pt idx="1">
                  <c:v>2.5316455696202531E-2</c:v>
                </c:pt>
                <c:pt idx="2">
                  <c:v>9.4936708860759497E-3</c:v>
                </c:pt>
                <c:pt idx="3">
                  <c:v>0.12025316455696203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379-4DA1-9FC9-5C5C1CFC0B8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irrigação Atualizado_.xlsx]Analise Planejado vs Executado!Planejado_vs_Executado_01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66061717214811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108705161854764E-2"/>
          <c:y val="8.7962962962962965E-2"/>
          <c:w val="0.88109251968503932"/>
          <c:h val="0.692985928842228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'Analise Planejado vs Executado'!$B$3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E8-4762-AD69-2722C0135EC0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D49-4479-ACA8-AE6248D632AC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4E9-44DD-8787-16A6F680CC78}"/>
              </c:ext>
            </c:extLst>
          </c:dPt>
          <c:dLbls>
            <c:dLbl>
              <c:idx val="3"/>
              <c:layout>
                <c:manualLayout>
                  <c:x val="0"/>
                  <c:y val="-2.660617172148112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BE8-4762-AD69-2722C0135E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Executado'!$A$4:$A$7</c:f>
              <c:strCache>
                <c:ptCount val="4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Operação</c:v>
                </c:pt>
              </c:strCache>
            </c:strRef>
          </c:cat>
          <c:val>
            <c:numRef>
              <c:f>'Analise Planejado vs Executado'!$B$4:$B$7</c:f>
              <c:numCache>
                <c:formatCode>General</c:formatCode>
                <c:ptCount val="4"/>
                <c:pt idx="0">
                  <c:v>267</c:v>
                </c:pt>
                <c:pt idx="1">
                  <c:v>8</c:v>
                </c:pt>
                <c:pt idx="2">
                  <c:v>3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C3-4843-A073-219A9F8262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35401839"/>
        <c:axId val="2135418895"/>
      </c:barChart>
      <c:catAx>
        <c:axId val="213540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5418895"/>
        <c:crosses val="autoZero"/>
        <c:auto val="1"/>
        <c:lblAlgn val="ctr"/>
        <c:lblOffset val="100"/>
        <c:noMultiLvlLbl val="0"/>
      </c:catAx>
      <c:valAx>
        <c:axId val="213541889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3540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irrigação Atualizado_.xlsx]Analise Planejado vs Executado!Planejado_vs_Executado_02B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5C2A"/>
          </a:solidFill>
          <a:ln w="19050">
            <a:solidFill>
              <a:srgbClr val="005C2A"/>
            </a:solidFill>
          </a:ln>
          <a:effectLst/>
        </c:spPr>
      </c:pivotFmt>
      <c:pivotFmt>
        <c:idx val="10"/>
        <c:spPr>
          <a:solidFill>
            <a:srgbClr val="FF0000"/>
          </a:solidFill>
          <a:ln w="19050">
            <a:solidFill>
              <a:srgbClr val="FF0000"/>
            </a:solidFill>
          </a:ln>
          <a:effectLst/>
        </c:spPr>
        <c:dLbl>
          <c:idx val="0"/>
          <c:layout>
            <c:manualLayout>
              <c:x val="-7.4688857638330761E-2"/>
              <c:y val="8.22550310088695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 w="19050">
            <a:solidFill>
              <a:srgbClr val="FFC000"/>
            </a:solidFill>
          </a:ln>
          <a:effectLst/>
        </c:spPr>
        <c:dLbl>
          <c:idx val="0"/>
          <c:layout>
            <c:manualLayout>
              <c:x val="-8.4881744079219834E-2"/>
              <c:y val="1.7757517075641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F0"/>
          </a:solidFill>
          <a:ln w="19050">
            <a:solidFill>
              <a:srgbClr val="00B0F0"/>
            </a:solidFill>
          </a:ln>
          <a:effectLst/>
        </c:spPr>
        <c:dLbl>
          <c:idx val="0"/>
          <c:layout>
            <c:manualLayout>
              <c:x val="-1.9264691394912582E-2"/>
              <c:y val="-5.09259259259259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FF00"/>
          </a:solidFill>
          <a:ln w="19050">
            <a:solidFill>
              <a:srgbClr val="FFFF00"/>
            </a:solidFill>
          </a:ln>
          <a:effectLst/>
        </c:spPr>
        <c:dLbl>
          <c:idx val="0"/>
          <c:layout>
            <c:manualLayout>
              <c:x val="7.699510624775778E-2"/>
              <c:y val="-5.42343313434971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00B050"/>
          </a:solidFill>
          <a:ln w="19050">
            <a:solidFill>
              <a:srgbClr val="00B050"/>
            </a:solidFill>
          </a:ln>
          <a:effectLst/>
        </c:spPr>
        <c:dLbl>
          <c:idx val="0"/>
          <c:layout>
            <c:manualLayout>
              <c:x val="0.156491274387589"/>
              <c:y val="-4.15399124366618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391424619640388"/>
          <c:y val="0.16435185185185186"/>
          <c:w val="0.46196403872752423"/>
          <c:h val="0.77314814814814814"/>
        </c:manualLayout>
      </c:layout>
      <c:pieChart>
        <c:varyColors val="1"/>
        <c:ser>
          <c:idx val="0"/>
          <c:order val="0"/>
          <c:tx>
            <c:strRef>
              <c:f>'Analise Planejado vs Executado'!$E$29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5C2A"/>
              </a:solidFill>
              <a:ln w="19050">
                <a:solidFill>
                  <a:srgbClr val="005C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C5-4429-A294-2D8EDBFB500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C5-4429-A294-2D8EDBFB500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C5-4429-A294-2D8EDBFB5009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rgbClr val="00B0F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C5-4429-A294-2D8EDBFB5009}"/>
              </c:ext>
            </c:extLst>
          </c:dPt>
          <c:dPt>
            <c:idx val="4"/>
            <c:bubble3D val="0"/>
            <c:spPr>
              <a:solidFill>
                <a:srgbClr val="FFFF00"/>
              </a:solidFill>
              <a:ln w="19050"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AC5-4429-A294-2D8EDBFB5009}"/>
              </c:ext>
            </c:extLst>
          </c:dPt>
          <c:dPt>
            <c:idx val="5"/>
            <c:bubble3D val="0"/>
            <c:spPr>
              <a:solidFill>
                <a:srgbClr val="00B050"/>
              </a:solidFill>
              <a:ln w="19050"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AC5-4429-A294-2D8EDBFB5009}"/>
              </c:ext>
            </c:extLst>
          </c:dPt>
          <c:dLbls>
            <c:dLbl>
              <c:idx val="1"/>
              <c:layout>
                <c:manualLayout>
                  <c:x val="-7.4688857638330761E-2"/>
                  <c:y val="8.225503100886959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C5-4429-A294-2D8EDBFB5009}"/>
                </c:ext>
              </c:extLst>
            </c:dLbl>
            <c:dLbl>
              <c:idx val="2"/>
              <c:layout>
                <c:manualLayout>
                  <c:x val="-8.4881744079219834E-2"/>
                  <c:y val="1.775751707564189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AC5-4429-A294-2D8EDBFB5009}"/>
                </c:ext>
              </c:extLst>
            </c:dLbl>
            <c:dLbl>
              <c:idx val="3"/>
              <c:layout>
                <c:manualLayout>
                  <c:x val="-1.9264691394912582E-2"/>
                  <c:y val="-5.092592592592592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AC5-4429-A294-2D8EDBFB5009}"/>
                </c:ext>
              </c:extLst>
            </c:dLbl>
            <c:dLbl>
              <c:idx val="4"/>
              <c:layout>
                <c:manualLayout>
                  <c:x val="7.699510624775778E-2"/>
                  <c:y val="-5.423433134349716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AC5-4429-A294-2D8EDBFB5009}"/>
                </c:ext>
              </c:extLst>
            </c:dLbl>
            <c:dLbl>
              <c:idx val="5"/>
              <c:layout>
                <c:manualLayout>
                  <c:x val="0.156491274387589"/>
                  <c:y val="-4.153991243666183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AC5-4429-A294-2D8EDBFB50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'Analise Planejado vs Executado'!$D$30:$D$35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Chuva</c:v>
                </c:pt>
                <c:pt idx="4">
                  <c:v>Energia</c:v>
                </c:pt>
                <c:pt idx="5">
                  <c:v>Operação</c:v>
                </c:pt>
              </c:strCache>
            </c:strRef>
          </c:cat>
          <c:val>
            <c:numRef>
              <c:f>'Analise Planejado vs Executado'!$E$30:$E$35</c:f>
              <c:numCache>
                <c:formatCode>0.00%</c:formatCode>
                <c:ptCount val="6"/>
                <c:pt idx="0">
                  <c:v>0.83144246353322526</c:v>
                </c:pt>
                <c:pt idx="1">
                  <c:v>2.3987034035656402E-2</c:v>
                </c:pt>
                <c:pt idx="2">
                  <c:v>2.7876823338735819E-2</c:v>
                </c:pt>
                <c:pt idx="3">
                  <c:v>1.9448946515397082E-3</c:v>
                </c:pt>
                <c:pt idx="4">
                  <c:v>2.9173419773095622E-3</c:v>
                </c:pt>
                <c:pt idx="5">
                  <c:v>0.11183144246353323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6C3-438A-86A7-7910790429E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irrigação Atualizado_.xlsx]Analise Planejado vs Executado!Tabela dinâmica3</c:name>
    <c:fmtId val="2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5C2A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5C2A"/>
          </a:solidFill>
          <a:ln>
            <a:noFill/>
          </a:ln>
          <a:effectLst/>
        </c:spPr>
      </c:pivotFmt>
      <c:pivotFmt>
        <c:idx val="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2E508E"/>
          </a:solidFill>
          <a:ln>
            <a:solidFill>
              <a:srgbClr val="2E508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5C2A"/>
          </a:solidFill>
          <a:ln>
            <a:solidFill>
              <a:srgbClr val="005C2A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5C2A"/>
          </a:solidFill>
          <a:ln>
            <a:solidFill>
              <a:srgbClr val="005C2A"/>
            </a:solidFill>
          </a:ln>
          <a:effectLst/>
        </c:spPr>
      </c:pivotFmt>
      <c:pivotFmt>
        <c:idx val="15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C000"/>
          </a:solidFill>
          <a:ln>
            <a:solidFill>
              <a:srgbClr val="FFC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92D050"/>
          </a:solidFill>
          <a:ln>
            <a:solidFill>
              <a:srgbClr val="92D05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 Planejado vs Executado'!$H$3:$H$4</c:f>
              <c:strCache>
                <c:ptCount val="1"/>
                <c:pt idx="0">
                  <c:v>Planejado</c:v>
                </c:pt>
              </c:strCache>
            </c:strRef>
          </c:tx>
          <c:spPr>
            <a:solidFill>
              <a:srgbClr val="2E508E"/>
            </a:solidFill>
            <a:ln>
              <a:solidFill>
                <a:srgbClr val="2E508E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2E9-423C-86DB-73B49ABC49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Executado'!$H$5</c:f>
              <c:numCache>
                <c:formatCode>General</c:formatCode>
                <c:ptCount val="1"/>
                <c:pt idx="0">
                  <c:v>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8CC-4635-BCAF-32C17B1A235F}"/>
            </c:ext>
          </c:extLst>
        </c:ser>
        <c:ser>
          <c:idx val="1"/>
          <c:order val="1"/>
          <c:tx>
            <c:strRef>
              <c:f>'Analise Planejado vs Executado'!$I$3:$I$4</c:f>
              <c:strCache>
                <c:ptCount val="1"/>
                <c:pt idx="0">
                  <c:v>Feito</c:v>
                </c:pt>
              </c:strCache>
            </c:strRef>
          </c:tx>
          <c:spPr>
            <a:solidFill>
              <a:srgbClr val="005C2A"/>
            </a:solidFill>
            <a:ln>
              <a:solidFill>
                <a:srgbClr val="005C2A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5C2A"/>
              </a:solidFill>
              <a:ln>
                <a:solidFill>
                  <a:srgbClr val="005C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DFB-4B33-A82D-C8FF7F285F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Executado'!$I$5</c:f>
              <c:numCache>
                <c:formatCode>General</c:formatCode>
                <c:ptCount val="1"/>
                <c:pt idx="0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CA7-4AD2-A01B-5D79D012041F}"/>
            </c:ext>
          </c:extLst>
        </c:ser>
        <c:ser>
          <c:idx val="2"/>
          <c:order val="2"/>
          <c:tx>
            <c:strRef>
              <c:f>'Analise Planejado vs Executado'!$J$3:$J$4</c:f>
              <c:strCache>
                <c:ptCount val="1"/>
                <c:pt idx="0">
                  <c:v>Mecânico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Executado'!$J$5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CA7-4AD2-A01B-5D79D012041F}"/>
            </c:ext>
          </c:extLst>
        </c:ser>
        <c:ser>
          <c:idx val="3"/>
          <c:order val="3"/>
          <c:tx>
            <c:strRef>
              <c:f>'Analise Planejado vs Executado'!$K$3:$K$4</c:f>
              <c:strCache>
                <c:ptCount val="1"/>
                <c:pt idx="0">
                  <c:v>Elétrico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Executado'!$K$5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CA7-4AD2-A01B-5D79D012041F}"/>
            </c:ext>
          </c:extLst>
        </c:ser>
        <c:ser>
          <c:idx val="4"/>
          <c:order val="4"/>
          <c:tx>
            <c:strRef>
              <c:f>'Analise Planejado vs Executado'!$L$3:$L$4</c:f>
              <c:strCache>
                <c:ptCount val="1"/>
                <c:pt idx="0">
                  <c:v>Operação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Executado'!$L$5</c:f>
              <c:numCache>
                <c:formatCode>General</c:formatCode>
                <c:ptCount val="1"/>
                <c:pt idx="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3E-41AA-947F-D17AEBC34C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91595632"/>
        <c:axId val="291604368"/>
      </c:barChart>
      <c:catAx>
        <c:axId val="2915956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91604368"/>
        <c:crosses val="autoZero"/>
        <c:auto val="1"/>
        <c:lblAlgn val="ctr"/>
        <c:lblOffset val="100"/>
        <c:noMultiLvlLbl val="0"/>
      </c:catAx>
      <c:valAx>
        <c:axId val="2916043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159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irrigação Atualizado_.xlsx]Analise Planejado vs Executado!Tabela dinâmica5</c:name>
    <c:fmtId val="11"/>
  </c:pivotSource>
  <c:chart>
    <c:autoTitleDeleted val="0"/>
    <c:pivotFmts>
      <c:pivotFmt>
        <c:idx val="0"/>
        <c:spPr>
          <a:solidFill>
            <a:srgbClr val="2E5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5C2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</c:pivotFmt>
      <c:pivotFmt>
        <c:idx val="8"/>
        <c:spPr>
          <a:solidFill>
            <a:srgbClr val="2E5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5C2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2E5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5C2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2E508E"/>
          </a:solidFill>
          <a:ln>
            <a:solidFill>
              <a:srgbClr val="2E508E"/>
            </a:solidFill>
          </a:ln>
          <a:effectLst/>
        </c:spPr>
      </c:pivotFmt>
      <c:pivotFmt>
        <c:idx val="21"/>
        <c:spPr>
          <a:solidFill>
            <a:srgbClr val="005C2A"/>
          </a:solidFill>
          <a:ln>
            <a:solidFill>
              <a:srgbClr val="005C2A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 Planejado vs Executado'!$H$29:$H$30</c:f>
              <c:strCache>
                <c:ptCount val="1"/>
                <c:pt idx="0">
                  <c:v>Planejado</c:v>
                </c:pt>
              </c:strCache>
            </c:strRef>
          </c:tx>
          <c:spPr>
            <a:solidFill>
              <a:srgbClr val="2E508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E508E"/>
              </a:solidFill>
              <a:ln>
                <a:solidFill>
                  <a:srgbClr val="2E508E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D7-4D67-9EEB-BA9005C3DF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Executado'!$H$31</c:f>
              <c:numCache>
                <c:formatCode>General</c:formatCode>
                <c:ptCount val="1"/>
                <c:pt idx="0">
                  <c:v>2624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57-47E2-9D52-559F7741A619}"/>
            </c:ext>
          </c:extLst>
        </c:ser>
        <c:ser>
          <c:idx val="1"/>
          <c:order val="1"/>
          <c:tx>
            <c:strRef>
              <c:f>'Analise Planejado vs Executado'!$I$29:$I$30</c:f>
              <c:strCache>
                <c:ptCount val="1"/>
                <c:pt idx="0">
                  <c:v>Feito</c:v>
                </c:pt>
              </c:strCache>
            </c:strRef>
          </c:tx>
          <c:spPr>
            <a:solidFill>
              <a:srgbClr val="005C2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5C2A"/>
              </a:solidFill>
              <a:ln>
                <a:solidFill>
                  <a:srgbClr val="005C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D7-4D67-9EEB-BA9005C3DF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Executado'!$I$31</c:f>
              <c:numCache>
                <c:formatCode>General</c:formatCode>
                <c:ptCount val="1"/>
                <c:pt idx="0">
                  <c:v>2565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57-47E2-9D52-559F7741A619}"/>
            </c:ext>
          </c:extLst>
        </c:ser>
        <c:ser>
          <c:idx val="2"/>
          <c:order val="2"/>
          <c:tx>
            <c:strRef>
              <c:f>'Analise Planejado vs Executado'!$J$29:$J$30</c:f>
              <c:strCache>
                <c:ptCount val="1"/>
                <c:pt idx="0">
                  <c:v>Mecânico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Executado'!$J$31</c:f>
              <c:numCache>
                <c:formatCode>General</c:formatCode>
                <c:ptCount val="1"/>
                <c:pt idx="0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57-47E2-9D52-559F7741A619}"/>
            </c:ext>
          </c:extLst>
        </c:ser>
        <c:ser>
          <c:idx val="3"/>
          <c:order val="3"/>
          <c:tx>
            <c:strRef>
              <c:f>'Analise Planejado vs Executado'!$K$29:$K$30</c:f>
              <c:strCache>
                <c:ptCount val="1"/>
                <c:pt idx="0">
                  <c:v>Elétrico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Executado'!$K$31</c:f>
              <c:numCache>
                <c:formatCode>General</c:formatCode>
                <c:ptCount val="1"/>
                <c:pt idx="0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B57-47E2-9D52-559F7741A619}"/>
            </c:ext>
          </c:extLst>
        </c:ser>
        <c:ser>
          <c:idx val="4"/>
          <c:order val="4"/>
          <c:tx>
            <c:strRef>
              <c:f>'Analise Planejado vs Executado'!$L$29:$L$30</c:f>
              <c:strCache>
                <c:ptCount val="1"/>
                <c:pt idx="0">
                  <c:v>Operação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Executado'!$L$31</c:f>
              <c:numCache>
                <c:formatCode>General</c:formatCode>
                <c:ptCount val="1"/>
                <c:pt idx="0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EF9-9C63-EED22560F7B9}"/>
            </c:ext>
          </c:extLst>
        </c:ser>
        <c:ser>
          <c:idx val="5"/>
          <c:order val="5"/>
          <c:tx>
            <c:strRef>
              <c:f>'Analise Planejado vs Executado'!$M$29:$M$30</c:f>
              <c:strCache>
                <c:ptCount val="1"/>
                <c:pt idx="0">
                  <c:v>Chuva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Executado'!$M$31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7CB-41F6-A281-F85E67D07437}"/>
            </c:ext>
          </c:extLst>
        </c:ser>
        <c:ser>
          <c:idx val="6"/>
          <c:order val="6"/>
          <c:tx>
            <c:strRef>
              <c:f>'Analise Planejado vs Executado'!$N$29:$N$30</c:f>
              <c:strCache>
                <c:ptCount val="1"/>
                <c:pt idx="0">
                  <c:v>Energia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Executado'!$N$31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CB-41F6-A281-F85E67D074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12055424"/>
        <c:axId val="1212053760"/>
      </c:barChart>
      <c:catAx>
        <c:axId val="12120554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12053760"/>
        <c:crosses val="autoZero"/>
        <c:auto val="1"/>
        <c:lblAlgn val="ctr"/>
        <c:lblOffset val="100"/>
        <c:noMultiLvlLbl val="0"/>
      </c:catAx>
      <c:valAx>
        <c:axId val="12120537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1205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7" Type="http://schemas.openxmlformats.org/officeDocument/2006/relationships/chart" Target="../charts/chart48.xml"/><Relationship Id="rId2" Type="http://schemas.openxmlformats.org/officeDocument/2006/relationships/image" Target="../media/image1.png"/><Relationship Id="rId1" Type="http://schemas.openxmlformats.org/officeDocument/2006/relationships/chart" Target="../charts/chart43.xml"/><Relationship Id="rId6" Type="http://schemas.openxmlformats.org/officeDocument/2006/relationships/chart" Target="../charts/chart47.xml"/><Relationship Id="rId5" Type="http://schemas.openxmlformats.org/officeDocument/2006/relationships/chart" Target="../charts/chart46.xml"/><Relationship Id="rId4" Type="http://schemas.openxmlformats.org/officeDocument/2006/relationships/chart" Target="../charts/chart4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103619</xdr:rowOff>
    </xdr:from>
    <xdr:to>
      <xdr:col>12</xdr:col>
      <xdr:colOff>190790</xdr:colOff>
      <xdr:row>25</xdr:row>
      <xdr:rowOff>62345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44F7B3-0C0B-418C-99E9-7112D15B8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484040</xdr:colOff>
      <xdr:row>10</xdr:row>
      <xdr:rowOff>95250</xdr:rowOff>
    </xdr:from>
    <xdr:to>
      <xdr:col>24</xdr:col>
      <xdr:colOff>285749</xdr:colOff>
      <xdr:row>27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ECC92F2-D622-4D85-B261-3D69430B1DFC}"/>
            </a:ext>
            <a:ext uri="{147F2762-F138-4A5C-976F-8EAC2B608ADB}">
              <a16:predDERef xmlns:a16="http://schemas.microsoft.com/office/drawing/2014/main" pred="{7D44F7B3-0C0B-418C-99E9-7112D15B8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84897</xdr:colOff>
      <xdr:row>9</xdr:row>
      <xdr:rowOff>108915</xdr:rowOff>
    </xdr:from>
    <xdr:to>
      <xdr:col>59</xdr:col>
      <xdr:colOff>562803</xdr:colOff>
      <xdr:row>31</xdr:row>
      <xdr:rowOff>39342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1C58055-C395-47A6-B31C-809E13506C7C}"/>
            </a:ext>
            <a:ext uri="{147F2762-F138-4A5C-976F-8EAC2B608ADB}">
              <a16:predDERef xmlns:a16="http://schemas.microsoft.com/office/drawing/2014/main" pred="{1ECC92F2-D622-4D85-B261-3D69430B1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577851</xdr:colOff>
      <xdr:row>15</xdr:row>
      <xdr:rowOff>29009</xdr:rowOff>
    </xdr:from>
    <xdr:to>
      <xdr:col>17</xdr:col>
      <xdr:colOff>475096</xdr:colOff>
      <xdr:row>30</xdr:row>
      <xdr:rowOff>75047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955E09A-608F-46F0-B386-617E0CECC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476250</xdr:colOff>
      <xdr:row>18</xdr:row>
      <xdr:rowOff>171449</xdr:rowOff>
    </xdr:from>
    <xdr:to>
      <xdr:col>22</xdr:col>
      <xdr:colOff>581025</xdr:colOff>
      <xdr:row>36</xdr:row>
      <xdr:rowOff>142874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8E82FF-001A-4EB8-99D1-682169C92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6817FE-21F2-42E8-8FCA-47172536C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02AEE8-E2EA-4818-8BBC-D735181502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813238-4B42-4975-8D2D-1527070BC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A2491C-AA33-4B05-AA34-E40F932EAB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EB9DCC-F9EE-4EAB-AE40-C0260171E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38100</xdr:rowOff>
    </xdr:from>
    <xdr:to>
      <xdr:col>17</xdr:col>
      <xdr:colOff>581025</xdr:colOff>
      <xdr:row>26</xdr:row>
      <xdr:rowOff>142876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729BA0-B426-4888-B39E-9D8F85F83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74</xdr:row>
      <xdr:rowOff>114300</xdr:rowOff>
    </xdr:from>
    <xdr:to>
      <xdr:col>15</xdr:col>
      <xdr:colOff>485775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FB143A3-F5E1-4BE0-B404-D0EF9D51A7F4}"/>
            </a:ext>
            <a:ext uri="{147F2762-F138-4A5C-976F-8EAC2B608ADB}">
              <a16:predDERef xmlns:a16="http://schemas.microsoft.com/office/drawing/2014/main" pred="{DD729BA0-B426-4888-B39E-9D8F85F83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38100</xdr:rowOff>
    </xdr:from>
    <xdr:to>
      <xdr:col>17</xdr:col>
      <xdr:colOff>581025</xdr:colOff>
      <xdr:row>26</xdr:row>
      <xdr:rowOff>142876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0DEF3B-3A9B-489D-B2CB-B6F064E2E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74</xdr:row>
      <xdr:rowOff>114300</xdr:rowOff>
    </xdr:from>
    <xdr:to>
      <xdr:col>15</xdr:col>
      <xdr:colOff>485775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9B8FFF-89AA-49F0-809F-2BB85CCC320C}"/>
            </a:ext>
            <a:ext uri="{147F2762-F138-4A5C-976F-8EAC2B608ADB}">
              <a16:predDERef xmlns:a16="http://schemas.microsoft.com/office/drawing/2014/main" pred="{660DEF3B-3A9B-489D-B2CB-B6F064E2E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38100</xdr:rowOff>
    </xdr:from>
    <xdr:to>
      <xdr:col>17</xdr:col>
      <xdr:colOff>581025</xdr:colOff>
      <xdr:row>26</xdr:row>
      <xdr:rowOff>142876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E72034-DE40-4D68-AD8E-97F5D1A00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74</xdr:row>
      <xdr:rowOff>114300</xdr:rowOff>
    </xdr:from>
    <xdr:to>
      <xdr:col>15</xdr:col>
      <xdr:colOff>485775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C20DD61-FFBE-45F6-9E24-BA4509733162}"/>
            </a:ext>
            <a:ext uri="{147F2762-F138-4A5C-976F-8EAC2B608ADB}">
              <a16:predDERef xmlns:a16="http://schemas.microsoft.com/office/drawing/2014/main" pred="{04E72034-DE40-4D68-AD8E-97F5D1A00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38100</xdr:rowOff>
    </xdr:from>
    <xdr:to>
      <xdr:col>17</xdr:col>
      <xdr:colOff>581025</xdr:colOff>
      <xdr:row>26</xdr:row>
      <xdr:rowOff>142876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933390-CCAA-4DEB-AF42-269FAD031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74</xdr:row>
      <xdr:rowOff>114301</xdr:rowOff>
    </xdr:from>
    <xdr:to>
      <xdr:col>15</xdr:col>
      <xdr:colOff>304800</xdr:colOff>
      <xdr:row>86</xdr:row>
      <xdr:rowOff>165101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0C3E75-D39B-4F4D-89A8-60F150B352C8}"/>
            </a:ext>
            <a:ext uri="{147F2762-F138-4A5C-976F-8EAC2B608ADB}">
              <a16:predDERef xmlns:a16="http://schemas.microsoft.com/office/drawing/2014/main" pred="{1C933390-CCAA-4DEB-AF42-269FAD031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79376</xdr:colOff>
      <xdr:row>11</xdr:row>
      <xdr:rowOff>12700</xdr:rowOff>
    </xdr:from>
    <xdr:to>
      <xdr:col>15</xdr:col>
      <xdr:colOff>101600</xdr:colOff>
      <xdr:row>24</xdr:row>
      <xdr:rowOff>123826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67F247-A0EC-4C40-9B7B-F343D8AA4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74</xdr:row>
      <xdr:rowOff>114300</xdr:rowOff>
    </xdr:from>
    <xdr:to>
      <xdr:col>17</xdr:col>
      <xdr:colOff>57150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85879F-7C31-4D41-A2CE-102588849605}"/>
            </a:ext>
            <a:ext uri="{147F2762-F138-4A5C-976F-8EAC2B608ADB}">
              <a16:predDERef xmlns:a16="http://schemas.microsoft.com/office/drawing/2014/main" pred="{0367F247-A0EC-4C40-9B7B-F343D8AA4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22226</xdr:colOff>
      <xdr:row>13</xdr:row>
      <xdr:rowOff>142875</xdr:rowOff>
    </xdr:from>
    <xdr:to>
      <xdr:col>19</xdr:col>
      <xdr:colOff>482600</xdr:colOff>
      <xdr:row>27</xdr:row>
      <xdr:rowOff>69851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1F746A-5D17-4FE9-8EAF-E58B3ED0E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74</xdr:row>
      <xdr:rowOff>114300</xdr:rowOff>
    </xdr:from>
    <xdr:to>
      <xdr:col>17</xdr:col>
      <xdr:colOff>57150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EF1855-E525-48B1-A088-D767446B4A2A}"/>
            </a:ext>
            <a:ext uri="{147F2762-F138-4A5C-976F-8EAC2B608ADB}">
              <a16:predDERef xmlns:a16="http://schemas.microsoft.com/office/drawing/2014/main" pred="{B41F746A-5D17-4FE9-8EAF-E58B3ED0E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177512</xdr:colOff>
      <xdr:row>7</xdr:row>
      <xdr:rowOff>25977</xdr:rowOff>
    </xdr:from>
    <xdr:to>
      <xdr:col>23</xdr:col>
      <xdr:colOff>355024</xdr:colOff>
      <xdr:row>26</xdr:row>
      <xdr:rowOff>43295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3C8868-769C-4072-9E32-CFEC46691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9A9C1F-E048-4BF6-BF8C-6CD4E6574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3E927C-0EEF-4956-B065-879047DDE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3CD3AE-BEEF-4A8D-9D03-A5BB8920D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41559A-C69B-446A-8E6B-E6E306B52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0EB026-DB8A-43B9-81B0-A311AEBE0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84E89F-5F37-4217-ABD2-C38EA2E9B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EF47E4-5D87-40C2-99D5-EA9C12F2B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FCB528-647E-4D5B-BBAC-42DFB27A0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467923</xdr:colOff>
      <xdr:row>4</xdr:row>
      <xdr:rowOff>73269</xdr:rowOff>
    </xdr:from>
    <xdr:to>
      <xdr:col>21</xdr:col>
      <xdr:colOff>37302</xdr:colOff>
      <xdr:row>23</xdr:row>
      <xdr:rowOff>90587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5E78EA-DB01-4511-88F5-4AC9450A7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DE853D-F13F-4666-A72D-B63EC05F1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52DC51-2B50-4FA5-A52E-47589DFC8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0D66B3-4E97-4408-905F-66D643F4DF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BB8049-1318-48DE-B382-D425A4FBA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E4658A-4334-42B2-8E2F-40866A4D3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037FC9-39D5-458E-8E42-07FE9E5E9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BF3517-C235-4F0A-BCDB-843F3A180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13A9E8-409E-4AC7-A62A-F885932CEA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255442</xdr:colOff>
      <xdr:row>4</xdr:row>
      <xdr:rowOff>41413</xdr:rowOff>
    </xdr:from>
    <xdr:to>
      <xdr:col>21</xdr:col>
      <xdr:colOff>432955</xdr:colOff>
      <xdr:row>23</xdr:row>
      <xdr:rowOff>58731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B660CF-C01C-48D1-AA5B-F48285D39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561899</xdr:colOff>
      <xdr:row>3</xdr:row>
      <xdr:rowOff>107674</xdr:rowOff>
    </xdr:from>
    <xdr:to>
      <xdr:col>21</xdr:col>
      <xdr:colOff>126499</xdr:colOff>
      <xdr:row>22</xdr:row>
      <xdr:rowOff>124992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605148-E32E-4FD8-8EBF-D07E85AA6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671A38-33F2-441E-9D08-24B00A17B8AB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52391" y="82826"/>
          <a:ext cx="1030707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5D5111-E837-4CDD-843B-D0C74428B64B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87A476-91F3-4EF4-883B-E9151B0A0FD7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72916-8F82-466D-B441-4788117EBF40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F69B6E-DA00-41F3-8686-2AFE0F3A705F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32BB87-AD2A-4333-B63C-115E06C2E749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F41F04-08DF-49EB-A279-B4F72CC62953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F12D8D-BF1F-4D15-BF1B-86ED15E5F45F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765273-041B-4FD8-A800-199C9CC95B06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8F982B-20A5-4A7A-B285-9318F12D8865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C08B3D-B178-452C-BB03-75660D6C0462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2AF17E-A0DC-4480-A70B-282EB1D20A9A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1DE168-E792-41E7-B66A-198C69FB4206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DBBB88-3A4B-4A9E-B4BD-354DED0C1EFC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</xdr:colOff>
      <xdr:row>10</xdr:row>
      <xdr:rowOff>85725</xdr:rowOff>
    </xdr:from>
    <xdr:to>
      <xdr:col>4</xdr:col>
      <xdr:colOff>714375</xdr:colOff>
      <xdr:row>23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mana 1">
              <a:extLst>
                <a:ext uri="{FF2B5EF4-FFF2-40B4-BE49-F238E27FC236}">
                  <a16:creationId xmlns:a16="http://schemas.microsoft.com/office/drawing/2014/main" id="{2B018AF1-DF82-3BEF-FF26-724A28EEAE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38525" y="19907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485775</xdr:colOff>
      <xdr:row>33</xdr:row>
      <xdr:rowOff>1</xdr:rowOff>
    </xdr:from>
    <xdr:to>
      <xdr:col>11</xdr:col>
      <xdr:colOff>581025</xdr:colOff>
      <xdr:row>43</xdr:row>
      <xdr:rowOff>38100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17C2463F-B09D-78D3-7ACF-02E63231F529}"/>
            </a:ext>
          </a:extLst>
        </xdr:cNvPr>
        <xdr:cNvGrpSpPr/>
      </xdr:nvGrpSpPr>
      <xdr:grpSpPr>
        <a:xfrm>
          <a:off x="6867525" y="6286501"/>
          <a:ext cx="4143375" cy="1943099"/>
          <a:chOff x="6734175" y="6286501"/>
          <a:chExt cx="4143375" cy="1943099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Ano 2">
                <a:extLst>
                  <a:ext uri="{FF2B5EF4-FFF2-40B4-BE49-F238E27FC236}">
                    <a16:creationId xmlns:a16="http://schemas.microsoft.com/office/drawing/2014/main" id="{31B35AFE-0464-DFAC-BE14-366424409BCF}"/>
                  </a:ext>
                </a:extLst>
              </xdr:cNvPr>
              <xdr:cNvGraphicFramePr/>
            </xdr:nvGraphicFramePr>
            <xdr:xfrm>
              <a:off x="8162925" y="6296026"/>
              <a:ext cx="1200150" cy="1504950"/>
            </xdr:xfrm>
            <a:graphic>
              <a:graphicData uri="http://schemas.microsoft.com/office/drawing/2010/slicer">
                <sle:slicer xmlns:sle="http://schemas.microsoft.com/office/drawing/2010/slicer" name="Ano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162925" y="6296026"/>
                <a:ext cx="1200150" cy="150495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Periodo 2">
                <a:extLst>
                  <a:ext uri="{FF2B5EF4-FFF2-40B4-BE49-F238E27FC236}">
                    <a16:creationId xmlns:a16="http://schemas.microsoft.com/office/drawing/2014/main" id="{F3C474E3-DA67-362B-029A-03B1354764DD}"/>
                  </a:ext>
                </a:extLst>
              </xdr:cNvPr>
              <xdr:cNvGraphicFramePr/>
            </xdr:nvGraphicFramePr>
            <xdr:xfrm>
              <a:off x="6734175" y="6286501"/>
              <a:ext cx="1219200" cy="952500"/>
            </xdr:xfrm>
            <a:graphic>
              <a:graphicData uri="http://schemas.microsoft.com/office/drawing/2010/slicer">
                <sle:slicer xmlns:sle="http://schemas.microsoft.com/office/drawing/2010/slicer" name="Periodo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734175" y="6286501"/>
                <a:ext cx="1219200" cy="9525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6" name="Mês">
                <a:extLst>
                  <a:ext uri="{FF2B5EF4-FFF2-40B4-BE49-F238E27FC236}">
                    <a16:creationId xmlns:a16="http://schemas.microsoft.com/office/drawing/2014/main" id="{3CA6E04D-CE96-BEB6-30C7-4776EE58E1DF}"/>
                  </a:ext>
                </a:extLst>
              </xdr:cNvPr>
              <xdr:cNvGraphicFramePr/>
            </xdr:nvGraphicFramePr>
            <xdr:xfrm>
              <a:off x="9544050" y="6296025"/>
              <a:ext cx="1333500" cy="1933575"/>
            </xdr:xfrm>
            <a:graphic>
              <a:graphicData uri="http://schemas.microsoft.com/office/drawing/2010/slicer">
                <sle:slicer xmlns:sle="http://schemas.microsoft.com/office/drawing/2010/slicer" name="Mês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9544050" y="6296025"/>
                <a:ext cx="1333500" cy="19335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2</xdr:row>
      <xdr:rowOff>19050</xdr:rowOff>
    </xdr:from>
    <xdr:to>
      <xdr:col>9</xdr:col>
      <xdr:colOff>9525</xdr:colOff>
      <xdr:row>15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mana">
              <a:extLst>
                <a:ext uri="{FF2B5EF4-FFF2-40B4-BE49-F238E27FC236}">
                  <a16:creationId xmlns:a16="http://schemas.microsoft.com/office/drawing/2014/main" id="{C2F633D5-6C1C-8FCD-920E-420857C4E8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48400" y="4000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2</xdr:row>
      <xdr:rowOff>19051</xdr:rowOff>
    </xdr:from>
    <xdr:to>
      <xdr:col>3</xdr:col>
      <xdr:colOff>733425</xdr:colOff>
      <xdr:row>12</xdr:row>
      <xdr:rowOff>95251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no">
              <a:extLst>
                <a:ext uri="{FF2B5EF4-FFF2-40B4-BE49-F238E27FC236}">
                  <a16:creationId xmlns:a16="http://schemas.microsoft.com/office/drawing/2014/main" id="{579F2BC2-446C-3F46-6110-83E1AD5F59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00350" y="400051"/>
              <a:ext cx="1304925" cy="1981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1047750</xdr:colOff>
      <xdr:row>4</xdr:row>
      <xdr:rowOff>66675</xdr:rowOff>
    </xdr:from>
    <xdr:to>
      <xdr:col>5</xdr:col>
      <xdr:colOff>0</xdr:colOff>
      <xdr:row>9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eriodo">
              <a:extLst>
                <a:ext uri="{FF2B5EF4-FFF2-40B4-BE49-F238E27FC236}">
                  <a16:creationId xmlns:a16="http://schemas.microsoft.com/office/drawing/2014/main" id="{53CF484B-1688-BA2D-28DC-47E88ECB31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9600" y="828675"/>
              <a:ext cx="1371600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58851</xdr:colOff>
      <xdr:row>67</xdr:row>
      <xdr:rowOff>8163</xdr:rowOff>
    </xdr:from>
    <xdr:to>
      <xdr:col>7</xdr:col>
      <xdr:colOff>446995</xdr:colOff>
      <xdr:row>82</xdr:row>
      <xdr:rowOff>175532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D84EFC77-E310-4B0E-AA3B-8B57ECBEE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600074</xdr:colOff>
      <xdr:row>33</xdr:row>
      <xdr:rowOff>180974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7018CED3-786C-422A-A130-034849ADC046}"/>
            </a:ext>
          </a:extLst>
        </xdr:cNvPr>
        <xdr:cNvSpPr/>
      </xdr:nvSpPr>
      <xdr:spPr>
        <a:xfrm>
          <a:off x="0" y="0"/>
          <a:ext cx="12792074" cy="6467474"/>
        </a:xfrm>
        <a:prstGeom prst="rect">
          <a:avLst/>
        </a:prstGeom>
        <a:solidFill>
          <a:srgbClr val="517B7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   </a:t>
          </a:r>
        </a:p>
      </xdr:txBody>
    </xdr:sp>
    <xdr:clientData/>
  </xdr:twoCellAnchor>
  <xdr:twoCellAnchor>
    <xdr:from>
      <xdr:col>0</xdr:col>
      <xdr:colOff>40822</xdr:colOff>
      <xdr:row>0</xdr:row>
      <xdr:rowOff>63953</xdr:rowOff>
    </xdr:from>
    <xdr:to>
      <xdr:col>20</xdr:col>
      <xdr:colOff>557893</xdr:colOff>
      <xdr:row>33</xdr:row>
      <xdr:rowOff>133349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93571BFA-EE8B-186E-2FD7-867326681DD0}"/>
            </a:ext>
          </a:extLst>
        </xdr:cNvPr>
        <xdr:cNvGrpSpPr/>
      </xdr:nvGrpSpPr>
      <xdr:grpSpPr>
        <a:xfrm>
          <a:off x="40822" y="63953"/>
          <a:ext cx="12709071" cy="6355896"/>
          <a:chOff x="40822" y="54428"/>
          <a:chExt cx="12709071" cy="6424387"/>
        </a:xfrm>
      </xdr:grpSpPr>
      <xdr:grpSp>
        <xdr:nvGrpSpPr>
          <xdr:cNvPr id="34" name="Agrupar 33">
            <a:extLst>
              <a:ext uri="{FF2B5EF4-FFF2-40B4-BE49-F238E27FC236}">
                <a16:creationId xmlns:a16="http://schemas.microsoft.com/office/drawing/2014/main" id="{24304A63-AB59-14DD-8159-AAF6C769E835}"/>
              </a:ext>
            </a:extLst>
          </xdr:cNvPr>
          <xdr:cNvGrpSpPr/>
        </xdr:nvGrpSpPr>
        <xdr:grpSpPr>
          <a:xfrm>
            <a:off x="11340192" y="54428"/>
            <a:ext cx="1409701" cy="6394450"/>
            <a:chOff x="11340192" y="54428"/>
            <a:chExt cx="1409701" cy="6394450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F0DCA46B-66AB-4A8D-B9C6-57DD7AC3D808}"/>
                </a:ext>
              </a:extLst>
            </xdr:cNvPr>
            <xdr:cNvSpPr/>
          </xdr:nvSpPr>
          <xdr:spPr>
            <a:xfrm>
              <a:off x="11340192" y="54428"/>
              <a:ext cx="1409701" cy="6394450"/>
            </a:xfrm>
            <a:prstGeom prst="roundRect">
              <a:avLst/>
            </a:prstGeom>
            <a:solidFill>
              <a:srgbClr val="517B7B"/>
            </a:solidFill>
            <a:ln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endParaRPr lang="pt-BR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grpSp>
          <xdr:nvGrpSpPr>
            <xdr:cNvPr id="31" name="Agrupar 30">
              <a:extLst>
                <a:ext uri="{FF2B5EF4-FFF2-40B4-BE49-F238E27FC236}">
                  <a16:creationId xmlns:a16="http://schemas.microsoft.com/office/drawing/2014/main" id="{10ABDB74-7113-E3D4-CE42-AAEE37A02B59}"/>
                </a:ext>
              </a:extLst>
            </xdr:cNvPr>
            <xdr:cNvGrpSpPr/>
          </xdr:nvGrpSpPr>
          <xdr:grpSpPr>
            <a:xfrm>
              <a:off x="11413333" y="612322"/>
              <a:ext cx="1278731" cy="5352710"/>
              <a:chOff x="11413333" y="612322"/>
              <a:chExt cx="1278731" cy="5352710"/>
            </a:xfrm>
          </xdr:grpSpPr>
          <xdr:sp macro="" textlink="">
            <xdr:nvSpPr>
              <xdr:cNvPr id="21" name="CaixaDeTexto 20">
                <a:extLst>
                  <a:ext uri="{FF2B5EF4-FFF2-40B4-BE49-F238E27FC236}">
                    <a16:creationId xmlns:a16="http://schemas.microsoft.com/office/drawing/2014/main" id="{BCE53DC3-3FED-E20A-CFBA-C1E5CE035374}"/>
                  </a:ext>
                </a:extLst>
              </xdr:cNvPr>
              <xdr:cNvSpPr txBox="1"/>
            </xdr:nvSpPr>
            <xdr:spPr>
              <a:xfrm>
                <a:off x="11557907" y="612322"/>
                <a:ext cx="987878" cy="381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800" b="1">
                    <a:solidFill>
                      <a:schemeClr val="bg1"/>
                    </a:solidFill>
                  </a:rPr>
                  <a:t>Semana</a:t>
                </a:r>
              </a:p>
            </xdr:txBody>
          </xdr:sp>
          <mc:AlternateContent xmlns:mc="http://schemas.openxmlformats.org/markup-compatibility/2006" xmlns:a14="http://schemas.microsoft.com/office/drawing/2010/main">
            <mc:Choice Requires="a14">
              <xdr:graphicFrame macro="">
                <xdr:nvGraphicFramePr>
                  <xdr:cNvPr id="32" name="Semana 2">
                    <a:extLst>
                      <a:ext uri="{FF2B5EF4-FFF2-40B4-BE49-F238E27FC236}">
                        <a16:creationId xmlns:a16="http://schemas.microsoft.com/office/drawing/2014/main" id="{95902186-B33C-4916-9D68-A32862760DF8}"/>
                      </a:ext>
                    </a:extLst>
                  </xdr:cNvPr>
                  <xdr:cNvGraphicFramePr/>
                </xdr:nvGraphicFramePr>
                <xdr:xfrm>
                  <a:off x="11413333" y="1023940"/>
                  <a:ext cx="1278731" cy="4941092"/>
                </xdr:xfrm>
                <a:graphic>
                  <a:graphicData uri="http://schemas.microsoft.com/office/drawing/2010/slicer">
                    <sle:slicer xmlns:sle="http://schemas.microsoft.com/office/drawing/2010/slicer" name="Semana 2"/>
                  </a:graphicData>
                </a:graphic>
              </xdr:graphicFrame>
            </mc:Choice>
            <mc:Fallback xmlns="">
              <xdr:sp macro="" textlink="">
                <xdr:nvSpPr>
                  <xdr:cNvPr id="0" name=""/>
                  <xdr:cNvSpPr>
                    <a:spLocks noTextEdit="1"/>
                  </xdr:cNvSpPr>
                </xdr:nvSpPr>
                <xdr:spPr>
                  <a:xfrm>
                    <a:off x="11462038" y="1023129"/>
                    <a:ext cx="1284207" cy="4888414"/>
                  </a:xfrm>
                  <a:prstGeom prst="rect">
                    <a:avLst/>
                  </a:prstGeom>
                  <a:solidFill>
                    <a:prstClr val="white"/>
                  </a:solidFill>
                  <a:ln w="1">
                    <a:solidFill>
                      <a:prstClr val="green"/>
                    </a:solidFill>
                  </a:ln>
                </xdr:spPr>
                <xdr:txBody>
                  <a:bodyPr vertOverflow="clip" horzOverflow="clip"/>
                  <a:lstStyle/>
                  <a:p>
                    <a:r>
                      <a:rPr lang="pt-BR" sz="1100"/>
  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  </a:r>
                  </a:p>
                </xdr:txBody>
              </xdr:sp>
            </mc:Fallback>
          </mc:AlternateContent>
        </xdr:grpSp>
      </xdr:grpSp>
      <xdr:grpSp>
        <xdr:nvGrpSpPr>
          <xdr:cNvPr id="29" name="Agrupar 28">
            <a:extLst>
              <a:ext uri="{FF2B5EF4-FFF2-40B4-BE49-F238E27FC236}">
                <a16:creationId xmlns:a16="http://schemas.microsoft.com/office/drawing/2014/main" id="{A3081345-0419-03E4-2970-2D5F2B174677}"/>
              </a:ext>
            </a:extLst>
          </xdr:cNvPr>
          <xdr:cNvGrpSpPr/>
        </xdr:nvGrpSpPr>
        <xdr:grpSpPr>
          <a:xfrm>
            <a:off x="40822" y="84365"/>
            <a:ext cx="1426030" cy="6394450"/>
            <a:chOff x="40822" y="84365"/>
            <a:chExt cx="1426030" cy="6394450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37FEAFB9-5151-4790-8A00-F0E7A28E6BDB}"/>
                </a:ext>
              </a:extLst>
            </xdr:cNvPr>
            <xdr:cNvSpPr/>
          </xdr:nvSpPr>
          <xdr:spPr>
            <a:xfrm>
              <a:off x="57151" y="84365"/>
              <a:ext cx="1409701" cy="6394450"/>
            </a:xfrm>
            <a:prstGeom prst="roundRect">
              <a:avLst/>
            </a:prstGeom>
            <a:solidFill>
              <a:srgbClr val="517B7B"/>
            </a:solidFill>
            <a:ln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endParaRPr lang="pt-BR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grpSp>
          <xdr:nvGrpSpPr>
            <xdr:cNvPr id="28" name="Agrupar 27">
              <a:extLst>
                <a:ext uri="{FF2B5EF4-FFF2-40B4-BE49-F238E27FC236}">
                  <a16:creationId xmlns:a16="http://schemas.microsoft.com/office/drawing/2014/main" id="{EDC191AF-6784-0F1F-ACBB-42994B003B6E}"/>
                </a:ext>
              </a:extLst>
            </xdr:cNvPr>
            <xdr:cNvGrpSpPr/>
          </xdr:nvGrpSpPr>
          <xdr:grpSpPr>
            <a:xfrm>
              <a:off x="40822" y="340179"/>
              <a:ext cx="1400174" cy="6075361"/>
              <a:chOff x="40822" y="340179"/>
              <a:chExt cx="1400174" cy="6075361"/>
            </a:xfrm>
          </xdr:grpSpPr>
          <xdr:pic>
            <xdr:nvPicPr>
              <xdr:cNvPr id="22" name="Imagem 21">
                <a:extLst>
                  <a:ext uri="{FF2B5EF4-FFF2-40B4-BE49-F238E27FC236}">
                    <a16:creationId xmlns:a16="http://schemas.microsoft.com/office/drawing/2014/main" id="{B6F78C00-1F26-4571-92F1-F92420CC917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300717" y="340179"/>
                <a:ext cx="933904" cy="1001775"/>
              </a:xfrm>
              <a:prstGeom prst="rect">
                <a:avLst/>
              </a:prstGeom>
              <a:solidFill>
                <a:srgbClr val="FFFFFF">
                  <a:shade val="85000"/>
                </a:srgbClr>
              </a:solidFill>
              <a:ln w="88900" cap="sq">
                <a:solidFill>
                  <a:srgbClr val="FFFFFF"/>
                </a:solidFill>
                <a:miter lim="800000"/>
              </a:ln>
              <a:effectLst>
                <a:outerShdw blurRad="55000" dist="18000" dir="5400000" algn="tl" rotWithShape="0">
                  <a:srgbClr val="000000">
                    <a:alpha val="40000"/>
                  </a:srgbClr>
                </a:outerShdw>
              </a:effectLst>
              <a:scene3d>
                <a:camera prst="orthographicFront"/>
                <a:lightRig rig="twoPt" dir="t">
                  <a:rot lat="0" lon="0" rev="7200000"/>
                </a:lightRig>
              </a:scene3d>
              <a:sp3d>
                <a:bevelT w="25400" h="19050"/>
                <a:contourClr>
                  <a:srgbClr val="FFFFFF"/>
                </a:contourClr>
              </a:sp3d>
            </xdr:spPr>
          </xdr:pic>
          <xdr:sp macro="" textlink="">
            <xdr:nvSpPr>
              <xdr:cNvPr id="23" name="CaixaDeTexto 22">
                <a:extLst>
                  <a:ext uri="{FF2B5EF4-FFF2-40B4-BE49-F238E27FC236}">
                    <a16:creationId xmlns:a16="http://schemas.microsoft.com/office/drawing/2014/main" id="{9302C78D-180F-A83B-756A-A29EB66BD0E0}"/>
                  </a:ext>
                </a:extLst>
              </xdr:cNvPr>
              <xdr:cNvSpPr txBox="1"/>
            </xdr:nvSpPr>
            <xdr:spPr>
              <a:xfrm>
                <a:off x="40822" y="1483179"/>
                <a:ext cx="1396093" cy="96610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800" b="1">
                    <a:solidFill>
                      <a:schemeClr val="bg1"/>
                    </a:solidFill>
                  </a:rPr>
                  <a:t>Relatório de Indicadores de Irrigação</a:t>
                </a:r>
              </a:p>
            </xdr:txBody>
          </xdr:sp>
          <xdr:sp macro="" textlink="">
            <xdr:nvSpPr>
              <xdr:cNvPr id="26" name="CaixaDeTexto 25">
                <a:extLst>
                  <a:ext uri="{FF2B5EF4-FFF2-40B4-BE49-F238E27FC236}">
                    <a16:creationId xmlns:a16="http://schemas.microsoft.com/office/drawing/2014/main" id="{0A9873B6-D482-EF0F-97B1-FDFF0496FA94}"/>
                  </a:ext>
                </a:extLst>
              </xdr:cNvPr>
              <xdr:cNvSpPr txBox="1"/>
            </xdr:nvSpPr>
            <xdr:spPr>
              <a:xfrm>
                <a:off x="160565" y="2373996"/>
                <a:ext cx="1151164" cy="381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200" b="1">
                    <a:solidFill>
                      <a:schemeClr val="bg1"/>
                    </a:solidFill>
                  </a:rPr>
                  <a:t>Ano de Analise</a:t>
                </a:r>
              </a:p>
            </xdr:txBody>
          </xdr:sp>
          <xdr:sp macro="" textlink="">
            <xdr:nvSpPr>
              <xdr:cNvPr id="27" name="CaixaDeTexto 26">
                <a:extLst>
                  <a:ext uri="{FF2B5EF4-FFF2-40B4-BE49-F238E27FC236}">
                    <a16:creationId xmlns:a16="http://schemas.microsoft.com/office/drawing/2014/main" id="{9380E9C0-6EB2-FCC5-6DB0-194208C1228D}"/>
                  </a:ext>
                </a:extLst>
              </xdr:cNvPr>
              <xdr:cNvSpPr txBox="1"/>
            </xdr:nvSpPr>
            <xdr:spPr>
              <a:xfrm>
                <a:off x="58511" y="5230846"/>
                <a:ext cx="1382485" cy="28915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200" b="1">
                    <a:solidFill>
                      <a:schemeClr val="bg1"/>
                    </a:solidFill>
                  </a:rPr>
                  <a:t>Periodo de Analise</a:t>
                </a:r>
              </a:p>
            </xdr:txBody>
          </xdr:sp>
          <mc:AlternateContent xmlns:mc="http://schemas.openxmlformats.org/markup-compatibility/2006" xmlns:a14="http://schemas.microsoft.com/office/drawing/2010/main">
            <mc:Choice Requires="a14">
              <xdr:graphicFrame macro="">
                <xdr:nvGraphicFramePr>
                  <xdr:cNvPr id="33" name="Periodo 3">
                    <a:extLst>
                      <a:ext uri="{FF2B5EF4-FFF2-40B4-BE49-F238E27FC236}">
                        <a16:creationId xmlns:a16="http://schemas.microsoft.com/office/drawing/2014/main" id="{B81D97B4-0372-45F1-BED7-FBCDA742F49F}"/>
                      </a:ext>
                    </a:extLst>
                  </xdr:cNvPr>
                  <xdr:cNvGraphicFramePr/>
                </xdr:nvGraphicFramePr>
                <xdr:xfrm>
                  <a:off x="133351" y="5504344"/>
                  <a:ext cx="1266824" cy="911196"/>
                </xdr:xfrm>
                <a:graphic>
                  <a:graphicData uri="http://schemas.microsoft.com/office/drawing/2010/slicer">
                    <sle:slicer xmlns:sle="http://schemas.microsoft.com/office/drawing/2010/slicer" name="Periodo 3"/>
                  </a:graphicData>
                </a:graphic>
              </xdr:graphicFrame>
            </mc:Choice>
            <mc:Fallback xmlns="">
              <xdr:sp macro="" textlink="">
                <xdr:nvSpPr>
                  <xdr:cNvPr id="0" name=""/>
                  <xdr:cNvSpPr>
                    <a:spLocks noTextEdit="1"/>
                  </xdr:cNvSpPr>
                </xdr:nvSpPr>
                <xdr:spPr>
                  <a:xfrm>
                    <a:off x="133747" y="5455767"/>
                    <a:ext cx="1272249" cy="901482"/>
                  </a:xfrm>
                  <a:prstGeom prst="rect">
                    <a:avLst/>
                  </a:prstGeom>
                  <a:solidFill>
                    <a:prstClr val="white"/>
                  </a:solidFill>
                  <a:ln w="1">
                    <a:solidFill>
                      <a:prstClr val="green"/>
                    </a:solidFill>
                  </a:ln>
                </xdr:spPr>
                <xdr:txBody>
                  <a:bodyPr vertOverflow="clip" horzOverflow="clip"/>
                  <a:lstStyle/>
                  <a:p>
                    <a:r>
                      <a:rPr lang="pt-BR" sz="1100"/>
  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  </a:r>
                  </a:p>
                </xdr:txBody>
              </xdr:sp>
            </mc:Fallback>
          </mc:AlternateContent>
          <mc:AlternateContent xmlns:mc="http://schemas.openxmlformats.org/markup-compatibility/2006" xmlns:a14="http://schemas.microsoft.com/office/drawing/2010/main">
            <mc:Choice Requires="a14">
              <xdr:graphicFrame macro="">
                <xdr:nvGraphicFramePr>
                  <xdr:cNvPr id="35" name="Ano 3">
                    <a:extLst>
                      <a:ext uri="{FF2B5EF4-FFF2-40B4-BE49-F238E27FC236}">
                        <a16:creationId xmlns:a16="http://schemas.microsoft.com/office/drawing/2014/main" id="{DBD65561-B092-4892-AF10-DDCAF5DBDB6F}"/>
                      </a:ext>
                    </a:extLst>
                  </xdr:cNvPr>
                  <xdr:cNvGraphicFramePr/>
                </xdr:nvGraphicFramePr>
                <xdr:xfrm>
                  <a:off x="176755" y="2716420"/>
                  <a:ext cx="1185318" cy="1172560"/>
                </xdr:xfrm>
                <a:graphic>
                  <a:graphicData uri="http://schemas.microsoft.com/office/drawing/2010/slicer">
                    <sle:slicer xmlns:sle="http://schemas.microsoft.com/office/drawing/2010/slicer" name="Ano 3"/>
                  </a:graphicData>
                </a:graphic>
              </xdr:graphicFrame>
            </mc:Choice>
            <mc:Fallback xmlns="">
              <xdr:sp macro="" textlink="">
                <xdr:nvSpPr>
                  <xdr:cNvPr id="0" name=""/>
                  <xdr:cNvSpPr>
                    <a:spLocks noTextEdit="1"/>
                  </xdr:cNvSpPr>
                </xdr:nvSpPr>
                <xdr:spPr>
                  <a:xfrm>
                    <a:off x="177337" y="2697566"/>
                    <a:ext cx="1190394" cy="1160059"/>
                  </a:xfrm>
                  <a:prstGeom prst="rect">
                    <a:avLst/>
                  </a:prstGeom>
                  <a:solidFill>
                    <a:prstClr val="white"/>
                  </a:solidFill>
                  <a:ln w="1">
                    <a:solidFill>
                      <a:prstClr val="green"/>
                    </a:solidFill>
                  </a:ln>
                </xdr:spPr>
                <xdr:txBody>
                  <a:bodyPr vertOverflow="clip" horzOverflow="clip"/>
                  <a:lstStyle/>
                  <a:p>
                    <a:r>
                      <a:rPr lang="pt-BR" sz="1100"/>
  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  </a:r>
                  </a:p>
                </xdr:txBody>
              </xdr:sp>
            </mc:Fallback>
          </mc:AlternateContent>
        </xdr:grp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1CCE9E28-8E64-1ED0-C3D6-30649208D070}"/>
              </a:ext>
            </a:extLst>
          </xdr:cNvPr>
          <xdr:cNvGrpSpPr/>
        </xdr:nvGrpSpPr>
        <xdr:grpSpPr>
          <a:xfrm>
            <a:off x="6461353" y="123484"/>
            <a:ext cx="4776107" cy="3054804"/>
            <a:chOff x="6423253" y="28234"/>
            <a:chExt cx="4776107" cy="3054804"/>
          </a:xfrm>
        </xdr:grpSpPr>
        <xdr:sp macro="" textlink="">
          <xdr:nvSpPr>
            <xdr:cNvPr id="10" name="Retângulo 9">
              <a:extLst>
                <a:ext uri="{FF2B5EF4-FFF2-40B4-BE49-F238E27FC236}">
                  <a16:creationId xmlns:a16="http://schemas.microsoft.com/office/drawing/2014/main" id="{A275B282-F99B-1179-F2CF-0014349EC40D}"/>
                </a:ext>
              </a:extLst>
            </xdr:cNvPr>
            <xdr:cNvSpPr/>
          </xdr:nvSpPr>
          <xdr:spPr>
            <a:xfrm>
              <a:off x="6423253" y="28234"/>
              <a:ext cx="4776107" cy="3054804"/>
            </a:xfrm>
            <a:prstGeom prst="rect">
              <a:avLst/>
            </a:prstGeom>
            <a:solidFill>
              <a:srgbClr val="517B7B"/>
            </a:solidFill>
            <a:ln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r>
                <a:rPr lang="pt-BR" sz="120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c</a:t>
              </a:r>
            </a:p>
          </xdr:txBody>
        </xdr:sp>
        <xdr:grpSp>
          <xdr:nvGrpSpPr>
            <xdr:cNvPr id="13" name="Agrupar 12">
              <a:extLst>
                <a:ext uri="{FF2B5EF4-FFF2-40B4-BE49-F238E27FC236}">
                  <a16:creationId xmlns:a16="http://schemas.microsoft.com/office/drawing/2014/main" id="{7326759E-0A98-A01B-3209-B062853AF2A7}"/>
                </a:ext>
              </a:extLst>
            </xdr:cNvPr>
            <xdr:cNvGrpSpPr/>
          </xdr:nvGrpSpPr>
          <xdr:grpSpPr>
            <a:xfrm>
              <a:off x="6488566" y="80963"/>
              <a:ext cx="4641396" cy="2942884"/>
              <a:chOff x="6488566" y="80963"/>
              <a:chExt cx="4641396" cy="2942884"/>
            </a:xfrm>
          </xdr:grpSpPr>
          <xdr:graphicFrame macro="">
            <xdr:nvGraphicFramePr>
              <xdr:cNvPr id="39" name="Gráfico 38">
                <a:extLst>
                  <a:ext uri="{FF2B5EF4-FFF2-40B4-BE49-F238E27FC236}">
                    <a16:creationId xmlns:a16="http://schemas.microsoft.com/office/drawing/2014/main" id="{55757A42-9D91-463C-85B1-7757B8DD387E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488566" y="390525"/>
              <a:ext cx="4641396" cy="263332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sp macro="" textlink="">
            <xdr:nvSpPr>
              <xdr:cNvPr id="3" name="CaixaDeTexto 2">
                <a:extLst>
                  <a:ext uri="{FF2B5EF4-FFF2-40B4-BE49-F238E27FC236}">
                    <a16:creationId xmlns:a16="http://schemas.microsoft.com/office/drawing/2014/main" id="{FED849AF-AD00-DC25-9D80-9A77547E0163}"/>
                  </a:ext>
                </a:extLst>
              </xdr:cNvPr>
              <xdr:cNvSpPr txBox="1"/>
            </xdr:nvSpPr>
            <xdr:spPr>
              <a:xfrm>
                <a:off x="6991348" y="80963"/>
                <a:ext cx="3681412" cy="33337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800" b="1">
                    <a:solidFill>
                      <a:schemeClr val="bg1"/>
                    </a:solidFill>
                  </a:rPr>
                  <a:t>Analise Percentual Semanal</a:t>
                </a:r>
              </a:p>
            </xdr:txBody>
          </xdr:sp>
        </xdr:grpSp>
      </xdr:grp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767B7ABD-2696-BA4C-3689-74EA79EB3613}"/>
              </a:ext>
            </a:extLst>
          </xdr:cNvPr>
          <xdr:cNvGrpSpPr/>
        </xdr:nvGrpSpPr>
        <xdr:grpSpPr>
          <a:xfrm>
            <a:off x="1560739" y="107496"/>
            <a:ext cx="4776108" cy="3054804"/>
            <a:chOff x="1570264" y="40821"/>
            <a:chExt cx="4776108" cy="3054804"/>
          </a:xfrm>
        </xdr:grpSpPr>
        <xdr:sp macro="" textlink="">
          <xdr:nvSpPr>
            <xdr:cNvPr id="5" name="Retângulo 4">
              <a:extLst>
                <a:ext uri="{FF2B5EF4-FFF2-40B4-BE49-F238E27FC236}">
                  <a16:creationId xmlns:a16="http://schemas.microsoft.com/office/drawing/2014/main" id="{437F5F17-1889-44B2-8015-4577101ED195}"/>
                </a:ext>
              </a:extLst>
            </xdr:cNvPr>
            <xdr:cNvSpPr/>
          </xdr:nvSpPr>
          <xdr:spPr>
            <a:xfrm>
              <a:off x="1570264" y="40821"/>
              <a:ext cx="4776108" cy="3054804"/>
            </a:xfrm>
            <a:prstGeom prst="rect">
              <a:avLst/>
            </a:prstGeom>
            <a:solidFill>
              <a:srgbClr val="517B7B"/>
            </a:solidFill>
            <a:ln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endParaRPr lang="pt-BR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grpSp>
          <xdr:nvGrpSpPr>
            <xdr:cNvPr id="19" name="Agrupar 18">
              <a:extLst>
                <a:ext uri="{FF2B5EF4-FFF2-40B4-BE49-F238E27FC236}">
                  <a16:creationId xmlns:a16="http://schemas.microsoft.com/office/drawing/2014/main" id="{F1E6C336-E479-A010-6B66-E09604E8B1ED}"/>
                </a:ext>
              </a:extLst>
            </xdr:cNvPr>
            <xdr:cNvGrpSpPr/>
          </xdr:nvGrpSpPr>
          <xdr:grpSpPr>
            <a:xfrm>
              <a:off x="1628775" y="83344"/>
              <a:ext cx="4648200" cy="2936081"/>
              <a:chOff x="1628775" y="83344"/>
              <a:chExt cx="4648200" cy="2936081"/>
            </a:xfrm>
          </xdr:grpSpPr>
          <xdr:graphicFrame macro="">
            <xdr:nvGraphicFramePr>
              <xdr:cNvPr id="38" name="Gráfico 37">
                <a:extLst>
                  <a:ext uri="{FF2B5EF4-FFF2-40B4-BE49-F238E27FC236}">
                    <a16:creationId xmlns:a16="http://schemas.microsoft.com/office/drawing/2014/main" id="{FC03792D-A928-47C8-8784-7A30EF4FC522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628775" y="461962"/>
              <a:ext cx="4648200" cy="2557463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  <xdr:sp macro="" textlink="">
            <xdr:nvSpPr>
              <xdr:cNvPr id="4" name="CaixaDeTexto 3">
                <a:extLst>
                  <a:ext uri="{FF2B5EF4-FFF2-40B4-BE49-F238E27FC236}">
                    <a16:creationId xmlns:a16="http://schemas.microsoft.com/office/drawing/2014/main" id="{77C24E4A-79D1-EDE0-A67A-A5D0207D89C4}"/>
                  </a:ext>
                </a:extLst>
              </xdr:cNvPr>
              <xdr:cNvSpPr txBox="1"/>
            </xdr:nvSpPr>
            <xdr:spPr>
              <a:xfrm>
                <a:off x="2545556" y="83344"/>
                <a:ext cx="3119437" cy="34528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pt-BR" sz="1600" b="1">
                    <a:solidFill>
                      <a:schemeClr val="bg1"/>
                    </a:solidFill>
                  </a:rPr>
                  <a:t>Planejado vs Executado Semanal</a:t>
                </a:r>
              </a:p>
            </xdr:txBody>
          </xdr:sp>
        </xdr:grp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BF53419B-9594-F1DF-20D9-0704D6A6A73F}"/>
              </a:ext>
            </a:extLst>
          </xdr:cNvPr>
          <xdr:cNvGrpSpPr/>
        </xdr:nvGrpSpPr>
        <xdr:grpSpPr>
          <a:xfrm>
            <a:off x="6458970" y="3244962"/>
            <a:ext cx="4776107" cy="3214598"/>
            <a:chOff x="6411345" y="3244962"/>
            <a:chExt cx="4776107" cy="3214598"/>
          </a:xfrm>
        </xdr:grpSpPr>
        <xdr:sp macro="" textlink="">
          <xdr:nvSpPr>
            <xdr:cNvPr id="11" name="Retângulo 10">
              <a:extLst>
                <a:ext uri="{FF2B5EF4-FFF2-40B4-BE49-F238E27FC236}">
                  <a16:creationId xmlns:a16="http://schemas.microsoft.com/office/drawing/2014/main" id="{EC281EDF-106D-EFAB-4F7A-2A61CF993043}"/>
                </a:ext>
              </a:extLst>
            </xdr:cNvPr>
            <xdr:cNvSpPr/>
          </xdr:nvSpPr>
          <xdr:spPr>
            <a:xfrm>
              <a:off x="6411345" y="3244962"/>
              <a:ext cx="4776107" cy="3214598"/>
            </a:xfrm>
            <a:prstGeom prst="rect">
              <a:avLst/>
            </a:prstGeom>
            <a:solidFill>
              <a:srgbClr val="517B7B"/>
            </a:solidFill>
            <a:ln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r>
                <a:rPr lang="pt-BR" sz="120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,</a:t>
              </a:r>
            </a:p>
          </xdr:txBody>
        </xdr:sp>
        <xdr:grpSp>
          <xdr:nvGrpSpPr>
            <xdr:cNvPr id="24" name="Agrupar 23">
              <a:extLst>
                <a:ext uri="{FF2B5EF4-FFF2-40B4-BE49-F238E27FC236}">
                  <a16:creationId xmlns:a16="http://schemas.microsoft.com/office/drawing/2014/main" id="{43DDEC01-59F5-17BD-8F4C-BF177C14E8F7}"/>
                </a:ext>
              </a:extLst>
            </xdr:cNvPr>
            <xdr:cNvGrpSpPr/>
          </xdr:nvGrpSpPr>
          <xdr:grpSpPr>
            <a:xfrm>
              <a:off x="6457950" y="3250406"/>
              <a:ext cx="4676775" cy="3151390"/>
              <a:chOff x="6457950" y="3250406"/>
              <a:chExt cx="4676775" cy="3151390"/>
            </a:xfrm>
          </xdr:grpSpPr>
          <xdr:graphicFrame macro="">
            <xdr:nvGraphicFramePr>
              <xdr:cNvPr id="36" name="Gráfico 35">
                <a:extLst>
                  <a:ext uri="{FF2B5EF4-FFF2-40B4-BE49-F238E27FC236}">
                    <a16:creationId xmlns:a16="http://schemas.microsoft.com/office/drawing/2014/main" id="{A0E0BFEA-4F2C-4A0F-8B12-5B661A37399F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457950" y="3590524"/>
              <a:ext cx="4676775" cy="281127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"/>
              </a:graphicData>
            </a:graphic>
          </xdr:graphicFrame>
          <xdr:sp macro="" textlink="">
            <xdr:nvSpPr>
              <xdr:cNvPr id="7" name="CaixaDeTexto 6">
                <a:extLst>
                  <a:ext uri="{FF2B5EF4-FFF2-40B4-BE49-F238E27FC236}">
                    <a16:creationId xmlns:a16="http://schemas.microsoft.com/office/drawing/2014/main" id="{8E71C3CC-748F-E536-AE7D-418C1077AB77}"/>
                  </a:ext>
                </a:extLst>
              </xdr:cNvPr>
              <xdr:cNvSpPr txBox="1"/>
            </xdr:nvSpPr>
            <xdr:spPr>
              <a:xfrm>
                <a:off x="7653338" y="3250406"/>
                <a:ext cx="2300288" cy="44053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pt-BR" sz="1600" b="1">
                    <a:solidFill>
                      <a:schemeClr val="bg1"/>
                    </a:solidFill>
                  </a:rPr>
                  <a:t>Analise Percentual</a:t>
                </a:r>
                <a:r>
                  <a:rPr lang="pt-BR" sz="1600" b="1" baseline="0">
                    <a:solidFill>
                      <a:schemeClr val="bg1"/>
                    </a:solidFill>
                  </a:rPr>
                  <a:t> Total</a:t>
                </a:r>
                <a:endParaRPr lang="pt-BR" sz="1600" b="1">
                  <a:solidFill>
                    <a:schemeClr val="bg1"/>
                  </a:solidFill>
                </a:endParaRPr>
              </a:p>
            </xdr:txBody>
          </xdr:sp>
        </xdr:grpSp>
      </xdr:grpSp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556577D1-EDC3-9909-E085-1EB4A902E3F5}"/>
              </a:ext>
            </a:extLst>
          </xdr:cNvPr>
          <xdr:cNvGrpSpPr/>
        </xdr:nvGrpSpPr>
        <xdr:grpSpPr>
          <a:xfrm>
            <a:off x="1560738" y="3236119"/>
            <a:ext cx="4776108" cy="3204596"/>
            <a:chOff x="1570263" y="3226594"/>
            <a:chExt cx="4776108" cy="3204596"/>
          </a:xfrm>
        </xdr:grpSpPr>
        <xdr:sp macro="" textlink="">
          <xdr:nvSpPr>
            <xdr:cNvPr id="9" name="Retângulo 8">
              <a:extLst>
                <a:ext uri="{FF2B5EF4-FFF2-40B4-BE49-F238E27FC236}">
                  <a16:creationId xmlns:a16="http://schemas.microsoft.com/office/drawing/2014/main" id="{5727F06C-1FFF-6402-B859-01F13F44AE3D}"/>
                </a:ext>
              </a:extLst>
            </xdr:cNvPr>
            <xdr:cNvSpPr/>
          </xdr:nvSpPr>
          <xdr:spPr>
            <a:xfrm>
              <a:off x="1570263" y="3233057"/>
              <a:ext cx="4776108" cy="3198133"/>
            </a:xfrm>
            <a:prstGeom prst="rect">
              <a:avLst/>
            </a:prstGeom>
            <a:solidFill>
              <a:srgbClr val="517B7B"/>
            </a:solidFill>
            <a:ln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endParaRPr lang="pt-BR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AA164F62-7EB6-A8DF-96FD-6EF5B56E08BD}"/>
                </a:ext>
              </a:extLst>
            </xdr:cNvPr>
            <xdr:cNvSpPr txBox="1"/>
          </xdr:nvSpPr>
          <xdr:spPr>
            <a:xfrm>
              <a:off x="2557463" y="3226594"/>
              <a:ext cx="3071812" cy="5119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1600" b="1">
                  <a:solidFill>
                    <a:schemeClr val="bg1"/>
                  </a:solidFill>
                </a:rPr>
                <a:t>Planejado</a:t>
              </a:r>
              <a:r>
                <a:rPr lang="pt-BR" sz="1600" b="1" baseline="0">
                  <a:solidFill>
                    <a:schemeClr val="bg1"/>
                  </a:solidFill>
                </a:rPr>
                <a:t> vs Executado Total</a:t>
              </a:r>
              <a:endParaRPr lang="pt-BR" sz="1600" b="1">
                <a:solidFill>
                  <a:schemeClr val="bg1"/>
                </a:solidFill>
              </a:endParaRPr>
            </a:p>
          </xdr:txBody>
        </xdr:sp>
      </xdr:grpSp>
    </xdr:grpSp>
    <xdr:clientData/>
  </xdr:twoCellAnchor>
  <xdr:twoCellAnchor>
    <xdr:from>
      <xdr:col>2</xdr:col>
      <xdr:colOff>371475</xdr:colOff>
      <xdr:row>2</xdr:row>
      <xdr:rowOff>114300</xdr:rowOff>
    </xdr:from>
    <xdr:to>
      <xdr:col>10</xdr:col>
      <xdr:colOff>200025</xdr:colOff>
      <xdr:row>16</xdr:row>
      <xdr:rowOff>57150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46AC5448-1125-45B1-8976-9722F31CA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368763</xdr:colOff>
      <xdr:row>18</xdr:row>
      <xdr:rowOff>134591</xdr:rowOff>
    </xdr:from>
    <xdr:to>
      <xdr:col>10</xdr:col>
      <xdr:colOff>216363</xdr:colOff>
      <xdr:row>33</xdr:row>
      <xdr:rowOff>48866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852DC6F0-66F3-46A9-B800-1171C90DD8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193729</xdr:colOff>
      <xdr:row>20</xdr:row>
      <xdr:rowOff>171450</xdr:rowOff>
    </xdr:from>
    <xdr:to>
      <xdr:col>2</xdr:col>
      <xdr:colOff>133350</xdr:colOff>
      <xdr:row>26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Mês 1">
              <a:extLst>
                <a:ext uri="{FF2B5EF4-FFF2-40B4-BE49-F238E27FC236}">
                  <a16:creationId xmlns:a16="http://schemas.microsoft.com/office/drawing/2014/main" id="{256F2E54-0BBC-4AB1-81FB-01910D5727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729" y="3981450"/>
              <a:ext cx="1167288" cy="1152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90391</xdr:colOff>
      <xdr:row>19</xdr:row>
      <xdr:rowOff>166516</xdr:rowOff>
    </xdr:from>
    <xdr:to>
      <xdr:col>2</xdr:col>
      <xdr:colOff>254153</xdr:colOff>
      <xdr:row>21</xdr:row>
      <xdr:rowOff>20411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BCE51D6A-82FE-4F78-ADBD-F95D1B1296C4}"/>
            </a:ext>
          </a:extLst>
        </xdr:cNvPr>
        <xdr:cNvSpPr txBox="1"/>
      </xdr:nvSpPr>
      <xdr:spPr>
        <a:xfrm>
          <a:off x="90391" y="3786016"/>
          <a:ext cx="1388405" cy="2348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Mês de Analise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debora_camargo_santacolomba_com_br/Documents/Documents/Gest&#227;o%20H&#237;drica/Cronograma%20Karitel/Cronograma%20de%20irriga&#231;&#227;o%20RDM%2014%2011%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açao "/>
      <sheetName val="Lamina"/>
      <sheetName val="Pesquisa de nome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Neto" refreshedDate="44825.386439699076" createdVersion="8" refreshedVersion="8" minRefreshableVersion="3" recordCount="426" xr:uid="{9A28DA15-BCFF-4F96-8E81-CF4E7EA868F3}">
  <cacheSource type="worksheet">
    <worksheetSource name="Base_de_Dados"/>
  </cacheSource>
  <cacheFields count="6">
    <cacheField name="Parametros" numFmtId="0">
      <sharedItems count="6">
        <s v="Feito"/>
        <s v="Mecânico"/>
        <s v="Elétrico"/>
        <s v="Energia"/>
        <s v="Chuva"/>
        <s v="Operação"/>
      </sharedItems>
    </cacheField>
    <cacheField name="Contagem" numFmtId="0">
      <sharedItems containsSemiMixedTypes="0" containsString="0" containsNumber="1" containsInteger="1" minValue="0" maxValue="227"/>
    </cacheField>
    <cacheField name="Porcentagem" numFmtId="9">
      <sharedItems containsSemiMixedTypes="0" containsString="0" containsNumber="1" minValue="0" maxValue="0.93162393162393164"/>
    </cacheField>
    <cacheField name="Semana" numFmtId="14">
      <sharedItems containsSemiMixedTypes="0" containsNonDate="0" containsDate="1" containsString="0" minDate="2020-12-17T00:00:00" maxDate="2022-08-16T00:00:00" count="78">
        <d v="2020-12-17T00:00:00"/>
        <d v="2020-12-25T00:00:00"/>
        <d v="2021-01-02T00:00:00"/>
        <d v="2021-01-14T00:00:00"/>
        <d v="2021-01-22T00:00:00"/>
        <d v="2021-01-30T00:00:00"/>
        <d v="2021-02-07T00:00:00"/>
        <d v="2021-02-15T00:00:00"/>
        <d v="2021-02-23T00:00:00"/>
        <d v="2021-03-03T00:00:00"/>
        <d v="2021-03-11T00:00:00"/>
        <d v="2021-03-19T00:00:00"/>
        <d v="2021-03-27T00:00:00"/>
        <d v="2021-04-04T00:00:00"/>
        <d v="2021-04-12T00:00:00"/>
        <d v="2021-04-30T00:00:00"/>
        <d v="2021-05-08T00:00:00"/>
        <d v="2021-05-16T00:00:00"/>
        <d v="2021-05-24T00:00:00"/>
        <d v="2021-06-01T00:00:00"/>
        <d v="2021-06-17T00:00:00"/>
        <d v="2021-06-25T00:00:00"/>
        <d v="2021-07-03T00:00:00"/>
        <d v="2021-07-11T00:00:00"/>
        <d v="2021-07-19T00:00:00"/>
        <d v="2021-07-27T00:00:00"/>
        <d v="2021-08-04T00:00:00"/>
        <d v="2021-08-12T00:00:00"/>
        <d v="2021-08-20T00:00:00"/>
        <d v="2021-08-28T00:00:00"/>
        <d v="2021-09-05T00:00:00"/>
        <d v="2021-09-13T00:00:00"/>
        <d v="2021-09-20T00:00:00"/>
        <d v="2021-09-27T00:00:00"/>
        <d v="2021-10-04T00:00:00"/>
        <d v="2021-10-11T00:00:00"/>
        <d v="2021-10-18T00:00:00"/>
        <d v="2021-10-25T00:00:00"/>
        <d v="2021-11-01T00:00:00"/>
        <d v="2021-11-08T00:00:00"/>
        <d v="2021-11-15T00:00:00"/>
        <d v="2021-11-22T00:00:00"/>
        <d v="2021-11-29T00:00:00"/>
        <d v="2022-01-03T00:00:00"/>
        <d v="2022-01-10T00:00:00"/>
        <d v="2022-01-17T00:00:00"/>
        <d v="2022-01-24T00:00:00"/>
        <d v="2022-01-31T00:00:00"/>
        <d v="2022-02-07T00:00:00"/>
        <d v="2022-02-14T00:00:00"/>
        <d v="2022-02-21T00:00:00"/>
        <d v="2022-02-28T00:00:00"/>
        <d v="2022-03-07T00:00:00"/>
        <d v="2022-03-14T00:00:00"/>
        <d v="2022-03-21T00:00:00"/>
        <d v="2022-03-28T00:00:00"/>
        <d v="2022-04-04T00:00:00"/>
        <d v="2022-04-11T00:00:00"/>
        <d v="2022-04-18T00:00:00"/>
        <d v="2022-04-25T00:00:00"/>
        <d v="2022-05-02T00:00:00"/>
        <d v="2022-05-08T00:00:00"/>
        <d v="2022-05-16T00:00:00"/>
        <d v="2022-05-23T00:00:00"/>
        <d v="2022-05-30T00:00:00"/>
        <d v="2022-06-06T00:00:00"/>
        <d v="2022-06-09T00:00:00"/>
        <d v="2022-06-13T00:00:00"/>
        <d v="2022-06-20T00:00:00"/>
        <d v="2022-06-27T00:00:00"/>
        <d v="2022-07-04T00:00:00"/>
        <d v="2022-07-18T00:00:00" u="1"/>
        <d v="2021-06-09T00:00:00" u="1"/>
        <d v="2022-07-25T00:00:00" u="1"/>
        <d v="2022-08-01T00:00:00" u="1"/>
        <d v="2022-08-08T00:00:00" u="1"/>
        <d v="2022-07-11T00:00:00" u="1"/>
        <d v="2022-08-15T00:00:00" u="1"/>
      </sharedItems>
    </cacheField>
    <cacheField name="Ano" numFmtId="0">
      <sharedItems containsSemiMixedTypes="0" containsString="0" containsNumber="1" containsInteger="1" minValue="2020" maxValue="2022" count="3">
        <n v="2020"/>
        <n v="2021"/>
        <n v="2022"/>
      </sharedItems>
    </cacheField>
    <cacheField name="Periodo" numFmtId="0">
      <sharedItems count="2">
        <s v="2ª Semestre"/>
        <s v="1ª Semestre"/>
      </sharedItems>
    </cacheField>
  </cacheFields>
  <extLst>
    <ext xmlns:x14="http://schemas.microsoft.com/office/spreadsheetml/2009/9/main" uri="{725AE2AE-9491-48be-B2B4-4EB974FC3084}">
      <x14:pivotCacheDefinition pivotCacheId="132099823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ito Silva" refreshedDate="44860.661623726854" createdVersion="8" refreshedVersion="8" minRefreshableVersion="3" recordCount="536" xr:uid="{20245DB1-8DAB-4A8C-911B-87E97147A544}">
  <cacheSource type="worksheet">
    <worksheetSource name="Tabela2"/>
  </cacheSource>
  <cacheFields count="6">
    <cacheField name="Parâmetros" numFmtId="1">
      <sharedItems containsBlank="1" count="11">
        <s v="Feito"/>
        <s v="Mecânico"/>
        <s v="Elétrico"/>
        <s v="Energia"/>
        <s v="Chuva"/>
        <s v="Operação"/>
        <s v="Planejado"/>
        <s v="Acrescentado"/>
        <s v="Cancelado"/>
        <m u="1"/>
        <s v="Planejado " u="1"/>
      </sharedItems>
    </cacheField>
    <cacheField name="Contagem" numFmtId="0">
      <sharedItems containsSemiMixedTypes="0" containsString="0" containsNumber="1" containsInteger="1" minValue="0" maxValue="302"/>
    </cacheField>
    <cacheField name="Semana" numFmtId="14">
      <sharedItems containsSemiMixedTypes="0" containsNonDate="0" containsDate="1" containsString="0" minDate="2020-12-17T00:00:00" maxDate="2022-10-18T00:00:00" count="86">
        <d v="2020-12-17T00:00:00"/>
        <d v="2020-12-25T00:00:00"/>
        <d v="2021-01-02T00:00:00"/>
        <d v="2021-01-14T00:00:00"/>
        <d v="2021-01-22T00:00:00"/>
        <d v="2021-01-30T00:00:00"/>
        <d v="2021-02-07T00:00:00"/>
        <d v="2021-02-15T00:00:00"/>
        <d v="2021-02-23T00:00:00"/>
        <d v="2021-03-03T00:00:00"/>
        <d v="2021-03-11T00:00:00"/>
        <d v="2021-03-19T00:00:00"/>
        <d v="2021-03-27T00:00:00"/>
        <d v="2021-04-04T00:00:00"/>
        <d v="2021-04-12T00:00:00"/>
        <d v="2021-04-30T00:00:00"/>
        <d v="2021-05-08T00:00:00"/>
        <d v="2021-05-16T00:00:00"/>
        <d v="2021-05-24T00:00:00"/>
        <d v="2021-06-01T00:00:00"/>
        <d v="2021-06-09T00:00:00"/>
        <d v="2021-06-17T00:00:00"/>
        <d v="2021-06-25T00:00:00"/>
        <d v="2021-07-03T00:00:00"/>
        <d v="2021-07-11T00:00:00"/>
        <d v="2021-07-19T00:00:00"/>
        <d v="2021-07-27T00:00:00"/>
        <d v="2021-08-04T00:00:00"/>
        <d v="2021-08-12T00:00:00"/>
        <d v="2021-08-20T00:00:00"/>
        <d v="2021-08-28T00:00:00"/>
        <d v="2021-09-05T00:00:00"/>
        <d v="2021-09-13T00:00:00"/>
        <d v="2021-09-20T00:00:00"/>
        <d v="2021-09-27T00:00:00"/>
        <d v="2021-10-04T00:00:00"/>
        <d v="2021-10-11T00:00:00"/>
        <d v="2021-10-18T00:00:00"/>
        <d v="2021-10-25T00:00:00"/>
        <d v="2021-11-01T00:00:00"/>
        <d v="2021-11-08T00:00:00"/>
        <d v="2021-11-15T00:00:00"/>
        <d v="2021-11-22T00:00:00"/>
        <d v="2021-11-29T00:00:00"/>
        <d v="2022-01-03T00:00:00"/>
        <d v="2022-01-10T00:00:00"/>
        <d v="2022-01-17T00:00:00"/>
        <d v="2022-01-24T00:00:00"/>
        <d v="2022-01-31T00:00:00"/>
        <d v="2022-02-07T00:00:00"/>
        <d v="2022-02-14T00:00:00"/>
        <d v="2022-02-21T00:00:00"/>
        <d v="2022-02-28T00:00:00"/>
        <d v="2022-03-07T00:00:00"/>
        <d v="2022-03-14T00:00:00"/>
        <d v="2022-03-21T00:00:00"/>
        <d v="2022-03-28T00:00:00"/>
        <d v="2022-04-04T00:00:00"/>
        <d v="2022-04-11T00:00:00"/>
        <d v="2022-04-18T00:00:00"/>
        <d v="2022-04-25T00:00:00"/>
        <d v="2022-05-02T00:00:00"/>
        <d v="2022-05-08T00:00:00"/>
        <d v="2022-05-16T00:00:00"/>
        <d v="2022-05-23T00:00:00"/>
        <d v="2022-05-30T00:00:00"/>
        <d v="2022-06-06T00:00:00"/>
        <d v="2022-06-13T00:00:00"/>
        <d v="2022-06-20T00:00:00"/>
        <d v="2022-06-27T00:00:00"/>
        <d v="2022-07-04T00:00:00"/>
        <d v="2022-07-11T00:00:00"/>
        <d v="2022-07-18T00:00:00"/>
        <d v="2022-07-25T00:00:00"/>
        <d v="2022-08-01T00:00:00"/>
        <d v="2022-08-08T00:00:00"/>
        <d v="2022-08-15T00:00:00"/>
        <d v="2022-08-22T00:00:00"/>
        <d v="2022-08-29T00:00:00"/>
        <d v="2022-09-05T00:00:00"/>
        <d v="2022-09-12T00:00:00"/>
        <d v="2022-09-19T00:00:00"/>
        <d v="2022-09-26T00:00:00"/>
        <d v="2022-10-03T00:00:00"/>
        <d v="2022-10-10T00:00:00"/>
        <d v="2022-10-17T00:00:00"/>
      </sharedItems>
    </cacheField>
    <cacheField name="Ano" numFmtId="0">
      <sharedItems containsSemiMixedTypes="0" containsString="0" containsNumber="1" containsInteger="1" minValue="2020" maxValue="2022" count="3">
        <n v="2020"/>
        <n v="2021"/>
        <n v="2022"/>
      </sharedItems>
    </cacheField>
    <cacheField name="Mês" numFmtId="0">
      <sharedItems count="12">
        <s v="dezembro"/>
        <s v="janeiro"/>
        <s v="fevereiro"/>
        <s v="março"/>
        <s v="abril"/>
        <s v="maio"/>
        <s v="junho"/>
        <s v="julho"/>
        <s v="agosto"/>
        <s v="setembro"/>
        <s v="outubro"/>
        <s v="novembro"/>
      </sharedItems>
    </cacheField>
    <cacheField name="Periodo" numFmtId="0">
      <sharedItems containsBlank="1" count="3">
        <s v="2ª Semestre"/>
        <s v="1ª Semestre"/>
        <m u="1"/>
      </sharedItems>
    </cacheField>
  </cacheFields>
  <extLst>
    <ext xmlns:x14="http://schemas.microsoft.com/office/spreadsheetml/2009/9/main" uri="{725AE2AE-9491-48be-B2B4-4EB974FC3084}">
      <x14:pivotCacheDefinition pivotCacheId="5272817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6">
  <r>
    <x v="0"/>
    <n v="81"/>
    <n v="0.60447761194029848"/>
    <x v="0"/>
    <x v="0"/>
    <x v="0"/>
  </r>
  <r>
    <x v="1"/>
    <n v="12"/>
    <n v="8.9552238805970144E-2"/>
    <x v="0"/>
    <x v="0"/>
    <x v="0"/>
  </r>
  <r>
    <x v="2"/>
    <n v="3"/>
    <n v="2.2388059701492536E-2"/>
    <x v="0"/>
    <x v="0"/>
    <x v="0"/>
  </r>
  <r>
    <x v="3"/>
    <n v="12"/>
    <n v="8.9552238805970144E-2"/>
    <x v="0"/>
    <x v="0"/>
    <x v="0"/>
  </r>
  <r>
    <x v="4"/>
    <n v="24"/>
    <n v="0.17910447761194029"/>
    <x v="0"/>
    <x v="0"/>
    <x v="0"/>
  </r>
  <r>
    <x v="5"/>
    <n v="2"/>
    <n v="1.4925373134328358E-2"/>
    <x v="0"/>
    <x v="0"/>
    <x v="0"/>
  </r>
  <r>
    <x v="0"/>
    <n v="101"/>
    <n v="0.80158730158730163"/>
    <x v="1"/>
    <x v="0"/>
    <x v="0"/>
  </r>
  <r>
    <x v="1"/>
    <n v="10"/>
    <n v="7.9365079365079361E-2"/>
    <x v="1"/>
    <x v="0"/>
    <x v="0"/>
  </r>
  <r>
    <x v="2"/>
    <n v="6"/>
    <n v="4.7619047619047616E-2"/>
    <x v="1"/>
    <x v="0"/>
    <x v="0"/>
  </r>
  <r>
    <x v="3"/>
    <n v="2"/>
    <n v="1.5873015873015872E-2"/>
    <x v="1"/>
    <x v="0"/>
    <x v="0"/>
  </r>
  <r>
    <x v="4"/>
    <n v="0"/>
    <n v="0"/>
    <x v="1"/>
    <x v="0"/>
    <x v="0"/>
  </r>
  <r>
    <x v="5"/>
    <n v="7"/>
    <n v="5.5555555555555552E-2"/>
    <x v="1"/>
    <x v="0"/>
    <x v="0"/>
  </r>
  <r>
    <x v="0"/>
    <n v="38"/>
    <n v="0.34862385321100919"/>
    <x v="2"/>
    <x v="1"/>
    <x v="1"/>
  </r>
  <r>
    <x v="1"/>
    <n v="12"/>
    <n v="0.11009174311926606"/>
    <x v="2"/>
    <x v="1"/>
    <x v="1"/>
  </r>
  <r>
    <x v="2"/>
    <n v="12"/>
    <n v="0.11009174311926606"/>
    <x v="2"/>
    <x v="1"/>
    <x v="1"/>
  </r>
  <r>
    <x v="3"/>
    <n v="0"/>
    <n v="0"/>
    <x v="2"/>
    <x v="1"/>
    <x v="1"/>
  </r>
  <r>
    <x v="4"/>
    <n v="39"/>
    <n v="0.3577981651376147"/>
    <x v="2"/>
    <x v="1"/>
    <x v="1"/>
  </r>
  <r>
    <x v="5"/>
    <n v="8"/>
    <n v="7.3394495412844041E-2"/>
    <x v="2"/>
    <x v="1"/>
    <x v="1"/>
  </r>
  <r>
    <x v="0"/>
    <n v="38"/>
    <n v="0.62295081967213117"/>
    <x v="3"/>
    <x v="1"/>
    <x v="1"/>
  </r>
  <r>
    <x v="1"/>
    <n v="13"/>
    <n v="0.21311475409836064"/>
    <x v="3"/>
    <x v="1"/>
    <x v="1"/>
  </r>
  <r>
    <x v="2"/>
    <n v="9"/>
    <n v="0.14754098360655737"/>
    <x v="3"/>
    <x v="1"/>
    <x v="1"/>
  </r>
  <r>
    <x v="3"/>
    <n v="0"/>
    <n v="0"/>
    <x v="3"/>
    <x v="1"/>
    <x v="1"/>
  </r>
  <r>
    <x v="4"/>
    <n v="0"/>
    <n v="0"/>
    <x v="3"/>
    <x v="1"/>
    <x v="1"/>
  </r>
  <r>
    <x v="5"/>
    <n v="1"/>
    <n v="1.6393442622950821E-2"/>
    <x v="3"/>
    <x v="1"/>
    <x v="1"/>
  </r>
  <r>
    <x v="0"/>
    <n v="118"/>
    <n v="0.65921787709497204"/>
    <x v="4"/>
    <x v="1"/>
    <x v="1"/>
  </r>
  <r>
    <x v="1"/>
    <n v="19"/>
    <n v="0.10614525139664804"/>
    <x v="4"/>
    <x v="1"/>
    <x v="1"/>
  </r>
  <r>
    <x v="2"/>
    <n v="4"/>
    <n v="2.23463687150838E-2"/>
    <x v="4"/>
    <x v="1"/>
    <x v="1"/>
  </r>
  <r>
    <x v="3"/>
    <n v="19"/>
    <n v="0.10614525139664804"/>
    <x v="4"/>
    <x v="1"/>
    <x v="1"/>
  </r>
  <r>
    <x v="4"/>
    <n v="0"/>
    <n v="0"/>
    <x v="4"/>
    <x v="1"/>
    <x v="1"/>
  </r>
  <r>
    <x v="5"/>
    <n v="19"/>
    <n v="0.10614525139664804"/>
    <x v="4"/>
    <x v="1"/>
    <x v="1"/>
  </r>
  <r>
    <x v="0"/>
    <n v="122"/>
    <n v="0.69714285714285718"/>
    <x v="5"/>
    <x v="1"/>
    <x v="1"/>
  </r>
  <r>
    <x v="1"/>
    <n v="12"/>
    <n v="6.8571428571428575E-2"/>
    <x v="5"/>
    <x v="1"/>
    <x v="1"/>
  </r>
  <r>
    <x v="2"/>
    <n v="0"/>
    <n v="0"/>
    <x v="5"/>
    <x v="1"/>
    <x v="1"/>
  </r>
  <r>
    <x v="3"/>
    <n v="18"/>
    <n v="0.10285714285714286"/>
    <x v="5"/>
    <x v="1"/>
    <x v="1"/>
  </r>
  <r>
    <x v="4"/>
    <n v="2"/>
    <n v="1.1428571428571429E-2"/>
    <x v="5"/>
    <x v="1"/>
    <x v="1"/>
  </r>
  <r>
    <x v="5"/>
    <n v="21"/>
    <n v="0.12"/>
    <x v="5"/>
    <x v="1"/>
    <x v="1"/>
  </r>
  <r>
    <x v="0"/>
    <n v="10"/>
    <n v="0.25"/>
    <x v="6"/>
    <x v="1"/>
    <x v="1"/>
  </r>
  <r>
    <x v="1"/>
    <n v="2"/>
    <n v="0.05"/>
    <x v="6"/>
    <x v="1"/>
    <x v="1"/>
  </r>
  <r>
    <x v="2"/>
    <n v="1"/>
    <n v="2.5000000000000001E-2"/>
    <x v="6"/>
    <x v="1"/>
    <x v="1"/>
  </r>
  <r>
    <x v="3"/>
    <n v="0"/>
    <n v="0"/>
    <x v="6"/>
    <x v="1"/>
    <x v="1"/>
  </r>
  <r>
    <x v="4"/>
    <n v="26"/>
    <n v="0.65"/>
    <x v="6"/>
    <x v="1"/>
    <x v="1"/>
  </r>
  <r>
    <x v="5"/>
    <n v="1"/>
    <n v="2.5000000000000001E-2"/>
    <x v="6"/>
    <x v="1"/>
    <x v="1"/>
  </r>
  <r>
    <x v="0"/>
    <n v="9"/>
    <n v="0.5"/>
    <x v="7"/>
    <x v="1"/>
    <x v="1"/>
  </r>
  <r>
    <x v="1"/>
    <n v="6"/>
    <n v="0.33333333333333331"/>
    <x v="7"/>
    <x v="1"/>
    <x v="1"/>
  </r>
  <r>
    <x v="2"/>
    <n v="0"/>
    <n v="0"/>
    <x v="7"/>
    <x v="1"/>
    <x v="1"/>
  </r>
  <r>
    <x v="3"/>
    <n v="0"/>
    <n v="0"/>
    <x v="7"/>
    <x v="1"/>
    <x v="1"/>
  </r>
  <r>
    <x v="4"/>
    <n v="1"/>
    <n v="5.5555555555555552E-2"/>
    <x v="7"/>
    <x v="1"/>
    <x v="1"/>
  </r>
  <r>
    <x v="5"/>
    <n v="2"/>
    <n v="0.1111111111111111"/>
    <x v="7"/>
    <x v="1"/>
    <x v="1"/>
  </r>
  <r>
    <x v="0"/>
    <n v="14"/>
    <n v="0.82352941176470584"/>
    <x v="8"/>
    <x v="1"/>
    <x v="1"/>
  </r>
  <r>
    <x v="1"/>
    <n v="1"/>
    <n v="5.8823529411764705E-2"/>
    <x v="8"/>
    <x v="1"/>
    <x v="1"/>
  </r>
  <r>
    <x v="2"/>
    <n v="1"/>
    <n v="5.8823529411764705E-2"/>
    <x v="8"/>
    <x v="1"/>
    <x v="1"/>
  </r>
  <r>
    <x v="3"/>
    <n v="0"/>
    <n v="0"/>
    <x v="8"/>
    <x v="1"/>
    <x v="1"/>
  </r>
  <r>
    <x v="4"/>
    <n v="1"/>
    <n v="5.8823529411764705E-2"/>
    <x v="8"/>
    <x v="1"/>
    <x v="1"/>
  </r>
  <r>
    <x v="5"/>
    <n v="0"/>
    <n v="0"/>
    <x v="8"/>
    <x v="1"/>
    <x v="1"/>
  </r>
  <r>
    <x v="0"/>
    <n v="75"/>
    <n v="0.59055118110236215"/>
    <x v="9"/>
    <x v="1"/>
    <x v="1"/>
  </r>
  <r>
    <x v="1"/>
    <n v="12"/>
    <n v="9.4488188976377951E-2"/>
    <x v="9"/>
    <x v="1"/>
    <x v="1"/>
  </r>
  <r>
    <x v="2"/>
    <n v="15"/>
    <n v="0.11811023622047244"/>
    <x v="9"/>
    <x v="1"/>
    <x v="1"/>
  </r>
  <r>
    <x v="3"/>
    <n v="2"/>
    <n v="1.5748031496062992E-2"/>
    <x v="9"/>
    <x v="1"/>
    <x v="1"/>
  </r>
  <r>
    <x v="4"/>
    <n v="11"/>
    <n v="8.6614173228346455E-2"/>
    <x v="9"/>
    <x v="1"/>
    <x v="1"/>
  </r>
  <r>
    <x v="5"/>
    <n v="12"/>
    <n v="9.4488188976377951E-2"/>
    <x v="9"/>
    <x v="1"/>
    <x v="1"/>
  </r>
  <r>
    <x v="0"/>
    <n v="93"/>
    <n v="0.7153846153846154"/>
    <x v="10"/>
    <x v="1"/>
    <x v="1"/>
  </r>
  <r>
    <x v="1"/>
    <n v="9"/>
    <n v="6.9230769230769235E-2"/>
    <x v="10"/>
    <x v="1"/>
    <x v="1"/>
  </r>
  <r>
    <x v="2"/>
    <n v="8"/>
    <n v="6.1538461538461542E-2"/>
    <x v="10"/>
    <x v="1"/>
    <x v="1"/>
  </r>
  <r>
    <x v="3"/>
    <n v="9"/>
    <n v="6.9230769230769235E-2"/>
    <x v="10"/>
    <x v="1"/>
    <x v="1"/>
  </r>
  <r>
    <x v="4"/>
    <n v="0"/>
    <n v="0"/>
    <x v="10"/>
    <x v="1"/>
    <x v="1"/>
  </r>
  <r>
    <x v="5"/>
    <n v="11"/>
    <n v="8.461538461538462E-2"/>
    <x v="10"/>
    <x v="1"/>
    <x v="1"/>
  </r>
  <r>
    <x v="0"/>
    <n v="113"/>
    <n v="0.59162303664921467"/>
    <x v="11"/>
    <x v="1"/>
    <x v="1"/>
  </r>
  <r>
    <x v="1"/>
    <n v="23"/>
    <n v="0.12041884816753927"/>
    <x v="11"/>
    <x v="1"/>
    <x v="1"/>
  </r>
  <r>
    <x v="2"/>
    <n v="18"/>
    <n v="9.4240837696335081E-2"/>
    <x v="11"/>
    <x v="1"/>
    <x v="1"/>
  </r>
  <r>
    <x v="3"/>
    <n v="0"/>
    <n v="0"/>
    <x v="11"/>
    <x v="1"/>
    <x v="1"/>
  </r>
  <r>
    <x v="4"/>
    <n v="0"/>
    <n v="0"/>
    <x v="11"/>
    <x v="1"/>
    <x v="1"/>
  </r>
  <r>
    <x v="5"/>
    <n v="37"/>
    <n v="0.193717277486911"/>
    <x v="11"/>
    <x v="1"/>
    <x v="1"/>
  </r>
  <r>
    <x v="0"/>
    <n v="139"/>
    <n v="0.64953271028037385"/>
    <x v="12"/>
    <x v="1"/>
    <x v="1"/>
  </r>
  <r>
    <x v="1"/>
    <n v="23"/>
    <n v="0.10747663551401869"/>
    <x v="12"/>
    <x v="1"/>
    <x v="1"/>
  </r>
  <r>
    <x v="2"/>
    <n v="5"/>
    <n v="2.336448598130841E-2"/>
    <x v="12"/>
    <x v="1"/>
    <x v="1"/>
  </r>
  <r>
    <x v="3"/>
    <n v="0"/>
    <n v="0"/>
    <x v="12"/>
    <x v="1"/>
    <x v="1"/>
  </r>
  <r>
    <x v="4"/>
    <n v="0"/>
    <n v="0"/>
    <x v="12"/>
    <x v="1"/>
    <x v="1"/>
  </r>
  <r>
    <x v="5"/>
    <n v="47"/>
    <n v="0.21962616822429906"/>
    <x v="12"/>
    <x v="1"/>
    <x v="1"/>
  </r>
  <r>
    <x v="0"/>
    <n v="49"/>
    <n v="0.33561643835616439"/>
    <x v="13"/>
    <x v="1"/>
    <x v="1"/>
  </r>
  <r>
    <x v="1"/>
    <n v="41"/>
    <n v="0.28082191780821919"/>
    <x v="13"/>
    <x v="1"/>
    <x v="1"/>
  </r>
  <r>
    <x v="2"/>
    <n v="7"/>
    <n v="4.7945205479452052E-2"/>
    <x v="13"/>
    <x v="1"/>
    <x v="1"/>
  </r>
  <r>
    <x v="3"/>
    <n v="0"/>
    <n v="0"/>
    <x v="13"/>
    <x v="1"/>
    <x v="1"/>
  </r>
  <r>
    <x v="4"/>
    <n v="34"/>
    <n v="0.23287671232876711"/>
    <x v="13"/>
    <x v="1"/>
    <x v="1"/>
  </r>
  <r>
    <x v="5"/>
    <n v="15"/>
    <n v="0.10273972602739725"/>
    <x v="13"/>
    <x v="1"/>
    <x v="1"/>
  </r>
  <r>
    <x v="0"/>
    <n v="20"/>
    <n v="0.25974025974025972"/>
    <x v="14"/>
    <x v="1"/>
    <x v="1"/>
  </r>
  <r>
    <x v="1"/>
    <n v="6"/>
    <n v="7.792207792207792E-2"/>
    <x v="14"/>
    <x v="1"/>
    <x v="1"/>
  </r>
  <r>
    <x v="2"/>
    <n v="1"/>
    <n v="1.2987012987012988E-2"/>
    <x v="14"/>
    <x v="1"/>
    <x v="1"/>
  </r>
  <r>
    <x v="3"/>
    <n v="0"/>
    <n v="0"/>
    <x v="14"/>
    <x v="1"/>
    <x v="1"/>
  </r>
  <r>
    <x v="4"/>
    <n v="38"/>
    <n v="0.4935064935064935"/>
    <x v="14"/>
    <x v="1"/>
    <x v="1"/>
  </r>
  <r>
    <x v="5"/>
    <n v="12"/>
    <n v="0.15584415584415584"/>
    <x v="14"/>
    <x v="1"/>
    <x v="1"/>
  </r>
  <r>
    <x v="0"/>
    <n v="86"/>
    <n v="0.60563380281690138"/>
    <x v="15"/>
    <x v="1"/>
    <x v="1"/>
  </r>
  <r>
    <x v="1"/>
    <n v="7"/>
    <n v="4.9295774647887321E-2"/>
    <x v="15"/>
    <x v="1"/>
    <x v="1"/>
  </r>
  <r>
    <x v="2"/>
    <n v="4"/>
    <n v="2.8169014084507043E-2"/>
    <x v="15"/>
    <x v="1"/>
    <x v="1"/>
  </r>
  <r>
    <x v="3"/>
    <n v="0"/>
    <n v="0"/>
    <x v="15"/>
    <x v="1"/>
    <x v="1"/>
  </r>
  <r>
    <x v="4"/>
    <n v="0"/>
    <n v="0"/>
    <x v="15"/>
    <x v="1"/>
    <x v="1"/>
  </r>
  <r>
    <x v="5"/>
    <n v="45"/>
    <n v="0.31690140845070425"/>
    <x v="15"/>
    <x v="1"/>
    <x v="1"/>
  </r>
  <r>
    <x v="0"/>
    <n v="109"/>
    <n v="0.64880952380952384"/>
    <x v="16"/>
    <x v="1"/>
    <x v="1"/>
  </r>
  <r>
    <x v="1"/>
    <n v="19"/>
    <n v="0.1130952380952381"/>
    <x v="16"/>
    <x v="1"/>
    <x v="1"/>
  </r>
  <r>
    <x v="2"/>
    <n v="3"/>
    <n v="1.7857142857142856E-2"/>
    <x v="16"/>
    <x v="1"/>
    <x v="1"/>
  </r>
  <r>
    <x v="3"/>
    <n v="0"/>
    <n v="0"/>
    <x v="16"/>
    <x v="1"/>
    <x v="1"/>
  </r>
  <r>
    <x v="4"/>
    <n v="0"/>
    <n v="0"/>
    <x v="16"/>
    <x v="1"/>
    <x v="1"/>
  </r>
  <r>
    <x v="5"/>
    <n v="37"/>
    <n v="0.22023809523809523"/>
    <x v="16"/>
    <x v="1"/>
    <x v="1"/>
  </r>
  <r>
    <x v="0"/>
    <n v="113"/>
    <n v="0.68484848484848482"/>
    <x v="17"/>
    <x v="1"/>
    <x v="1"/>
  </r>
  <r>
    <x v="1"/>
    <n v="6"/>
    <n v="3.6363636363636362E-2"/>
    <x v="17"/>
    <x v="1"/>
    <x v="1"/>
  </r>
  <r>
    <x v="2"/>
    <n v="5"/>
    <n v="3.0303030303030304E-2"/>
    <x v="17"/>
    <x v="1"/>
    <x v="1"/>
  </r>
  <r>
    <x v="3"/>
    <n v="0"/>
    <n v="0"/>
    <x v="17"/>
    <x v="1"/>
    <x v="1"/>
  </r>
  <r>
    <x v="4"/>
    <n v="0"/>
    <n v="0"/>
    <x v="17"/>
    <x v="1"/>
    <x v="1"/>
  </r>
  <r>
    <x v="5"/>
    <n v="41"/>
    <n v="0.24848484848484848"/>
    <x v="17"/>
    <x v="1"/>
    <x v="1"/>
  </r>
  <r>
    <x v="0"/>
    <n v="119"/>
    <n v="0.79865771812080533"/>
    <x v="18"/>
    <x v="1"/>
    <x v="1"/>
  </r>
  <r>
    <x v="1"/>
    <n v="9"/>
    <n v="6.0402684563758392E-2"/>
    <x v="18"/>
    <x v="1"/>
    <x v="1"/>
  </r>
  <r>
    <x v="2"/>
    <n v="1"/>
    <n v="6.7114093959731542E-3"/>
    <x v="18"/>
    <x v="1"/>
    <x v="1"/>
  </r>
  <r>
    <x v="3"/>
    <n v="0"/>
    <n v="0"/>
    <x v="18"/>
    <x v="1"/>
    <x v="1"/>
  </r>
  <r>
    <x v="4"/>
    <n v="0"/>
    <n v="0"/>
    <x v="18"/>
    <x v="1"/>
    <x v="1"/>
  </r>
  <r>
    <x v="5"/>
    <n v="20"/>
    <n v="0.13422818791946309"/>
    <x v="18"/>
    <x v="1"/>
    <x v="1"/>
  </r>
  <r>
    <x v="0"/>
    <n v="113"/>
    <n v="0.77397260273972601"/>
    <x v="19"/>
    <x v="1"/>
    <x v="1"/>
  </r>
  <r>
    <x v="1"/>
    <n v="7"/>
    <n v="4.7945205479452052E-2"/>
    <x v="19"/>
    <x v="1"/>
    <x v="1"/>
  </r>
  <r>
    <x v="2"/>
    <n v="0"/>
    <n v="0"/>
    <x v="19"/>
    <x v="1"/>
    <x v="1"/>
  </r>
  <r>
    <x v="3"/>
    <n v="0"/>
    <n v="0"/>
    <x v="19"/>
    <x v="1"/>
    <x v="1"/>
  </r>
  <r>
    <x v="4"/>
    <n v="0"/>
    <n v="0"/>
    <x v="19"/>
    <x v="1"/>
    <x v="1"/>
  </r>
  <r>
    <x v="5"/>
    <n v="26"/>
    <n v="0.17808219178082191"/>
    <x v="19"/>
    <x v="1"/>
    <x v="1"/>
  </r>
  <r>
    <x v="0"/>
    <n v="93"/>
    <n v="0.80869565217391304"/>
    <x v="20"/>
    <x v="1"/>
    <x v="1"/>
  </r>
  <r>
    <x v="1"/>
    <n v="5"/>
    <n v="4.3478260869565216E-2"/>
    <x v="20"/>
    <x v="1"/>
    <x v="1"/>
  </r>
  <r>
    <x v="2"/>
    <n v="3"/>
    <n v="2.6086956521739129E-2"/>
    <x v="20"/>
    <x v="1"/>
    <x v="1"/>
  </r>
  <r>
    <x v="3"/>
    <n v="0"/>
    <n v="0"/>
    <x v="20"/>
    <x v="1"/>
    <x v="1"/>
  </r>
  <r>
    <x v="4"/>
    <n v="0"/>
    <n v="0"/>
    <x v="20"/>
    <x v="1"/>
    <x v="1"/>
  </r>
  <r>
    <x v="5"/>
    <n v="14"/>
    <n v="0.12173913043478261"/>
    <x v="20"/>
    <x v="1"/>
    <x v="1"/>
  </r>
  <r>
    <x v="0"/>
    <n v="95"/>
    <n v="0.7661290322580645"/>
    <x v="21"/>
    <x v="1"/>
    <x v="1"/>
  </r>
  <r>
    <x v="1"/>
    <n v="9"/>
    <n v="7.2580645161290328E-2"/>
    <x v="21"/>
    <x v="1"/>
    <x v="1"/>
  </r>
  <r>
    <x v="2"/>
    <n v="5"/>
    <n v="4.0322580645161289E-2"/>
    <x v="21"/>
    <x v="1"/>
    <x v="1"/>
  </r>
  <r>
    <x v="3"/>
    <n v="0"/>
    <n v="0"/>
    <x v="21"/>
    <x v="1"/>
    <x v="1"/>
  </r>
  <r>
    <x v="4"/>
    <n v="0"/>
    <n v="0"/>
    <x v="21"/>
    <x v="1"/>
    <x v="1"/>
  </r>
  <r>
    <x v="5"/>
    <n v="15"/>
    <n v="0.12096774193548387"/>
    <x v="21"/>
    <x v="1"/>
    <x v="1"/>
  </r>
  <r>
    <x v="0"/>
    <n v="80"/>
    <n v="0.72727272727272729"/>
    <x v="22"/>
    <x v="1"/>
    <x v="0"/>
  </r>
  <r>
    <x v="1"/>
    <n v="5"/>
    <n v="4.5454545454545456E-2"/>
    <x v="22"/>
    <x v="1"/>
    <x v="0"/>
  </r>
  <r>
    <x v="2"/>
    <n v="3"/>
    <n v="2.7272727272727271E-2"/>
    <x v="22"/>
    <x v="1"/>
    <x v="0"/>
  </r>
  <r>
    <x v="3"/>
    <n v="0"/>
    <n v="0"/>
    <x v="22"/>
    <x v="1"/>
    <x v="0"/>
  </r>
  <r>
    <x v="4"/>
    <n v="0"/>
    <n v="0"/>
    <x v="22"/>
    <x v="1"/>
    <x v="0"/>
  </r>
  <r>
    <x v="5"/>
    <n v="22"/>
    <n v="0.2"/>
    <x v="22"/>
    <x v="1"/>
    <x v="0"/>
  </r>
  <r>
    <x v="0"/>
    <n v="79"/>
    <n v="0.66386554621848737"/>
    <x v="23"/>
    <x v="1"/>
    <x v="0"/>
  </r>
  <r>
    <x v="1"/>
    <n v="7"/>
    <n v="5.8823529411764705E-2"/>
    <x v="23"/>
    <x v="1"/>
    <x v="0"/>
  </r>
  <r>
    <x v="2"/>
    <n v="3"/>
    <n v="2.5210084033613446E-2"/>
    <x v="23"/>
    <x v="1"/>
    <x v="0"/>
  </r>
  <r>
    <x v="3"/>
    <n v="0"/>
    <n v="0"/>
    <x v="23"/>
    <x v="1"/>
    <x v="0"/>
  </r>
  <r>
    <x v="4"/>
    <n v="0"/>
    <n v="0"/>
    <x v="23"/>
    <x v="1"/>
    <x v="0"/>
  </r>
  <r>
    <x v="5"/>
    <n v="30"/>
    <n v="0.25210084033613445"/>
    <x v="23"/>
    <x v="1"/>
    <x v="0"/>
  </r>
  <r>
    <x v="0"/>
    <n v="92"/>
    <n v="0.73599999999999999"/>
    <x v="24"/>
    <x v="1"/>
    <x v="0"/>
  </r>
  <r>
    <x v="1"/>
    <n v="8"/>
    <n v="6.4000000000000001E-2"/>
    <x v="24"/>
    <x v="1"/>
    <x v="0"/>
  </r>
  <r>
    <x v="2"/>
    <n v="2"/>
    <n v="1.6E-2"/>
    <x v="24"/>
    <x v="1"/>
    <x v="0"/>
  </r>
  <r>
    <x v="3"/>
    <n v="3"/>
    <n v="2.4E-2"/>
    <x v="24"/>
    <x v="1"/>
    <x v="0"/>
  </r>
  <r>
    <x v="4"/>
    <n v="0"/>
    <n v="0"/>
    <x v="24"/>
    <x v="1"/>
    <x v="0"/>
  </r>
  <r>
    <x v="5"/>
    <n v="20"/>
    <n v="0.16"/>
    <x v="24"/>
    <x v="1"/>
    <x v="0"/>
  </r>
  <r>
    <x v="0"/>
    <n v="83"/>
    <n v="0.80582524271844658"/>
    <x v="25"/>
    <x v="1"/>
    <x v="0"/>
  </r>
  <r>
    <x v="1"/>
    <n v="2"/>
    <n v="1.9417475728155338E-2"/>
    <x v="25"/>
    <x v="1"/>
    <x v="0"/>
  </r>
  <r>
    <x v="2"/>
    <n v="0"/>
    <n v="0"/>
    <x v="25"/>
    <x v="1"/>
    <x v="0"/>
  </r>
  <r>
    <x v="3"/>
    <n v="0"/>
    <n v="0"/>
    <x v="25"/>
    <x v="1"/>
    <x v="0"/>
  </r>
  <r>
    <x v="4"/>
    <n v="0"/>
    <n v="0"/>
    <x v="25"/>
    <x v="1"/>
    <x v="0"/>
  </r>
  <r>
    <x v="5"/>
    <n v="18"/>
    <n v="0.17475728155339806"/>
    <x v="25"/>
    <x v="1"/>
    <x v="0"/>
  </r>
  <r>
    <x v="0"/>
    <n v="102"/>
    <n v="0.76691729323308266"/>
    <x v="26"/>
    <x v="1"/>
    <x v="0"/>
  </r>
  <r>
    <x v="1"/>
    <n v="6"/>
    <n v="4.5112781954887216E-2"/>
    <x v="26"/>
    <x v="1"/>
    <x v="0"/>
  </r>
  <r>
    <x v="2"/>
    <n v="3"/>
    <n v="2.2556390977443608E-2"/>
    <x v="26"/>
    <x v="1"/>
    <x v="0"/>
  </r>
  <r>
    <x v="3"/>
    <n v="0"/>
    <n v="0"/>
    <x v="26"/>
    <x v="1"/>
    <x v="0"/>
  </r>
  <r>
    <x v="4"/>
    <n v="0"/>
    <n v="0"/>
    <x v="26"/>
    <x v="1"/>
    <x v="0"/>
  </r>
  <r>
    <x v="5"/>
    <n v="22"/>
    <n v="0.16541353383458646"/>
    <x v="26"/>
    <x v="1"/>
    <x v="0"/>
  </r>
  <r>
    <x v="0"/>
    <n v="98"/>
    <n v="0.72592592592592597"/>
    <x v="27"/>
    <x v="1"/>
    <x v="0"/>
  </r>
  <r>
    <x v="1"/>
    <n v="11"/>
    <n v="8.1481481481481488E-2"/>
    <x v="27"/>
    <x v="1"/>
    <x v="0"/>
  </r>
  <r>
    <x v="2"/>
    <n v="7"/>
    <n v="5.185185185185185E-2"/>
    <x v="27"/>
    <x v="1"/>
    <x v="0"/>
  </r>
  <r>
    <x v="3"/>
    <n v="0"/>
    <n v="0"/>
    <x v="27"/>
    <x v="1"/>
    <x v="0"/>
  </r>
  <r>
    <x v="4"/>
    <n v="0"/>
    <n v="0"/>
    <x v="27"/>
    <x v="1"/>
    <x v="0"/>
  </r>
  <r>
    <x v="5"/>
    <n v="19"/>
    <n v="0.14074074074074075"/>
    <x v="27"/>
    <x v="1"/>
    <x v="0"/>
  </r>
  <r>
    <x v="0"/>
    <n v="112"/>
    <n v="0.76190476190476186"/>
    <x v="28"/>
    <x v="1"/>
    <x v="0"/>
  </r>
  <r>
    <x v="1"/>
    <n v="4"/>
    <n v="2.7210884353741496E-2"/>
    <x v="28"/>
    <x v="1"/>
    <x v="0"/>
  </r>
  <r>
    <x v="2"/>
    <n v="3"/>
    <n v="2.0408163265306121E-2"/>
    <x v="28"/>
    <x v="1"/>
    <x v="0"/>
  </r>
  <r>
    <x v="3"/>
    <n v="0"/>
    <n v="0"/>
    <x v="28"/>
    <x v="1"/>
    <x v="0"/>
  </r>
  <r>
    <x v="4"/>
    <n v="0"/>
    <n v="0"/>
    <x v="28"/>
    <x v="1"/>
    <x v="0"/>
  </r>
  <r>
    <x v="5"/>
    <n v="28"/>
    <n v="0.19047619047619047"/>
    <x v="28"/>
    <x v="1"/>
    <x v="0"/>
  </r>
  <r>
    <x v="0"/>
    <n v="153"/>
    <n v="0.7766497461928934"/>
    <x v="29"/>
    <x v="1"/>
    <x v="0"/>
  </r>
  <r>
    <x v="1"/>
    <n v="7"/>
    <n v="3.553299492385787E-2"/>
    <x v="29"/>
    <x v="1"/>
    <x v="0"/>
  </r>
  <r>
    <x v="2"/>
    <n v="1"/>
    <n v="5.076142131979695E-3"/>
    <x v="29"/>
    <x v="1"/>
    <x v="0"/>
  </r>
  <r>
    <x v="3"/>
    <n v="0"/>
    <n v="0"/>
    <x v="29"/>
    <x v="1"/>
    <x v="0"/>
  </r>
  <r>
    <x v="4"/>
    <n v="0"/>
    <n v="0"/>
    <x v="29"/>
    <x v="1"/>
    <x v="0"/>
  </r>
  <r>
    <x v="5"/>
    <n v="36"/>
    <n v="0.18274111675126903"/>
    <x v="29"/>
    <x v="1"/>
    <x v="0"/>
  </r>
  <r>
    <x v="0"/>
    <n v="194"/>
    <n v="0.88990825688073394"/>
    <x v="30"/>
    <x v="1"/>
    <x v="0"/>
  </r>
  <r>
    <x v="1"/>
    <n v="4"/>
    <n v="1.834862385321101E-2"/>
    <x v="30"/>
    <x v="1"/>
    <x v="0"/>
  </r>
  <r>
    <x v="2"/>
    <n v="2"/>
    <n v="9.1743119266055051E-3"/>
    <x v="30"/>
    <x v="1"/>
    <x v="0"/>
  </r>
  <r>
    <x v="3"/>
    <n v="0"/>
    <n v="0"/>
    <x v="30"/>
    <x v="1"/>
    <x v="0"/>
  </r>
  <r>
    <x v="4"/>
    <n v="0"/>
    <n v="0"/>
    <x v="30"/>
    <x v="1"/>
    <x v="0"/>
  </r>
  <r>
    <x v="5"/>
    <n v="18"/>
    <n v="8.2568807339449546E-2"/>
    <x v="30"/>
    <x v="1"/>
    <x v="0"/>
  </r>
  <r>
    <x v="0"/>
    <n v="156"/>
    <n v="0.82539682539682535"/>
    <x v="31"/>
    <x v="1"/>
    <x v="0"/>
  </r>
  <r>
    <x v="1"/>
    <n v="7"/>
    <n v="3.7037037037037035E-2"/>
    <x v="31"/>
    <x v="1"/>
    <x v="0"/>
  </r>
  <r>
    <x v="2"/>
    <n v="6"/>
    <n v="3.1746031746031744E-2"/>
    <x v="31"/>
    <x v="1"/>
    <x v="0"/>
  </r>
  <r>
    <x v="3"/>
    <n v="0"/>
    <n v="0"/>
    <x v="31"/>
    <x v="1"/>
    <x v="0"/>
  </r>
  <r>
    <x v="4"/>
    <n v="0"/>
    <n v="0"/>
    <x v="31"/>
    <x v="1"/>
    <x v="0"/>
  </r>
  <r>
    <x v="5"/>
    <n v="20"/>
    <n v="0.10582010582010581"/>
    <x v="31"/>
    <x v="1"/>
    <x v="0"/>
  </r>
  <r>
    <x v="0"/>
    <n v="127"/>
    <n v="0.79374999999999996"/>
    <x v="32"/>
    <x v="1"/>
    <x v="0"/>
  </r>
  <r>
    <x v="1"/>
    <n v="3"/>
    <n v="1.8749999999999999E-2"/>
    <x v="32"/>
    <x v="1"/>
    <x v="0"/>
  </r>
  <r>
    <x v="2"/>
    <n v="4"/>
    <n v="2.5000000000000001E-2"/>
    <x v="32"/>
    <x v="1"/>
    <x v="0"/>
  </r>
  <r>
    <x v="3"/>
    <n v="0"/>
    <n v="0"/>
    <x v="32"/>
    <x v="1"/>
    <x v="0"/>
  </r>
  <r>
    <x v="4"/>
    <n v="0"/>
    <n v="0"/>
    <x v="32"/>
    <x v="1"/>
    <x v="0"/>
  </r>
  <r>
    <x v="5"/>
    <n v="26"/>
    <n v="0.16250000000000001"/>
    <x v="32"/>
    <x v="1"/>
    <x v="0"/>
  </r>
  <r>
    <x v="0"/>
    <n v="152"/>
    <n v="0.78350515463917525"/>
    <x v="33"/>
    <x v="1"/>
    <x v="0"/>
  </r>
  <r>
    <x v="1"/>
    <n v="4"/>
    <n v="2.0618556701030927E-2"/>
    <x v="33"/>
    <x v="1"/>
    <x v="0"/>
  </r>
  <r>
    <x v="2"/>
    <n v="2"/>
    <n v="1.0309278350515464E-2"/>
    <x v="33"/>
    <x v="1"/>
    <x v="0"/>
  </r>
  <r>
    <x v="3"/>
    <n v="0"/>
    <n v="0"/>
    <x v="33"/>
    <x v="1"/>
    <x v="0"/>
  </r>
  <r>
    <x v="4"/>
    <n v="0"/>
    <n v="0"/>
    <x v="33"/>
    <x v="1"/>
    <x v="0"/>
  </r>
  <r>
    <x v="5"/>
    <n v="36"/>
    <n v="0.18556701030927836"/>
    <x v="33"/>
    <x v="1"/>
    <x v="0"/>
  </r>
  <r>
    <x v="0"/>
    <n v="170"/>
    <n v="0.87179487179487181"/>
    <x v="34"/>
    <x v="1"/>
    <x v="0"/>
  </r>
  <r>
    <x v="1"/>
    <n v="4"/>
    <n v="2.0512820512820513E-2"/>
    <x v="34"/>
    <x v="1"/>
    <x v="0"/>
  </r>
  <r>
    <x v="2"/>
    <n v="0"/>
    <n v="0"/>
    <x v="34"/>
    <x v="1"/>
    <x v="0"/>
  </r>
  <r>
    <x v="3"/>
    <n v="0"/>
    <n v="0"/>
    <x v="34"/>
    <x v="1"/>
    <x v="0"/>
  </r>
  <r>
    <x v="4"/>
    <n v="0"/>
    <n v="0"/>
    <x v="34"/>
    <x v="1"/>
    <x v="0"/>
  </r>
  <r>
    <x v="5"/>
    <n v="21"/>
    <n v="0.1076923076923077"/>
    <x v="34"/>
    <x v="1"/>
    <x v="0"/>
  </r>
  <r>
    <x v="0"/>
    <n v="20"/>
    <n v="0.30769230769230771"/>
    <x v="35"/>
    <x v="1"/>
    <x v="0"/>
  </r>
  <r>
    <x v="1"/>
    <n v="2"/>
    <n v="3.0769230769230771E-2"/>
    <x v="35"/>
    <x v="1"/>
    <x v="0"/>
  </r>
  <r>
    <x v="2"/>
    <n v="0"/>
    <n v="0"/>
    <x v="35"/>
    <x v="1"/>
    <x v="0"/>
  </r>
  <r>
    <x v="3"/>
    <n v="2"/>
    <n v="3.0769230769230771E-2"/>
    <x v="35"/>
    <x v="1"/>
    <x v="0"/>
  </r>
  <r>
    <x v="4"/>
    <n v="40"/>
    <n v="0.61538461538461542"/>
    <x v="35"/>
    <x v="1"/>
    <x v="0"/>
  </r>
  <r>
    <x v="5"/>
    <n v="1"/>
    <n v="1.5384615384615385E-2"/>
    <x v="35"/>
    <x v="1"/>
    <x v="0"/>
  </r>
  <r>
    <x v="0"/>
    <n v="7"/>
    <n v="5.9829059829059832E-2"/>
    <x v="36"/>
    <x v="1"/>
    <x v="0"/>
  </r>
  <r>
    <x v="1"/>
    <n v="0"/>
    <n v="0"/>
    <x v="36"/>
    <x v="1"/>
    <x v="0"/>
  </r>
  <r>
    <x v="2"/>
    <n v="0"/>
    <n v="0"/>
    <x v="36"/>
    <x v="1"/>
    <x v="0"/>
  </r>
  <r>
    <x v="3"/>
    <n v="0"/>
    <n v="0"/>
    <x v="36"/>
    <x v="1"/>
    <x v="0"/>
  </r>
  <r>
    <x v="4"/>
    <n v="109"/>
    <n v="0.93162393162393164"/>
    <x v="36"/>
    <x v="1"/>
    <x v="0"/>
  </r>
  <r>
    <x v="5"/>
    <n v="1"/>
    <n v="8.5470085470085479E-3"/>
    <x v="36"/>
    <x v="1"/>
    <x v="0"/>
  </r>
  <r>
    <x v="0"/>
    <n v="69"/>
    <n v="0.61061946902654862"/>
    <x v="37"/>
    <x v="1"/>
    <x v="0"/>
  </r>
  <r>
    <x v="1"/>
    <n v="5"/>
    <n v="4.4247787610619468E-2"/>
    <x v="37"/>
    <x v="1"/>
    <x v="0"/>
  </r>
  <r>
    <x v="2"/>
    <n v="4"/>
    <n v="3.5398230088495575E-2"/>
    <x v="37"/>
    <x v="1"/>
    <x v="0"/>
  </r>
  <r>
    <x v="3"/>
    <n v="0"/>
    <n v="0"/>
    <x v="37"/>
    <x v="1"/>
    <x v="0"/>
  </r>
  <r>
    <x v="4"/>
    <n v="7"/>
    <n v="6.1946902654867256E-2"/>
    <x v="37"/>
    <x v="1"/>
    <x v="0"/>
  </r>
  <r>
    <x v="5"/>
    <n v="28"/>
    <n v="0.24778761061946902"/>
    <x v="37"/>
    <x v="1"/>
    <x v="0"/>
  </r>
  <r>
    <x v="0"/>
    <n v="85"/>
    <n v="0.69672131147540983"/>
    <x v="38"/>
    <x v="1"/>
    <x v="0"/>
  </r>
  <r>
    <x v="1"/>
    <n v="4"/>
    <n v="3.2786885245901641E-2"/>
    <x v="38"/>
    <x v="1"/>
    <x v="0"/>
  </r>
  <r>
    <x v="2"/>
    <n v="8"/>
    <n v="6.5573770491803282E-2"/>
    <x v="38"/>
    <x v="1"/>
    <x v="0"/>
  </r>
  <r>
    <x v="3"/>
    <n v="0"/>
    <n v="0"/>
    <x v="38"/>
    <x v="1"/>
    <x v="0"/>
  </r>
  <r>
    <x v="4"/>
    <n v="5"/>
    <n v="4.0983606557377046E-2"/>
    <x v="38"/>
    <x v="1"/>
    <x v="0"/>
  </r>
  <r>
    <x v="5"/>
    <n v="20"/>
    <n v="0.16393442622950818"/>
    <x v="38"/>
    <x v="1"/>
    <x v="0"/>
  </r>
  <r>
    <x v="0"/>
    <n v="3"/>
    <n v="0.1875"/>
    <x v="39"/>
    <x v="1"/>
    <x v="0"/>
  </r>
  <r>
    <x v="1"/>
    <n v="0"/>
    <n v="0"/>
    <x v="39"/>
    <x v="1"/>
    <x v="0"/>
  </r>
  <r>
    <x v="2"/>
    <n v="2"/>
    <n v="0.125"/>
    <x v="39"/>
    <x v="1"/>
    <x v="0"/>
  </r>
  <r>
    <x v="3"/>
    <n v="0"/>
    <n v="0"/>
    <x v="39"/>
    <x v="1"/>
    <x v="0"/>
  </r>
  <r>
    <x v="4"/>
    <n v="5"/>
    <n v="0.3125"/>
    <x v="39"/>
    <x v="1"/>
    <x v="0"/>
  </r>
  <r>
    <x v="5"/>
    <n v="6"/>
    <n v="0.375"/>
    <x v="39"/>
    <x v="1"/>
    <x v="0"/>
  </r>
  <r>
    <x v="0"/>
    <n v="11"/>
    <n v="0.40740740740740738"/>
    <x v="40"/>
    <x v="1"/>
    <x v="0"/>
  </r>
  <r>
    <x v="1"/>
    <n v="0"/>
    <n v="0"/>
    <x v="40"/>
    <x v="1"/>
    <x v="0"/>
  </r>
  <r>
    <x v="2"/>
    <n v="2"/>
    <n v="7.407407407407407E-2"/>
    <x v="40"/>
    <x v="1"/>
    <x v="0"/>
  </r>
  <r>
    <x v="3"/>
    <n v="0"/>
    <n v="0"/>
    <x v="40"/>
    <x v="1"/>
    <x v="0"/>
  </r>
  <r>
    <x v="4"/>
    <n v="13"/>
    <n v="0.48148148148148145"/>
    <x v="40"/>
    <x v="1"/>
    <x v="0"/>
  </r>
  <r>
    <x v="5"/>
    <n v="1"/>
    <n v="3.7037037037037035E-2"/>
    <x v="40"/>
    <x v="1"/>
    <x v="0"/>
  </r>
  <r>
    <x v="0"/>
    <n v="26"/>
    <n v="0.47272727272727272"/>
    <x v="41"/>
    <x v="1"/>
    <x v="0"/>
  </r>
  <r>
    <x v="1"/>
    <n v="0"/>
    <n v="0"/>
    <x v="41"/>
    <x v="1"/>
    <x v="0"/>
  </r>
  <r>
    <x v="2"/>
    <n v="1"/>
    <n v="1.8181818181818181E-2"/>
    <x v="41"/>
    <x v="1"/>
    <x v="0"/>
  </r>
  <r>
    <x v="3"/>
    <n v="0"/>
    <n v="0"/>
    <x v="41"/>
    <x v="1"/>
    <x v="0"/>
  </r>
  <r>
    <x v="4"/>
    <n v="22"/>
    <n v="0.4"/>
    <x v="41"/>
    <x v="1"/>
    <x v="0"/>
  </r>
  <r>
    <x v="5"/>
    <n v="6"/>
    <n v="0.10909090909090909"/>
    <x v="41"/>
    <x v="1"/>
    <x v="0"/>
  </r>
  <r>
    <x v="0"/>
    <n v="17"/>
    <n v="0.265625"/>
    <x v="42"/>
    <x v="1"/>
    <x v="0"/>
  </r>
  <r>
    <x v="1"/>
    <n v="0"/>
    <n v="0"/>
    <x v="42"/>
    <x v="1"/>
    <x v="0"/>
  </r>
  <r>
    <x v="2"/>
    <n v="0"/>
    <n v="0"/>
    <x v="42"/>
    <x v="1"/>
    <x v="0"/>
  </r>
  <r>
    <x v="3"/>
    <n v="2"/>
    <n v="3.125E-2"/>
    <x v="42"/>
    <x v="1"/>
    <x v="0"/>
  </r>
  <r>
    <x v="4"/>
    <n v="38"/>
    <n v="0.59375"/>
    <x v="42"/>
    <x v="1"/>
    <x v="0"/>
  </r>
  <r>
    <x v="5"/>
    <n v="7"/>
    <n v="0.109375"/>
    <x v="42"/>
    <x v="1"/>
    <x v="0"/>
  </r>
  <r>
    <x v="0"/>
    <n v="3"/>
    <n v="0.6"/>
    <x v="43"/>
    <x v="2"/>
    <x v="1"/>
  </r>
  <r>
    <x v="1"/>
    <n v="0"/>
    <n v="0"/>
    <x v="43"/>
    <x v="2"/>
    <x v="1"/>
  </r>
  <r>
    <x v="2"/>
    <n v="2"/>
    <n v="0.4"/>
    <x v="43"/>
    <x v="2"/>
    <x v="1"/>
  </r>
  <r>
    <x v="3"/>
    <n v="0"/>
    <n v="0"/>
    <x v="43"/>
    <x v="2"/>
    <x v="1"/>
  </r>
  <r>
    <x v="4"/>
    <n v="0"/>
    <n v="0"/>
    <x v="43"/>
    <x v="2"/>
    <x v="1"/>
  </r>
  <r>
    <x v="5"/>
    <n v="0"/>
    <n v="0"/>
    <x v="43"/>
    <x v="2"/>
    <x v="1"/>
  </r>
  <r>
    <x v="0"/>
    <n v="5"/>
    <n v="0.625"/>
    <x v="44"/>
    <x v="2"/>
    <x v="1"/>
  </r>
  <r>
    <x v="1"/>
    <n v="1"/>
    <n v="0.125"/>
    <x v="44"/>
    <x v="2"/>
    <x v="1"/>
  </r>
  <r>
    <x v="2"/>
    <n v="0"/>
    <n v="0"/>
    <x v="44"/>
    <x v="2"/>
    <x v="1"/>
  </r>
  <r>
    <x v="3"/>
    <n v="0"/>
    <n v="0"/>
    <x v="44"/>
    <x v="2"/>
    <x v="1"/>
  </r>
  <r>
    <x v="4"/>
    <n v="0"/>
    <n v="0"/>
    <x v="44"/>
    <x v="2"/>
    <x v="1"/>
  </r>
  <r>
    <x v="5"/>
    <n v="2"/>
    <n v="0.25"/>
    <x v="44"/>
    <x v="2"/>
    <x v="1"/>
  </r>
  <r>
    <x v="0"/>
    <n v="99"/>
    <n v="0.58579881656804733"/>
    <x v="45"/>
    <x v="2"/>
    <x v="1"/>
  </r>
  <r>
    <x v="1"/>
    <n v="11"/>
    <n v="6.5088757396449703E-2"/>
    <x v="45"/>
    <x v="2"/>
    <x v="1"/>
  </r>
  <r>
    <x v="2"/>
    <n v="8"/>
    <n v="4.7337278106508875E-2"/>
    <x v="45"/>
    <x v="2"/>
    <x v="1"/>
  </r>
  <r>
    <x v="3"/>
    <n v="0"/>
    <n v="0"/>
    <x v="45"/>
    <x v="2"/>
    <x v="1"/>
  </r>
  <r>
    <x v="4"/>
    <n v="5"/>
    <n v="2.9585798816568046E-2"/>
    <x v="45"/>
    <x v="2"/>
    <x v="1"/>
  </r>
  <r>
    <x v="5"/>
    <n v="46"/>
    <n v="0.27218934911242604"/>
    <x v="45"/>
    <x v="2"/>
    <x v="1"/>
  </r>
  <r>
    <x v="0"/>
    <n v="80"/>
    <n v="0.47619047619047616"/>
    <x v="46"/>
    <x v="2"/>
    <x v="1"/>
  </r>
  <r>
    <x v="1"/>
    <n v="18"/>
    <n v="0.10714285714285714"/>
    <x v="46"/>
    <x v="2"/>
    <x v="1"/>
  </r>
  <r>
    <x v="2"/>
    <n v="24"/>
    <n v="0.14285714285714285"/>
    <x v="46"/>
    <x v="2"/>
    <x v="1"/>
  </r>
  <r>
    <x v="3"/>
    <n v="0"/>
    <n v="0"/>
    <x v="46"/>
    <x v="2"/>
    <x v="1"/>
  </r>
  <r>
    <x v="4"/>
    <n v="31"/>
    <n v="0.18452380952380953"/>
    <x v="46"/>
    <x v="2"/>
    <x v="1"/>
  </r>
  <r>
    <x v="5"/>
    <n v="15"/>
    <n v="8.9285714285714288E-2"/>
    <x v="46"/>
    <x v="2"/>
    <x v="1"/>
  </r>
  <r>
    <x v="0"/>
    <n v="111"/>
    <n v="0.6271186440677966"/>
    <x v="47"/>
    <x v="2"/>
    <x v="1"/>
  </r>
  <r>
    <x v="1"/>
    <n v="7"/>
    <n v="3.954802259887006E-2"/>
    <x v="47"/>
    <x v="2"/>
    <x v="1"/>
  </r>
  <r>
    <x v="2"/>
    <n v="35"/>
    <n v="0.19774011299435029"/>
    <x v="47"/>
    <x v="2"/>
    <x v="1"/>
  </r>
  <r>
    <x v="3"/>
    <n v="0"/>
    <n v="0"/>
    <x v="47"/>
    <x v="2"/>
    <x v="1"/>
  </r>
  <r>
    <x v="4"/>
    <n v="16"/>
    <n v="9.03954802259887E-2"/>
    <x v="47"/>
    <x v="2"/>
    <x v="1"/>
  </r>
  <r>
    <x v="5"/>
    <n v="8"/>
    <n v="4.519774011299435E-2"/>
    <x v="47"/>
    <x v="2"/>
    <x v="1"/>
  </r>
  <r>
    <x v="0"/>
    <n v="8"/>
    <n v="0.36363636363636365"/>
    <x v="48"/>
    <x v="2"/>
    <x v="1"/>
  </r>
  <r>
    <x v="1"/>
    <n v="3"/>
    <n v="0.13636363636363635"/>
    <x v="48"/>
    <x v="2"/>
    <x v="1"/>
  </r>
  <r>
    <x v="2"/>
    <n v="2"/>
    <n v="9.0909090909090912E-2"/>
    <x v="48"/>
    <x v="2"/>
    <x v="1"/>
  </r>
  <r>
    <x v="3"/>
    <n v="0"/>
    <n v="0"/>
    <x v="48"/>
    <x v="2"/>
    <x v="1"/>
  </r>
  <r>
    <x v="4"/>
    <n v="1"/>
    <n v="4.5454545454545456E-2"/>
    <x v="48"/>
    <x v="2"/>
    <x v="1"/>
  </r>
  <r>
    <x v="5"/>
    <n v="8"/>
    <n v="0.36363636363636365"/>
    <x v="48"/>
    <x v="2"/>
    <x v="1"/>
  </r>
  <r>
    <x v="0"/>
    <n v="10"/>
    <n v="0.55555555555555558"/>
    <x v="49"/>
    <x v="2"/>
    <x v="1"/>
  </r>
  <r>
    <x v="1"/>
    <n v="1"/>
    <n v="5.5555555555555552E-2"/>
    <x v="49"/>
    <x v="2"/>
    <x v="1"/>
  </r>
  <r>
    <x v="2"/>
    <n v="0"/>
    <n v="0"/>
    <x v="49"/>
    <x v="2"/>
    <x v="1"/>
  </r>
  <r>
    <x v="3"/>
    <n v="0"/>
    <n v="0"/>
    <x v="49"/>
    <x v="2"/>
    <x v="1"/>
  </r>
  <r>
    <x v="4"/>
    <n v="4"/>
    <n v="0.22222222222222221"/>
    <x v="49"/>
    <x v="2"/>
    <x v="1"/>
  </r>
  <r>
    <x v="5"/>
    <n v="3"/>
    <n v="0.16666666666666666"/>
    <x v="49"/>
    <x v="2"/>
    <x v="1"/>
  </r>
  <r>
    <x v="0"/>
    <n v="79"/>
    <n v="0.69298245614035092"/>
    <x v="50"/>
    <x v="2"/>
    <x v="1"/>
  </r>
  <r>
    <x v="1"/>
    <n v="9"/>
    <n v="7.8947368421052627E-2"/>
    <x v="50"/>
    <x v="2"/>
    <x v="1"/>
  </r>
  <r>
    <x v="2"/>
    <n v="16"/>
    <n v="0.14035087719298245"/>
    <x v="50"/>
    <x v="2"/>
    <x v="1"/>
  </r>
  <r>
    <x v="3"/>
    <n v="1"/>
    <n v="8.771929824561403E-3"/>
    <x v="50"/>
    <x v="2"/>
    <x v="1"/>
  </r>
  <r>
    <x v="4"/>
    <n v="1"/>
    <n v="8.771929824561403E-3"/>
    <x v="50"/>
    <x v="2"/>
    <x v="1"/>
  </r>
  <r>
    <x v="5"/>
    <n v="8"/>
    <n v="7.0175438596491224E-2"/>
    <x v="50"/>
    <x v="2"/>
    <x v="1"/>
  </r>
  <r>
    <x v="0"/>
    <n v="137"/>
    <n v="0.68159203980099503"/>
    <x v="51"/>
    <x v="2"/>
    <x v="1"/>
  </r>
  <r>
    <x v="1"/>
    <n v="17"/>
    <n v="8.45771144278607E-2"/>
    <x v="51"/>
    <x v="2"/>
    <x v="1"/>
  </r>
  <r>
    <x v="2"/>
    <n v="14"/>
    <n v="6.965174129353234E-2"/>
    <x v="51"/>
    <x v="2"/>
    <x v="1"/>
  </r>
  <r>
    <x v="3"/>
    <n v="0"/>
    <n v="0"/>
    <x v="51"/>
    <x v="2"/>
    <x v="1"/>
  </r>
  <r>
    <x v="4"/>
    <n v="17"/>
    <n v="8.45771144278607E-2"/>
    <x v="51"/>
    <x v="2"/>
    <x v="1"/>
  </r>
  <r>
    <x v="5"/>
    <n v="16"/>
    <n v="7.9601990049751242E-2"/>
    <x v="51"/>
    <x v="2"/>
    <x v="1"/>
  </r>
  <r>
    <x v="0"/>
    <n v="149"/>
    <n v="0.80540540540540539"/>
    <x v="52"/>
    <x v="2"/>
    <x v="1"/>
  </r>
  <r>
    <x v="1"/>
    <n v="10"/>
    <n v="5.4054054054054057E-2"/>
    <x v="52"/>
    <x v="2"/>
    <x v="1"/>
  </r>
  <r>
    <x v="2"/>
    <n v="7"/>
    <n v="3.783783783783784E-2"/>
    <x v="52"/>
    <x v="2"/>
    <x v="1"/>
  </r>
  <r>
    <x v="3"/>
    <n v="0"/>
    <n v="0"/>
    <x v="52"/>
    <x v="2"/>
    <x v="1"/>
  </r>
  <r>
    <x v="4"/>
    <n v="0"/>
    <n v="0"/>
    <x v="52"/>
    <x v="2"/>
    <x v="1"/>
  </r>
  <r>
    <x v="5"/>
    <n v="19"/>
    <n v="0.10270270270270271"/>
    <x v="52"/>
    <x v="2"/>
    <x v="1"/>
  </r>
  <r>
    <x v="0"/>
    <n v="105"/>
    <n v="0.66878980891719741"/>
    <x v="53"/>
    <x v="2"/>
    <x v="1"/>
  </r>
  <r>
    <x v="1"/>
    <n v="18"/>
    <n v="0.11464968152866242"/>
    <x v="53"/>
    <x v="2"/>
    <x v="1"/>
  </r>
  <r>
    <x v="2"/>
    <n v="13"/>
    <n v="8.2802547770700632E-2"/>
    <x v="53"/>
    <x v="2"/>
    <x v="1"/>
  </r>
  <r>
    <x v="3"/>
    <n v="5"/>
    <n v="3.1847133757961783E-2"/>
    <x v="53"/>
    <x v="2"/>
    <x v="1"/>
  </r>
  <r>
    <x v="4"/>
    <n v="5"/>
    <n v="3.1847133757961783E-2"/>
    <x v="53"/>
    <x v="2"/>
    <x v="1"/>
  </r>
  <r>
    <x v="5"/>
    <n v="11"/>
    <n v="7.0063694267515922E-2"/>
    <x v="53"/>
    <x v="2"/>
    <x v="1"/>
  </r>
  <r>
    <x v="0"/>
    <n v="161"/>
    <n v="0.82564102564102559"/>
    <x v="54"/>
    <x v="2"/>
    <x v="1"/>
  </r>
  <r>
    <x v="1"/>
    <n v="16"/>
    <n v="8.2051282051282051E-2"/>
    <x v="54"/>
    <x v="2"/>
    <x v="1"/>
  </r>
  <r>
    <x v="2"/>
    <n v="6"/>
    <n v="3.0769230769230771E-2"/>
    <x v="54"/>
    <x v="2"/>
    <x v="1"/>
  </r>
  <r>
    <x v="3"/>
    <n v="0"/>
    <n v="0"/>
    <x v="54"/>
    <x v="2"/>
    <x v="1"/>
  </r>
  <r>
    <x v="4"/>
    <n v="0"/>
    <n v="0"/>
    <x v="54"/>
    <x v="2"/>
    <x v="1"/>
  </r>
  <r>
    <x v="5"/>
    <n v="12"/>
    <n v="6.1538461538461542E-2"/>
    <x v="54"/>
    <x v="2"/>
    <x v="1"/>
  </r>
  <r>
    <x v="0"/>
    <n v="173"/>
    <n v="0.84390243902439022"/>
    <x v="55"/>
    <x v="2"/>
    <x v="1"/>
  </r>
  <r>
    <x v="1"/>
    <n v="15"/>
    <n v="7.3170731707317069E-2"/>
    <x v="55"/>
    <x v="2"/>
    <x v="1"/>
  </r>
  <r>
    <x v="2"/>
    <n v="7"/>
    <n v="3.4146341463414637E-2"/>
    <x v="55"/>
    <x v="2"/>
    <x v="1"/>
  </r>
  <r>
    <x v="3"/>
    <n v="4"/>
    <n v="1.9512195121951219E-2"/>
    <x v="55"/>
    <x v="2"/>
    <x v="1"/>
  </r>
  <r>
    <x v="4"/>
    <n v="0"/>
    <n v="0"/>
    <x v="55"/>
    <x v="2"/>
    <x v="1"/>
  </r>
  <r>
    <x v="5"/>
    <n v="6"/>
    <n v="2.9268292682926831E-2"/>
    <x v="55"/>
    <x v="2"/>
    <x v="1"/>
  </r>
  <r>
    <x v="0"/>
    <n v="209"/>
    <n v="0.87447698744769875"/>
    <x v="56"/>
    <x v="2"/>
    <x v="1"/>
  </r>
  <r>
    <x v="1"/>
    <n v="17"/>
    <n v="7.1129707112970716E-2"/>
    <x v="56"/>
    <x v="2"/>
    <x v="1"/>
  </r>
  <r>
    <x v="2"/>
    <n v="7"/>
    <n v="2.9288702928870293E-2"/>
    <x v="56"/>
    <x v="2"/>
    <x v="1"/>
  </r>
  <r>
    <x v="3"/>
    <n v="0"/>
    <n v="0"/>
    <x v="56"/>
    <x v="2"/>
    <x v="1"/>
  </r>
  <r>
    <x v="4"/>
    <n v="0"/>
    <n v="0"/>
    <x v="56"/>
    <x v="2"/>
    <x v="1"/>
  </r>
  <r>
    <x v="5"/>
    <n v="6"/>
    <n v="2.5104602510460251E-2"/>
    <x v="56"/>
    <x v="2"/>
    <x v="1"/>
  </r>
  <r>
    <x v="0"/>
    <n v="205"/>
    <n v="0.78244274809160308"/>
    <x v="57"/>
    <x v="2"/>
    <x v="1"/>
  </r>
  <r>
    <x v="1"/>
    <n v="25"/>
    <n v="9.5419847328244281E-2"/>
    <x v="57"/>
    <x v="2"/>
    <x v="1"/>
  </r>
  <r>
    <x v="2"/>
    <n v="19"/>
    <n v="7.2519083969465645E-2"/>
    <x v="57"/>
    <x v="2"/>
    <x v="1"/>
  </r>
  <r>
    <x v="3"/>
    <n v="0"/>
    <n v="0"/>
    <x v="57"/>
    <x v="2"/>
    <x v="1"/>
  </r>
  <r>
    <x v="4"/>
    <n v="11"/>
    <n v="4.1984732824427481E-2"/>
    <x v="57"/>
    <x v="2"/>
    <x v="1"/>
  </r>
  <r>
    <x v="5"/>
    <n v="2"/>
    <n v="7.6335877862595417E-3"/>
    <x v="57"/>
    <x v="2"/>
    <x v="1"/>
  </r>
  <r>
    <x v="0"/>
    <n v="178"/>
    <n v="0.84360189573459721"/>
    <x v="58"/>
    <x v="2"/>
    <x v="1"/>
  </r>
  <r>
    <x v="1"/>
    <n v="26"/>
    <n v="0.12322274881516587"/>
    <x v="58"/>
    <x v="2"/>
    <x v="1"/>
  </r>
  <r>
    <x v="2"/>
    <n v="5"/>
    <n v="2.3696682464454975E-2"/>
    <x v="58"/>
    <x v="2"/>
    <x v="1"/>
  </r>
  <r>
    <x v="3"/>
    <n v="0"/>
    <n v="0"/>
    <x v="58"/>
    <x v="2"/>
    <x v="1"/>
  </r>
  <r>
    <x v="4"/>
    <n v="0"/>
    <n v="0"/>
    <x v="58"/>
    <x v="2"/>
    <x v="1"/>
  </r>
  <r>
    <x v="5"/>
    <n v="2"/>
    <n v="9.4786729857819912E-3"/>
    <x v="58"/>
    <x v="2"/>
    <x v="1"/>
  </r>
  <r>
    <x v="0"/>
    <n v="227"/>
    <n v="0.82846715328467158"/>
    <x v="59"/>
    <x v="2"/>
    <x v="1"/>
  </r>
  <r>
    <x v="1"/>
    <n v="30"/>
    <n v="0.10948905109489052"/>
    <x v="59"/>
    <x v="2"/>
    <x v="1"/>
  </r>
  <r>
    <x v="2"/>
    <n v="9"/>
    <n v="3.2846715328467155E-2"/>
    <x v="59"/>
    <x v="2"/>
    <x v="1"/>
  </r>
  <r>
    <x v="3"/>
    <n v="0"/>
    <n v="0"/>
    <x v="59"/>
    <x v="2"/>
    <x v="1"/>
  </r>
  <r>
    <x v="4"/>
    <n v="0"/>
    <n v="0"/>
    <x v="59"/>
    <x v="2"/>
    <x v="1"/>
  </r>
  <r>
    <x v="5"/>
    <n v="8"/>
    <n v="2.9197080291970802E-2"/>
    <x v="59"/>
    <x v="2"/>
    <x v="1"/>
  </r>
  <r>
    <x v="0"/>
    <n v="215"/>
    <n v="0.85317460317460314"/>
    <x v="60"/>
    <x v="2"/>
    <x v="1"/>
  </r>
  <r>
    <x v="1"/>
    <n v="17"/>
    <n v="6.7460317460317457E-2"/>
    <x v="60"/>
    <x v="2"/>
    <x v="1"/>
  </r>
  <r>
    <x v="2"/>
    <n v="3"/>
    <n v="1.1904761904761904E-2"/>
    <x v="60"/>
    <x v="2"/>
    <x v="1"/>
  </r>
  <r>
    <x v="3"/>
    <n v="0"/>
    <n v="0"/>
    <x v="60"/>
    <x v="2"/>
    <x v="1"/>
  </r>
  <r>
    <x v="4"/>
    <n v="0"/>
    <n v="0"/>
    <x v="60"/>
    <x v="2"/>
    <x v="1"/>
  </r>
  <r>
    <x v="5"/>
    <n v="17"/>
    <n v="6.7460317460317457E-2"/>
    <x v="60"/>
    <x v="2"/>
    <x v="1"/>
  </r>
  <r>
    <x v="0"/>
    <n v="227"/>
    <n v="0.91532258064516125"/>
    <x v="61"/>
    <x v="2"/>
    <x v="1"/>
  </r>
  <r>
    <x v="1"/>
    <n v="7"/>
    <n v="2.8225806451612902E-2"/>
    <x v="61"/>
    <x v="2"/>
    <x v="1"/>
  </r>
  <r>
    <x v="2"/>
    <n v="3"/>
    <n v="1.2096774193548387E-2"/>
    <x v="61"/>
    <x v="2"/>
    <x v="1"/>
  </r>
  <r>
    <x v="3"/>
    <n v="0"/>
    <n v="0"/>
    <x v="61"/>
    <x v="2"/>
    <x v="1"/>
  </r>
  <r>
    <x v="4"/>
    <n v="0"/>
    <n v="0"/>
    <x v="61"/>
    <x v="2"/>
    <x v="1"/>
  </r>
  <r>
    <x v="5"/>
    <n v="11"/>
    <n v="4.4354838709677422E-2"/>
    <x v="61"/>
    <x v="2"/>
    <x v="1"/>
  </r>
  <r>
    <x v="0"/>
    <n v="199"/>
    <n v="0.88444444444444448"/>
    <x v="62"/>
    <x v="2"/>
    <x v="1"/>
  </r>
  <r>
    <x v="1"/>
    <n v="7"/>
    <n v="3.111111111111111E-2"/>
    <x v="62"/>
    <x v="2"/>
    <x v="1"/>
  </r>
  <r>
    <x v="2"/>
    <n v="8"/>
    <n v="3.5555555555555556E-2"/>
    <x v="62"/>
    <x v="2"/>
    <x v="1"/>
  </r>
  <r>
    <x v="3"/>
    <n v="0"/>
    <n v="0"/>
    <x v="62"/>
    <x v="2"/>
    <x v="1"/>
  </r>
  <r>
    <x v="4"/>
    <n v="0"/>
    <n v="0"/>
    <x v="62"/>
    <x v="2"/>
    <x v="1"/>
  </r>
  <r>
    <x v="5"/>
    <n v="11"/>
    <n v="4.8888888888888891E-2"/>
    <x v="62"/>
    <x v="2"/>
    <x v="1"/>
  </r>
  <r>
    <x v="0"/>
    <n v="197"/>
    <n v="0.84549356223175964"/>
    <x v="63"/>
    <x v="2"/>
    <x v="1"/>
  </r>
  <r>
    <x v="1"/>
    <n v="20"/>
    <n v="8.5836909871244635E-2"/>
    <x v="63"/>
    <x v="2"/>
    <x v="1"/>
  </r>
  <r>
    <x v="2"/>
    <n v="5"/>
    <n v="2.1459227467811159E-2"/>
    <x v="63"/>
    <x v="2"/>
    <x v="1"/>
  </r>
  <r>
    <x v="3"/>
    <n v="0"/>
    <n v="0"/>
    <x v="63"/>
    <x v="2"/>
    <x v="1"/>
  </r>
  <r>
    <x v="4"/>
    <n v="0"/>
    <n v="0"/>
    <x v="63"/>
    <x v="2"/>
    <x v="1"/>
  </r>
  <r>
    <x v="5"/>
    <n v="11"/>
    <n v="4.7210300429184553E-2"/>
    <x v="63"/>
    <x v="2"/>
    <x v="1"/>
  </r>
  <r>
    <x v="0"/>
    <n v="196"/>
    <n v="0.90322580645161288"/>
    <x v="64"/>
    <x v="2"/>
    <x v="1"/>
  </r>
  <r>
    <x v="1"/>
    <n v="5"/>
    <n v="2.3041474654377881E-2"/>
    <x v="64"/>
    <x v="2"/>
    <x v="1"/>
  </r>
  <r>
    <x v="2"/>
    <n v="7"/>
    <n v="3.2258064516129031E-2"/>
    <x v="64"/>
    <x v="2"/>
    <x v="1"/>
  </r>
  <r>
    <x v="3"/>
    <n v="0"/>
    <n v="0"/>
    <x v="64"/>
    <x v="2"/>
    <x v="1"/>
  </r>
  <r>
    <x v="4"/>
    <n v="0"/>
    <n v="0"/>
    <x v="64"/>
    <x v="2"/>
    <x v="1"/>
  </r>
  <r>
    <x v="5"/>
    <n v="9"/>
    <n v="4.1474654377880185E-2"/>
    <x v="64"/>
    <x v="2"/>
    <x v="1"/>
  </r>
  <r>
    <x v="0"/>
    <n v="187"/>
    <n v="0.9211822660098522"/>
    <x v="65"/>
    <x v="2"/>
    <x v="1"/>
  </r>
  <r>
    <x v="1"/>
    <n v="4"/>
    <n v="1.9704433497536946E-2"/>
    <x v="65"/>
    <x v="2"/>
    <x v="1"/>
  </r>
  <r>
    <x v="2"/>
    <n v="6"/>
    <n v="2.9556650246305417E-2"/>
    <x v="65"/>
    <x v="2"/>
    <x v="1"/>
  </r>
  <r>
    <x v="3"/>
    <n v="0"/>
    <n v="0"/>
    <x v="65"/>
    <x v="2"/>
    <x v="1"/>
  </r>
  <r>
    <x v="4"/>
    <n v="0"/>
    <n v="0"/>
    <x v="65"/>
    <x v="2"/>
    <x v="1"/>
  </r>
  <r>
    <x v="5"/>
    <n v="6"/>
    <n v="2.9556650246305417E-2"/>
    <x v="65"/>
    <x v="2"/>
    <x v="1"/>
  </r>
  <r>
    <x v="0"/>
    <n v="92"/>
    <n v="0.71317829457364346"/>
    <x v="66"/>
    <x v="2"/>
    <x v="1"/>
  </r>
  <r>
    <x v="1"/>
    <n v="5"/>
    <n v="3.875968992248062E-2"/>
    <x v="66"/>
    <x v="2"/>
    <x v="1"/>
  </r>
  <r>
    <x v="2"/>
    <n v="4"/>
    <n v="3.1007751937984496E-2"/>
    <x v="66"/>
    <x v="2"/>
    <x v="1"/>
  </r>
  <r>
    <x v="3"/>
    <n v="7"/>
    <n v="5.4263565891472867E-2"/>
    <x v="66"/>
    <x v="2"/>
    <x v="1"/>
  </r>
  <r>
    <x v="4"/>
    <n v="7"/>
    <n v="5.4263565891472867E-2"/>
    <x v="66"/>
    <x v="2"/>
    <x v="1"/>
  </r>
  <r>
    <x v="5"/>
    <n v="14"/>
    <n v="0.10852713178294573"/>
    <x v="66"/>
    <x v="2"/>
    <x v="1"/>
  </r>
  <r>
    <x v="0"/>
    <n v="171"/>
    <n v="0.85929648241206025"/>
    <x v="67"/>
    <x v="2"/>
    <x v="1"/>
  </r>
  <r>
    <x v="1"/>
    <n v="4"/>
    <n v="2.0100502512562814E-2"/>
    <x v="67"/>
    <x v="2"/>
    <x v="1"/>
  </r>
  <r>
    <x v="2"/>
    <n v="13"/>
    <n v="6.5326633165829151E-2"/>
    <x v="67"/>
    <x v="2"/>
    <x v="1"/>
  </r>
  <r>
    <x v="3"/>
    <n v="0"/>
    <n v="0"/>
    <x v="67"/>
    <x v="2"/>
    <x v="1"/>
  </r>
  <r>
    <x v="4"/>
    <n v="0"/>
    <n v="0"/>
    <x v="67"/>
    <x v="2"/>
    <x v="1"/>
  </r>
  <r>
    <x v="5"/>
    <n v="11"/>
    <n v="5.5276381909547742E-2"/>
    <x v="67"/>
    <x v="2"/>
    <x v="1"/>
  </r>
  <r>
    <x v="0"/>
    <n v="149"/>
    <n v="0.87134502923976609"/>
    <x v="68"/>
    <x v="2"/>
    <x v="1"/>
  </r>
  <r>
    <x v="1"/>
    <n v="8"/>
    <n v="4.6783625730994149E-2"/>
    <x v="68"/>
    <x v="2"/>
    <x v="1"/>
  </r>
  <r>
    <x v="2"/>
    <n v="2"/>
    <n v="1.1695906432748537E-2"/>
    <x v="68"/>
    <x v="2"/>
    <x v="1"/>
  </r>
  <r>
    <x v="3"/>
    <n v="5"/>
    <n v="2.9239766081871343E-2"/>
    <x v="68"/>
    <x v="2"/>
    <x v="1"/>
  </r>
  <r>
    <x v="4"/>
    <n v="0"/>
    <n v="0"/>
    <x v="68"/>
    <x v="2"/>
    <x v="1"/>
  </r>
  <r>
    <x v="5"/>
    <n v="7"/>
    <n v="4.0935672514619881E-2"/>
    <x v="68"/>
    <x v="2"/>
    <x v="1"/>
  </r>
  <r>
    <x v="0"/>
    <n v="127"/>
    <n v="0.8523489932885906"/>
    <x v="69"/>
    <x v="2"/>
    <x v="1"/>
  </r>
  <r>
    <x v="1"/>
    <n v="9"/>
    <n v="6.0402684563758392E-2"/>
    <x v="69"/>
    <x v="2"/>
    <x v="1"/>
  </r>
  <r>
    <x v="2"/>
    <n v="4"/>
    <n v="2.6845637583892617E-2"/>
    <x v="69"/>
    <x v="2"/>
    <x v="1"/>
  </r>
  <r>
    <x v="3"/>
    <n v="0"/>
    <n v="0"/>
    <x v="69"/>
    <x v="2"/>
    <x v="1"/>
  </r>
  <r>
    <x v="4"/>
    <n v="0"/>
    <n v="0"/>
    <x v="69"/>
    <x v="2"/>
    <x v="1"/>
  </r>
  <r>
    <x v="5"/>
    <n v="9"/>
    <n v="6.0402684563758392E-2"/>
    <x v="69"/>
    <x v="2"/>
    <x v="1"/>
  </r>
  <r>
    <x v="0"/>
    <n v="140"/>
    <n v="0.91503267973856206"/>
    <x v="70"/>
    <x v="2"/>
    <x v="0"/>
  </r>
  <r>
    <x v="1"/>
    <n v="1"/>
    <n v="6.5359477124183009E-3"/>
    <x v="70"/>
    <x v="2"/>
    <x v="0"/>
  </r>
  <r>
    <x v="2"/>
    <n v="4"/>
    <n v="2.6143790849673203E-2"/>
    <x v="70"/>
    <x v="2"/>
    <x v="0"/>
  </r>
  <r>
    <x v="3"/>
    <n v="0"/>
    <n v="0"/>
    <x v="70"/>
    <x v="2"/>
    <x v="0"/>
  </r>
  <r>
    <x v="4"/>
    <n v="0"/>
    <n v="0"/>
    <x v="70"/>
    <x v="2"/>
    <x v="0"/>
  </r>
  <r>
    <x v="5"/>
    <n v="8"/>
    <n v="5.2287581699346407E-2"/>
    <x v="70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6">
  <r>
    <x v="0"/>
    <n v="81"/>
    <x v="0"/>
    <x v="0"/>
    <x v="0"/>
    <x v="0"/>
  </r>
  <r>
    <x v="1"/>
    <n v="12"/>
    <x v="0"/>
    <x v="0"/>
    <x v="0"/>
    <x v="0"/>
  </r>
  <r>
    <x v="2"/>
    <n v="3"/>
    <x v="0"/>
    <x v="0"/>
    <x v="0"/>
    <x v="0"/>
  </r>
  <r>
    <x v="3"/>
    <n v="12"/>
    <x v="0"/>
    <x v="0"/>
    <x v="0"/>
    <x v="0"/>
  </r>
  <r>
    <x v="4"/>
    <n v="24"/>
    <x v="0"/>
    <x v="0"/>
    <x v="0"/>
    <x v="0"/>
  </r>
  <r>
    <x v="5"/>
    <n v="2"/>
    <x v="0"/>
    <x v="0"/>
    <x v="0"/>
    <x v="0"/>
  </r>
  <r>
    <x v="0"/>
    <n v="101"/>
    <x v="1"/>
    <x v="0"/>
    <x v="0"/>
    <x v="0"/>
  </r>
  <r>
    <x v="1"/>
    <n v="10"/>
    <x v="1"/>
    <x v="0"/>
    <x v="0"/>
    <x v="0"/>
  </r>
  <r>
    <x v="2"/>
    <n v="6"/>
    <x v="1"/>
    <x v="0"/>
    <x v="0"/>
    <x v="0"/>
  </r>
  <r>
    <x v="3"/>
    <n v="2"/>
    <x v="1"/>
    <x v="0"/>
    <x v="0"/>
    <x v="0"/>
  </r>
  <r>
    <x v="4"/>
    <n v="0"/>
    <x v="1"/>
    <x v="0"/>
    <x v="0"/>
    <x v="0"/>
  </r>
  <r>
    <x v="5"/>
    <n v="7"/>
    <x v="1"/>
    <x v="0"/>
    <x v="0"/>
    <x v="0"/>
  </r>
  <r>
    <x v="0"/>
    <n v="38"/>
    <x v="2"/>
    <x v="1"/>
    <x v="1"/>
    <x v="1"/>
  </r>
  <r>
    <x v="1"/>
    <n v="12"/>
    <x v="2"/>
    <x v="1"/>
    <x v="1"/>
    <x v="1"/>
  </r>
  <r>
    <x v="2"/>
    <n v="12"/>
    <x v="2"/>
    <x v="1"/>
    <x v="1"/>
    <x v="1"/>
  </r>
  <r>
    <x v="3"/>
    <n v="0"/>
    <x v="2"/>
    <x v="1"/>
    <x v="1"/>
    <x v="1"/>
  </r>
  <r>
    <x v="4"/>
    <n v="39"/>
    <x v="2"/>
    <x v="1"/>
    <x v="1"/>
    <x v="1"/>
  </r>
  <r>
    <x v="5"/>
    <n v="8"/>
    <x v="2"/>
    <x v="1"/>
    <x v="1"/>
    <x v="1"/>
  </r>
  <r>
    <x v="0"/>
    <n v="38"/>
    <x v="3"/>
    <x v="1"/>
    <x v="1"/>
    <x v="1"/>
  </r>
  <r>
    <x v="1"/>
    <n v="13"/>
    <x v="3"/>
    <x v="1"/>
    <x v="1"/>
    <x v="1"/>
  </r>
  <r>
    <x v="2"/>
    <n v="9"/>
    <x v="3"/>
    <x v="1"/>
    <x v="1"/>
    <x v="1"/>
  </r>
  <r>
    <x v="3"/>
    <n v="0"/>
    <x v="3"/>
    <x v="1"/>
    <x v="1"/>
    <x v="1"/>
  </r>
  <r>
    <x v="4"/>
    <n v="0"/>
    <x v="3"/>
    <x v="1"/>
    <x v="1"/>
    <x v="1"/>
  </r>
  <r>
    <x v="5"/>
    <n v="1"/>
    <x v="3"/>
    <x v="1"/>
    <x v="1"/>
    <x v="1"/>
  </r>
  <r>
    <x v="0"/>
    <n v="118"/>
    <x v="4"/>
    <x v="1"/>
    <x v="1"/>
    <x v="1"/>
  </r>
  <r>
    <x v="1"/>
    <n v="19"/>
    <x v="4"/>
    <x v="1"/>
    <x v="1"/>
    <x v="1"/>
  </r>
  <r>
    <x v="2"/>
    <n v="4"/>
    <x v="4"/>
    <x v="1"/>
    <x v="1"/>
    <x v="1"/>
  </r>
  <r>
    <x v="3"/>
    <n v="19"/>
    <x v="4"/>
    <x v="1"/>
    <x v="1"/>
    <x v="1"/>
  </r>
  <r>
    <x v="4"/>
    <n v="0"/>
    <x v="4"/>
    <x v="1"/>
    <x v="1"/>
    <x v="1"/>
  </r>
  <r>
    <x v="5"/>
    <n v="19"/>
    <x v="4"/>
    <x v="1"/>
    <x v="1"/>
    <x v="1"/>
  </r>
  <r>
    <x v="0"/>
    <n v="122"/>
    <x v="5"/>
    <x v="1"/>
    <x v="1"/>
    <x v="1"/>
  </r>
  <r>
    <x v="1"/>
    <n v="12"/>
    <x v="5"/>
    <x v="1"/>
    <x v="1"/>
    <x v="1"/>
  </r>
  <r>
    <x v="2"/>
    <n v="0"/>
    <x v="5"/>
    <x v="1"/>
    <x v="1"/>
    <x v="1"/>
  </r>
  <r>
    <x v="3"/>
    <n v="18"/>
    <x v="5"/>
    <x v="1"/>
    <x v="1"/>
    <x v="1"/>
  </r>
  <r>
    <x v="4"/>
    <n v="2"/>
    <x v="5"/>
    <x v="1"/>
    <x v="1"/>
    <x v="1"/>
  </r>
  <r>
    <x v="5"/>
    <n v="21"/>
    <x v="5"/>
    <x v="1"/>
    <x v="1"/>
    <x v="1"/>
  </r>
  <r>
    <x v="0"/>
    <n v="10"/>
    <x v="6"/>
    <x v="1"/>
    <x v="2"/>
    <x v="1"/>
  </r>
  <r>
    <x v="1"/>
    <n v="2"/>
    <x v="6"/>
    <x v="1"/>
    <x v="2"/>
    <x v="1"/>
  </r>
  <r>
    <x v="2"/>
    <n v="1"/>
    <x v="6"/>
    <x v="1"/>
    <x v="2"/>
    <x v="1"/>
  </r>
  <r>
    <x v="3"/>
    <n v="0"/>
    <x v="6"/>
    <x v="1"/>
    <x v="2"/>
    <x v="1"/>
  </r>
  <r>
    <x v="4"/>
    <n v="26"/>
    <x v="6"/>
    <x v="1"/>
    <x v="2"/>
    <x v="1"/>
  </r>
  <r>
    <x v="5"/>
    <n v="1"/>
    <x v="6"/>
    <x v="1"/>
    <x v="2"/>
    <x v="1"/>
  </r>
  <r>
    <x v="0"/>
    <n v="9"/>
    <x v="7"/>
    <x v="1"/>
    <x v="2"/>
    <x v="1"/>
  </r>
  <r>
    <x v="1"/>
    <n v="6"/>
    <x v="7"/>
    <x v="1"/>
    <x v="2"/>
    <x v="1"/>
  </r>
  <r>
    <x v="2"/>
    <n v="0"/>
    <x v="7"/>
    <x v="1"/>
    <x v="2"/>
    <x v="1"/>
  </r>
  <r>
    <x v="3"/>
    <n v="0"/>
    <x v="7"/>
    <x v="1"/>
    <x v="2"/>
    <x v="1"/>
  </r>
  <r>
    <x v="4"/>
    <n v="1"/>
    <x v="7"/>
    <x v="1"/>
    <x v="2"/>
    <x v="1"/>
  </r>
  <r>
    <x v="5"/>
    <n v="2"/>
    <x v="7"/>
    <x v="1"/>
    <x v="2"/>
    <x v="1"/>
  </r>
  <r>
    <x v="0"/>
    <n v="14"/>
    <x v="8"/>
    <x v="1"/>
    <x v="2"/>
    <x v="1"/>
  </r>
  <r>
    <x v="1"/>
    <n v="1"/>
    <x v="8"/>
    <x v="1"/>
    <x v="2"/>
    <x v="1"/>
  </r>
  <r>
    <x v="2"/>
    <n v="1"/>
    <x v="8"/>
    <x v="1"/>
    <x v="2"/>
    <x v="1"/>
  </r>
  <r>
    <x v="3"/>
    <n v="0"/>
    <x v="8"/>
    <x v="1"/>
    <x v="2"/>
    <x v="1"/>
  </r>
  <r>
    <x v="4"/>
    <n v="1"/>
    <x v="8"/>
    <x v="1"/>
    <x v="2"/>
    <x v="1"/>
  </r>
  <r>
    <x v="5"/>
    <n v="0"/>
    <x v="8"/>
    <x v="1"/>
    <x v="2"/>
    <x v="1"/>
  </r>
  <r>
    <x v="0"/>
    <n v="75"/>
    <x v="9"/>
    <x v="1"/>
    <x v="3"/>
    <x v="1"/>
  </r>
  <r>
    <x v="1"/>
    <n v="12"/>
    <x v="9"/>
    <x v="1"/>
    <x v="3"/>
    <x v="1"/>
  </r>
  <r>
    <x v="2"/>
    <n v="15"/>
    <x v="9"/>
    <x v="1"/>
    <x v="3"/>
    <x v="1"/>
  </r>
  <r>
    <x v="3"/>
    <n v="2"/>
    <x v="9"/>
    <x v="1"/>
    <x v="3"/>
    <x v="1"/>
  </r>
  <r>
    <x v="4"/>
    <n v="11"/>
    <x v="9"/>
    <x v="1"/>
    <x v="3"/>
    <x v="1"/>
  </r>
  <r>
    <x v="5"/>
    <n v="12"/>
    <x v="9"/>
    <x v="1"/>
    <x v="3"/>
    <x v="1"/>
  </r>
  <r>
    <x v="0"/>
    <n v="93"/>
    <x v="10"/>
    <x v="1"/>
    <x v="3"/>
    <x v="1"/>
  </r>
  <r>
    <x v="1"/>
    <n v="9"/>
    <x v="10"/>
    <x v="1"/>
    <x v="3"/>
    <x v="1"/>
  </r>
  <r>
    <x v="2"/>
    <n v="8"/>
    <x v="10"/>
    <x v="1"/>
    <x v="3"/>
    <x v="1"/>
  </r>
  <r>
    <x v="3"/>
    <n v="9"/>
    <x v="10"/>
    <x v="1"/>
    <x v="3"/>
    <x v="1"/>
  </r>
  <r>
    <x v="4"/>
    <n v="0"/>
    <x v="10"/>
    <x v="1"/>
    <x v="3"/>
    <x v="1"/>
  </r>
  <r>
    <x v="5"/>
    <n v="11"/>
    <x v="10"/>
    <x v="1"/>
    <x v="3"/>
    <x v="1"/>
  </r>
  <r>
    <x v="0"/>
    <n v="113"/>
    <x v="11"/>
    <x v="1"/>
    <x v="3"/>
    <x v="1"/>
  </r>
  <r>
    <x v="1"/>
    <n v="23"/>
    <x v="11"/>
    <x v="1"/>
    <x v="3"/>
    <x v="1"/>
  </r>
  <r>
    <x v="2"/>
    <n v="18"/>
    <x v="11"/>
    <x v="1"/>
    <x v="3"/>
    <x v="1"/>
  </r>
  <r>
    <x v="3"/>
    <n v="0"/>
    <x v="11"/>
    <x v="1"/>
    <x v="3"/>
    <x v="1"/>
  </r>
  <r>
    <x v="4"/>
    <n v="0"/>
    <x v="11"/>
    <x v="1"/>
    <x v="3"/>
    <x v="1"/>
  </r>
  <r>
    <x v="5"/>
    <n v="37"/>
    <x v="11"/>
    <x v="1"/>
    <x v="3"/>
    <x v="1"/>
  </r>
  <r>
    <x v="0"/>
    <n v="139"/>
    <x v="12"/>
    <x v="1"/>
    <x v="3"/>
    <x v="1"/>
  </r>
  <r>
    <x v="1"/>
    <n v="23"/>
    <x v="12"/>
    <x v="1"/>
    <x v="3"/>
    <x v="1"/>
  </r>
  <r>
    <x v="2"/>
    <n v="5"/>
    <x v="12"/>
    <x v="1"/>
    <x v="3"/>
    <x v="1"/>
  </r>
  <r>
    <x v="3"/>
    <n v="0"/>
    <x v="12"/>
    <x v="1"/>
    <x v="3"/>
    <x v="1"/>
  </r>
  <r>
    <x v="4"/>
    <n v="0"/>
    <x v="12"/>
    <x v="1"/>
    <x v="3"/>
    <x v="1"/>
  </r>
  <r>
    <x v="5"/>
    <n v="47"/>
    <x v="12"/>
    <x v="1"/>
    <x v="3"/>
    <x v="1"/>
  </r>
  <r>
    <x v="0"/>
    <n v="49"/>
    <x v="13"/>
    <x v="1"/>
    <x v="4"/>
    <x v="1"/>
  </r>
  <r>
    <x v="1"/>
    <n v="41"/>
    <x v="13"/>
    <x v="1"/>
    <x v="4"/>
    <x v="1"/>
  </r>
  <r>
    <x v="2"/>
    <n v="7"/>
    <x v="13"/>
    <x v="1"/>
    <x v="4"/>
    <x v="1"/>
  </r>
  <r>
    <x v="3"/>
    <n v="0"/>
    <x v="13"/>
    <x v="1"/>
    <x v="4"/>
    <x v="1"/>
  </r>
  <r>
    <x v="4"/>
    <n v="34"/>
    <x v="13"/>
    <x v="1"/>
    <x v="4"/>
    <x v="1"/>
  </r>
  <r>
    <x v="5"/>
    <n v="15"/>
    <x v="13"/>
    <x v="1"/>
    <x v="4"/>
    <x v="1"/>
  </r>
  <r>
    <x v="0"/>
    <n v="20"/>
    <x v="14"/>
    <x v="1"/>
    <x v="4"/>
    <x v="1"/>
  </r>
  <r>
    <x v="1"/>
    <n v="6"/>
    <x v="14"/>
    <x v="1"/>
    <x v="4"/>
    <x v="1"/>
  </r>
  <r>
    <x v="2"/>
    <n v="1"/>
    <x v="14"/>
    <x v="1"/>
    <x v="4"/>
    <x v="1"/>
  </r>
  <r>
    <x v="3"/>
    <n v="0"/>
    <x v="14"/>
    <x v="1"/>
    <x v="4"/>
    <x v="1"/>
  </r>
  <r>
    <x v="4"/>
    <n v="38"/>
    <x v="14"/>
    <x v="1"/>
    <x v="4"/>
    <x v="1"/>
  </r>
  <r>
    <x v="5"/>
    <n v="12"/>
    <x v="14"/>
    <x v="1"/>
    <x v="4"/>
    <x v="1"/>
  </r>
  <r>
    <x v="0"/>
    <n v="86"/>
    <x v="15"/>
    <x v="1"/>
    <x v="4"/>
    <x v="1"/>
  </r>
  <r>
    <x v="1"/>
    <n v="7"/>
    <x v="15"/>
    <x v="1"/>
    <x v="4"/>
    <x v="1"/>
  </r>
  <r>
    <x v="2"/>
    <n v="4"/>
    <x v="15"/>
    <x v="1"/>
    <x v="4"/>
    <x v="1"/>
  </r>
  <r>
    <x v="3"/>
    <n v="0"/>
    <x v="15"/>
    <x v="1"/>
    <x v="4"/>
    <x v="1"/>
  </r>
  <r>
    <x v="4"/>
    <n v="0"/>
    <x v="15"/>
    <x v="1"/>
    <x v="4"/>
    <x v="1"/>
  </r>
  <r>
    <x v="5"/>
    <n v="45"/>
    <x v="15"/>
    <x v="1"/>
    <x v="4"/>
    <x v="1"/>
  </r>
  <r>
    <x v="0"/>
    <n v="109"/>
    <x v="16"/>
    <x v="1"/>
    <x v="5"/>
    <x v="1"/>
  </r>
  <r>
    <x v="1"/>
    <n v="19"/>
    <x v="16"/>
    <x v="1"/>
    <x v="5"/>
    <x v="1"/>
  </r>
  <r>
    <x v="2"/>
    <n v="3"/>
    <x v="16"/>
    <x v="1"/>
    <x v="5"/>
    <x v="1"/>
  </r>
  <r>
    <x v="3"/>
    <n v="0"/>
    <x v="16"/>
    <x v="1"/>
    <x v="5"/>
    <x v="1"/>
  </r>
  <r>
    <x v="4"/>
    <n v="0"/>
    <x v="16"/>
    <x v="1"/>
    <x v="5"/>
    <x v="1"/>
  </r>
  <r>
    <x v="5"/>
    <n v="37"/>
    <x v="16"/>
    <x v="1"/>
    <x v="5"/>
    <x v="1"/>
  </r>
  <r>
    <x v="0"/>
    <n v="113"/>
    <x v="17"/>
    <x v="1"/>
    <x v="5"/>
    <x v="1"/>
  </r>
  <r>
    <x v="1"/>
    <n v="6"/>
    <x v="17"/>
    <x v="1"/>
    <x v="5"/>
    <x v="1"/>
  </r>
  <r>
    <x v="2"/>
    <n v="5"/>
    <x v="17"/>
    <x v="1"/>
    <x v="5"/>
    <x v="1"/>
  </r>
  <r>
    <x v="3"/>
    <n v="0"/>
    <x v="17"/>
    <x v="1"/>
    <x v="5"/>
    <x v="1"/>
  </r>
  <r>
    <x v="4"/>
    <n v="0"/>
    <x v="17"/>
    <x v="1"/>
    <x v="5"/>
    <x v="1"/>
  </r>
  <r>
    <x v="5"/>
    <n v="41"/>
    <x v="17"/>
    <x v="1"/>
    <x v="5"/>
    <x v="1"/>
  </r>
  <r>
    <x v="0"/>
    <n v="119"/>
    <x v="18"/>
    <x v="1"/>
    <x v="5"/>
    <x v="1"/>
  </r>
  <r>
    <x v="1"/>
    <n v="9"/>
    <x v="18"/>
    <x v="1"/>
    <x v="5"/>
    <x v="1"/>
  </r>
  <r>
    <x v="2"/>
    <n v="1"/>
    <x v="18"/>
    <x v="1"/>
    <x v="5"/>
    <x v="1"/>
  </r>
  <r>
    <x v="3"/>
    <n v="0"/>
    <x v="18"/>
    <x v="1"/>
    <x v="5"/>
    <x v="1"/>
  </r>
  <r>
    <x v="4"/>
    <n v="0"/>
    <x v="18"/>
    <x v="1"/>
    <x v="5"/>
    <x v="1"/>
  </r>
  <r>
    <x v="5"/>
    <n v="20"/>
    <x v="18"/>
    <x v="1"/>
    <x v="5"/>
    <x v="1"/>
  </r>
  <r>
    <x v="0"/>
    <n v="113"/>
    <x v="19"/>
    <x v="1"/>
    <x v="6"/>
    <x v="1"/>
  </r>
  <r>
    <x v="1"/>
    <n v="7"/>
    <x v="19"/>
    <x v="1"/>
    <x v="6"/>
    <x v="1"/>
  </r>
  <r>
    <x v="2"/>
    <n v="0"/>
    <x v="19"/>
    <x v="1"/>
    <x v="6"/>
    <x v="1"/>
  </r>
  <r>
    <x v="3"/>
    <n v="0"/>
    <x v="19"/>
    <x v="1"/>
    <x v="6"/>
    <x v="1"/>
  </r>
  <r>
    <x v="4"/>
    <n v="0"/>
    <x v="19"/>
    <x v="1"/>
    <x v="6"/>
    <x v="1"/>
  </r>
  <r>
    <x v="5"/>
    <n v="26"/>
    <x v="19"/>
    <x v="1"/>
    <x v="6"/>
    <x v="1"/>
  </r>
  <r>
    <x v="0"/>
    <n v="92"/>
    <x v="20"/>
    <x v="1"/>
    <x v="6"/>
    <x v="1"/>
  </r>
  <r>
    <x v="1"/>
    <n v="5"/>
    <x v="20"/>
    <x v="1"/>
    <x v="6"/>
    <x v="1"/>
  </r>
  <r>
    <x v="2"/>
    <n v="4"/>
    <x v="20"/>
    <x v="1"/>
    <x v="6"/>
    <x v="1"/>
  </r>
  <r>
    <x v="3"/>
    <n v="7"/>
    <x v="20"/>
    <x v="1"/>
    <x v="6"/>
    <x v="1"/>
  </r>
  <r>
    <x v="4"/>
    <n v="7"/>
    <x v="20"/>
    <x v="1"/>
    <x v="6"/>
    <x v="1"/>
  </r>
  <r>
    <x v="5"/>
    <n v="14"/>
    <x v="20"/>
    <x v="1"/>
    <x v="6"/>
    <x v="1"/>
  </r>
  <r>
    <x v="0"/>
    <n v="93"/>
    <x v="21"/>
    <x v="1"/>
    <x v="6"/>
    <x v="1"/>
  </r>
  <r>
    <x v="1"/>
    <n v="5"/>
    <x v="21"/>
    <x v="1"/>
    <x v="6"/>
    <x v="1"/>
  </r>
  <r>
    <x v="2"/>
    <n v="3"/>
    <x v="21"/>
    <x v="1"/>
    <x v="6"/>
    <x v="1"/>
  </r>
  <r>
    <x v="3"/>
    <n v="0"/>
    <x v="21"/>
    <x v="1"/>
    <x v="6"/>
    <x v="1"/>
  </r>
  <r>
    <x v="4"/>
    <n v="0"/>
    <x v="21"/>
    <x v="1"/>
    <x v="6"/>
    <x v="1"/>
  </r>
  <r>
    <x v="5"/>
    <n v="14"/>
    <x v="21"/>
    <x v="1"/>
    <x v="6"/>
    <x v="1"/>
  </r>
  <r>
    <x v="0"/>
    <n v="95"/>
    <x v="22"/>
    <x v="1"/>
    <x v="6"/>
    <x v="1"/>
  </r>
  <r>
    <x v="1"/>
    <n v="9"/>
    <x v="22"/>
    <x v="1"/>
    <x v="6"/>
    <x v="1"/>
  </r>
  <r>
    <x v="2"/>
    <n v="5"/>
    <x v="22"/>
    <x v="1"/>
    <x v="6"/>
    <x v="1"/>
  </r>
  <r>
    <x v="3"/>
    <n v="0"/>
    <x v="22"/>
    <x v="1"/>
    <x v="6"/>
    <x v="1"/>
  </r>
  <r>
    <x v="4"/>
    <n v="0"/>
    <x v="22"/>
    <x v="1"/>
    <x v="6"/>
    <x v="1"/>
  </r>
  <r>
    <x v="5"/>
    <n v="15"/>
    <x v="22"/>
    <x v="1"/>
    <x v="6"/>
    <x v="1"/>
  </r>
  <r>
    <x v="0"/>
    <n v="80"/>
    <x v="23"/>
    <x v="1"/>
    <x v="7"/>
    <x v="0"/>
  </r>
  <r>
    <x v="1"/>
    <n v="5"/>
    <x v="23"/>
    <x v="1"/>
    <x v="7"/>
    <x v="0"/>
  </r>
  <r>
    <x v="2"/>
    <n v="3"/>
    <x v="23"/>
    <x v="1"/>
    <x v="7"/>
    <x v="0"/>
  </r>
  <r>
    <x v="3"/>
    <n v="0"/>
    <x v="23"/>
    <x v="1"/>
    <x v="7"/>
    <x v="0"/>
  </r>
  <r>
    <x v="4"/>
    <n v="0"/>
    <x v="23"/>
    <x v="1"/>
    <x v="7"/>
    <x v="0"/>
  </r>
  <r>
    <x v="5"/>
    <n v="22"/>
    <x v="23"/>
    <x v="1"/>
    <x v="7"/>
    <x v="0"/>
  </r>
  <r>
    <x v="0"/>
    <n v="79"/>
    <x v="24"/>
    <x v="1"/>
    <x v="7"/>
    <x v="0"/>
  </r>
  <r>
    <x v="1"/>
    <n v="7"/>
    <x v="24"/>
    <x v="1"/>
    <x v="7"/>
    <x v="0"/>
  </r>
  <r>
    <x v="2"/>
    <n v="3"/>
    <x v="24"/>
    <x v="1"/>
    <x v="7"/>
    <x v="0"/>
  </r>
  <r>
    <x v="3"/>
    <n v="0"/>
    <x v="24"/>
    <x v="1"/>
    <x v="7"/>
    <x v="0"/>
  </r>
  <r>
    <x v="4"/>
    <n v="0"/>
    <x v="24"/>
    <x v="1"/>
    <x v="7"/>
    <x v="0"/>
  </r>
  <r>
    <x v="5"/>
    <n v="30"/>
    <x v="24"/>
    <x v="1"/>
    <x v="7"/>
    <x v="0"/>
  </r>
  <r>
    <x v="0"/>
    <n v="92"/>
    <x v="25"/>
    <x v="1"/>
    <x v="7"/>
    <x v="0"/>
  </r>
  <r>
    <x v="1"/>
    <n v="8"/>
    <x v="25"/>
    <x v="1"/>
    <x v="7"/>
    <x v="0"/>
  </r>
  <r>
    <x v="2"/>
    <n v="2"/>
    <x v="25"/>
    <x v="1"/>
    <x v="7"/>
    <x v="0"/>
  </r>
  <r>
    <x v="3"/>
    <n v="3"/>
    <x v="25"/>
    <x v="1"/>
    <x v="7"/>
    <x v="0"/>
  </r>
  <r>
    <x v="4"/>
    <n v="0"/>
    <x v="25"/>
    <x v="1"/>
    <x v="7"/>
    <x v="0"/>
  </r>
  <r>
    <x v="5"/>
    <n v="20"/>
    <x v="25"/>
    <x v="1"/>
    <x v="7"/>
    <x v="0"/>
  </r>
  <r>
    <x v="0"/>
    <n v="83"/>
    <x v="26"/>
    <x v="1"/>
    <x v="7"/>
    <x v="0"/>
  </r>
  <r>
    <x v="1"/>
    <n v="2"/>
    <x v="26"/>
    <x v="1"/>
    <x v="7"/>
    <x v="0"/>
  </r>
  <r>
    <x v="2"/>
    <n v="0"/>
    <x v="26"/>
    <x v="1"/>
    <x v="7"/>
    <x v="0"/>
  </r>
  <r>
    <x v="3"/>
    <n v="0"/>
    <x v="26"/>
    <x v="1"/>
    <x v="7"/>
    <x v="0"/>
  </r>
  <r>
    <x v="4"/>
    <n v="0"/>
    <x v="26"/>
    <x v="1"/>
    <x v="7"/>
    <x v="0"/>
  </r>
  <r>
    <x v="5"/>
    <n v="18"/>
    <x v="26"/>
    <x v="1"/>
    <x v="7"/>
    <x v="0"/>
  </r>
  <r>
    <x v="0"/>
    <n v="102"/>
    <x v="27"/>
    <x v="1"/>
    <x v="8"/>
    <x v="0"/>
  </r>
  <r>
    <x v="1"/>
    <n v="6"/>
    <x v="27"/>
    <x v="1"/>
    <x v="8"/>
    <x v="0"/>
  </r>
  <r>
    <x v="2"/>
    <n v="3"/>
    <x v="27"/>
    <x v="1"/>
    <x v="8"/>
    <x v="0"/>
  </r>
  <r>
    <x v="3"/>
    <n v="0"/>
    <x v="27"/>
    <x v="1"/>
    <x v="8"/>
    <x v="0"/>
  </r>
  <r>
    <x v="4"/>
    <n v="0"/>
    <x v="27"/>
    <x v="1"/>
    <x v="8"/>
    <x v="0"/>
  </r>
  <r>
    <x v="5"/>
    <n v="22"/>
    <x v="27"/>
    <x v="1"/>
    <x v="8"/>
    <x v="0"/>
  </r>
  <r>
    <x v="0"/>
    <n v="98"/>
    <x v="28"/>
    <x v="1"/>
    <x v="8"/>
    <x v="0"/>
  </r>
  <r>
    <x v="1"/>
    <n v="11"/>
    <x v="28"/>
    <x v="1"/>
    <x v="8"/>
    <x v="0"/>
  </r>
  <r>
    <x v="2"/>
    <n v="7"/>
    <x v="28"/>
    <x v="1"/>
    <x v="8"/>
    <x v="0"/>
  </r>
  <r>
    <x v="3"/>
    <n v="0"/>
    <x v="28"/>
    <x v="1"/>
    <x v="8"/>
    <x v="0"/>
  </r>
  <r>
    <x v="4"/>
    <n v="0"/>
    <x v="28"/>
    <x v="1"/>
    <x v="8"/>
    <x v="0"/>
  </r>
  <r>
    <x v="5"/>
    <n v="19"/>
    <x v="28"/>
    <x v="1"/>
    <x v="8"/>
    <x v="0"/>
  </r>
  <r>
    <x v="0"/>
    <n v="112"/>
    <x v="29"/>
    <x v="1"/>
    <x v="8"/>
    <x v="0"/>
  </r>
  <r>
    <x v="1"/>
    <n v="4"/>
    <x v="29"/>
    <x v="1"/>
    <x v="8"/>
    <x v="0"/>
  </r>
  <r>
    <x v="2"/>
    <n v="3"/>
    <x v="29"/>
    <x v="1"/>
    <x v="8"/>
    <x v="0"/>
  </r>
  <r>
    <x v="3"/>
    <n v="0"/>
    <x v="29"/>
    <x v="1"/>
    <x v="8"/>
    <x v="0"/>
  </r>
  <r>
    <x v="4"/>
    <n v="0"/>
    <x v="29"/>
    <x v="1"/>
    <x v="8"/>
    <x v="0"/>
  </r>
  <r>
    <x v="5"/>
    <n v="28"/>
    <x v="29"/>
    <x v="1"/>
    <x v="8"/>
    <x v="0"/>
  </r>
  <r>
    <x v="0"/>
    <n v="153"/>
    <x v="30"/>
    <x v="1"/>
    <x v="8"/>
    <x v="0"/>
  </r>
  <r>
    <x v="1"/>
    <n v="7"/>
    <x v="30"/>
    <x v="1"/>
    <x v="8"/>
    <x v="0"/>
  </r>
  <r>
    <x v="2"/>
    <n v="1"/>
    <x v="30"/>
    <x v="1"/>
    <x v="8"/>
    <x v="0"/>
  </r>
  <r>
    <x v="3"/>
    <n v="0"/>
    <x v="30"/>
    <x v="1"/>
    <x v="8"/>
    <x v="0"/>
  </r>
  <r>
    <x v="4"/>
    <n v="0"/>
    <x v="30"/>
    <x v="1"/>
    <x v="8"/>
    <x v="0"/>
  </r>
  <r>
    <x v="5"/>
    <n v="36"/>
    <x v="30"/>
    <x v="1"/>
    <x v="8"/>
    <x v="0"/>
  </r>
  <r>
    <x v="0"/>
    <n v="194"/>
    <x v="31"/>
    <x v="1"/>
    <x v="9"/>
    <x v="0"/>
  </r>
  <r>
    <x v="1"/>
    <n v="4"/>
    <x v="31"/>
    <x v="1"/>
    <x v="9"/>
    <x v="0"/>
  </r>
  <r>
    <x v="2"/>
    <n v="2"/>
    <x v="31"/>
    <x v="1"/>
    <x v="9"/>
    <x v="0"/>
  </r>
  <r>
    <x v="3"/>
    <n v="0"/>
    <x v="31"/>
    <x v="1"/>
    <x v="9"/>
    <x v="0"/>
  </r>
  <r>
    <x v="4"/>
    <n v="0"/>
    <x v="31"/>
    <x v="1"/>
    <x v="9"/>
    <x v="0"/>
  </r>
  <r>
    <x v="5"/>
    <n v="18"/>
    <x v="31"/>
    <x v="1"/>
    <x v="9"/>
    <x v="0"/>
  </r>
  <r>
    <x v="0"/>
    <n v="156"/>
    <x v="32"/>
    <x v="1"/>
    <x v="9"/>
    <x v="0"/>
  </r>
  <r>
    <x v="1"/>
    <n v="7"/>
    <x v="32"/>
    <x v="1"/>
    <x v="9"/>
    <x v="0"/>
  </r>
  <r>
    <x v="2"/>
    <n v="6"/>
    <x v="32"/>
    <x v="1"/>
    <x v="9"/>
    <x v="0"/>
  </r>
  <r>
    <x v="3"/>
    <n v="0"/>
    <x v="32"/>
    <x v="1"/>
    <x v="9"/>
    <x v="0"/>
  </r>
  <r>
    <x v="4"/>
    <n v="0"/>
    <x v="32"/>
    <x v="1"/>
    <x v="9"/>
    <x v="0"/>
  </r>
  <r>
    <x v="5"/>
    <n v="20"/>
    <x v="32"/>
    <x v="1"/>
    <x v="9"/>
    <x v="0"/>
  </r>
  <r>
    <x v="0"/>
    <n v="127"/>
    <x v="33"/>
    <x v="1"/>
    <x v="9"/>
    <x v="0"/>
  </r>
  <r>
    <x v="1"/>
    <n v="3"/>
    <x v="33"/>
    <x v="1"/>
    <x v="9"/>
    <x v="0"/>
  </r>
  <r>
    <x v="2"/>
    <n v="4"/>
    <x v="33"/>
    <x v="1"/>
    <x v="9"/>
    <x v="0"/>
  </r>
  <r>
    <x v="3"/>
    <n v="0"/>
    <x v="33"/>
    <x v="1"/>
    <x v="9"/>
    <x v="0"/>
  </r>
  <r>
    <x v="4"/>
    <n v="0"/>
    <x v="33"/>
    <x v="1"/>
    <x v="9"/>
    <x v="0"/>
  </r>
  <r>
    <x v="5"/>
    <n v="26"/>
    <x v="33"/>
    <x v="1"/>
    <x v="9"/>
    <x v="0"/>
  </r>
  <r>
    <x v="0"/>
    <n v="152"/>
    <x v="34"/>
    <x v="1"/>
    <x v="9"/>
    <x v="0"/>
  </r>
  <r>
    <x v="1"/>
    <n v="4"/>
    <x v="34"/>
    <x v="1"/>
    <x v="9"/>
    <x v="0"/>
  </r>
  <r>
    <x v="2"/>
    <n v="2"/>
    <x v="34"/>
    <x v="1"/>
    <x v="9"/>
    <x v="0"/>
  </r>
  <r>
    <x v="3"/>
    <n v="0"/>
    <x v="34"/>
    <x v="1"/>
    <x v="9"/>
    <x v="0"/>
  </r>
  <r>
    <x v="4"/>
    <n v="0"/>
    <x v="34"/>
    <x v="1"/>
    <x v="9"/>
    <x v="0"/>
  </r>
  <r>
    <x v="5"/>
    <n v="36"/>
    <x v="34"/>
    <x v="1"/>
    <x v="9"/>
    <x v="0"/>
  </r>
  <r>
    <x v="0"/>
    <n v="170"/>
    <x v="35"/>
    <x v="1"/>
    <x v="10"/>
    <x v="0"/>
  </r>
  <r>
    <x v="1"/>
    <n v="4"/>
    <x v="35"/>
    <x v="1"/>
    <x v="10"/>
    <x v="0"/>
  </r>
  <r>
    <x v="2"/>
    <n v="0"/>
    <x v="35"/>
    <x v="1"/>
    <x v="10"/>
    <x v="0"/>
  </r>
  <r>
    <x v="3"/>
    <n v="0"/>
    <x v="35"/>
    <x v="1"/>
    <x v="10"/>
    <x v="0"/>
  </r>
  <r>
    <x v="4"/>
    <n v="0"/>
    <x v="35"/>
    <x v="1"/>
    <x v="10"/>
    <x v="0"/>
  </r>
  <r>
    <x v="5"/>
    <n v="21"/>
    <x v="35"/>
    <x v="1"/>
    <x v="10"/>
    <x v="0"/>
  </r>
  <r>
    <x v="0"/>
    <n v="20"/>
    <x v="36"/>
    <x v="1"/>
    <x v="10"/>
    <x v="0"/>
  </r>
  <r>
    <x v="1"/>
    <n v="2"/>
    <x v="36"/>
    <x v="1"/>
    <x v="10"/>
    <x v="0"/>
  </r>
  <r>
    <x v="2"/>
    <n v="0"/>
    <x v="36"/>
    <x v="1"/>
    <x v="10"/>
    <x v="0"/>
  </r>
  <r>
    <x v="3"/>
    <n v="2"/>
    <x v="36"/>
    <x v="1"/>
    <x v="10"/>
    <x v="0"/>
  </r>
  <r>
    <x v="4"/>
    <n v="40"/>
    <x v="36"/>
    <x v="1"/>
    <x v="10"/>
    <x v="0"/>
  </r>
  <r>
    <x v="5"/>
    <n v="1"/>
    <x v="36"/>
    <x v="1"/>
    <x v="10"/>
    <x v="0"/>
  </r>
  <r>
    <x v="0"/>
    <n v="7"/>
    <x v="37"/>
    <x v="1"/>
    <x v="10"/>
    <x v="0"/>
  </r>
  <r>
    <x v="1"/>
    <n v="0"/>
    <x v="37"/>
    <x v="1"/>
    <x v="10"/>
    <x v="0"/>
  </r>
  <r>
    <x v="2"/>
    <n v="0"/>
    <x v="37"/>
    <x v="1"/>
    <x v="10"/>
    <x v="0"/>
  </r>
  <r>
    <x v="3"/>
    <n v="0"/>
    <x v="37"/>
    <x v="1"/>
    <x v="10"/>
    <x v="0"/>
  </r>
  <r>
    <x v="4"/>
    <n v="109"/>
    <x v="37"/>
    <x v="1"/>
    <x v="10"/>
    <x v="0"/>
  </r>
  <r>
    <x v="5"/>
    <n v="1"/>
    <x v="37"/>
    <x v="1"/>
    <x v="10"/>
    <x v="0"/>
  </r>
  <r>
    <x v="0"/>
    <n v="69"/>
    <x v="38"/>
    <x v="1"/>
    <x v="10"/>
    <x v="0"/>
  </r>
  <r>
    <x v="1"/>
    <n v="5"/>
    <x v="38"/>
    <x v="1"/>
    <x v="10"/>
    <x v="0"/>
  </r>
  <r>
    <x v="2"/>
    <n v="4"/>
    <x v="38"/>
    <x v="1"/>
    <x v="10"/>
    <x v="0"/>
  </r>
  <r>
    <x v="3"/>
    <n v="0"/>
    <x v="38"/>
    <x v="1"/>
    <x v="10"/>
    <x v="0"/>
  </r>
  <r>
    <x v="4"/>
    <n v="7"/>
    <x v="38"/>
    <x v="1"/>
    <x v="10"/>
    <x v="0"/>
  </r>
  <r>
    <x v="5"/>
    <n v="28"/>
    <x v="38"/>
    <x v="1"/>
    <x v="10"/>
    <x v="0"/>
  </r>
  <r>
    <x v="0"/>
    <n v="85"/>
    <x v="39"/>
    <x v="1"/>
    <x v="11"/>
    <x v="0"/>
  </r>
  <r>
    <x v="1"/>
    <n v="4"/>
    <x v="39"/>
    <x v="1"/>
    <x v="11"/>
    <x v="0"/>
  </r>
  <r>
    <x v="2"/>
    <n v="8"/>
    <x v="39"/>
    <x v="1"/>
    <x v="11"/>
    <x v="0"/>
  </r>
  <r>
    <x v="3"/>
    <n v="0"/>
    <x v="39"/>
    <x v="1"/>
    <x v="11"/>
    <x v="0"/>
  </r>
  <r>
    <x v="4"/>
    <n v="5"/>
    <x v="39"/>
    <x v="1"/>
    <x v="11"/>
    <x v="0"/>
  </r>
  <r>
    <x v="5"/>
    <n v="20"/>
    <x v="39"/>
    <x v="1"/>
    <x v="11"/>
    <x v="0"/>
  </r>
  <r>
    <x v="0"/>
    <n v="3"/>
    <x v="40"/>
    <x v="1"/>
    <x v="11"/>
    <x v="0"/>
  </r>
  <r>
    <x v="1"/>
    <n v="0"/>
    <x v="40"/>
    <x v="1"/>
    <x v="11"/>
    <x v="0"/>
  </r>
  <r>
    <x v="2"/>
    <n v="2"/>
    <x v="40"/>
    <x v="1"/>
    <x v="11"/>
    <x v="0"/>
  </r>
  <r>
    <x v="3"/>
    <n v="0"/>
    <x v="40"/>
    <x v="1"/>
    <x v="11"/>
    <x v="0"/>
  </r>
  <r>
    <x v="4"/>
    <n v="5"/>
    <x v="40"/>
    <x v="1"/>
    <x v="11"/>
    <x v="0"/>
  </r>
  <r>
    <x v="5"/>
    <n v="6"/>
    <x v="40"/>
    <x v="1"/>
    <x v="11"/>
    <x v="0"/>
  </r>
  <r>
    <x v="0"/>
    <n v="11"/>
    <x v="41"/>
    <x v="1"/>
    <x v="11"/>
    <x v="0"/>
  </r>
  <r>
    <x v="1"/>
    <n v="0"/>
    <x v="41"/>
    <x v="1"/>
    <x v="11"/>
    <x v="0"/>
  </r>
  <r>
    <x v="2"/>
    <n v="2"/>
    <x v="41"/>
    <x v="1"/>
    <x v="11"/>
    <x v="0"/>
  </r>
  <r>
    <x v="3"/>
    <n v="0"/>
    <x v="41"/>
    <x v="1"/>
    <x v="11"/>
    <x v="0"/>
  </r>
  <r>
    <x v="4"/>
    <n v="13"/>
    <x v="41"/>
    <x v="1"/>
    <x v="11"/>
    <x v="0"/>
  </r>
  <r>
    <x v="5"/>
    <n v="1"/>
    <x v="41"/>
    <x v="1"/>
    <x v="11"/>
    <x v="0"/>
  </r>
  <r>
    <x v="0"/>
    <n v="26"/>
    <x v="42"/>
    <x v="1"/>
    <x v="11"/>
    <x v="0"/>
  </r>
  <r>
    <x v="1"/>
    <n v="0"/>
    <x v="42"/>
    <x v="1"/>
    <x v="11"/>
    <x v="0"/>
  </r>
  <r>
    <x v="2"/>
    <n v="1"/>
    <x v="42"/>
    <x v="1"/>
    <x v="11"/>
    <x v="0"/>
  </r>
  <r>
    <x v="3"/>
    <n v="0"/>
    <x v="42"/>
    <x v="1"/>
    <x v="11"/>
    <x v="0"/>
  </r>
  <r>
    <x v="4"/>
    <n v="22"/>
    <x v="42"/>
    <x v="1"/>
    <x v="11"/>
    <x v="0"/>
  </r>
  <r>
    <x v="5"/>
    <n v="6"/>
    <x v="42"/>
    <x v="1"/>
    <x v="11"/>
    <x v="0"/>
  </r>
  <r>
    <x v="0"/>
    <n v="17"/>
    <x v="43"/>
    <x v="1"/>
    <x v="11"/>
    <x v="0"/>
  </r>
  <r>
    <x v="1"/>
    <n v="0"/>
    <x v="43"/>
    <x v="1"/>
    <x v="11"/>
    <x v="0"/>
  </r>
  <r>
    <x v="2"/>
    <n v="0"/>
    <x v="43"/>
    <x v="1"/>
    <x v="11"/>
    <x v="0"/>
  </r>
  <r>
    <x v="3"/>
    <n v="2"/>
    <x v="43"/>
    <x v="1"/>
    <x v="11"/>
    <x v="0"/>
  </r>
  <r>
    <x v="4"/>
    <n v="38"/>
    <x v="43"/>
    <x v="1"/>
    <x v="11"/>
    <x v="0"/>
  </r>
  <r>
    <x v="5"/>
    <n v="7"/>
    <x v="43"/>
    <x v="1"/>
    <x v="11"/>
    <x v="0"/>
  </r>
  <r>
    <x v="0"/>
    <n v="3"/>
    <x v="44"/>
    <x v="2"/>
    <x v="1"/>
    <x v="1"/>
  </r>
  <r>
    <x v="1"/>
    <n v="0"/>
    <x v="44"/>
    <x v="2"/>
    <x v="1"/>
    <x v="1"/>
  </r>
  <r>
    <x v="2"/>
    <n v="2"/>
    <x v="44"/>
    <x v="2"/>
    <x v="1"/>
    <x v="1"/>
  </r>
  <r>
    <x v="3"/>
    <n v="0"/>
    <x v="44"/>
    <x v="2"/>
    <x v="1"/>
    <x v="1"/>
  </r>
  <r>
    <x v="4"/>
    <n v="0"/>
    <x v="44"/>
    <x v="2"/>
    <x v="1"/>
    <x v="1"/>
  </r>
  <r>
    <x v="5"/>
    <n v="0"/>
    <x v="44"/>
    <x v="2"/>
    <x v="1"/>
    <x v="1"/>
  </r>
  <r>
    <x v="0"/>
    <n v="5"/>
    <x v="45"/>
    <x v="2"/>
    <x v="1"/>
    <x v="1"/>
  </r>
  <r>
    <x v="1"/>
    <n v="1"/>
    <x v="45"/>
    <x v="2"/>
    <x v="1"/>
    <x v="1"/>
  </r>
  <r>
    <x v="2"/>
    <n v="0"/>
    <x v="45"/>
    <x v="2"/>
    <x v="1"/>
    <x v="1"/>
  </r>
  <r>
    <x v="3"/>
    <n v="0"/>
    <x v="45"/>
    <x v="2"/>
    <x v="1"/>
    <x v="1"/>
  </r>
  <r>
    <x v="4"/>
    <n v="0"/>
    <x v="45"/>
    <x v="2"/>
    <x v="1"/>
    <x v="1"/>
  </r>
  <r>
    <x v="5"/>
    <n v="2"/>
    <x v="45"/>
    <x v="2"/>
    <x v="1"/>
    <x v="1"/>
  </r>
  <r>
    <x v="0"/>
    <n v="99"/>
    <x v="46"/>
    <x v="2"/>
    <x v="1"/>
    <x v="1"/>
  </r>
  <r>
    <x v="1"/>
    <n v="11"/>
    <x v="46"/>
    <x v="2"/>
    <x v="1"/>
    <x v="1"/>
  </r>
  <r>
    <x v="2"/>
    <n v="8"/>
    <x v="46"/>
    <x v="2"/>
    <x v="1"/>
    <x v="1"/>
  </r>
  <r>
    <x v="3"/>
    <n v="0"/>
    <x v="46"/>
    <x v="2"/>
    <x v="1"/>
    <x v="1"/>
  </r>
  <r>
    <x v="4"/>
    <n v="5"/>
    <x v="46"/>
    <x v="2"/>
    <x v="1"/>
    <x v="1"/>
  </r>
  <r>
    <x v="5"/>
    <n v="46"/>
    <x v="46"/>
    <x v="2"/>
    <x v="1"/>
    <x v="1"/>
  </r>
  <r>
    <x v="0"/>
    <n v="80"/>
    <x v="47"/>
    <x v="2"/>
    <x v="1"/>
    <x v="1"/>
  </r>
  <r>
    <x v="1"/>
    <n v="18"/>
    <x v="47"/>
    <x v="2"/>
    <x v="1"/>
    <x v="1"/>
  </r>
  <r>
    <x v="2"/>
    <n v="24"/>
    <x v="47"/>
    <x v="2"/>
    <x v="1"/>
    <x v="1"/>
  </r>
  <r>
    <x v="3"/>
    <n v="0"/>
    <x v="47"/>
    <x v="2"/>
    <x v="1"/>
    <x v="1"/>
  </r>
  <r>
    <x v="4"/>
    <n v="31"/>
    <x v="47"/>
    <x v="2"/>
    <x v="1"/>
    <x v="1"/>
  </r>
  <r>
    <x v="5"/>
    <n v="15"/>
    <x v="47"/>
    <x v="2"/>
    <x v="1"/>
    <x v="1"/>
  </r>
  <r>
    <x v="0"/>
    <n v="111"/>
    <x v="48"/>
    <x v="2"/>
    <x v="1"/>
    <x v="1"/>
  </r>
  <r>
    <x v="1"/>
    <n v="7"/>
    <x v="48"/>
    <x v="2"/>
    <x v="1"/>
    <x v="1"/>
  </r>
  <r>
    <x v="2"/>
    <n v="35"/>
    <x v="48"/>
    <x v="2"/>
    <x v="1"/>
    <x v="1"/>
  </r>
  <r>
    <x v="3"/>
    <n v="0"/>
    <x v="48"/>
    <x v="2"/>
    <x v="1"/>
    <x v="1"/>
  </r>
  <r>
    <x v="4"/>
    <n v="16"/>
    <x v="48"/>
    <x v="2"/>
    <x v="1"/>
    <x v="1"/>
  </r>
  <r>
    <x v="5"/>
    <n v="8"/>
    <x v="48"/>
    <x v="2"/>
    <x v="1"/>
    <x v="1"/>
  </r>
  <r>
    <x v="0"/>
    <n v="8"/>
    <x v="49"/>
    <x v="2"/>
    <x v="2"/>
    <x v="1"/>
  </r>
  <r>
    <x v="1"/>
    <n v="3"/>
    <x v="49"/>
    <x v="2"/>
    <x v="2"/>
    <x v="1"/>
  </r>
  <r>
    <x v="2"/>
    <n v="2"/>
    <x v="49"/>
    <x v="2"/>
    <x v="2"/>
    <x v="1"/>
  </r>
  <r>
    <x v="3"/>
    <n v="0"/>
    <x v="49"/>
    <x v="2"/>
    <x v="2"/>
    <x v="1"/>
  </r>
  <r>
    <x v="4"/>
    <n v="1"/>
    <x v="49"/>
    <x v="2"/>
    <x v="2"/>
    <x v="1"/>
  </r>
  <r>
    <x v="5"/>
    <n v="8"/>
    <x v="49"/>
    <x v="2"/>
    <x v="2"/>
    <x v="1"/>
  </r>
  <r>
    <x v="0"/>
    <n v="10"/>
    <x v="50"/>
    <x v="2"/>
    <x v="2"/>
    <x v="1"/>
  </r>
  <r>
    <x v="1"/>
    <n v="1"/>
    <x v="50"/>
    <x v="2"/>
    <x v="2"/>
    <x v="1"/>
  </r>
  <r>
    <x v="2"/>
    <n v="0"/>
    <x v="50"/>
    <x v="2"/>
    <x v="2"/>
    <x v="1"/>
  </r>
  <r>
    <x v="3"/>
    <n v="0"/>
    <x v="50"/>
    <x v="2"/>
    <x v="2"/>
    <x v="1"/>
  </r>
  <r>
    <x v="4"/>
    <n v="4"/>
    <x v="50"/>
    <x v="2"/>
    <x v="2"/>
    <x v="1"/>
  </r>
  <r>
    <x v="5"/>
    <n v="3"/>
    <x v="50"/>
    <x v="2"/>
    <x v="2"/>
    <x v="1"/>
  </r>
  <r>
    <x v="0"/>
    <n v="79"/>
    <x v="51"/>
    <x v="2"/>
    <x v="2"/>
    <x v="1"/>
  </r>
  <r>
    <x v="1"/>
    <n v="9"/>
    <x v="51"/>
    <x v="2"/>
    <x v="2"/>
    <x v="1"/>
  </r>
  <r>
    <x v="2"/>
    <n v="16"/>
    <x v="51"/>
    <x v="2"/>
    <x v="2"/>
    <x v="1"/>
  </r>
  <r>
    <x v="3"/>
    <n v="1"/>
    <x v="51"/>
    <x v="2"/>
    <x v="2"/>
    <x v="1"/>
  </r>
  <r>
    <x v="4"/>
    <n v="1"/>
    <x v="51"/>
    <x v="2"/>
    <x v="2"/>
    <x v="1"/>
  </r>
  <r>
    <x v="5"/>
    <n v="8"/>
    <x v="51"/>
    <x v="2"/>
    <x v="2"/>
    <x v="1"/>
  </r>
  <r>
    <x v="0"/>
    <n v="137"/>
    <x v="52"/>
    <x v="2"/>
    <x v="2"/>
    <x v="1"/>
  </r>
  <r>
    <x v="1"/>
    <n v="17"/>
    <x v="52"/>
    <x v="2"/>
    <x v="2"/>
    <x v="1"/>
  </r>
  <r>
    <x v="2"/>
    <n v="14"/>
    <x v="52"/>
    <x v="2"/>
    <x v="2"/>
    <x v="1"/>
  </r>
  <r>
    <x v="3"/>
    <n v="0"/>
    <x v="52"/>
    <x v="2"/>
    <x v="2"/>
    <x v="1"/>
  </r>
  <r>
    <x v="4"/>
    <n v="17"/>
    <x v="52"/>
    <x v="2"/>
    <x v="2"/>
    <x v="1"/>
  </r>
  <r>
    <x v="5"/>
    <n v="16"/>
    <x v="52"/>
    <x v="2"/>
    <x v="2"/>
    <x v="1"/>
  </r>
  <r>
    <x v="0"/>
    <n v="149"/>
    <x v="53"/>
    <x v="2"/>
    <x v="3"/>
    <x v="1"/>
  </r>
  <r>
    <x v="1"/>
    <n v="10"/>
    <x v="53"/>
    <x v="2"/>
    <x v="3"/>
    <x v="1"/>
  </r>
  <r>
    <x v="2"/>
    <n v="7"/>
    <x v="53"/>
    <x v="2"/>
    <x v="3"/>
    <x v="1"/>
  </r>
  <r>
    <x v="3"/>
    <n v="0"/>
    <x v="53"/>
    <x v="2"/>
    <x v="3"/>
    <x v="1"/>
  </r>
  <r>
    <x v="4"/>
    <n v="0"/>
    <x v="53"/>
    <x v="2"/>
    <x v="3"/>
    <x v="1"/>
  </r>
  <r>
    <x v="5"/>
    <n v="19"/>
    <x v="53"/>
    <x v="2"/>
    <x v="3"/>
    <x v="1"/>
  </r>
  <r>
    <x v="0"/>
    <n v="105"/>
    <x v="54"/>
    <x v="2"/>
    <x v="3"/>
    <x v="1"/>
  </r>
  <r>
    <x v="1"/>
    <n v="18"/>
    <x v="54"/>
    <x v="2"/>
    <x v="3"/>
    <x v="1"/>
  </r>
  <r>
    <x v="2"/>
    <n v="13"/>
    <x v="54"/>
    <x v="2"/>
    <x v="3"/>
    <x v="1"/>
  </r>
  <r>
    <x v="3"/>
    <n v="5"/>
    <x v="54"/>
    <x v="2"/>
    <x v="3"/>
    <x v="1"/>
  </r>
  <r>
    <x v="4"/>
    <n v="5"/>
    <x v="54"/>
    <x v="2"/>
    <x v="3"/>
    <x v="1"/>
  </r>
  <r>
    <x v="5"/>
    <n v="11"/>
    <x v="54"/>
    <x v="2"/>
    <x v="3"/>
    <x v="1"/>
  </r>
  <r>
    <x v="0"/>
    <n v="161"/>
    <x v="55"/>
    <x v="2"/>
    <x v="3"/>
    <x v="1"/>
  </r>
  <r>
    <x v="1"/>
    <n v="16"/>
    <x v="55"/>
    <x v="2"/>
    <x v="3"/>
    <x v="1"/>
  </r>
  <r>
    <x v="2"/>
    <n v="6"/>
    <x v="55"/>
    <x v="2"/>
    <x v="3"/>
    <x v="1"/>
  </r>
  <r>
    <x v="3"/>
    <n v="0"/>
    <x v="55"/>
    <x v="2"/>
    <x v="3"/>
    <x v="1"/>
  </r>
  <r>
    <x v="4"/>
    <n v="0"/>
    <x v="55"/>
    <x v="2"/>
    <x v="3"/>
    <x v="1"/>
  </r>
  <r>
    <x v="5"/>
    <n v="12"/>
    <x v="55"/>
    <x v="2"/>
    <x v="3"/>
    <x v="1"/>
  </r>
  <r>
    <x v="0"/>
    <n v="173"/>
    <x v="56"/>
    <x v="2"/>
    <x v="3"/>
    <x v="1"/>
  </r>
  <r>
    <x v="1"/>
    <n v="15"/>
    <x v="56"/>
    <x v="2"/>
    <x v="3"/>
    <x v="1"/>
  </r>
  <r>
    <x v="2"/>
    <n v="7"/>
    <x v="56"/>
    <x v="2"/>
    <x v="3"/>
    <x v="1"/>
  </r>
  <r>
    <x v="3"/>
    <n v="4"/>
    <x v="56"/>
    <x v="2"/>
    <x v="3"/>
    <x v="1"/>
  </r>
  <r>
    <x v="4"/>
    <n v="0"/>
    <x v="56"/>
    <x v="2"/>
    <x v="3"/>
    <x v="1"/>
  </r>
  <r>
    <x v="5"/>
    <n v="6"/>
    <x v="56"/>
    <x v="2"/>
    <x v="3"/>
    <x v="1"/>
  </r>
  <r>
    <x v="0"/>
    <n v="209"/>
    <x v="57"/>
    <x v="2"/>
    <x v="4"/>
    <x v="1"/>
  </r>
  <r>
    <x v="1"/>
    <n v="17"/>
    <x v="57"/>
    <x v="2"/>
    <x v="4"/>
    <x v="1"/>
  </r>
  <r>
    <x v="2"/>
    <n v="7"/>
    <x v="57"/>
    <x v="2"/>
    <x v="4"/>
    <x v="1"/>
  </r>
  <r>
    <x v="3"/>
    <n v="0"/>
    <x v="57"/>
    <x v="2"/>
    <x v="4"/>
    <x v="1"/>
  </r>
  <r>
    <x v="4"/>
    <n v="0"/>
    <x v="57"/>
    <x v="2"/>
    <x v="4"/>
    <x v="1"/>
  </r>
  <r>
    <x v="5"/>
    <n v="6"/>
    <x v="57"/>
    <x v="2"/>
    <x v="4"/>
    <x v="1"/>
  </r>
  <r>
    <x v="0"/>
    <n v="205"/>
    <x v="58"/>
    <x v="2"/>
    <x v="4"/>
    <x v="1"/>
  </r>
  <r>
    <x v="1"/>
    <n v="25"/>
    <x v="58"/>
    <x v="2"/>
    <x v="4"/>
    <x v="1"/>
  </r>
  <r>
    <x v="2"/>
    <n v="19"/>
    <x v="58"/>
    <x v="2"/>
    <x v="4"/>
    <x v="1"/>
  </r>
  <r>
    <x v="3"/>
    <n v="0"/>
    <x v="58"/>
    <x v="2"/>
    <x v="4"/>
    <x v="1"/>
  </r>
  <r>
    <x v="4"/>
    <n v="11"/>
    <x v="58"/>
    <x v="2"/>
    <x v="4"/>
    <x v="1"/>
  </r>
  <r>
    <x v="5"/>
    <n v="2"/>
    <x v="58"/>
    <x v="2"/>
    <x v="4"/>
    <x v="1"/>
  </r>
  <r>
    <x v="0"/>
    <n v="178"/>
    <x v="59"/>
    <x v="2"/>
    <x v="4"/>
    <x v="1"/>
  </r>
  <r>
    <x v="1"/>
    <n v="26"/>
    <x v="59"/>
    <x v="2"/>
    <x v="4"/>
    <x v="1"/>
  </r>
  <r>
    <x v="2"/>
    <n v="5"/>
    <x v="59"/>
    <x v="2"/>
    <x v="4"/>
    <x v="1"/>
  </r>
  <r>
    <x v="3"/>
    <n v="0"/>
    <x v="59"/>
    <x v="2"/>
    <x v="4"/>
    <x v="1"/>
  </r>
  <r>
    <x v="4"/>
    <n v="0"/>
    <x v="59"/>
    <x v="2"/>
    <x v="4"/>
    <x v="1"/>
  </r>
  <r>
    <x v="5"/>
    <n v="2"/>
    <x v="59"/>
    <x v="2"/>
    <x v="4"/>
    <x v="1"/>
  </r>
  <r>
    <x v="0"/>
    <n v="227"/>
    <x v="60"/>
    <x v="2"/>
    <x v="4"/>
    <x v="1"/>
  </r>
  <r>
    <x v="1"/>
    <n v="30"/>
    <x v="60"/>
    <x v="2"/>
    <x v="4"/>
    <x v="1"/>
  </r>
  <r>
    <x v="2"/>
    <n v="9"/>
    <x v="60"/>
    <x v="2"/>
    <x v="4"/>
    <x v="1"/>
  </r>
  <r>
    <x v="3"/>
    <n v="0"/>
    <x v="60"/>
    <x v="2"/>
    <x v="4"/>
    <x v="1"/>
  </r>
  <r>
    <x v="4"/>
    <n v="0"/>
    <x v="60"/>
    <x v="2"/>
    <x v="4"/>
    <x v="1"/>
  </r>
  <r>
    <x v="5"/>
    <n v="8"/>
    <x v="60"/>
    <x v="2"/>
    <x v="4"/>
    <x v="1"/>
  </r>
  <r>
    <x v="0"/>
    <n v="215"/>
    <x v="61"/>
    <x v="2"/>
    <x v="5"/>
    <x v="1"/>
  </r>
  <r>
    <x v="1"/>
    <n v="17"/>
    <x v="61"/>
    <x v="2"/>
    <x v="5"/>
    <x v="1"/>
  </r>
  <r>
    <x v="2"/>
    <n v="3"/>
    <x v="61"/>
    <x v="2"/>
    <x v="5"/>
    <x v="1"/>
  </r>
  <r>
    <x v="3"/>
    <n v="0"/>
    <x v="61"/>
    <x v="2"/>
    <x v="5"/>
    <x v="1"/>
  </r>
  <r>
    <x v="4"/>
    <n v="0"/>
    <x v="61"/>
    <x v="2"/>
    <x v="5"/>
    <x v="1"/>
  </r>
  <r>
    <x v="5"/>
    <n v="17"/>
    <x v="61"/>
    <x v="2"/>
    <x v="5"/>
    <x v="1"/>
  </r>
  <r>
    <x v="0"/>
    <n v="227"/>
    <x v="62"/>
    <x v="2"/>
    <x v="5"/>
    <x v="1"/>
  </r>
  <r>
    <x v="1"/>
    <n v="7"/>
    <x v="62"/>
    <x v="2"/>
    <x v="5"/>
    <x v="1"/>
  </r>
  <r>
    <x v="2"/>
    <n v="3"/>
    <x v="62"/>
    <x v="2"/>
    <x v="5"/>
    <x v="1"/>
  </r>
  <r>
    <x v="3"/>
    <n v="0"/>
    <x v="62"/>
    <x v="2"/>
    <x v="5"/>
    <x v="1"/>
  </r>
  <r>
    <x v="4"/>
    <n v="0"/>
    <x v="62"/>
    <x v="2"/>
    <x v="5"/>
    <x v="1"/>
  </r>
  <r>
    <x v="5"/>
    <n v="11"/>
    <x v="62"/>
    <x v="2"/>
    <x v="5"/>
    <x v="1"/>
  </r>
  <r>
    <x v="0"/>
    <n v="199"/>
    <x v="63"/>
    <x v="2"/>
    <x v="5"/>
    <x v="1"/>
  </r>
  <r>
    <x v="1"/>
    <n v="7"/>
    <x v="63"/>
    <x v="2"/>
    <x v="5"/>
    <x v="1"/>
  </r>
  <r>
    <x v="2"/>
    <n v="8"/>
    <x v="63"/>
    <x v="2"/>
    <x v="5"/>
    <x v="1"/>
  </r>
  <r>
    <x v="3"/>
    <n v="0"/>
    <x v="63"/>
    <x v="2"/>
    <x v="5"/>
    <x v="1"/>
  </r>
  <r>
    <x v="4"/>
    <n v="0"/>
    <x v="63"/>
    <x v="2"/>
    <x v="5"/>
    <x v="1"/>
  </r>
  <r>
    <x v="5"/>
    <n v="11"/>
    <x v="63"/>
    <x v="2"/>
    <x v="5"/>
    <x v="1"/>
  </r>
  <r>
    <x v="0"/>
    <n v="197"/>
    <x v="64"/>
    <x v="2"/>
    <x v="5"/>
    <x v="1"/>
  </r>
  <r>
    <x v="1"/>
    <n v="20"/>
    <x v="64"/>
    <x v="2"/>
    <x v="5"/>
    <x v="1"/>
  </r>
  <r>
    <x v="2"/>
    <n v="5"/>
    <x v="64"/>
    <x v="2"/>
    <x v="5"/>
    <x v="1"/>
  </r>
  <r>
    <x v="3"/>
    <n v="0"/>
    <x v="64"/>
    <x v="2"/>
    <x v="5"/>
    <x v="1"/>
  </r>
  <r>
    <x v="4"/>
    <n v="0"/>
    <x v="64"/>
    <x v="2"/>
    <x v="5"/>
    <x v="1"/>
  </r>
  <r>
    <x v="5"/>
    <n v="11"/>
    <x v="64"/>
    <x v="2"/>
    <x v="5"/>
    <x v="1"/>
  </r>
  <r>
    <x v="0"/>
    <n v="196"/>
    <x v="65"/>
    <x v="2"/>
    <x v="5"/>
    <x v="1"/>
  </r>
  <r>
    <x v="1"/>
    <n v="5"/>
    <x v="65"/>
    <x v="2"/>
    <x v="5"/>
    <x v="1"/>
  </r>
  <r>
    <x v="2"/>
    <n v="7"/>
    <x v="65"/>
    <x v="2"/>
    <x v="5"/>
    <x v="1"/>
  </r>
  <r>
    <x v="3"/>
    <n v="0"/>
    <x v="65"/>
    <x v="2"/>
    <x v="5"/>
    <x v="1"/>
  </r>
  <r>
    <x v="4"/>
    <n v="0"/>
    <x v="65"/>
    <x v="2"/>
    <x v="5"/>
    <x v="1"/>
  </r>
  <r>
    <x v="5"/>
    <n v="9"/>
    <x v="65"/>
    <x v="2"/>
    <x v="5"/>
    <x v="1"/>
  </r>
  <r>
    <x v="0"/>
    <n v="187"/>
    <x v="66"/>
    <x v="2"/>
    <x v="6"/>
    <x v="1"/>
  </r>
  <r>
    <x v="1"/>
    <n v="4"/>
    <x v="66"/>
    <x v="2"/>
    <x v="6"/>
    <x v="1"/>
  </r>
  <r>
    <x v="2"/>
    <n v="6"/>
    <x v="66"/>
    <x v="2"/>
    <x v="6"/>
    <x v="1"/>
  </r>
  <r>
    <x v="3"/>
    <n v="0"/>
    <x v="66"/>
    <x v="2"/>
    <x v="6"/>
    <x v="1"/>
  </r>
  <r>
    <x v="4"/>
    <n v="0"/>
    <x v="66"/>
    <x v="2"/>
    <x v="6"/>
    <x v="1"/>
  </r>
  <r>
    <x v="5"/>
    <n v="6"/>
    <x v="66"/>
    <x v="2"/>
    <x v="6"/>
    <x v="1"/>
  </r>
  <r>
    <x v="0"/>
    <n v="171"/>
    <x v="67"/>
    <x v="2"/>
    <x v="6"/>
    <x v="1"/>
  </r>
  <r>
    <x v="1"/>
    <n v="4"/>
    <x v="67"/>
    <x v="2"/>
    <x v="6"/>
    <x v="1"/>
  </r>
  <r>
    <x v="2"/>
    <n v="13"/>
    <x v="67"/>
    <x v="2"/>
    <x v="6"/>
    <x v="1"/>
  </r>
  <r>
    <x v="3"/>
    <n v="0"/>
    <x v="67"/>
    <x v="2"/>
    <x v="6"/>
    <x v="1"/>
  </r>
  <r>
    <x v="4"/>
    <n v="0"/>
    <x v="67"/>
    <x v="2"/>
    <x v="6"/>
    <x v="1"/>
  </r>
  <r>
    <x v="5"/>
    <n v="11"/>
    <x v="67"/>
    <x v="2"/>
    <x v="6"/>
    <x v="1"/>
  </r>
  <r>
    <x v="0"/>
    <n v="149"/>
    <x v="68"/>
    <x v="2"/>
    <x v="6"/>
    <x v="1"/>
  </r>
  <r>
    <x v="1"/>
    <n v="8"/>
    <x v="68"/>
    <x v="2"/>
    <x v="6"/>
    <x v="1"/>
  </r>
  <r>
    <x v="2"/>
    <n v="2"/>
    <x v="68"/>
    <x v="2"/>
    <x v="6"/>
    <x v="1"/>
  </r>
  <r>
    <x v="3"/>
    <n v="5"/>
    <x v="68"/>
    <x v="2"/>
    <x v="6"/>
    <x v="1"/>
  </r>
  <r>
    <x v="4"/>
    <n v="0"/>
    <x v="68"/>
    <x v="2"/>
    <x v="6"/>
    <x v="1"/>
  </r>
  <r>
    <x v="5"/>
    <n v="7"/>
    <x v="68"/>
    <x v="2"/>
    <x v="6"/>
    <x v="1"/>
  </r>
  <r>
    <x v="0"/>
    <n v="127"/>
    <x v="69"/>
    <x v="2"/>
    <x v="6"/>
    <x v="1"/>
  </r>
  <r>
    <x v="1"/>
    <n v="9"/>
    <x v="69"/>
    <x v="2"/>
    <x v="6"/>
    <x v="1"/>
  </r>
  <r>
    <x v="2"/>
    <n v="4"/>
    <x v="69"/>
    <x v="2"/>
    <x v="6"/>
    <x v="1"/>
  </r>
  <r>
    <x v="3"/>
    <n v="0"/>
    <x v="69"/>
    <x v="2"/>
    <x v="6"/>
    <x v="1"/>
  </r>
  <r>
    <x v="4"/>
    <n v="0"/>
    <x v="69"/>
    <x v="2"/>
    <x v="6"/>
    <x v="1"/>
  </r>
  <r>
    <x v="5"/>
    <n v="9"/>
    <x v="69"/>
    <x v="2"/>
    <x v="6"/>
    <x v="1"/>
  </r>
  <r>
    <x v="0"/>
    <n v="140"/>
    <x v="70"/>
    <x v="2"/>
    <x v="7"/>
    <x v="0"/>
  </r>
  <r>
    <x v="1"/>
    <n v="1"/>
    <x v="70"/>
    <x v="2"/>
    <x v="7"/>
    <x v="0"/>
  </r>
  <r>
    <x v="2"/>
    <n v="4"/>
    <x v="70"/>
    <x v="2"/>
    <x v="7"/>
    <x v="0"/>
  </r>
  <r>
    <x v="3"/>
    <n v="0"/>
    <x v="70"/>
    <x v="2"/>
    <x v="7"/>
    <x v="0"/>
  </r>
  <r>
    <x v="4"/>
    <n v="0"/>
    <x v="70"/>
    <x v="2"/>
    <x v="7"/>
    <x v="0"/>
  </r>
  <r>
    <x v="5"/>
    <n v="8"/>
    <x v="70"/>
    <x v="2"/>
    <x v="7"/>
    <x v="0"/>
  </r>
  <r>
    <x v="0"/>
    <n v="135"/>
    <x v="71"/>
    <x v="2"/>
    <x v="7"/>
    <x v="0"/>
  </r>
  <r>
    <x v="1"/>
    <n v="5"/>
    <x v="71"/>
    <x v="2"/>
    <x v="7"/>
    <x v="0"/>
  </r>
  <r>
    <x v="2"/>
    <n v="7"/>
    <x v="71"/>
    <x v="2"/>
    <x v="7"/>
    <x v="0"/>
  </r>
  <r>
    <x v="3"/>
    <n v="0"/>
    <x v="71"/>
    <x v="2"/>
    <x v="7"/>
    <x v="0"/>
  </r>
  <r>
    <x v="4"/>
    <n v="0"/>
    <x v="71"/>
    <x v="2"/>
    <x v="7"/>
    <x v="0"/>
  </r>
  <r>
    <x v="5"/>
    <n v="19"/>
    <x v="71"/>
    <x v="2"/>
    <x v="7"/>
    <x v="0"/>
  </r>
  <r>
    <x v="6"/>
    <n v="164"/>
    <x v="71"/>
    <x v="2"/>
    <x v="7"/>
    <x v="0"/>
  </r>
  <r>
    <x v="7"/>
    <n v="20"/>
    <x v="71"/>
    <x v="2"/>
    <x v="7"/>
    <x v="0"/>
  </r>
  <r>
    <x v="8"/>
    <n v="4"/>
    <x v="71"/>
    <x v="2"/>
    <x v="7"/>
    <x v="0"/>
  </r>
  <r>
    <x v="0"/>
    <n v="121"/>
    <x v="72"/>
    <x v="2"/>
    <x v="7"/>
    <x v="0"/>
  </r>
  <r>
    <x v="1"/>
    <n v="3"/>
    <x v="72"/>
    <x v="2"/>
    <x v="7"/>
    <x v="0"/>
  </r>
  <r>
    <x v="2"/>
    <n v="5"/>
    <x v="72"/>
    <x v="2"/>
    <x v="7"/>
    <x v="0"/>
  </r>
  <r>
    <x v="3"/>
    <n v="0"/>
    <x v="72"/>
    <x v="2"/>
    <x v="7"/>
    <x v="0"/>
  </r>
  <r>
    <x v="4"/>
    <n v="0"/>
    <x v="72"/>
    <x v="2"/>
    <x v="7"/>
    <x v="0"/>
  </r>
  <r>
    <x v="5"/>
    <n v="8"/>
    <x v="72"/>
    <x v="2"/>
    <x v="7"/>
    <x v="0"/>
  </r>
  <r>
    <x v="6"/>
    <n v="127"/>
    <x v="72"/>
    <x v="2"/>
    <x v="7"/>
    <x v="0"/>
  </r>
  <r>
    <x v="7"/>
    <n v="15"/>
    <x v="72"/>
    <x v="2"/>
    <x v="7"/>
    <x v="0"/>
  </r>
  <r>
    <x v="8"/>
    <n v="3"/>
    <x v="72"/>
    <x v="2"/>
    <x v="7"/>
    <x v="0"/>
  </r>
  <r>
    <x v="0"/>
    <n v="101"/>
    <x v="73"/>
    <x v="2"/>
    <x v="7"/>
    <x v="0"/>
  </r>
  <r>
    <x v="1"/>
    <n v="6"/>
    <x v="73"/>
    <x v="2"/>
    <x v="7"/>
    <x v="0"/>
  </r>
  <r>
    <x v="2"/>
    <n v="6"/>
    <x v="73"/>
    <x v="2"/>
    <x v="7"/>
    <x v="0"/>
  </r>
  <r>
    <x v="3"/>
    <n v="0"/>
    <x v="73"/>
    <x v="2"/>
    <x v="7"/>
    <x v="0"/>
  </r>
  <r>
    <x v="4"/>
    <n v="0"/>
    <x v="73"/>
    <x v="2"/>
    <x v="7"/>
    <x v="0"/>
  </r>
  <r>
    <x v="5"/>
    <n v="15"/>
    <x v="73"/>
    <x v="2"/>
    <x v="7"/>
    <x v="0"/>
  </r>
  <r>
    <x v="6"/>
    <n v="135"/>
    <x v="73"/>
    <x v="2"/>
    <x v="7"/>
    <x v="0"/>
  </r>
  <r>
    <x v="7"/>
    <n v="1"/>
    <x v="73"/>
    <x v="2"/>
    <x v="7"/>
    <x v="0"/>
  </r>
  <r>
    <x v="8"/>
    <n v="3"/>
    <x v="73"/>
    <x v="2"/>
    <x v="7"/>
    <x v="0"/>
  </r>
  <r>
    <x v="0"/>
    <n v="139"/>
    <x v="74"/>
    <x v="2"/>
    <x v="8"/>
    <x v="0"/>
  </r>
  <r>
    <x v="1"/>
    <n v="4"/>
    <x v="74"/>
    <x v="2"/>
    <x v="8"/>
    <x v="0"/>
  </r>
  <r>
    <x v="2"/>
    <n v="4"/>
    <x v="74"/>
    <x v="2"/>
    <x v="8"/>
    <x v="0"/>
  </r>
  <r>
    <x v="3"/>
    <n v="0"/>
    <x v="74"/>
    <x v="2"/>
    <x v="8"/>
    <x v="0"/>
  </r>
  <r>
    <x v="4"/>
    <n v="0"/>
    <x v="74"/>
    <x v="2"/>
    <x v="8"/>
    <x v="0"/>
  </r>
  <r>
    <x v="5"/>
    <n v="15"/>
    <x v="74"/>
    <x v="2"/>
    <x v="8"/>
    <x v="0"/>
  </r>
  <r>
    <x v="6"/>
    <n v="178"/>
    <x v="74"/>
    <x v="2"/>
    <x v="8"/>
    <x v="0"/>
  </r>
  <r>
    <x v="0"/>
    <n v="135"/>
    <x v="75"/>
    <x v="2"/>
    <x v="8"/>
    <x v="0"/>
  </r>
  <r>
    <x v="1"/>
    <n v="4"/>
    <x v="75"/>
    <x v="2"/>
    <x v="8"/>
    <x v="0"/>
  </r>
  <r>
    <x v="2"/>
    <n v="3"/>
    <x v="75"/>
    <x v="2"/>
    <x v="8"/>
    <x v="0"/>
  </r>
  <r>
    <x v="3"/>
    <n v="0"/>
    <x v="75"/>
    <x v="2"/>
    <x v="8"/>
    <x v="0"/>
  </r>
  <r>
    <x v="4"/>
    <n v="0"/>
    <x v="75"/>
    <x v="2"/>
    <x v="8"/>
    <x v="0"/>
  </r>
  <r>
    <x v="5"/>
    <n v="11"/>
    <x v="75"/>
    <x v="2"/>
    <x v="8"/>
    <x v="0"/>
  </r>
  <r>
    <x v="6"/>
    <n v="157"/>
    <x v="75"/>
    <x v="2"/>
    <x v="8"/>
    <x v="0"/>
  </r>
  <r>
    <x v="0"/>
    <n v="162"/>
    <x v="76"/>
    <x v="2"/>
    <x v="8"/>
    <x v="0"/>
  </r>
  <r>
    <x v="1"/>
    <n v="7"/>
    <x v="76"/>
    <x v="2"/>
    <x v="8"/>
    <x v="0"/>
  </r>
  <r>
    <x v="2"/>
    <n v="14"/>
    <x v="76"/>
    <x v="2"/>
    <x v="8"/>
    <x v="0"/>
  </r>
  <r>
    <x v="3"/>
    <n v="0"/>
    <x v="76"/>
    <x v="2"/>
    <x v="8"/>
    <x v="0"/>
  </r>
  <r>
    <x v="4"/>
    <n v="0"/>
    <x v="76"/>
    <x v="2"/>
    <x v="8"/>
    <x v="0"/>
  </r>
  <r>
    <x v="5"/>
    <n v="13"/>
    <x v="76"/>
    <x v="2"/>
    <x v="8"/>
    <x v="0"/>
  </r>
  <r>
    <x v="6"/>
    <n v="173"/>
    <x v="76"/>
    <x v="2"/>
    <x v="8"/>
    <x v="0"/>
  </r>
  <r>
    <x v="0"/>
    <n v="159"/>
    <x v="77"/>
    <x v="2"/>
    <x v="8"/>
    <x v="0"/>
  </r>
  <r>
    <x v="1"/>
    <n v="8"/>
    <x v="77"/>
    <x v="2"/>
    <x v="8"/>
    <x v="0"/>
  </r>
  <r>
    <x v="2"/>
    <n v="4"/>
    <x v="77"/>
    <x v="2"/>
    <x v="8"/>
    <x v="0"/>
  </r>
  <r>
    <x v="3"/>
    <n v="0"/>
    <x v="77"/>
    <x v="2"/>
    <x v="8"/>
    <x v="0"/>
  </r>
  <r>
    <x v="4"/>
    <n v="0"/>
    <x v="77"/>
    <x v="2"/>
    <x v="8"/>
    <x v="0"/>
  </r>
  <r>
    <x v="5"/>
    <n v="18"/>
    <x v="77"/>
    <x v="2"/>
    <x v="8"/>
    <x v="0"/>
  </r>
  <r>
    <x v="6"/>
    <n v="186"/>
    <x v="77"/>
    <x v="2"/>
    <x v="8"/>
    <x v="0"/>
  </r>
  <r>
    <x v="0"/>
    <n v="135"/>
    <x v="78"/>
    <x v="2"/>
    <x v="8"/>
    <x v="0"/>
  </r>
  <r>
    <x v="1"/>
    <n v="5"/>
    <x v="78"/>
    <x v="2"/>
    <x v="8"/>
    <x v="0"/>
  </r>
  <r>
    <x v="2"/>
    <n v="4"/>
    <x v="78"/>
    <x v="2"/>
    <x v="8"/>
    <x v="0"/>
  </r>
  <r>
    <x v="3"/>
    <n v="0"/>
    <x v="78"/>
    <x v="2"/>
    <x v="8"/>
    <x v="0"/>
  </r>
  <r>
    <x v="4"/>
    <n v="0"/>
    <x v="78"/>
    <x v="2"/>
    <x v="8"/>
    <x v="0"/>
  </r>
  <r>
    <x v="5"/>
    <n v="33"/>
    <x v="78"/>
    <x v="2"/>
    <x v="8"/>
    <x v="0"/>
  </r>
  <r>
    <x v="6"/>
    <n v="172"/>
    <x v="78"/>
    <x v="2"/>
    <x v="8"/>
    <x v="0"/>
  </r>
  <r>
    <x v="0"/>
    <n v="185"/>
    <x v="79"/>
    <x v="2"/>
    <x v="9"/>
    <x v="0"/>
  </r>
  <r>
    <x v="1"/>
    <n v="2"/>
    <x v="79"/>
    <x v="2"/>
    <x v="9"/>
    <x v="0"/>
  </r>
  <r>
    <x v="2"/>
    <n v="3"/>
    <x v="79"/>
    <x v="2"/>
    <x v="9"/>
    <x v="0"/>
  </r>
  <r>
    <x v="3"/>
    <n v="0"/>
    <x v="79"/>
    <x v="2"/>
    <x v="9"/>
    <x v="0"/>
  </r>
  <r>
    <x v="4"/>
    <n v="0"/>
    <x v="79"/>
    <x v="2"/>
    <x v="9"/>
    <x v="0"/>
  </r>
  <r>
    <x v="5"/>
    <n v="18"/>
    <x v="79"/>
    <x v="2"/>
    <x v="9"/>
    <x v="0"/>
  </r>
  <r>
    <x v="6"/>
    <n v="195"/>
    <x v="79"/>
    <x v="2"/>
    <x v="9"/>
    <x v="0"/>
  </r>
  <r>
    <x v="0"/>
    <n v="190"/>
    <x v="80"/>
    <x v="2"/>
    <x v="9"/>
    <x v="0"/>
  </r>
  <r>
    <x v="1"/>
    <n v="3"/>
    <x v="80"/>
    <x v="2"/>
    <x v="9"/>
    <x v="0"/>
  </r>
  <r>
    <x v="2"/>
    <n v="7"/>
    <x v="80"/>
    <x v="2"/>
    <x v="9"/>
    <x v="0"/>
  </r>
  <r>
    <x v="3"/>
    <n v="0"/>
    <x v="80"/>
    <x v="2"/>
    <x v="9"/>
    <x v="0"/>
  </r>
  <r>
    <x v="4"/>
    <n v="0"/>
    <x v="80"/>
    <x v="2"/>
    <x v="9"/>
    <x v="0"/>
  </r>
  <r>
    <x v="5"/>
    <n v="29"/>
    <x v="80"/>
    <x v="2"/>
    <x v="9"/>
    <x v="0"/>
  </r>
  <r>
    <x v="6"/>
    <n v="196"/>
    <x v="80"/>
    <x v="2"/>
    <x v="9"/>
    <x v="0"/>
  </r>
  <r>
    <x v="0"/>
    <n v="142"/>
    <x v="81"/>
    <x v="2"/>
    <x v="9"/>
    <x v="0"/>
  </r>
  <r>
    <x v="1"/>
    <n v="1"/>
    <x v="81"/>
    <x v="2"/>
    <x v="9"/>
    <x v="0"/>
  </r>
  <r>
    <x v="2"/>
    <n v="4"/>
    <x v="81"/>
    <x v="2"/>
    <x v="9"/>
    <x v="0"/>
  </r>
  <r>
    <x v="3"/>
    <n v="9"/>
    <x v="81"/>
    <x v="2"/>
    <x v="9"/>
    <x v="0"/>
  </r>
  <r>
    <x v="4"/>
    <n v="6"/>
    <x v="81"/>
    <x v="2"/>
    <x v="9"/>
    <x v="0"/>
  </r>
  <r>
    <x v="5"/>
    <n v="26"/>
    <x v="81"/>
    <x v="2"/>
    <x v="9"/>
    <x v="0"/>
  </r>
  <r>
    <x v="6"/>
    <n v="202"/>
    <x v="81"/>
    <x v="2"/>
    <x v="9"/>
    <x v="0"/>
  </r>
  <r>
    <x v="0"/>
    <n v="157"/>
    <x v="82"/>
    <x v="2"/>
    <x v="9"/>
    <x v="0"/>
  </r>
  <r>
    <x v="1"/>
    <n v="1"/>
    <x v="82"/>
    <x v="2"/>
    <x v="9"/>
    <x v="0"/>
  </r>
  <r>
    <x v="2"/>
    <n v="2"/>
    <x v="82"/>
    <x v="2"/>
    <x v="9"/>
    <x v="0"/>
  </r>
  <r>
    <x v="3"/>
    <n v="0"/>
    <x v="82"/>
    <x v="2"/>
    <x v="9"/>
    <x v="0"/>
  </r>
  <r>
    <x v="4"/>
    <n v="0"/>
    <x v="82"/>
    <x v="2"/>
    <x v="9"/>
    <x v="0"/>
  </r>
  <r>
    <x v="5"/>
    <n v="26"/>
    <x v="82"/>
    <x v="2"/>
    <x v="9"/>
    <x v="0"/>
  </r>
  <r>
    <x v="6"/>
    <n v="198"/>
    <x v="82"/>
    <x v="2"/>
    <x v="9"/>
    <x v="0"/>
  </r>
  <r>
    <x v="0"/>
    <n v="185"/>
    <x v="83"/>
    <x v="2"/>
    <x v="10"/>
    <x v="0"/>
  </r>
  <r>
    <x v="1"/>
    <n v="12"/>
    <x v="83"/>
    <x v="2"/>
    <x v="10"/>
    <x v="0"/>
  </r>
  <r>
    <x v="2"/>
    <n v="3"/>
    <x v="83"/>
    <x v="2"/>
    <x v="10"/>
    <x v="0"/>
  </r>
  <r>
    <x v="3"/>
    <n v="0"/>
    <x v="83"/>
    <x v="2"/>
    <x v="10"/>
    <x v="0"/>
  </r>
  <r>
    <x v="4"/>
    <n v="0"/>
    <x v="83"/>
    <x v="2"/>
    <x v="10"/>
    <x v="0"/>
  </r>
  <r>
    <x v="5"/>
    <n v="24"/>
    <x v="83"/>
    <x v="2"/>
    <x v="10"/>
    <x v="0"/>
  </r>
  <r>
    <x v="6"/>
    <n v="239"/>
    <x v="83"/>
    <x v="2"/>
    <x v="10"/>
    <x v="0"/>
  </r>
  <r>
    <x v="0"/>
    <n v="212"/>
    <x v="84"/>
    <x v="2"/>
    <x v="10"/>
    <x v="0"/>
  </r>
  <r>
    <x v="1"/>
    <n v="4"/>
    <x v="84"/>
    <x v="2"/>
    <x v="10"/>
    <x v="0"/>
  </r>
  <r>
    <x v="2"/>
    <n v="13"/>
    <x v="84"/>
    <x v="2"/>
    <x v="10"/>
    <x v="0"/>
  </r>
  <r>
    <x v="3"/>
    <n v="0"/>
    <x v="84"/>
    <x v="2"/>
    <x v="10"/>
    <x v="0"/>
  </r>
  <r>
    <x v="4"/>
    <n v="0"/>
    <x v="84"/>
    <x v="2"/>
    <x v="10"/>
    <x v="0"/>
  </r>
  <r>
    <x v="5"/>
    <n v="44"/>
    <x v="84"/>
    <x v="2"/>
    <x v="10"/>
    <x v="0"/>
  </r>
  <r>
    <x v="0"/>
    <n v="267"/>
    <x v="85"/>
    <x v="2"/>
    <x v="10"/>
    <x v="0"/>
  </r>
  <r>
    <x v="1"/>
    <n v="8"/>
    <x v="85"/>
    <x v="2"/>
    <x v="10"/>
    <x v="0"/>
  </r>
  <r>
    <x v="2"/>
    <n v="3"/>
    <x v="85"/>
    <x v="2"/>
    <x v="10"/>
    <x v="0"/>
  </r>
  <r>
    <x v="3"/>
    <n v="0"/>
    <x v="85"/>
    <x v="2"/>
    <x v="10"/>
    <x v="0"/>
  </r>
  <r>
    <x v="4"/>
    <n v="0"/>
    <x v="85"/>
    <x v="2"/>
    <x v="10"/>
    <x v="0"/>
  </r>
  <r>
    <x v="5"/>
    <n v="38"/>
    <x v="85"/>
    <x v="2"/>
    <x v="10"/>
    <x v="0"/>
  </r>
  <r>
    <x v="6"/>
    <n v="302"/>
    <x v="85"/>
    <x v="2"/>
    <x v="1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09964-44DD-4823-BF28-2390E30633DE}" name="Planejado_vs_Executado_01B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chartFormat="8">
  <location ref="D3:E7" firstHeaderRow="1" firstDataRow="1" firstDataCol="1"/>
  <pivotFields count="6">
    <pivotField axis="axisRow" showAll="0" measureFilter="1">
      <items count="12">
        <item x="0"/>
        <item x="1"/>
        <item x="2"/>
        <item x="4"/>
        <item x="3"/>
        <item x="5"/>
        <item h="1" x="6"/>
        <item h="1" x="7"/>
        <item h="1" x="8"/>
        <item h="1" m="1" x="10"/>
        <item h="1" m="1" x="9"/>
        <item t="default"/>
      </items>
    </pivotField>
    <pivotField dataField="1" numFmtId="1" showAll="0"/>
    <pivotField numFmtId="14" showAll="0">
      <items count="8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x="85"/>
        <item t="default"/>
      </items>
    </pivotField>
    <pivotField numFmtId="49" showAll="0"/>
    <pivotField showAll="0"/>
    <pivotField showAll="0"/>
  </pivotFields>
  <rowFields count="1">
    <field x="0"/>
  </rowFields>
  <rowItems count="4">
    <i>
      <x/>
    </i>
    <i>
      <x v="1"/>
    </i>
    <i>
      <x v="2"/>
    </i>
    <i>
      <x v="5"/>
    </i>
  </rowItems>
  <colItems count="1">
    <i/>
  </colItems>
  <dataFields count="1">
    <dataField name="Soma de Contagem" fld="1" showDataAs="percentOfTotal" baseField="0" baseItem="0" numFmtId="10"/>
  </dataFields>
  <chartFormats count="1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DE3FE1-A93C-4DA6-908B-454E9B7E224F}" name="Planejado_vs_Executado_01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chartFormat="18">
  <location ref="A3:B7" firstHeaderRow="1" firstDataRow="1" firstDataCol="1"/>
  <pivotFields count="6">
    <pivotField axis="axisRow" showAll="0" measureFilter="1">
      <items count="12">
        <item h="1" x="6"/>
        <item h="1" x="7"/>
        <item h="1" x="8"/>
        <item x="0"/>
        <item x="1"/>
        <item x="2"/>
        <item x="4"/>
        <item x="3"/>
        <item x="5"/>
        <item h="1" m="1" x="10"/>
        <item h="1" m="1" x="9"/>
        <item t="default"/>
      </items>
    </pivotField>
    <pivotField dataField="1" numFmtId="1" showAll="0"/>
    <pivotField numFmtId="14" showAll="0">
      <items count="8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x="85"/>
        <item t="default"/>
      </items>
    </pivotField>
    <pivotField numFmtId="49" showAll="0"/>
    <pivotField showAll="0"/>
    <pivotField showAll="0"/>
  </pivotFields>
  <rowFields count="1">
    <field x="0"/>
  </rowFields>
  <rowItems count="4">
    <i>
      <x v="3"/>
    </i>
    <i>
      <x v="4"/>
    </i>
    <i>
      <x v="5"/>
    </i>
    <i>
      <x v="8"/>
    </i>
  </rowItems>
  <colItems count="1">
    <i/>
  </colItems>
  <dataFields count="1">
    <dataField name="Soma de Contagem" fld="1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2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27C58-7B35-496A-B792-8FBBE5DB4432}" name="Tabela dinâmica5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chartFormat="12">
  <location ref="G29:N31" firstHeaderRow="1" firstDataRow="2" firstDataCol="1"/>
  <pivotFields count="6">
    <pivotField axis="axisCol" showAll="0" measureFilter="1">
      <items count="12">
        <item x="6"/>
        <item x="0"/>
        <item x="1"/>
        <item x="2"/>
        <item x="5"/>
        <item x="4"/>
        <item x="3"/>
        <item h="1" x="7"/>
        <item h="1" x="8"/>
        <item h="1" m="1" x="10"/>
        <item h="1" m="1" x="9"/>
        <item t="default"/>
      </items>
    </pivotField>
    <pivotField dataField="1" numFmtId="1" showAll="0"/>
    <pivotField numFmtId="14" showAll="0"/>
    <pivotField numFmtId="49" showAll="0">
      <items count="4">
        <item h="1" x="0"/>
        <item h="1" x="1"/>
        <item x="2"/>
        <item t="default"/>
      </items>
    </pivotField>
    <pivotField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>
      <items count="4">
        <item h="1" x="1"/>
        <item x="0"/>
        <item h="1" m="1" x="2"/>
        <item t="default"/>
      </items>
    </pivotField>
  </pivotFields>
  <rowItems count="1">
    <i/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ntagem Anual" fld="1" baseField="0" baseItem="0"/>
  </dataFields>
  <chartFormats count="25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1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1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1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2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D3029-58DB-44EE-8C7D-76EC0BD03C79}" name="Tabela dinâmica3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chartFormat="22">
  <location ref="G3:L5" firstHeaderRow="1" firstDataRow="2" firstDataCol="1"/>
  <pivotFields count="6">
    <pivotField axis="axisCol" showAll="0" measureFilter="1">
      <items count="12">
        <item x="6"/>
        <item h="1" x="7"/>
        <item h="1" x="8"/>
        <item x="0"/>
        <item x="1"/>
        <item x="2"/>
        <item x="4"/>
        <item x="3"/>
        <item x="5"/>
        <item h="1" m="1" x="10"/>
        <item h="1" m="1" x="9"/>
        <item t="default"/>
      </items>
    </pivotField>
    <pivotField dataField="1" numFmtId="1" showAll="0"/>
    <pivotField numFmtId="14" showAll="0">
      <items count="8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x="85"/>
        <item t="default"/>
      </items>
    </pivotField>
    <pivotField numFmtId="49" showAll="0"/>
    <pivotField showAll="0"/>
    <pivotField showAll="0"/>
  </pivotFields>
  <rowItems count="1">
    <i/>
  </rowItems>
  <colFields count="1">
    <field x="0"/>
  </colFields>
  <colItems count="5">
    <i>
      <x/>
    </i>
    <i>
      <x v="3"/>
    </i>
    <i>
      <x v="4"/>
    </i>
    <i>
      <x v="5"/>
    </i>
    <i>
      <x v="8"/>
    </i>
  </colItems>
  <dataFields count="1">
    <dataField name="Soma de Contagem" fld="1" baseField="0" baseItem="0"/>
  </dataFields>
  <chartFormats count="2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9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1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1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1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1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1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1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9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1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1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9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9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1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1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1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2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89EF5-19A7-4955-8BFE-C5CD2A7A3765}" name="Planejado_vs_Executado_02B" cacheId="1" dataOnRows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chartFormat="6">
  <location ref="D29:E35" firstHeaderRow="1" firstDataRow="1" firstDataCol="1"/>
  <pivotFields count="6">
    <pivotField axis="axisRow" multipleItemSelectionAllowed="1" showAll="0" measureFilter="1">
      <items count="12">
        <item x="0"/>
        <item x="1"/>
        <item x="2"/>
        <item x="4"/>
        <item x="3"/>
        <item x="5"/>
        <item h="1" x="6"/>
        <item h="1" x="7"/>
        <item h="1" x="8"/>
        <item h="1" m="1" x="10"/>
        <item h="1" m="1" x="9"/>
        <item t="default"/>
      </items>
    </pivotField>
    <pivotField dataField="1" numFmtId="1" showAll="0"/>
    <pivotField numFmtId="14" showAll="0"/>
    <pivotField numFmtId="49" showAll="0">
      <items count="4">
        <item h="1" x="0"/>
        <item h="1" x="1"/>
        <item x="2"/>
        <item t="default"/>
      </items>
    </pivotField>
    <pivotField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>
      <items count="4">
        <item h="1" x="1"/>
        <item x="0"/>
        <item h="1" m="1" x="2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Percentual Anual" fld="1" showDataAs="percentOfTotal" baseField="0" baseItem="0" numFmtId="10"/>
  </dataFields>
  <chartFormats count="8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" type="captionGreaterThan" evalOrder="-1" id="4" stringValue1="0,1">
      <autoFilter ref="A1">
        <filterColumn colId="0">
          <customFilters>
            <customFilter operator="greaterThan" val="0.1"/>
          </customFilters>
        </filterColumn>
      </autoFilter>
    </filter>
    <filter fld="0" type="valueGreaterThan" evalOrder="-1" id="5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512D5-C429-4DD8-BCE7-B6C4706C4AA4}" name="Planejado_vs_Executado_02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chartFormat="7">
  <location ref="A29:B36" firstHeaderRow="1" firstDataRow="1" firstDataCol="1"/>
  <pivotFields count="6">
    <pivotField axis="axisRow" showAll="0" measureFilter="1">
      <items count="12">
        <item x="6"/>
        <item x="0"/>
        <item x="1"/>
        <item x="2"/>
        <item x="5"/>
        <item x="4"/>
        <item x="3"/>
        <item h="1" x="7"/>
        <item h="1" x="8"/>
        <item h="1" m="1" x="10"/>
        <item h="1" m="1" x="9"/>
        <item t="default"/>
      </items>
    </pivotField>
    <pivotField dataField="1" numFmtId="1" showAll="0"/>
    <pivotField numFmtId="14" showAll="0"/>
    <pivotField numFmtId="49" showAll="0">
      <items count="4">
        <item h="1" x="0"/>
        <item h="1" x="1"/>
        <item x="2"/>
        <item t="default"/>
      </items>
    </pivotField>
    <pivotField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>
      <items count="4">
        <item h="1" x="1"/>
        <item x="0"/>
        <item h="1" m="1" x="2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ntagem Anual" fld="1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2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CEC79-4153-4CB7-B2C2-F588B5A726A6}" name="Analise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1">
  <location ref="A3:B9" firstHeaderRow="1" firstDataRow="1" firstDataCol="1"/>
  <pivotFields count="6">
    <pivotField axis="axisRow" showAll="0">
      <items count="7">
        <item x="4"/>
        <item x="2"/>
        <item x="3"/>
        <item x="0"/>
        <item x="1"/>
        <item x="5"/>
        <item t="default"/>
      </items>
    </pivotField>
    <pivotField dataField="1" showAll="0"/>
    <pivotField numFmtId="9" showAll="0"/>
    <pivotField numFmtId="14" showAl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m="1" x="72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76"/>
        <item m="1" x="71"/>
        <item m="1" x="73"/>
        <item m="1" x="74"/>
        <item m="1" x="75"/>
        <item m="1" x="77"/>
        <item t="default"/>
      </items>
    </pivotField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Porcentagem Semanal" fld="1" showDataAs="percentOfTotal" baseField="0" baseItem="0" numFmtId="10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16501-5322-471A-B51B-95D5C9508C43}" name="Analise1b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6">
  <location ref="D3:E9" firstHeaderRow="1" firstDataRow="1" firstDataCol="1"/>
  <pivotFields count="6">
    <pivotField axis="axisRow" showAll="0">
      <items count="7">
        <item x="4"/>
        <item x="2"/>
        <item x="3"/>
        <item x="0"/>
        <item x="1"/>
        <item x="5"/>
        <item t="default"/>
      </items>
    </pivotField>
    <pivotField dataField="1" showAll="0"/>
    <pivotField numFmtId="9" showAll="0"/>
    <pivotField numFmtId="14" showAl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m="1" x="72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76"/>
        <item m="1" x="71"/>
        <item m="1" x="73"/>
        <item m="1" x="74"/>
        <item m="1" x="75"/>
        <item m="1" x="77"/>
        <item t="default"/>
      </items>
    </pivotField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ntagem Semanal" fld="1" baseField="0" baseItem="0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792C1-4636-4743-87FC-1B28A223666C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9">
  <location ref="A11:B17" firstHeaderRow="1" firstDataRow="1" firstDataCol="1"/>
  <pivotFields count="6">
    <pivotField axis="axisRow" showAll="0">
      <items count="7">
        <item x="4"/>
        <item x="2"/>
        <item x="3"/>
        <item x="0"/>
        <item x="1"/>
        <item x="5"/>
        <item t="default"/>
      </items>
    </pivotField>
    <pivotField dataField="1" showAll="0"/>
    <pivotField numFmtId="9" showAll="0"/>
    <pivotField numFmtId="14" showAll="0"/>
    <pivotField showAll="0">
      <items count="4">
        <item h="1" x="0"/>
        <item h="1" x="1"/>
        <item x="2"/>
        <item t="default"/>
      </items>
    </pivotField>
    <pivotField showAll="0">
      <items count="3">
        <item h="1" x="1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Percentual Anual" fld="1" showDataAs="percentOfTotal" baseField="0" baseItem="0" numFmtId="10"/>
  </dataFields>
  <chartFormats count="15">
    <chartFormat chart="8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6387D-8D24-4904-98B4-5D6E0D540FE1}" name="Analise2b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9">
  <location ref="A3:B9" firstHeaderRow="1" firstDataRow="1" firstDataCol="1"/>
  <pivotFields count="6">
    <pivotField axis="axisRow" showAll="0">
      <items count="7">
        <item x="4"/>
        <item x="2"/>
        <item x="3"/>
        <item x="0"/>
        <item x="1"/>
        <item x="5"/>
        <item t="default"/>
      </items>
    </pivotField>
    <pivotField dataField="1" showAll="0"/>
    <pivotField numFmtId="9" showAll="0"/>
    <pivotField numFmtId="14" showAll="0"/>
    <pivotField showAll="0">
      <items count="4">
        <item h="1" x="0"/>
        <item h="1" x="1"/>
        <item x="2"/>
        <item t="default"/>
      </items>
    </pivotField>
    <pivotField showAll="0">
      <items count="3">
        <item h="1" x="1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ntagem Anual" fld="1" baseField="0" baseItem="0"/>
  </dataFields>
  <chartFormats count="7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0D70813-4B40-4340-9C3F-4F6138461CAC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Parametros" tableColumnId="5"/>
      <queryTableField id="2" name="Contagem" tableColumnId="2"/>
      <queryTableField id="3" name="Porcentagem" tableColumnId="3"/>
      <queryTableField id="4" name="Semana" tableColumnId="4"/>
      <queryTableField id="5" dataBound="0" tableColumnId="6"/>
      <queryTableField id="6" dataBound="0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mana" xr10:uid="{D18ECCBE-5029-40A2-B388-05BD93E94411}" sourceName="Semana">
  <pivotTables>
    <pivotTable tabId="152" name="Analise1b"/>
    <pivotTable tabId="152" name="Analise1"/>
  </pivotTables>
  <data>
    <tabular pivotCacheId="1320998231">
      <items count="78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2" s="1" nd="1"/>
        <i x="76" s="1" nd="1"/>
        <i x="71" s="1" nd="1"/>
        <i x="73" s="1" nd="1"/>
        <i x="74" s="1" nd="1"/>
        <i x="75" s="1" nd="1"/>
        <i x="7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970FDD55-A082-461A-8F3F-C758A47CF4AC}" sourceName="Ano">
  <pivotTables>
    <pivotTable tabId="153" name="Analise2b"/>
    <pivotTable tabId="153" name="Tabela dinâmica1"/>
  </pivotTables>
  <data>
    <tabular pivotCacheId="1320998231">
      <items count="3">
        <i x="0"/>
        <i x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eriodo" xr10:uid="{0923DA4B-1AA2-4C4F-94DC-0DBEF86BB071}" sourceName="Periodo">
  <pivotTables>
    <pivotTable tabId="153" name="Analise2b"/>
    <pivotTable tabId="153" name="Tabela dinâmica1"/>
  </pivotTables>
  <data>
    <tabular pivotCacheId="1320998231">
      <items count="2">
        <i x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mana1" xr10:uid="{F5273292-091B-4A3C-8AA7-029DCD87848F}" sourceName="Semana">
  <pivotTables>
    <pivotTable tabId="158" name="Planejado_vs_Executado_01"/>
    <pivotTable tabId="158" name="Planejado_vs_Executado_01B"/>
    <pivotTable tabId="158" name="Tabela dinâmica3"/>
  </pivotTables>
  <data>
    <tabular pivotCacheId="527281791">
      <items count="86">
        <i x="0"/>
        <i x="1"/>
        <i x="2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/>
        <i x="32"/>
        <i x="33"/>
        <i x="34"/>
        <i x="35"/>
        <i x="36"/>
        <i x="37"/>
        <i x="38"/>
        <i x="39"/>
        <i x="40"/>
        <i x="41"/>
        <i x="42"/>
        <i x="43"/>
        <i x="44"/>
        <i x="45"/>
        <i x="46"/>
        <i x="47"/>
        <i x="48"/>
        <i x="49"/>
        <i x="50"/>
        <i x="51"/>
        <i x="52"/>
        <i x="53"/>
        <i x="54"/>
        <i x="55"/>
        <i x="56"/>
        <i x="57"/>
        <i x="58"/>
        <i x="59"/>
        <i x="60"/>
        <i x="61"/>
        <i x="62"/>
        <i x="63"/>
        <i x="64"/>
        <i x="65"/>
        <i x="66"/>
        <i x="67"/>
        <i x="68"/>
        <i x="69"/>
        <i x="70"/>
        <i x="71"/>
        <i x="72"/>
        <i x="73"/>
        <i x="74"/>
        <i x="75"/>
        <i x="76"/>
        <i x="77"/>
        <i x="78"/>
        <i x="79"/>
        <i x="80"/>
        <i x="81"/>
        <i x="82"/>
        <i x="83"/>
        <i x="84"/>
        <i x="85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9B29AFAA-5885-441B-82F7-C9B03B85A7DC}" sourceName="Ano">
  <pivotTables>
    <pivotTable tabId="158" name="Planejado_vs_Executado_02B"/>
    <pivotTable tabId="158" name="Planejado_vs_Executado_02"/>
    <pivotTable tabId="158" name="Tabela dinâmica5"/>
  </pivotTables>
  <data>
    <tabular pivotCacheId="527281791">
      <items count="3">
        <i x="0"/>
        <i x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eriodo1" xr10:uid="{76926C01-C8A9-4B06-8DA8-14D362D7B244}" sourceName="Periodo">
  <pivotTables>
    <pivotTable tabId="158" name="Planejado_vs_Executado_02B"/>
    <pivotTable tabId="158" name="Planejado_vs_Executado_02"/>
    <pivotTable tabId="158" name="Tabela dinâmica5"/>
  </pivotTables>
  <data>
    <tabular pivotCacheId="527281791">
      <items count="3">
        <i x="1"/>
        <i x="0" s="1"/>
        <i x="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11F01B97-D3AD-446B-A139-B7B842A24FCD}" sourceName="Mês">
  <pivotTables>
    <pivotTable tabId="158" name="Tabela dinâmica5"/>
    <pivotTable tabId="158" name="Planejado_vs_Executado_02"/>
    <pivotTable tabId="158" name="Planejado_vs_Executado_02B"/>
  </pivotTables>
  <data>
    <tabular pivotCacheId="527281791">
      <items count="12">
        <i x="7" s="1"/>
        <i x="8" s="1"/>
        <i x="9" s="1"/>
        <i x="10" s="1"/>
        <i x="1" s="1" nd="1"/>
        <i x="2" s="1" nd="1"/>
        <i x="3" s="1" nd="1"/>
        <i x="4" s="1" nd="1"/>
        <i x="5" s="1" nd="1"/>
        <i x="6" s="1" nd="1"/>
        <i x="11" s="1" nd="1"/>
        <i x="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mana 1" xr10:uid="{D1F06D2B-4837-4590-93C7-B9C2F95A15A5}" cache="SegmentaçãodeDados_Semana1" caption="Semana" startItem="75" rowHeight="241300"/>
  <slicer name="Ano 2" xr10:uid="{D5AD8DB3-3572-42B0-BD19-4C55C67B9DCF}" cache="SegmentaçãodeDados_Ano1" caption="Ano" rowHeight="241300"/>
  <slicer name="Periodo 2" xr10:uid="{269D84BA-5B82-4834-A326-BD1D1024FD3A}" cache="SegmentaçãodeDados_Periodo1" caption="Periodo" rowHeight="241300"/>
  <slicer name="Mês" xr10:uid="{BDADDAB0-34D4-4C84-A8A1-18FA3D0C0327}" cache="SegmentaçãodeDados_Mês" caption="Mês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mana" xr10:uid="{46158D16-7FB8-42FC-9BA7-7400B405782F}" cache="SegmentaçãodeDados_Semana" caption="Semana" startItem="62" style="Estilo de Segmentação de Dados 1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0A0EC074-3919-4A72-B327-CD5EA42FAADB}" cache="SegmentaçãodeDados_Ano" caption="Ano" style="Estilo de Segmentação de Dados 1" rowHeight="241300"/>
  <slicer name="Periodo" xr10:uid="{AC028356-3F35-4F98-A555-95B99B4E8604}" cache="SegmentaçãodeDados_Periodo" caption="Periodo" style="Estilo de Segmentação de Dados 1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mana 2" xr10:uid="{5F979192-8EE0-4772-88C2-76E5AEA87946}" cache="SegmentaçãodeDados_Semana1" caption="Semana" startItem="69" showCaption="0" style="Estilo de Segmentação de Dados 1 2" rowHeight="241300"/>
  <slicer name="Ano 3" xr10:uid="{0EF33473-7A14-414A-8166-2EE2F58C0373}" cache="SegmentaçãodeDados_Ano1" caption="Ano" style="Estilo de Segmentação de Dados 1 2" rowHeight="241300"/>
  <slicer name="Periodo 3" xr10:uid="{C8EB33DF-F297-4C09-90B2-0FC2C9F08BBF}" cache="SegmentaçãodeDados_Periodo1" caption="Periodo" style="Estilo de Segmentação de Dados 1 2" rowHeight="241300"/>
  <slicer name="Mês 1" xr10:uid="{63610E8C-8F75-4AFC-BE1D-798720326DB5}" cache="SegmentaçãodeDados_Mês" caption="Mês" style="Estilo de Segmentação de Dados 1 2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63F607-C418-4D1D-8CD4-2920949BB7B3}" name="Base_de_Dados" displayName="Base_de_Dados" ref="A1:F427" tableType="queryTable" totalsRowShown="0">
  <autoFilter ref="A1:F427" xr:uid="{A663F607-C418-4D1D-8CD4-2920949BB7B3}"/>
  <sortState xmlns:xlrd2="http://schemas.microsoft.com/office/spreadsheetml/2017/richdata2" ref="A2:F427">
    <sortCondition ref="D1:D426"/>
  </sortState>
  <tableColumns count="6">
    <tableColumn id="5" xr3:uid="{4A61901D-7F2A-46B9-A7CF-DA4DB3423E70}" uniqueName="5" name="Parametros" queryTableFieldId="1" dataDxfId="2158"/>
    <tableColumn id="2" xr3:uid="{A8A86C14-25C7-41B9-B799-C82A1DDB5608}" uniqueName="2" name="Contagem" queryTableFieldId="2"/>
    <tableColumn id="3" xr3:uid="{7AF0518F-AE58-4705-95A5-F528C78F35AE}" uniqueName="3" name="Porcentagem" queryTableFieldId="3" dataDxfId="2157" dataCellStyle="Porcentagem"/>
    <tableColumn id="4" xr3:uid="{FC6D56AC-9C14-4F51-8561-57AF1C7B3D98}" uniqueName="4" name="Semana" queryTableFieldId="4" dataDxfId="2156"/>
    <tableColumn id="6" xr3:uid="{FCD8B720-52B1-42AD-A111-758AA470A471}" uniqueName="6" name="Ano" queryTableFieldId="5"/>
    <tableColumn id="7" xr3:uid="{7FA16CDD-3A50-417F-BA39-E2C086373208}" uniqueName="7" name="Periodo" queryTableFieldId="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CC0692-E624-44C4-81CB-5BAB458415B7}" name="Tabela2" displayName="Tabela2" ref="A1:F537" totalsRowShown="0">
  <autoFilter ref="A1:F537" xr:uid="{87CC0692-E624-44C4-81CB-5BAB458415B7}"/>
  <tableColumns count="6">
    <tableColumn id="1" xr3:uid="{D66842E5-02BF-4921-B755-85B46A4B38C9}" name="Parâmetros" dataDxfId="5"/>
    <tableColumn id="2" xr3:uid="{B813750E-828C-4070-9B46-850C1FED5886}" name="Contagem" dataDxfId="4"/>
    <tableColumn id="4" xr3:uid="{4246F0CC-6DE0-4F7A-930C-5B0B3F1BC5FB}" name="Semana" dataDxfId="3"/>
    <tableColumn id="5" xr3:uid="{2C21B5E1-848D-4889-9DC5-F22B5B0AB191}" name="Ano" dataDxfId="2">
      <calculatedColumnFormula>YEAR((C2))</calculatedColumnFormula>
    </tableColumn>
    <tableColumn id="3" xr3:uid="{AE6F932C-98E7-44FE-B64C-DCBBF30915B5}" name="Mês" dataDxfId="1">
      <calculatedColumnFormula>TEXT(Tabela2[[#This Row],[Semana]],"mmmm")</calculatedColumnFormula>
    </tableColumn>
    <tableColumn id="6" xr3:uid="{D101CD9F-88B7-4036-9B96-22237C7CEB46}" name="Periodo" dataDxfId="0">
      <calculatedColumnFormula>IF(MONTH(Tabela2[[#This Row],[Semana]])&lt;=6,"1ª Semestre","2ª Semestre")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4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5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7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8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5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6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4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5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6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7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8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9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10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11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12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39.bin"/><Relationship Id="rId4" Type="http://schemas.openxmlformats.org/officeDocument/2006/relationships/comments" Target="../comments13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0.bin"/><Relationship Id="rId4" Type="http://schemas.openxmlformats.org/officeDocument/2006/relationships/comments" Target="../comments14.x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1.bin"/><Relationship Id="rId4" Type="http://schemas.openxmlformats.org/officeDocument/2006/relationships/comments" Target="../comments15.xml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2.bin"/></Relationships>
</file>

<file path=xl/worksheets/_rels/sheet90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49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microsoft.com/office/2007/relationships/slicer" Target="../slicers/slicer2.x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microsoft.com/office/2007/relationships/slicer" Target="../slicers/slicer3.xml"/><Relationship Id="rId4" Type="http://schemas.openxmlformats.org/officeDocument/2006/relationships/drawing" Target="../drawings/drawing51.xml"/></Relationships>
</file>

<file path=xl/worksheets/_rels/sheet93.xml.rels><?xml version="1.0" encoding="UTF-8" standalone="yes"?>
<Relationships xmlns="http://schemas.openxmlformats.org/package/2006/relationships"><Relationship Id="rId2" Type="http://schemas.microsoft.com/office/2007/relationships/slicer" Target="../slicers/slicer4.xml"/><Relationship Id="rId1" Type="http://schemas.openxmlformats.org/officeDocument/2006/relationships/drawing" Target="../drawings/drawing5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7D1C5-CF7D-4407-AC33-F7D7C7B7F01F}">
  <dimension ref="A1:G435"/>
  <sheetViews>
    <sheetView showGridLines="0" tabSelected="1" workbookViewId="0">
      <pane ySplit="1" topLeftCell="A432" activePane="bottomLeft" state="frozen"/>
      <selection pane="bottomLeft" sqref="A1:F427"/>
    </sheetView>
  </sheetViews>
  <sheetFormatPr defaultRowHeight="15" x14ac:dyDescent="0.25"/>
  <cols>
    <col min="1" max="1" width="13.42578125" bestFit="1" customWidth="1"/>
    <col min="2" max="2" width="12.28515625" bestFit="1" customWidth="1"/>
    <col min="3" max="3" width="15" style="53" bestFit="1" customWidth="1"/>
    <col min="4" max="4" width="10.7109375" bestFit="1" customWidth="1"/>
    <col min="5" max="5" width="6.85546875" bestFit="1" customWidth="1"/>
    <col min="6" max="6" width="11.7109375" bestFit="1" customWidth="1"/>
  </cols>
  <sheetData>
    <row r="1" spans="1:6" x14ac:dyDescent="0.25">
      <c r="A1" t="s">
        <v>1</v>
      </c>
      <c r="B1" t="s">
        <v>32</v>
      </c>
      <c r="C1" s="53" t="s">
        <v>33</v>
      </c>
      <c r="D1" t="s">
        <v>34</v>
      </c>
      <c r="E1" t="s">
        <v>40</v>
      </c>
      <c r="F1" t="s">
        <v>41</v>
      </c>
    </row>
    <row r="2" spans="1:6" x14ac:dyDescent="0.25">
      <c r="A2" t="s">
        <v>2</v>
      </c>
      <c r="B2">
        <v>81</v>
      </c>
      <c r="C2" s="53">
        <v>0.60447761194029848</v>
      </c>
      <c r="D2" s="52">
        <v>44182</v>
      </c>
      <c r="E2">
        <f t="shared" ref="E2:E65" si="0">YEAR(D2)</f>
        <v>2020</v>
      </c>
      <c r="F2" t="str">
        <f t="shared" ref="F2:F65" si="1">IF(MONTH(D2)&lt;=6,"1ª Semestre","2ª Semestre")</f>
        <v>2ª Semestre</v>
      </c>
    </row>
    <row r="3" spans="1:6" x14ac:dyDescent="0.25">
      <c r="A3" t="s">
        <v>5</v>
      </c>
      <c r="B3">
        <v>12</v>
      </c>
      <c r="C3" s="53">
        <v>8.9552238805970144E-2</v>
      </c>
      <c r="D3" s="52">
        <v>44182</v>
      </c>
      <c r="E3">
        <f t="shared" si="0"/>
        <v>2020</v>
      </c>
      <c r="F3" t="str">
        <f t="shared" si="1"/>
        <v>2ª Semestre</v>
      </c>
    </row>
    <row r="4" spans="1:6" x14ac:dyDescent="0.25">
      <c r="A4" t="s">
        <v>6</v>
      </c>
      <c r="B4">
        <v>3</v>
      </c>
      <c r="C4" s="53">
        <v>2.2388059701492536E-2</v>
      </c>
      <c r="D4" s="52">
        <v>44182</v>
      </c>
      <c r="E4">
        <f t="shared" si="0"/>
        <v>2020</v>
      </c>
      <c r="F4" t="str">
        <f t="shared" si="1"/>
        <v>2ª Semestre</v>
      </c>
    </row>
    <row r="5" spans="1:6" x14ac:dyDescent="0.25">
      <c r="A5" t="s">
        <v>4</v>
      </c>
      <c r="B5">
        <v>12</v>
      </c>
      <c r="C5" s="53">
        <v>8.9552238805970144E-2</v>
      </c>
      <c r="D5" s="52">
        <v>44182</v>
      </c>
      <c r="E5">
        <f t="shared" si="0"/>
        <v>2020</v>
      </c>
      <c r="F5" t="str">
        <f t="shared" si="1"/>
        <v>2ª Semestre</v>
      </c>
    </row>
    <row r="6" spans="1:6" x14ac:dyDescent="0.25">
      <c r="A6" t="s">
        <v>3</v>
      </c>
      <c r="B6">
        <v>24</v>
      </c>
      <c r="C6" s="53">
        <v>0.17910447761194029</v>
      </c>
      <c r="D6" s="52">
        <v>44182</v>
      </c>
      <c r="E6">
        <f t="shared" si="0"/>
        <v>2020</v>
      </c>
      <c r="F6" t="str">
        <f t="shared" si="1"/>
        <v>2ª Semestre</v>
      </c>
    </row>
    <row r="7" spans="1:6" x14ac:dyDescent="0.25">
      <c r="A7" t="s">
        <v>7</v>
      </c>
      <c r="B7">
        <v>2</v>
      </c>
      <c r="C7" s="53">
        <v>1.4925373134328358E-2</v>
      </c>
      <c r="D7" s="52">
        <v>44182</v>
      </c>
      <c r="E7">
        <f t="shared" si="0"/>
        <v>2020</v>
      </c>
      <c r="F7" t="str">
        <f t="shared" si="1"/>
        <v>2ª Semestre</v>
      </c>
    </row>
    <row r="8" spans="1:6" x14ac:dyDescent="0.25">
      <c r="A8" t="s">
        <v>2</v>
      </c>
      <c r="B8">
        <v>101</v>
      </c>
      <c r="C8" s="53">
        <v>0.80158730158730163</v>
      </c>
      <c r="D8" s="52">
        <v>44190</v>
      </c>
      <c r="E8">
        <f t="shared" si="0"/>
        <v>2020</v>
      </c>
      <c r="F8" t="str">
        <f t="shared" si="1"/>
        <v>2ª Semestre</v>
      </c>
    </row>
    <row r="9" spans="1:6" x14ac:dyDescent="0.25">
      <c r="A9" t="s">
        <v>5</v>
      </c>
      <c r="B9">
        <v>10</v>
      </c>
      <c r="C9" s="53">
        <v>7.9365079365079361E-2</v>
      </c>
      <c r="D9" s="52">
        <v>44190</v>
      </c>
      <c r="E9">
        <f t="shared" si="0"/>
        <v>2020</v>
      </c>
      <c r="F9" t="str">
        <f t="shared" si="1"/>
        <v>2ª Semestre</v>
      </c>
    </row>
    <row r="10" spans="1:6" x14ac:dyDescent="0.25">
      <c r="A10" t="s">
        <v>6</v>
      </c>
      <c r="B10">
        <v>6</v>
      </c>
      <c r="C10" s="53">
        <v>4.7619047619047616E-2</v>
      </c>
      <c r="D10" s="52">
        <v>44190</v>
      </c>
      <c r="E10">
        <f t="shared" si="0"/>
        <v>2020</v>
      </c>
      <c r="F10" t="str">
        <f t="shared" si="1"/>
        <v>2ª Semestre</v>
      </c>
    </row>
    <row r="11" spans="1:6" x14ac:dyDescent="0.25">
      <c r="A11" t="s">
        <v>4</v>
      </c>
      <c r="B11">
        <v>2</v>
      </c>
      <c r="C11" s="53">
        <v>1.5873015873015872E-2</v>
      </c>
      <c r="D11" s="52">
        <v>44190</v>
      </c>
      <c r="E11">
        <f t="shared" si="0"/>
        <v>2020</v>
      </c>
      <c r="F11" t="str">
        <f t="shared" si="1"/>
        <v>2ª Semestre</v>
      </c>
    </row>
    <row r="12" spans="1:6" x14ac:dyDescent="0.25">
      <c r="A12" t="s">
        <v>3</v>
      </c>
      <c r="B12">
        <v>0</v>
      </c>
      <c r="C12" s="53">
        <v>0</v>
      </c>
      <c r="D12" s="52">
        <v>44190</v>
      </c>
      <c r="E12">
        <f t="shared" si="0"/>
        <v>2020</v>
      </c>
      <c r="F12" t="str">
        <f t="shared" si="1"/>
        <v>2ª Semestre</v>
      </c>
    </row>
    <row r="13" spans="1:6" x14ac:dyDescent="0.25">
      <c r="A13" t="s">
        <v>7</v>
      </c>
      <c r="B13">
        <v>7</v>
      </c>
      <c r="C13" s="53">
        <v>5.5555555555555552E-2</v>
      </c>
      <c r="D13" s="52">
        <v>44190</v>
      </c>
      <c r="E13">
        <f t="shared" si="0"/>
        <v>2020</v>
      </c>
      <c r="F13" t="str">
        <f t="shared" si="1"/>
        <v>2ª Semestre</v>
      </c>
    </row>
    <row r="14" spans="1:6" x14ac:dyDescent="0.25">
      <c r="A14" t="s">
        <v>2</v>
      </c>
      <c r="B14">
        <v>38</v>
      </c>
      <c r="C14" s="53">
        <v>0.34862385321100919</v>
      </c>
      <c r="D14" s="52">
        <v>44198</v>
      </c>
      <c r="E14">
        <f t="shared" si="0"/>
        <v>2021</v>
      </c>
      <c r="F14" t="str">
        <f t="shared" si="1"/>
        <v>1ª Semestre</v>
      </c>
    </row>
    <row r="15" spans="1:6" x14ac:dyDescent="0.25">
      <c r="A15" t="s">
        <v>5</v>
      </c>
      <c r="B15">
        <v>12</v>
      </c>
      <c r="C15" s="53">
        <v>0.11009174311926606</v>
      </c>
      <c r="D15" s="52">
        <v>44198</v>
      </c>
      <c r="E15">
        <f t="shared" si="0"/>
        <v>2021</v>
      </c>
      <c r="F15" t="str">
        <f t="shared" si="1"/>
        <v>1ª Semestre</v>
      </c>
    </row>
    <row r="16" spans="1:6" x14ac:dyDescent="0.25">
      <c r="A16" t="s">
        <v>6</v>
      </c>
      <c r="B16">
        <v>12</v>
      </c>
      <c r="C16" s="53">
        <v>0.11009174311926606</v>
      </c>
      <c r="D16" s="52">
        <v>44198</v>
      </c>
      <c r="E16">
        <f t="shared" si="0"/>
        <v>2021</v>
      </c>
      <c r="F16" t="str">
        <f t="shared" si="1"/>
        <v>1ª Semestre</v>
      </c>
    </row>
    <row r="17" spans="1:6" x14ac:dyDescent="0.25">
      <c r="A17" t="s">
        <v>4</v>
      </c>
      <c r="B17">
        <v>0</v>
      </c>
      <c r="C17" s="53">
        <v>0</v>
      </c>
      <c r="D17" s="52">
        <v>44198</v>
      </c>
      <c r="E17">
        <f t="shared" si="0"/>
        <v>2021</v>
      </c>
      <c r="F17" t="str">
        <f t="shared" si="1"/>
        <v>1ª Semestre</v>
      </c>
    </row>
    <row r="18" spans="1:6" x14ac:dyDescent="0.25">
      <c r="A18" t="s">
        <v>3</v>
      </c>
      <c r="B18">
        <v>39</v>
      </c>
      <c r="C18" s="53">
        <v>0.3577981651376147</v>
      </c>
      <c r="D18" s="52">
        <v>44198</v>
      </c>
      <c r="E18">
        <f t="shared" si="0"/>
        <v>2021</v>
      </c>
      <c r="F18" t="str">
        <f t="shared" si="1"/>
        <v>1ª Semestre</v>
      </c>
    </row>
    <row r="19" spans="1:6" x14ac:dyDescent="0.25">
      <c r="A19" t="s">
        <v>7</v>
      </c>
      <c r="B19">
        <v>8</v>
      </c>
      <c r="C19" s="53">
        <v>7.3394495412844041E-2</v>
      </c>
      <c r="D19" s="52">
        <v>44198</v>
      </c>
      <c r="E19">
        <f t="shared" si="0"/>
        <v>2021</v>
      </c>
      <c r="F19" t="str">
        <f t="shared" si="1"/>
        <v>1ª Semestre</v>
      </c>
    </row>
    <row r="20" spans="1:6" x14ac:dyDescent="0.25">
      <c r="A20" t="s">
        <v>2</v>
      </c>
      <c r="B20">
        <v>38</v>
      </c>
      <c r="C20" s="53">
        <v>0.62295081967213117</v>
      </c>
      <c r="D20" s="52">
        <v>44210</v>
      </c>
      <c r="E20">
        <f t="shared" si="0"/>
        <v>2021</v>
      </c>
      <c r="F20" t="str">
        <f t="shared" si="1"/>
        <v>1ª Semestre</v>
      </c>
    </row>
    <row r="21" spans="1:6" x14ac:dyDescent="0.25">
      <c r="A21" t="s">
        <v>5</v>
      </c>
      <c r="B21">
        <v>13</v>
      </c>
      <c r="C21" s="53">
        <v>0.21311475409836064</v>
      </c>
      <c r="D21" s="52">
        <v>44210</v>
      </c>
      <c r="E21">
        <f t="shared" si="0"/>
        <v>2021</v>
      </c>
      <c r="F21" t="str">
        <f t="shared" si="1"/>
        <v>1ª Semestre</v>
      </c>
    </row>
    <row r="22" spans="1:6" x14ac:dyDescent="0.25">
      <c r="A22" t="s">
        <v>6</v>
      </c>
      <c r="B22">
        <v>9</v>
      </c>
      <c r="C22" s="53">
        <v>0.14754098360655737</v>
      </c>
      <c r="D22" s="52">
        <v>44210</v>
      </c>
      <c r="E22">
        <f t="shared" si="0"/>
        <v>2021</v>
      </c>
      <c r="F22" t="str">
        <f t="shared" si="1"/>
        <v>1ª Semestre</v>
      </c>
    </row>
    <row r="23" spans="1:6" x14ac:dyDescent="0.25">
      <c r="A23" t="s">
        <v>4</v>
      </c>
      <c r="B23">
        <v>0</v>
      </c>
      <c r="C23" s="53">
        <v>0</v>
      </c>
      <c r="D23" s="52">
        <v>44210</v>
      </c>
      <c r="E23">
        <f t="shared" si="0"/>
        <v>2021</v>
      </c>
      <c r="F23" t="str">
        <f t="shared" si="1"/>
        <v>1ª Semestre</v>
      </c>
    </row>
    <row r="24" spans="1:6" x14ac:dyDescent="0.25">
      <c r="A24" t="s">
        <v>3</v>
      </c>
      <c r="B24">
        <v>0</v>
      </c>
      <c r="C24" s="53">
        <v>0</v>
      </c>
      <c r="D24" s="52">
        <v>44210</v>
      </c>
      <c r="E24">
        <f t="shared" si="0"/>
        <v>2021</v>
      </c>
      <c r="F24" t="str">
        <f t="shared" si="1"/>
        <v>1ª Semestre</v>
      </c>
    </row>
    <row r="25" spans="1:6" x14ac:dyDescent="0.25">
      <c r="A25" t="s">
        <v>7</v>
      </c>
      <c r="B25">
        <v>1</v>
      </c>
      <c r="C25" s="53">
        <v>1.6393442622950821E-2</v>
      </c>
      <c r="D25" s="52">
        <v>44210</v>
      </c>
      <c r="E25">
        <f t="shared" si="0"/>
        <v>2021</v>
      </c>
      <c r="F25" t="str">
        <f t="shared" si="1"/>
        <v>1ª Semestre</v>
      </c>
    </row>
    <row r="26" spans="1:6" x14ac:dyDescent="0.25">
      <c r="A26" t="s">
        <v>2</v>
      </c>
      <c r="B26">
        <v>118</v>
      </c>
      <c r="C26" s="53">
        <v>0.65921787709497204</v>
      </c>
      <c r="D26" s="52">
        <v>44218</v>
      </c>
      <c r="E26">
        <f t="shared" si="0"/>
        <v>2021</v>
      </c>
      <c r="F26" t="str">
        <f t="shared" si="1"/>
        <v>1ª Semestre</v>
      </c>
    </row>
    <row r="27" spans="1:6" x14ac:dyDescent="0.25">
      <c r="A27" t="s">
        <v>5</v>
      </c>
      <c r="B27">
        <v>19</v>
      </c>
      <c r="C27" s="53">
        <v>0.10614525139664804</v>
      </c>
      <c r="D27" s="52">
        <v>44218</v>
      </c>
      <c r="E27">
        <f t="shared" si="0"/>
        <v>2021</v>
      </c>
      <c r="F27" t="str">
        <f t="shared" si="1"/>
        <v>1ª Semestre</v>
      </c>
    </row>
    <row r="28" spans="1:6" x14ac:dyDescent="0.25">
      <c r="A28" t="s">
        <v>6</v>
      </c>
      <c r="B28">
        <v>4</v>
      </c>
      <c r="C28" s="53">
        <v>2.23463687150838E-2</v>
      </c>
      <c r="D28" s="52">
        <v>44218</v>
      </c>
      <c r="E28">
        <f t="shared" si="0"/>
        <v>2021</v>
      </c>
      <c r="F28" t="str">
        <f t="shared" si="1"/>
        <v>1ª Semestre</v>
      </c>
    </row>
    <row r="29" spans="1:6" x14ac:dyDescent="0.25">
      <c r="A29" t="s">
        <v>4</v>
      </c>
      <c r="B29">
        <v>19</v>
      </c>
      <c r="C29" s="53">
        <v>0.10614525139664804</v>
      </c>
      <c r="D29" s="52">
        <v>44218</v>
      </c>
      <c r="E29">
        <f t="shared" si="0"/>
        <v>2021</v>
      </c>
      <c r="F29" t="str">
        <f t="shared" si="1"/>
        <v>1ª Semestre</v>
      </c>
    </row>
    <row r="30" spans="1:6" x14ac:dyDescent="0.25">
      <c r="A30" t="s">
        <v>3</v>
      </c>
      <c r="B30">
        <v>0</v>
      </c>
      <c r="C30" s="53">
        <v>0</v>
      </c>
      <c r="D30" s="52">
        <v>44218</v>
      </c>
      <c r="E30">
        <f t="shared" si="0"/>
        <v>2021</v>
      </c>
      <c r="F30" t="str">
        <f t="shared" si="1"/>
        <v>1ª Semestre</v>
      </c>
    </row>
    <row r="31" spans="1:6" x14ac:dyDescent="0.25">
      <c r="A31" t="s">
        <v>7</v>
      </c>
      <c r="B31">
        <v>19</v>
      </c>
      <c r="C31" s="53">
        <v>0.10614525139664804</v>
      </c>
      <c r="D31" s="52">
        <v>44218</v>
      </c>
      <c r="E31">
        <f t="shared" si="0"/>
        <v>2021</v>
      </c>
      <c r="F31" t="str">
        <f t="shared" si="1"/>
        <v>1ª Semestre</v>
      </c>
    </row>
    <row r="32" spans="1:6" x14ac:dyDescent="0.25">
      <c r="A32" t="s">
        <v>2</v>
      </c>
      <c r="B32">
        <v>122</v>
      </c>
      <c r="C32" s="53">
        <v>0.69714285714285718</v>
      </c>
      <c r="D32" s="52">
        <v>44226</v>
      </c>
      <c r="E32">
        <f t="shared" si="0"/>
        <v>2021</v>
      </c>
      <c r="F32" t="str">
        <f t="shared" si="1"/>
        <v>1ª Semestre</v>
      </c>
    </row>
    <row r="33" spans="1:6" x14ac:dyDescent="0.25">
      <c r="A33" t="s">
        <v>5</v>
      </c>
      <c r="B33">
        <v>12</v>
      </c>
      <c r="C33" s="53">
        <v>6.8571428571428575E-2</v>
      </c>
      <c r="D33" s="52">
        <v>44226</v>
      </c>
      <c r="E33">
        <f t="shared" si="0"/>
        <v>2021</v>
      </c>
      <c r="F33" t="str">
        <f t="shared" si="1"/>
        <v>1ª Semestre</v>
      </c>
    </row>
    <row r="34" spans="1:6" x14ac:dyDescent="0.25">
      <c r="A34" t="s">
        <v>6</v>
      </c>
      <c r="B34">
        <v>0</v>
      </c>
      <c r="C34" s="53">
        <v>0</v>
      </c>
      <c r="D34" s="52">
        <v>44226</v>
      </c>
      <c r="E34">
        <f t="shared" si="0"/>
        <v>2021</v>
      </c>
      <c r="F34" t="str">
        <f t="shared" si="1"/>
        <v>1ª Semestre</v>
      </c>
    </row>
    <row r="35" spans="1:6" x14ac:dyDescent="0.25">
      <c r="A35" t="s">
        <v>4</v>
      </c>
      <c r="B35">
        <v>18</v>
      </c>
      <c r="C35" s="53">
        <v>0.10285714285714286</v>
      </c>
      <c r="D35" s="52">
        <v>44226</v>
      </c>
      <c r="E35">
        <f t="shared" si="0"/>
        <v>2021</v>
      </c>
      <c r="F35" t="str">
        <f t="shared" si="1"/>
        <v>1ª Semestre</v>
      </c>
    </row>
    <row r="36" spans="1:6" x14ac:dyDescent="0.25">
      <c r="A36" t="s">
        <v>3</v>
      </c>
      <c r="B36">
        <v>2</v>
      </c>
      <c r="C36" s="53">
        <v>1.1428571428571429E-2</v>
      </c>
      <c r="D36" s="52">
        <v>44226</v>
      </c>
      <c r="E36">
        <f t="shared" si="0"/>
        <v>2021</v>
      </c>
      <c r="F36" t="str">
        <f t="shared" si="1"/>
        <v>1ª Semestre</v>
      </c>
    </row>
    <row r="37" spans="1:6" x14ac:dyDescent="0.25">
      <c r="A37" t="s">
        <v>7</v>
      </c>
      <c r="B37">
        <v>21</v>
      </c>
      <c r="C37" s="53">
        <v>0.12</v>
      </c>
      <c r="D37" s="52">
        <v>44226</v>
      </c>
      <c r="E37">
        <f t="shared" si="0"/>
        <v>2021</v>
      </c>
      <c r="F37" t="str">
        <f t="shared" si="1"/>
        <v>1ª Semestre</v>
      </c>
    </row>
    <row r="38" spans="1:6" x14ac:dyDescent="0.25">
      <c r="A38" t="s">
        <v>2</v>
      </c>
      <c r="B38">
        <v>10</v>
      </c>
      <c r="C38" s="53">
        <v>0.25</v>
      </c>
      <c r="D38" s="52">
        <v>44234</v>
      </c>
      <c r="E38">
        <f t="shared" si="0"/>
        <v>2021</v>
      </c>
      <c r="F38" t="str">
        <f t="shared" si="1"/>
        <v>1ª Semestre</v>
      </c>
    </row>
    <row r="39" spans="1:6" x14ac:dyDescent="0.25">
      <c r="A39" t="s">
        <v>5</v>
      </c>
      <c r="B39">
        <v>2</v>
      </c>
      <c r="C39" s="53">
        <v>0.05</v>
      </c>
      <c r="D39" s="52">
        <v>44234</v>
      </c>
      <c r="E39">
        <f t="shared" si="0"/>
        <v>2021</v>
      </c>
      <c r="F39" t="str">
        <f t="shared" si="1"/>
        <v>1ª Semestre</v>
      </c>
    </row>
    <row r="40" spans="1:6" x14ac:dyDescent="0.25">
      <c r="A40" t="s">
        <v>6</v>
      </c>
      <c r="B40">
        <v>1</v>
      </c>
      <c r="C40" s="53">
        <v>2.5000000000000001E-2</v>
      </c>
      <c r="D40" s="52">
        <v>44234</v>
      </c>
      <c r="E40">
        <f t="shared" si="0"/>
        <v>2021</v>
      </c>
      <c r="F40" t="str">
        <f t="shared" si="1"/>
        <v>1ª Semestre</v>
      </c>
    </row>
    <row r="41" spans="1:6" x14ac:dyDescent="0.25">
      <c r="A41" t="s">
        <v>4</v>
      </c>
      <c r="B41">
        <v>0</v>
      </c>
      <c r="C41" s="53">
        <v>0</v>
      </c>
      <c r="D41" s="52">
        <v>44234</v>
      </c>
      <c r="E41">
        <f t="shared" si="0"/>
        <v>2021</v>
      </c>
      <c r="F41" t="str">
        <f t="shared" si="1"/>
        <v>1ª Semestre</v>
      </c>
    </row>
    <row r="42" spans="1:6" x14ac:dyDescent="0.25">
      <c r="A42" t="s">
        <v>3</v>
      </c>
      <c r="B42">
        <v>26</v>
      </c>
      <c r="C42" s="53">
        <v>0.65</v>
      </c>
      <c r="D42" s="52">
        <v>44234</v>
      </c>
      <c r="E42">
        <f t="shared" si="0"/>
        <v>2021</v>
      </c>
      <c r="F42" t="str">
        <f t="shared" si="1"/>
        <v>1ª Semestre</v>
      </c>
    </row>
    <row r="43" spans="1:6" x14ac:dyDescent="0.25">
      <c r="A43" t="s">
        <v>7</v>
      </c>
      <c r="B43">
        <v>1</v>
      </c>
      <c r="C43" s="53">
        <v>2.5000000000000001E-2</v>
      </c>
      <c r="D43" s="52">
        <v>44234</v>
      </c>
      <c r="E43">
        <f t="shared" si="0"/>
        <v>2021</v>
      </c>
      <c r="F43" t="str">
        <f t="shared" si="1"/>
        <v>1ª Semestre</v>
      </c>
    </row>
    <row r="44" spans="1:6" x14ac:dyDescent="0.25">
      <c r="A44" t="s">
        <v>2</v>
      </c>
      <c r="B44">
        <v>9</v>
      </c>
      <c r="C44" s="53">
        <v>0.5</v>
      </c>
      <c r="D44" s="52">
        <v>44242</v>
      </c>
      <c r="E44">
        <f t="shared" si="0"/>
        <v>2021</v>
      </c>
      <c r="F44" t="str">
        <f t="shared" si="1"/>
        <v>1ª Semestre</v>
      </c>
    </row>
    <row r="45" spans="1:6" x14ac:dyDescent="0.25">
      <c r="A45" t="s">
        <v>5</v>
      </c>
      <c r="B45">
        <v>6</v>
      </c>
      <c r="C45" s="53">
        <v>0.33333333333333331</v>
      </c>
      <c r="D45" s="52">
        <v>44242</v>
      </c>
      <c r="E45">
        <f t="shared" si="0"/>
        <v>2021</v>
      </c>
      <c r="F45" t="str">
        <f t="shared" si="1"/>
        <v>1ª Semestre</v>
      </c>
    </row>
    <row r="46" spans="1:6" x14ac:dyDescent="0.25">
      <c r="A46" t="s">
        <v>6</v>
      </c>
      <c r="B46">
        <v>0</v>
      </c>
      <c r="C46" s="53">
        <v>0</v>
      </c>
      <c r="D46" s="52">
        <v>44242</v>
      </c>
      <c r="E46">
        <f t="shared" si="0"/>
        <v>2021</v>
      </c>
      <c r="F46" t="str">
        <f t="shared" si="1"/>
        <v>1ª Semestre</v>
      </c>
    </row>
    <row r="47" spans="1:6" x14ac:dyDescent="0.25">
      <c r="A47" t="s">
        <v>4</v>
      </c>
      <c r="B47">
        <v>0</v>
      </c>
      <c r="C47" s="53">
        <v>0</v>
      </c>
      <c r="D47" s="52">
        <v>44242</v>
      </c>
      <c r="E47">
        <f t="shared" si="0"/>
        <v>2021</v>
      </c>
      <c r="F47" t="str">
        <f t="shared" si="1"/>
        <v>1ª Semestre</v>
      </c>
    </row>
    <row r="48" spans="1:6" x14ac:dyDescent="0.25">
      <c r="A48" t="s">
        <v>3</v>
      </c>
      <c r="B48">
        <v>1</v>
      </c>
      <c r="C48" s="53">
        <v>5.5555555555555552E-2</v>
      </c>
      <c r="D48" s="52">
        <v>44242</v>
      </c>
      <c r="E48">
        <f t="shared" si="0"/>
        <v>2021</v>
      </c>
      <c r="F48" t="str">
        <f t="shared" si="1"/>
        <v>1ª Semestre</v>
      </c>
    </row>
    <row r="49" spans="1:6" x14ac:dyDescent="0.25">
      <c r="A49" t="s">
        <v>7</v>
      </c>
      <c r="B49">
        <v>2</v>
      </c>
      <c r="C49" s="53">
        <v>0.1111111111111111</v>
      </c>
      <c r="D49" s="52">
        <v>44242</v>
      </c>
      <c r="E49">
        <f t="shared" si="0"/>
        <v>2021</v>
      </c>
      <c r="F49" t="str">
        <f t="shared" si="1"/>
        <v>1ª Semestre</v>
      </c>
    </row>
    <row r="50" spans="1:6" x14ac:dyDescent="0.25">
      <c r="A50" t="s">
        <v>2</v>
      </c>
      <c r="B50">
        <v>14</v>
      </c>
      <c r="C50" s="53">
        <v>0.82352941176470584</v>
      </c>
      <c r="D50" s="52">
        <v>44250</v>
      </c>
      <c r="E50">
        <f t="shared" si="0"/>
        <v>2021</v>
      </c>
      <c r="F50" t="str">
        <f t="shared" si="1"/>
        <v>1ª Semestre</v>
      </c>
    </row>
    <row r="51" spans="1:6" x14ac:dyDescent="0.25">
      <c r="A51" t="s">
        <v>5</v>
      </c>
      <c r="B51">
        <v>1</v>
      </c>
      <c r="C51" s="53">
        <v>5.8823529411764705E-2</v>
      </c>
      <c r="D51" s="52">
        <v>44250</v>
      </c>
      <c r="E51">
        <f t="shared" si="0"/>
        <v>2021</v>
      </c>
      <c r="F51" t="str">
        <f t="shared" si="1"/>
        <v>1ª Semestre</v>
      </c>
    </row>
    <row r="52" spans="1:6" x14ac:dyDescent="0.25">
      <c r="A52" t="s">
        <v>6</v>
      </c>
      <c r="B52">
        <v>1</v>
      </c>
      <c r="C52" s="53">
        <v>5.8823529411764705E-2</v>
      </c>
      <c r="D52" s="52">
        <v>44250</v>
      </c>
      <c r="E52">
        <f t="shared" si="0"/>
        <v>2021</v>
      </c>
      <c r="F52" t="str">
        <f t="shared" si="1"/>
        <v>1ª Semestre</v>
      </c>
    </row>
    <row r="53" spans="1:6" x14ac:dyDescent="0.25">
      <c r="A53" t="s">
        <v>4</v>
      </c>
      <c r="B53">
        <v>0</v>
      </c>
      <c r="C53" s="53">
        <v>0</v>
      </c>
      <c r="D53" s="52">
        <v>44250</v>
      </c>
      <c r="E53">
        <f t="shared" si="0"/>
        <v>2021</v>
      </c>
      <c r="F53" t="str">
        <f t="shared" si="1"/>
        <v>1ª Semestre</v>
      </c>
    </row>
    <row r="54" spans="1:6" x14ac:dyDescent="0.25">
      <c r="A54" t="s">
        <v>3</v>
      </c>
      <c r="B54">
        <v>1</v>
      </c>
      <c r="C54" s="53">
        <v>5.8823529411764705E-2</v>
      </c>
      <c r="D54" s="52">
        <v>44250</v>
      </c>
      <c r="E54">
        <f t="shared" si="0"/>
        <v>2021</v>
      </c>
      <c r="F54" t="str">
        <f t="shared" si="1"/>
        <v>1ª Semestre</v>
      </c>
    </row>
    <row r="55" spans="1:6" x14ac:dyDescent="0.25">
      <c r="A55" t="s">
        <v>7</v>
      </c>
      <c r="B55">
        <v>0</v>
      </c>
      <c r="C55" s="53">
        <v>0</v>
      </c>
      <c r="D55" s="52">
        <v>44250</v>
      </c>
      <c r="E55">
        <f t="shared" si="0"/>
        <v>2021</v>
      </c>
      <c r="F55" t="str">
        <f t="shared" si="1"/>
        <v>1ª Semestre</v>
      </c>
    </row>
    <row r="56" spans="1:6" x14ac:dyDescent="0.25">
      <c r="A56" t="s">
        <v>2</v>
      </c>
      <c r="B56">
        <v>75</v>
      </c>
      <c r="C56" s="53">
        <v>0.59055118110236215</v>
      </c>
      <c r="D56" s="52">
        <v>44258</v>
      </c>
      <c r="E56">
        <f t="shared" si="0"/>
        <v>2021</v>
      </c>
      <c r="F56" t="str">
        <f t="shared" si="1"/>
        <v>1ª Semestre</v>
      </c>
    </row>
    <row r="57" spans="1:6" x14ac:dyDescent="0.25">
      <c r="A57" t="s">
        <v>5</v>
      </c>
      <c r="B57">
        <v>12</v>
      </c>
      <c r="C57" s="53">
        <v>9.4488188976377951E-2</v>
      </c>
      <c r="D57" s="52">
        <v>44258</v>
      </c>
      <c r="E57">
        <f t="shared" si="0"/>
        <v>2021</v>
      </c>
      <c r="F57" t="str">
        <f t="shared" si="1"/>
        <v>1ª Semestre</v>
      </c>
    </row>
    <row r="58" spans="1:6" x14ac:dyDescent="0.25">
      <c r="A58" t="s">
        <v>6</v>
      </c>
      <c r="B58">
        <v>15</v>
      </c>
      <c r="C58" s="53">
        <v>0.11811023622047244</v>
      </c>
      <c r="D58" s="52">
        <v>44258</v>
      </c>
      <c r="E58">
        <f t="shared" si="0"/>
        <v>2021</v>
      </c>
      <c r="F58" t="str">
        <f t="shared" si="1"/>
        <v>1ª Semestre</v>
      </c>
    </row>
    <row r="59" spans="1:6" x14ac:dyDescent="0.25">
      <c r="A59" t="s">
        <v>4</v>
      </c>
      <c r="B59">
        <v>2</v>
      </c>
      <c r="C59" s="53">
        <v>1.5748031496062992E-2</v>
      </c>
      <c r="D59" s="52">
        <v>44258</v>
      </c>
      <c r="E59">
        <f t="shared" si="0"/>
        <v>2021</v>
      </c>
      <c r="F59" t="str">
        <f t="shared" si="1"/>
        <v>1ª Semestre</v>
      </c>
    </row>
    <row r="60" spans="1:6" x14ac:dyDescent="0.25">
      <c r="A60" t="s">
        <v>3</v>
      </c>
      <c r="B60">
        <v>11</v>
      </c>
      <c r="C60" s="53">
        <v>8.6614173228346455E-2</v>
      </c>
      <c r="D60" s="52">
        <v>44258</v>
      </c>
      <c r="E60">
        <f t="shared" si="0"/>
        <v>2021</v>
      </c>
      <c r="F60" t="str">
        <f t="shared" si="1"/>
        <v>1ª Semestre</v>
      </c>
    </row>
    <row r="61" spans="1:6" x14ac:dyDescent="0.25">
      <c r="A61" t="s">
        <v>7</v>
      </c>
      <c r="B61">
        <v>12</v>
      </c>
      <c r="C61" s="53">
        <v>9.4488188976377951E-2</v>
      </c>
      <c r="D61" s="52">
        <v>44258</v>
      </c>
      <c r="E61">
        <f t="shared" si="0"/>
        <v>2021</v>
      </c>
      <c r="F61" t="str">
        <f t="shared" si="1"/>
        <v>1ª Semestre</v>
      </c>
    </row>
    <row r="62" spans="1:6" x14ac:dyDescent="0.25">
      <c r="A62" t="s">
        <v>2</v>
      </c>
      <c r="B62">
        <v>93</v>
      </c>
      <c r="C62" s="53">
        <v>0.7153846153846154</v>
      </c>
      <c r="D62" s="52">
        <v>44266</v>
      </c>
      <c r="E62">
        <f t="shared" si="0"/>
        <v>2021</v>
      </c>
      <c r="F62" t="str">
        <f t="shared" si="1"/>
        <v>1ª Semestre</v>
      </c>
    </row>
    <row r="63" spans="1:6" x14ac:dyDescent="0.25">
      <c r="A63" t="s">
        <v>5</v>
      </c>
      <c r="B63">
        <v>9</v>
      </c>
      <c r="C63" s="53">
        <v>6.9230769230769235E-2</v>
      </c>
      <c r="D63" s="52">
        <v>44266</v>
      </c>
      <c r="E63">
        <f t="shared" si="0"/>
        <v>2021</v>
      </c>
      <c r="F63" t="str">
        <f t="shared" si="1"/>
        <v>1ª Semestre</v>
      </c>
    </row>
    <row r="64" spans="1:6" x14ac:dyDescent="0.25">
      <c r="A64" t="s">
        <v>6</v>
      </c>
      <c r="B64">
        <v>8</v>
      </c>
      <c r="C64" s="53">
        <v>6.1538461538461542E-2</v>
      </c>
      <c r="D64" s="52">
        <v>44266</v>
      </c>
      <c r="E64">
        <f t="shared" si="0"/>
        <v>2021</v>
      </c>
      <c r="F64" t="str">
        <f t="shared" si="1"/>
        <v>1ª Semestre</v>
      </c>
    </row>
    <row r="65" spans="1:6" x14ac:dyDescent="0.25">
      <c r="A65" t="s">
        <v>4</v>
      </c>
      <c r="B65">
        <v>9</v>
      </c>
      <c r="C65" s="53">
        <v>6.9230769230769235E-2</v>
      </c>
      <c r="D65" s="52">
        <v>44266</v>
      </c>
      <c r="E65">
        <f t="shared" si="0"/>
        <v>2021</v>
      </c>
      <c r="F65" t="str">
        <f t="shared" si="1"/>
        <v>1ª Semestre</v>
      </c>
    </row>
    <row r="66" spans="1:6" x14ac:dyDescent="0.25">
      <c r="A66" t="s">
        <v>3</v>
      </c>
      <c r="B66">
        <v>0</v>
      </c>
      <c r="C66" s="53">
        <v>0</v>
      </c>
      <c r="D66" s="52">
        <v>44266</v>
      </c>
      <c r="E66">
        <f t="shared" ref="E66:E129" si="2">YEAR(D66)</f>
        <v>2021</v>
      </c>
      <c r="F66" t="str">
        <f t="shared" ref="F66:F129" si="3">IF(MONTH(D66)&lt;=6,"1ª Semestre","2ª Semestre")</f>
        <v>1ª Semestre</v>
      </c>
    </row>
    <row r="67" spans="1:6" x14ac:dyDescent="0.25">
      <c r="A67" t="s">
        <v>7</v>
      </c>
      <c r="B67">
        <v>11</v>
      </c>
      <c r="C67" s="53">
        <v>8.461538461538462E-2</v>
      </c>
      <c r="D67" s="52">
        <v>44266</v>
      </c>
      <c r="E67">
        <f t="shared" si="2"/>
        <v>2021</v>
      </c>
      <c r="F67" t="str">
        <f t="shared" si="3"/>
        <v>1ª Semestre</v>
      </c>
    </row>
    <row r="68" spans="1:6" x14ac:dyDescent="0.25">
      <c r="A68" t="s">
        <v>2</v>
      </c>
      <c r="B68">
        <v>113</v>
      </c>
      <c r="C68" s="53">
        <v>0.59162303664921467</v>
      </c>
      <c r="D68" s="52">
        <v>44274</v>
      </c>
      <c r="E68">
        <f t="shared" si="2"/>
        <v>2021</v>
      </c>
      <c r="F68" t="str">
        <f t="shared" si="3"/>
        <v>1ª Semestre</v>
      </c>
    </row>
    <row r="69" spans="1:6" x14ac:dyDescent="0.25">
      <c r="A69" t="s">
        <v>5</v>
      </c>
      <c r="B69">
        <v>23</v>
      </c>
      <c r="C69" s="53">
        <v>0.12041884816753927</v>
      </c>
      <c r="D69" s="52">
        <v>44274</v>
      </c>
      <c r="E69">
        <f t="shared" si="2"/>
        <v>2021</v>
      </c>
      <c r="F69" t="str">
        <f t="shared" si="3"/>
        <v>1ª Semestre</v>
      </c>
    </row>
    <row r="70" spans="1:6" x14ac:dyDescent="0.25">
      <c r="A70" t="s">
        <v>6</v>
      </c>
      <c r="B70">
        <v>18</v>
      </c>
      <c r="C70" s="53">
        <v>9.4240837696335081E-2</v>
      </c>
      <c r="D70" s="52">
        <v>44274</v>
      </c>
      <c r="E70">
        <f t="shared" si="2"/>
        <v>2021</v>
      </c>
      <c r="F70" t="str">
        <f t="shared" si="3"/>
        <v>1ª Semestre</v>
      </c>
    </row>
    <row r="71" spans="1:6" x14ac:dyDescent="0.25">
      <c r="A71" t="s">
        <v>4</v>
      </c>
      <c r="B71">
        <v>0</v>
      </c>
      <c r="C71" s="53">
        <v>0</v>
      </c>
      <c r="D71" s="52">
        <v>44274</v>
      </c>
      <c r="E71">
        <f t="shared" si="2"/>
        <v>2021</v>
      </c>
      <c r="F71" t="str">
        <f t="shared" si="3"/>
        <v>1ª Semestre</v>
      </c>
    </row>
    <row r="72" spans="1:6" x14ac:dyDescent="0.25">
      <c r="A72" t="s">
        <v>3</v>
      </c>
      <c r="B72">
        <v>0</v>
      </c>
      <c r="C72" s="53">
        <v>0</v>
      </c>
      <c r="D72" s="52">
        <v>44274</v>
      </c>
      <c r="E72">
        <f t="shared" si="2"/>
        <v>2021</v>
      </c>
      <c r="F72" t="str">
        <f t="shared" si="3"/>
        <v>1ª Semestre</v>
      </c>
    </row>
    <row r="73" spans="1:6" x14ac:dyDescent="0.25">
      <c r="A73" t="s">
        <v>7</v>
      </c>
      <c r="B73">
        <v>37</v>
      </c>
      <c r="C73" s="53">
        <v>0.193717277486911</v>
      </c>
      <c r="D73" s="52">
        <v>44274</v>
      </c>
      <c r="E73">
        <f t="shared" si="2"/>
        <v>2021</v>
      </c>
      <c r="F73" t="str">
        <f t="shared" si="3"/>
        <v>1ª Semestre</v>
      </c>
    </row>
    <row r="74" spans="1:6" x14ac:dyDescent="0.25">
      <c r="A74" t="s">
        <v>2</v>
      </c>
      <c r="B74">
        <v>139</v>
      </c>
      <c r="C74" s="53">
        <v>0.64953271028037385</v>
      </c>
      <c r="D74" s="52">
        <v>44282</v>
      </c>
      <c r="E74">
        <f t="shared" si="2"/>
        <v>2021</v>
      </c>
      <c r="F74" t="str">
        <f t="shared" si="3"/>
        <v>1ª Semestre</v>
      </c>
    </row>
    <row r="75" spans="1:6" x14ac:dyDescent="0.25">
      <c r="A75" t="s">
        <v>5</v>
      </c>
      <c r="B75">
        <v>23</v>
      </c>
      <c r="C75" s="53">
        <v>0.10747663551401869</v>
      </c>
      <c r="D75" s="52">
        <v>44282</v>
      </c>
      <c r="E75">
        <f t="shared" si="2"/>
        <v>2021</v>
      </c>
      <c r="F75" t="str">
        <f t="shared" si="3"/>
        <v>1ª Semestre</v>
      </c>
    </row>
    <row r="76" spans="1:6" x14ac:dyDescent="0.25">
      <c r="A76" t="s">
        <v>6</v>
      </c>
      <c r="B76">
        <v>5</v>
      </c>
      <c r="C76" s="53">
        <v>2.336448598130841E-2</v>
      </c>
      <c r="D76" s="52">
        <v>44282</v>
      </c>
      <c r="E76">
        <f t="shared" si="2"/>
        <v>2021</v>
      </c>
      <c r="F76" t="str">
        <f t="shared" si="3"/>
        <v>1ª Semestre</v>
      </c>
    </row>
    <row r="77" spans="1:6" x14ac:dyDescent="0.25">
      <c r="A77" t="s">
        <v>4</v>
      </c>
      <c r="B77">
        <v>0</v>
      </c>
      <c r="C77" s="53">
        <v>0</v>
      </c>
      <c r="D77" s="52">
        <v>44282</v>
      </c>
      <c r="E77">
        <f t="shared" si="2"/>
        <v>2021</v>
      </c>
      <c r="F77" t="str">
        <f t="shared" si="3"/>
        <v>1ª Semestre</v>
      </c>
    </row>
    <row r="78" spans="1:6" x14ac:dyDescent="0.25">
      <c r="A78" t="s">
        <v>3</v>
      </c>
      <c r="B78">
        <v>0</v>
      </c>
      <c r="C78" s="53">
        <v>0</v>
      </c>
      <c r="D78" s="52">
        <v>44282</v>
      </c>
      <c r="E78">
        <f t="shared" si="2"/>
        <v>2021</v>
      </c>
      <c r="F78" t="str">
        <f t="shared" si="3"/>
        <v>1ª Semestre</v>
      </c>
    </row>
    <row r="79" spans="1:6" x14ac:dyDescent="0.25">
      <c r="A79" t="s">
        <v>7</v>
      </c>
      <c r="B79">
        <v>47</v>
      </c>
      <c r="C79" s="53">
        <v>0.21962616822429906</v>
      </c>
      <c r="D79" s="52">
        <v>44282</v>
      </c>
      <c r="E79">
        <f t="shared" si="2"/>
        <v>2021</v>
      </c>
      <c r="F79" t="str">
        <f t="shared" si="3"/>
        <v>1ª Semestre</v>
      </c>
    </row>
    <row r="80" spans="1:6" x14ac:dyDescent="0.25">
      <c r="A80" t="s">
        <v>2</v>
      </c>
      <c r="B80">
        <v>49</v>
      </c>
      <c r="C80" s="53">
        <v>0.33561643835616439</v>
      </c>
      <c r="D80" s="52">
        <v>44290</v>
      </c>
      <c r="E80">
        <f t="shared" si="2"/>
        <v>2021</v>
      </c>
      <c r="F80" t="str">
        <f t="shared" si="3"/>
        <v>1ª Semestre</v>
      </c>
    </row>
    <row r="81" spans="1:6" x14ac:dyDescent="0.25">
      <c r="A81" t="s">
        <v>5</v>
      </c>
      <c r="B81">
        <v>41</v>
      </c>
      <c r="C81" s="53">
        <v>0.28082191780821919</v>
      </c>
      <c r="D81" s="52">
        <v>44290</v>
      </c>
      <c r="E81">
        <f t="shared" si="2"/>
        <v>2021</v>
      </c>
      <c r="F81" t="str">
        <f t="shared" si="3"/>
        <v>1ª Semestre</v>
      </c>
    </row>
    <row r="82" spans="1:6" x14ac:dyDescent="0.25">
      <c r="A82" t="s">
        <v>6</v>
      </c>
      <c r="B82">
        <v>7</v>
      </c>
      <c r="C82" s="53">
        <v>4.7945205479452052E-2</v>
      </c>
      <c r="D82" s="52">
        <v>44290</v>
      </c>
      <c r="E82">
        <f t="shared" si="2"/>
        <v>2021</v>
      </c>
      <c r="F82" t="str">
        <f t="shared" si="3"/>
        <v>1ª Semestre</v>
      </c>
    </row>
    <row r="83" spans="1:6" x14ac:dyDescent="0.25">
      <c r="A83" t="s">
        <v>4</v>
      </c>
      <c r="B83">
        <v>0</v>
      </c>
      <c r="C83" s="53">
        <v>0</v>
      </c>
      <c r="D83" s="52">
        <v>44290</v>
      </c>
      <c r="E83">
        <f t="shared" si="2"/>
        <v>2021</v>
      </c>
      <c r="F83" t="str">
        <f t="shared" si="3"/>
        <v>1ª Semestre</v>
      </c>
    </row>
    <row r="84" spans="1:6" x14ac:dyDescent="0.25">
      <c r="A84" t="s">
        <v>3</v>
      </c>
      <c r="B84">
        <v>34</v>
      </c>
      <c r="C84" s="53">
        <v>0.23287671232876711</v>
      </c>
      <c r="D84" s="52">
        <v>44290</v>
      </c>
      <c r="E84">
        <f t="shared" si="2"/>
        <v>2021</v>
      </c>
      <c r="F84" t="str">
        <f t="shared" si="3"/>
        <v>1ª Semestre</v>
      </c>
    </row>
    <row r="85" spans="1:6" x14ac:dyDescent="0.25">
      <c r="A85" t="s">
        <v>7</v>
      </c>
      <c r="B85">
        <v>15</v>
      </c>
      <c r="C85" s="53">
        <v>0.10273972602739725</v>
      </c>
      <c r="D85" s="52">
        <v>44290</v>
      </c>
      <c r="E85">
        <f t="shared" si="2"/>
        <v>2021</v>
      </c>
      <c r="F85" t="str">
        <f t="shared" si="3"/>
        <v>1ª Semestre</v>
      </c>
    </row>
    <row r="86" spans="1:6" x14ac:dyDescent="0.25">
      <c r="A86" t="s">
        <v>2</v>
      </c>
      <c r="B86">
        <v>20</v>
      </c>
      <c r="C86" s="53">
        <v>0.25974025974025972</v>
      </c>
      <c r="D86" s="52">
        <v>44298</v>
      </c>
      <c r="E86">
        <f t="shared" si="2"/>
        <v>2021</v>
      </c>
      <c r="F86" t="str">
        <f t="shared" si="3"/>
        <v>1ª Semestre</v>
      </c>
    </row>
    <row r="87" spans="1:6" x14ac:dyDescent="0.25">
      <c r="A87" t="s">
        <v>5</v>
      </c>
      <c r="B87">
        <v>6</v>
      </c>
      <c r="C87" s="53">
        <v>7.792207792207792E-2</v>
      </c>
      <c r="D87" s="52">
        <v>44298</v>
      </c>
      <c r="E87">
        <f t="shared" si="2"/>
        <v>2021</v>
      </c>
      <c r="F87" t="str">
        <f t="shared" si="3"/>
        <v>1ª Semestre</v>
      </c>
    </row>
    <row r="88" spans="1:6" x14ac:dyDescent="0.25">
      <c r="A88" t="s">
        <v>6</v>
      </c>
      <c r="B88">
        <v>1</v>
      </c>
      <c r="C88" s="53">
        <v>1.2987012987012988E-2</v>
      </c>
      <c r="D88" s="52">
        <v>44298</v>
      </c>
      <c r="E88">
        <f t="shared" si="2"/>
        <v>2021</v>
      </c>
      <c r="F88" t="str">
        <f t="shared" si="3"/>
        <v>1ª Semestre</v>
      </c>
    </row>
    <row r="89" spans="1:6" x14ac:dyDescent="0.25">
      <c r="A89" t="s">
        <v>4</v>
      </c>
      <c r="B89">
        <v>0</v>
      </c>
      <c r="C89" s="53">
        <v>0</v>
      </c>
      <c r="D89" s="52">
        <v>44298</v>
      </c>
      <c r="E89">
        <f t="shared" si="2"/>
        <v>2021</v>
      </c>
      <c r="F89" t="str">
        <f t="shared" si="3"/>
        <v>1ª Semestre</v>
      </c>
    </row>
    <row r="90" spans="1:6" x14ac:dyDescent="0.25">
      <c r="A90" t="s">
        <v>3</v>
      </c>
      <c r="B90">
        <v>38</v>
      </c>
      <c r="C90" s="53">
        <v>0.4935064935064935</v>
      </c>
      <c r="D90" s="52">
        <v>44298</v>
      </c>
      <c r="E90">
        <f t="shared" si="2"/>
        <v>2021</v>
      </c>
      <c r="F90" t="str">
        <f t="shared" si="3"/>
        <v>1ª Semestre</v>
      </c>
    </row>
    <row r="91" spans="1:6" x14ac:dyDescent="0.25">
      <c r="A91" t="s">
        <v>7</v>
      </c>
      <c r="B91">
        <v>12</v>
      </c>
      <c r="C91" s="53">
        <v>0.15584415584415584</v>
      </c>
      <c r="D91" s="52">
        <v>44298</v>
      </c>
      <c r="E91">
        <f t="shared" si="2"/>
        <v>2021</v>
      </c>
      <c r="F91" t="str">
        <f t="shared" si="3"/>
        <v>1ª Semestre</v>
      </c>
    </row>
    <row r="92" spans="1:6" x14ac:dyDescent="0.25">
      <c r="A92" t="s">
        <v>2</v>
      </c>
      <c r="B92">
        <v>86</v>
      </c>
      <c r="C92" s="53">
        <v>0.60563380281690138</v>
      </c>
      <c r="D92" s="52">
        <v>44316</v>
      </c>
      <c r="E92">
        <f t="shared" si="2"/>
        <v>2021</v>
      </c>
      <c r="F92" t="str">
        <f t="shared" si="3"/>
        <v>1ª Semestre</v>
      </c>
    </row>
    <row r="93" spans="1:6" x14ac:dyDescent="0.25">
      <c r="A93" t="s">
        <v>5</v>
      </c>
      <c r="B93">
        <v>7</v>
      </c>
      <c r="C93" s="53">
        <v>4.9295774647887321E-2</v>
      </c>
      <c r="D93" s="52">
        <v>44316</v>
      </c>
      <c r="E93">
        <f t="shared" si="2"/>
        <v>2021</v>
      </c>
      <c r="F93" t="str">
        <f t="shared" si="3"/>
        <v>1ª Semestre</v>
      </c>
    </row>
    <row r="94" spans="1:6" x14ac:dyDescent="0.25">
      <c r="A94" t="s">
        <v>6</v>
      </c>
      <c r="B94">
        <v>4</v>
      </c>
      <c r="C94" s="53">
        <v>2.8169014084507043E-2</v>
      </c>
      <c r="D94" s="52">
        <v>44316</v>
      </c>
      <c r="E94">
        <f t="shared" si="2"/>
        <v>2021</v>
      </c>
      <c r="F94" t="str">
        <f t="shared" si="3"/>
        <v>1ª Semestre</v>
      </c>
    </row>
    <row r="95" spans="1:6" x14ac:dyDescent="0.25">
      <c r="A95" t="s">
        <v>4</v>
      </c>
      <c r="B95">
        <v>0</v>
      </c>
      <c r="C95" s="53">
        <v>0</v>
      </c>
      <c r="D95" s="52">
        <v>44316</v>
      </c>
      <c r="E95">
        <f t="shared" si="2"/>
        <v>2021</v>
      </c>
      <c r="F95" t="str">
        <f t="shared" si="3"/>
        <v>1ª Semestre</v>
      </c>
    </row>
    <row r="96" spans="1:6" x14ac:dyDescent="0.25">
      <c r="A96" t="s">
        <v>3</v>
      </c>
      <c r="B96">
        <v>0</v>
      </c>
      <c r="C96" s="53">
        <v>0</v>
      </c>
      <c r="D96" s="52">
        <v>44316</v>
      </c>
      <c r="E96">
        <f t="shared" si="2"/>
        <v>2021</v>
      </c>
      <c r="F96" t="str">
        <f t="shared" si="3"/>
        <v>1ª Semestre</v>
      </c>
    </row>
    <row r="97" spans="1:6" x14ac:dyDescent="0.25">
      <c r="A97" t="s">
        <v>7</v>
      </c>
      <c r="B97">
        <v>45</v>
      </c>
      <c r="C97" s="53">
        <v>0.31690140845070425</v>
      </c>
      <c r="D97" s="52">
        <v>44316</v>
      </c>
      <c r="E97">
        <f t="shared" si="2"/>
        <v>2021</v>
      </c>
      <c r="F97" t="str">
        <f t="shared" si="3"/>
        <v>1ª Semestre</v>
      </c>
    </row>
    <row r="98" spans="1:6" x14ac:dyDescent="0.25">
      <c r="A98" t="s">
        <v>2</v>
      </c>
      <c r="B98">
        <v>109</v>
      </c>
      <c r="C98" s="53">
        <v>0.64880952380952384</v>
      </c>
      <c r="D98" s="52">
        <v>44324</v>
      </c>
      <c r="E98">
        <f t="shared" si="2"/>
        <v>2021</v>
      </c>
      <c r="F98" t="str">
        <f t="shared" si="3"/>
        <v>1ª Semestre</v>
      </c>
    </row>
    <row r="99" spans="1:6" x14ac:dyDescent="0.25">
      <c r="A99" t="s">
        <v>5</v>
      </c>
      <c r="B99">
        <v>19</v>
      </c>
      <c r="C99" s="53">
        <v>0.1130952380952381</v>
      </c>
      <c r="D99" s="52">
        <v>44324</v>
      </c>
      <c r="E99">
        <f t="shared" si="2"/>
        <v>2021</v>
      </c>
      <c r="F99" t="str">
        <f t="shared" si="3"/>
        <v>1ª Semestre</v>
      </c>
    </row>
    <row r="100" spans="1:6" x14ac:dyDescent="0.25">
      <c r="A100" t="s">
        <v>6</v>
      </c>
      <c r="B100">
        <v>3</v>
      </c>
      <c r="C100" s="53">
        <v>1.7857142857142856E-2</v>
      </c>
      <c r="D100" s="52">
        <v>44324</v>
      </c>
      <c r="E100">
        <f t="shared" si="2"/>
        <v>2021</v>
      </c>
      <c r="F100" t="str">
        <f t="shared" si="3"/>
        <v>1ª Semestre</v>
      </c>
    </row>
    <row r="101" spans="1:6" x14ac:dyDescent="0.25">
      <c r="A101" t="s">
        <v>4</v>
      </c>
      <c r="B101">
        <v>0</v>
      </c>
      <c r="C101" s="53">
        <v>0</v>
      </c>
      <c r="D101" s="52">
        <v>44324</v>
      </c>
      <c r="E101">
        <f t="shared" si="2"/>
        <v>2021</v>
      </c>
      <c r="F101" t="str">
        <f t="shared" si="3"/>
        <v>1ª Semestre</v>
      </c>
    </row>
    <row r="102" spans="1:6" x14ac:dyDescent="0.25">
      <c r="A102" t="s">
        <v>3</v>
      </c>
      <c r="B102">
        <v>0</v>
      </c>
      <c r="C102" s="53">
        <v>0</v>
      </c>
      <c r="D102" s="52">
        <v>44324</v>
      </c>
      <c r="E102">
        <f t="shared" si="2"/>
        <v>2021</v>
      </c>
      <c r="F102" t="str">
        <f t="shared" si="3"/>
        <v>1ª Semestre</v>
      </c>
    </row>
    <row r="103" spans="1:6" x14ac:dyDescent="0.25">
      <c r="A103" t="s">
        <v>7</v>
      </c>
      <c r="B103">
        <v>37</v>
      </c>
      <c r="C103" s="53">
        <v>0.22023809523809523</v>
      </c>
      <c r="D103" s="52">
        <v>44324</v>
      </c>
      <c r="E103">
        <f t="shared" si="2"/>
        <v>2021</v>
      </c>
      <c r="F103" t="str">
        <f t="shared" si="3"/>
        <v>1ª Semestre</v>
      </c>
    </row>
    <row r="104" spans="1:6" x14ac:dyDescent="0.25">
      <c r="A104" t="s">
        <v>2</v>
      </c>
      <c r="B104">
        <v>113</v>
      </c>
      <c r="C104" s="53">
        <v>0.68484848484848482</v>
      </c>
      <c r="D104" s="52">
        <v>44332</v>
      </c>
      <c r="E104">
        <f t="shared" si="2"/>
        <v>2021</v>
      </c>
      <c r="F104" t="str">
        <f t="shared" si="3"/>
        <v>1ª Semestre</v>
      </c>
    </row>
    <row r="105" spans="1:6" x14ac:dyDescent="0.25">
      <c r="A105" t="s">
        <v>5</v>
      </c>
      <c r="B105">
        <v>6</v>
      </c>
      <c r="C105" s="53">
        <v>3.6363636363636362E-2</v>
      </c>
      <c r="D105" s="52">
        <v>44332</v>
      </c>
      <c r="E105">
        <f t="shared" si="2"/>
        <v>2021</v>
      </c>
      <c r="F105" t="str">
        <f t="shared" si="3"/>
        <v>1ª Semestre</v>
      </c>
    </row>
    <row r="106" spans="1:6" x14ac:dyDescent="0.25">
      <c r="A106" t="s">
        <v>6</v>
      </c>
      <c r="B106">
        <v>5</v>
      </c>
      <c r="C106" s="53">
        <v>3.0303030303030304E-2</v>
      </c>
      <c r="D106" s="52">
        <v>44332</v>
      </c>
      <c r="E106">
        <f t="shared" si="2"/>
        <v>2021</v>
      </c>
      <c r="F106" t="str">
        <f t="shared" si="3"/>
        <v>1ª Semestre</v>
      </c>
    </row>
    <row r="107" spans="1:6" x14ac:dyDescent="0.25">
      <c r="A107" t="s">
        <v>4</v>
      </c>
      <c r="B107">
        <v>0</v>
      </c>
      <c r="C107" s="53">
        <v>0</v>
      </c>
      <c r="D107" s="52">
        <v>44332</v>
      </c>
      <c r="E107">
        <f t="shared" si="2"/>
        <v>2021</v>
      </c>
      <c r="F107" t="str">
        <f t="shared" si="3"/>
        <v>1ª Semestre</v>
      </c>
    </row>
    <row r="108" spans="1:6" x14ac:dyDescent="0.25">
      <c r="A108" t="s">
        <v>3</v>
      </c>
      <c r="B108">
        <v>0</v>
      </c>
      <c r="C108" s="53">
        <v>0</v>
      </c>
      <c r="D108" s="52">
        <v>44332</v>
      </c>
      <c r="E108">
        <f t="shared" si="2"/>
        <v>2021</v>
      </c>
      <c r="F108" t="str">
        <f t="shared" si="3"/>
        <v>1ª Semestre</v>
      </c>
    </row>
    <row r="109" spans="1:6" x14ac:dyDescent="0.25">
      <c r="A109" t="s">
        <v>7</v>
      </c>
      <c r="B109">
        <v>41</v>
      </c>
      <c r="C109" s="53">
        <v>0.24848484848484848</v>
      </c>
      <c r="D109" s="52">
        <v>44332</v>
      </c>
      <c r="E109">
        <f t="shared" si="2"/>
        <v>2021</v>
      </c>
      <c r="F109" t="str">
        <f t="shared" si="3"/>
        <v>1ª Semestre</v>
      </c>
    </row>
    <row r="110" spans="1:6" x14ac:dyDescent="0.25">
      <c r="A110" t="s">
        <v>2</v>
      </c>
      <c r="B110">
        <v>119</v>
      </c>
      <c r="C110" s="53">
        <v>0.79865771812080533</v>
      </c>
      <c r="D110" s="52">
        <v>44340</v>
      </c>
      <c r="E110">
        <f t="shared" si="2"/>
        <v>2021</v>
      </c>
      <c r="F110" t="str">
        <f t="shared" si="3"/>
        <v>1ª Semestre</v>
      </c>
    </row>
    <row r="111" spans="1:6" x14ac:dyDescent="0.25">
      <c r="A111" t="s">
        <v>5</v>
      </c>
      <c r="B111">
        <v>9</v>
      </c>
      <c r="C111" s="53">
        <v>6.0402684563758392E-2</v>
      </c>
      <c r="D111" s="52">
        <v>44340</v>
      </c>
      <c r="E111">
        <f t="shared" si="2"/>
        <v>2021</v>
      </c>
      <c r="F111" t="str">
        <f t="shared" si="3"/>
        <v>1ª Semestre</v>
      </c>
    </row>
    <row r="112" spans="1:6" x14ac:dyDescent="0.25">
      <c r="A112" t="s">
        <v>6</v>
      </c>
      <c r="B112">
        <v>1</v>
      </c>
      <c r="C112" s="53">
        <v>6.7114093959731542E-3</v>
      </c>
      <c r="D112" s="52">
        <v>44340</v>
      </c>
      <c r="E112">
        <f t="shared" si="2"/>
        <v>2021</v>
      </c>
      <c r="F112" t="str">
        <f t="shared" si="3"/>
        <v>1ª Semestre</v>
      </c>
    </row>
    <row r="113" spans="1:6" x14ac:dyDescent="0.25">
      <c r="A113" t="s">
        <v>4</v>
      </c>
      <c r="B113">
        <v>0</v>
      </c>
      <c r="C113" s="53">
        <v>0</v>
      </c>
      <c r="D113" s="52">
        <v>44340</v>
      </c>
      <c r="E113">
        <f t="shared" si="2"/>
        <v>2021</v>
      </c>
      <c r="F113" t="str">
        <f t="shared" si="3"/>
        <v>1ª Semestre</v>
      </c>
    </row>
    <row r="114" spans="1:6" x14ac:dyDescent="0.25">
      <c r="A114" t="s">
        <v>3</v>
      </c>
      <c r="B114">
        <v>0</v>
      </c>
      <c r="C114" s="53">
        <v>0</v>
      </c>
      <c r="D114" s="52">
        <v>44340</v>
      </c>
      <c r="E114">
        <f t="shared" si="2"/>
        <v>2021</v>
      </c>
      <c r="F114" t="str">
        <f t="shared" si="3"/>
        <v>1ª Semestre</v>
      </c>
    </row>
    <row r="115" spans="1:6" x14ac:dyDescent="0.25">
      <c r="A115" t="s">
        <v>7</v>
      </c>
      <c r="B115">
        <v>20</v>
      </c>
      <c r="C115" s="53">
        <v>0.13422818791946309</v>
      </c>
      <c r="D115" s="52">
        <v>44340</v>
      </c>
      <c r="E115">
        <f t="shared" si="2"/>
        <v>2021</v>
      </c>
      <c r="F115" t="str">
        <f t="shared" si="3"/>
        <v>1ª Semestre</v>
      </c>
    </row>
    <row r="116" spans="1:6" x14ac:dyDescent="0.25">
      <c r="A116" t="s">
        <v>2</v>
      </c>
      <c r="B116">
        <v>113</v>
      </c>
      <c r="C116" s="53">
        <v>0.77397260273972601</v>
      </c>
      <c r="D116" s="52">
        <v>44348</v>
      </c>
      <c r="E116">
        <f t="shared" si="2"/>
        <v>2021</v>
      </c>
      <c r="F116" t="str">
        <f t="shared" si="3"/>
        <v>1ª Semestre</v>
      </c>
    </row>
    <row r="117" spans="1:6" x14ac:dyDescent="0.25">
      <c r="A117" t="s">
        <v>5</v>
      </c>
      <c r="B117">
        <v>7</v>
      </c>
      <c r="C117" s="53">
        <v>4.7945205479452052E-2</v>
      </c>
      <c r="D117" s="52">
        <v>44348</v>
      </c>
      <c r="E117">
        <f t="shared" si="2"/>
        <v>2021</v>
      </c>
      <c r="F117" t="str">
        <f t="shared" si="3"/>
        <v>1ª Semestre</v>
      </c>
    </row>
    <row r="118" spans="1:6" x14ac:dyDescent="0.25">
      <c r="A118" t="s">
        <v>6</v>
      </c>
      <c r="B118">
        <v>0</v>
      </c>
      <c r="C118" s="53">
        <v>0</v>
      </c>
      <c r="D118" s="52">
        <v>44348</v>
      </c>
      <c r="E118">
        <f t="shared" si="2"/>
        <v>2021</v>
      </c>
      <c r="F118" t="str">
        <f t="shared" si="3"/>
        <v>1ª Semestre</v>
      </c>
    </row>
    <row r="119" spans="1:6" x14ac:dyDescent="0.25">
      <c r="A119" t="s">
        <v>4</v>
      </c>
      <c r="B119">
        <v>0</v>
      </c>
      <c r="C119" s="53">
        <v>0</v>
      </c>
      <c r="D119" s="52">
        <v>44348</v>
      </c>
      <c r="E119">
        <f t="shared" si="2"/>
        <v>2021</v>
      </c>
      <c r="F119" t="str">
        <f t="shared" si="3"/>
        <v>1ª Semestre</v>
      </c>
    </row>
    <row r="120" spans="1:6" x14ac:dyDescent="0.25">
      <c r="A120" t="s">
        <v>3</v>
      </c>
      <c r="B120">
        <v>0</v>
      </c>
      <c r="C120" s="53">
        <v>0</v>
      </c>
      <c r="D120" s="52">
        <v>44348</v>
      </c>
      <c r="E120">
        <f t="shared" si="2"/>
        <v>2021</v>
      </c>
      <c r="F120" t="str">
        <f t="shared" si="3"/>
        <v>1ª Semestre</v>
      </c>
    </row>
    <row r="121" spans="1:6" x14ac:dyDescent="0.25">
      <c r="A121" t="s">
        <v>7</v>
      </c>
      <c r="B121">
        <v>26</v>
      </c>
      <c r="C121" s="53">
        <v>0.17808219178082191</v>
      </c>
      <c r="D121" s="52">
        <v>44348</v>
      </c>
      <c r="E121">
        <f t="shared" si="2"/>
        <v>2021</v>
      </c>
      <c r="F121" t="str">
        <f t="shared" si="3"/>
        <v>1ª Semestre</v>
      </c>
    </row>
    <row r="122" spans="1:6" x14ac:dyDescent="0.25">
      <c r="A122" t="s">
        <v>2</v>
      </c>
      <c r="B122">
        <v>93</v>
      </c>
      <c r="C122" s="53">
        <v>0.80869565217391304</v>
      </c>
      <c r="D122" s="52">
        <v>44364</v>
      </c>
      <c r="E122">
        <f t="shared" si="2"/>
        <v>2021</v>
      </c>
      <c r="F122" t="str">
        <f t="shared" si="3"/>
        <v>1ª Semestre</v>
      </c>
    </row>
    <row r="123" spans="1:6" x14ac:dyDescent="0.25">
      <c r="A123" t="s">
        <v>5</v>
      </c>
      <c r="B123">
        <v>5</v>
      </c>
      <c r="C123" s="53">
        <v>4.3478260869565216E-2</v>
      </c>
      <c r="D123" s="52">
        <v>44364</v>
      </c>
      <c r="E123">
        <f t="shared" si="2"/>
        <v>2021</v>
      </c>
      <c r="F123" t="str">
        <f t="shared" si="3"/>
        <v>1ª Semestre</v>
      </c>
    </row>
    <row r="124" spans="1:6" x14ac:dyDescent="0.25">
      <c r="A124" t="s">
        <v>6</v>
      </c>
      <c r="B124">
        <v>3</v>
      </c>
      <c r="C124" s="53">
        <v>2.6086956521739129E-2</v>
      </c>
      <c r="D124" s="52">
        <v>44364</v>
      </c>
      <c r="E124">
        <f t="shared" si="2"/>
        <v>2021</v>
      </c>
      <c r="F124" t="str">
        <f t="shared" si="3"/>
        <v>1ª Semestre</v>
      </c>
    </row>
    <row r="125" spans="1:6" x14ac:dyDescent="0.25">
      <c r="A125" t="s">
        <v>4</v>
      </c>
      <c r="B125">
        <v>0</v>
      </c>
      <c r="C125" s="53">
        <v>0</v>
      </c>
      <c r="D125" s="52">
        <v>44364</v>
      </c>
      <c r="E125">
        <f t="shared" si="2"/>
        <v>2021</v>
      </c>
      <c r="F125" t="str">
        <f t="shared" si="3"/>
        <v>1ª Semestre</v>
      </c>
    </row>
    <row r="126" spans="1:6" x14ac:dyDescent="0.25">
      <c r="A126" t="s">
        <v>3</v>
      </c>
      <c r="B126">
        <v>0</v>
      </c>
      <c r="C126" s="53">
        <v>0</v>
      </c>
      <c r="D126" s="52">
        <v>44364</v>
      </c>
      <c r="E126">
        <f t="shared" si="2"/>
        <v>2021</v>
      </c>
      <c r="F126" t="str">
        <f t="shared" si="3"/>
        <v>1ª Semestre</v>
      </c>
    </row>
    <row r="127" spans="1:6" x14ac:dyDescent="0.25">
      <c r="A127" t="s">
        <v>7</v>
      </c>
      <c r="B127">
        <v>14</v>
      </c>
      <c r="C127" s="53">
        <v>0.12173913043478261</v>
      </c>
      <c r="D127" s="52">
        <v>44364</v>
      </c>
      <c r="E127">
        <f t="shared" si="2"/>
        <v>2021</v>
      </c>
      <c r="F127" t="str">
        <f t="shared" si="3"/>
        <v>1ª Semestre</v>
      </c>
    </row>
    <row r="128" spans="1:6" x14ac:dyDescent="0.25">
      <c r="A128" t="s">
        <v>2</v>
      </c>
      <c r="B128">
        <v>95</v>
      </c>
      <c r="C128" s="53">
        <v>0.7661290322580645</v>
      </c>
      <c r="D128" s="52">
        <v>44372</v>
      </c>
      <c r="E128">
        <f t="shared" si="2"/>
        <v>2021</v>
      </c>
      <c r="F128" t="str">
        <f t="shared" si="3"/>
        <v>1ª Semestre</v>
      </c>
    </row>
    <row r="129" spans="1:6" x14ac:dyDescent="0.25">
      <c r="A129" t="s">
        <v>5</v>
      </c>
      <c r="B129">
        <v>9</v>
      </c>
      <c r="C129" s="53">
        <v>7.2580645161290328E-2</v>
      </c>
      <c r="D129" s="52">
        <v>44372</v>
      </c>
      <c r="E129">
        <f t="shared" si="2"/>
        <v>2021</v>
      </c>
      <c r="F129" t="str">
        <f t="shared" si="3"/>
        <v>1ª Semestre</v>
      </c>
    </row>
    <row r="130" spans="1:6" x14ac:dyDescent="0.25">
      <c r="A130" t="s">
        <v>6</v>
      </c>
      <c r="B130">
        <v>5</v>
      </c>
      <c r="C130" s="53">
        <v>4.0322580645161289E-2</v>
      </c>
      <c r="D130" s="52">
        <v>44372</v>
      </c>
      <c r="E130">
        <f t="shared" ref="E130:E193" si="4">YEAR(D130)</f>
        <v>2021</v>
      </c>
      <c r="F130" t="str">
        <f t="shared" ref="F130:F193" si="5">IF(MONTH(D130)&lt;=6,"1ª Semestre","2ª Semestre")</f>
        <v>1ª Semestre</v>
      </c>
    </row>
    <row r="131" spans="1:6" x14ac:dyDescent="0.25">
      <c r="A131" t="s">
        <v>4</v>
      </c>
      <c r="B131">
        <v>0</v>
      </c>
      <c r="C131" s="53">
        <v>0</v>
      </c>
      <c r="D131" s="52">
        <v>44372</v>
      </c>
      <c r="E131">
        <f t="shared" si="4"/>
        <v>2021</v>
      </c>
      <c r="F131" t="str">
        <f t="shared" si="5"/>
        <v>1ª Semestre</v>
      </c>
    </row>
    <row r="132" spans="1:6" x14ac:dyDescent="0.25">
      <c r="A132" t="s">
        <v>3</v>
      </c>
      <c r="B132">
        <v>0</v>
      </c>
      <c r="C132" s="53">
        <v>0</v>
      </c>
      <c r="D132" s="52">
        <v>44372</v>
      </c>
      <c r="E132">
        <f t="shared" si="4"/>
        <v>2021</v>
      </c>
      <c r="F132" t="str">
        <f t="shared" si="5"/>
        <v>1ª Semestre</v>
      </c>
    </row>
    <row r="133" spans="1:6" x14ac:dyDescent="0.25">
      <c r="A133" t="s">
        <v>7</v>
      </c>
      <c r="B133">
        <v>15</v>
      </c>
      <c r="C133" s="53">
        <v>0.12096774193548387</v>
      </c>
      <c r="D133" s="52">
        <v>44372</v>
      </c>
      <c r="E133">
        <f t="shared" si="4"/>
        <v>2021</v>
      </c>
      <c r="F133" t="str">
        <f t="shared" si="5"/>
        <v>1ª Semestre</v>
      </c>
    </row>
    <row r="134" spans="1:6" x14ac:dyDescent="0.25">
      <c r="A134" t="s">
        <v>2</v>
      </c>
      <c r="B134">
        <v>80</v>
      </c>
      <c r="C134" s="53">
        <v>0.72727272727272729</v>
      </c>
      <c r="D134" s="52">
        <v>44380</v>
      </c>
      <c r="E134">
        <f t="shared" si="4"/>
        <v>2021</v>
      </c>
      <c r="F134" t="str">
        <f t="shared" si="5"/>
        <v>2ª Semestre</v>
      </c>
    </row>
    <row r="135" spans="1:6" x14ac:dyDescent="0.25">
      <c r="A135" t="s">
        <v>5</v>
      </c>
      <c r="B135">
        <v>5</v>
      </c>
      <c r="C135" s="53">
        <v>4.5454545454545456E-2</v>
      </c>
      <c r="D135" s="52">
        <v>44380</v>
      </c>
      <c r="E135">
        <f t="shared" si="4"/>
        <v>2021</v>
      </c>
      <c r="F135" t="str">
        <f t="shared" si="5"/>
        <v>2ª Semestre</v>
      </c>
    </row>
    <row r="136" spans="1:6" x14ac:dyDescent="0.25">
      <c r="A136" t="s">
        <v>6</v>
      </c>
      <c r="B136">
        <v>3</v>
      </c>
      <c r="C136" s="53">
        <v>2.7272727272727271E-2</v>
      </c>
      <c r="D136" s="52">
        <v>44380</v>
      </c>
      <c r="E136">
        <f t="shared" si="4"/>
        <v>2021</v>
      </c>
      <c r="F136" t="str">
        <f t="shared" si="5"/>
        <v>2ª Semestre</v>
      </c>
    </row>
    <row r="137" spans="1:6" x14ac:dyDescent="0.25">
      <c r="A137" t="s">
        <v>4</v>
      </c>
      <c r="B137">
        <v>0</v>
      </c>
      <c r="C137" s="53">
        <v>0</v>
      </c>
      <c r="D137" s="52">
        <v>44380</v>
      </c>
      <c r="E137">
        <f t="shared" si="4"/>
        <v>2021</v>
      </c>
      <c r="F137" t="str">
        <f t="shared" si="5"/>
        <v>2ª Semestre</v>
      </c>
    </row>
    <row r="138" spans="1:6" x14ac:dyDescent="0.25">
      <c r="A138" t="s">
        <v>3</v>
      </c>
      <c r="B138">
        <v>0</v>
      </c>
      <c r="C138" s="53">
        <v>0</v>
      </c>
      <c r="D138" s="52">
        <v>44380</v>
      </c>
      <c r="E138">
        <f t="shared" si="4"/>
        <v>2021</v>
      </c>
      <c r="F138" t="str">
        <f t="shared" si="5"/>
        <v>2ª Semestre</v>
      </c>
    </row>
    <row r="139" spans="1:6" x14ac:dyDescent="0.25">
      <c r="A139" t="s">
        <v>7</v>
      </c>
      <c r="B139">
        <v>22</v>
      </c>
      <c r="C139" s="53">
        <v>0.2</v>
      </c>
      <c r="D139" s="52">
        <v>44380</v>
      </c>
      <c r="E139">
        <f t="shared" si="4"/>
        <v>2021</v>
      </c>
      <c r="F139" t="str">
        <f t="shared" si="5"/>
        <v>2ª Semestre</v>
      </c>
    </row>
    <row r="140" spans="1:6" x14ac:dyDescent="0.25">
      <c r="A140" t="s">
        <v>2</v>
      </c>
      <c r="B140">
        <v>79</v>
      </c>
      <c r="C140" s="53">
        <v>0.66386554621848737</v>
      </c>
      <c r="D140" s="52">
        <v>44388</v>
      </c>
      <c r="E140">
        <f t="shared" si="4"/>
        <v>2021</v>
      </c>
      <c r="F140" t="str">
        <f t="shared" si="5"/>
        <v>2ª Semestre</v>
      </c>
    </row>
    <row r="141" spans="1:6" x14ac:dyDescent="0.25">
      <c r="A141" t="s">
        <v>5</v>
      </c>
      <c r="B141">
        <v>7</v>
      </c>
      <c r="C141" s="53">
        <v>5.8823529411764705E-2</v>
      </c>
      <c r="D141" s="52">
        <v>44388</v>
      </c>
      <c r="E141">
        <f t="shared" si="4"/>
        <v>2021</v>
      </c>
      <c r="F141" t="str">
        <f t="shared" si="5"/>
        <v>2ª Semestre</v>
      </c>
    </row>
    <row r="142" spans="1:6" x14ac:dyDescent="0.25">
      <c r="A142" t="s">
        <v>6</v>
      </c>
      <c r="B142">
        <v>3</v>
      </c>
      <c r="C142" s="53">
        <v>2.5210084033613446E-2</v>
      </c>
      <c r="D142" s="52">
        <v>44388</v>
      </c>
      <c r="E142">
        <f t="shared" si="4"/>
        <v>2021</v>
      </c>
      <c r="F142" t="str">
        <f t="shared" si="5"/>
        <v>2ª Semestre</v>
      </c>
    </row>
    <row r="143" spans="1:6" x14ac:dyDescent="0.25">
      <c r="A143" t="s">
        <v>4</v>
      </c>
      <c r="B143">
        <v>0</v>
      </c>
      <c r="C143" s="53">
        <v>0</v>
      </c>
      <c r="D143" s="52">
        <v>44388</v>
      </c>
      <c r="E143">
        <f t="shared" si="4"/>
        <v>2021</v>
      </c>
      <c r="F143" t="str">
        <f t="shared" si="5"/>
        <v>2ª Semestre</v>
      </c>
    </row>
    <row r="144" spans="1:6" x14ac:dyDescent="0.25">
      <c r="A144" t="s">
        <v>3</v>
      </c>
      <c r="B144">
        <v>0</v>
      </c>
      <c r="C144" s="53">
        <v>0</v>
      </c>
      <c r="D144" s="52">
        <v>44388</v>
      </c>
      <c r="E144">
        <f t="shared" si="4"/>
        <v>2021</v>
      </c>
      <c r="F144" t="str">
        <f t="shared" si="5"/>
        <v>2ª Semestre</v>
      </c>
    </row>
    <row r="145" spans="1:6" x14ac:dyDescent="0.25">
      <c r="A145" t="s">
        <v>7</v>
      </c>
      <c r="B145">
        <v>30</v>
      </c>
      <c r="C145" s="53">
        <v>0.25210084033613445</v>
      </c>
      <c r="D145" s="52">
        <v>44388</v>
      </c>
      <c r="E145">
        <f t="shared" si="4"/>
        <v>2021</v>
      </c>
      <c r="F145" t="str">
        <f t="shared" si="5"/>
        <v>2ª Semestre</v>
      </c>
    </row>
    <row r="146" spans="1:6" x14ac:dyDescent="0.25">
      <c r="A146" t="s">
        <v>2</v>
      </c>
      <c r="B146">
        <v>92</v>
      </c>
      <c r="C146" s="53">
        <v>0.73599999999999999</v>
      </c>
      <c r="D146" s="52">
        <v>44396</v>
      </c>
      <c r="E146">
        <f t="shared" si="4"/>
        <v>2021</v>
      </c>
      <c r="F146" t="str">
        <f t="shared" si="5"/>
        <v>2ª Semestre</v>
      </c>
    </row>
    <row r="147" spans="1:6" x14ac:dyDescent="0.25">
      <c r="A147" t="s">
        <v>5</v>
      </c>
      <c r="B147">
        <v>8</v>
      </c>
      <c r="C147" s="53">
        <v>6.4000000000000001E-2</v>
      </c>
      <c r="D147" s="52">
        <v>44396</v>
      </c>
      <c r="E147">
        <f t="shared" si="4"/>
        <v>2021</v>
      </c>
      <c r="F147" t="str">
        <f t="shared" si="5"/>
        <v>2ª Semestre</v>
      </c>
    </row>
    <row r="148" spans="1:6" x14ac:dyDescent="0.25">
      <c r="A148" t="s">
        <v>6</v>
      </c>
      <c r="B148">
        <v>2</v>
      </c>
      <c r="C148" s="53">
        <v>1.6E-2</v>
      </c>
      <c r="D148" s="52">
        <v>44396</v>
      </c>
      <c r="E148">
        <f t="shared" si="4"/>
        <v>2021</v>
      </c>
      <c r="F148" t="str">
        <f t="shared" si="5"/>
        <v>2ª Semestre</v>
      </c>
    </row>
    <row r="149" spans="1:6" x14ac:dyDescent="0.25">
      <c r="A149" t="s">
        <v>4</v>
      </c>
      <c r="B149">
        <v>3</v>
      </c>
      <c r="C149" s="53">
        <v>2.4E-2</v>
      </c>
      <c r="D149" s="52">
        <v>44396</v>
      </c>
      <c r="E149">
        <f t="shared" si="4"/>
        <v>2021</v>
      </c>
      <c r="F149" t="str">
        <f t="shared" si="5"/>
        <v>2ª Semestre</v>
      </c>
    </row>
    <row r="150" spans="1:6" x14ac:dyDescent="0.25">
      <c r="A150" t="s">
        <v>3</v>
      </c>
      <c r="B150">
        <v>0</v>
      </c>
      <c r="C150" s="53">
        <v>0</v>
      </c>
      <c r="D150" s="52">
        <v>44396</v>
      </c>
      <c r="E150">
        <f t="shared" si="4"/>
        <v>2021</v>
      </c>
      <c r="F150" t="str">
        <f t="shared" si="5"/>
        <v>2ª Semestre</v>
      </c>
    </row>
    <row r="151" spans="1:6" x14ac:dyDescent="0.25">
      <c r="A151" t="s">
        <v>7</v>
      </c>
      <c r="B151">
        <v>20</v>
      </c>
      <c r="C151" s="53">
        <v>0.16</v>
      </c>
      <c r="D151" s="52">
        <v>44396</v>
      </c>
      <c r="E151">
        <f t="shared" si="4"/>
        <v>2021</v>
      </c>
      <c r="F151" t="str">
        <f t="shared" si="5"/>
        <v>2ª Semestre</v>
      </c>
    </row>
    <row r="152" spans="1:6" x14ac:dyDescent="0.25">
      <c r="A152" t="s">
        <v>2</v>
      </c>
      <c r="B152">
        <v>83</v>
      </c>
      <c r="C152" s="53">
        <v>0.80582524271844658</v>
      </c>
      <c r="D152" s="52">
        <v>44404</v>
      </c>
      <c r="E152">
        <f t="shared" si="4"/>
        <v>2021</v>
      </c>
      <c r="F152" t="str">
        <f t="shared" si="5"/>
        <v>2ª Semestre</v>
      </c>
    </row>
    <row r="153" spans="1:6" x14ac:dyDescent="0.25">
      <c r="A153" t="s">
        <v>5</v>
      </c>
      <c r="B153">
        <v>2</v>
      </c>
      <c r="C153" s="53">
        <v>1.9417475728155338E-2</v>
      </c>
      <c r="D153" s="52">
        <v>44404</v>
      </c>
      <c r="E153">
        <f t="shared" si="4"/>
        <v>2021</v>
      </c>
      <c r="F153" t="str">
        <f t="shared" si="5"/>
        <v>2ª Semestre</v>
      </c>
    </row>
    <row r="154" spans="1:6" x14ac:dyDescent="0.25">
      <c r="A154" t="s">
        <v>6</v>
      </c>
      <c r="B154">
        <v>0</v>
      </c>
      <c r="C154" s="53">
        <v>0</v>
      </c>
      <c r="D154" s="52">
        <v>44404</v>
      </c>
      <c r="E154">
        <f t="shared" si="4"/>
        <v>2021</v>
      </c>
      <c r="F154" t="str">
        <f t="shared" si="5"/>
        <v>2ª Semestre</v>
      </c>
    </row>
    <row r="155" spans="1:6" x14ac:dyDescent="0.25">
      <c r="A155" t="s">
        <v>4</v>
      </c>
      <c r="B155">
        <v>0</v>
      </c>
      <c r="C155" s="53">
        <v>0</v>
      </c>
      <c r="D155" s="52">
        <v>44404</v>
      </c>
      <c r="E155">
        <f t="shared" si="4"/>
        <v>2021</v>
      </c>
      <c r="F155" t="str">
        <f t="shared" si="5"/>
        <v>2ª Semestre</v>
      </c>
    </row>
    <row r="156" spans="1:6" x14ac:dyDescent="0.25">
      <c r="A156" t="s">
        <v>3</v>
      </c>
      <c r="B156">
        <v>0</v>
      </c>
      <c r="C156" s="53">
        <v>0</v>
      </c>
      <c r="D156" s="52">
        <v>44404</v>
      </c>
      <c r="E156">
        <f t="shared" si="4"/>
        <v>2021</v>
      </c>
      <c r="F156" t="str">
        <f t="shared" si="5"/>
        <v>2ª Semestre</v>
      </c>
    </row>
    <row r="157" spans="1:6" x14ac:dyDescent="0.25">
      <c r="A157" t="s">
        <v>7</v>
      </c>
      <c r="B157">
        <v>18</v>
      </c>
      <c r="C157" s="53">
        <v>0.17475728155339806</v>
      </c>
      <c r="D157" s="52">
        <v>44404</v>
      </c>
      <c r="E157">
        <f t="shared" si="4"/>
        <v>2021</v>
      </c>
      <c r="F157" t="str">
        <f t="shared" si="5"/>
        <v>2ª Semestre</v>
      </c>
    </row>
    <row r="158" spans="1:6" x14ac:dyDescent="0.25">
      <c r="A158" t="s">
        <v>2</v>
      </c>
      <c r="B158">
        <v>102</v>
      </c>
      <c r="C158" s="53">
        <v>0.76691729323308266</v>
      </c>
      <c r="D158" s="52">
        <v>44412</v>
      </c>
      <c r="E158">
        <f t="shared" si="4"/>
        <v>2021</v>
      </c>
      <c r="F158" t="str">
        <f t="shared" si="5"/>
        <v>2ª Semestre</v>
      </c>
    </row>
    <row r="159" spans="1:6" x14ac:dyDescent="0.25">
      <c r="A159" t="s">
        <v>5</v>
      </c>
      <c r="B159">
        <v>6</v>
      </c>
      <c r="C159" s="53">
        <v>4.5112781954887216E-2</v>
      </c>
      <c r="D159" s="52">
        <v>44412</v>
      </c>
      <c r="E159">
        <f t="shared" si="4"/>
        <v>2021</v>
      </c>
      <c r="F159" t="str">
        <f t="shared" si="5"/>
        <v>2ª Semestre</v>
      </c>
    </row>
    <row r="160" spans="1:6" x14ac:dyDescent="0.25">
      <c r="A160" t="s">
        <v>6</v>
      </c>
      <c r="B160">
        <v>3</v>
      </c>
      <c r="C160" s="53">
        <v>2.2556390977443608E-2</v>
      </c>
      <c r="D160" s="52">
        <v>44412</v>
      </c>
      <c r="E160">
        <f t="shared" si="4"/>
        <v>2021</v>
      </c>
      <c r="F160" t="str">
        <f t="shared" si="5"/>
        <v>2ª Semestre</v>
      </c>
    </row>
    <row r="161" spans="1:6" x14ac:dyDescent="0.25">
      <c r="A161" t="s">
        <v>4</v>
      </c>
      <c r="B161">
        <v>0</v>
      </c>
      <c r="C161" s="53">
        <v>0</v>
      </c>
      <c r="D161" s="52">
        <v>44412</v>
      </c>
      <c r="E161">
        <f t="shared" si="4"/>
        <v>2021</v>
      </c>
      <c r="F161" t="str">
        <f t="shared" si="5"/>
        <v>2ª Semestre</v>
      </c>
    </row>
    <row r="162" spans="1:6" x14ac:dyDescent="0.25">
      <c r="A162" t="s">
        <v>3</v>
      </c>
      <c r="B162">
        <v>0</v>
      </c>
      <c r="C162" s="53">
        <v>0</v>
      </c>
      <c r="D162" s="52">
        <v>44412</v>
      </c>
      <c r="E162">
        <f t="shared" si="4"/>
        <v>2021</v>
      </c>
      <c r="F162" t="str">
        <f t="shared" si="5"/>
        <v>2ª Semestre</v>
      </c>
    </row>
    <row r="163" spans="1:6" x14ac:dyDescent="0.25">
      <c r="A163" t="s">
        <v>7</v>
      </c>
      <c r="B163">
        <v>22</v>
      </c>
      <c r="C163" s="53">
        <v>0.16541353383458646</v>
      </c>
      <c r="D163" s="52">
        <v>44412</v>
      </c>
      <c r="E163">
        <f t="shared" si="4"/>
        <v>2021</v>
      </c>
      <c r="F163" t="str">
        <f t="shared" si="5"/>
        <v>2ª Semestre</v>
      </c>
    </row>
    <row r="164" spans="1:6" x14ac:dyDescent="0.25">
      <c r="A164" t="s">
        <v>2</v>
      </c>
      <c r="B164">
        <v>98</v>
      </c>
      <c r="C164" s="53">
        <v>0.72592592592592597</v>
      </c>
      <c r="D164" s="52">
        <v>44420</v>
      </c>
      <c r="E164">
        <f t="shared" si="4"/>
        <v>2021</v>
      </c>
      <c r="F164" t="str">
        <f t="shared" si="5"/>
        <v>2ª Semestre</v>
      </c>
    </row>
    <row r="165" spans="1:6" x14ac:dyDescent="0.25">
      <c r="A165" t="s">
        <v>5</v>
      </c>
      <c r="B165">
        <v>11</v>
      </c>
      <c r="C165" s="53">
        <v>8.1481481481481488E-2</v>
      </c>
      <c r="D165" s="52">
        <v>44420</v>
      </c>
      <c r="E165">
        <f t="shared" si="4"/>
        <v>2021</v>
      </c>
      <c r="F165" t="str">
        <f t="shared" si="5"/>
        <v>2ª Semestre</v>
      </c>
    </row>
    <row r="166" spans="1:6" x14ac:dyDescent="0.25">
      <c r="A166" t="s">
        <v>6</v>
      </c>
      <c r="B166">
        <v>7</v>
      </c>
      <c r="C166" s="53">
        <v>5.185185185185185E-2</v>
      </c>
      <c r="D166" s="52">
        <v>44420</v>
      </c>
      <c r="E166">
        <f t="shared" si="4"/>
        <v>2021</v>
      </c>
      <c r="F166" t="str">
        <f t="shared" si="5"/>
        <v>2ª Semestre</v>
      </c>
    </row>
    <row r="167" spans="1:6" x14ac:dyDescent="0.25">
      <c r="A167" t="s">
        <v>4</v>
      </c>
      <c r="B167">
        <v>0</v>
      </c>
      <c r="C167" s="53">
        <v>0</v>
      </c>
      <c r="D167" s="52">
        <v>44420</v>
      </c>
      <c r="E167">
        <f t="shared" si="4"/>
        <v>2021</v>
      </c>
      <c r="F167" t="str">
        <f t="shared" si="5"/>
        <v>2ª Semestre</v>
      </c>
    </row>
    <row r="168" spans="1:6" x14ac:dyDescent="0.25">
      <c r="A168" t="s">
        <v>3</v>
      </c>
      <c r="B168">
        <v>0</v>
      </c>
      <c r="C168" s="53">
        <v>0</v>
      </c>
      <c r="D168" s="52">
        <v>44420</v>
      </c>
      <c r="E168">
        <f t="shared" si="4"/>
        <v>2021</v>
      </c>
      <c r="F168" t="str">
        <f t="shared" si="5"/>
        <v>2ª Semestre</v>
      </c>
    </row>
    <row r="169" spans="1:6" x14ac:dyDescent="0.25">
      <c r="A169" t="s">
        <v>7</v>
      </c>
      <c r="B169">
        <v>19</v>
      </c>
      <c r="C169" s="53">
        <v>0.14074074074074075</v>
      </c>
      <c r="D169" s="52">
        <v>44420</v>
      </c>
      <c r="E169">
        <f t="shared" si="4"/>
        <v>2021</v>
      </c>
      <c r="F169" t="str">
        <f t="shared" si="5"/>
        <v>2ª Semestre</v>
      </c>
    </row>
    <row r="170" spans="1:6" x14ac:dyDescent="0.25">
      <c r="A170" t="s">
        <v>2</v>
      </c>
      <c r="B170">
        <v>112</v>
      </c>
      <c r="C170" s="53">
        <v>0.76190476190476186</v>
      </c>
      <c r="D170" s="52">
        <v>44428</v>
      </c>
      <c r="E170">
        <f t="shared" si="4"/>
        <v>2021</v>
      </c>
      <c r="F170" t="str">
        <f t="shared" si="5"/>
        <v>2ª Semestre</v>
      </c>
    </row>
    <row r="171" spans="1:6" x14ac:dyDescent="0.25">
      <c r="A171" t="s">
        <v>5</v>
      </c>
      <c r="B171">
        <v>4</v>
      </c>
      <c r="C171" s="53">
        <v>2.7210884353741496E-2</v>
      </c>
      <c r="D171" s="52">
        <v>44428</v>
      </c>
      <c r="E171">
        <f t="shared" si="4"/>
        <v>2021</v>
      </c>
      <c r="F171" t="str">
        <f t="shared" si="5"/>
        <v>2ª Semestre</v>
      </c>
    </row>
    <row r="172" spans="1:6" x14ac:dyDescent="0.25">
      <c r="A172" t="s">
        <v>6</v>
      </c>
      <c r="B172">
        <v>3</v>
      </c>
      <c r="C172" s="53">
        <v>2.0408163265306121E-2</v>
      </c>
      <c r="D172" s="52">
        <v>44428</v>
      </c>
      <c r="E172">
        <f t="shared" si="4"/>
        <v>2021</v>
      </c>
      <c r="F172" t="str">
        <f t="shared" si="5"/>
        <v>2ª Semestre</v>
      </c>
    </row>
    <row r="173" spans="1:6" x14ac:dyDescent="0.25">
      <c r="A173" t="s">
        <v>4</v>
      </c>
      <c r="B173">
        <v>0</v>
      </c>
      <c r="C173" s="53">
        <v>0</v>
      </c>
      <c r="D173" s="52">
        <v>44428</v>
      </c>
      <c r="E173">
        <f t="shared" si="4"/>
        <v>2021</v>
      </c>
      <c r="F173" t="str">
        <f t="shared" si="5"/>
        <v>2ª Semestre</v>
      </c>
    </row>
    <row r="174" spans="1:6" x14ac:dyDescent="0.25">
      <c r="A174" t="s">
        <v>3</v>
      </c>
      <c r="B174">
        <v>0</v>
      </c>
      <c r="C174" s="53">
        <v>0</v>
      </c>
      <c r="D174" s="52">
        <v>44428</v>
      </c>
      <c r="E174">
        <f t="shared" si="4"/>
        <v>2021</v>
      </c>
      <c r="F174" t="str">
        <f t="shared" si="5"/>
        <v>2ª Semestre</v>
      </c>
    </row>
    <row r="175" spans="1:6" x14ac:dyDescent="0.25">
      <c r="A175" t="s">
        <v>7</v>
      </c>
      <c r="B175">
        <v>28</v>
      </c>
      <c r="C175" s="53">
        <v>0.19047619047619047</v>
      </c>
      <c r="D175" s="52">
        <v>44428</v>
      </c>
      <c r="E175">
        <f t="shared" si="4"/>
        <v>2021</v>
      </c>
      <c r="F175" t="str">
        <f t="shared" si="5"/>
        <v>2ª Semestre</v>
      </c>
    </row>
    <row r="176" spans="1:6" x14ac:dyDescent="0.25">
      <c r="A176" t="s">
        <v>2</v>
      </c>
      <c r="B176">
        <v>153</v>
      </c>
      <c r="C176" s="53">
        <v>0.7766497461928934</v>
      </c>
      <c r="D176" s="52">
        <v>44436</v>
      </c>
      <c r="E176">
        <f t="shared" si="4"/>
        <v>2021</v>
      </c>
      <c r="F176" t="str">
        <f t="shared" si="5"/>
        <v>2ª Semestre</v>
      </c>
    </row>
    <row r="177" spans="1:6" x14ac:dyDescent="0.25">
      <c r="A177" t="s">
        <v>5</v>
      </c>
      <c r="B177">
        <v>7</v>
      </c>
      <c r="C177" s="53">
        <v>3.553299492385787E-2</v>
      </c>
      <c r="D177" s="52">
        <v>44436</v>
      </c>
      <c r="E177">
        <f t="shared" si="4"/>
        <v>2021</v>
      </c>
      <c r="F177" t="str">
        <f t="shared" si="5"/>
        <v>2ª Semestre</v>
      </c>
    </row>
    <row r="178" spans="1:6" x14ac:dyDescent="0.25">
      <c r="A178" t="s">
        <v>6</v>
      </c>
      <c r="B178">
        <v>1</v>
      </c>
      <c r="C178" s="53">
        <v>5.076142131979695E-3</v>
      </c>
      <c r="D178" s="52">
        <v>44436</v>
      </c>
      <c r="E178">
        <f t="shared" si="4"/>
        <v>2021</v>
      </c>
      <c r="F178" t="str">
        <f t="shared" si="5"/>
        <v>2ª Semestre</v>
      </c>
    </row>
    <row r="179" spans="1:6" x14ac:dyDescent="0.25">
      <c r="A179" t="s">
        <v>4</v>
      </c>
      <c r="B179">
        <v>0</v>
      </c>
      <c r="C179" s="53">
        <v>0</v>
      </c>
      <c r="D179" s="52">
        <v>44436</v>
      </c>
      <c r="E179">
        <f t="shared" si="4"/>
        <v>2021</v>
      </c>
      <c r="F179" t="str">
        <f t="shared" si="5"/>
        <v>2ª Semestre</v>
      </c>
    </row>
    <row r="180" spans="1:6" x14ac:dyDescent="0.25">
      <c r="A180" t="s">
        <v>3</v>
      </c>
      <c r="B180">
        <v>0</v>
      </c>
      <c r="C180" s="53">
        <v>0</v>
      </c>
      <c r="D180" s="52">
        <v>44436</v>
      </c>
      <c r="E180">
        <f t="shared" si="4"/>
        <v>2021</v>
      </c>
      <c r="F180" t="str">
        <f t="shared" si="5"/>
        <v>2ª Semestre</v>
      </c>
    </row>
    <row r="181" spans="1:6" x14ac:dyDescent="0.25">
      <c r="A181" t="s">
        <v>7</v>
      </c>
      <c r="B181">
        <v>36</v>
      </c>
      <c r="C181" s="53">
        <v>0.18274111675126903</v>
      </c>
      <c r="D181" s="52">
        <v>44436</v>
      </c>
      <c r="E181">
        <f t="shared" si="4"/>
        <v>2021</v>
      </c>
      <c r="F181" t="str">
        <f t="shared" si="5"/>
        <v>2ª Semestre</v>
      </c>
    </row>
    <row r="182" spans="1:6" x14ac:dyDescent="0.25">
      <c r="A182" t="s">
        <v>2</v>
      </c>
      <c r="B182">
        <v>194</v>
      </c>
      <c r="C182" s="53">
        <v>0.88990825688073394</v>
      </c>
      <c r="D182" s="52">
        <v>44444</v>
      </c>
      <c r="E182">
        <f t="shared" si="4"/>
        <v>2021</v>
      </c>
      <c r="F182" t="str">
        <f t="shared" si="5"/>
        <v>2ª Semestre</v>
      </c>
    </row>
    <row r="183" spans="1:6" x14ac:dyDescent="0.25">
      <c r="A183" t="s">
        <v>5</v>
      </c>
      <c r="B183">
        <v>4</v>
      </c>
      <c r="C183" s="53">
        <v>1.834862385321101E-2</v>
      </c>
      <c r="D183" s="52">
        <v>44444</v>
      </c>
      <c r="E183">
        <f t="shared" si="4"/>
        <v>2021</v>
      </c>
      <c r="F183" t="str">
        <f t="shared" si="5"/>
        <v>2ª Semestre</v>
      </c>
    </row>
    <row r="184" spans="1:6" x14ac:dyDescent="0.25">
      <c r="A184" t="s">
        <v>6</v>
      </c>
      <c r="B184">
        <v>2</v>
      </c>
      <c r="C184" s="53">
        <v>9.1743119266055051E-3</v>
      </c>
      <c r="D184" s="52">
        <v>44444</v>
      </c>
      <c r="E184">
        <f t="shared" si="4"/>
        <v>2021</v>
      </c>
      <c r="F184" t="str">
        <f t="shared" si="5"/>
        <v>2ª Semestre</v>
      </c>
    </row>
    <row r="185" spans="1:6" x14ac:dyDescent="0.25">
      <c r="A185" t="s">
        <v>4</v>
      </c>
      <c r="B185">
        <v>0</v>
      </c>
      <c r="C185" s="53">
        <v>0</v>
      </c>
      <c r="D185" s="52">
        <v>44444</v>
      </c>
      <c r="E185">
        <f t="shared" si="4"/>
        <v>2021</v>
      </c>
      <c r="F185" t="str">
        <f t="shared" si="5"/>
        <v>2ª Semestre</v>
      </c>
    </row>
    <row r="186" spans="1:6" x14ac:dyDescent="0.25">
      <c r="A186" t="s">
        <v>3</v>
      </c>
      <c r="B186">
        <v>0</v>
      </c>
      <c r="C186" s="53">
        <v>0</v>
      </c>
      <c r="D186" s="52">
        <v>44444</v>
      </c>
      <c r="E186">
        <f t="shared" si="4"/>
        <v>2021</v>
      </c>
      <c r="F186" t="str">
        <f t="shared" si="5"/>
        <v>2ª Semestre</v>
      </c>
    </row>
    <row r="187" spans="1:6" x14ac:dyDescent="0.25">
      <c r="A187" t="s">
        <v>7</v>
      </c>
      <c r="B187">
        <v>18</v>
      </c>
      <c r="C187" s="53">
        <v>8.2568807339449546E-2</v>
      </c>
      <c r="D187" s="52">
        <v>44444</v>
      </c>
      <c r="E187">
        <f t="shared" si="4"/>
        <v>2021</v>
      </c>
      <c r="F187" t="str">
        <f t="shared" si="5"/>
        <v>2ª Semestre</v>
      </c>
    </row>
    <row r="188" spans="1:6" x14ac:dyDescent="0.25">
      <c r="A188" t="s">
        <v>2</v>
      </c>
      <c r="B188">
        <v>156</v>
      </c>
      <c r="C188" s="53">
        <v>0.82539682539682535</v>
      </c>
      <c r="D188" s="52">
        <v>44452</v>
      </c>
      <c r="E188">
        <f t="shared" si="4"/>
        <v>2021</v>
      </c>
      <c r="F188" t="str">
        <f t="shared" si="5"/>
        <v>2ª Semestre</v>
      </c>
    </row>
    <row r="189" spans="1:6" x14ac:dyDescent="0.25">
      <c r="A189" t="s">
        <v>5</v>
      </c>
      <c r="B189">
        <v>7</v>
      </c>
      <c r="C189" s="53">
        <v>3.7037037037037035E-2</v>
      </c>
      <c r="D189" s="52">
        <v>44452</v>
      </c>
      <c r="E189">
        <f t="shared" si="4"/>
        <v>2021</v>
      </c>
      <c r="F189" t="str">
        <f t="shared" si="5"/>
        <v>2ª Semestre</v>
      </c>
    </row>
    <row r="190" spans="1:6" x14ac:dyDescent="0.25">
      <c r="A190" t="s">
        <v>6</v>
      </c>
      <c r="B190">
        <v>6</v>
      </c>
      <c r="C190" s="53">
        <v>3.1746031746031744E-2</v>
      </c>
      <c r="D190" s="52">
        <v>44452</v>
      </c>
      <c r="E190">
        <f t="shared" si="4"/>
        <v>2021</v>
      </c>
      <c r="F190" t="str">
        <f t="shared" si="5"/>
        <v>2ª Semestre</v>
      </c>
    </row>
    <row r="191" spans="1:6" x14ac:dyDescent="0.25">
      <c r="A191" t="s">
        <v>4</v>
      </c>
      <c r="B191">
        <v>0</v>
      </c>
      <c r="C191" s="53">
        <v>0</v>
      </c>
      <c r="D191" s="52">
        <v>44452</v>
      </c>
      <c r="E191">
        <f t="shared" si="4"/>
        <v>2021</v>
      </c>
      <c r="F191" t="str">
        <f t="shared" si="5"/>
        <v>2ª Semestre</v>
      </c>
    </row>
    <row r="192" spans="1:6" x14ac:dyDescent="0.25">
      <c r="A192" t="s">
        <v>3</v>
      </c>
      <c r="B192">
        <v>0</v>
      </c>
      <c r="C192" s="53">
        <v>0</v>
      </c>
      <c r="D192" s="52">
        <v>44452</v>
      </c>
      <c r="E192">
        <f t="shared" si="4"/>
        <v>2021</v>
      </c>
      <c r="F192" t="str">
        <f t="shared" si="5"/>
        <v>2ª Semestre</v>
      </c>
    </row>
    <row r="193" spans="1:6" x14ac:dyDescent="0.25">
      <c r="A193" t="s">
        <v>7</v>
      </c>
      <c r="B193">
        <v>20</v>
      </c>
      <c r="C193" s="53">
        <v>0.10582010582010581</v>
      </c>
      <c r="D193" s="52">
        <v>44452</v>
      </c>
      <c r="E193">
        <f t="shared" si="4"/>
        <v>2021</v>
      </c>
      <c r="F193" t="str">
        <f t="shared" si="5"/>
        <v>2ª Semestre</v>
      </c>
    </row>
    <row r="194" spans="1:6" x14ac:dyDescent="0.25">
      <c r="A194" t="s">
        <v>2</v>
      </c>
      <c r="B194">
        <v>127</v>
      </c>
      <c r="C194" s="53">
        <v>0.79374999999999996</v>
      </c>
      <c r="D194" s="52">
        <v>44459</v>
      </c>
      <c r="E194">
        <f t="shared" ref="E194:E257" si="6">YEAR(D194)</f>
        <v>2021</v>
      </c>
      <c r="F194" t="str">
        <f t="shared" ref="F194:F257" si="7">IF(MONTH(D194)&lt;=6,"1ª Semestre","2ª Semestre")</f>
        <v>2ª Semestre</v>
      </c>
    </row>
    <row r="195" spans="1:6" x14ac:dyDescent="0.25">
      <c r="A195" t="s">
        <v>5</v>
      </c>
      <c r="B195">
        <v>3</v>
      </c>
      <c r="C195" s="53">
        <v>1.8749999999999999E-2</v>
      </c>
      <c r="D195" s="52">
        <v>44459</v>
      </c>
      <c r="E195">
        <f t="shared" si="6"/>
        <v>2021</v>
      </c>
      <c r="F195" t="str">
        <f t="shared" si="7"/>
        <v>2ª Semestre</v>
      </c>
    </row>
    <row r="196" spans="1:6" x14ac:dyDescent="0.25">
      <c r="A196" t="s">
        <v>6</v>
      </c>
      <c r="B196">
        <v>4</v>
      </c>
      <c r="C196" s="53">
        <v>2.5000000000000001E-2</v>
      </c>
      <c r="D196" s="52">
        <v>44459</v>
      </c>
      <c r="E196">
        <f t="shared" si="6"/>
        <v>2021</v>
      </c>
      <c r="F196" t="str">
        <f t="shared" si="7"/>
        <v>2ª Semestre</v>
      </c>
    </row>
    <row r="197" spans="1:6" x14ac:dyDescent="0.25">
      <c r="A197" t="s">
        <v>4</v>
      </c>
      <c r="B197">
        <v>0</v>
      </c>
      <c r="C197" s="53">
        <v>0</v>
      </c>
      <c r="D197" s="52">
        <v>44459</v>
      </c>
      <c r="E197">
        <f t="shared" si="6"/>
        <v>2021</v>
      </c>
      <c r="F197" t="str">
        <f t="shared" si="7"/>
        <v>2ª Semestre</v>
      </c>
    </row>
    <row r="198" spans="1:6" x14ac:dyDescent="0.25">
      <c r="A198" t="s">
        <v>3</v>
      </c>
      <c r="B198">
        <v>0</v>
      </c>
      <c r="C198" s="53">
        <v>0</v>
      </c>
      <c r="D198" s="52">
        <v>44459</v>
      </c>
      <c r="E198">
        <f t="shared" si="6"/>
        <v>2021</v>
      </c>
      <c r="F198" t="str">
        <f t="shared" si="7"/>
        <v>2ª Semestre</v>
      </c>
    </row>
    <row r="199" spans="1:6" x14ac:dyDescent="0.25">
      <c r="A199" t="s">
        <v>7</v>
      </c>
      <c r="B199">
        <v>26</v>
      </c>
      <c r="C199" s="53">
        <v>0.16250000000000001</v>
      </c>
      <c r="D199" s="52">
        <v>44459</v>
      </c>
      <c r="E199">
        <f t="shared" si="6"/>
        <v>2021</v>
      </c>
      <c r="F199" t="str">
        <f t="shared" si="7"/>
        <v>2ª Semestre</v>
      </c>
    </row>
    <row r="200" spans="1:6" x14ac:dyDescent="0.25">
      <c r="A200" t="s">
        <v>2</v>
      </c>
      <c r="B200">
        <v>152</v>
      </c>
      <c r="C200" s="53">
        <v>0.78350515463917525</v>
      </c>
      <c r="D200" s="52">
        <v>44466</v>
      </c>
      <c r="E200">
        <f t="shared" si="6"/>
        <v>2021</v>
      </c>
      <c r="F200" t="str">
        <f t="shared" si="7"/>
        <v>2ª Semestre</v>
      </c>
    </row>
    <row r="201" spans="1:6" x14ac:dyDescent="0.25">
      <c r="A201" t="s">
        <v>5</v>
      </c>
      <c r="B201">
        <v>4</v>
      </c>
      <c r="C201" s="53">
        <v>2.0618556701030927E-2</v>
      </c>
      <c r="D201" s="52">
        <v>44466</v>
      </c>
      <c r="E201">
        <f t="shared" si="6"/>
        <v>2021</v>
      </c>
      <c r="F201" t="str">
        <f t="shared" si="7"/>
        <v>2ª Semestre</v>
      </c>
    </row>
    <row r="202" spans="1:6" x14ac:dyDescent="0.25">
      <c r="A202" t="s">
        <v>6</v>
      </c>
      <c r="B202">
        <v>2</v>
      </c>
      <c r="C202" s="53">
        <v>1.0309278350515464E-2</v>
      </c>
      <c r="D202" s="52">
        <v>44466</v>
      </c>
      <c r="E202">
        <f t="shared" si="6"/>
        <v>2021</v>
      </c>
      <c r="F202" t="str">
        <f t="shared" si="7"/>
        <v>2ª Semestre</v>
      </c>
    </row>
    <row r="203" spans="1:6" x14ac:dyDescent="0.25">
      <c r="A203" t="s">
        <v>4</v>
      </c>
      <c r="B203">
        <v>0</v>
      </c>
      <c r="C203" s="53">
        <v>0</v>
      </c>
      <c r="D203" s="52">
        <v>44466</v>
      </c>
      <c r="E203">
        <f t="shared" si="6"/>
        <v>2021</v>
      </c>
      <c r="F203" t="str">
        <f t="shared" si="7"/>
        <v>2ª Semestre</v>
      </c>
    </row>
    <row r="204" spans="1:6" x14ac:dyDescent="0.25">
      <c r="A204" t="s">
        <v>3</v>
      </c>
      <c r="B204">
        <v>0</v>
      </c>
      <c r="C204" s="53">
        <v>0</v>
      </c>
      <c r="D204" s="52">
        <v>44466</v>
      </c>
      <c r="E204">
        <f t="shared" si="6"/>
        <v>2021</v>
      </c>
      <c r="F204" t="str">
        <f t="shared" si="7"/>
        <v>2ª Semestre</v>
      </c>
    </row>
    <row r="205" spans="1:6" x14ac:dyDescent="0.25">
      <c r="A205" t="s">
        <v>7</v>
      </c>
      <c r="B205">
        <v>36</v>
      </c>
      <c r="C205" s="53">
        <v>0.18556701030927836</v>
      </c>
      <c r="D205" s="52">
        <v>44466</v>
      </c>
      <c r="E205">
        <f t="shared" si="6"/>
        <v>2021</v>
      </c>
      <c r="F205" t="str">
        <f t="shared" si="7"/>
        <v>2ª Semestre</v>
      </c>
    </row>
    <row r="206" spans="1:6" x14ac:dyDescent="0.25">
      <c r="A206" t="s">
        <v>2</v>
      </c>
      <c r="B206">
        <v>170</v>
      </c>
      <c r="C206" s="53">
        <v>0.87179487179487181</v>
      </c>
      <c r="D206" s="52">
        <v>44473</v>
      </c>
      <c r="E206">
        <f t="shared" si="6"/>
        <v>2021</v>
      </c>
      <c r="F206" t="str">
        <f t="shared" si="7"/>
        <v>2ª Semestre</v>
      </c>
    </row>
    <row r="207" spans="1:6" x14ac:dyDescent="0.25">
      <c r="A207" t="s">
        <v>5</v>
      </c>
      <c r="B207">
        <v>4</v>
      </c>
      <c r="C207" s="53">
        <v>2.0512820512820513E-2</v>
      </c>
      <c r="D207" s="52">
        <v>44473</v>
      </c>
      <c r="E207">
        <f t="shared" si="6"/>
        <v>2021</v>
      </c>
      <c r="F207" t="str">
        <f t="shared" si="7"/>
        <v>2ª Semestre</v>
      </c>
    </row>
    <row r="208" spans="1:6" x14ac:dyDescent="0.25">
      <c r="A208" t="s">
        <v>6</v>
      </c>
      <c r="B208">
        <v>0</v>
      </c>
      <c r="C208" s="53">
        <v>0</v>
      </c>
      <c r="D208" s="52">
        <v>44473</v>
      </c>
      <c r="E208">
        <f t="shared" si="6"/>
        <v>2021</v>
      </c>
      <c r="F208" t="str">
        <f t="shared" si="7"/>
        <v>2ª Semestre</v>
      </c>
    </row>
    <row r="209" spans="1:6" x14ac:dyDescent="0.25">
      <c r="A209" t="s">
        <v>4</v>
      </c>
      <c r="B209">
        <v>0</v>
      </c>
      <c r="C209" s="53">
        <v>0</v>
      </c>
      <c r="D209" s="52">
        <v>44473</v>
      </c>
      <c r="E209">
        <f t="shared" si="6"/>
        <v>2021</v>
      </c>
      <c r="F209" t="str">
        <f t="shared" si="7"/>
        <v>2ª Semestre</v>
      </c>
    </row>
    <row r="210" spans="1:6" x14ac:dyDescent="0.25">
      <c r="A210" t="s">
        <v>3</v>
      </c>
      <c r="B210">
        <v>0</v>
      </c>
      <c r="C210" s="53">
        <v>0</v>
      </c>
      <c r="D210" s="52">
        <v>44473</v>
      </c>
      <c r="E210">
        <f t="shared" si="6"/>
        <v>2021</v>
      </c>
      <c r="F210" t="str">
        <f t="shared" si="7"/>
        <v>2ª Semestre</v>
      </c>
    </row>
    <row r="211" spans="1:6" x14ac:dyDescent="0.25">
      <c r="A211" t="s">
        <v>7</v>
      </c>
      <c r="B211">
        <v>21</v>
      </c>
      <c r="C211" s="53">
        <v>0.1076923076923077</v>
      </c>
      <c r="D211" s="52">
        <v>44473</v>
      </c>
      <c r="E211">
        <f t="shared" si="6"/>
        <v>2021</v>
      </c>
      <c r="F211" t="str">
        <f t="shared" si="7"/>
        <v>2ª Semestre</v>
      </c>
    </row>
    <row r="212" spans="1:6" x14ac:dyDescent="0.25">
      <c r="A212" t="s">
        <v>2</v>
      </c>
      <c r="B212">
        <v>20</v>
      </c>
      <c r="C212" s="53">
        <v>0.30769230769230771</v>
      </c>
      <c r="D212" s="52">
        <v>44480</v>
      </c>
      <c r="E212">
        <f t="shared" si="6"/>
        <v>2021</v>
      </c>
      <c r="F212" t="str">
        <f t="shared" si="7"/>
        <v>2ª Semestre</v>
      </c>
    </row>
    <row r="213" spans="1:6" x14ac:dyDescent="0.25">
      <c r="A213" t="s">
        <v>5</v>
      </c>
      <c r="B213">
        <v>2</v>
      </c>
      <c r="C213" s="53">
        <v>3.0769230769230771E-2</v>
      </c>
      <c r="D213" s="52">
        <v>44480</v>
      </c>
      <c r="E213">
        <f t="shared" si="6"/>
        <v>2021</v>
      </c>
      <c r="F213" t="str">
        <f t="shared" si="7"/>
        <v>2ª Semestre</v>
      </c>
    </row>
    <row r="214" spans="1:6" x14ac:dyDescent="0.25">
      <c r="A214" t="s">
        <v>6</v>
      </c>
      <c r="B214">
        <v>0</v>
      </c>
      <c r="C214" s="53">
        <v>0</v>
      </c>
      <c r="D214" s="52">
        <v>44480</v>
      </c>
      <c r="E214">
        <f t="shared" si="6"/>
        <v>2021</v>
      </c>
      <c r="F214" t="str">
        <f t="shared" si="7"/>
        <v>2ª Semestre</v>
      </c>
    </row>
    <row r="215" spans="1:6" x14ac:dyDescent="0.25">
      <c r="A215" t="s">
        <v>4</v>
      </c>
      <c r="B215">
        <v>2</v>
      </c>
      <c r="C215" s="53">
        <v>3.0769230769230771E-2</v>
      </c>
      <c r="D215" s="52">
        <v>44480</v>
      </c>
      <c r="E215">
        <f t="shared" si="6"/>
        <v>2021</v>
      </c>
      <c r="F215" t="str">
        <f t="shared" si="7"/>
        <v>2ª Semestre</v>
      </c>
    </row>
    <row r="216" spans="1:6" x14ac:dyDescent="0.25">
      <c r="A216" t="s">
        <v>3</v>
      </c>
      <c r="B216">
        <v>40</v>
      </c>
      <c r="C216" s="53">
        <v>0.61538461538461542</v>
      </c>
      <c r="D216" s="52">
        <v>44480</v>
      </c>
      <c r="E216">
        <f t="shared" si="6"/>
        <v>2021</v>
      </c>
      <c r="F216" t="str">
        <f t="shared" si="7"/>
        <v>2ª Semestre</v>
      </c>
    </row>
    <row r="217" spans="1:6" x14ac:dyDescent="0.25">
      <c r="A217" t="s">
        <v>7</v>
      </c>
      <c r="B217">
        <v>1</v>
      </c>
      <c r="C217" s="53">
        <v>1.5384615384615385E-2</v>
      </c>
      <c r="D217" s="52">
        <v>44480</v>
      </c>
      <c r="E217">
        <f t="shared" si="6"/>
        <v>2021</v>
      </c>
      <c r="F217" t="str">
        <f t="shared" si="7"/>
        <v>2ª Semestre</v>
      </c>
    </row>
    <row r="218" spans="1:6" x14ac:dyDescent="0.25">
      <c r="A218" t="s">
        <v>2</v>
      </c>
      <c r="B218">
        <v>7</v>
      </c>
      <c r="C218" s="53">
        <v>5.9829059829059832E-2</v>
      </c>
      <c r="D218" s="52">
        <v>44487</v>
      </c>
      <c r="E218">
        <f t="shared" si="6"/>
        <v>2021</v>
      </c>
      <c r="F218" t="str">
        <f t="shared" si="7"/>
        <v>2ª Semestre</v>
      </c>
    </row>
    <row r="219" spans="1:6" x14ac:dyDescent="0.25">
      <c r="A219" t="s">
        <v>5</v>
      </c>
      <c r="B219">
        <v>0</v>
      </c>
      <c r="C219" s="53">
        <v>0</v>
      </c>
      <c r="D219" s="52">
        <v>44487</v>
      </c>
      <c r="E219">
        <f t="shared" si="6"/>
        <v>2021</v>
      </c>
      <c r="F219" t="str">
        <f t="shared" si="7"/>
        <v>2ª Semestre</v>
      </c>
    </row>
    <row r="220" spans="1:6" x14ac:dyDescent="0.25">
      <c r="A220" t="s">
        <v>6</v>
      </c>
      <c r="B220">
        <v>0</v>
      </c>
      <c r="C220" s="53">
        <v>0</v>
      </c>
      <c r="D220" s="52">
        <v>44487</v>
      </c>
      <c r="E220">
        <f t="shared" si="6"/>
        <v>2021</v>
      </c>
      <c r="F220" t="str">
        <f t="shared" si="7"/>
        <v>2ª Semestre</v>
      </c>
    </row>
    <row r="221" spans="1:6" x14ac:dyDescent="0.25">
      <c r="A221" t="s">
        <v>4</v>
      </c>
      <c r="B221">
        <v>0</v>
      </c>
      <c r="C221" s="53">
        <v>0</v>
      </c>
      <c r="D221" s="52">
        <v>44487</v>
      </c>
      <c r="E221">
        <f t="shared" si="6"/>
        <v>2021</v>
      </c>
      <c r="F221" t="str">
        <f t="shared" si="7"/>
        <v>2ª Semestre</v>
      </c>
    </row>
    <row r="222" spans="1:6" x14ac:dyDescent="0.25">
      <c r="A222" t="s">
        <v>3</v>
      </c>
      <c r="B222">
        <v>109</v>
      </c>
      <c r="C222" s="53">
        <v>0.93162393162393164</v>
      </c>
      <c r="D222" s="52">
        <v>44487</v>
      </c>
      <c r="E222">
        <f t="shared" si="6"/>
        <v>2021</v>
      </c>
      <c r="F222" t="str">
        <f t="shared" si="7"/>
        <v>2ª Semestre</v>
      </c>
    </row>
    <row r="223" spans="1:6" x14ac:dyDescent="0.25">
      <c r="A223" t="s">
        <v>7</v>
      </c>
      <c r="B223">
        <v>1</v>
      </c>
      <c r="C223" s="53">
        <v>8.5470085470085479E-3</v>
      </c>
      <c r="D223" s="52">
        <v>44487</v>
      </c>
      <c r="E223">
        <f t="shared" si="6"/>
        <v>2021</v>
      </c>
      <c r="F223" t="str">
        <f t="shared" si="7"/>
        <v>2ª Semestre</v>
      </c>
    </row>
    <row r="224" spans="1:6" x14ac:dyDescent="0.25">
      <c r="A224" t="s">
        <v>2</v>
      </c>
      <c r="B224">
        <v>69</v>
      </c>
      <c r="C224" s="53">
        <v>0.61061946902654862</v>
      </c>
      <c r="D224" s="52">
        <v>44494</v>
      </c>
      <c r="E224">
        <f t="shared" si="6"/>
        <v>2021</v>
      </c>
      <c r="F224" t="str">
        <f t="shared" si="7"/>
        <v>2ª Semestre</v>
      </c>
    </row>
    <row r="225" spans="1:6" x14ac:dyDescent="0.25">
      <c r="A225" t="s">
        <v>5</v>
      </c>
      <c r="B225">
        <v>5</v>
      </c>
      <c r="C225" s="53">
        <v>4.4247787610619468E-2</v>
      </c>
      <c r="D225" s="52">
        <v>44494</v>
      </c>
      <c r="E225">
        <f t="shared" si="6"/>
        <v>2021</v>
      </c>
      <c r="F225" t="str">
        <f t="shared" si="7"/>
        <v>2ª Semestre</v>
      </c>
    </row>
    <row r="226" spans="1:6" x14ac:dyDescent="0.25">
      <c r="A226" t="s">
        <v>6</v>
      </c>
      <c r="B226">
        <v>4</v>
      </c>
      <c r="C226" s="53">
        <v>3.5398230088495575E-2</v>
      </c>
      <c r="D226" s="52">
        <v>44494</v>
      </c>
      <c r="E226">
        <f t="shared" si="6"/>
        <v>2021</v>
      </c>
      <c r="F226" t="str">
        <f t="shared" si="7"/>
        <v>2ª Semestre</v>
      </c>
    </row>
    <row r="227" spans="1:6" x14ac:dyDescent="0.25">
      <c r="A227" t="s">
        <v>4</v>
      </c>
      <c r="B227">
        <v>0</v>
      </c>
      <c r="C227" s="53">
        <v>0</v>
      </c>
      <c r="D227" s="52">
        <v>44494</v>
      </c>
      <c r="E227">
        <f t="shared" si="6"/>
        <v>2021</v>
      </c>
      <c r="F227" t="str">
        <f t="shared" si="7"/>
        <v>2ª Semestre</v>
      </c>
    </row>
    <row r="228" spans="1:6" x14ac:dyDescent="0.25">
      <c r="A228" t="s">
        <v>3</v>
      </c>
      <c r="B228">
        <v>7</v>
      </c>
      <c r="C228" s="53">
        <v>6.1946902654867256E-2</v>
      </c>
      <c r="D228" s="52">
        <v>44494</v>
      </c>
      <c r="E228">
        <f t="shared" si="6"/>
        <v>2021</v>
      </c>
      <c r="F228" t="str">
        <f t="shared" si="7"/>
        <v>2ª Semestre</v>
      </c>
    </row>
    <row r="229" spans="1:6" x14ac:dyDescent="0.25">
      <c r="A229" t="s">
        <v>7</v>
      </c>
      <c r="B229">
        <v>28</v>
      </c>
      <c r="C229" s="53">
        <v>0.24778761061946902</v>
      </c>
      <c r="D229" s="52">
        <v>44494</v>
      </c>
      <c r="E229">
        <f t="shared" si="6"/>
        <v>2021</v>
      </c>
      <c r="F229" t="str">
        <f t="shared" si="7"/>
        <v>2ª Semestre</v>
      </c>
    </row>
    <row r="230" spans="1:6" x14ac:dyDescent="0.25">
      <c r="A230" t="s">
        <v>2</v>
      </c>
      <c r="B230">
        <v>85</v>
      </c>
      <c r="C230" s="53">
        <v>0.69672131147540983</v>
      </c>
      <c r="D230" s="52">
        <v>44501</v>
      </c>
      <c r="E230">
        <f t="shared" si="6"/>
        <v>2021</v>
      </c>
      <c r="F230" t="str">
        <f t="shared" si="7"/>
        <v>2ª Semestre</v>
      </c>
    </row>
    <row r="231" spans="1:6" x14ac:dyDescent="0.25">
      <c r="A231" t="s">
        <v>5</v>
      </c>
      <c r="B231">
        <v>4</v>
      </c>
      <c r="C231" s="53">
        <v>3.2786885245901641E-2</v>
      </c>
      <c r="D231" s="52">
        <v>44501</v>
      </c>
      <c r="E231">
        <f t="shared" si="6"/>
        <v>2021</v>
      </c>
      <c r="F231" t="str">
        <f t="shared" si="7"/>
        <v>2ª Semestre</v>
      </c>
    </row>
    <row r="232" spans="1:6" x14ac:dyDescent="0.25">
      <c r="A232" t="s">
        <v>6</v>
      </c>
      <c r="B232">
        <v>8</v>
      </c>
      <c r="C232" s="53">
        <v>6.5573770491803282E-2</v>
      </c>
      <c r="D232" s="52">
        <v>44501</v>
      </c>
      <c r="E232">
        <f t="shared" si="6"/>
        <v>2021</v>
      </c>
      <c r="F232" t="str">
        <f t="shared" si="7"/>
        <v>2ª Semestre</v>
      </c>
    </row>
    <row r="233" spans="1:6" x14ac:dyDescent="0.25">
      <c r="A233" t="s">
        <v>4</v>
      </c>
      <c r="B233">
        <v>0</v>
      </c>
      <c r="C233" s="53">
        <v>0</v>
      </c>
      <c r="D233" s="52">
        <v>44501</v>
      </c>
      <c r="E233">
        <f t="shared" si="6"/>
        <v>2021</v>
      </c>
      <c r="F233" t="str">
        <f t="shared" si="7"/>
        <v>2ª Semestre</v>
      </c>
    </row>
    <row r="234" spans="1:6" x14ac:dyDescent="0.25">
      <c r="A234" t="s">
        <v>3</v>
      </c>
      <c r="B234">
        <v>5</v>
      </c>
      <c r="C234" s="53">
        <v>4.0983606557377046E-2</v>
      </c>
      <c r="D234" s="52">
        <v>44501</v>
      </c>
      <c r="E234">
        <f t="shared" si="6"/>
        <v>2021</v>
      </c>
      <c r="F234" t="str">
        <f t="shared" si="7"/>
        <v>2ª Semestre</v>
      </c>
    </row>
    <row r="235" spans="1:6" x14ac:dyDescent="0.25">
      <c r="A235" t="s">
        <v>7</v>
      </c>
      <c r="B235">
        <v>20</v>
      </c>
      <c r="C235" s="53">
        <v>0.16393442622950818</v>
      </c>
      <c r="D235" s="52">
        <v>44501</v>
      </c>
      <c r="E235">
        <f t="shared" si="6"/>
        <v>2021</v>
      </c>
      <c r="F235" t="str">
        <f t="shared" si="7"/>
        <v>2ª Semestre</v>
      </c>
    </row>
    <row r="236" spans="1:6" x14ac:dyDescent="0.25">
      <c r="A236" t="s">
        <v>2</v>
      </c>
      <c r="B236">
        <v>3</v>
      </c>
      <c r="C236" s="53">
        <v>0.1875</v>
      </c>
      <c r="D236" s="52">
        <v>44508</v>
      </c>
      <c r="E236">
        <f t="shared" si="6"/>
        <v>2021</v>
      </c>
      <c r="F236" t="str">
        <f t="shared" si="7"/>
        <v>2ª Semestre</v>
      </c>
    </row>
    <row r="237" spans="1:6" x14ac:dyDescent="0.25">
      <c r="A237" t="s">
        <v>5</v>
      </c>
      <c r="B237">
        <v>0</v>
      </c>
      <c r="C237" s="53">
        <v>0</v>
      </c>
      <c r="D237" s="52">
        <v>44508</v>
      </c>
      <c r="E237">
        <f t="shared" si="6"/>
        <v>2021</v>
      </c>
      <c r="F237" t="str">
        <f t="shared" si="7"/>
        <v>2ª Semestre</v>
      </c>
    </row>
    <row r="238" spans="1:6" x14ac:dyDescent="0.25">
      <c r="A238" t="s">
        <v>6</v>
      </c>
      <c r="B238">
        <v>2</v>
      </c>
      <c r="C238" s="53">
        <v>0.125</v>
      </c>
      <c r="D238" s="52">
        <v>44508</v>
      </c>
      <c r="E238">
        <f t="shared" si="6"/>
        <v>2021</v>
      </c>
      <c r="F238" t="str">
        <f t="shared" si="7"/>
        <v>2ª Semestre</v>
      </c>
    </row>
    <row r="239" spans="1:6" x14ac:dyDescent="0.25">
      <c r="A239" t="s">
        <v>4</v>
      </c>
      <c r="B239">
        <v>0</v>
      </c>
      <c r="C239" s="53">
        <v>0</v>
      </c>
      <c r="D239" s="52">
        <v>44508</v>
      </c>
      <c r="E239">
        <f t="shared" si="6"/>
        <v>2021</v>
      </c>
      <c r="F239" t="str">
        <f t="shared" si="7"/>
        <v>2ª Semestre</v>
      </c>
    </row>
    <row r="240" spans="1:6" x14ac:dyDescent="0.25">
      <c r="A240" t="s">
        <v>3</v>
      </c>
      <c r="B240">
        <v>5</v>
      </c>
      <c r="C240" s="53">
        <v>0.3125</v>
      </c>
      <c r="D240" s="52">
        <v>44508</v>
      </c>
      <c r="E240">
        <f t="shared" si="6"/>
        <v>2021</v>
      </c>
      <c r="F240" t="str">
        <f t="shared" si="7"/>
        <v>2ª Semestre</v>
      </c>
    </row>
    <row r="241" spans="1:6" x14ac:dyDescent="0.25">
      <c r="A241" t="s">
        <v>7</v>
      </c>
      <c r="B241">
        <v>6</v>
      </c>
      <c r="C241" s="53">
        <v>0.375</v>
      </c>
      <c r="D241" s="52">
        <v>44508</v>
      </c>
      <c r="E241">
        <f t="shared" si="6"/>
        <v>2021</v>
      </c>
      <c r="F241" t="str">
        <f t="shared" si="7"/>
        <v>2ª Semestre</v>
      </c>
    </row>
    <row r="242" spans="1:6" x14ac:dyDescent="0.25">
      <c r="A242" t="s">
        <v>2</v>
      </c>
      <c r="B242">
        <v>11</v>
      </c>
      <c r="C242" s="53">
        <v>0.40740740740740738</v>
      </c>
      <c r="D242" s="52">
        <v>44515</v>
      </c>
      <c r="E242">
        <f t="shared" si="6"/>
        <v>2021</v>
      </c>
      <c r="F242" t="str">
        <f t="shared" si="7"/>
        <v>2ª Semestre</v>
      </c>
    </row>
    <row r="243" spans="1:6" x14ac:dyDescent="0.25">
      <c r="A243" t="s">
        <v>5</v>
      </c>
      <c r="B243">
        <v>0</v>
      </c>
      <c r="C243" s="53">
        <v>0</v>
      </c>
      <c r="D243" s="52">
        <v>44515</v>
      </c>
      <c r="E243">
        <f t="shared" si="6"/>
        <v>2021</v>
      </c>
      <c r="F243" t="str">
        <f t="shared" si="7"/>
        <v>2ª Semestre</v>
      </c>
    </row>
    <row r="244" spans="1:6" x14ac:dyDescent="0.25">
      <c r="A244" t="s">
        <v>6</v>
      </c>
      <c r="B244">
        <v>2</v>
      </c>
      <c r="C244" s="53">
        <v>7.407407407407407E-2</v>
      </c>
      <c r="D244" s="52">
        <v>44515</v>
      </c>
      <c r="E244">
        <f t="shared" si="6"/>
        <v>2021</v>
      </c>
      <c r="F244" t="str">
        <f t="shared" si="7"/>
        <v>2ª Semestre</v>
      </c>
    </row>
    <row r="245" spans="1:6" x14ac:dyDescent="0.25">
      <c r="A245" t="s">
        <v>4</v>
      </c>
      <c r="B245">
        <v>0</v>
      </c>
      <c r="C245" s="53">
        <v>0</v>
      </c>
      <c r="D245" s="52">
        <v>44515</v>
      </c>
      <c r="E245">
        <f t="shared" si="6"/>
        <v>2021</v>
      </c>
      <c r="F245" t="str">
        <f t="shared" si="7"/>
        <v>2ª Semestre</v>
      </c>
    </row>
    <row r="246" spans="1:6" x14ac:dyDescent="0.25">
      <c r="A246" t="s">
        <v>3</v>
      </c>
      <c r="B246">
        <v>13</v>
      </c>
      <c r="C246" s="53">
        <v>0.48148148148148145</v>
      </c>
      <c r="D246" s="52">
        <v>44515</v>
      </c>
      <c r="E246">
        <f t="shared" si="6"/>
        <v>2021</v>
      </c>
      <c r="F246" t="str">
        <f t="shared" si="7"/>
        <v>2ª Semestre</v>
      </c>
    </row>
    <row r="247" spans="1:6" x14ac:dyDescent="0.25">
      <c r="A247" t="s">
        <v>7</v>
      </c>
      <c r="B247">
        <v>1</v>
      </c>
      <c r="C247" s="53">
        <v>3.7037037037037035E-2</v>
      </c>
      <c r="D247" s="52">
        <v>44515</v>
      </c>
      <c r="E247">
        <f t="shared" si="6"/>
        <v>2021</v>
      </c>
      <c r="F247" t="str">
        <f t="shared" si="7"/>
        <v>2ª Semestre</v>
      </c>
    </row>
    <row r="248" spans="1:6" x14ac:dyDescent="0.25">
      <c r="A248" t="s">
        <v>2</v>
      </c>
      <c r="B248">
        <v>26</v>
      </c>
      <c r="C248" s="53">
        <v>0.47272727272727272</v>
      </c>
      <c r="D248" s="52">
        <v>44522</v>
      </c>
      <c r="E248">
        <f t="shared" si="6"/>
        <v>2021</v>
      </c>
      <c r="F248" t="str">
        <f t="shared" si="7"/>
        <v>2ª Semestre</v>
      </c>
    </row>
    <row r="249" spans="1:6" x14ac:dyDescent="0.25">
      <c r="A249" t="s">
        <v>5</v>
      </c>
      <c r="B249">
        <v>0</v>
      </c>
      <c r="C249" s="53">
        <v>0</v>
      </c>
      <c r="D249" s="52">
        <v>44522</v>
      </c>
      <c r="E249">
        <f t="shared" si="6"/>
        <v>2021</v>
      </c>
      <c r="F249" t="str">
        <f t="shared" si="7"/>
        <v>2ª Semestre</v>
      </c>
    </row>
    <row r="250" spans="1:6" x14ac:dyDescent="0.25">
      <c r="A250" t="s">
        <v>6</v>
      </c>
      <c r="B250">
        <v>1</v>
      </c>
      <c r="C250" s="53">
        <v>1.8181818181818181E-2</v>
      </c>
      <c r="D250" s="52">
        <v>44522</v>
      </c>
      <c r="E250">
        <f t="shared" si="6"/>
        <v>2021</v>
      </c>
      <c r="F250" t="str">
        <f t="shared" si="7"/>
        <v>2ª Semestre</v>
      </c>
    </row>
    <row r="251" spans="1:6" x14ac:dyDescent="0.25">
      <c r="A251" t="s">
        <v>4</v>
      </c>
      <c r="B251">
        <v>0</v>
      </c>
      <c r="C251" s="53">
        <v>0</v>
      </c>
      <c r="D251" s="52">
        <v>44522</v>
      </c>
      <c r="E251">
        <f t="shared" si="6"/>
        <v>2021</v>
      </c>
      <c r="F251" t="str">
        <f t="shared" si="7"/>
        <v>2ª Semestre</v>
      </c>
    </row>
    <row r="252" spans="1:6" x14ac:dyDescent="0.25">
      <c r="A252" t="s">
        <v>3</v>
      </c>
      <c r="B252">
        <v>22</v>
      </c>
      <c r="C252" s="53">
        <v>0.4</v>
      </c>
      <c r="D252" s="52">
        <v>44522</v>
      </c>
      <c r="E252">
        <f t="shared" si="6"/>
        <v>2021</v>
      </c>
      <c r="F252" t="str">
        <f t="shared" si="7"/>
        <v>2ª Semestre</v>
      </c>
    </row>
    <row r="253" spans="1:6" x14ac:dyDescent="0.25">
      <c r="A253" t="s">
        <v>7</v>
      </c>
      <c r="B253">
        <v>6</v>
      </c>
      <c r="C253" s="53">
        <v>0.10909090909090909</v>
      </c>
      <c r="D253" s="52">
        <v>44522</v>
      </c>
      <c r="E253">
        <f t="shared" si="6"/>
        <v>2021</v>
      </c>
      <c r="F253" t="str">
        <f t="shared" si="7"/>
        <v>2ª Semestre</v>
      </c>
    </row>
    <row r="254" spans="1:6" x14ac:dyDescent="0.25">
      <c r="A254" t="s">
        <v>2</v>
      </c>
      <c r="B254">
        <v>17</v>
      </c>
      <c r="C254" s="53">
        <v>0.265625</v>
      </c>
      <c r="D254" s="52">
        <v>44529</v>
      </c>
      <c r="E254">
        <f t="shared" si="6"/>
        <v>2021</v>
      </c>
      <c r="F254" t="str">
        <f t="shared" si="7"/>
        <v>2ª Semestre</v>
      </c>
    </row>
    <row r="255" spans="1:6" x14ac:dyDescent="0.25">
      <c r="A255" t="s">
        <v>5</v>
      </c>
      <c r="B255">
        <v>0</v>
      </c>
      <c r="C255" s="53">
        <v>0</v>
      </c>
      <c r="D255" s="52">
        <v>44529</v>
      </c>
      <c r="E255">
        <f t="shared" si="6"/>
        <v>2021</v>
      </c>
      <c r="F255" t="str">
        <f t="shared" si="7"/>
        <v>2ª Semestre</v>
      </c>
    </row>
    <row r="256" spans="1:6" x14ac:dyDescent="0.25">
      <c r="A256" t="s">
        <v>6</v>
      </c>
      <c r="B256">
        <v>0</v>
      </c>
      <c r="C256" s="53">
        <v>0</v>
      </c>
      <c r="D256" s="52">
        <v>44529</v>
      </c>
      <c r="E256">
        <f t="shared" si="6"/>
        <v>2021</v>
      </c>
      <c r="F256" t="str">
        <f t="shared" si="7"/>
        <v>2ª Semestre</v>
      </c>
    </row>
    <row r="257" spans="1:6" x14ac:dyDescent="0.25">
      <c r="A257" t="s">
        <v>4</v>
      </c>
      <c r="B257">
        <v>2</v>
      </c>
      <c r="C257" s="53">
        <v>3.125E-2</v>
      </c>
      <c r="D257" s="52">
        <v>44529</v>
      </c>
      <c r="E257">
        <f t="shared" si="6"/>
        <v>2021</v>
      </c>
      <c r="F257" t="str">
        <f t="shared" si="7"/>
        <v>2ª Semestre</v>
      </c>
    </row>
    <row r="258" spans="1:6" x14ac:dyDescent="0.25">
      <c r="A258" t="s">
        <v>3</v>
      </c>
      <c r="B258">
        <v>38</v>
      </c>
      <c r="C258" s="53">
        <v>0.59375</v>
      </c>
      <c r="D258" s="52">
        <v>44529</v>
      </c>
      <c r="E258">
        <f t="shared" ref="E258:E321" si="8">YEAR(D258)</f>
        <v>2021</v>
      </c>
      <c r="F258" t="str">
        <f t="shared" ref="F258:F321" si="9">IF(MONTH(D258)&lt;=6,"1ª Semestre","2ª Semestre")</f>
        <v>2ª Semestre</v>
      </c>
    </row>
    <row r="259" spans="1:6" x14ac:dyDescent="0.25">
      <c r="A259" t="s">
        <v>7</v>
      </c>
      <c r="B259">
        <v>7</v>
      </c>
      <c r="C259" s="53">
        <v>0.109375</v>
      </c>
      <c r="D259" s="52">
        <v>44529</v>
      </c>
      <c r="E259">
        <f t="shared" si="8"/>
        <v>2021</v>
      </c>
      <c r="F259" t="str">
        <f t="shared" si="9"/>
        <v>2ª Semestre</v>
      </c>
    </row>
    <row r="260" spans="1:6" x14ac:dyDescent="0.25">
      <c r="A260" t="s">
        <v>2</v>
      </c>
      <c r="B260">
        <v>3</v>
      </c>
      <c r="C260" s="53">
        <v>0.6</v>
      </c>
      <c r="D260" s="52">
        <v>44564</v>
      </c>
      <c r="E260">
        <f t="shared" si="8"/>
        <v>2022</v>
      </c>
      <c r="F260" t="str">
        <f t="shared" si="9"/>
        <v>1ª Semestre</v>
      </c>
    </row>
    <row r="261" spans="1:6" x14ac:dyDescent="0.25">
      <c r="A261" t="s">
        <v>5</v>
      </c>
      <c r="B261">
        <v>0</v>
      </c>
      <c r="C261" s="53">
        <v>0</v>
      </c>
      <c r="D261" s="52">
        <v>44564</v>
      </c>
      <c r="E261">
        <f t="shared" si="8"/>
        <v>2022</v>
      </c>
      <c r="F261" t="str">
        <f t="shared" si="9"/>
        <v>1ª Semestre</v>
      </c>
    </row>
    <row r="262" spans="1:6" x14ac:dyDescent="0.25">
      <c r="A262" t="s">
        <v>6</v>
      </c>
      <c r="B262">
        <v>2</v>
      </c>
      <c r="C262" s="53">
        <v>0.4</v>
      </c>
      <c r="D262" s="52">
        <v>44564</v>
      </c>
      <c r="E262">
        <f t="shared" si="8"/>
        <v>2022</v>
      </c>
      <c r="F262" t="str">
        <f t="shared" si="9"/>
        <v>1ª Semestre</v>
      </c>
    </row>
    <row r="263" spans="1:6" x14ac:dyDescent="0.25">
      <c r="A263" t="s">
        <v>4</v>
      </c>
      <c r="B263">
        <v>0</v>
      </c>
      <c r="C263" s="53">
        <v>0</v>
      </c>
      <c r="D263" s="52">
        <v>44564</v>
      </c>
      <c r="E263">
        <f t="shared" si="8"/>
        <v>2022</v>
      </c>
      <c r="F263" t="str">
        <f t="shared" si="9"/>
        <v>1ª Semestre</v>
      </c>
    </row>
    <row r="264" spans="1:6" x14ac:dyDescent="0.25">
      <c r="A264" t="s">
        <v>3</v>
      </c>
      <c r="B264">
        <v>0</v>
      </c>
      <c r="C264" s="53">
        <v>0</v>
      </c>
      <c r="D264" s="52">
        <v>44564</v>
      </c>
      <c r="E264">
        <f t="shared" si="8"/>
        <v>2022</v>
      </c>
      <c r="F264" t="str">
        <f t="shared" si="9"/>
        <v>1ª Semestre</v>
      </c>
    </row>
    <row r="265" spans="1:6" x14ac:dyDescent="0.25">
      <c r="A265" t="s">
        <v>7</v>
      </c>
      <c r="B265">
        <v>0</v>
      </c>
      <c r="C265" s="53">
        <v>0</v>
      </c>
      <c r="D265" s="52">
        <v>44564</v>
      </c>
      <c r="E265">
        <f t="shared" si="8"/>
        <v>2022</v>
      </c>
      <c r="F265" t="str">
        <f t="shared" si="9"/>
        <v>1ª Semestre</v>
      </c>
    </row>
    <row r="266" spans="1:6" x14ac:dyDescent="0.25">
      <c r="A266" t="s">
        <v>2</v>
      </c>
      <c r="B266">
        <v>5</v>
      </c>
      <c r="C266" s="53">
        <v>0.625</v>
      </c>
      <c r="D266" s="52">
        <v>44571</v>
      </c>
      <c r="E266">
        <f t="shared" si="8"/>
        <v>2022</v>
      </c>
      <c r="F266" t="str">
        <f t="shared" si="9"/>
        <v>1ª Semestre</v>
      </c>
    </row>
    <row r="267" spans="1:6" x14ac:dyDescent="0.25">
      <c r="A267" t="s">
        <v>5</v>
      </c>
      <c r="B267">
        <v>1</v>
      </c>
      <c r="C267" s="53">
        <v>0.125</v>
      </c>
      <c r="D267" s="52">
        <v>44571</v>
      </c>
      <c r="E267">
        <f t="shared" si="8"/>
        <v>2022</v>
      </c>
      <c r="F267" t="str">
        <f t="shared" si="9"/>
        <v>1ª Semestre</v>
      </c>
    </row>
    <row r="268" spans="1:6" x14ac:dyDescent="0.25">
      <c r="A268" t="s">
        <v>6</v>
      </c>
      <c r="B268">
        <v>0</v>
      </c>
      <c r="C268" s="53">
        <v>0</v>
      </c>
      <c r="D268" s="52">
        <v>44571</v>
      </c>
      <c r="E268">
        <f t="shared" si="8"/>
        <v>2022</v>
      </c>
      <c r="F268" t="str">
        <f t="shared" si="9"/>
        <v>1ª Semestre</v>
      </c>
    </row>
    <row r="269" spans="1:6" x14ac:dyDescent="0.25">
      <c r="A269" t="s">
        <v>4</v>
      </c>
      <c r="B269">
        <v>0</v>
      </c>
      <c r="C269" s="53">
        <v>0</v>
      </c>
      <c r="D269" s="52">
        <v>44571</v>
      </c>
      <c r="E269">
        <f t="shared" si="8"/>
        <v>2022</v>
      </c>
      <c r="F269" t="str">
        <f t="shared" si="9"/>
        <v>1ª Semestre</v>
      </c>
    </row>
    <row r="270" spans="1:6" x14ac:dyDescent="0.25">
      <c r="A270" t="s">
        <v>3</v>
      </c>
      <c r="B270">
        <v>0</v>
      </c>
      <c r="C270" s="53">
        <v>0</v>
      </c>
      <c r="D270" s="52">
        <v>44571</v>
      </c>
      <c r="E270">
        <f t="shared" si="8"/>
        <v>2022</v>
      </c>
      <c r="F270" t="str">
        <f t="shared" si="9"/>
        <v>1ª Semestre</v>
      </c>
    </row>
    <row r="271" spans="1:6" x14ac:dyDescent="0.25">
      <c r="A271" t="s">
        <v>7</v>
      </c>
      <c r="B271">
        <v>2</v>
      </c>
      <c r="C271" s="53">
        <v>0.25</v>
      </c>
      <c r="D271" s="52">
        <v>44571</v>
      </c>
      <c r="E271">
        <f t="shared" si="8"/>
        <v>2022</v>
      </c>
      <c r="F271" t="str">
        <f t="shared" si="9"/>
        <v>1ª Semestre</v>
      </c>
    </row>
    <row r="272" spans="1:6" x14ac:dyDescent="0.25">
      <c r="A272" t="s">
        <v>2</v>
      </c>
      <c r="B272">
        <v>99</v>
      </c>
      <c r="C272" s="53">
        <v>0.58579881656804733</v>
      </c>
      <c r="D272" s="52">
        <v>44578</v>
      </c>
      <c r="E272">
        <f t="shared" si="8"/>
        <v>2022</v>
      </c>
      <c r="F272" t="str">
        <f t="shared" si="9"/>
        <v>1ª Semestre</v>
      </c>
    </row>
    <row r="273" spans="1:6" x14ac:dyDescent="0.25">
      <c r="A273" t="s">
        <v>5</v>
      </c>
      <c r="B273">
        <v>11</v>
      </c>
      <c r="C273" s="53">
        <v>6.5088757396449703E-2</v>
      </c>
      <c r="D273" s="52">
        <v>44578</v>
      </c>
      <c r="E273">
        <f t="shared" si="8"/>
        <v>2022</v>
      </c>
      <c r="F273" t="str">
        <f t="shared" si="9"/>
        <v>1ª Semestre</v>
      </c>
    </row>
    <row r="274" spans="1:6" x14ac:dyDescent="0.25">
      <c r="A274" t="s">
        <v>6</v>
      </c>
      <c r="B274">
        <v>8</v>
      </c>
      <c r="C274" s="53">
        <v>4.7337278106508875E-2</v>
      </c>
      <c r="D274" s="52">
        <v>44578</v>
      </c>
      <c r="E274">
        <f t="shared" si="8"/>
        <v>2022</v>
      </c>
      <c r="F274" t="str">
        <f t="shared" si="9"/>
        <v>1ª Semestre</v>
      </c>
    </row>
    <row r="275" spans="1:6" x14ac:dyDescent="0.25">
      <c r="A275" t="s">
        <v>4</v>
      </c>
      <c r="B275">
        <v>0</v>
      </c>
      <c r="C275" s="53">
        <v>0</v>
      </c>
      <c r="D275" s="52">
        <v>44578</v>
      </c>
      <c r="E275">
        <f t="shared" si="8"/>
        <v>2022</v>
      </c>
      <c r="F275" t="str">
        <f t="shared" si="9"/>
        <v>1ª Semestre</v>
      </c>
    </row>
    <row r="276" spans="1:6" x14ac:dyDescent="0.25">
      <c r="A276" t="s">
        <v>3</v>
      </c>
      <c r="B276">
        <v>5</v>
      </c>
      <c r="C276" s="53">
        <v>2.9585798816568046E-2</v>
      </c>
      <c r="D276" s="52">
        <v>44578</v>
      </c>
      <c r="E276">
        <f t="shared" si="8"/>
        <v>2022</v>
      </c>
      <c r="F276" t="str">
        <f t="shared" si="9"/>
        <v>1ª Semestre</v>
      </c>
    </row>
    <row r="277" spans="1:6" x14ac:dyDescent="0.25">
      <c r="A277" t="s">
        <v>7</v>
      </c>
      <c r="B277">
        <v>46</v>
      </c>
      <c r="C277" s="53">
        <v>0.27218934911242604</v>
      </c>
      <c r="D277" s="52">
        <v>44578</v>
      </c>
      <c r="E277">
        <f t="shared" si="8"/>
        <v>2022</v>
      </c>
      <c r="F277" t="str">
        <f t="shared" si="9"/>
        <v>1ª Semestre</v>
      </c>
    </row>
    <row r="278" spans="1:6" x14ac:dyDescent="0.25">
      <c r="A278" t="s">
        <v>2</v>
      </c>
      <c r="B278">
        <v>80</v>
      </c>
      <c r="C278" s="53">
        <v>0.47619047619047616</v>
      </c>
      <c r="D278" s="52">
        <v>44585</v>
      </c>
      <c r="E278">
        <f t="shared" si="8"/>
        <v>2022</v>
      </c>
      <c r="F278" t="str">
        <f t="shared" si="9"/>
        <v>1ª Semestre</v>
      </c>
    </row>
    <row r="279" spans="1:6" x14ac:dyDescent="0.25">
      <c r="A279" t="s">
        <v>5</v>
      </c>
      <c r="B279">
        <v>18</v>
      </c>
      <c r="C279" s="53">
        <v>0.10714285714285714</v>
      </c>
      <c r="D279" s="52">
        <v>44585</v>
      </c>
      <c r="E279">
        <f t="shared" si="8"/>
        <v>2022</v>
      </c>
      <c r="F279" t="str">
        <f t="shared" si="9"/>
        <v>1ª Semestre</v>
      </c>
    </row>
    <row r="280" spans="1:6" x14ac:dyDescent="0.25">
      <c r="A280" t="s">
        <v>6</v>
      </c>
      <c r="B280">
        <v>24</v>
      </c>
      <c r="C280" s="53">
        <v>0.14285714285714285</v>
      </c>
      <c r="D280" s="52">
        <v>44585</v>
      </c>
      <c r="E280">
        <f t="shared" si="8"/>
        <v>2022</v>
      </c>
      <c r="F280" t="str">
        <f t="shared" si="9"/>
        <v>1ª Semestre</v>
      </c>
    </row>
    <row r="281" spans="1:6" x14ac:dyDescent="0.25">
      <c r="A281" t="s">
        <v>4</v>
      </c>
      <c r="B281">
        <v>0</v>
      </c>
      <c r="C281" s="53">
        <v>0</v>
      </c>
      <c r="D281" s="52">
        <v>44585</v>
      </c>
      <c r="E281">
        <f t="shared" si="8"/>
        <v>2022</v>
      </c>
      <c r="F281" t="str">
        <f t="shared" si="9"/>
        <v>1ª Semestre</v>
      </c>
    </row>
    <row r="282" spans="1:6" x14ac:dyDescent="0.25">
      <c r="A282" t="s">
        <v>3</v>
      </c>
      <c r="B282">
        <v>31</v>
      </c>
      <c r="C282" s="53">
        <v>0.18452380952380953</v>
      </c>
      <c r="D282" s="52">
        <v>44585</v>
      </c>
      <c r="E282">
        <f t="shared" si="8"/>
        <v>2022</v>
      </c>
      <c r="F282" t="str">
        <f t="shared" si="9"/>
        <v>1ª Semestre</v>
      </c>
    </row>
    <row r="283" spans="1:6" x14ac:dyDescent="0.25">
      <c r="A283" t="s">
        <v>7</v>
      </c>
      <c r="B283">
        <v>15</v>
      </c>
      <c r="C283" s="53">
        <v>8.9285714285714288E-2</v>
      </c>
      <c r="D283" s="52">
        <v>44585</v>
      </c>
      <c r="E283">
        <f t="shared" si="8"/>
        <v>2022</v>
      </c>
      <c r="F283" t="str">
        <f t="shared" si="9"/>
        <v>1ª Semestre</v>
      </c>
    </row>
    <row r="284" spans="1:6" x14ac:dyDescent="0.25">
      <c r="A284" t="s">
        <v>2</v>
      </c>
      <c r="B284">
        <v>111</v>
      </c>
      <c r="C284" s="53">
        <v>0.6271186440677966</v>
      </c>
      <c r="D284" s="52">
        <v>44592</v>
      </c>
      <c r="E284">
        <f t="shared" si="8"/>
        <v>2022</v>
      </c>
      <c r="F284" t="str">
        <f t="shared" si="9"/>
        <v>1ª Semestre</v>
      </c>
    </row>
    <row r="285" spans="1:6" x14ac:dyDescent="0.25">
      <c r="A285" t="s">
        <v>5</v>
      </c>
      <c r="B285">
        <v>7</v>
      </c>
      <c r="C285" s="53">
        <v>3.954802259887006E-2</v>
      </c>
      <c r="D285" s="52">
        <v>44592</v>
      </c>
      <c r="E285">
        <f t="shared" si="8"/>
        <v>2022</v>
      </c>
      <c r="F285" t="str">
        <f t="shared" si="9"/>
        <v>1ª Semestre</v>
      </c>
    </row>
    <row r="286" spans="1:6" x14ac:dyDescent="0.25">
      <c r="A286" t="s">
        <v>6</v>
      </c>
      <c r="B286">
        <v>35</v>
      </c>
      <c r="C286" s="53">
        <v>0.19774011299435029</v>
      </c>
      <c r="D286" s="52">
        <v>44592</v>
      </c>
      <c r="E286">
        <f t="shared" si="8"/>
        <v>2022</v>
      </c>
      <c r="F286" t="str">
        <f t="shared" si="9"/>
        <v>1ª Semestre</v>
      </c>
    </row>
    <row r="287" spans="1:6" x14ac:dyDescent="0.25">
      <c r="A287" t="s">
        <v>4</v>
      </c>
      <c r="B287">
        <v>0</v>
      </c>
      <c r="C287" s="53">
        <v>0</v>
      </c>
      <c r="D287" s="52">
        <v>44592</v>
      </c>
      <c r="E287">
        <f t="shared" si="8"/>
        <v>2022</v>
      </c>
      <c r="F287" t="str">
        <f t="shared" si="9"/>
        <v>1ª Semestre</v>
      </c>
    </row>
    <row r="288" spans="1:6" x14ac:dyDescent="0.25">
      <c r="A288" t="s">
        <v>3</v>
      </c>
      <c r="B288">
        <v>16</v>
      </c>
      <c r="C288" s="53">
        <v>9.03954802259887E-2</v>
      </c>
      <c r="D288" s="52">
        <v>44592</v>
      </c>
      <c r="E288">
        <f t="shared" si="8"/>
        <v>2022</v>
      </c>
      <c r="F288" t="str">
        <f t="shared" si="9"/>
        <v>1ª Semestre</v>
      </c>
    </row>
    <row r="289" spans="1:6" x14ac:dyDescent="0.25">
      <c r="A289" t="s">
        <v>7</v>
      </c>
      <c r="B289">
        <v>8</v>
      </c>
      <c r="C289" s="53">
        <v>4.519774011299435E-2</v>
      </c>
      <c r="D289" s="52">
        <v>44592</v>
      </c>
      <c r="E289">
        <f t="shared" si="8"/>
        <v>2022</v>
      </c>
      <c r="F289" t="str">
        <f t="shared" si="9"/>
        <v>1ª Semestre</v>
      </c>
    </row>
    <row r="290" spans="1:6" x14ac:dyDescent="0.25">
      <c r="A290" t="s">
        <v>2</v>
      </c>
      <c r="B290">
        <v>8</v>
      </c>
      <c r="C290" s="53">
        <v>0.36363636363636365</v>
      </c>
      <c r="D290" s="52">
        <v>44599</v>
      </c>
      <c r="E290">
        <f t="shared" si="8"/>
        <v>2022</v>
      </c>
      <c r="F290" t="str">
        <f t="shared" si="9"/>
        <v>1ª Semestre</v>
      </c>
    </row>
    <row r="291" spans="1:6" x14ac:dyDescent="0.25">
      <c r="A291" t="s">
        <v>5</v>
      </c>
      <c r="B291">
        <v>3</v>
      </c>
      <c r="C291" s="53">
        <v>0.13636363636363635</v>
      </c>
      <c r="D291" s="52">
        <v>44599</v>
      </c>
      <c r="E291">
        <f t="shared" si="8"/>
        <v>2022</v>
      </c>
      <c r="F291" t="str">
        <f t="shared" si="9"/>
        <v>1ª Semestre</v>
      </c>
    </row>
    <row r="292" spans="1:6" x14ac:dyDescent="0.25">
      <c r="A292" t="s">
        <v>6</v>
      </c>
      <c r="B292">
        <v>2</v>
      </c>
      <c r="C292" s="53">
        <v>9.0909090909090912E-2</v>
      </c>
      <c r="D292" s="52">
        <v>44599</v>
      </c>
      <c r="E292">
        <f t="shared" si="8"/>
        <v>2022</v>
      </c>
      <c r="F292" t="str">
        <f t="shared" si="9"/>
        <v>1ª Semestre</v>
      </c>
    </row>
    <row r="293" spans="1:6" x14ac:dyDescent="0.25">
      <c r="A293" t="s">
        <v>4</v>
      </c>
      <c r="B293">
        <v>0</v>
      </c>
      <c r="C293" s="53">
        <v>0</v>
      </c>
      <c r="D293" s="52">
        <v>44599</v>
      </c>
      <c r="E293">
        <f t="shared" si="8"/>
        <v>2022</v>
      </c>
      <c r="F293" t="str">
        <f t="shared" si="9"/>
        <v>1ª Semestre</v>
      </c>
    </row>
    <row r="294" spans="1:6" x14ac:dyDescent="0.25">
      <c r="A294" t="s">
        <v>3</v>
      </c>
      <c r="B294">
        <v>1</v>
      </c>
      <c r="C294" s="53">
        <v>4.5454545454545456E-2</v>
      </c>
      <c r="D294" s="52">
        <v>44599</v>
      </c>
      <c r="E294">
        <f t="shared" si="8"/>
        <v>2022</v>
      </c>
      <c r="F294" t="str">
        <f t="shared" si="9"/>
        <v>1ª Semestre</v>
      </c>
    </row>
    <row r="295" spans="1:6" x14ac:dyDescent="0.25">
      <c r="A295" t="s">
        <v>7</v>
      </c>
      <c r="B295">
        <v>8</v>
      </c>
      <c r="C295" s="53">
        <v>0.36363636363636365</v>
      </c>
      <c r="D295" s="52">
        <v>44599</v>
      </c>
      <c r="E295">
        <f t="shared" si="8"/>
        <v>2022</v>
      </c>
      <c r="F295" t="str">
        <f t="shared" si="9"/>
        <v>1ª Semestre</v>
      </c>
    </row>
    <row r="296" spans="1:6" x14ac:dyDescent="0.25">
      <c r="A296" t="s">
        <v>2</v>
      </c>
      <c r="B296">
        <v>10</v>
      </c>
      <c r="C296" s="53">
        <v>0.55555555555555558</v>
      </c>
      <c r="D296" s="52">
        <v>44606</v>
      </c>
      <c r="E296">
        <f t="shared" si="8"/>
        <v>2022</v>
      </c>
      <c r="F296" t="str">
        <f t="shared" si="9"/>
        <v>1ª Semestre</v>
      </c>
    </row>
    <row r="297" spans="1:6" x14ac:dyDescent="0.25">
      <c r="A297" t="s">
        <v>5</v>
      </c>
      <c r="B297">
        <v>1</v>
      </c>
      <c r="C297" s="53">
        <v>5.5555555555555552E-2</v>
      </c>
      <c r="D297" s="52">
        <v>44606</v>
      </c>
      <c r="E297">
        <f t="shared" si="8"/>
        <v>2022</v>
      </c>
      <c r="F297" t="str">
        <f t="shared" si="9"/>
        <v>1ª Semestre</v>
      </c>
    </row>
    <row r="298" spans="1:6" x14ac:dyDescent="0.25">
      <c r="A298" t="s">
        <v>6</v>
      </c>
      <c r="B298">
        <v>0</v>
      </c>
      <c r="C298" s="53">
        <v>0</v>
      </c>
      <c r="D298" s="52">
        <v>44606</v>
      </c>
      <c r="E298">
        <f t="shared" si="8"/>
        <v>2022</v>
      </c>
      <c r="F298" t="str">
        <f t="shared" si="9"/>
        <v>1ª Semestre</v>
      </c>
    </row>
    <row r="299" spans="1:6" x14ac:dyDescent="0.25">
      <c r="A299" t="s">
        <v>4</v>
      </c>
      <c r="B299">
        <v>0</v>
      </c>
      <c r="C299" s="53">
        <v>0</v>
      </c>
      <c r="D299" s="52">
        <v>44606</v>
      </c>
      <c r="E299">
        <f t="shared" si="8"/>
        <v>2022</v>
      </c>
      <c r="F299" t="str">
        <f t="shared" si="9"/>
        <v>1ª Semestre</v>
      </c>
    </row>
    <row r="300" spans="1:6" x14ac:dyDescent="0.25">
      <c r="A300" t="s">
        <v>3</v>
      </c>
      <c r="B300">
        <v>4</v>
      </c>
      <c r="C300" s="53">
        <v>0.22222222222222221</v>
      </c>
      <c r="D300" s="52">
        <v>44606</v>
      </c>
      <c r="E300">
        <f t="shared" si="8"/>
        <v>2022</v>
      </c>
      <c r="F300" t="str">
        <f t="shared" si="9"/>
        <v>1ª Semestre</v>
      </c>
    </row>
    <row r="301" spans="1:6" x14ac:dyDescent="0.25">
      <c r="A301" t="s">
        <v>7</v>
      </c>
      <c r="B301">
        <v>3</v>
      </c>
      <c r="C301" s="53">
        <v>0.16666666666666666</v>
      </c>
      <c r="D301" s="52">
        <v>44606</v>
      </c>
      <c r="E301">
        <f t="shared" si="8"/>
        <v>2022</v>
      </c>
      <c r="F301" t="str">
        <f t="shared" si="9"/>
        <v>1ª Semestre</v>
      </c>
    </row>
    <row r="302" spans="1:6" x14ac:dyDescent="0.25">
      <c r="A302" t="s">
        <v>2</v>
      </c>
      <c r="B302">
        <v>79</v>
      </c>
      <c r="C302" s="53">
        <v>0.69298245614035092</v>
      </c>
      <c r="D302" s="52">
        <v>44613</v>
      </c>
      <c r="E302">
        <f t="shared" si="8"/>
        <v>2022</v>
      </c>
      <c r="F302" t="str">
        <f t="shared" si="9"/>
        <v>1ª Semestre</v>
      </c>
    </row>
    <row r="303" spans="1:6" x14ac:dyDescent="0.25">
      <c r="A303" t="s">
        <v>5</v>
      </c>
      <c r="B303">
        <v>9</v>
      </c>
      <c r="C303" s="53">
        <v>7.8947368421052627E-2</v>
      </c>
      <c r="D303" s="52">
        <v>44613</v>
      </c>
      <c r="E303">
        <f t="shared" si="8"/>
        <v>2022</v>
      </c>
      <c r="F303" t="str">
        <f t="shared" si="9"/>
        <v>1ª Semestre</v>
      </c>
    </row>
    <row r="304" spans="1:6" x14ac:dyDescent="0.25">
      <c r="A304" t="s">
        <v>6</v>
      </c>
      <c r="B304">
        <v>16</v>
      </c>
      <c r="C304" s="53">
        <v>0.14035087719298245</v>
      </c>
      <c r="D304" s="52">
        <v>44613</v>
      </c>
      <c r="E304">
        <f t="shared" si="8"/>
        <v>2022</v>
      </c>
      <c r="F304" t="str">
        <f t="shared" si="9"/>
        <v>1ª Semestre</v>
      </c>
    </row>
    <row r="305" spans="1:6" x14ac:dyDescent="0.25">
      <c r="A305" t="s">
        <v>4</v>
      </c>
      <c r="B305">
        <v>1</v>
      </c>
      <c r="C305" s="53">
        <v>8.771929824561403E-3</v>
      </c>
      <c r="D305" s="52">
        <v>44613</v>
      </c>
      <c r="E305">
        <f t="shared" si="8"/>
        <v>2022</v>
      </c>
      <c r="F305" t="str">
        <f t="shared" si="9"/>
        <v>1ª Semestre</v>
      </c>
    </row>
    <row r="306" spans="1:6" x14ac:dyDescent="0.25">
      <c r="A306" t="s">
        <v>3</v>
      </c>
      <c r="B306">
        <v>1</v>
      </c>
      <c r="C306" s="53">
        <v>8.771929824561403E-3</v>
      </c>
      <c r="D306" s="52">
        <v>44613</v>
      </c>
      <c r="E306">
        <f t="shared" si="8"/>
        <v>2022</v>
      </c>
      <c r="F306" t="str">
        <f t="shared" si="9"/>
        <v>1ª Semestre</v>
      </c>
    </row>
    <row r="307" spans="1:6" x14ac:dyDescent="0.25">
      <c r="A307" t="s">
        <v>7</v>
      </c>
      <c r="B307">
        <v>8</v>
      </c>
      <c r="C307" s="53">
        <v>7.0175438596491224E-2</v>
      </c>
      <c r="D307" s="52">
        <v>44613</v>
      </c>
      <c r="E307">
        <f t="shared" si="8"/>
        <v>2022</v>
      </c>
      <c r="F307" t="str">
        <f t="shared" si="9"/>
        <v>1ª Semestre</v>
      </c>
    </row>
    <row r="308" spans="1:6" x14ac:dyDescent="0.25">
      <c r="A308" t="s">
        <v>2</v>
      </c>
      <c r="B308">
        <v>137</v>
      </c>
      <c r="C308" s="53">
        <v>0.68159203980099503</v>
      </c>
      <c r="D308" s="52">
        <v>44620</v>
      </c>
      <c r="E308">
        <f t="shared" si="8"/>
        <v>2022</v>
      </c>
      <c r="F308" t="str">
        <f t="shared" si="9"/>
        <v>1ª Semestre</v>
      </c>
    </row>
    <row r="309" spans="1:6" x14ac:dyDescent="0.25">
      <c r="A309" t="s">
        <v>5</v>
      </c>
      <c r="B309">
        <v>17</v>
      </c>
      <c r="C309" s="53">
        <v>8.45771144278607E-2</v>
      </c>
      <c r="D309" s="52">
        <v>44620</v>
      </c>
      <c r="E309">
        <f t="shared" si="8"/>
        <v>2022</v>
      </c>
      <c r="F309" t="str">
        <f t="shared" si="9"/>
        <v>1ª Semestre</v>
      </c>
    </row>
    <row r="310" spans="1:6" x14ac:dyDescent="0.25">
      <c r="A310" t="s">
        <v>6</v>
      </c>
      <c r="B310">
        <v>14</v>
      </c>
      <c r="C310" s="53">
        <v>6.965174129353234E-2</v>
      </c>
      <c r="D310" s="52">
        <v>44620</v>
      </c>
      <c r="E310">
        <f t="shared" si="8"/>
        <v>2022</v>
      </c>
      <c r="F310" t="str">
        <f t="shared" si="9"/>
        <v>1ª Semestre</v>
      </c>
    </row>
    <row r="311" spans="1:6" x14ac:dyDescent="0.25">
      <c r="A311" t="s">
        <v>4</v>
      </c>
      <c r="B311">
        <v>0</v>
      </c>
      <c r="C311" s="53">
        <v>0</v>
      </c>
      <c r="D311" s="52">
        <v>44620</v>
      </c>
      <c r="E311">
        <f t="shared" si="8"/>
        <v>2022</v>
      </c>
      <c r="F311" t="str">
        <f t="shared" si="9"/>
        <v>1ª Semestre</v>
      </c>
    </row>
    <row r="312" spans="1:6" x14ac:dyDescent="0.25">
      <c r="A312" t="s">
        <v>3</v>
      </c>
      <c r="B312">
        <v>17</v>
      </c>
      <c r="C312" s="53">
        <v>8.45771144278607E-2</v>
      </c>
      <c r="D312" s="52">
        <v>44620</v>
      </c>
      <c r="E312">
        <f t="shared" si="8"/>
        <v>2022</v>
      </c>
      <c r="F312" t="str">
        <f t="shared" si="9"/>
        <v>1ª Semestre</v>
      </c>
    </row>
    <row r="313" spans="1:6" x14ac:dyDescent="0.25">
      <c r="A313" t="s">
        <v>7</v>
      </c>
      <c r="B313">
        <v>16</v>
      </c>
      <c r="C313" s="53">
        <v>7.9601990049751242E-2</v>
      </c>
      <c r="D313" s="52">
        <v>44620</v>
      </c>
      <c r="E313">
        <f t="shared" si="8"/>
        <v>2022</v>
      </c>
      <c r="F313" t="str">
        <f t="shared" si="9"/>
        <v>1ª Semestre</v>
      </c>
    </row>
    <row r="314" spans="1:6" x14ac:dyDescent="0.25">
      <c r="A314" t="s">
        <v>2</v>
      </c>
      <c r="B314">
        <v>149</v>
      </c>
      <c r="C314" s="53">
        <v>0.80540540540540539</v>
      </c>
      <c r="D314" s="52">
        <v>44627</v>
      </c>
      <c r="E314">
        <f t="shared" si="8"/>
        <v>2022</v>
      </c>
      <c r="F314" t="str">
        <f t="shared" si="9"/>
        <v>1ª Semestre</v>
      </c>
    </row>
    <row r="315" spans="1:6" x14ac:dyDescent="0.25">
      <c r="A315" t="s">
        <v>5</v>
      </c>
      <c r="B315">
        <v>10</v>
      </c>
      <c r="C315" s="53">
        <v>5.4054054054054057E-2</v>
      </c>
      <c r="D315" s="52">
        <v>44627</v>
      </c>
      <c r="E315">
        <f t="shared" si="8"/>
        <v>2022</v>
      </c>
      <c r="F315" t="str">
        <f t="shared" si="9"/>
        <v>1ª Semestre</v>
      </c>
    </row>
    <row r="316" spans="1:6" x14ac:dyDescent="0.25">
      <c r="A316" t="s">
        <v>6</v>
      </c>
      <c r="B316">
        <v>7</v>
      </c>
      <c r="C316" s="53">
        <v>3.783783783783784E-2</v>
      </c>
      <c r="D316" s="52">
        <v>44627</v>
      </c>
      <c r="E316">
        <f t="shared" si="8"/>
        <v>2022</v>
      </c>
      <c r="F316" t="str">
        <f t="shared" si="9"/>
        <v>1ª Semestre</v>
      </c>
    </row>
    <row r="317" spans="1:6" x14ac:dyDescent="0.25">
      <c r="A317" t="s">
        <v>4</v>
      </c>
      <c r="B317">
        <v>0</v>
      </c>
      <c r="C317" s="53">
        <v>0</v>
      </c>
      <c r="D317" s="52">
        <v>44627</v>
      </c>
      <c r="E317">
        <f t="shared" si="8"/>
        <v>2022</v>
      </c>
      <c r="F317" t="str">
        <f t="shared" si="9"/>
        <v>1ª Semestre</v>
      </c>
    </row>
    <row r="318" spans="1:6" x14ac:dyDescent="0.25">
      <c r="A318" t="s">
        <v>3</v>
      </c>
      <c r="B318">
        <v>0</v>
      </c>
      <c r="C318" s="53">
        <v>0</v>
      </c>
      <c r="D318" s="52">
        <v>44627</v>
      </c>
      <c r="E318">
        <f t="shared" si="8"/>
        <v>2022</v>
      </c>
      <c r="F318" t="str">
        <f t="shared" si="9"/>
        <v>1ª Semestre</v>
      </c>
    </row>
    <row r="319" spans="1:6" x14ac:dyDescent="0.25">
      <c r="A319" t="s">
        <v>7</v>
      </c>
      <c r="B319">
        <v>19</v>
      </c>
      <c r="C319" s="53">
        <v>0.10270270270270271</v>
      </c>
      <c r="D319" s="52">
        <v>44627</v>
      </c>
      <c r="E319">
        <f t="shared" si="8"/>
        <v>2022</v>
      </c>
      <c r="F319" t="str">
        <f t="shared" si="9"/>
        <v>1ª Semestre</v>
      </c>
    </row>
    <row r="320" spans="1:6" x14ac:dyDescent="0.25">
      <c r="A320" t="s">
        <v>2</v>
      </c>
      <c r="B320">
        <v>105</v>
      </c>
      <c r="C320" s="53">
        <v>0.66878980891719741</v>
      </c>
      <c r="D320" s="52">
        <v>44634</v>
      </c>
      <c r="E320">
        <f t="shared" si="8"/>
        <v>2022</v>
      </c>
      <c r="F320" t="str">
        <f t="shared" si="9"/>
        <v>1ª Semestre</v>
      </c>
    </row>
    <row r="321" spans="1:6" x14ac:dyDescent="0.25">
      <c r="A321" t="s">
        <v>5</v>
      </c>
      <c r="B321">
        <v>18</v>
      </c>
      <c r="C321" s="53">
        <v>0.11464968152866242</v>
      </c>
      <c r="D321" s="52">
        <v>44634</v>
      </c>
      <c r="E321">
        <f t="shared" si="8"/>
        <v>2022</v>
      </c>
      <c r="F321" t="str">
        <f t="shared" si="9"/>
        <v>1ª Semestre</v>
      </c>
    </row>
    <row r="322" spans="1:6" x14ac:dyDescent="0.25">
      <c r="A322" t="s">
        <v>6</v>
      </c>
      <c r="B322">
        <v>13</v>
      </c>
      <c r="C322" s="53">
        <v>8.2802547770700632E-2</v>
      </c>
      <c r="D322" s="52">
        <v>44634</v>
      </c>
      <c r="E322">
        <f t="shared" ref="E322:E385" si="10">YEAR(D322)</f>
        <v>2022</v>
      </c>
      <c r="F322" t="str">
        <f t="shared" ref="F322:F385" si="11">IF(MONTH(D322)&lt;=6,"1ª Semestre","2ª Semestre")</f>
        <v>1ª Semestre</v>
      </c>
    </row>
    <row r="323" spans="1:6" x14ac:dyDescent="0.25">
      <c r="A323" t="s">
        <v>4</v>
      </c>
      <c r="B323">
        <v>5</v>
      </c>
      <c r="C323" s="53">
        <v>3.1847133757961783E-2</v>
      </c>
      <c r="D323" s="52">
        <v>44634</v>
      </c>
      <c r="E323">
        <f t="shared" si="10"/>
        <v>2022</v>
      </c>
      <c r="F323" t="str">
        <f t="shared" si="11"/>
        <v>1ª Semestre</v>
      </c>
    </row>
    <row r="324" spans="1:6" x14ac:dyDescent="0.25">
      <c r="A324" t="s">
        <v>3</v>
      </c>
      <c r="B324">
        <v>5</v>
      </c>
      <c r="C324" s="53">
        <v>3.1847133757961783E-2</v>
      </c>
      <c r="D324" s="52">
        <v>44634</v>
      </c>
      <c r="E324">
        <f t="shared" si="10"/>
        <v>2022</v>
      </c>
      <c r="F324" t="str">
        <f t="shared" si="11"/>
        <v>1ª Semestre</v>
      </c>
    </row>
    <row r="325" spans="1:6" x14ac:dyDescent="0.25">
      <c r="A325" t="s">
        <v>7</v>
      </c>
      <c r="B325">
        <v>11</v>
      </c>
      <c r="C325" s="53">
        <v>7.0063694267515922E-2</v>
      </c>
      <c r="D325" s="52">
        <v>44634</v>
      </c>
      <c r="E325">
        <f t="shared" si="10"/>
        <v>2022</v>
      </c>
      <c r="F325" t="str">
        <f t="shared" si="11"/>
        <v>1ª Semestre</v>
      </c>
    </row>
    <row r="326" spans="1:6" x14ac:dyDescent="0.25">
      <c r="A326" t="s">
        <v>2</v>
      </c>
      <c r="B326">
        <v>161</v>
      </c>
      <c r="C326" s="53">
        <v>0.82564102564102559</v>
      </c>
      <c r="D326" s="52">
        <v>44641</v>
      </c>
      <c r="E326">
        <f t="shared" si="10"/>
        <v>2022</v>
      </c>
      <c r="F326" t="str">
        <f t="shared" si="11"/>
        <v>1ª Semestre</v>
      </c>
    </row>
    <row r="327" spans="1:6" x14ac:dyDescent="0.25">
      <c r="A327" t="s">
        <v>5</v>
      </c>
      <c r="B327">
        <v>16</v>
      </c>
      <c r="C327" s="53">
        <v>8.2051282051282051E-2</v>
      </c>
      <c r="D327" s="52">
        <v>44641</v>
      </c>
      <c r="E327">
        <f t="shared" si="10"/>
        <v>2022</v>
      </c>
      <c r="F327" t="str">
        <f t="shared" si="11"/>
        <v>1ª Semestre</v>
      </c>
    </row>
    <row r="328" spans="1:6" x14ac:dyDescent="0.25">
      <c r="A328" t="s">
        <v>6</v>
      </c>
      <c r="B328">
        <v>6</v>
      </c>
      <c r="C328" s="53">
        <v>3.0769230769230771E-2</v>
      </c>
      <c r="D328" s="52">
        <v>44641</v>
      </c>
      <c r="E328">
        <f t="shared" si="10"/>
        <v>2022</v>
      </c>
      <c r="F328" t="str">
        <f t="shared" si="11"/>
        <v>1ª Semestre</v>
      </c>
    </row>
    <row r="329" spans="1:6" x14ac:dyDescent="0.25">
      <c r="A329" t="s">
        <v>4</v>
      </c>
      <c r="B329">
        <v>0</v>
      </c>
      <c r="C329" s="53">
        <v>0</v>
      </c>
      <c r="D329" s="52">
        <v>44641</v>
      </c>
      <c r="E329">
        <f t="shared" si="10"/>
        <v>2022</v>
      </c>
      <c r="F329" t="str">
        <f t="shared" si="11"/>
        <v>1ª Semestre</v>
      </c>
    </row>
    <row r="330" spans="1:6" x14ac:dyDescent="0.25">
      <c r="A330" t="s">
        <v>3</v>
      </c>
      <c r="B330">
        <v>0</v>
      </c>
      <c r="C330" s="53">
        <v>0</v>
      </c>
      <c r="D330" s="52">
        <v>44641</v>
      </c>
      <c r="E330">
        <f t="shared" si="10"/>
        <v>2022</v>
      </c>
      <c r="F330" t="str">
        <f t="shared" si="11"/>
        <v>1ª Semestre</v>
      </c>
    </row>
    <row r="331" spans="1:6" x14ac:dyDescent="0.25">
      <c r="A331" t="s">
        <v>7</v>
      </c>
      <c r="B331">
        <v>12</v>
      </c>
      <c r="C331" s="53">
        <v>6.1538461538461542E-2</v>
      </c>
      <c r="D331" s="52">
        <v>44641</v>
      </c>
      <c r="E331">
        <f t="shared" si="10"/>
        <v>2022</v>
      </c>
      <c r="F331" t="str">
        <f t="shared" si="11"/>
        <v>1ª Semestre</v>
      </c>
    </row>
    <row r="332" spans="1:6" x14ac:dyDescent="0.25">
      <c r="A332" t="s">
        <v>2</v>
      </c>
      <c r="B332">
        <v>173</v>
      </c>
      <c r="C332" s="53">
        <v>0.84390243902439022</v>
      </c>
      <c r="D332" s="52">
        <v>44648</v>
      </c>
      <c r="E332">
        <f t="shared" si="10"/>
        <v>2022</v>
      </c>
      <c r="F332" t="str">
        <f t="shared" si="11"/>
        <v>1ª Semestre</v>
      </c>
    </row>
    <row r="333" spans="1:6" x14ac:dyDescent="0.25">
      <c r="A333" t="s">
        <v>5</v>
      </c>
      <c r="B333">
        <v>15</v>
      </c>
      <c r="C333" s="53">
        <v>7.3170731707317069E-2</v>
      </c>
      <c r="D333" s="52">
        <v>44648</v>
      </c>
      <c r="E333">
        <f t="shared" si="10"/>
        <v>2022</v>
      </c>
      <c r="F333" t="str">
        <f t="shared" si="11"/>
        <v>1ª Semestre</v>
      </c>
    </row>
    <row r="334" spans="1:6" x14ac:dyDescent="0.25">
      <c r="A334" t="s">
        <v>6</v>
      </c>
      <c r="B334">
        <v>7</v>
      </c>
      <c r="C334" s="53">
        <v>3.4146341463414637E-2</v>
      </c>
      <c r="D334" s="52">
        <v>44648</v>
      </c>
      <c r="E334">
        <f t="shared" si="10"/>
        <v>2022</v>
      </c>
      <c r="F334" t="str">
        <f t="shared" si="11"/>
        <v>1ª Semestre</v>
      </c>
    </row>
    <row r="335" spans="1:6" x14ac:dyDescent="0.25">
      <c r="A335" t="s">
        <v>4</v>
      </c>
      <c r="B335">
        <v>4</v>
      </c>
      <c r="C335" s="53">
        <v>1.9512195121951219E-2</v>
      </c>
      <c r="D335" s="52">
        <v>44648</v>
      </c>
      <c r="E335">
        <f t="shared" si="10"/>
        <v>2022</v>
      </c>
      <c r="F335" t="str">
        <f t="shared" si="11"/>
        <v>1ª Semestre</v>
      </c>
    </row>
    <row r="336" spans="1:6" x14ac:dyDescent="0.25">
      <c r="A336" t="s">
        <v>3</v>
      </c>
      <c r="B336">
        <v>0</v>
      </c>
      <c r="C336" s="53">
        <v>0</v>
      </c>
      <c r="D336" s="52">
        <v>44648</v>
      </c>
      <c r="E336">
        <f t="shared" si="10"/>
        <v>2022</v>
      </c>
      <c r="F336" t="str">
        <f t="shared" si="11"/>
        <v>1ª Semestre</v>
      </c>
    </row>
    <row r="337" spans="1:6" x14ac:dyDescent="0.25">
      <c r="A337" t="s">
        <v>7</v>
      </c>
      <c r="B337">
        <v>6</v>
      </c>
      <c r="C337" s="53">
        <v>2.9268292682926831E-2</v>
      </c>
      <c r="D337" s="52">
        <v>44648</v>
      </c>
      <c r="E337">
        <f t="shared" si="10"/>
        <v>2022</v>
      </c>
      <c r="F337" t="str">
        <f t="shared" si="11"/>
        <v>1ª Semestre</v>
      </c>
    </row>
    <row r="338" spans="1:6" x14ac:dyDescent="0.25">
      <c r="A338" t="s">
        <v>2</v>
      </c>
      <c r="B338">
        <v>209</v>
      </c>
      <c r="C338" s="53">
        <v>0.87447698744769875</v>
      </c>
      <c r="D338" s="52">
        <v>44655</v>
      </c>
      <c r="E338">
        <f t="shared" si="10"/>
        <v>2022</v>
      </c>
      <c r="F338" t="str">
        <f t="shared" si="11"/>
        <v>1ª Semestre</v>
      </c>
    </row>
    <row r="339" spans="1:6" x14ac:dyDescent="0.25">
      <c r="A339" t="s">
        <v>5</v>
      </c>
      <c r="B339">
        <v>17</v>
      </c>
      <c r="C339" s="53">
        <v>7.1129707112970716E-2</v>
      </c>
      <c r="D339" s="52">
        <v>44655</v>
      </c>
      <c r="E339">
        <f t="shared" si="10"/>
        <v>2022</v>
      </c>
      <c r="F339" t="str">
        <f t="shared" si="11"/>
        <v>1ª Semestre</v>
      </c>
    </row>
    <row r="340" spans="1:6" x14ac:dyDescent="0.25">
      <c r="A340" t="s">
        <v>6</v>
      </c>
      <c r="B340">
        <v>7</v>
      </c>
      <c r="C340" s="53">
        <v>2.9288702928870293E-2</v>
      </c>
      <c r="D340" s="52">
        <v>44655</v>
      </c>
      <c r="E340">
        <f t="shared" si="10"/>
        <v>2022</v>
      </c>
      <c r="F340" t="str">
        <f t="shared" si="11"/>
        <v>1ª Semestre</v>
      </c>
    </row>
    <row r="341" spans="1:6" x14ac:dyDescent="0.25">
      <c r="A341" t="s">
        <v>4</v>
      </c>
      <c r="B341">
        <v>0</v>
      </c>
      <c r="C341" s="53">
        <v>0</v>
      </c>
      <c r="D341" s="52">
        <v>44655</v>
      </c>
      <c r="E341">
        <f t="shared" si="10"/>
        <v>2022</v>
      </c>
      <c r="F341" t="str">
        <f t="shared" si="11"/>
        <v>1ª Semestre</v>
      </c>
    </row>
    <row r="342" spans="1:6" x14ac:dyDescent="0.25">
      <c r="A342" t="s">
        <v>3</v>
      </c>
      <c r="B342">
        <v>0</v>
      </c>
      <c r="C342" s="53">
        <v>0</v>
      </c>
      <c r="D342" s="52">
        <v>44655</v>
      </c>
      <c r="E342">
        <f t="shared" si="10"/>
        <v>2022</v>
      </c>
      <c r="F342" t="str">
        <f t="shared" si="11"/>
        <v>1ª Semestre</v>
      </c>
    </row>
    <row r="343" spans="1:6" x14ac:dyDescent="0.25">
      <c r="A343" t="s">
        <v>7</v>
      </c>
      <c r="B343">
        <v>6</v>
      </c>
      <c r="C343" s="53">
        <v>2.5104602510460251E-2</v>
      </c>
      <c r="D343" s="52">
        <v>44655</v>
      </c>
      <c r="E343">
        <f t="shared" si="10"/>
        <v>2022</v>
      </c>
      <c r="F343" t="str">
        <f t="shared" si="11"/>
        <v>1ª Semestre</v>
      </c>
    </row>
    <row r="344" spans="1:6" x14ac:dyDescent="0.25">
      <c r="A344" t="s">
        <v>2</v>
      </c>
      <c r="B344">
        <v>205</v>
      </c>
      <c r="C344" s="53">
        <v>0.78244274809160308</v>
      </c>
      <c r="D344" s="52">
        <v>44662</v>
      </c>
      <c r="E344">
        <f t="shared" si="10"/>
        <v>2022</v>
      </c>
      <c r="F344" t="str">
        <f t="shared" si="11"/>
        <v>1ª Semestre</v>
      </c>
    </row>
    <row r="345" spans="1:6" x14ac:dyDescent="0.25">
      <c r="A345" t="s">
        <v>5</v>
      </c>
      <c r="B345">
        <v>25</v>
      </c>
      <c r="C345" s="53">
        <v>9.5419847328244281E-2</v>
      </c>
      <c r="D345" s="52">
        <v>44662</v>
      </c>
      <c r="E345">
        <f t="shared" si="10"/>
        <v>2022</v>
      </c>
      <c r="F345" t="str">
        <f t="shared" si="11"/>
        <v>1ª Semestre</v>
      </c>
    </row>
    <row r="346" spans="1:6" x14ac:dyDescent="0.25">
      <c r="A346" t="s">
        <v>6</v>
      </c>
      <c r="B346">
        <v>19</v>
      </c>
      <c r="C346" s="53">
        <v>7.2519083969465645E-2</v>
      </c>
      <c r="D346" s="52">
        <v>44662</v>
      </c>
      <c r="E346">
        <f t="shared" si="10"/>
        <v>2022</v>
      </c>
      <c r="F346" t="str">
        <f t="shared" si="11"/>
        <v>1ª Semestre</v>
      </c>
    </row>
    <row r="347" spans="1:6" x14ac:dyDescent="0.25">
      <c r="A347" t="s">
        <v>4</v>
      </c>
      <c r="B347">
        <v>0</v>
      </c>
      <c r="C347" s="53">
        <v>0</v>
      </c>
      <c r="D347" s="52">
        <v>44662</v>
      </c>
      <c r="E347">
        <f t="shared" si="10"/>
        <v>2022</v>
      </c>
      <c r="F347" t="str">
        <f t="shared" si="11"/>
        <v>1ª Semestre</v>
      </c>
    </row>
    <row r="348" spans="1:6" x14ac:dyDescent="0.25">
      <c r="A348" t="s">
        <v>3</v>
      </c>
      <c r="B348">
        <v>11</v>
      </c>
      <c r="C348" s="53">
        <v>4.1984732824427481E-2</v>
      </c>
      <c r="D348" s="52">
        <v>44662</v>
      </c>
      <c r="E348">
        <f t="shared" si="10"/>
        <v>2022</v>
      </c>
      <c r="F348" t="str">
        <f t="shared" si="11"/>
        <v>1ª Semestre</v>
      </c>
    </row>
    <row r="349" spans="1:6" x14ac:dyDescent="0.25">
      <c r="A349" t="s">
        <v>7</v>
      </c>
      <c r="B349">
        <v>2</v>
      </c>
      <c r="C349" s="53">
        <v>7.6335877862595417E-3</v>
      </c>
      <c r="D349" s="52">
        <v>44662</v>
      </c>
      <c r="E349">
        <f t="shared" si="10"/>
        <v>2022</v>
      </c>
      <c r="F349" t="str">
        <f t="shared" si="11"/>
        <v>1ª Semestre</v>
      </c>
    </row>
    <row r="350" spans="1:6" x14ac:dyDescent="0.25">
      <c r="A350" t="s">
        <v>2</v>
      </c>
      <c r="B350">
        <v>178</v>
      </c>
      <c r="C350" s="53">
        <v>0.84360189573459721</v>
      </c>
      <c r="D350" s="52">
        <v>44669</v>
      </c>
      <c r="E350">
        <f t="shared" si="10"/>
        <v>2022</v>
      </c>
      <c r="F350" t="str">
        <f t="shared" si="11"/>
        <v>1ª Semestre</v>
      </c>
    </row>
    <row r="351" spans="1:6" x14ac:dyDescent="0.25">
      <c r="A351" t="s">
        <v>5</v>
      </c>
      <c r="B351">
        <v>26</v>
      </c>
      <c r="C351" s="53">
        <v>0.12322274881516587</v>
      </c>
      <c r="D351" s="52">
        <v>44669</v>
      </c>
      <c r="E351">
        <f t="shared" si="10"/>
        <v>2022</v>
      </c>
      <c r="F351" t="str">
        <f t="shared" si="11"/>
        <v>1ª Semestre</v>
      </c>
    </row>
    <row r="352" spans="1:6" x14ac:dyDescent="0.25">
      <c r="A352" t="s">
        <v>6</v>
      </c>
      <c r="B352">
        <v>5</v>
      </c>
      <c r="C352" s="53">
        <v>2.3696682464454975E-2</v>
      </c>
      <c r="D352" s="52">
        <v>44669</v>
      </c>
      <c r="E352">
        <f t="shared" si="10"/>
        <v>2022</v>
      </c>
      <c r="F352" t="str">
        <f t="shared" si="11"/>
        <v>1ª Semestre</v>
      </c>
    </row>
    <row r="353" spans="1:6" x14ac:dyDescent="0.25">
      <c r="A353" t="s">
        <v>4</v>
      </c>
      <c r="B353">
        <v>0</v>
      </c>
      <c r="C353" s="53">
        <v>0</v>
      </c>
      <c r="D353" s="52">
        <v>44669</v>
      </c>
      <c r="E353">
        <f t="shared" si="10"/>
        <v>2022</v>
      </c>
      <c r="F353" t="str">
        <f t="shared" si="11"/>
        <v>1ª Semestre</v>
      </c>
    </row>
    <row r="354" spans="1:6" x14ac:dyDescent="0.25">
      <c r="A354" t="s">
        <v>3</v>
      </c>
      <c r="B354">
        <v>0</v>
      </c>
      <c r="C354" s="53">
        <v>0</v>
      </c>
      <c r="D354" s="52">
        <v>44669</v>
      </c>
      <c r="E354">
        <f t="shared" si="10"/>
        <v>2022</v>
      </c>
      <c r="F354" t="str">
        <f t="shared" si="11"/>
        <v>1ª Semestre</v>
      </c>
    </row>
    <row r="355" spans="1:6" x14ac:dyDescent="0.25">
      <c r="A355" t="s">
        <v>7</v>
      </c>
      <c r="B355">
        <v>2</v>
      </c>
      <c r="C355" s="53">
        <v>9.4786729857819912E-3</v>
      </c>
      <c r="D355" s="52">
        <v>44669</v>
      </c>
      <c r="E355">
        <f t="shared" si="10"/>
        <v>2022</v>
      </c>
      <c r="F355" t="str">
        <f t="shared" si="11"/>
        <v>1ª Semestre</v>
      </c>
    </row>
    <row r="356" spans="1:6" x14ac:dyDescent="0.25">
      <c r="A356" t="s">
        <v>2</v>
      </c>
      <c r="B356">
        <v>227</v>
      </c>
      <c r="C356" s="53">
        <v>0.82846715328467158</v>
      </c>
      <c r="D356" s="52">
        <v>44676</v>
      </c>
      <c r="E356">
        <f t="shared" si="10"/>
        <v>2022</v>
      </c>
      <c r="F356" t="str">
        <f t="shared" si="11"/>
        <v>1ª Semestre</v>
      </c>
    </row>
    <row r="357" spans="1:6" x14ac:dyDescent="0.25">
      <c r="A357" t="s">
        <v>5</v>
      </c>
      <c r="B357">
        <v>30</v>
      </c>
      <c r="C357" s="53">
        <v>0.10948905109489052</v>
      </c>
      <c r="D357" s="52">
        <v>44676</v>
      </c>
      <c r="E357">
        <f t="shared" si="10"/>
        <v>2022</v>
      </c>
      <c r="F357" t="str">
        <f t="shared" si="11"/>
        <v>1ª Semestre</v>
      </c>
    </row>
    <row r="358" spans="1:6" x14ac:dyDescent="0.25">
      <c r="A358" t="s">
        <v>6</v>
      </c>
      <c r="B358">
        <v>9</v>
      </c>
      <c r="C358" s="53">
        <v>3.2846715328467155E-2</v>
      </c>
      <c r="D358" s="52">
        <v>44676</v>
      </c>
      <c r="E358">
        <f t="shared" si="10"/>
        <v>2022</v>
      </c>
      <c r="F358" t="str">
        <f t="shared" si="11"/>
        <v>1ª Semestre</v>
      </c>
    </row>
    <row r="359" spans="1:6" x14ac:dyDescent="0.25">
      <c r="A359" t="s">
        <v>4</v>
      </c>
      <c r="B359">
        <v>0</v>
      </c>
      <c r="C359" s="53">
        <v>0</v>
      </c>
      <c r="D359" s="52">
        <v>44676</v>
      </c>
      <c r="E359">
        <f t="shared" si="10"/>
        <v>2022</v>
      </c>
      <c r="F359" t="str">
        <f t="shared" si="11"/>
        <v>1ª Semestre</v>
      </c>
    </row>
    <row r="360" spans="1:6" x14ac:dyDescent="0.25">
      <c r="A360" t="s">
        <v>3</v>
      </c>
      <c r="B360">
        <v>0</v>
      </c>
      <c r="C360" s="53">
        <v>0</v>
      </c>
      <c r="D360" s="52">
        <v>44676</v>
      </c>
      <c r="E360">
        <f t="shared" si="10"/>
        <v>2022</v>
      </c>
      <c r="F360" t="str">
        <f t="shared" si="11"/>
        <v>1ª Semestre</v>
      </c>
    </row>
    <row r="361" spans="1:6" x14ac:dyDescent="0.25">
      <c r="A361" t="s">
        <v>7</v>
      </c>
      <c r="B361">
        <v>8</v>
      </c>
      <c r="C361" s="53">
        <v>2.9197080291970802E-2</v>
      </c>
      <c r="D361" s="52">
        <v>44676</v>
      </c>
      <c r="E361">
        <f t="shared" si="10"/>
        <v>2022</v>
      </c>
      <c r="F361" t="str">
        <f t="shared" si="11"/>
        <v>1ª Semestre</v>
      </c>
    </row>
    <row r="362" spans="1:6" x14ac:dyDescent="0.25">
      <c r="A362" t="s">
        <v>2</v>
      </c>
      <c r="B362">
        <v>215</v>
      </c>
      <c r="C362" s="53">
        <v>0.85317460317460314</v>
      </c>
      <c r="D362" s="52">
        <v>44683</v>
      </c>
      <c r="E362">
        <f t="shared" si="10"/>
        <v>2022</v>
      </c>
      <c r="F362" t="str">
        <f t="shared" si="11"/>
        <v>1ª Semestre</v>
      </c>
    </row>
    <row r="363" spans="1:6" x14ac:dyDescent="0.25">
      <c r="A363" t="s">
        <v>5</v>
      </c>
      <c r="B363">
        <v>17</v>
      </c>
      <c r="C363" s="53">
        <v>6.7460317460317457E-2</v>
      </c>
      <c r="D363" s="52">
        <v>44683</v>
      </c>
      <c r="E363">
        <f t="shared" si="10"/>
        <v>2022</v>
      </c>
      <c r="F363" t="str">
        <f t="shared" si="11"/>
        <v>1ª Semestre</v>
      </c>
    </row>
    <row r="364" spans="1:6" x14ac:dyDescent="0.25">
      <c r="A364" t="s">
        <v>6</v>
      </c>
      <c r="B364">
        <v>3</v>
      </c>
      <c r="C364" s="53">
        <v>1.1904761904761904E-2</v>
      </c>
      <c r="D364" s="52">
        <v>44683</v>
      </c>
      <c r="E364">
        <f t="shared" si="10"/>
        <v>2022</v>
      </c>
      <c r="F364" t="str">
        <f t="shared" si="11"/>
        <v>1ª Semestre</v>
      </c>
    </row>
    <row r="365" spans="1:6" x14ac:dyDescent="0.25">
      <c r="A365" t="s">
        <v>4</v>
      </c>
      <c r="B365">
        <v>0</v>
      </c>
      <c r="C365" s="53">
        <v>0</v>
      </c>
      <c r="D365" s="52">
        <v>44683</v>
      </c>
      <c r="E365">
        <f t="shared" si="10"/>
        <v>2022</v>
      </c>
      <c r="F365" t="str">
        <f t="shared" si="11"/>
        <v>1ª Semestre</v>
      </c>
    </row>
    <row r="366" spans="1:6" x14ac:dyDescent="0.25">
      <c r="A366" t="s">
        <v>3</v>
      </c>
      <c r="B366">
        <v>0</v>
      </c>
      <c r="C366" s="53">
        <v>0</v>
      </c>
      <c r="D366" s="52">
        <v>44683</v>
      </c>
      <c r="E366">
        <f t="shared" si="10"/>
        <v>2022</v>
      </c>
      <c r="F366" t="str">
        <f t="shared" si="11"/>
        <v>1ª Semestre</v>
      </c>
    </row>
    <row r="367" spans="1:6" x14ac:dyDescent="0.25">
      <c r="A367" t="s">
        <v>7</v>
      </c>
      <c r="B367">
        <v>17</v>
      </c>
      <c r="C367" s="53">
        <v>6.7460317460317457E-2</v>
      </c>
      <c r="D367" s="52">
        <v>44683</v>
      </c>
      <c r="E367">
        <f t="shared" si="10"/>
        <v>2022</v>
      </c>
      <c r="F367" t="str">
        <f t="shared" si="11"/>
        <v>1ª Semestre</v>
      </c>
    </row>
    <row r="368" spans="1:6" x14ac:dyDescent="0.25">
      <c r="A368" t="s">
        <v>2</v>
      </c>
      <c r="B368">
        <v>227</v>
      </c>
      <c r="C368" s="53">
        <v>0.91532258064516125</v>
      </c>
      <c r="D368" s="52">
        <v>44689</v>
      </c>
      <c r="E368">
        <f t="shared" si="10"/>
        <v>2022</v>
      </c>
      <c r="F368" t="str">
        <f t="shared" si="11"/>
        <v>1ª Semestre</v>
      </c>
    </row>
    <row r="369" spans="1:6" x14ac:dyDescent="0.25">
      <c r="A369" t="s">
        <v>5</v>
      </c>
      <c r="B369">
        <v>7</v>
      </c>
      <c r="C369" s="53">
        <v>2.8225806451612902E-2</v>
      </c>
      <c r="D369" s="52">
        <v>44689</v>
      </c>
      <c r="E369">
        <f t="shared" si="10"/>
        <v>2022</v>
      </c>
      <c r="F369" t="str">
        <f t="shared" si="11"/>
        <v>1ª Semestre</v>
      </c>
    </row>
    <row r="370" spans="1:6" x14ac:dyDescent="0.25">
      <c r="A370" t="s">
        <v>6</v>
      </c>
      <c r="B370">
        <v>3</v>
      </c>
      <c r="C370" s="53">
        <v>1.2096774193548387E-2</v>
      </c>
      <c r="D370" s="52">
        <v>44689</v>
      </c>
      <c r="E370">
        <f t="shared" si="10"/>
        <v>2022</v>
      </c>
      <c r="F370" t="str">
        <f t="shared" si="11"/>
        <v>1ª Semestre</v>
      </c>
    </row>
    <row r="371" spans="1:6" x14ac:dyDescent="0.25">
      <c r="A371" t="s">
        <v>4</v>
      </c>
      <c r="B371">
        <v>0</v>
      </c>
      <c r="C371" s="53">
        <v>0</v>
      </c>
      <c r="D371" s="52">
        <v>44689</v>
      </c>
      <c r="E371">
        <f t="shared" si="10"/>
        <v>2022</v>
      </c>
      <c r="F371" t="str">
        <f t="shared" si="11"/>
        <v>1ª Semestre</v>
      </c>
    </row>
    <row r="372" spans="1:6" x14ac:dyDescent="0.25">
      <c r="A372" t="s">
        <v>3</v>
      </c>
      <c r="B372">
        <v>0</v>
      </c>
      <c r="C372" s="53">
        <v>0</v>
      </c>
      <c r="D372" s="52">
        <v>44689</v>
      </c>
      <c r="E372">
        <f t="shared" si="10"/>
        <v>2022</v>
      </c>
      <c r="F372" t="str">
        <f t="shared" si="11"/>
        <v>1ª Semestre</v>
      </c>
    </row>
    <row r="373" spans="1:6" x14ac:dyDescent="0.25">
      <c r="A373" t="s">
        <v>7</v>
      </c>
      <c r="B373">
        <v>11</v>
      </c>
      <c r="C373" s="53">
        <v>4.4354838709677422E-2</v>
      </c>
      <c r="D373" s="52">
        <v>44689</v>
      </c>
      <c r="E373">
        <f t="shared" si="10"/>
        <v>2022</v>
      </c>
      <c r="F373" t="str">
        <f t="shared" si="11"/>
        <v>1ª Semestre</v>
      </c>
    </row>
    <row r="374" spans="1:6" x14ac:dyDescent="0.25">
      <c r="A374" t="s">
        <v>2</v>
      </c>
      <c r="B374">
        <v>199</v>
      </c>
      <c r="C374" s="53">
        <v>0.88444444444444448</v>
      </c>
      <c r="D374" s="52">
        <v>44697</v>
      </c>
      <c r="E374">
        <f t="shared" si="10"/>
        <v>2022</v>
      </c>
      <c r="F374" t="str">
        <f t="shared" si="11"/>
        <v>1ª Semestre</v>
      </c>
    </row>
    <row r="375" spans="1:6" x14ac:dyDescent="0.25">
      <c r="A375" t="s">
        <v>5</v>
      </c>
      <c r="B375">
        <v>7</v>
      </c>
      <c r="C375" s="53">
        <v>3.111111111111111E-2</v>
      </c>
      <c r="D375" s="52">
        <v>44697</v>
      </c>
      <c r="E375">
        <f t="shared" si="10"/>
        <v>2022</v>
      </c>
      <c r="F375" t="str">
        <f t="shared" si="11"/>
        <v>1ª Semestre</v>
      </c>
    </row>
    <row r="376" spans="1:6" x14ac:dyDescent="0.25">
      <c r="A376" t="s">
        <v>6</v>
      </c>
      <c r="B376">
        <v>8</v>
      </c>
      <c r="C376" s="53">
        <v>3.5555555555555556E-2</v>
      </c>
      <c r="D376" s="52">
        <v>44697</v>
      </c>
      <c r="E376">
        <f t="shared" si="10"/>
        <v>2022</v>
      </c>
      <c r="F376" t="str">
        <f t="shared" si="11"/>
        <v>1ª Semestre</v>
      </c>
    </row>
    <row r="377" spans="1:6" x14ac:dyDescent="0.25">
      <c r="A377" t="s">
        <v>4</v>
      </c>
      <c r="B377">
        <v>0</v>
      </c>
      <c r="C377" s="53">
        <v>0</v>
      </c>
      <c r="D377" s="52">
        <v>44697</v>
      </c>
      <c r="E377">
        <f t="shared" si="10"/>
        <v>2022</v>
      </c>
      <c r="F377" t="str">
        <f t="shared" si="11"/>
        <v>1ª Semestre</v>
      </c>
    </row>
    <row r="378" spans="1:6" x14ac:dyDescent="0.25">
      <c r="A378" t="s">
        <v>3</v>
      </c>
      <c r="B378">
        <v>0</v>
      </c>
      <c r="C378" s="53">
        <v>0</v>
      </c>
      <c r="D378" s="52">
        <v>44697</v>
      </c>
      <c r="E378">
        <f t="shared" si="10"/>
        <v>2022</v>
      </c>
      <c r="F378" t="str">
        <f t="shared" si="11"/>
        <v>1ª Semestre</v>
      </c>
    </row>
    <row r="379" spans="1:6" x14ac:dyDescent="0.25">
      <c r="A379" t="s">
        <v>7</v>
      </c>
      <c r="B379">
        <v>11</v>
      </c>
      <c r="C379" s="53">
        <v>4.8888888888888891E-2</v>
      </c>
      <c r="D379" s="52">
        <v>44697</v>
      </c>
      <c r="E379">
        <f t="shared" si="10"/>
        <v>2022</v>
      </c>
      <c r="F379" t="str">
        <f t="shared" si="11"/>
        <v>1ª Semestre</v>
      </c>
    </row>
    <row r="380" spans="1:6" x14ac:dyDescent="0.25">
      <c r="A380" t="s">
        <v>2</v>
      </c>
      <c r="B380">
        <v>197</v>
      </c>
      <c r="C380" s="53">
        <v>0.84549356223175964</v>
      </c>
      <c r="D380" s="52">
        <v>44704</v>
      </c>
      <c r="E380">
        <f t="shared" si="10"/>
        <v>2022</v>
      </c>
      <c r="F380" t="str">
        <f t="shared" si="11"/>
        <v>1ª Semestre</v>
      </c>
    </row>
    <row r="381" spans="1:6" x14ac:dyDescent="0.25">
      <c r="A381" t="s">
        <v>5</v>
      </c>
      <c r="B381">
        <v>20</v>
      </c>
      <c r="C381" s="53">
        <v>8.5836909871244635E-2</v>
      </c>
      <c r="D381" s="52">
        <v>44704</v>
      </c>
      <c r="E381">
        <f t="shared" si="10"/>
        <v>2022</v>
      </c>
      <c r="F381" t="str">
        <f t="shared" si="11"/>
        <v>1ª Semestre</v>
      </c>
    </row>
    <row r="382" spans="1:6" x14ac:dyDescent="0.25">
      <c r="A382" t="s">
        <v>6</v>
      </c>
      <c r="B382">
        <v>5</v>
      </c>
      <c r="C382" s="53">
        <v>2.1459227467811159E-2</v>
      </c>
      <c r="D382" s="52">
        <v>44704</v>
      </c>
      <c r="E382">
        <f t="shared" si="10"/>
        <v>2022</v>
      </c>
      <c r="F382" t="str">
        <f t="shared" si="11"/>
        <v>1ª Semestre</v>
      </c>
    </row>
    <row r="383" spans="1:6" x14ac:dyDescent="0.25">
      <c r="A383" t="s">
        <v>4</v>
      </c>
      <c r="B383">
        <v>0</v>
      </c>
      <c r="C383" s="53">
        <v>0</v>
      </c>
      <c r="D383" s="52">
        <v>44704</v>
      </c>
      <c r="E383">
        <f t="shared" si="10"/>
        <v>2022</v>
      </c>
      <c r="F383" t="str">
        <f t="shared" si="11"/>
        <v>1ª Semestre</v>
      </c>
    </row>
    <row r="384" spans="1:6" x14ac:dyDescent="0.25">
      <c r="A384" t="s">
        <v>3</v>
      </c>
      <c r="B384">
        <v>0</v>
      </c>
      <c r="C384" s="53">
        <v>0</v>
      </c>
      <c r="D384" s="52">
        <v>44704</v>
      </c>
      <c r="E384">
        <f t="shared" si="10"/>
        <v>2022</v>
      </c>
      <c r="F384" t="str">
        <f t="shared" si="11"/>
        <v>1ª Semestre</v>
      </c>
    </row>
    <row r="385" spans="1:6" x14ac:dyDescent="0.25">
      <c r="A385" t="s">
        <v>7</v>
      </c>
      <c r="B385">
        <v>11</v>
      </c>
      <c r="C385" s="53">
        <v>4.7210300429184553E-2</v>
      </c>
      <c r="D385" s="52">
        <v>44704</v>
      </c>
      <c r="E385">
        <f t="shared" si="10"/>
        <v>2022</v>
      </c>
      <c r="F385" t="str">
        <f t="shared" si="11"/>
        <v>1ª Semestre</v>
      </c>
    </row>
    <row r="386" spans="1:6" x14ac:dyDescent="0.25">
      <c r="A386" t="s">
        <v>2</v>
      </c>
      <c r="B386">
        <v>196</v>
      </c>
      <c r="C386" s="53">
        <v>0.90322580645161288</v>
      </c>
      <c r="D386" s="52">
        <v>44711</v>
      </c>
      <c r="E386">
        <f t="shared" ref="E386:E427" si="12">YEAR(D386)</f>
        <v>2022</v>
      </c>
      <c r="F386" t="str">
        <f t="shared" ref="F386:F425" si="13">IF(MONTH(D386)&lt;=6,"1ª Semestre","2ª Semestre")</f>
        <v>1ª Semestre</v>
      </c>
    </row>
    <row r="387" spans="1:6" x14ac:dyDescent="0.25">
      <c r="A387" t="s">
        <v>5</v>
      </c>
      <c r="B387">
        <v>5</v>
      </c>
      <c r="C387" s="53">
        <v>2.3041474654377881E-2</v>
      </c>
      <c r="D387" s="52">
        <v>44711</v>
      </c>
      <c r="E387">
        <f t="shared" si="12"/>
        <v>2022</v>
      </c>
      <c r="F387" t="str">
        <f t="shared" si="13"/>
        <v>1ª Semestre</v>
      </c>
    </row>
    <row r="388" spans="1:6" x14ac:dyDescent="0.25">
      <c r="A388" t="s">
        <v>6</v>
      </c>
      <c r="B388">
        <v>7</v>
      </c>
      <c r="C388" s="53">
        <v>3.2258064516129031E-2</v>
      </c>
      <c r="D388" s="52">
        <v>44711</v>
      </c>
      <c r="E388">
        <f t="shared" si="12"/>
        <v>2022</v>
      </c>
      <c r="F388" t="str">
        <f t="shared" si="13"/>
        <v>1ª Semestre</v>
      </c>
    </row>
    <row r="389" spans="1:6" x14ac:dyDescent="0.25">
      <c r="A389" t="s">
        <v>4</v>
      </c>
      <c r="B389">
        <v>0</v>
      </c>
      <c r="C389" s="53">
        <v>0</v>
      </c>
      <c r="D389" s="52">
        <v>44711</v>
      </c>
      <c r="E389">
        <f t="shared" si="12"/>
        <v>2022</v>
      </c>
      <c r="F389" t="str">
        <f t="shared" si="13"/>
        <v>1ª Semestre</v>
      </c>
    </row>
    <row r="390" spans="1:6" x14ac:dyDescent="0.25">
      <c r="A390" t="s">
        <v>3</v>
      </c>
      <c r="B390">
        <v>0</v>
      </c>
      <c r="C390" s="53">
        <v>0</v>
      </c>
      <c r="D390" s="52">
        <v>44711</v>
      </c>
      <c r="E390">
        <f t="shared" si="12"/>
        <v>2022</v>
      </c>
      <c r="F390" t="str">
        <f t="shared" si="13"/>
        <v>1ª Semestre</v>
      </c>
    </row>
    <row r="391" spans="1:6" x14ac:dyDescent="0.25">
      <c r="A391" t="s">
        <v>7</v>
      </c>
      <c r="B391">
        <v>9</v>
      </c>
      <c r="C391" s="53">
        <v>4.1474654377880185E-2</v>
      </c>
      <c r="D391" s="52">
        <v>44711</v>
      </c>
      <c r="E391">
        <f t="shared" si="12"/>
        <v>2022</v>
      </c>
      <c r="F391" t="str">
        <f t="shared" si="13"/>
        <v>1ª Semestre</v>
      </c>
    </row>
    <row r="392" spans="1:6" x14ac:dyDescent="0.25">
      <c r="A392" t="s">
        <v>2</v>
      </c>
      <c r="B392">
        <v>187</v>
      </c>
      <c r="C392" s="53">
        <v>0.9211822660098522</v>
      </c>
      <c r="D392" s="52">
        <v>44718</v>
      </c>
      <c r="E392">
        <f t="shared" si="12"/>
        <v>2022</v>
      </c>
      <c r="F392" t="str">
        <f t="shared" si="13"/>
        <v>1ª Semestre</v>
      </c>
    </row>
    <row r="393" spans="1:6" x14ac:dyDescent="0.25">
      <c r="A393" t="s">
        <v>5</v>
      </c>
      <c r="B393">
        <v>4</v>
      </c>
      <c r="C393" s="53">
        <v>1.9704433497536946E-2</v>
      </c>
      <c r="D393" s="52">
        <v>44718</v>
      </c>
      <c r="E393">
        <f t="shared" si="12"/>
        <v>2022</v>
      </c>
      <c r="F393" t="str">
        <f t="shared" si="13"/>
        <v>1ª Semestre</v>
      </c>
    </row>
    <row r="394" spans="1:6" x14ac:dyDescent="0.25">
      <c r="A394" t="s">
        <v>6</v>
      </c>
      <c r="B394">
        <v>6</v>
      </c>
      <c r="C394" s="53">
        <v>2.9556650246305417E-2</v>
      </c>
      <c r="D394" s="52">
        <v>44718</v>
      </c>
      <c r="E394">
        <f t="shared" si="12"/>
        <v>2022</v>
      </c>
      <c r="F394" t="str">
        <f t="shared" si="13"/>
        <v>1ª Semestre</v>
      </c>
    </row>
    <row r="395" spans="1:6" x14ac:dyDescent="0.25">
      <c r="A395" t="s">
        <v>4</v>
      </c>
      <c r="B395">
        <v>0</v>
      </c>
      <c r="C395" s="53">
        <v>0</v>
      </c>
      <c r="D395" s="52">
        <v>44718</v>
      </c>
      <c r="E395">
        <f t="shared" si="12"/>
        <v>2022</v>
      </c>
      <c r="F395" t="str">
        <f t="shared" si="13"/>
        <v>1ª Semestre</v>
      </c>
    </row>
    <row r="396" spans="1:6" x14ac:dyDescent="0.25">
      <c r="A396" t="s">
        <v>3</v>
      </c>
      <c r="B396">
        <v>0</v>
      </c>
      <c r="C396" s="53">
        <v>0</v>
      </c>
      <c r="D396" s="52">
        <v>44718</v>
      </c>
      <c r="E396">
        <f t="shared" si="12"/>
        <v>2022</v>
      </c>
      <c r="F396" t="str">
        <f t="shared" si="13"/>
        <v>1ª Semestre</v>
      </c>
    </row>
    <row r="397" spans="1:6" x14ac:dyDescent="0.25">
      <c r="A397" t="s">
        <v>7</v>
      </c>
      <c r="B397">
        <v>6</v>
      </c>
      <c r="C397" s="53">
        <v>2.9556650246305417E-2</v>
      </c>
      <c r="D397" s="52">
        <v>44718</v>
      </c>
      <c r="E397">
        <f t="shared" si="12"/>
        <v>2022</v>
      </c>
      <c r="F397" t="str">
        <f t="shared" si="13"/>
        <v>1ª Semestre</v>
      </c>
    </row>
    <row r="398" spans="1:6" x14ac:dyDescent="0.25">
      <c r="A398" t="s">
        <v>2</v>
      </c>
      <c r="B398">
        <v>92</v>
      </c>
      <c r="C398" s="53">
        <v>0.71317829457364346</v>
      </c>
      <c r="D398" s="52">
        <v>44721</v>
      </c>
      <c r="E398">
        <f t="shared" si="12"/>
        <v>2022</v>
      </c>
      <c r="F398" t="str">
        <f t="shared" si="13"/>
        <v>1ª Semestre</v>
      </c>
    </row>
    <row r="399" spans="1:6" x14ac:dyDescent="0.25">
      <c r="A399" t="s">
        <v>5</v>
      </c>
      <c r="B399">
        <v>5</v>
      </c>
      <c r="C399" s="53">
        <v>3.875968992248062E-2</v>
      </c>
      <c r="D399" s="52">
        <v>44721</v>
      </c>
      <c r="E399">
        <f t="shared" si="12"/>
        <v>2022</v>
      </c>
      <c r="F399" t="str">
        <f t="shared" si="13"/>
        <v>1ª Semestre</v>
      </c>
    </row>
    <row r="400" spans="1:6" x14ac:dyDescent="0.25">
      <c r="A400" t="s">
        <v>6</v>
      </c>
      <c r="B400">
        <v>4</v>
      </c>
      <c r="C400" s="53">
        <v>3.1007751937984496E-2</v>
      </c>
      <c r="D400" s="52">
        <v>44721</v>
      </c>
      <c r="E400">
        <f t="shared" si="12"/>
        <v>2022</v>
      </c>
      <c r="F400" t="str">
        <f t="shared" si="13"/>
        <v>1ª Semestre</v>
      </c>
    </row>
    <row r="401" spans="1:6" x14ac:dyDescent="0.25">
      <c r="A401" t="s">
        <v>4</v>
      </c>
      <c r="B401">
        <v>7</v>
      </c>
      <c r="C401" s="53">
        <v>5.4263565891472867E-2</v>
      </c>
      <c r="D401" s="52">
        <v>44721</v>
      </c>
      <c r="E401">
        <f t="shared" si="12"/>
        <v>2022</v>
      </c>
      <c r="F401" t="str">
        <f t="shared" si="13"/>
        <v>1ª Semestre</v>
      </c>
    </row>
    <row r="402" spans="1:6" x14ac:dyDescent="0.25">
      <c r="A402" t="s">
        <v>3</v>
      </c>
      <c r="B402">
        <v>7</v>
      </c>
      <c r="C402" s="53">
        <v>5.4263565891472867E-2</v>
      </c>
      <c r="D402" s="52">
        <v>44721</v>
      </c>
      <c r="E402">
        <f t="shared" si="12"/>
        <v>2022</v>
      </c>
      <c r="F402" t="str">
        <f t="shared" si="13"/>
        <v>1ª Semestre</v>
      </c>
    </row>
    <row r="403" spans="1:6" x14ac:dyDescent="0.25">
      <c r="A403" t="s">
        <v>7</v>
      </c>
      <c r="B403">
        <v>14</v>
      </c>
      <c r="C403" s="53">
        <v>0.10852713178294573</v>
      </c>
      <c r="D403" s="52">
        <v>44721</v>
      </c>
      <c r="E403">
        <f t="shared" si="12"/>
        <v>2022</v>
      </c>
      <c r="F403" t="str">
        <f t="shared" si="13"/>
        <v>1ª Semestre</v>
      </c>
    </row>
    <row r="404" spans="1:6" x14ac:dyDescent="0.25">
      <c r="A404" t="s">
        <v>2</v>
      </c>
      <c r="B404">
        <v>171</v>
      </c>
      <c r="C404" s="53">
        <v>0.85929648241206025</v>
      </c>
      <c r="D404" s="52">
        <v>44725</v>
      </c>
      <c r="E404">
        <f t="shared" si="12"/>
        <v>2022</v>
      </c>
      <c r="F404" t="str">
        <f t="shared" si="13"/>
        <v>1ª Semestre</v>
      </c>
    </row>
    <row r="405" spans="1:6" x14ac:dyDescent="0.25">
      <c r="A405" t="s">
        <v>5</v>
      </c>
      <c r="B405">
        <v>4</v>
      </c>
      <c r="C405" s="53">
        <v>2.0100502512562814E-2</v>
      </c>
      <c r="D405" s="52">
        <v>44725</v>
      </c>
      <c r="E405">
        <f t="shared" si="12"/>
        <v>2022</v>
      </c>
      <c r="F405" t="str">
        <f t="shared" si="13"/>
        <v>1ª Semestre</v>
      </c>
    </row>
    <row r="406" spans="1:6" x14ac:dyDescent="0.25">
      <c r="A406" t="s">
        <v>6</v>
      </c>
      <c r="B406">
        <v>13</v>
      </c>
      <c r="C406" s="53">
        <v>6.5326633165829151E-2</v>
      </c>
      <c r="D406" s="52">
        <v>44725</v>
      </c>
      <c r="E406">
        <f t="shared" si="12"/>
        <v>2022</v>
      </c>
      <c r="F406" t="str">
        <f t="shared" si="13"/>
        <v>1ª Semestre</v>
      </c>
    </row>
    <row r="407" spans="1:6" x14ac:dyDescent="0.25">
      <c r="A407" t="s">
        <v>4</v>
      </c>
      <c r="B407">
        <v>0</v>
      </c>
      <c r="C407" s="53">
        <v>0</v>
      </c>
      <c r="D407" s="52">
        <v>44725</v>
      </c>
      <c r="E407">
        <f t="shared" si="12"/>
        <v>2022</v>
      </c>
      <c r="F407" t="str">
        <f t="shared" si="13"/>
        <v>1ª Semestre</v>
      </c>
    </row>
    <row r="408" spans="1:6" x14ac:dyDescent="0.25">
      <c r="A408" t="s">
        <v>3</v>
      </c>
      <c r="B408">
        <v>0</v>
      </c>
      <c r="C408" s="53">
        <v>0</v>
      </c>
      <c r="D408" s="52">
        <v>44725</v>
      </c>
      <c r="E408">
        <f t="shared" si="12"/>
        <v>2022</v>
      </c>
      <c r="F408" t="str">
        <f t="shared" si="13"/>
        <v>1ª Semestre</v>
      </c>
    </row>
    <row r="409" spans="1:6" x14ac:dyDescent="0.25">
      <c r="A409" t="s">
        <v>7</v>
      </c>
      <c r="B409">
        <v>11</v>
      </c>
      <c r="C409" s="53">
        <v>5.5276381909547742E-2</v>
      </c>
      <c r="D409" s="52">
        <v>44725</v>
      </c>
      <c r="E409">
        <f t="shared" si="12"/>
        <v>2022</v>
      </c>
      <c r="F409" t="str">
        <f t="shared" si="13"/>
        <v>1ª Semestre</v>
      </c>
    </row>
    <row r="410" spans="1:6" x14ac:dyDescent="0.25">
      <c r="A410" t="s">
        <v>2</v>
      </c>
      <c r="B410">
        <v>149</v>
      </c>
      <c r="C410" s="53">
        <v>0.87134502923976609</v>
      </c>
      <c r="D410" s="52">
        <v>44732</v>
      </c>
      <c r="E410">
        <f t="shared" si="12"/>
        <v>2022</v>
      </c>
      <c r="F410" t="str">
        <f t="shared" si="13"/>
        <v>1ª Semestre</v>
      </c>
    </row>
    <row r="411" spans="1:6" x14ac:dyDescent="0.25">
      <c r="A411" t="s">
        <v>5</v>
      </c>
      <c r="B411">
        <v>8</v>
      </c>
      <c r="C411" s="53">
        <v>4.6783625730994149E-2</v>
      </c>
      <c r="D411" s="52">
        <v>44732</v>
      </c>
      <c r="E411">
        <f t="shared" si="12"/>
        <v>2022</v>
      </c>
      <c r="F411" t="str">
        <f t="shared" si="13"/>
        <v>1ª Semestre</v>
      </c>
    </row>
    <row r="412" spans="1:6" x14ac:dyDescent="0.25">
      <c r="A412" t="s">
        <v>6</v>
      </c>
      <c r="B412">
        <v>2</v>
      </c>
      <c r="C412" s="53">
        <v>1.1695906432748537E-2</v>
      </c>
      <c r="D412" s="52">
        <v>44732</v>
      </c>
      <c r="E412">
        <f t="shared" si="12"/>
        <v>2022</v>
      </c>
      <c r="F412" t="str">
        <f t="shared" si="13"/>
        <v>1ª Semestre</v>
      </c>
    </row>
    <row r="413" spans="1:6" x14ac:dyDescent="0.25">
      <c r="A413" t="s">
        <v>4</v>
      </c>
      <c r="B413">
        <v>5</v>
      </c>
      <c r="C413" s="53">
        <v>2.9239766081871343E-2</v>
      </c>
      <c r="D413" s="52">
        <v>44732</v>
      </c>
      <c r="E413">
        <f t="shared" si="12"/>
        <v>2022</v>
      </c>
      <c r="F413" t="str">
        <f t="shared" si="13"/>
        <v>1ª Semestre</v>
      </c>
    </row>
    <row r="414" spans="1:6" x14ac:dyDescent="0.25">
      <c r="A414" t="s">
        <v>3</v>
      </c>
      <c r="B414">
        <v>0</v>
      </c>
      <c r="C414" s="53">
        <v>0</v>
      </c>
      <c r="D414" s="52">
        <v>44732</v>
      </c>
      <c r="E414">
        <f t="shared" si="12"/>
        <v>2022</v>
      </c>
      <c r="F414" t="str">
        <f t="shared" si="13"/>
        <v>1ª Semestre</v>
      </c>
    </row>
    <row r="415" spans="1:6" x14ac:dyDescent="0.25">
      <c r="A415" t="s">
        <v>7</v>
      </c>
      <c r="B415">
        <v>7</v>
      </c>
      <c r="C415" s="53">
        <v>4.0935672514619881E-2</v>
      </c>
      <c r="D415" s="52">
        <v>44732</v>
      </c>
      <c r="E415">
        <f t="shared" si="12"/>
        <v>2022</v>
      </c>
      <c r="F415" t="str">
        <f t="shared" si="13"/>
        <v>1ª Semestre</v>
      </c>
    </row>
    <row r="416" spans="1:6" x14ac:dyDescent="0.25">
      <c r="A416" t="s">
        <v>2</v>
      </c>
      <c r="B416">
        <v>127</v>
      </c>
      <c r="C416" s="53">
        <v>0.8523489932885906</v>
      </c>
      <c r="D416" s="52">
        <v>44739</v>
      </c>
      <c r="E416">
        <f t="shared" si="12"/>
        <v>2022</v>
      </c>
      <c r="F416" t="str">
        <f t="shared" si="13"/>
        <v>1ª Semestre</v>
      </c>
    </row>
    <row r="417" spans="1:6" x14ac:dyDescent="0.25">
      <c r="A417" t="s">
        <v>5</v>
      </c>
      <c r="B417">
        <v>9</v>
      </c>
      <c r="C417" s="53">
        <v>6.0402684563758392E-2</v>
      </c>
      <c r="D417" s="52">
        <v>44739</v>
      </c>
      <c r="E417">
        <f t="shared" si="12"/>
        <v>2022</v>
      </c>
      <c r="F417" t="str">
        <f t="shared" si="13"/>
        <v>1ª Semestre</v>
      </c>
    </row>
    <row r="418" spans="1:6" x14ac:dyDescent="0.25">
      <c r="A418" t="s">
        <v>6</v>
      </c>
      <c r="B418">
        <v>4</v>
      </c>
      <c r="C418" s="53">
        <v>2.6845637583892617E-2</v>
      </c>
      <c r="D418" s="52">
        <v>44739</v>
      </c>
      <c r="E418">
        <f t="shared" si="12"/>
        <v>2022</v>
      </c>
      <c r="F418" t="str">
        <f t="shared" si="13"/>
        <v>1ª Semestre</v>
      </c>
    </row>
    <row r="419" spans="1:6" x14ac:dyDescent="0.25">
      <c r="A419" t="s">
        <v>4</v>
      </c>
      <c r="B419">
        <v>0</v>
      </c>
      <c r="C419" s="53">
        <v>0</v>
      </c>
      <c r="D419" s="52">
        <v>44739</v>
      </c>
      <c r="E419">
        <f t="shared" si="12"/>
        <v>2022</v>
      </c>
      <c r="F419" t="str">
        <f t="shared" si="13"/>
        <v>1ª Semestre</v>
      </c>
    </row>
    <row r="420" spans="1:6" x14ac:dyDescent="0.25">
      <c r="A420" t="s">
        <v>3</v>
      </c>
      <c r="B420">
        <v>0</v>
      </c>
      <c r="C420" s="53">
        <v>0</v>
      </c>
      <c r="D420" s="52">
        <v>44739</v>
      </c>
      <c r="E420">
        <f t="shared" si="12"/>
        <v>2022</v>
      </c>
      <c r="F420" t="str">
        <f t="shared" si="13"/>
        <v>1ª Semestre</v>
      </c>
    </row>
    <row r="421" spans="1:6" x14ac:dyDescent="0.25">
      <c r="A421" t="s">
        <v>7</v>
      </c>
      <c r="B421">
        <v>9</v>
      </c>
      <c r="C421" s="53">
        <v>6.0402684563758392E-2</v>
      </c>
      <c r="D421" s="52">
        <v>44739</v>
      </c>
      <c r="E421">
        <f t="shared" si="12"/>
        <v>2022</v>
      </c>
      <c r="F421" t="str">
        <f t="shared" si="13"/>
        <v>1ª Semestre</v>
      </c>
    </row>
    <row r="422" spans="1:6" x14ac:dyDescent="0.25">
      <c r="A422" t="s">
        <v>2</v>
      </c>
      <c r="B422">
        <v>140</v>
      </c>
      <c r="C422" s="53">
        <v>0.91503267973856206</v>
      </c>
      <c r="D422" s="52">
        <v>44746</v>
      </c>
      <c r="E422">
        <f t="shared" si="12"/>
        <v>2022</v>
      </c>
      <c r="F422" t="str">
        <f t="shared" si="13"/>
        <v>2ª Semestre</v>
      </c>
    </row>
    <row r="423" spans="1:6" x14ac:dyDescent="0.25">
      <c r="A423" t="s">
        <v>5</v>
      </c>
      <c r="B423">
        <v>1</v>
      </c>
      <c r="C423" s="53">
        <v>6.5359477124183009E-3</v>
      </c>
      <c r="D423" s="52">
        <v>44746</v>
      </c>
      <c r="E423">
        <f t="shared" si="12"/>
        <v>2022</v>
      </c>
      <c r="F423" t="str">
        <f t="shared" si="13"/>
        <v>2ª Semestre</v>
      </c>
    </row>
    <row r="424" spans="1:6" x14ac:dyDescent="0.25">
      <c r="A424" t="s">
        <v>6</v>
      </c>
      <c r="B424">
        <v>4</v>
      </c>
      <c r="C424" s="53">
        <v>2.6143790849673203E-2</v>
      </c>
      <c r="D424" s="52">
        <v>44746</v>
      </c>
      <c r="E424">
        <f t="shared" si="12"/>
        <v>2022</v>
      </c>
      <c r="F424" t="str">
        <f t="shared" si="13"/>
        <v>2ª Semestre</v>
      </c>
    </row>
    <row r="425" spans="1:6" x14ac:dyDescent="0.25">
      <c r="A425" t="s">
        <v>4</v>
      </c>
      <c r="B425">
        <v>0</v>
      </c>
      <c r="C425" s="53">
        <v>0</v>
      </c>
      <c r="D425" s="52">
        <v>44746</v>
      </c>
      <c r="E425">
        <f t="shared" si="12"/>
        <v>2022</v>
      </c>
      <c r="F425" t="str">
        <f t="shared" si="13"/>
        <v>2ª Semestre</v>
      </c>
    </row>
    <row r="426" spans="1:6" x14ac:dyDescent="0.25">
      <c r="A426" t="s">
        <v>3</v>
      </c>
      <c r="B426">
        <v>0</v>
      </c>
      <c r="C426" s="53">
        <v>0</v>
      </c>
      <c r="D426" s="52">
        <v>44746</v>
      </c>
      <c r="E426">
        <f>YEAR(D426)</f>
        <v>2022</v>
      </c>
      <c r="F426" t="str">
        <f>IF(MONTH(D426)&lt;=6,"1ª Semestre","2ª Semestre")</f>
        <v>2ª Semestre</v>
      </c>
    </row>
    <row r="427" spans="1:6" x14ac:dyDescent="0.25">
      <c r="A427" t="s">
        <v>7</v>
      </c>
      <c r="B427">
        <v>8</v>
      </c>
      <c r="C427" s="53">
        <v>5.2287581699346407E-2</v>
      </c>
      <c r="D427" s="52">
        <v>44746</v>
      </c>
      <c r="E427">
        <f t="shared" si="12"/>
        <v>2022</v>
      </c>
      <c r="F427" t="str">
        <f>IF(MONTH(D427)&lt;=6,"1ª Semestre","2ª Semestre")</f>
        <v>2ª Semestre</v>
      </c>
    </row>
    <row r="435" spans="7:7" x14ac:dyDescent="0.25">
      <c r="G435" s="62"/>
    </row>
  </sheetData>
  <phoneticPr fontId="16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0F114-528E-472E-914B-6C9F244D4CDD}">
  <sheetPr codeName="Planilha53"/>
  <dimension ref="B2:BS25"/>
  <sheetViews>
    <sheetView topLeftCell="BU1" zoomScale="115" zoomScaleNormal="115" workbookViewId="0">
      <selection activeCell="CD22" sqref="CD22"/>
    </sheetView>
  </sheetViews>
  <sheetFormatPr defaultRowHeight="15" x14ac:dyDescent="0.25"/>
  <cols>
    <col min="2" max="2" width="11.7109375" customWidth="1"/>
    <col min="3" max="3" width="10.42578125" bestFit="1" customWidth="1"/>
    <col min="5" max="5" width="10.42578125" bestFit="1" customWidth="1"/>
    <col min="40" max="40" width="10.85546875" bestFit="1" customWidth="1"/>
    <col min="72" max="72" width="10.42578125" customWidth="1"/>
  </cols>
  <sheetData>
    <row r="2" spans="2:71" x14ac:dyDescent="0.25">
      <c r="C2" s="16">
        <v>44182</v>
      </c>
      <c r="D2" s="16">
        <v>44190</v>
      </c>
      <c r="E2" s="16">
        <v>44198</v>
      </c>
      <c r="F2" s="16">
        <v>44210</v>
      </c>
      <c r="G2" s="16">
        <v>44218</v>
      </c>
      <c r="H2" s="16">
        <v>44226</v>
      </c>
      <c r="I2" s="16">
        <v>44234</v>
      </c>
      <c r="J2" s="16">
        <v>44242</v>
      </c>
      <c r="K2" s="16">
        <v>44251</v>
      </c>
      <c r="L2" s="16">
        <v>44258</v>
      </c>
      <c r="M2" s="16">
        <v>44266</v>
      </c>
      <c r="N2" s="16">
        <v>44274</v>
      </c>
      <c r="O2" s="16">
        <v>44282</v>
      </c>
      <c r="P2" s="16">
        <v>44290</v>
      </c>
      <c r="Q2" s="16">
        <v>44298</v>
      </c>
      <c r="R2" s="16">
        <v>44316</v>
      </c>
      <c r="S2" s="16">
        <v>44324</v>
      </c>
      <c r="T2" s="16">
        <v>44332</v>
      </c>
      <c r="U2" s="16">
        <v>44340</v>
      </c>
      <c r="V2" s="16">
        <v>44348</v>
      </c>
      <c r="W2" s="17">
        <v>44356</v>
      </c>
      <c r="X2" s="17">
        <v>44364</v>
      </c>
      <c r="Y2" s="17">
        <v>44372</v>
      </c>
      <c r="Z2" s="17">
        <v>44380</v>
      </c>
      <c r="AA2" s="17">
        <v>44394</v>
      </c>
      <c r="AB2" s="17">
        <v>44404</v>
      </c>
      <c r="AC2" s="17">
        <v>44412</v>
      </c>
      <c r="AD2" s="17">
        <v>44420</v>
      </c>
      <c r="AE2" s="17">
        <v>44428</v>
      </c>
      <c r="AF2" s="17">
        <v>44436</v>
      </c>
      <c r="AG2" s="17">
        <v>44444</v>
      </c>
      <c r="AH2" s="17">
        <v>44452</v>
      </c>
      <c r="AI2" s="17">
        <v>44460</v>
      </c>
      <c r="AJ2" s="17">
        <v>44466</v>
      </c>
      <c r="AK2" s="17">
        <v>44473</v>
      </c>
      <c r="AL2" s="17">
        <v>44480</v>
      </c>
      <c r="AM2" s="17">
        <v>44487</v>
      </c>
      <c r="AN2" s="17">
        <v>44494</v>
      </c>
      <c r="AO2" s="17">
        <v>44501</v>
      </c>
      <c r="AP2" s="17">
        <v>44508</v>
      </c>
      <c r="AQ2" s="17">
        <v>44515</v>
      </c>
      <c r="AR2" s="17">
        <v>44522</v>
      </c>
      <c r="AS2" s="17">
        <v>44529</v>
      </c>
      <c r="AT2" s="17">
        <v>44571</v>
      </c>
      <c r="AU2" s="17">
        <v>44578</v>
      </c>
      <c r="AV2" s="17">
        <v>44585</v>
      </c>
      <c r="AW2" s="17">
        <v>44592</v>
      </c>
      <c r="AX2" s="17">
        <v>44599</v>
      </c>
      <c r="AY2" s="17">
        <v>44606</v>
      </c>
      <c r="AZ2" s="17">
        <v>44613</v>
      </c>
      <c r="BA2" s="17">
        <v>44620</v>
      </c>
      <c r="BB2" s="17">
        <v>44627</v>
      </c>
      <c r="BC2" s="17">
        <v>44634</v>
      </c>
      <c r="BD2" s="17">
        <v>44641</v>
      </c>
      <c r="BE2" s="17">
        <v>44648</v>
      </c>
      <c r="BF2" s="17">
        <v>44655</v>
      </c>
      <c r="BG2" s="17">
        <v>44662</v>
      </c>
      <c r="BH2" s="17">
        <v>44669</v>
      </c>
      <c r="BI2" s="17">
        <v>44676</v>
      </c>
      <c r="BJ2" s="17">
        <v>44683</v>
      </c>
      <c r="BK2" s="17">
        <v>44690</v>
      </c>
      <c r="BL2" s="17">
        <v>44697</v>
      </c>
      <c r="BM2" s="17">
        <v>44704</v>
      </c>
      <c r="BN2" s="17">
        <v>44711</v>
      </c>
      <c r="BO2" s="17">
        <v>44718</v>
      </c>
      <c r="BP2" s="17">
        <v>44725</v>
      </c>
      <c r="BQ2" s="17">
        <v>44732</v>
      </c>
      <c r="BR2" s="17">
        <v>44739</v>
      </c>
      <c r="BS2" s="17">
        <v>44746</v>
      </c>
    </row>
    <row r="3" spans="2:71" x14ac:dyDescent="0.25">
      <c r="B3" s="5" t="s">
        <v>2</v>
      </c>
      <c r="C3">
        <f t="shared" ref="C3:N3" ca="1" si="0">COUNTIF($C$5:$J$60,B3)</f>
        <v>0</v>
      </c>
      <c r="D3">
        <f t="shared" ca="1" si="0"/>
        <v>4</v>
      </c>
      <c r="E3">
        <f t="shared" ca="1" si="0"/>
        <v>5</v>
      </c>
      <c r="F3">
        <f t="shared" ca="1" si="0"/>
        <v>7</v>
      </c>
      <c r="G3">
        <f t="shared" ca="1" si="0"/>
        <v>1</v>
      </c>
      <c r="H3">
        <f t="shared" ca="1" si="0"/>
        <v>0</v>
      </c>
      <c r="I3">
        <f t="shared" ca="1" si="0"/>
        <v>4</v>
      </c>
      <c r="J3">
        <f t="shared" ca="1" si="0"/>
        <v>5</v>
      </c>
      <c r="K3">
        <f t="shared" ca="1" si="0"/>
        <v>7</v>
      </c>
      <c r="L3">
        <f t="shared" ca="1" si="0"/>
        <v>1</v>
      </c>
      <c r="M3">
        <f t="shared" ca="1" si="0"/>
        <v>0</v>
      </c>
      <c r="N3">
        <f t="shared" ca="1" si="0"/>
        <v>4</v>
      </c>
      <c r="O3">
        <f ca="1">COUNTIF($C$5:$J$60,N3)</f>
        <v>5</v>
      </c>
      <c r="P3">
        <f ca="1">COUNTIF($C$5:$J$60,O3)</f>
        <v>7</v>
      </c>
      <c r="Q3">
        <f ca="1">COUNTIF($C$5:$J$60,P3)</f>
        <v>1</v>
      </c>
      <c r="R3">
        <f t="shared" ref="R3:V3" ca="1" si="1">COUNTIF($B$5:$I$60,Q3)</f>
        <v>0</v>
      </c>
      <c r="S3">
        <f t="shared" ca="1" si="1"/>
        <v>4</v>
      </c>
      <c r="T3">
        <f t="shared" ca="1" si="1"/>
        <v>5</v>
      </c>
      <c r="U3">
        <f t="shared" ca="1" si="1"/>
        <v>7</v>
      </c>
      <c r="V3">
        <f t="shared" ca="1" si="1"/>
        <v>0</v>
      </c>
      <c r="W3">
        <f t="shared" ref="W3:AB3" ca="1" si="2">COUNTIF($B$5:$I$60,V3)</f>
        <v>4</v>
      </c>
      <c r="X3">
        <f t="shared" ca="1" si="2"/>
        <v>5</v>
      </c>
      <c r="Y3">
        <f t="shared" ca="1" si="2"/>
        <v>7</v>
      </c>
      <c r="Z3">
        <f t="shared" ca="1" si="2"/>
        <v>0</v>
      </c>
      <c r="AA3">
        <f t="shared" ca="1" si="2"/>
        <v>4</v>
      </c>
      <c r="AB3">
        <f t="shared" ca="1" si="2"/>
        <v>5</v>
      </c>
      <c r="AC3">
        <f t="shared" ref="AC3:AH3" ca="1" si="3">COUNTIF($B$5:$I$60,AB3)</f>
        <v>7</v>
      </c>
      <c r="AD3">
        <f t="shared" ca="1" si="3"/>
        <v>0</v>
      </c>
      <c r="AE3">
        <f t="shared" ca="1" si="3"/>
        <v>4</v>
      </c>
      <c r="AF3">
        <f t="shared" ca="1" si="3"/>
        <v>5</v>
      </c>
      <c r="AG3">
        <f t="shared" ca="1" si="3"/>
        <v>7</v>
      </c>
      <c r="AH3">
        <f t="shared" ca="1" si="3"/>
        <v>0</v>
      </c>
      <c r="AI3">
        <f t="shared" ref="AI3:AI8" ca="1" si="4">COUNTIF($C$5:$I$60,AH3)</f>
        <v>4</v>
      </c>
      <c r="AJ3">
        <f t="shared" ref="AJ3:AS8" ca="1" si="5">COUNTIF($B$5:$I$60,AI3)</f>
        <v>5</v>
      </c>
      <c r="AK3">
        <f t="shared" ca="1" si="5"/>
        <v>7</v>
      </c>
      <c r="AL3">
        <f t="shared" ca="1" si="5"/>
        <v>0</v>
      </c>
      <c r="AM3">
        <f t="shared" ca="1" si="5"/>
        <v>4</v>
      </c>
      <c r="AN3">
        <f t="shared" ref="AN3:AO4" ca="1" si="6">COUNTIF($B$5:$I$60,AM3)</f>
        <v>5</v>
      </c>
      <c r="AO3">
        <f t="shared" ca="1" si="6"/>
        <v>7</v>
      </c>
      <c r="AP3">
        <f t="shared" ref="AP3:AQ4" ca="1" si="7">COUNTIF($B$5:$I$60,AO3)</f>
        <v>0</v>
      </c>
      <c r="AQ3">
        <f ca="1">COUNTIF($B$5:$I$60,AP3)</f>
        <v>4</v>
      </c>
      <c r="AR3">
        <f ca="1">COUNTIF($B$5:$I$60,AQ3)</f>
        <v>5</v>
      </c>
      <c r="AS3">
        <f ca="1">COUNTIF($B$5:$I$60,AR3)</f>
        <v>7</v>
      </c>
      <c r="AT3">
        <f t="shared" ref="AT3:AU8" ca="1" si="8">COUNTIF($B$5:$I$60,AS3)</f>
        <v>0</v>
      </c>
      <c r="AU3">
        <f ca="1">COUNTIF($B$5:$I$95,AT3)</f>
        <v>4</v>
      </c>
      <c r="AV3">
        <f t="shared" ref="AV3:AV4" ca="1" si="9">COUNTIF($B$5:$H$95,AU3)</f>
        <v>5</v>
      </c>
      <c r="AW3">
        <f t="shared" ref="AW3:AX4" ca="1" si="10">COUNTIF($B$5:$H$95,AV3)</f>
        <v>5</v>
      </c>
      <c r="AX3">
        <f t="shared" ca="1" si="10"/>
        <v>5</v>
      </c>
      <c r="AY3">
        <f ca="1">COUNTIF($B$5:$H$95,AX3)</f>
        <v>5</v>
      </c>
      <c r="AZ3">
        <f t="shared" ref="AY3:AZ4" ca="1" si="11">COUNTIF($B$5:$H$95,AY3)</f>
        <v>5</v>
      </c>
      <c r="BA3" s="33">
        <f>'28 02 2022'!K5</f>
        <v>137</v>
      </c>
      <c r="BB3">
        <f>'07 03 2022'!K5</f>
        <v>149</v>
      </c>
      <c r="BC3">
        <f>'14 03 2022'!K5</f>
        <v>105</v>
      </c>
      <c r="BD3">
        <f>'21 03 2022'!K5</f>
        <v>161</v>
      </c>
      <c r="BE3">
        <f>'28 03 2022'!K5</f>
        <v>173</v>
      </c>
      <c r="BF3">
        <f>'04 04 2022'!K5</f>
        <v>209</v>
      </c>
      <c r="BG3">
        <f ca="1">COUNTIF($B$5:$H$95,BF3)</f>
        <v>0</v>
      </c>
      <c r="BH3">
        <f ca="1">COUNTIF($B$5:$H$95,BG3)</f>
        <v>4</v>
      </c>
      <c r="BI3">
        <f ca="1">COUNTIF($B$5:$H$95,BH3)</f>
        <v>5</v>
      </c>
      <c r="BJ3">
        <f ca="1">COUNTIF($B$5:$H$95,BI3)</f>
        <v>5</v>
      </c>
      <c r="BK3">
        <f>'09 05 2022'!K5</f>
        <v>227</v>
      </c>
      <c r="BL3">
        <f>'16 05 2022'!K5</f>
        <v>199</v>
      </c>
      <c r="BM3">
        <f>'23 05 2022 '!K5</f>
        <v>197</v>
      </c>
      <c r="BN3">
        <f>'30 05 2022  '!K5</f>
        <v>196</v>
      </c>
      <c r="BO3">
        <f>'06 06 2022   '!K5</f>
        <v>187</v>
      </c>
      <c r="BP3">
        <f>'13 06 2022  '!K5</f>
        <v>171</v>
      </c>
      <c r="BQ3">
        <f>'20 06 2022  '!K5</f>
        <v>149</v>
      </c>
      <c r="BR3">
        <f>'27 06 2022  '!K5</f>
        <v>127</v>
      </c>
      <c r="BS3">
        <f>'04 07 2022'!K5</f>
        <v>140</v>
      </c>
    </row>
    <row r="4" spans="2:71" x14ac:dyDescent="0.25">
      <c r="B4" s="6" t="s">
        <v>5</v>
      </c>
      <c r="C4">
        <f ca="1">COUNTIF($C$5:$J$60,B4)</f>
        <v>0</v>
      </c>
      <c r="D4">
        <f t="shared" ref="C4:Q8" ca="1" si="12">COUNTIF($C$5:$J$60,C4)</f>
        <v>4</v>
      </c>
      <c r="E4">
        <f t="shared" ca="1" si="12"/>
        <v>5</v>
      </c>
      <c r="F4">
        <f t="shared" ca="1" si="12"/>
        <v>7</v>
      </c>
      <c r="G4">
        <f t="shared" ca="1" si="12"/>
        <v>1</v>
      </c>
      <c r="H4">
        <f t="shared" ca="1" si="12"/>
        <v>0</v>
      </c>
      <c r="I4">
        <f t="shared" ca="1" si="12"/>
        <v>4</v>
      </c>
      <c r="J4">
        <f t="shared" ca="1" si="12"/>
        <v>5</v>
      </c>
      <c r="K4">
        <f t="shared" ca="1" si="12"/>
        <v>7</v>
      </c>
      <c r="L4">
        <f t="shared" ca="1" si="12"/>
        <v>1</v>
      </c>
      <c r="M4">
        <f t="shared" ca="1" si="12"/>
        <v>0</v>
      </c>
      <c r="N4">
        <f t="shared" ca="1" si="12"/>
        <v>4</v>
      </c>
      <c r="O4">
        <f t="shared" ca="1" si="12"/>
        <v>5</v>
      </c>
      <c r="P4">
        <f t="shared" ca="1" si="12"/>
        <v>7</v>
      </c>
      <c r="Q4">
        <f t="shared" ca="1" si="12"/>
        <v>1</v>
      </c>
      <c r="R4">
        <f t="shared" ref="R4:AG8" ca="1" si="13">COUNTIF($B$5:$I$60,Q4)</f>
        <v>0</v>
      </c>
      <c r="S4">
        <f t="shared" ca="1" si="13"/>
        <v>4</v>
      </c>
      <c r="T4">
        <f t="shared" ca="1" si="13"/>
        <v>5</v>
      </c>
      <c r="U4">
        <f t="shared" ca="1" si="13"/>
        <v>7</v>
      </c>
      <c r="V4">
        <f t="shared" ca="1" si="13"/>
        <v>0</v>
      </c>
      <c r="W4">
        <f t="shared" ca="1" si="13"/>
        <v>4</v>
      </c>
      <c r="X4">
        <f t="shared" ca="1" si="13"/>
        <v>5</v>
      </c>
      <c r="Y4">
        <f t="shared" ca="1" si="13"/>
        <v>7</v>
      </c>
      <c r="Z4">
        <f t="shared" ca="1" si="13"/>
        <v>0</v>
      </c>
      <c r="AA4">
        <f t="shared" ca="1" si="13"/>
        <v>4</v>
      </c>
      <c r="AB4">
        <f t="shared" ca="1" si="13"/>
        <v>5</v>
      </c>
      <c r="AC4">
        <f t="shared" ca="1" si="13"/>
        <v>7</v>
      </c>
      <c r="AD4">
        <f t="shared" ca="1" si="13"/>
        <v>0</v>
      </c>
      <c r="AE4">
        <f t="shared" ca="1" si="13"/>
        <v>4</v>
      </c>
      <c r="AF4">
        <f t="shared" ca="1" si="13"/>
        <v>5</v>
      </c>
      <c r="AG4">
        <f t="shared" ca="1" si="13"/>
        <v>7</v>
      </c>
      <c r="AH4">
        <f t="shared" ref="AH4:AH8" ca="1" si="14">COUNTIF($B$5:$I$60,AG4)</f>
        <v>0</v>
      </c>
      <c r="AI4">
        <f t="shared" ca="1" si="4"/>
        <v>4</v>
      </c>
      <c r="AJ4">
        <f t="shared" ca="1" si="5"/>
        <v>5</v>
      </c>
      <c r="AK4">
        <f t="shared" ca="1" si="5"/>
        <v>7</v>
      </c>
      <c r="AL4">
        <f t="shared" ca="1" si="5"/>
        <v>0</v>
      </c>
      <c r="AM4">
        <f t="shared" ca="1" si="5"/>
        <v>4</v>
      </c>
      <c r="AN4">
        <f t="shared" ca="1" si="6"/>
        <v>5</v>
      </c>
      <c r="AO4">
        <f t="shared" ca="1" si="6"/>
        <v>7</v>
      </c>
      <c r="AP4">
        <f t="shared" ca="1" si="7"/>
        <v>0</v>
      </c>
      <c r="AQ4">
        <f t="shared" ca="1" si="7"/>
        <v>4</v>
      </c>
      <c r="AR4">
        <f ca="1">COUNTIF($B$5:$I$60,AQ4)</f>
        <v>5</v>
      </c>
      <c r="AS4">
        <f ca="1">COUNTIF($B$5:$I$60,AR4)</f>
        <v>7</v>
      </c>
      <c r="AT4">
        <f t="shared" ca="1" si="8"/>
        <v>0</v>
      </c>
      <c r="AU4">
        <f t="shared" ca="1" si="8"/>
        <v>4</v>
      </c>
      <c r="AV4">
        <f t="shared" ca="1" si="9"/>
        <v>5</v>
      </c>
      <c r="AW4">
        <f t="shared" ca="1" si="10"/>
        <v>5</v>
      </c>
      <c r="AX4">
        <f t="shared" ca="1" si="10"/>
        <v>5</v>
      </c>
      <c r="AY4">
        <f t="shared" ca="1" si="11"/>
        <v>5</v>
      </c>
      <c r="AZ4">
        <f t="shared" ca="1" si="11"/>
        <v>5</v>
      </c>
      <c r="BA4">
        <f>'28 02 2022'!K6</f>
        <v>17</v>
      </c>
      <c r="BB4">
        <f>'07 03 2022'!K6</f>
        <v>10</v>
      </c>
      <c r="BC4">
        <f>'14 03 2022'!K6</f>
        <v>18</v>
      </c>
      <c r="BD4">
        <f>'21 03 2022'!K6</f>
        <v>16</v>
      </c>
      <c r="BE4">
        <f>'28 03 2022'!K6</f>
        <v>15</v>
      </c>
      <c r="BF4">
        <f>'04 04 2022'!K6</f>
        <v>17</v>
      </c>
      <c r="BG4">
        <f t="shared" ref="BG4:BJ8" ca="1" si="15">COUNTIF($B$5:$H$95,BF4)</f>
        <v>0</v>
      </c>
      <c r="BH4">
        <f t="shared" ca="1" si="15"/>
        <v>4</v>
      </c>
      <c r="BI4">
        <f ca="1">COUNTIF($B$5:$H$95,BH4)</f>
        <v>5</v>
      </c>
      <c r="BJ4">
        <f ca="1">COUNTIF($B$5:$H$95,BI4)</f>
        <v>5</v>
      </c>
      <c r="BK4">
        <f>'09 05 2022'!K6</f>
        <v>7</v>
      </c>
      <c r="BL4">
        <f>'16 05 2022'!K6</f>
        <v>7</v>
      </c>
      <c r="BM4">
        <f>'23 05 2022 '!K6</f>
        <v>20</v>
      </c>
      <c r="BN4">
        <f>'30 05 2022  '!K6</f>
        <v>5</v>
      </c>
      <c r="BO4">
        <f>'06 06 2022   '!K6</f>
        <v>4</v>
      </c>
      <c r="BP4">
        <f>'13 06 2022  '!K6</f>
        <v>4</v>
      </c>
      <c r="BQ4">
        <f>'20 06 2022  '!K6</f>
        <v>8</v>
      </c>
      <c r="BR4">
        <f>'27 06 2022  '!K6</f>
        <v>9</v>
      </c>
      <c r="BS4">
        <f>'04 07 2022'!K6</f>
        <v>1</v>
      </c>
    </row>
    <row r="5" spans="2:71" x14ac:dyDescent="0.25">
      <c r="B5" s="7" t="s">
        <v>6</v>
      </c>
      <c r="C5">
        <f t="shared" ca="1" si="12"/>
        <v>0</v>
      </c>
      <c r="D5">
        <f t="shared" ca="1" si="12"/>
        <v>4</v>
      </c>
      <c r="E5">
        <f t="shared" ca="1" si="12"/>
        <v>5</v>
      </c>
      <c r="F5">
        <f t="shared" ca="1" si="12"/>
        <v>8</v>
      </c>
      <c r="G5">
        <f t="shared" ca="1" si="12"/>
        <v>7</v>
      </c>
      <c r="H5">
        <f t="shared" ca="1" si="12"/>
        <v>2</v>
      </c>
      <c r="I5">
        <f t="shared" ca="1" si="12"/>
        <v>3</v>
      </c>
      <c r="J5">
        <f t="shared" ca="1" si="12"/>
        <v>4</v>
      </c>
      <c r="K5">
        <f t="shared" ca="1" si="12"/>
        <v>6</v>
      </c>
      <c r="L5">
        <f t="shared" ca="1" si="12"/>
        <v>2</v>
      </c>
      <c r="M5">
        <f t="shared" ca="1" si="12"/>
        <v>2</v>
      </c>
      <c r="N5">
        <f t="shared" ca="1" si="12"/>
        <v>2</v>
      </c>
      <c r="O5">
        <f t="shared" ca="1" si="12"/>
        <v>2</v>
      </c>
      <c r="P5">
        <f t="shared" ca="1" si="12"/>
        <v>2</v>
      </c>
      <c r="Q5">
        <f t="shared" ca="1" si="12"/>
        <v>2</v>
      </c>
      <c r="R5">
        <f t="shared" ca="1" si="13"/>
        <v>2</v>
      </c>
      <c r="S5">
        <f t="shared" ca="1" si="13"/>
        <v>2</v>
      </c>
      <c r="T5">
        <f t="shared" ca="1" si="13"/>
        <v>2</v>
      </c>
      <c r="U5">
        <f t="shared" ca="1" si="13"/>
        <v>2</v>
      </c>
      <c r="V5">
        <f t="shared" ca="1" si="13"/>
        <v>2</v>
      </c>
      <c r="W5">
        <f t="shared" ca="1" si="13"/>
        <v>2</v>
      </c>
      <c r="X5">
        <f t="shared" ca="1" si="13"/>
        <v>2</v>
      </c>
      <c r="Y5">
        <f t="shared" ca="1" si="13"/>
        <v>2</v>
      </c>
      <c r="Z5">
        <f t="shared" ca="1" si="13"/>
        <v>2</v>
      </c>
      <c r="AA5">
        <f t="shared" ca="1" si="13"/>
        <v>2</v>
      </c>
      <c r="AB5">
        <f t="shared" ca="1" si="13"/>
        <v>2</v>
      </c>
      <c r="AC5">
        <f t="shared" ca="1" si="13"/>
        <v>2</v>
      </c>
      <c r="AD5">
        <f t="shared" ca="1" si="13"/>
        <v>2</v>
      </c>
      <c r="AE5">
        <f t="shared" ca="1" si="13"/>
        <v>2</v>
      </c>
      <c r="AF5">
        <f t="shared" ca="1" si="13"/>
        <v>2</v>
      </c>
      <c r="AG5">
        <f t="shared" ca="1" si="13"/>
        <v>2</v>
      </c>
      <c r="AH5">
        <f t="shared" ca="1" si="14"/>
        <v>2</v>
      </c>
      <c r="AI5">
        <f t="shared" ca="1" si="4"/>
        <v>2</v>
      </c>
      <c r="AJ5">
        <f t="shared" ca="1" si="5"/>
        <v>2</v>
      </c>
      <c r="AK5">
        <f t="shared" ca="1" si="5"/>
        <v>2</v>
      </c>
      <c r="AL5">
        <f t="shared" ca="1" si="5"/>
        <v>2</v>
      </c>
      <c r="AM5">
        <f t="shared" ca="1" si="5"/>
        <v>2</v>
      </c>
      <c r="AN5">
        <f t="shared" ca="1" si="5"/>
        <v>2</v>
      </c>
      <c r="AO5">
        <f t="shared" ca="1" si="5"/>
        <v>2</v>
      </c>
      <c r="AP5">
        <f t="shared" ca="1" si="5"/>
        <v>2</v>
      </c>
      <c r="AQ5">
        <f t="shared" ca="1" si="5"/>
        <v>2</v>
      </c>
      <c r="AR5">
        <f t="shared" ca="1" si="5"/>
        <v>2</v>
      </c>
      <c r="AS5">
        <f t="shared" ca="1" si="5"/>
        <v>2</v>
      </c>
      <c r="AT5">
        <f t="shared" ca="1" si="8"/>
        <v>2</v>
      </c>
      <c r="AU5">
        <f t="shared" ca="1" si="8"/>
        <v>2</v>
      </c>
      <c r="AV5">
        <f t="shared" ref="AV5:AZ8" ca="1" si="16">COUNTIF($B$5:$H$95,AU5)</f>
        <v>2</v>
      </c>
      <c r="AW5">
        <f t="shared" ca="1" si="16"/>
        <v>2</v>
      </c>
      <c r="AX5">
        <f t="shared" ca="1" si="16"/>
        <v>2</v>
      </c>
      <c r="AY5">
        <f t="shared" ca="1" si="16"/>
        <v>2</v>
      </c>
      <c r="AZ5">
        <f t="shared" ca="1" si="16"/>
        <v>2</v>
      </c>
      <c r="BA5">
        <f>'28 02 2022'!K7</f>
        <v>14</v>
      </c>
      <c r="BB5">
        <f>'07 03 2022'!K7</f>
        <v>7</v>
      </c>
      <c r="BC5">
        <f>'14 03 2022'!K7</f>
        <v>13</v>
      </c>
      <c r="BD5">
        <f>'21 03 2022'!K7</f>
        <v>6</v>
      </c>
      <c r="BE5">
        <f>'28 03 2022'!K7</f>
        <v>7</v>
      </c>
      <c r="BF5">
        <f>'04 04 2022'!K7</f>
        <v>7</v>
      </c>
      <c r="BG5">
        <f t="shared" ca="1" si="15"/>
        <v>1</v>
      </c>
      <c r="BH5">
        <f t="shared" ca="1" si="15"/>
        <v>0</v>
      </c>
      <c r="BI5">
        <f t="shared" ca="1" si="15"/>
        <v>4</v>
      </c>
      <c r="BJ5">
        <f t="shared" ca="1" si="15"/>
        <v>5</v>
      </c>
      <c r="BK5">
        <f>'09 05 2022'!K7</f>
        <v>3</v>
      </c>
      <c r="BL5">
        <f>'16 05 2022'!K7</f>
        <v>8</v>
      </c>
      <c r="BM5">
        <f>'23 05 2022 '!K7</f>
        <v>5</v>
      </c>
      <c r="BN5">
        <f>'30 05 2022  '!K7</f>
        <v>7</v>
      </c>
      <c r="BO5">
        <f>'06 06 2022   '!K7</f>
        <v>6</v>
      </c>
      <c r="BP5">
        <f>'13 06 2022  '!K7</f>
        <v>13</v>
      </c>
      <c r="BQ5">
        <f>'20 06 2022  '!K7</f>
        <v>2</v>
      </c>
      <c r="BR5">
        <f>'27 06 2022  '!K7</f>
        <v>4</v>
      </c>
      <c r="BS5">
        <f>'04 07 2022'!K7</f>
        <v>4</v>
      </c>
    </row>
    <row r="6" spans="2:71" x14ac:dyDescent="0.25">
      <c r="B6" s="8" t="s">
        <v>4</v>
      </c>
      <c r="C6">
        <f t="shared" ca="1" si="12"/>
        <v>0</v>
      </c>
      <c r="D6">
        <f t="shared" ca="1" si="12"/>
        <v>4</v>
      </c>
      <c r="E6">
        <f t="shared" ca="1" si="12"/>
        <v>6</v>
      </c>
      <c r="F6">
        <f t="shared" ca="1" si="12"/>
        <v>3</v>
      </c>
      <c r="G6">
        <f t="shared" ca="1" si="12"/>
        <v>4</v>
      </c>
      <c r="H6">
        <f t="shared" ca="1" si="12"/>
        <v>7</v>
      </c>
      <c r="I6">
        <f t="shared" ca="1" si="12"/>
        <v>3</v>
      </c>
      <c r="J6">
        <f t="shared" ca="1" si="12"/>
        <v>4</v>
      </c>
      <c r="K6">
        <f t="shared" ca="1" si="12"/>
        <v>8</v>
      </c>
      <c r="L6">
        <f t="shared" ca="1" si="12"/>
        <v>4</v>
      </c>
      <c r="M6">
        <f t="shared" ca="1" si="12"/>
        <v>8</v>
      </c>
      <c r="N6">
        <f t="shared" ca="1" si="12"/>
        <v>4</v>
      </c>
      <c r="O6">
        <f t="shared" ca="1" si="12"/>
        <v>8</v>
      </c>
      <c r="P6">
        <f t="shared" ca="1" si="12"/>
        <v>4</v>
      </c>
      <c r="Q6">
        <f t="shared" ca="1" si="12"/>
        <v>8</v>
      </c>
      <c r="R6">
        <f t="shared" ca="1" si="13"/>
        <v>4</v>
      </c>
      <c r="S6">
        <f t="shared" ca="1" si="13"/>
        <v>6</v>
      </c>
      <c r="T6">
        <f t="shared" ca="1" si="13"/>
        <v>3</v>
      </c>
      <c r="U6">
        <f t="shared" ca="1" si="13"/>
        <v>3</v>
      </c>
      <c r="V6">
        <f t="shared" ca="1" si="13"/>
        <v>3</v>
      </c>
      <c r="W6">
        <f t="shared" ca="1" si="13"/>
        <v>3</v>
      </c>
      <c r="X6">
        <f t="shared" ca="1" si="13"/>
        <v>3</v>
      </c>
      <c r="Y6">
        <f t="shared" ca="1" si="13"/>
        <v>3</v>
      </c>
      <c r="Z6">
        <f t="shared" ca="1" si="13"/>
        <v>3</v>
      </c>
      <c r="AA6">
        <f t="shared" ca="1" si="13"/>
        <v>3</v>
      </c>
      <c r="AB6">
        <f t="shared" ca="1" si="13"/>
        <v>3</v>
      </c>
      <c r="AC6">
        <f t="shared" ca="1" si="13"/>
        <v>3</v>
      </c>
      <c r="AD6">
        <f t="shared" ca="1" si="13"/>
        <v>3</v>
      </c>
      <c r="AE6">
        <f t="shared" ca="1" si="13"/>
        <v>3</v>
      </c>
      <c r="AF6">
        <f t="shared" ca="1" si="13"/>
        <v>3</v>
      </c>
      <c r="AG6">
        <f t="shared" ca="1" si="13"/>
        <v>3</v>
      </c>
      <c r="AH6">
        <f t="shared" ca="1" si="14"/>
        <v>3</v>
      </c>
      <c r="AI6">
        <f t="shared" ca="1" si="4"/>
        <v>3</v>
      </c>
      <c r="AJ6">
        <f t="shared" ca="1" si="5"/>
        <v>3</v>
      </c>
      <c r="AK6">
        <f t="shared" ca="1" si="5"/>
        <v>3</v>
      </c>
      <c r="AL6">
        <f t="shared" ca="1" si="5"/>
        <v>3</v>
      </c>
      <c r="AM6">
        <f t="shared" ca="1" si="5"/>
        <v>3</v>
      </c>
      <c r="AN6">
        <f t="shared" ca="1" si="5"/>
        <v>3</v>
      </c>
      <c r="AO6">
        <f t="shared" ca="1" si="5"/>
        <v>3</v>
      </c>
      <c r="AP6">
        <f t="shared" ca="1" si="5"/>
        <v>3</v>
      </c>
      <c r="AQ6">
        <f t="shared" ca="1" si="5"/>
        <v>3</v>
      </c>
      <c r="AR6">
        <f t="shared" ca="1" si="5"/>
        <v>3</v>
      </c>
      <c r="AS6">
        <f t="shared" ca="1" si="5"/>
        <v>3</v>
      </c>
      <c r="AT6">
        <f t="shared" ca="1" si="8"/>
        <v>3</v>
      </c>
      <c r="AU6">
        <f t="shared" ca="1" si="8"/>
        <v>3</v>
      </c>
      <c r="AV6">
        <f t="shared" ca="1" si="16"/>
        <v>1</v>
      </c>
      <c r="AW6">
        <f t="shared" ca="1" si="16"/>
        <v>0</v>
      </c>
      <c r="AX6">
        <f t="shared" ca="1" si="16"/>
        <v>4</v>
      </c>
      <c r="AY6">
        <f t="shared" ca="1" si="16"/>
        <v>6</v>
      </c>
      <c r="AZ6">
        <f ca="1">COUNTIF($B$5:$H$95,AY6)</f>
        <v>2</v>
      </c>
      <c r="BA6">
        <f>'28 02 2022'!K8</f>
        <v>0</v>
      </c>
      <c r="BB6">
        <f>'07 03 2022'!K8</f>
        <v>0</v>
      </c>
      <c r="BC6">
        <f>'14 03 2022'!K8</f>
        <v>5</v>
      </c>
      <c r="BD6">
        <f>'21 03 2022'!K8</f>
        <v>0</v>
      </c>
      <c r="BE6">
        <f>'28 03 2022'!K8</f>
        <v>4</v>
      </c>
      <c r="BF6">
        <f>'04 04 2022'!K8</f>
        <v>0</v>
      </c>
      <c r="BG6">
        <f t="shared" ca="1" si="15"/>
        <v>4</v>
      </c>
      <c r="BH6">
        <f t="shared" ca="1" si="15"/>
        <v>6</v>
      </c>
      <c r="BI6">
        <f t="shared" ca="1" si="15"/>
        <v>2</v>
      </c>
      <c r="BJ6">
        <f t="shared" ca="1" si="15"/>
        <v>1</v>
      </c>
      <c r="BK6">
        <f>'09 05 2022'!K8</f>
        <v>0</v>
      </c>
      <c r="BL6">
        <f>'16 05 2022'!K8</f>
        <v>0</v>
      </c>
      <c r="BM6">
        <f>'23 05 2022 '!K8</f>
        <v>0</v>
      </c>
      <c r="BN6">
        <f>'30 05 2022  '!K8</f>
        <v>0</v>
      </c>
      <c r="BO6">
        <f>'06 06 2022   '!K8</f>
        <v>0</v>
      </c>
      <c r="BP6">
        <f>'13 06 2022  '!K8</f>
        <v>0</v>
      </c>
      <c r="BQ6">
        <f>'20 06 2022  '!K8</f>
        <v>5</v>
      </c>
      <c r="BR6">
        <f>'27 06 2022  '!K8</f>
        <v>0</v>
      </c>
      <c r="BS6">
        <f>'04 07 2022'!K8</f>
        <v>0</v>
      </c>
    </row>
    <row r="7" spans="2:71" x14ac:dyDescent="0.25">
      <c r="B7" s="9" t="s">
        <v>3</v>
      </c>
      <c r="C7">
        <f ca="1">COUNTIF($C$5:$J$60,B7)</f>
        <v>0</v>
      </c>
      <c r="D7">
        <f t="shared" ca="1" si="12"/>
        <v>4</v>
      </c>
      <c r="E7">
        <f t="shared" ca="1" si="12"/>
        <v>8</v>
      </c>
      <c r="F7">
        <f t="shared" ca="1" si="12"/>
        <v>5</v>
      </c>
      <c r="G7">
        <f t="shared" ca="1" si="12"/>
        <v>5</v>
      </c>
      <c r="H7">
        <f t="shared" ca="1" si="12"/>
        <v>6</v>
      </c>
      <c r="I7">
        <f t="shared" ca="1" si="12"/>
        <v>3</v>
      </c>
      <c r="J7">
        <f t="shared" ca="1" si="12"/>
        <v>5</v>
      </c>
      <c r="K7">
        <f t="shared" ca="1" si="12"/>
        <v>6</v>
      </c>
      <c r="L7">
        <f t="shared" ca="1" si="12"/>
        <v>3</v>
      </c>
      <c r="M7">
        <f t="shared" ca="1" si="12"/>
        <v>5</v>
      </c>
      <c r="N7">
        <f t="shared" ca="1" si="12"/>
        <v>6</v>
      </c>
      <c r="O7">
        <f t="shared" ca="1" si="12"/>
        <v>3</v>
      </c>
      <c r="P7">
        <f t="shared" ca="1" si="12"/>
        <v>5</v>
      </c>
      <c r="Q7">
        <f t="shared" ca="1" si="12"/>
        <v>6</v>
      </c>
      <c r="R7">
        <f t="shared" ca="1" si="13"/>
        <v>3</v>
      </c>
      <c r="S7">
        <f t="shared" ca="1" si="13"/>
        <v>4</v>
      </c>
      <c r="T7">
        <f t="shared" ca="1" si="13"/>
        <v>5</v>
      </c>
      <c r="U7">
        <f t="shared" ca="1" si="13"/>
        <v>5</v>
      </c>
      <c r="V7">
        <f t="shared" ca="1" si="13"/>
        <v>5</v>
      </c>
      <c r="W7">
        <f t="shared" ca="1" si="13"/>
        <v>5</v>
      </c>
      <c r="X7">
        <f t="shared" ca="1" si="13"/>
        <v>5</v>
      </c>
      <c r="Y7">
        <f t="shared" ca="1" si="13"/>
        <v>5</v>
      </c>
      <c r="Z7">
        <v>0</v>
      </c>
      <c r="AA7">
        <f t="shared" ca="1" si="13"/>
        <v>4</v>
      </c>
      <c r="AB7">
        <f t="shared" ca="1" si="13"/>
        <v>5</v>
      </c>
      <c r="AC7">
        <f t="shared" ca="1" si="13"/>
        <v>5</v>
      </c>
      <c r="AD7">
        <f t="shared" ca="1" si="13"/>
        <v>5</v>
      </c>
      <c r="AE7">
        <v>0</v>
      </c>
      <c r="AF7">
        <f t="shared" ca="1" si="13"/>
        <v>4</v>
      </c>
      <c r="AG7">
        <f t="shared" ca="1" si="13"/>
        <v>5</v>
      </c>
      <c r="AH7">
        <f t="shared" ca="1" si="14"/>
        <v>5</v>
      </c>
      <c r="AI7">
        <f t="shared" ca="1" si="4"/>
        <v>5</v>
      </c>
      <c r="AJ7">
        <f t="shared" ca="1" si="5"/>
        <v>5</v>
      </c>
      <c r="AK7">
        <f t="shared" ca="1" si="5"/>
        <v>5</v>
      </c>
      <c r="AL7">
        <f t="shared" ca="1" si="5"/>
        <v>5</v>
      </c>
      <c r="AM7">
        <f t="shared" ca="1" si="5"/>
        <v>5</v>
      </c>
      <c r="AN7">
        <f t="shared" ca="1" si="5"/>
        <v>5</v>
      </c>
      <c r="AO7">
        <f t="shared" ca="1" si="5"/>
        <v>5</v>
      </c>
      <c r="AP7">
        <f t="shared" ca="1" si="5"/>
        <v>5</v>
      </c>
      <c r="AQ7">
        <f t="shared" ca="1" si="5"/>
        <v>5</v>
      </c>
      <c r="AR7">
        <f t="shared" ca="1" si="5"/>
        <v>5</v>
      </c>
      <c r="AS7">
        <f t="shared" ca="1" si="5"/>
        <v>5</v>
      </c>
      <c r="AT7">
        <f t="shared" ca="1" si="8"/>
        <v>5</v>
      </c>
      <c r="AU7">
        <f t="shared" ca="1" si="8"/>
        <v>5</v>
      </c>
      <c r="AV7">
        <f t="shared" ca="1" si="16"/>
        <v>5</v>
      </c>
      <c r="AW7">
        <f t="shared" ca="1" si="16"/>
        <v>5</v>
      </c>
      <c r="AX7">
        <f t="shared" ca="1" si="16"/>
        <v>5</v>
      </c>
      <c r="AY7">
        <f t="shared" ca="1" si="16"/>
        <v>5</v>
      </c>
      <c r="AZ7">
        <f t="shared" ca="1" si="16"/>
        <v>5</v>
      </c>
      <c r="BA7">
        <f>'28 02 2022'!K9</f>
        <v>17</v>
      </c>
      <c r="BB7">
        <f>'07 03 2022'!K9</f>
        <v>0</v>
      </c>
      <c r="BC7">
        <f>'14 03 2022'!K9</f>
        <v>5</v>
      </c>
      <c r="BD7">
        <f>'21 03 2022'!K9</f>
        <v>0</v>
      </c>
      <c r="BE7">
        <f>'28 03 2022'!K9</f>
        <v>0</v>
      </c>
      <c r="BF7">
        <f>'04 04 2022'!K9</f>
        <v>0</v>
      </c>
      <c r="BG7">
        <f t="shared" ca="1" si="15"/>
        <v>4</v>
      </c>
      <c r="BH7">
        <f t="shared" ca="1" si="15"/>
        <v>5</v>
      </c>
      <c r="BI7">
        <f t="shared" ca="1" si="15"/>
        <v>5</v>
      </c>
      <c r="BJ7">
        <f t="shared" ca="1" si="15"/>
        <v>5</v>
      </c>
      <c r="BK7">
        <f>'09 05 2022'!K9</f>
        <v>0</v>
      </c>
      <c r="BL7">
        <f>'16 05 2022'!K9</f>
        <v>0</v>
      </c>
      <c r="BM7">
        <f>'23 05 2022 '!K9</f>
        <v>0</v>
      </c>
      <c r="BN7">
        <f>'30 05 2022  '!K9</f>
        <v>0</v>
      </c>
      <c r="BO7">
        <f>'06 06 2022   '!K9</f>
        <v>0</v>
      </c>
      <c r="BP7">
        <f>'13 06 2022  '!K9</f>
        <v>0</v>
      </c>
      <c r="BQ7">
        <f>'20 06 2022  '!K9</f>
        <v>0</v>
      </c>
      <c r="BR7">
        <f>'27 06 2022  '!K9</f>
        <v>0</v>
      </c>
      <c r="BS7">
        <f>'04 07 2022'!K9</f>
        <v>0</v>
      </c>
    </row>
    <row r="8" spans="2:71" x14ac:dyDescent="0.25">
      <c r="B8" s="10" t="s">
        <v>7</v>
      </c>
      <c r="C8">
        <f t="shared" ca="1" si="12"/>
        <v>0</v>
      </c>
      <c r="D8">
        <f t="shared" ca="1" si="12"/>
        <v>4</v>
      </c>
      <c r="E8">
        <f t="shared" ca="1" si="12"/>
        <v>7</v>
      </c>
      <c r="F8">
        <f t="shared" ca="1" si="12"/>
        <v>3</v>
      </c>
      <c r="G8">
        <f t="shared" ca="1" si="12"/>
        <v>6</v>
      </c>
      <c r="H8">
        <f t="shared" ca="1" si="12"/>
        <v>4</v>
      </c>
      <c r="I8">
        <f t="shared" ca="1" si="12"/>
        <v>8</v>
      </c>
      <c r="J8">
        <f t="shared" ca="1" si="12"/>
        <v>3</v>
      </c>
      <c r="K8">
        <f t="shared" ca="1" si="12"/>
        <v>6</v>
      </c>
      <c r="L8">
        <f t="shared" ca="1" si="12"/>
        <v>3</v>
      </c>
      <c r="M8">
        <f t="shared" ca="1" si="12"/>
        <v>6</v>
      </c>
      <c r="N8">
        <f t="shared" ca="1" si="12"/>
        <v>3</v>
      </c>
      <c r="O8">
        <f t="shared" ca="1" si="12"/>
        <v>6</v>
      </c>
      <c r="P8">
        <f t="shared" ca="1" si="12"/>
        <v>3</v>
      </c>
      <c r="Q8">
        <f t="shared" ca="1" si="12"/>
        <v>6</v>
      </c>
      <c r="R8">
        <f t="shared" ca="1" si="13"/>
        <v>3</v>
      </c>
      <c r="S8">
        <f t="shared" ca="1" si="13"/>
        <v>5</v>
      </c>
      <c r="T8">
        <f t="shared" ca="1" si="13"/>
        <v>3</v>
      </c>
      <c r="U8">
        <f t="shared" ca="1" si="13"/>
        <v>5</v>
      </c>
      <c r="V8">
        <f t="shared" ca="1" si="13"/>
        <v>3</v>
      </c>
      <c r="W8">
        <f t="shared" ca="1" si="13"/>
        <v>5</v>
      </c>
      <c r="X8">
        <f t="shared" ca="1" si="13"/>
        <v>3</v>
      </c>
      <c r="Y8">
        <f t="shared" ca="1" si="13"/>
        <v>5</v>
      </c>
      <c r="Z8">
        <f t="shared" ca="1" si="13"/>
        <v>3</v>
      </c>
      <c r="AA8">
        <f t="shared" ca="1" si="13"/>
        <v>5</v>
      </c>
      <c r="AB8">
        <f t="shared" ca="1" si="13"/>
        <v>3</v>
      </c>
      <c r="AC8">
        <f t="shared" ca="1" si="13"/>
        <v>5</v>
      </c>
      <c r="AD8">
        <f t="shared" ca="1" si="13"/>
        <v>3</v>
      </c>
      <c r="AE8">
        <f t="shared" ca="1" si="13"/>
        <v>5</v>
      </c>
      <c r="AF8">
        <f t="shared" ca="1" si="13"/>
        <v>3</v>
      </c>
      <c r="AG8">
        <f t="shared" ca="1" si="13"/>
        <v>5</v>
      </c>
      <c r="AH8">
        <f t="shared" ca="1" si="14"/>
        <v>3</v>
      </c>
      <c r="AI8">
        <f t="shared" ca="1" si="4"/>
        <v>5</v>
      </c>
      <c r="AJ8">
        <f t="shared" ca="1" si="5"/>
        <v>3</v>
      </c>
      <c r="AK8">
        <f t="shared" ca="1" si="5"/>
        <v>5</v>
      </c>
      <c r="AL8">
        <f t="shared" ca="1" si="5"/>
        <v>3</v>
      </c>
      <c r="AM8">
        <f t="shared" ca="1" si="5"/>
        <v>5</v>
      </c>
      <c r="AN8">
        <f t="shared" ca="1" si="5"/>
        <v>3</v>
      </c>
      <c r="AO8">
        <f t="shared" ca="1" si="5"/>
        <v>5</v>
      </c>
      <c r="AP8">
        <f t="shared" ca="1" si="5"/>
        <v>3</v>
      </c>
      <c r="AQ8">
        <f t="shared" ca="1" si="5"/>
        <v>5</v>
      </c>
      <c r="AR8">
        <f t="shared" ca="1" si="5"/>
        <v>3</v>
      </c>
      <c r="AS8">
        <f t="shared" ca="1" si="5"/>
        <v>5</v>
      </c>
      <c r="AT8">
        <f t="shared" ca="1" si="8"/>
        <v>3</v>
      </c>
      <c r="AU8">
        <f t="shared" ca="1" si="8"/>
        <v>5</v>
      </c>
      <c r="AV8">
        <f t="shared" ca="1" si="16"/>
        <v>3</v>
      </c>
      <c r="AW8">
        <f t="shared" ca="1" si="16"/>
        <v>2</v>
      </c>
      <c r="AX8">
        <f t="shared" ca="1" si="16"/>
        <v>1</v>
      </c>
      <c r="AY8">
        <f t="shared" ca="1" si="16"/>
        <v>0</v>
      </c>
      <c r="AZ8">
        <f t="shared" ca="1" si="16"/>
        <v>4</v>
      </c>
      <c r="BA8">
        <f>'28 02 2022'!K10</f>
        <v>16</v>
      </c>
      <c r="BB8">
        <f>'07 03 2022'!K10</f>
        <v>19</v>
      </c>
      <c r="BC8">
        <f>'14 03 2022'!K10</f>
        <v>11</v>
      </c>
      <c r="BD8">
        <f>'21 03 2022'!K10</f>
        <v>12</v>
      </c>
      <c r="BE8">
        <f>'28 03 2022'!K10</f>
        <v>6</v>
      </c>
      <c r="BF8">
        <f>'04 04 2022'!K10</f>
        <v>6</v>
      </c>
      <c r="BG8">
        <f t="shared" ca="1" si="15"/>
        <v>3</v>
      </c>
      <c r="BH8">
        <f t="shared" ca="1" si="15"/>
        <v>2</v>
      </c>
      <c r="BI8">
        <f t="shared" ca="1" si="15"/>
        <v>1</v>
      </c>
      <c r="BJ8">
        <f t="shared" ca="1" si="15"/>
        <v>0</v>
      </c>
      <c r="BK8">
        <f>'09 05 2022'!K10</f>
        <v>11</v>
      </c>
      <c r="BL8">
        <f>'16 05 2022'!K10</f>
        <v>11</v>
      </c>
      <c r="BM8">
        <f>'23 05 2022 '!K10</f>
        <v>11</v>
      </c>
      <c r="BN8">
        <f>'30 05 2022  '!K10</f>
        <v>9</v>
      </c>
      <c r="BO8">
        <f>'06 06 2022   '!K10</f>
        <v>6</v>
      </c>
      <c r="BP8">
        <f>'13 06 2022  '!K10</f>
        <v>11</v>
      </c>
      <c r="BQ8">
        <f>'20 06 2022  '!K10</f>
        <v>7</v>
      </c>
      <c r="BR8">
        <f>'27 06 2022  '!K10</f>
        <v>9</v>
      </c>
      <c r="BS8">
        <f>'04 07 2022'!K10</f>
        <v>8</v>
      </c>
    </row>
    <row r="12" spans="2:71" x14ac:dyDescent="0.25">
      <c r="AA12" s="5" t="s">
        <v>2</v>
      </c>
      <c r="AU12" s="19"/>
    </row>
    <row r="13" spans="2:71" x14ac:dyDescent="0.25">
      <c r="AA13" s="6" t="s">
        <v>5</v>
      </c>
    </row>
    <row r="14" spans="2:71" x14ac:dyDescent="0.25">
      <c r="AA14" s="7" t="s">
        <v>6</v>
      </c>
    </row>
    <row r="15" spans="2:71" x14ac:dyDescent="0.25">
      <c r="AA15" s="8" t="s">
        <v>4</v>
      </c>
      <c r="AW15" s="19"/>
    </row>
    <row r="16" spans="2:71" x14ac:dyDescent="0.25">
      <c r="AA16" s="9" t="s">
        <v>3</v>
      </c>
    </row>
    <row r="17" spans="27:28" x14ac:dyDescent="0.25">
      <c r="AA17" s="10" t="s">
        <v>7</v>
      </c>
    </row>
    <row r="24" spans="27:28" x14ac:dyDescent="0.25">
      <c r="AB24">
        <f>600*3</f>
        <v>1800</v>
      </c>
    </row>
    <row r="25" spans="27:28" x14ac:dyDescent="0.25">
      <c r="AB25">
        <v>600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020D-567C-494A-BB25-265816799A62}">
  <sheetPr codeName="Planilha1"/>
  <dimension ref="B3:O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O5" sqref="O5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  <col min="15" max="15" width="10.7109375" bestFit="1" customWidth="1"/>
  </cols>
  <sheetData>
    <row r="3" spans="2:15" x14ac:dyDescent="0.25">
      <c r="C3" s="3">
        <v>44182</v>
      </c>
      <c r="D3" s="3">
        <f>C3+1</f>
        <v>44183</v>
      </c>
      <c r="E3" s="3">
        <f t="shared" ref="E3:J3" si="0">D3+1</f>
        <v>44184</v>
      </c>
      <c r="F3" s="3">
        <f t="shared" si="0"/>
        <v>44185</v>
      </c>
      <c r="G3" s="3">
        <f t="shared" si="0"/>
        <v>44186</v>
      </c>
      <c r="H3" s="3">
        <f t="shared" si="0"/>
        <v>44187</v>
      </c>
      <c r="I3" s="3">
        <f t="shared" si="0"/>
        <v>44188</v>
      </c>
      <c r="J3" s="3">
        <f t="shared" si="0"/>
        <v>44189</v>
      </c>
    </row>
    <row r="4" spans="2:15" x14ac:dyDescent="0.25">
      <c r="B4" s="2" t="s">
        <v>0</v>
      </c>
      <c r="C4" s="1" t="str">
        <f>TEXT(C3,"ddd")</f>
        <v>qui</v>
      </c>
      <c r="D4" s="1" t="str">
        <f t="shared" ref="D4:J4" si="1">TEXT(D3,"ddd")</f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J4" s="1" t="str">
        <f t="shared" si="1"/>
        <v>qui</v>
      </c>
      <c r="L4" s="11" t="s">
        <v>1</v>
      </c>
      <c r="M4" s="49" t="s">
        <v>32</v>
      </c>
      <c r="N4" s="50" t="s">
        <v>33</v>
      </c>
      <c r="O4" s="51" t="s">
        <v>34</v>
      </c>
    </row>
    <row r="5" spans="2:15" x14ac:dyDescent="0.25">
      <c r="B5" s="4">
        <v>1</v>
      </c>
      <c r="C5" t="s">
        <v>2</v>
      </c>
      <c r="D5" t="s">
        <v>2</v>
      </c>
      <c r="F5" t="s">
        <v>3</v>
      </c>
      <c r="G5" t="s">
        <v>4</v>
      </c>
      <c r="H5" t="s">
        <v>2</v>
      </c>
      <c r="I5" t="s">
        <v>2</v>
      </c>
      <c r="L5" s="5" t="s">
        <v>2</v>
      </c>
      <c r="M5">
        <f>COUNTIF($C$5:$J$60,L5)</f>
        <v>81</v>
      </c>
      <c r="N5" s="53">
        <f>M5/$M$11</f>
        <v>0.60447761194029848</v>
      </c>
      <c r="O5" s="52">
        <v>44182</v>
      </c>
    </row>
    <row r="6" spans="2:15" x14ac:dyDescent="0.25">
      <c r="B6" s="4">
        <v>2</v>
      </c>
      <c r="L6" s="6" t="s">
        <v>5</v>
      </c>
      <c r="M6">
        <f t="shared" ref="M6:M10" si="2">COUNTIF($C$5:$J$60,L6)</f>
        <v>12</v>
      </c>
      <c r="N6" s="53">
        <f t="shared" ref="N6:N10" si="3">M6/$M$11</f>
        <v>8.9552238805970144E-2</v>
      </c>
    </row>
    <row r="7" spans="2:15" x14ac:dyDescent="0.25">
      <c r="B7" s="4">
        <v>3</v>
      </c>
      <c r="L7" s="7" t="s">
        <v>6</v>
      </c>
      <c r="M7">
        <f t="shared" si="2"/>
        <v>3</v>
      </c>
      <c r="N7" s="53">
        <f t="shared" si="3"/>
        <v>2.2388059701492536E-2</v>
      </c>
    </row>
    <row r="8" spans="2:15" x14ac:dyDescent="0.25">
      <c r="B8" s="4">
        <v>4</v>
      </c>
      <c r="C8" t="s">
        <v>5</v>
      </c>
      <c r="E8" t="s">
        <v>2</v>
      </c>
      <c r="F8" t="s">
        <v>3</v>
      </c>
      <c r="I8" t="s">
        <v>2</v>
      </c>
      <c r="L8" s="8" t="s">
        <v>4</v>
      </c>
      <c r="M8">
        <f t="shared" si="2"/>
        <v>12</v>
      </c>
      <c r="N8" s="53">
        <f t="shared" si="3"/>
        <v>8.9552238805970144E-2</v>
      </c>
    </row>
    <row r="9" spans="2:15" x14ac:dyDescent="0.25">
      <c r="B9" s="4">
        <v>5</v>
      </c>
      <c r="C9" t="s">
        <v>2</v>
      </c>
      <c r="E9" t="s">
        <v>2</v>
      </c>
      <c r="I9" t="s">
        <v>3</v>
      </c>
      <c r="L9" s="9" t="s">
        <v>3</v>
      </c>
      <c r="M9">
        <f t="shared" si="2"/>
        <v>24</v>
      </c>
      <c r="N9" s="53">
        <f t="shared" si="3"/>
        <v>0.17910447761194029</v>
      </c>
    </row>
    <row r="10" spans="2:15" x14ac:dyDescent="0.25">
      <c r="B10" s="4">
        <v>6</v>
      </c>
      <c r="C10" t="s">
        <v>2</v>
      </c>
      <c r="E10" t="s">
        <v>2</v>
      </c>
      <c r="H10" t="s">
        <v>2</v>
      </c>
      <c r="L10" s="10" t="s">
        <v>7</v>
      </c>
      <c r="M10">
        <f t="shared" si="2"/>
        <v>2</v>
      </c>
      <c r="N10" s="53">
        <f t="shared" si="3"/>
        <v>1.4925373134328358E-2</v>
      </c>
    </row>
    <row r="11" spans="2:15" x14ac:dyDescent="0.25">
      <c r="B11" s="4">
        <v>7</v>
      </c>
      <c r="C11" t="s">
        <v>5</v>
      </c>
      <c r="F11" t="s">
        <v>3</v>
      </c>
      <c r="I11" t="s">
        <v>3</v>
      </c>
      <c r="M11">
        <f>SUM(M5:M10)</f>
        <v>134</v>
      </c>
    </row>
    <row r="12" spans="2:15" x14ac:dyDescent="0.25">
      <c r="B12" s="4">
        <v>8</v>
      </c>
      <c r="C12" t="s">
        <v>2</v>
      </c>
      <c r="E12" t="s">
        <v>2</v>
      </c>
      <c r="H12" t="s">
        <v>2</v>
      </c>
    </row>
    <row r="13" spans="2:15" x14ac:dyDescent="0.25">
      <c r="B13" s="4">
        <v>9</v>
      </c>
      <c r="C13" t="s">
        <v>7</v>
      </c>
      <c r="D13" t="s">
        <v>2</v>
      </c>
      <c r="F13" t="s">
        <v>3</v>
      </c>
      <c r="H13" t="s">
        <v>2</v>
      </c>
    </row>
    <row r="14" spans="2:15" x14ac:dyDescent="0.25">
      <c r="B14" s="4">
        <v>10</v>
      </c>
      <c r="E14" t="s">
        <v>2</v>
      </c>
      <c r="I14" t="s">
        <v>3</v>
      </c>
    </row>
    <row r="15" spans="2:15" x14ac:dyDescent="0.25">
      <c r="B15" s="4">
        <v>11</v>
      </c>
      <c r="C15" t="s">
        <v>2</v>
      </c>
      <c r="E15" t="s">
        <v>2</v>
      </c>
      <c r="H15" t="s">
        <v>2</v>
      </c>
    </row>
    <row r="16" spans="2:15" x14ac:dyDescent="0.25">
      <c r="B16" s="4">
        <v>12</v>
      </c>
      <c r="C16" t="s">
        <v>2</v>
      </c>
      <c r="F16" t="s">
        <v>3</v>
      </c>
      <c r="H16" t="s">
        <v>2</v>
      </c>
    </row>
    <row r="17" spans="2:10" x14ac:dyDescent="0.25">
      <c r="B17" s="4">
        <v>13</v>
      </c>
      <c r="D17" t="s">
        <v>2</v>
      </c>
      <c r="E17" t="s">
        <v>2</v>
      </c>
      <c r="G17" t="s">
        <v>4</v>
      </c>
      <c r="H17" t="s">
        <v>2</v>
      </c>
      <c r="I17" t="s">
        <v>2</v>
      </c>
      <c r="J17" t="s">
        <v>2</v>
      </c>
    </row>
    <row r="18" spans="2:10" x14ac:dyDescent="0.25">
      <c r="B18" s="4">
        <v>14</v>
      </c>
      <c r="C18" t="s">
        <v>2</v>
      </c>
      <c r="D18" t="s">
        <v>2</v>
      </c>
      <c r="E18" t="s">
        <v>2</v>
      </c>
      <c r="I18" t="s">
        <v>3</v>
      </c>
    </row>
    <row r="19" spans="2:10" x14ac:dyDescent="0.25">
      <c r="B19" s="4">
        <v>15</v>
      </c>
      <c r="D19" t="s">
        <v>2</v>
      </c>
      <c r="F19" t="s">
        <v>3</v>
      </c>
    </row>
    <row r="20" spans="2:10" x14ac:dyDescent="0.25">
      <c r="B20" s="4">
        <v>16</v>
      </c>
      <c r="G20" t="s">
        <v>4</v>
      </c>
    </row>
    <row r="21" spans="2:10" x14ac:dyDescent="0.25">
      <c r="B21" s="4">
        <v>17</v>
      </c>
      <c r="D21" t="s">
        <v>5</v>
      </c>
      <c r="F21" t="s">
        <v>2</v>
      </c>
      <c r="G21" t="s">
        <v>4</v>
      </c>
    </row>
    <row r="22" spans="2:10" x14ac:dyDescent="0.25">
      <c r="B22" s="4">
        <v>18</v>
      </c>
    </row>
    <row r="23" spans="2:10" x14ac:dyDescent="0.25">
      <c r="B23" s="4">
        <v>19</v>
      </c>
      <c r="D23" t="s">
        <v>5</v>
      </c>
      <c r="E23" t="s">
        <v>5</v>
      </c>
      <c r="F23" t="s">
        <v>5</v>
      </c>
      <c r="G23" t="s">
        <v>5</v>
      </c>
      <c r="I23" t="s">
        <v>2</v>
      </c>
      <c r="J23" t="s">
        <v>2</v>
      </c>
    </row>
    <row r="24" spans="2:10" x14ac:dyDescent="0.25">
      <c r="B24" s="4">
        <v>20</v>
      </c>
    </row>
    <row r="25" spans="2:10" x14ac:dyDescent="0.25">
      <c r="B25" s="4">
        <v>21</v>
      </c>
      <c r="C25" t="s">
        <v>2</v>
      </c>
      <c r="E25" t="s">
        <v>6</v>
      </c>
      <c r="H25" t="s">
        <v>2</v>
      </c>
    </row>
    <row r="26" spans="2:10" x14ac:dyDescent="0.25">
      <c r="B26" s="4">
        <v>22</v>
      </c>
    </row>
    <row r="27" spans="2:10" x14ac:dyDescent="0.25">
      <c r="B27" s="4">
        <v>23</v>
      </c>
      <c r="D27" t="s">
        <v>2</v>
      </c>
      <c r="F27" t="s">
        <v>3</v>
      </c>
      <c r="I27" t="s">
        <v>3</v>
      </c>
    </row>
    <row r="28" spans="2:10" x14ac:dyDescent="0.25">
      <c r="B28" s="4">
        <v>24</v>
      </c>
    </row>
    <row r="29" spans="2:10" x14ac:dyDescent="0.25">
      <c r="B29" s="4">
        <v>25</v>
      </c>
      <c r="C29" t="s">
        <v>2</v>
      </c>
      <c r="D29" t="s">
        <v>2</v>
      </c>
      <c r="E29" t="s">
        <v>2</v>
      </c>
      <c r="F29" t="s">
        <v>2</v>
      </c>
      <c r="G29" t="s">
        <v>4</v>
      </c>
      <c r="H29" t="s">
        <v>2</v>
      </c>
      <c r="I29" t="s">
        <v>2</v>
      </c>
    </row>
    <row r="30" spans="2:10" x14ac:dyDescent="0.25">
      <c r="B30" s="4">
        <v>26</v>
      </c>
      <c r="D30" t="s">
        <v>2</v>
      </c>
      <c r="E30" t="s">
        <v>2</v>
      </c>
      <c r="I30" t="s">
        <v>3</v>
      </c>
    </row>
    <row r="31" spans="2:10" x14ac:dyDescent="0.25">
      <c r="B31" s="4">
        <v>27</v>
      </c>
      <c r="D31" t="s">
        <v>2</v>
      </c>
      <c r="F31" t="s">
        <v>3</v>
      </c>
      <c r="I31" t="s">
        <v>3</v>
      </c>
    </row>
    <row r="32" spans="2:10" x14ac:dyDescent="0.25">
      <c r="B32" s="4">
        <v>28</v>
      </c>
    </row>
    <row r="33" spans="2:7" x14ac:dyDescent="0.25">
      <c r="B33" s="4">
        <v>29</v>
      </c>
      <c r="C33" t="s">
        <v>2</v>
      </c>
      <c r="D33" t="s">
        <v>2</v>
      </c>
      <c r="E33" t="s">
        <v>2</v>
      </c>
      <c r="F33" t="s">
        <v>3</v>
      </c>
    </row>
    <row r="34" spans="2:7" x14ac:dyDescent="0.25">
      <c r="B34" s="4">
        <v>30</v>
      </c>
    </row>
    <row r="35" spans="2:7" x14ac:dyDescent="0.25">
      <c r="B35" s="4">
        <v>31</v>
      </c>
      <c r="F35" t="s">
        <v>3</v>
      </c>
    </row>
    <row r="36" spans="2:7" x14ac:dyDescent="0.25">
      <c r="B36" s="4">
        <v>32</v>
      </c>
    </row>
    <row r="37" spans="2:7" x14ac:dyDescent="0.25">
      <c r="B37" s="4">
        <v>33</v>
      </c>
      <c r="C37" t="s">
        <v>2</v>
      </c>
      <c r="F37" t="s">
        <v>3</v>
      </c>
    </row>
    <row r="38" spans="2:7" x14ac:dyDescent="0.25">
      <c r="B38" s="4">
        <v>34</v>
      </c>
      <c r="E38" t="s">
        <v>5</v>
      </c>
      <c r="F38" t="s">
        <v>5</v>
      </c>
    </row>
    <row r="39" spans="2:7" x14ac:dyDescent="0.25">
      <c r="B39" s="4">
        <v>35</v>
      </c>
    </row>
    <row r="40" spans="2:7" x14ac:dyDescent="0.25">
      <c r="B40" s="4">
        <v>36</v>
      </c>
      <c r="D40" t="s">
        <v>2</v>
      </c>
      <c r="E40" t="s">
        <v>5</v>
      </c>
      <c r="F40" t="s">
        <v>5</v>
      </c>
    </row>
    <row r="41" spans="2:7" x14ac:dyDescent="0.25">
      <c r="B41" s="4">
        <v>37</v>
      </c>
      <c r="D41" t="s">
        <v>2</v>
      </c>
      <c r="F41" t="s">
        <v>3</v>
      </c>
    </row>
    <row r="42" spans="2:7" x14ac:dyDescent="0.25">
      <c r="B42" s="4">
        <v>38</v>
      </c>
      <c r="D42" t="s">
        <v>2</v>
      </c>
      <c r="F42" t="s">
        <v>3</v>
      </c>
    </row>
    <row r="43" spans="2:7" x14ac:dyDescent="0.25">
      <c r="B43" s="4">
        <v>39</v>
      </c>
      <c r="D43" t="s">
        <v>2</v>
      </c>
      <c r="E43" t="s">
        <v>2</v>
      </c>
      <c r="G43" t="s">
        <v>4</v>
      </c>
    </row>
    <row r="44" spans="2:7" x14ac:dyDescent="0.25">
      <c r="B44" s="4">
        <v>40</v>
      </c>
      <c r="D44" t="s">
        <v>2</v>
      </c>
      <c r="E44" t="s">
        <v>2</v>
      </c>
      <c r="G44" t="s">
        <v>4</v>
      </c>
    </row>
    <row r="45" spans="2:7" x14ac:dyDescent="0.25">
      <c r="B45" s="4">
        <v>41</v>
      </c>
    </row>
    <row r="46" spans="2:7" x14ac:dyDescent="0.25">
      <c r="B46" s="4">
        <v>42</v>
      </c>
      <c r="D46" t="s">
        <v>2</v>
      </c>
      <c r="E46" t="s">
        <v>2</v>
      </c>
    </row>
    <row r="47" spans="2:7" x14ac:dyDescent="0.25">
      <c r="B47" s="4">
        <v>43</v>
      </c>
    </row>
    <row r="48" spans="2:7" x14ac:dyDescent="0.25">
      <c r="B48" s="4">
        <v>44</v>
      </c>
    </row>
    <row r="49" spans="2:9" x14ac:dyDescent="0.25">
      <c r="B49" s="4">
        <v>45</v>
      </c>
      <c r="D49" t="s">
        <v>7</v>
      </c>
      <c r="E49" t="s">
        <v>2</v>
      </c>
      <c r="F49" t="s">
        <v>2</v>
      </c>
      <c r="G49" t="s">
        <v>4</v>
      </c>
      <c r="H49" t="s">
        <v>2</v>
      </c>
    </row>
    <row r="50" spans="2:9" x14ac:dyDescent="0.25">
      <c r="B50" s="4">
        <v>46</v>
      </c>
      <c r="D50" t="s">
        <v>5</v>
      </c>
      <c r="E50" t="s">
        <v>2</v>
      </c>
      <c r="F50" t="s">
        <v>2</v>
      </c>
      <c r="G50" t="s">
        <v>4</v>
      </c>
      <c r="H50" t="s">
        <v>2</v>
      </c>
    </row>
    <row r="51" spans="2:9" x14ac:dyDescent="0.25">
      <c r="B51" s="4">
        <v>47</v>
      </c>
      <c r="C51" t="s">
        <v>2</v>
      </c>
      <c r="D51" t="s">
        <v>6</v>
      </c>
      <c r="E51" t="s">
        <v>2</v>
      </c>
      <c r="F51" t="s">
        <v>2</v>
      </c>
      <c r="G51" t="s">
        <v>4</v>
      </c>
      <c r="H51" t="s">
        <v>2</v>
      </c>
    </row>
    <row r="52" spans="2:9" x14ac:dyDescent="0.25">
      <c r="B52" s="4">
        <v>48</v>
      </c>
      <c r="C52" t="s">
        <v>6</v>
      </c>
      <c r="D52" t="s">
        <v>2</v>
      </c>
      <c r="E52" t="s">
        <v>2</v>
      </c>
      <c r="F52" t="s">
        <v>3</v>
      </c>
      <c r="G52" t="s">
        <v>4</v>
      </c>
      <c r="H52" t="s">
        <v>2</v>
      </c>
    </row>
    <row r="53" spans="2:9" x14ac:dyDescent="0.25">
      <c r="B53" s="4">
        <v>49</v>
      </c>
      <c r="C53" t="s">
        <v>2</v>
      </c>
      <c r="D53" t="s">
        <v>2</v>
      </c>
      <c r="E53" t="s">
        <v>2</v>
      </c>
      <c r="F53" t="s">
        <v>3</v>
      </c>
      <c r="G53" t="s">
        <v>4</v>
      </c>
      <c r="H53" t="s">
        <v>2</v>
      </c>
    </row>
    <row r="54" spans="2:9" x14ac:dyDescent="0.25">
      <c r="B54" s="4">
        <v>50</v>
      </c>
      <c r="D54" t="s">
        <v>2</v>
      </c>
      <c r="H54" t="s">
        <v>2</v>
      </c>
      <c r="I54" t="s">
        <v>2</v>
      </c>
    </row>
    <row r="55" spans="2:9" x14ac:dyDescent="0.25">
      <c r="B55" s="4">
        <v>51</v>
      </c>
    </row>
    <row r="56" spans="2:9" x14ac:dyDescent="0.25">
      <c r="B56" s="4">
        <v>52</v>
      </c>
      <c r="E56" t="s">
        <v>2</v>
      </c>
      <c r="F56" t="s">
        <v>3</v>
      </c>
      <c r="H56" t="s">
        <v>2</v>
      </c>
      <c r="I56" t="s">
        <v>3</v>
      </c>
    </row>
    <row r="57" spans="2:9" x14ac:dyDescent="0.25">
      <c r="B57" s="4">
        <v>53</v>
      </c>
    </row>
    <row r="58" spans="2:9" x14ac:dyDescent="0.25">
      <c r="B58" s="4">
        <v>54</v>
      </c>
    </row>
    <row r="59" spans="2:9" x14ac:dyDescent="0.25">
      <c r="B59" s="4">
        <v>55</v>
      </c>
    </row>
    <row r="60" spans="2:9" x14ac:dyDescent="0.25">
      <c r="B60" s="4">
        <v>56</v>
      </c>
    </row>
  </sheetData>
  <conditionalFormatting sqref="C5:H11">
    <cfRule type="cellIs" dxfId="2155" priority="8" operator="equal">
      <formula>"Energia"</formula>
    </cfRule>
  </conditionalFormatting>
  <conditionalFormatting sqref="C5:J60">
    <cfRule type="cellIs" dxfId="2154" priority="1" operator="equal">
      <formula>"Energia"</formula>
    </cfRule>
    <cfRule type="cellIs" dxfId="2153" priority="3" operator="equal">
      <formula>"Operação"</formula>
    </cfRule>
    <cfRule type="cellIs" dxfId="2152" priority="4" operator="equal">
      <formula>"Chuva"</formula>
    </cfRule>
    <cfRule type="cellIs" dxfId="2151" priority="5" operator="equal">
      <formula>"Elétrico"</formula>
    </cfRule>
    <cfRule type="cellIs" dxfId="2150" priority="6" operator="equal">
      <formula>"Mecânico"</formula>
    </cfRule>
    <cfRule type="cellIs" dxfId="2149" priority="7" operator="equal">
      <formula>"Ok"</formula>
    </cfRule>
  </conditionalFormatting>
  <conditionalFormatting sqref="C5:J61">
    <cfRule type="cellIs" dxfId="2148" priority="2" operator="equal">
      <formula>"Feito"</formula>
    </cfRule>
  </conditionalFormatting>
  <dataValidations count="1">
    <dataValidation type="list" allowBlank="1" showInputMessage="1" showErrorMessage="1" sqref="C5:K60" xr:uid="{829CF24D-6313-4CC8-9CA0-26382985A51E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194D-724E-406B-AAD4-567886832C4C}">
  <sheetPr codeName="Planilha2"/>
  <dimension ref="B3:O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4" sqref="M4:O4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  <col min="15" max="15" width="10.7109375" bestFit="1" customWidth="1"/>
  </cols>
  <sheetData>
    <row r="3" spans="2:15" x14ac:dyDescent="0.25">
      <c r="C3" s="3">
        <v>44190</v>
      </c>
      <c r="D3" s="3">
        <f>C3+1</f>
        <v>44191</v>
      </c>
      <c r="E3" s="3">
        <f t="shared" ref="E3:J3" si="0">D3+1</f>
        <v>44192</v>
      </c>
      <c r="F3" s="3">
        <f t="shared" si="0"/>
        <v>44193</v>
      </c>
      <c r="G3" s="3">
        <f t="shared" si="0"/>
        <v>44194</v>
      </c>
      <c r="H3" s="3">
        <f t="shared" si="0"/>
        <v>44195</v>
      </c>
      <c r="I3" s="3">
        <f t="shared" si="0"/>
        <v>44196</v>
      </c>
      <c r="J3" s="3">
        <f t="shared" si="0"/>
        <v>44197</v>
      </c>
    </row>
    <row r="4" spans="2:15" x14ac:dyDescent="0.25">
      <c r="B4" s="2" t="s">
        <v>0</v>
      </c>
      <c r="C4" s="1" t="str">
        <f>TEXT(C3,"ddd")</f>
        <v>sex</v>
      </c>
      <c r="D4" s="1" t="str">
        <f t="shared" ref="D4:J4" si="1">TEXT(D3,"ddd")</f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J4" s="1" t="str">
        <f t="shared" si="1"/>
        <v>sex</v>
      </c>
      <c r="L4" s="11" t="s">
        <v>1</v>
      </c>
      <c r="M4" s="49" t="s">
        <v>32</v>
      </c>
      <c r="N4" s="50" t="s">
        <v>33</v>
      </c>
      <c r="O4" s="51" t="s">
        <v>34</v>
      </c>
    </row>
    <row r="5" spans="2:15" x14ac:dyDescent="0.25">
      <c r="B5" s="4">
        <v>1</v>
      </c>
      <c r="F5" t="s">
        <v>5</v>
      </c>
      <c r="H5" t="s">
        <v>6</v>
      </c>
      <c r="L5" s="5" t="s">
        <v>2</v>
      </c>
      <c r="M5">
        <f>COUNTIF($C$5:$J$60,L5)</f>
        <v>101</v>
      </c>
      <c r="N5" s="53">
        <f>M5/$M$11</f>
        <v>0.80158730158730163</v>
      </c>
      <c r="O5" s="52">
        <v>44190</v>
      </c>
    </row>
    <row r="6" spans="2:15" x14ac:dyDescent="0.25">
      <c r="B6" s="4">
        <v>2</v>
      </c>
      <c r="L6" s="6" t="s">
        <v>5</v>
      </c>
      <c r="M6">
        <f t="shared" ref="M6:M10" si="2">COUNTIF($C$5:$J$60,L6)</f>
        <v>10</v>
      </c>
      <c r="N6" s="53">
        <f t="shared" ref="N6:N10" si="3">M6/$M$11</f>
        <v>7.9365079365079361E-2</v>
      </c>
    </row>
    <row r="7" spans="2:15" x14ac:dyDescent="0.25">
      <c r="B7" s="4">
        <v>3</v>
      </c>
      <c r="L7" s="7" t="s">
        <v>6</v>
      </c>
      <c r="M7">
        <f t="shared" si="2"/>
        <v>6</v>
      </c>
      <c r="N7" s="53">
        <f t="shared" si="3"/>
        <v>4.7619047619047616E-2</v>
      </c>
    </row>
    <row r="8" spans="2:15" x14ac:dyDescent="0.25">
      <c r="B8" s="4">
        <v>4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L8" s="8" t="s">
        <v>4</v>
      </c>
      <c r="M8">
        <f t="shared" si="2"/>
        <v>2</v>
      </c>
      <c r="N8" s="53">
        <f t="shared" si="3"/>
        <v>1.5873015873015872E-2</v>
      </c>
    </row>
    <row r="9" spans="2:15" x14ac:dyDescent="0.25">
      <c r="B9" s="4">
        <v>5</v>
      </c>
      <c r="E9" t="s">
        <v>2</v>
      </c>
      <c r="G9" t="s">
        <v>2</v>
      </c>
      <c r="I9" t="s">
        <v>2</v>
      </c>
      <c r="L9" s="9" t="s">
        <v>3</v>
      </c>
      <c r="M9">
        <f t="shared" si="2"/>
        <v>0</v>
      </c>
      <c r="N9" s="53">
        <f t="shared" si="3"/>
        <v>0</v>
      </c>
    </row>
    <row r="10" spans="2:15" x14ac:dyDescent="0.25">
      <c r="B10" s="4">
        <v>6</v>
      </c>
      <c r="F10" t="s">
        <v>7</v>
      </c>
      <c r="H10" t="s">
        <v>2</v>
      </c>
      <c r="J10" t="s">
        <v>2</v>
      </c>
      <c r="L10" s="10" t="s">
        <v>7</v>
      </c>
      <c r="M10">
        <f t="shared" si="2"/>
        <v>7</v>
      </c>
      <c r="N10" s="53">
        <f t="shared" si="3"/>
        <v>5.5555555555555552E-2</v>
      </c>
    </row>
    <row r="11" spans="2:15" x14ac:dyDescent="0.25">
      <c r="B11" s="4">
        <v>7</v>
      </c>
      <c r="E11" t="s">
        <v>2</v>
      </c>
      <c r="G11" t="s">
        <v>2</v>
      </c>
      <c r="I11" t="s">
        <v>2</v>
      </c>
      <c r="M11">
        <f>SUM(M5:M10)</f>
        <v>126</v>
      </c>
    </row>
    <row r="12" spans="2:15" x14ac:dyDescent="0.25">
      <c r="B12" s="4">
        <v>8</v>
      </c>
      <c r="F12" t="s">
        <v>2</v>
      </c>
      <c r="H12" t="s">
        <v>7</v>
      </c>
      <c r="J12" t="s">
        <v>2</v>
      </c>
    </row>
    <row r="13" spans="2:15" x14ac:dyDescent="0.25">
      <c r="B13" s="4">
        <v>9</v>
      </c>
      <c r="E13" t="s">
        <v>2</v>
      </c>
      <c r="G13" t="s">
        <v>2</v>
      </c>
    </row>
    <row r="14" spans="2:15" x14ac:dyDescent="0.25">
      <c r="B14" s="4">
        <v>10</v>
      </c>
      <c r="F14" t="s">
        <v>2</v>
      </c>
      <c r="H14" t="s">
        <v>2</v>
      </c>
      <c r="J14" t="s">
        <v>5</v>
      </c>
    </row>
    <row r="15" spans="2:15" x14ac:dyDescent="0.25">
      <c r="B15" s="4">
        <v>11</v>
      </c>
      <c r="E15" t="s">
        <v>2</v>
      </c>
      <c r="G15" t="s">
        <v>2</v>
      </c>
      <c r="I15" t="s">
        <v>2</v>
      </c>
    </row>
    <row r="16" spans="2:15" x14ac:dyDescent="0.25">
      <c r="B16" s="4">
        <v>12</v>
      </c>
      <c r="F16" t="s">
        <v>2</v>
      </c>
      <c r="G16" t="s">
        <v>2</v>
      </c>
      <c r="H16" t="s">
        <v>2</v>
      </c>
      <c r="J16" t="s">
        <v>2</v>
      </c>
    </row>
    <row r="17" spans="2:10" x14ac:dyDescent="0.25">
      <c r="B17" s="4">
        <v>13</v>
      </c>
      <c r="E17" t="s">
        <v>2</v>
      </c>
      <c r="G17" t="s">
        <v>2</v>
      </c>
      <c r="I17" t="s">
        <v>2</v>
      </c>
    </row>
    <row r="18" spans="2:10" x14ac:dyDescent="0.25">
      <c r="B18" s="4">
        <v>14</v>
      </c>
      <c r="F18" t="s">
        <v>7</v>
      </c>
      <c r="G18" t="s">
        <v>2</v>
      </c>
      <c r="H18" t="s">
        <v>2</v>
      </c>
      <c r="I18" t="s">
        <v>2</v>
      </c>
    </row>
    <row r="19" spans="2:10" x14ac:dyDescent="0.25">
      <c r="B19" s="4">
        <v>15</v>
      </c>
      <c r="E19" t="s">
        <v>2</v>
      </c>
      <c r="G19" t="s">
        <v>5</v>
      </c>
      <c r="H19" t="s">
        <v>5</v>
      </c>
      <c r="J19" t="s">
        <v>6</v>
      </c>
    </row>
    <row r="20" spans="2:10" x14ac:dyDescent="0.25">
      <c r="B20" s="4">
        <v>16</v>
      </c>
    </row>
    <row r="21" spans="2:10" x14ac:dyDescent="0.25">
      <c r="B21" s="4">
        <v>17</v>
      </c>
      <c r="F21" t="s">
        <v>2</v>
      </c>
      <c r="G21" t="s">
        <v>7</v>
      </c>
      <c r="H21" t="s">
        <v>2</v>
      </c>
      <c r="J21" t="s">
        <v>2</v>
      </c>
    </row>
    <row r="22" spans="2:10" x14ac:dyDescent="0.25">
      <c r="B22" s="4">
        <v>18</v>
      </c>
    </row>
    <row r="23" spans="2:10" x14ac:dyDescent="0.25">
      <c r="B23" s="4">
        <v>19</v>
      </c>
      <c r="D23" t="s">
        <v>2</v>
      </c>
      <c r="E23" t="s">
        <v>2</v>
      </c>
      <c r="I23" t="s">
        <v>2</v>
      </c>
    </row>
    <row r="24" spans="2:10" x14ac:dyDescent="0.25">
      <c r="B24" s="4">
        <v>20</v>
      </c>
    </row>
    <row r="25" spans="2:10" x14ac:dyDescent="0.25">
      <c r="B25" s="4">
        <v>21</v>
      </c>
      <c r="F25" t="s">
        <v>5</v>
      </c>
      <c r="G25" t="s">
        <v>6</v>
      </c>
      <c r="I25" t="s">
        <v>4</v>
      </c>
      <c r="J25" t="s">
        <v>6</v>
      </c>
    </row>
    <row r="26" spans="2:10" x14ac:dyDescent="0.25">
      <c r="B26" s="4">
        <v>22</v>
      </c>
    </row>
    <row r="27" spans="2:10" x14ac:dyDescent="0.25">
      <c r="B27" s="4">
        <v>23</v>
      </c>
      <c r="E27" t="s">
        <v>2</v>
      </c>
      <c r="I27" t="s">
        <v>4</v>
      </c>
      <c r="J27" t="s">
        <v>6</v>
      </c>
    </row>
    <row r="28" spans="2:10" x14ac:dyDescent="0.25">
      <c r="B28" s="4">
        <v>24</v>
      </c>
      <c r="I28" t="s">
        <v>2</v>
      </c>
      <c r="J28" t="s">
        <v>5</v>
      </c>
    </row>
    <row r="29" spans="2:10" x14ac:dyDescent="0.25">
      <c r="B29" s="4">
        <v>25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</row>
    <row r="30" spans="2:10" x14ac:dyDescent="0.25">
      <c r="B30" s="4">
        <v>26</v>
      </c>
      <c r="E30" t="s">
        <v>2</v>
      </c>
      <c r="G30" t="s">
        <v>2</v>
      </c>
    </row>
    <row r="31" spans="2:10" x14ac:dyDescent="0.25">
      <c r="B31" s="4">
        <v>27</v>
      </c>
      <c r="E31" t="s">
        <v>2</v>
      </c>
      <c r="G31" t="s">
        <v>2</v>
      </c>
    </row>
    <row r="32" spans="2:10" x14ac:dyDescent="0.25">
      <c r="B32" s="4">
        <v>28</v>
      </c>
    </row>
    <row r="33" spans="2:10" x14ac:dyDescent="0.25">
      <c r="B33" s="4">
        <v>29</v>
      </c>
      <c r="E33" t="s">
        <v>2</v>
      </c>
      <c r="F33" t="s">
        <v>2</v>
      </c>
      <c r="H33" t="s">
        <v>2</v>
      </c>
      <c r="I33" t="s">
        <v>7</v>
      </c>
      <c r="J33" t="s">
        <v>2</v>
      </c>
    </row>
    <row r="34" spans="2:10" x14ac:dyDescent="0.25">
      <c r="B34" s="4">
        <v>30</v>
      </c>
      <c r="H34" t="s">
        <v>5</v>
      </c>
      <c r="I34" t="s">
        <v>5</v>
      </c>
      <c r="J34" t="s">
        <v>5</v>
      </c>
    </row>
    <row r="35" spans="2:10" x14ac:dyDescent="0.25">
      <c r="B35" s="4">
        <v>31</v>
      </c>
    </row>
    <row r="36" spans="2:10" x14ac:dyDescent="0.25">
      <c r="B36" s="4">
        <v>32</v>
      </c>
    </row>
    <row r="37" spans="2:10" x14ac:dyDescent="0.25">
      <c r="B37" s="4">
        <v>33</v>
      </c>
      <c r="J37" t="s">
        <v>2</v>
      </c>
    </row>
    <row r="38" spans="2:10" x14ac:dyDescent="0.25">
      <c r="B38" s="4">
        <v>34</v>
      </c>
      <c r="H38" t="s">
        <v>7</v>
      </c>
      <c r="I38" t="s">
        <v>2</v>
      </c>
      <c r="J38" t="s">
        <v>2</v>
      </c>
    </row>
    <row r="39" spans="2:10" x14ac:dyDescent="0.25">
      <c r="B39" s="4">
        <v>35</v>
      </c>
    </row>
    <row r="40" spans="2:10" x14ac:dyDescent="0.25">
      <c r="B40" s="4">
        <v>36</v>
      </c>
      <c r="E40" t="s">
        <v>2</v>
      </c>
      <c r="G40" t="s">
        <v>6</v>
      </c>
      <c r="I40" t="s">
        <v>2</v>
      </c>
    </row>
    <row r="41" spans="2:10" x14ac:dyDescent="0.25">
      <c r="B41" s="4">
        <v>37</v>
      </c>
      <c r="F41" t="s">
        <v>2</v>
      </c>
      <c r="H41" t="s">
        <v>2</v>
      </c>
      <c r="J41" t="s">
        <v>2</v>
      </c>
    </row>
    <row r="42" spans="2:10" x14ac:dyDescent="0.25">
      <c r="B42" s="4">
        <v>38</v>
      </c>
      <c r="F42" t="s">
        <v>2</v>
      </c>
      <c r="H42" t="s">
        <v>2</v>
      </c>
      <c r="J42" t="s">
        <v>2</v>
      </c>
    </row>
    <row r="43" spans="2:10" x14ac:dyDescent="0.25">
      <c r="B43" s="4">
        <v>39</v>
      </c>
      <c r="E43" t="s">
        <v>2</v>
      </c>
      <c r="G43" t="s">
        <v>2</v>
      </c>
      <c r="I43" t="s">
        <v>2</v>
      </c>
    </row>
    <row r="44" spans="2:10" x14ac:dyDescent="0.25">
      <c r="B44" s="4">
        <v>40</v>
      </c>
      <c r="E44" t="s">
        <v>2</v>
      </c>
      <c r="G44" t="s">
        <v>2</v>
      </c>
      <c r="I44" t="s">
        <v>2</v>
      </c>
    </row>
    <row r="45" spans="2:10" x14ac:dyDescent="0.25">
      <c r="B45" s="4">
        <v>41</v>
      </c>
    </row>
    <row r="46" spans="2:10" x14ac:dyDescent="0.25">
      <c r="B46" s="4">
        <v>42</v>
      </c>
      <c r="D46" t="s">
        <v>2</v>
      </c>
      <c r="F46" t="s">
        <v>2</v>
      </c>
      <c r="H46" t="s">
        <v>2</v>
      </c>
      <c r="J46" t="s">
        <v>2</v>
      </c>
    </row>
    <row r="47" spans="2:10" x14ac:dyDescent="0.25">
      <c r="B47" s="4">
        <v>43</v>
      </c>
      <c r="F47" t="s">
        <v>7</v>
      </c>
      <c r="G47" t="s">
        <v>5</v>
      </c>
      <c r="H47" t="s">
        <v>2</v>
      </c>
      <c r="I47" t="s">
        <v>2</v>
      </c>
      <c r="J47" t="s">
        <v>2</v>
      </c>
    </row>
    <row r="48" spans="2:10" x14ac:dyDescent="0.25">
      <c r="B48" s="4">
        <v>44</v>
      </c>
    </row>
    <row r="49" spans="2:10" x14ac:dyDescent="0.25">
      <c r="B49" s="4">
        <v>45</v>
      </c>
      <c r="F49" t="s">
        <v>2</v>
      </c>
      <c r="G49" t="s">
        <v>2</v>
      </c>
      <c r="H49" t="s">
        <v>2</v>
      </c>
      <c r="I49" t="s">
        <v>2</v>
      </c>
    </row>
    <row r="50" spans="2:10" x14ac:dyDescent="0.25">
      <c r="B50" s="4">
        <v>46</v>
      </c>
      <c r="E50" t="s">
        <v>2</v>
      </c>
      <c r="G50" t="s">
        <v>2</v>
      </c>
    </row>
    <row r="51" spans="2:10" x14ac:dyDescent="0.25">
      <c r="B51" s="4">
        <v>47</v>
      </c>
      <c r="E51" t="s">
        <v>2</v>
      </c>
      <c r="G51" t="s">
        <v>2</v>
      </c>
    </row>
    <row r="52" spans="2:10" x14ac:dyDescent="0.25">
      <c r="B52" s="4">
        <v>48</v>
      </c>
      <c r="D52" t="s">
        <v>2</v>
      </c>
      <c r="F52" t="s">
        <v>2</v>
      </c>
      <c r="G52" t="s">
        <v>2</v>
      </c>
    </row>
    <row r="53" spans="2:10" x14ac:dyDescent="0.25">
      <c r="B53" s="4">
        <v>49</v>
      </c>
      <c r="D53" t="s">
        <v>2</v>
      </c>
      <c r="F53" t="s">
        <v>2</v>
      </c>
      <c r="H53" t="s">
        <v>2</v>
      </c>
    </row>
    <row r="54" spans="2:10" x14ac:dyDescent="0.25">
      <c r="B54" s="4">
        <v>50</v>
      </c>
      <c r="F54" t="s">
        <v>2</v>
      </c>
      <c r="H54" t="s">
        <v>2</v>
      </c>
      <c r="J54" t="s">
        <v>2</v>
      </c>
    </row>
    <row r="55" spans="2:10" x14ac:dyDescent="0.25">
      <c r="B55" s="4">
        <v>51</v>
      </c>
    </row>
    <row r="56" spans="2:10" x14ac:dyDescent="0.25">
      <c r="B56" s="4">
        <v>52</v>
      </c>
      <c r="E56" t="s">
        <v>2</v>
      </c>
      <c r="I56" t="s">
        <v>2</v>
      </c>
    </row>
    <row r="57" spans="2:10" x14ac:dyDescent="0.25">
      <c r="B57" s="4">
        <v>53</v>
      </c>
      <c r="J57" t="s">
        <v>2</v>
      </c>
    </row>
    <row r="58" spans="2:10" x14ac:dyDescent="0.25">
      <c r="B58" s="4">
        <v>54</v>
      </c>
    </row>
    <row r="59" spans="2:10" x14ac:dyDescent="0.25">
      <c r="B59" s="4">
        <v>55</v>
      </c>
      <c r="J59" t="s">
        <v>2</v>
      </c>
    </row>
    <row r="60" spans="2:10" x14ac:dyDescent="0.25">
      <c r="B60" s="4">
        <v>56</v>
      </c>
      <c r="I60" t="s">
        <v>2</v>
      </c>
    </row>
  </sheetData>
  <conditionalFormatting sqref="C5:H11">
    <cfRule type="cellIs" dxfId="2147" priority="8" operator="equal">
      <formula>"Energia"</formula>
    </cfRule>
  </conditionalFormatting>
  <conditionalFormatting sqref="C5:J60">
    <cfRule type="cellIs" dxfId="2146" priority="1" operator="equal">
      <formula>"Energia"</formula>
    </cfRule>
    <cfRule type="cellIs" dxfId="2145" priority="3" operator="equal">
      <formula>"Operação"</formula>
    </cfRule>
    <cfRule type="cellIs" dxfId="2144" priority="4" operator="equal">
      <formula>"Chuva"</formula>
    </cfRule>
    <cfRule type="cellIs" dxfId="2143" priority="5" operator="equal">
      <formula>"Elétrico"</formula>
    </cfRule>
    <cfRule type="cellIs" dxfId="2142" priority="6" operator="equal">
      <formula>"Mecânico"</formula>
    </cfRule>
    <cfRule type="cellIs" dxfId="2141" priority="7" operator="equal">
      <formula>"Ok"</formula>
    </cfRule>
  </conditionalFormatting>
  <conditionalFormatting sqref="C5:J61">
    <cfRule type="cellIs" dxfId="2140" priority="2" operator="equal">
      <formula>"Feito"</formula>
    </cfRule>
  </conditionalFormatting>
  <dataValidations count="1">
    <dataValidation type="list" allowBlank="1" showInputMessage="1" showErrorMessage="1" sqref="C5:K60" xr:uid="{29CA9DB4-6411-4B4C-8986-BA958C068C91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AD52-014A-4FBB-BCE6-7FC915F68AE7}">
  <sheetPr codeName="Planilha3"/>
  <dimension ref="B3:O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4" sqref="M4:O4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  <col min="15" max="15" width="10.7109375" bestFit="1" customWidth="1"/>
  </cols>
  <sheetData>
    <row r="3" spans="2:15" x14ac:dyDescent="0.25">
      <c r="C3" s="3">
        <v>44198</v>
      </c>
      <c r="D3" s="3">
        <f>C3+1</f>
        <v>44199</v>
      </c>
      <c r="E3" s="3">
        <f t="shared" ref="E3:J3" si="0">D3+1</f>
        <v>44200</v>
      </c>
      <c r="F3" s="3">
        <f t="shared" si="0"/>
        <v>44201</v>
      </c>
      <c r="G3" s="3">
        <f t="shared" si="0"/>
        <v>44202</v>
      </c>
      <c r="H3" s="3">
        <f t="shared" si="0"/>
        <v>44203</v>
      </c>
      <c r="I3" s="3">
        <f t="shared" si="0"/>
        <v>44204</v>
      </c>
      <c r="J3" s="3">
        <f t="shared" si="0"/>
        <v>44205</v>
      </c>
    </row>
    <row r="4" spans="2:15" x14ac:dyDescent="0.25">
      <c r="B4" s="2" t="s">
        <v>0</v>
      </c>
      <c r="C4" s="1" t="str">
        <f>TEXT(C3,"ddd")</f>
        <v>sáb</v>
      </c>
      <c r="D4" s="1" t="str">
        <f t="shared" ref="D4:J4" si="1">TEXT(D3,"ddd")</f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J4" s="1" t="str">
        <f t="shared" si="1"/>
        <v>sáb</v>
      </c>
      <c r="L4" s="11" t="s">
        <v>1</v>
      </c>
      <c r="M4" s="49" t="s">
        <v>32</v>
      </c>
      <c r="N4" s="50" t="s">
        <v>33</v>
      </c>
      <c r="O4" s="51" t="s">
        <v>34</v>
      </c>
    </row>
    <row r="5" spans="2:15" x14ac:dyDescent="0.25">
      <c r="B5" s="4">
        <v>1</v>
      </c>
      <c r="C5" t="s">
        <v>3</v>
      </c>
      <c r="H5" t="s">
        <v>5</v>
      </c>
      <c r="I5" t="s">
        <v>5</v>
      </c>
      <c r="L5" s="5" t="s">
        <v>2</v>
      </c>
      <c r="M5">
        <f>COUNTIF($C$5:$J$60,L5)</f>
        <v>38</v>
      </c>
      <c r="N5" s="53">
        <f>M5/$M$11</f>
        <v>0.34862385321100919</v>
      </c>
      <c r="O5" s="52">
        <v>44198</v>
      </c>
    </row>
    <row r="6" spans="2:15" x14ac:dyDescent="0.25">
      <c r="B6" s="4">
        <v>2</v>
      </c>
      <c r="H6" t="s">
        <v>2</v>
      </c>
      <c r="I6" t="s">
        <v>2</v>
      </c>
      <c r="L6" s="6" t="s">
        <v>5</v>
      </c>
      <c r="M6">
        <f t="shared" ref="M6:M10" si="2">COUNTIF($C$5:$J$60,L6)</f>
        <v>12</v>
      </c>
      <c r="N6" s="53">
        <f t="shared" ref="N6:N10" si="3">M6/$M$11</f>
        <v>0.11009174311926606</v>
      </c>
    </row>
    <row r="7" spans="2:15" x14ac:dyDescent="0.25">
      <c r="B7" s="4">
        <v>3</v>
      </c>
      <c r="F7" t="s">
        <v>2</v>
      </c>
      <c r="G7" t="s">
        <v>2</v>
      </c>
      <c r="H7" t="s">
        <v>7</v>
      </c>
      <c r="L7" s="7" t="s">
        <v>6</v>
      </c>
      <c r="M7">
        <f t="shared" si="2"/>
        <v>12</v>
      </c>
      <c r="N7" s="53">
        <f t="shared" si="3"/>
        <v>0.11009174311926606</v>
      </c>
    </row>
    <row r="8" spans="2:15" x14ac:dyDescent="0.25">
      <c r="B8" s="4">
        <v>4</v>
      </c>
      <c r="D8" t="s">
        <v>3</v>
      </c>
      <c r="G8" t="s">
        <v>2</v>
      </c>
      <c r="H8" t="s">
        <v>5</v>
      </c>
      <c r="L8" s="8" t="s">
        <v>4</v>
      </c>
      <c r="M8">
        <f t="shared" si="2"/>
        <v>0</v>
      </c>
      <c r="N8" s="53">
        <f t="shared" si="3"/>
        <v>0</v>
      </c>
    </row>
    <row r="9" spans="2:15" x14ac:dyDescent="0.25">
      <c r="B9" s="4">
        <v>5</v>
      </c>
      <c r="C9" t="s">
        <v>3</v>
      </c>
      <c r="L9" s="9" t="s">
        <v>3</v>
      </c>
      <c r="M9">
        <f t="shared" si="2"/>
        <v>39</v>
      </c>
      <c r="N9" s="53">
        <f t="shared" si="3"/>
        <v>0.3577981651376147</v>
      </c>
    </row>
    <row r="10" spans="2:15" x14ac:dyDescent="0.25">
      <c r="B10" s="4">
        <v>6</v>
      </c>
      <c r="D10" t="s">
        <v>3</v>
      </c>
      <c r="L10" s="10" t="s">
        <v>7</v>
      </c>
      <c r="M10">
        <f t="shared" si="2"/>
        <v>8</v>
      </c>
      <c r="N10" s="53">
        <f t="shared" si="3"/>
        <v>7.3394495412844041E-2</v>
      </c>
    </row>
    <row r="11" spans="2:15" x14ac:dyDescent="0.25">
      <c r="B11" s="4">
        <v>7</v>
      </c>
      <c r="I11" t="s">
        <v>2</v>
      </c>
      <c r="M11">
        <f>SUM(M5:M10)</f>
        <v>109</v>
      </c>
    </row>
    <row r="12" spans="2:15" x14ac:dyDescent="0.25">
      <c r="B12" s="4">
        <v>8</v>
      </c>
      <c r="H12" t="s">
        <v>7</v>
      </c>
      <c r="I12" t="s">
        <v>5</v>
      </c>
    </row>
    <row r="13" spans="2:15" x14ac:dyDescent="0.25">
      <c r="B13" s="4">
        <v>9</v>
      </c>
      <c r="C13" t="s">
        <v>3</v>
      </c>
      <c r="D13" t="s">
        <v>3</v>
      </c>
      <c r="F13" t="s">
        <v>2</v>
      </c>
      <c r="G13" t="s">
        <v>2</v>
      </c>
    </row>
    <row r="14" spans="2:15" x14ac:dyDescent="0.25">
      <c r="B14" s="4">
        <v>10</v>
      </c>
      <c r="H14" t="s">
        <v>7</v>
      </c>
    </row>
    <row r="15" spans="2:15" x14ac:dyDescent="0.25">
      <c r="B15" s="4">
        <v>11</v>
      </c>
      <c r="C15" t="s">
        <v>3</v>
      </c>
    </row>
    <row r="16" spans="2:15" x14ac:dyDescent="0.25">
      <c r="B16" s="4">
        <v>12</v>
      </c>
      <c r="D16" t="s">
        <v>3</v>
      </c>
      <c r="G16" t="s">
        <v>2</v>
      </c>
      <c r="H16" t="s">
        <v>7</v>
      </c>
      <c r="I16" t="s">
        <v>2</v>
      </c>
    </row>
    <row r="17" spans="2:9" x14ac:dyDescent="0.25">
      <c r="B17" s="4">
        <v>13</v>
      </c>
      <c r="C17" t="s">
        <v>3</v>
      </c>
      <c r="G17" t="s">
        <v>2</v>
      </c>
      <c r="I17" t="s">
        <v>2</v>
      </c>
    </row>
    <row r="18" spans="2:9" x14ac:dyDescent="0.25">
      <c r="B18" s="4">
        <v>14</v>
      </c>
      <c r="D18" t="s">
        <v>3</v>
      </c>
      <c r="H18" t="s">
        <v>6</v>
      </c>
    </row>
    <row r="19" spans="2:9" x14ac:dyDescent="0.25">
      <c r="B19" s="4">
        <v>15</v>
      </c>
      <c r="D19" t="s">
        <v>3</v>
      </c>
      <c r="G19" t="s">
        <v>6</v>
      </c>
      <c r="I19" t="s">
        <v>6</v>
      </c>
    </row>
    <row r="20" spans="2:9" x14ac:dyDescent="0.25">
      <c r="B20" s="4">
        <v>16</v>
      </c>
    </row>
    <row r="21" spans="2:9" x14ac:dyDescent="0.25">
      <c r="B21" s="4">
        <v>17</v>
      </c>
      <c r="D21" t="s">
        <v>3</v>
      </c>
    </row>
    <row r="22" spans="2:9" x14ac:dyDescent="0.25">
      <c r="B22" s="4">
        <v>18</v>
      </c>
    </row>
    <row r="23" spans="2:9" x14ac:dyDescent="0.25">
      <c r="B23" s="4">
        <v>19</v>
      </c>
      <c r="C23" t="s">
        <v>3</v>
      </c>
    </row>
    <row r="24" spans="2:9" x14ac:dyDescent="0.25">
      <c r="B24" s="4">
        <v>20</v>
      </c>
      <c r="I24" t="s">
        <v>7</v>
      </c>
    </row>
    <row r="25" spans="2:9" x14ac:dyDescent="0.25">
      <c r="B25" s="4">
        <v>21</v>
      </c>
    </row>
    <row r="26" spans="2:9" x14ac:dyDescent="0.25">
      <c r="B26" s="4">
        <v>22</v>
      </c>
      <c r="H26" t="s">
        <v>7</v>
      </c>
      <c r="I26" t="s">
        <v>7</v>
      </c>
    </row>
    <row r="27" spans="2:9" x14ac:dyDescent="0.25">
      <c r="B27" s="4">
        <v>23</v>
      </c>
      <c r="C27" t="s">
        <v>3</v>
      </c>
    </row>
    <row r="28" spans="2:9" x14ac:dyDescent="0.25">
      <c r="B28" s="4">
        <v>24</v>
      </c>
      <c r="C28" t="s">
        <v>3</v>
      </c>
      <c r="D28" t="s">
        <v>3</v>
      </c>
      <c r="G28" t="s">
        <v>5</v>
      </c>
      <c r="H28" t="s">
        <v>2</v>
      </c>
      <c r="I28" t="s">
        <v>2</v>
      </c>
    </row>
    <row r="29" spans="2:9" x14ac:dyDescent="0.25">
      <c r="B29" s="4">
        <v>25</v>
      </c>
      <c r="C29" t="s">
        <v>3</v>
      </c>
      <c r="D29" t="s">
        <v>3</v>
      </c>
      <c r="H29" t="s">
        <v>2</v>
      </c>
      <c r="I29" t="s">
        <v>2</v>
      </c>
    </row>
    <row r="30" spans="2:9" x14ac:dyDescent="0.25">
      <c r="B30" s="4">
        <v>26</v>
      </c>
      <c r="C30" t="s">
        <v>3</v>
      </c>
    </row>
    <row r="31" spans="2:9" x14ac:dyDescent="0.25">
      <c r="B31" s="4">
        <v>27</v>
      </c>
      <c r="C31" t="s">
        <v>3</v>
      </c>
      <c r="G31" t="s">
        <v>2</v>
      </c>
    </row>
    <row r="32" spans="2:9" x14ac:dyDescent="0.25">
      <c r="B32" s="4">
        <v>28</v>
      </c>
      <c r="D32" t="s">
        <v>3</v>
      </c>
      <c r="G32" t="s">
        <v>5</v>
      </c>
      <c r="I32" t="s">
        <v>5</v>
      </c>
    </row>
    <row r="33" spans="2:9" x14ac:dyDescent="0.25">
      <c r="B33" s="4">
        <v>29</v>
      </c>
      <c r="C33" t="s">
        <v>3</v>
      </c>
      <c r="H33" t="s">
        <v>2</v>
      </c>
      <c r="I33" t="s">
        <v>2</v>
      </c>
    </row>
    <row r="34" spans="2:9" x14ac:dyDescent="0.25">
      <c r="B34" s="4">
        <v>30</v>
      </c>
      <c r="C34" t="s">
        <v>5</v>
      </c>
      <c r="D34" t="s">
        <v>5</v>
      </c>
      <c r="G34" t="s">
        <v>5</v>
      </c>
      <c r="H34" t="s">
        <v>2</v>
      </c>
      <c r="I34" t="s">
        <v>2</v>
      </c>
    </row>
    <row r="35" spans="2:9" x14ac:dyDescent="0.25">
      <c r="B35" s="4">
        <v>31</v>
      </c>
      <c r="C35" t="s">
        <v>3</v>
      </c>
    </row>
    <row r="36" spans="2:9" x14ac:dyDescent="0.25">
      <c r="B36" s="4">
        <v>32</v>
      </c>
      <c r="G36" t="s">
        <v>2</v>
      </c>
      <c r="H36" t="s">
        <v>2</v>
      </c>
      <c r="I36" t="s">
        <v>2</v>
      </c>
    </row>
    <row r="37" spans="2:9" x14ac:dyDescent="0.25">
      <c r="B37" s="4">
        <v>33</v>
      </c>
    </row>
    <row r="38" spans="2:9" x14ac:dyDescent="0.25">
      <c r="B38" s="4">
        <v>34</v>
      </c>
      <c r="C38" t="s">
        <v>3</v>
      </c>
      <c r="D38" t="s">
        <v>3</v>
      </c>
      <c r="G38" t="s">
        <v>2</v>
      </c>
      <c r="H38" t="s">
        <v>5</v>
      </c>
      <c r="I38" t="s">
        <v>5</v>
      </c>
    </row>
    <row r="39" spans="2:9" x14ac:dyDescent="0.25">
      <c r="B39" s="4">
        <v>35</v>
      </c>
    </row>
    <row r="40" spans="2:9" x14ac:dyDescent="0.25">
      <c r="B40" s="4">
        <v>36</v>
      </c>
      <c r="C40" t="s">
        <v>3</v>
      </c>
      <c r="H40" t="s">
        <v>2</v>
      </c>
    </row>
    <row r="41" spans="2:9" x14ac:dyDescent="0.25">
      <c r="B41" s="4">
        <v>37</v>
      </c>
      <c r="D41" t="s">
        <v>3</v>
      </c>
      <c r="H41" t="s">
        <v>2</v>
      </c>
    </row>
    <row r="42" spans="2:9" x14ac:dyDescent="0.25">
      <c r="B42" s="4">
        <v>38</v>
      </c>
    </row>
    <row r="43" spans="2:9" x14ac:dyDescent="0.25">
      <c r="B43" s="4">
        <v>39</v>
      </c>
      <c r="C43" t="s">
        <v>3</v>
      </c>
      <c r="H43" t="s">
        <v>6</v>
      </c>
    </row>
    <row r="44" spans="2:9" x14ac:dyDescent="0.25">
      <c r="B44" s="4">
        <v>40</v>
      </c>
      <c r="C44" t="s">
        <v>3</v>
      </c>
    </row>
    <row r="45" spans="2:9" x14ac:dyDescent="0.25">
      <c r="B45" s="4">
        <v>41</v>
      </c>
    </row>
    <row r="46" spans="2:9" x14ac:dyDescent="0.25">
      <c r="B46" s="4">
        <v>42</v>
      </c>
      <c r="G46" t="s">
        <v>2</v>
      </c>
    </row>
    <row r="47" spans="2:9" x14ac:dyDescent="0.25">
      <c r="B47" s="4">
        <v>43</v>
      </c>
      <c r="C47" t="s">
        <v>3</v>
      </c>
      <c r="D47" t="s">
        <v>3</v>
      </c>
      <c r="G47" t="s">
        <v>2</v>
      </c>
      <c r="H47" t="s">
        <v>2</v>
      </c>
    </row>
    <row r="48" spans="2:9" x14ac:dyDescent="0.25">
      <c r="B48" s="4">
        <v>44</v>
      </c>
    </row>
    <row r="49" spans="2:9" x14ac:dyDescent="0.25">
      <c r="B49" s="4">
        <v>45</v>
      </c>
      <c r="D49" t="s">
        <v>3</v>
      </c>
      <c r="H49" t="s">
        <v>6</v>
      </c>
    </row>
    <row r="50" spans="2:9" x14ac:dyDescent="0.25">
      <c r="B50" s="4">
        <v>46</v>
      </c>
      <c r="C50" t="s">
        <v>3</v>
      </c>
      <c r="G50" t="s">
        <v>2</v>
      </c>
      <c r="I50" t="s">
        <v>2</v>
      </c>
    </row>
    <row r="51" spans="2:9" x14ac:dyDescent="0.25">
      <c r="B51" s="4">
        <v>47</v>
      </c>
      <c r="C51" t="s">
        <v>3</v>
      </c>
      <c r="F51" t="s">
        <v>6</v>
      </c>
      <c r="H51" t="s">
        <v>2</v>
      </c>
      <c r="I51" t="s">
        <v>2</v>
      </c>
    </row>
    <row r="52" spans="2:9" x14ac:dyDescent="0.25">
      <c r="B52" s="4">
        <v>48</v>
      </c>
      <c r="C52" t="s">
        <v>3</v>
      </c>
      <c r="F52" t="s">
        <v>6</v>
      </c>
      <c r="I52" t="s">
        <v>6</v>
      </c>
    </row>
    <row r="53" spans="2:9" x14ac:dyDescent="0.25">
      <c r="B53" s="4">
        <v>49</v>
      </c>
      <c r="D53" t="s">
        <v>3</v>
      </c>
      <c r="F53" t="s">
        <v>6</v>
      </c>
      <c r="I53" t="s">
        <v>7</v>
      </c>
    </row>
    <row r="54" spans="2:9" x14ac:dyDescent="0.25">
      <c r="B54" s="4">
        <v>50</v>
      </c>
      <c r="D54" t="s">
        <v>3</v>
      </c>
      <c r="G54" t="s">
        <v>6</v>
      </c>
      <c r="I54" t="s">
        <v>2</v>
      </c>
    </row>
    <row r="55" spans="2:9" x14ac:dyDescent="0.25">
      <c r="B55" s="4">
        <v>51</v>
      </c>
    </row>
    <row r="56" spans="2:9" x14ac:dyDescent="0.25">
      <c r="B56" s="4">
        <v>52</v>
      </c>
      <c r="C56" t="s">
        <v>3</v>
      </c>
      <c r="F56" t="s">
        <v>2</v>
      </c>
      <c r="G56" t="s">
        <v>2</v>
      </c>
    </row>
    <row r="57" spans="2:9" x14ac:dyDescent="0.25">
      <c r="B57" s="4">
        <v>53</v>
      </c>
    </row>
    <row r="58" spans="2:9" x14ac:dyDescent="0.25">
      <c r="B58" s="4">
        <v>54</v>
      </c>
      <c r="C58" t="s">
        <v>3</v>
      </c>
      <c r="I58" t="s">
        <v>6</v>
      </c>
    </row>
    <row r="59" spans="2:9" x14ac:dyDescent="0.25">
      <c r="B59" s="4">
        <v>55</v>
      </c>
      <c r="I59" t="s">
        <v>6</v>
      </c>
    </row>
    <row r="60" spans="2:9" x14ac:dyDescent="0.25">
      <c r="B60" s="4">
        <v>56</v>
      </c>
      <c r="I60" t="s">
        <v>2</v>
      </c>
    </row>
  </sheetData>
  <conditionalFormatting sqref="C5:H11">
    <cfRule type="cellIs" dxfId="2139" priority="8" operator="equal">
      <formula>"Energia"</formula>
    </cfRule>
  </conditionalFormatting>
  <conditionalFormatting sqref="C5:J60">
    <cfRule type="cellIs" dxfId="2138" priority="1" operator="equal">
      <formula>"Energia"</formula>
    </cfRule>
    <cfRule type="cellIs" dxfId="2137" priority="3" operator="equal">
      <formula>"Operação"</formula>
    </cfRule>
    <cfRule type="cellIs" dxfId="2136" priority="4" operator="equal">
      <formula>"Chuva"</formula>
    </cfRule>
    <cfRule type="cellIs" dxfId="2135" priority="5" operator="equal">
      <formula>"Elétrico"</formula>
    </cfRule>
    <cfRule type="cellIs" dxfId="2134" priority="6" operator="equal">
      <formula>"Mecânico"</formula>
    </cfRule>
    <cfRule type="cellIs" dxfId="2133" priority="7" operator="equal">
      <formula>"Ok"</formula>
    </cfRule>
  </conditionalFormatting>
  <conditionalFormatting sqref="C5:J61">
    <cfRule type="cellIs" dxfId="2132" priority="2" operator="equal">
      <formula>"Feito"</formula>
    </cfRule>
  </conditionalFormatting>
  <dataValidations count="1">
    <dataValidation type="list" allowBlank="1" showInputMessage="1" showErrorMessage="1" sqref="C5:K60" xr:uid="{86F72E46-BDC5-497D-A6C2-D76D4FC4FD33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D8CD-BBBE-4919-9A26-FF35E26A2A25}">
  <sheetPr codeName="Planilha4"/>
  <dimension ref="B3:O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4" sqref="M4:O4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  <col min="15" max="15" width="10.7109375" bestFit="1" customWidth="1"/>
  </cols>
  <sheetData>
    <row r="3" spans="2:15" x14ac:dyDescent="0.25">
      <c r="C3" s="3">
        <v>44210</v>
      </c>
      <c r="D3" s="3">
        <f>C3+1</f>
        <v>44211</v>
      </c>
      <c r="E3" s="3">
        <f t="shared" ref="E3:J3" si="0">D3+1</f>
        <v>44212</v>
      </c>
      <c r="F3" s="3">
        <f t="shared" si="0"/>
        <v>44213</v>
      </c>
      <c r="G3" s="3">
        <f t="shared" si="0"/>
        <v>44214</v>
      </c>
      <c r="H3" s="3">
        <f t="shared" si="0"/>
        <v>44215</v>
      </c>
      <c r="I3" s="3">
        <f t="shared" si="0"/>
        <v>44216</v>
      </c>
      <c r="J3" s="3">
        <f t="shared" si="0"/>
        <v>44217</v>
      </c>
    </row>
    <row r="4" spans="2:15" x14ac:dyDescent="0.25">
      <c r="B4" s="2" t="s">
        <v>0</v>
      </c>
      <c r="C4" s="1" t="str">
        <f>TEXT(C3,"ddd")</f>
        <v>qui</v>
      </c>
      <c r="D4" s="1" t="str">
        <f t="shared" ref="D4:J4" si="1">TEXT(D3,"ddd")</f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J4" s="1" t="str">
        <f t="shared" si="1"/>
        <v>qui</v>
      </c>
      <c r="L4" s="11" t="s">
        <v>1</v>
      </c>
      <c r="M4" s="49" t="s">
        <v>32</v>
      </c>
      <c r="N4" s="50" t="s">
        <v>33</v>
      </c>
      <c r="O4" s="51" t="s">
        <v>34</v>
      </c>
    </row>
    <row r="5" spans="2:15" x14ac:dyDescent="0.25">
      <c r="B5" s="4">
        <v>1</v>
      </c>
      <c r="C5" t="s">
        <v>5</v>
      </c>
      <c r="L5" s="5" t="s">
        <v>2</v>
      </c>
      <c r="M5">
        <f>COUNTIF($C$5:$J$60,L5)</f>
        <v>38</v>
      </c>
      <c r="N5" s="53">
        <f>M5/$M$11</f>
        <v>0.62295081967213117</v>
      </c>
      <c r="O5" s="52">
        <v>44210</v>
      </c>
    </row>
    <row r="6" spans="2:15" x14ac:dyDescent="0.25">
      <c r="B6" s="4">
        <v>2</v>
      </c>
      <c r="L6" s="6" t="s">
        <v>5</v>
      </c>
      <c r="M6">
        <f t="shared" ref="M6:M10" si="2">COUNTIF($C$5:$J$60,L6)</f>
        <v>13</v>
      </c>
      <c r="N6" s="53">
        <f t="shared" ref="N6:N10" si="3">M6/$M$11</f>
        <v>0.21311475409836064</v>
      </c>
    </row>
    <row r="7" spans="2:15" x14ac:dyDescent="0.25">
      <c r="B7" s="4">
        <v>3</v>
      </c>
      <c r="L7" s="7" t="s">
        <v>6</v>
      </c>
      <c r="M7">
        <f t="shared" si="2"/>
        <v>9</v>
      </c>
      <c r="N7" s="53">
        <f t="shared" si="3"/>
        <v>0.14754098360655737</v>
      </c>
    </row>
    <row r="8" spans="2:15" x14ac:dyDescent="0.25">
      <c r="B8" s="4">
        <v>4</v>
      </c>
      <c r="H8" t="s">
        <v>2</v>
      </c>
      <c r="J8" t="s">
        <v>2</v>
      </c>
      <c r="L8" s="8" t="s">
        <v>4</v>
      </c>
      <c r="M8">
        <f t="shared" si="2"/>
        <v>0</v>
      </c>
      <c r="N8" s="53">
        <f t="shared" si="3"/>
        <v>0</v>
      </c>
    </row>
    <row r="9" spans="2:15" x14ac:dyDescent="0.25">
      <c r="B9" s="4">
        <v>5</v>
      </c>
      <c r="J9" t="s">
        <v>2</v>
      </c>
      <c r="L9" s="9" t="s">
        <v>3</v>
      </c>
      <c r="M9">
        <f t="shared" si="2"/>
        <v>0</v>
      </c>
      <c r="N9" s="53">
        <f t="shared" si="3"/>
        <v>0</v>
      </c>
    </row>
    <row r="10" spans="2:15" x14ac:dyDescent="0.25">
      <c r="B10" s="4">
        <v>6</v>
      </c>
      <c r="I10" t="s">
        <v>5</v>
      </c>
      <c r="L10" s="10" t="s">
        <v>7</v>
      </c>
      <c r="M10">
        <f t="shared" si="2"/>
        <v>1</v>
      </c>
      <c r="N10" s="53">
        <f t="shared" si="3"/>
        <v>1.6393442622950821E-2</v>
      </c>
    </row>
    <row r="11" spans="2:15" x14ac:dyDescent="0.25">
      <c r="B11" s="4">
        <v>7</v>
      </c>
      <c r="I11" t="s">
        <v>2</v>
      </c>
      <c r="M11">
        <f>SUM(M5:M10)</f>
        <v>61</v>
      </c>
    </row>
    <row r="12" spans="2:15" x14ac:dyDescent="0.25">
      <c r="B12" s="4">
        <v>8</v>
      </c>
      <c r="J12" t="s">
        <v>2</v>
      </c>
    </row>
    <row r="13" spans="2:15" x14ac:dyDescent="0.25">
      <c r="B13" s="4">
        <v>9</v>
      </c>
      <c r="I13" t="s">
        <v>2</v>
      </c>
      <c r="J13" t="s">
        <v>2</v>
      </c>
    </row>
    <row r="14" spans="2:15" x14ac:dyDescent="0.25">
      <c r="B14" s="4">
        <v>10</v>
      </c>
      <c r="G14" t="s">
        <v>2</v>
      </c>
      <c r="H14" t="s">
        <v>2</v>
      </c>
      <c r="I14" t="s">
        <v>6</v>
      </c>
    </row>
    <row r="15" spans="2:15" x14ac:dyDescent="0.25">
      <c r="B15" s="4">
        <v>11</v>
      </c>
      <c r="I15" t="s">
        <v>2</v>
      </c>
      <c r="J15" t="s">
        <v>2</v>
      </c>
    </row>
    <row r="16" spans="2:15" x14ac:dyDescent="0.25">
      <c r="B16" s="4">
        <v>12</v>
      </c>
      <c r="G16" t="s">
        <v>2</v>
      </c>
      <c r="H16" t="s">
        <v>2</v>
      </c>
      <c r="J16" t="s">
        <v>2</v>
      </c>
    </row>
    <row r="17" spans="2:10" x14ac:dyDescent="0.25">
      <c r="B17" s="4">
        <v>13</v>
      </c>
      <c r="I17" t="s">
        <v>2</v>
      </c>
    </row>
    <row r="18" spans="2:10" x14ac:dyDescent="0.25">
      <c r="B18" s="4">
        <v>14</v>
      </c>
      <c r="H18" t="s">
        <v>2</v>
      </c>
      <c r="I18" t="s">
        <v>2</v>
      </c>
      <c r="J18" t="s">
        <v>6</v>
      </c>
    </row>
    <row r="19" spans="2:10" x14ac:dyDescent="0.25">
      <c r="B19" s="4">
        <v>15</v>
      </c>
      <c r="J19" t="s">
        <v>5</v>
      </c>
    </row>
    <row r="20" spans="2:10" x14ac:dyDescent="0.25">
      <c r="B20" s="4">
        <v>16</v>
      </c>
      <c r="C20" t="s">
        <v>5</v>
      </c>
      <c r="H20" t="s">
        <v>5</v>
      </c>
      <c r="I20" t="s">
        <v>5</v>
      </c>
      <c r="J20" t="s">
        <v>5</v>
      </c>
    </row>
    <row r="21" spans="2:10" x14ac:dyDescent="0.25">
      <c r="B21" s="4">
        <v>17</v>
      </c>
    </row>
    <row r="22" spans="2:10" x14ac:dyDescent="0.25">
      <c r="B22" s="4">
        <v>18</v>
      </c>
      <c r="C22" t="s">
        <v>5</v>
      </c>
      <c r="H22" t="s">
        <v>2</v>
      </c>
      <c r="J22" t="s">
        <v>2</v>
      </c>
    </row>
    <row r="23" spans="2:10" x14ac:dyDescent="0.25">
      <c r="B23" s="4">
        <v>19</v>
      </c>
    </row>
    <row r="24" spans="2:10" x14ac:dyDescent="0.25">
      <c r="B24" s="4">
        <v>20</v>
      </c>
      <c r="C24" t="s">
        <v>2</v>
      </c>
      <c r="J24" t="s">
        <v>2</v>
      </c>
    </row>
    <row r="25" spans="2:10" x14ac:dyDescent="0.25">
      <c r="B25" s="4">
        <v>21</v>
      </c>
    </row>
    <row r="26" spans="2:10" x14ac:dyDescent="0.25">
      <c r="B26" s="4">
        <v>22</v>
      </c>
      <c r="I26" t="s">
        <v>6</v>
      </c>
    </row>
    <row r="27" spans="2:10" x14ac:dyDescent="0.25">
      <c r="B27" s="4">
        <v>23</v>
      </c>
    </row>
    <row r="28" spans="2:10" x14ac:dyDescent="0.25">
      <c r="B28" s="4">
        <v>24</v>
      </c>
    </row>
    <row r="29" spans="2:10" x14ac:dyDescent="0.25">
      <c r="B29" s="4">
        <v>25</v>
      </c>
      <c r="H29" t="s">
        <v>2</v>
      </c>
      <c r="I29" t="s">
        <v>2</v>
      </c>
      <c r="J29" t="s">
        <v>2</v>
      </c>
    </row>
    <row r="30" spans="2:10" x14ac:dyDescent="0.25">
      <c r="B30" s="4">
        <v>26</v>
      </c>
    </row>
    <row r="31" spans="2:10" x14ac:dyDescent="0.25">
      <c r="B31" s="4">
        <v>27</v>
      </c>
      <c r="J31" t="s">
        <v>5</v>
      </c>
    </row>
    <row r="32" spans="2:10" x14ac:dyDescent="0.25">
      <c r="B32" s="4">
        <v>28</v>
      </c>
      <c r="C32" t="s">
        <v>5</v>
      </c>
    </row>
    <row r="33" spans="2:10" x14ac:dyDescent="0.25">
      <c r="B33" s="4">
        <v>29</v>
      </c>
      <c r="H33" t="s">
        <v>2</v>
      </c>
      <c r="J33" t="s">
        <v>2</v>
      </c>
    </row>
    <row r="34" spans="2:10" x14ac:dyDescent="0.25">
      <c r="B34" s="4">
        <v>30</v>
      </c>
      <c r="I34" t="s">
        <v>5</v>
      </c>
    </row>
    <row r="35" spans="2:10" x14ac:dyDescent="0.25">
      <c r="B35" s="4">
        <v>31</v>
      </c>
    </row>
    <row r="36" spans="2:10" x14ac:dyDescent="0.25">
      <c r="B36" s="4">
        <v>32</v>
      </c>
      <c r="I36" t="s">
        <v>2</v>
      </c>
    </row>
    <row r="37" spans="2:10" x14ac:dyDescent="0.25">
      <c r="B37" s="4">
        <v>33</v>
      </c>
    </row>
    <row r="38" spans="2:10" x14ac:dyDescent="0.25">
      <c r="B38" s="4">
        <v>34</v>
      </c>
      <c r="C38" t="s">
        <v>5</v>
      </c>
    </row>
    <row r="39" spans="2:10" x14ac:dyDescent="0.25">
      <c r="B39" s="4">
        <v>35</v>
      </c>
    </row>
    <row r="40" spans="2:10" x14ac:dyDescent="0.25">
      <c r="B40" s="4">
        <v>36</v>
      </c>
      <c r="H40" t="s">
        <v>6</v>
      </c>
      <c r="J40" t="s">
        <v>6</v>
      </c>
    </row>
    <row r="41" spans="2:10" x14ac:dyDescent="0.25">
      <c r="B41" s="4">
        <v>37</v>
      </c>
      <c r="I41" t="s">
        <v>2</v>
      </c>
    </row>
    <row r="42" spans="2:10" x14ac:dyDescent="0.25">
      <c r="B42" s="4">
        <v>38</v>
      </c>
    </row>
    <row r="43" spans="2:10" x14ac:dyDescent="0.25">
      <c r="B43" s="4">
        <v>39</v>
      </c>
    </row>
    <row r="44" spans="2:10" x14ac:dyDescent="0.25">
      <c r="B44" s="4">
        <v>40</v>
      </c>
    </row>
    <row r="45" spans="2:10" x14ac:dyDescent="0.25">
      <c r="B45" s="4">
        <v>41</v>
      </c>
      <c r="H45" t="s">
        <v>2</v>
      </c>
      <c r="I45" t="s">
        <v>2</v>
      </c>
      <c r="J45" t="s">
        <v>2</v>
      </c>
    </row>
    <row r="46" spans="2:10" x14ac:dyDescent="0.25">
      <c r="B46" s="4">
        <v>42</v>
      </c>
    </row>
    <row r="47" spans="2:10" x14ac:dyDescent="0.25">
      <c r="B47" s="4">
        <v>43</v>
      </c>
      <c r="J47" t="s">
        <v>2</v>
      </c>
    </row>
    <row r="48" spans="2:10" x14ac:dyDescent="0.25">
      <c r="B48" s="4">
        <v>44</v>
      </c>
    </row>
    <row r="49" spans="2:10" x14ac:dyDescent="0.25">
      <c r="B49" s="4">
        <v>45</v>
      </c>
      <c r="G49" t="s">
        <v>2</v>
      </c>
      <c r="H49" t="s">
        <v>2</v>
      </c>
      <c r="J49" t="s">
        <v>2</v>
      </c>
    </row>
    <row r="50" spans="2:10" x14ac:dyDescent="0.25">
      <c r="B50" s="4">
        <v>46</v>
      </c>
      <c r="I50" t="s">
        <v>2</v>
      </c>
      <c r="J50" t="s">
        <v>2</v>
      </c>
    </row>
    <row r="51" spans="2:10" x14ac:dyDescent="0.25">
      <c r="B51" s="4">
        <v>47</v>
      </c>
      <c r="I51" t="s">
        <v>6</v>
      </c>
    </row>
    <row r="52" spans="2:10" x14ac:dyDescent="0.25">
      <c r="B52" s="4">
        <v>48</v>
      </c>
      <c r="C52" t="s">
        <v>5</v>
      </c>
    </row>
    <row r="53" spans="2:10" x14ac:dyDescent="0.25">
      <c r="B53" s="4">
        <v>49</v>
      </c>
    </row>
    <row r="54" spans="2:10" x14ac:dyDescent="0.25">
      <c r="B54" s="4">
        <v>50</v>
      </c>
      <c r="J54" t="s">
        <v>6</v>
      </c>
    </row>
    <row r="55" spans="2:10" x14ac:dyDescent="0.25">
      <c r="B55" s="4">
        <v>51</v>
      </c>
      <c r="H55" t="s">
        <v>7</v>
      </c>
      <c r="I55" t="s">
        <v>6</v>
      </c>
      <c r="J55" t="s">
        <v>6</v>
      </c>
    </row>
    <row r="56" spans="2:10" x14ac:dyDescent="0.25">
      <c r="B56" s="4">
        <v>52</v>
      </c>
      <c r="G56" t="s">
        <v>2</v>
      </c>
    </row>
    <row r="57" spans="2:10" x14ac:dyDescent="0.25">
      <c r="B57" s="4">
        <v>53</v>
      </c>
    </row>
    <row r="58" spans="2:10" x14ac:dyDescent="0.25">
      <c r="B58" s="4">
        <v>54</v>
      </c>
    </row>
    <row r="59" spans="2:10" x14ac:dyDescent="0.25">
      <c r="B59" s="4">
        <v>55</v>
      </c>
    </row>
    <row r="60" spans="2:10" x14ac:dyDescent="0.25">
      <c r="B60" s="4">
        <v>56</v>
      </c>
    </row>
  </sheetData>
  <conditionalFormatting sqref="C5:H11">
    <cfRule type="cellIs" dxfId="2131" priority="8" operator="equal">
      <formula>"Energia"</formula>
    </cfRule>
  </conditionalFormatting>
  <conditionalFormatting sqref="C5:J60">
    <cfRule type="cellIs" dxfId="2130" priority="1" operator="equal">
      <formula>"Energia"</formula>
    </cfRule>
    <cfRule type="cellIs" dxfId="2129" priority="3" operator="equal">
      <formula>"Operação"</formula>
    </cfRule>
    <cfRule type="cellIs" dxfId="2128" priority="4" operator="equal">
      <formula>"Chuva"</formula>
    </cfRule>
    <cfRule type="cellIs" dxfId="2127" priority="5" operator="equal">
      <formula>"Elétrico"</formula>
    </cfRule>
    <cfRule type="cellIs" dxfId="2126" priority="6" operator="equal">
      <formula>"Mecânico"</formula>
    </cfRule>
    <cfRule type="cellIs" dxfId="2125" priority="7" operator="equal">
      <formula>"Ok"</formula>
    </cfRule>
  </conditionalFormatting>
  <conditionalFormatting sqref="C5:J61">
    <cfRule type="cellIs" dxfId="2124" priority="2" operator="equal">
      <formula>"Feito"</formula>
    </cfRule>
  </conditionalFormatting>
  <dataValidations count="1">
    <dataValidation type="list" allowBlank="1" showInputMessage="1" showErrorMessage="1" sqref="C5:K60" xr:uid="{4A5ED36B-7128-4A53-9642-E802562463A1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DF22-1F94-4D83-B158-E2B009902C68}">
  <sheetPr codeName="Planilha5"/>
  <dimension ref="B3:O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4" sqref="M4:O4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  <col min="15" max="15" width="10.7109375" bestFit="1" customWidth="1"/>
  </cols>
  <sheetData>
    <row r="3" spans="2:15" x14ac:dyDescent="0.25">
      <c r="C3" s="3">
        <v>44218</v>
      </c>
      <c r="D3" s="3">
        <f>C3+1</f>
        <v>44219</v>
      </c>
      <c r="E3" s="3">
        <f t="shared" ref="E3:J3" si="0">D3+1</f>
        <v>44220</v>
      </c>
      <c r="F3" s="3">
        <f t="shared" si="0"/>
        <v>44221</v>
      </c>
      <c r="G3" s="3">
        <f t="shared" si="0"/>
        <v>44222</v>
      </c>
      <c r="H3" s="3">
        <f t="shared" si="0"/>
        <v>44223</v>
      </c>
      <c r="I3" s="3">
        <f t="shared" si="0"/>
        <v>44224</v>
      </c>
      <c r="J3" s="3">
        <f t="shared" si="0"/>
        <v>44225</v>
      </c>
    </row>
    <row r="4" spans="2:15" x14ac:dyDescent="0.25">
      <c r="B4" s="2" t="s">
        <v>0</v>
      </c>
      <c r="C4" s="1" t="str">
        <f>TEXT(C3,"ddd")</f>
        <v>sex</v>
      </c>
      <c r="D4" s="1" t="str">
        <f t="shared" ref="D4:J4" si="1">TEXT(D3,"ddd")</f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J4" s="1" t="str">
        <f t="shared" si="1"/>
        <v>sex</v>
      </c>
      <c r="L4" s="11" t="s">
        <v>1</v>
      </c>
      <c r="M4" s="49" t="s">
        <v>32</v>
      </c>
      <c r="N4" s="50" t="s">
        <v>33</v>
      </c>
      <c r="O4" s="51" t="s">
        <v>34</v>
      </c>
    </row>
    <row r="5" spans="2:15" x14ac:dyDescent="0.25">
      <c r="B5" s="4">
        <v>1</v>
      </c>
      <c r="C5" t="s">
        <v>5</v>
      </c>
      <c r="F5" t="s">
        <v>5</v>
      </c>
      <c r="J5" t="s">
        <v>7</v>
      </c>
      <c r="L5" s="5" t="s">
        <v>2</v>
      </c>
      <c r="M5">
        <f>COUNTIF($C$5:$J$60,L5)</f>
        <v>118</v>
      </c>
      <c r="N5" s="53">
        <f>M5/$M$11</f>
        <v>0.65921787709497204</v>
      </c>
      <c r="O5" s="52">
        <v>44218</v>
      </c>
    </row>
    <row r="6" spans="2:15" x14ac:dyDescent="0.25">
      <c r="B6" s="4">
        <v>2</v>
      </c>
      <c r="I6" t="s">
        <v>2</v>
      </c>
      <c r="L6" s="6" t="s">
        <v>5</v>
      </c>
      <c r="M6">
        <f t="shared" ref="M6:M10" si="2">COUNTIF($C$5:$J$60,L6)</f>
        <v>19</v>
      </c>
      <c r="N6" s="53">
        <f t="shared" ref="N6:N10" si="3">M6/$M$11</f>
        <v>0.10614525139664804</v>
      </c>
    </row>
    <row r="7" spans="2:15" x14ac:dyDescent="0.25">
      <c r="B7" s="4">
        <v>3</v>
      </c>
      <c r="L7" s="7" t="s">
        <v>6</v>
      </c>
      <c r="M7">
        <f t="shared" si="2"/>
        <v>4</v>
      </c>
      <c r="N7" s="53">
        <f t="shared" si="3"/>
        <v>2.23463687150838E-2</v>
      </c>
    </row>
    <row r="8" spans="2:15" x14ac:dyDescent="0.25">
      <c r="B8" s="4">
        <v>4</v>
      </c>
      <c r="D8" t="s">
        <v>2</v>
      </c>
      <c r="F8" t="s">
        <v>2</v>
      </c>
      <c r="L8" s="8" t="s">
        <v>4</v>
      </c>
      <c r="M8">
        <f t="shared" si="2"/>
        <v>19</v>
      </c>
      <c r="N8" s="53">
        <f t="shared" si="3"/>
        <v>0.10614525139664804</v>
      </c>
    </row>
    <row r="9" spans="2:15" x14ac:dyDescent="0.25">
      <c r="B9" s="4">
        <v>5</v>
      </c>
      <c r="D9" t="s">
        <v>2</v>
      </c>
      <c r="F9" t="s">
        <v>2</v>
      </c>
      <c r="H9" t="s">
        <v>2</v>
      </c>
      <c r="J9" t="s">
        <v>7</v>
      </c>
      <c r="L9" s="9" t="s">
        <v>3</v>
      </c>
      <c r="M9">
        <f t="shared" si="2"/>
        <v>0</v>
      </c>
      <c r="N9" s="53">
        <f t="shared" si="3"/>
        <v>0</v>
      </c>
    </row>
    <row r="10" spans="2:15" x14ac:dyDescent="0.25">
      <c r="B10" s="4">
        <v>6</v>
      </c>
      <c r="C10" t="s">
        <v>2</v>
      </c>
      <c r="E10" t="s">
        <v>2</v>
      </c>
      <c r="F10" t="s">
        <v>2</v>
      </c>
      <c r="G10" t="s">
        <v>2</v>
      </c>
      <c r="I10" t="s">
        <v>2</v>
      </c>
      <c r="L10" s="10" t="s">
        <v>7</v>
      </c>
      <c r="M10">
        <f t="shared" si="2"/>
        <v>19</v>
      </c>
      <c r="N10" s="53">
        <f t="shared" si="3"/>
        <v>0.10614525139664804</v>
      </c>
    </row>
    <row r="11" spans="2:15" x14ac:dyDescent="0.25">
      <c r="B11" s="4">
        <v>7</v>
      </c>
      <c r="C11" t="s">
        <v>2</v>
      </c>
      <c r="E11" t="s">
        <v>2</v>
      </c>
      <c r="G11" t="s">
        <v>4</v>
      </c>
      <c r="I11" t="s">
        <v>2</v>
      </c>
      <c r="M11">
        <f>SUM(M5:M10)</f>
        <v>179</v>
      </c>
    </row>
    <row r="12" spans="2:15" x14ac:dyDescent="0.25">
      <c r="B12" s="4">
        <v>8</v>
      </c>
      <c r="D12" t="s">
        <v>2</v>
      </c>
      <c r="F12" t="s">
        <v>5</v>
      </c>
      <c r="H12" t="s">
        <v>2</v>
      </c>
      <c r="I12" t="s">
        <v>2</v>
      </c>
      <c r="J12" t="s">
        <v>2</v>
      </c>
    </row>
    <row r="13" spans="2:15" x14ac:dyDescent="0.25">
      <c r="B13" s="4">
        <v>9</v>
      </c>
      <c r="C13" t="s">
        <v>2</v>
      </c>
      <c r="E13" t="s">
        <v>2</v>
      </c>
      <c r="G13" t="s">
        <v>5</v>
      </c>
      <c r="J13" t="s">
        <v>7</v>
      </c>
    </row>
    <row r="14" spans="2:15" x14ac:dyDescent="0.25">
      <c r="B14" s="4">
        <v>10</v>
      </c>
      <c r="C14" t="s">
        <v>5</v>
      </c>
      <c r="E14" t="s">
        <v>5</v>
      </c>
      <c r="G14" t="s">
        <v>7</v>
      </c>
      <c r="I14" t="s">
        <v>2</v>
      </c>
    </row>
    <row r="15" spans="2:15" x14ac:dyDescent="0.25">
      <c r="B15" s="4">
        <v>11</v>
      </c>
      <c r="C15" t="s">
        <v>2</v>
      </c>
      <c r="E15" t="s">
        <v>2</v>
      </c>
      <c r="G15" t="s">
        <v>2</v>
      </c>
      <c r="I15" t="s">
        <v>2</v>
      </c>
    </row>
    <row r="16" spans="2:15" x14ac:dyDescent="0.25">
      <c r="B16" s="4">
        <v>12</v>
      </c>
      <c r="D16" t="s">
        <v>2</v>
      </c>
      <c r="F16" t="s">
        <v>2</v>
      </c>
      <c r="H16" t="s">
        <v>2</v>
      </c>
      <c r="J16" t="s">
        <v>7</v>
      </c>
    </row>
    <row r="17" spans="2:10" x14ac:dyDescent="0.25">
      <c r="B17" s="4">
        <v>13</v>
      </c>
      <c r="C17" t="s">
        <v>2</v>
      </c>
      <c r="E17" t="s">
        <v>2</v>
      </c>
      <c r="G17" t="s">
        <v>2</v>
      </c>
      <c r="I17" t="s">
        <v>2</v>
      </c>
    </row>
    <row r="18" spans="2:10" x14ac:dyDescent="0.25">
      <c r="B18" s="4">
        <v>14</v>
      </c>
      <c r="D18" t="s">
        <v>6</v>
      </c>
      <c r="F18" t="s">
        <v>2</v>
      </c>
      <c r="H18" t="s">
        <v>7</v>
      </c>
      <c r="J18" t="s">
        <v>2</v>
      </c>
    </row>
    <row r="19" spans="2:10" x14ac:dyDescent="0.25">
      <c r="B19" s="4">
        <v>15</v>
      </c>
    </row>
    <row r="20" spans="2:10" x14ac:dyDescent="0.25">
      <c r="B20" s="4">
        <v>16</v>
      </c>
      <c r="C20" t="s">
        <v>2</v>
      </c>
      <c r="F20" t="s">
        <v>2</v>
      </c>
      <c r="I20" t="s">
        <v>5</v>
      </c>
    </row>
    <row r="21" spans="2:10" x14ac:dyDescent="0.25">
      <c r="B21" s="4">
        <v>17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</row>
    <row r="22" spans="2:10" x14ac:dyDescent="0.25">
      <c r="B22" s="4">
        <v>18</v>
      </c>
      <c r="E22" t="s">
        <v>2</v>
      </c>
      <c r="H22" t="s">
        <v>2</v>
      </c>
      <c r="I22" t="s">
        <v>2</v>
      </c>
    </row>
    <row r="23" spans="2:10" x14ac:dyDescent="0.25">
      <c r="B23" s="4">
        <v>19</v>
      </c>
      <c r="F23" t="s">
        <v>2</v>
      </c>
      <c r="G23" t="s">
        <v>2</v>
      </c>
      <c r="H23" t="s">
        <v>2</v>
      </c>
      <c r="I23" t="s">
        <v>4</v>
      </c>
      <c r="J23" t="s">
        <v>4</v>
      </c>
    </row>
    <row r="24" spans="2:10" x14ac:dyDescent="0.25">
      <c r="B24" s="4">
        <v>20</v>
      </c>
      <c r="E24" t="s">
        <v>2</v>
      </c>
      <c r="H24" t="s">
        <v>4</v>
      </c>
      <c r="J24" t="s">
        <v>7</v>
      </c>
    </row>
    <row r="25" spans="2:10" x14ac:dyDescent="0.25">
      <c r="B25" s="4">
        <v>21</v>
      </c>
      <c r="E25" t="s">
        <v>2</v>
      </c>
      <c r="F25" t="s">
        <v>5</v>
      </c>
      <c r="G25" t="s">
        <v>4</v>
      </c>
      <c r="H25" t="s">
        <v>4</v>
      </c>
      <c r="I25" t="s">
        <v>4</v>
      </c>
      <c r="J25" t="s">
        <v>4</v>
      </c>
    </row>
    <row r="26" spans="2:10" x14ac:dyDescent="0.25">
      <c r="B26" s="4">
        <v>22</v>
      </c>
      <c r="C26" t="s">
        <v>6</v>
      </c>
      <c r="D26" t="s">
        <v>6</v>
      </c>
      <c r="F26" t="s">
        <v>5</v>
      </c>
      <c r="I26" t="s">
        <v>2</v>
      </c>
    </row>
    <row r="27" spans="2:10" x14ac:dyDescent="0.25">
      <c r="B27" s="4">
        <v>23</v>
      </c>
      <c r="E27" t="s">
        <v>2</v>
      </c>
      <c r="F27" t="s">
        <v>2</v>
      </c>
      <c r="G27" t="s">
        <v>2</v>
      </c>
      <c r="H27" t="s">
        <v>7</v>
      </c>
      <c r="I27" t="s">
        <v>2</v>
      </c>
      <c r="J27" t="s">
        <v>2</v>
      </c>
    </row>
    <row r="28" spans="2:10" x14ac:dyDescent="0.25">
      <c r="B28" s="4">
        <v>24</v>
      </c>
      <c r="E28" t="s">
        <v>2</v>
      </c>
      <c r="H28" t="s">
        <v>7</v>
      </c>
    </row>
    <row r="29" spans="2:10" x14ac:dyDescent="0.25">
      <c r="B29" s="4">
        <v>25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5</v>
      </c>
      <c r="I29" t="s">
        <v>5</v>
      </c>
      <c r="J29" t="s">
        <v>4</v>
      </c>
    </row>
    <row r="30" spans="2:10" x14ac:dyDescent="0.25">
      <c r="B30" s="4">
        <v>26</v>
      </c>
      <c r="D30" t="s">
        <v>2</v>
      </c>
      <c r="E30" t="s">
        <v>5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</row>
    <row r="31" spans="2:10" x14ac:dyDescent="0.25">
      <c r="B31" s="4">
        <v>27</v>
      </c>
    </row>
    <row r="32" spans="2:10" x14ac:dyDescent="0.25">
      <c r="B32" s="4">
        <v>28</v>
      </c>
      <c r="H32" t="s">
        <v>2</v>
      </c>
    </row>
    <row r="33" spans="2:10" x14ac:dyDescent="0.25">
      <c r="B33" s="4">
        <v>29</v>
      </c>
      <c r="D33" t="s">
        <v>2</v>
      </c>
      <c r="F33" t="s">
        <v>2</v>
      </c>
      <c r="H33" t="s">
        <v>2</v>
      </c>
      <c r="J33" t="s">
        <v>7</v>
      </c>
    </row>
    <row r="34" spans="2:10" x14ac:dyDescent="0.25">
      <c r="B34" s="4">
        <v>30</v>
      </c>
      <c r="D34" t="s">
        <v>5</v>
      </c>
      <c r="G34" t="s">
        <v>2</v>
      </c>
      <c r="I34" t="s">
        <v>7</v>
      </c>
    </row>
    <row r="35" spans="2:10" x14ac:dyDescent="0.25">
      <c r="B35" s="4">
        <v>31</v>
      </c>
      <c r="J35" t="s">
        <v>2</v>
      </c>
    </row>
    <row r="36" spans="2:10" x14ac:dyDescent="0.25">
      <c r="B36" s="4">
        <v>32</v>
      </c>
      <c r="C36" t="s">
        <v>2</v>
      </c>
      <c r="F36" t="s">
        <v>5</v>
      </c>
      <c r="J36" t="s">
        <v>7</v>
      </c>
    </row>
    <row r="37" spans="2:10" x14ac:dyDescent="0.25">
      <c r="B37" s="4">
        <v>33</v>
      </c>
    </row>
    <row r="38" spans="2:10" x14ac:dyDescent="0.25">
      <c r="B38" s="4">
        <v>34</v>
      </c>
      <c r="H38" t="s">
        <v>5</v>
      </c>
      <c r="I38" t="s">
        <v>7</v>
      </c>
    </row>
    <row r="39" spans="2:10" x14ac:dyDescent="0.25">
      <c r="B39" s="4">
        <v>35</v>
      </c>
    </row>
    <row r="40" spans="2:10" x14ac:dyDescent="0.25">
      <c r="B40" s="4">
        <v>36</v>
      </c>
      <c r="D40" t="s">
        <v>2</v>
      </c>
      <c r="F40" t="s">
        <v>2</v>
      </c>
      <c r="H40" t="s">
        <v>2</v>
      </c>
      <c r="I40" t="s">
        <v>2</v>
      </c>
    </row>
    <row r="41" spans="2:10" x14ac:dyDescent="0.25">
      <c r="B41" s="4">
        <v>37</v>
      </c>
      <c r="C41" t="s">
        <v>2</v>
      </c>
      <c r="E41" t="s">
        <v>2</v>
      </c>
      <c r="G41" t="s">
        <v>2</v>
      </c>
    </row>
    <row r="42" spans="2:10" x14ac:dyDescent="0.25">
      <c r="B42" s="4">
        <v>38</v>
      </c>
      <c r="H42" t="s">
        <v>2</v>
      </c>
      <c r="I42" t="s">
        <v>2</v>
      </c>
      <c r="J42" t="s">
        <v>2</v>
      </c>
    </row>
    <row r="43" spans="2:10" x14ac:dyDescent="0.25">
      <c r="B43" s="4">
        <v>39</v>
      </c>
      <c r="G43" t="s">
        <v>2</v>
      </c>
      <c r="H43" t="s">
        <v>5</v>
      </c>
      <c r="I43" t="s">
        <v>2</v>
      </c>
      <c r="J43" t="s">
        <v>2</v>
      </c>
    </row>
    <row r="44" spans="2:10" x14ac:dyDescent="0.25">
      <c r="B44" s="4">
        <v>40</v>
      </c>
      <c r="H44" t="s">
        <v>2</v>
      </c>
      <c r="I44" t="s">
        <v>2</v>
      </c>
      <c r="J44" t="s">
        <v>2</v>
      </c>
    </row>
    <row r="45" spans="2:10" x14ac:dyDescent="0.25">
      <c r="B45" s="4">
        <v>41</v>
      </c>
      <c r="C45" t="s">
        <v>2</v>
      </c>
      <c r="D45" t="s">
        <v>2</v>
      </c>
      <c r="E45" t="s">
        <v>2</v>
      </c>
      <c r="F45" t="s">
        <v>2</v>
      </c>
      <c r="H45" t="s">
        <v>2</v>
      </c>
      <c r="J45" t="s">
        <v>2</v>
      </c>
    </row>
    <row r="46" spans="2:10" x14ac:dyDescent="0.25">
      <c r="B46" s="4">
        <v>42</v>
      </c>
      <c r="I46" t="s">
        <v>2</v>
      </c>
      <c r="J46" t="s">
        <v>2</v>
      </c>
    </row>
    <row r="47" spans="2:10" x14ac:dyDescent="0.25">
      <c r="B47" s="4">
        <v>43</v>
      </c>
      <c r="E47" t="s">
        <v>4</v>
      </c>
      <c r="H47" t="s">
        <v>2</v>
      </c>
    </row>
    <row r="48" spans="2:10" x14ac:dyDescent="0.25">
      <c r="B48" s="4">
        <v>44</v>
      </c>
    </row>
    <row r="49" spans="2:10" x14ac:dyDescent="0.25">
      <c r="B49" s="4">
        <v>45</v>
      </c>
      <c r="E49" t="s">
        <v>4</v>
      </c>
      <c r="F49" t="s">
        <v>2</v>
      </c>
      <c r="G49" t="s">
        <v>2</v>
      </c>
      <c r="I49" t="s">
        <v>2</v>
      </c>
    </row>
    <row r="50" spans="2:10" x14ac:dyDescent="0.25">
      <c r="B50" s="4">
        <v>46</v>
      </c>
      <c r="C50" t="s">
        <v>2</v>
      </c>
      <c r="F50" t="s">
        <v>7</v>
      </c>
      <c r="I50" t="s">
        <v>2</v>
      </c>
      <c r="J50" t="s">
        <v>2</v>
      </c>
    </row>
    <row r="51" spans="2:10" x14ac:dyDescent="0.25">
      <c r="B51" s="4">
        <v>47</v>
      </c>
      <c r="D51" t="s">
        <v>2</v>
      </c>
      <c r="G51" t="s">
        <v>4</v>
      </c>
      <c r="I51" t="s">
        <v>7</v>
      </c>
      <c r="J51" t="s">
        <v>7</v>
      </c>
    </row>
    <row r="52" spans="2:10" x14ac:dyDescent="0.25">
      <c r="B52" s="4">
        <v>48</v>
      </c>
      <c r="E52" t="s">
        <v>4</v>
      </c>
      <c r="G52" t="s">
        <v>4</v>
      </c>
      <c r="H52" t="s">
        <v>2</v>
      </c>
      <c r="I52" t="s">
        <v>2</v>
      </c>
      <c r="J52" t="s">
        <v>2</v>
      </c>
    </row>
    <row r="53" spans="2:10" x14ac:dyDescent="0.25">
      <c r="B53" s="4">
        <v>49</v>
      </c>
      <c r="G53" t="s">
        <v>4</v>
      </c>
      <c r="I53" t="s">
        <v>2</v>
      </c>
      <c r="J53" t="s">
        <v>2</v>
      </c>
    </row>
    <row r="54" spans="2:10" x14ac:dyDescent="0.25">
      <c r="B54" s="4">
        <v>50</v>
      </c>
      <c r="D54" t="s">
        <v>2</v>
      </c>
      <c r="F54" t="s">
        <v>6</v>
      </c>
      <c r="H54" t="s">
        <v>5</v>
      </c>
      <c r="J54" t="s">
        <v>2</v>
      </c>
    </row>
    <row r="55" spans="2:10" x14ac:dyDescent="0.25">
      <c r="B55" s="4">
        <v>51</v>
      </c>
      <c r="C55" t="s">
        <v>2</v>
      </c>
      <c r="D55" t="s">
        <v>2</v>
      </c>
      <c r="E55" t="s">
        <v>4</v>
      </c>
      <c r="F55" t="s">
        <v>7</v>
      </c>
      <c r="H55" t="s">
        <v>5</v>
      </c>
      <c r="I55" t="s">
        <v>5</v>
      </c>
      <c r="J55" t="s">
        <v>2</v>
      </c>
    </row>
    <row r="56" spans="2:10" x14ac:dyDescent="0.25">
      <c r="B56" s="4">
        <v>52</v>
      </c>
      <c r="F56" t="s">
        <v>7</v>
      </c>
      <c r="I56" t="s">
        <v>7</v>
      </c>
      <c r="J56" t="s">
        <v>4</v>
      </c>
    </row>
    <row r="57" spans="2:10" x14ac:dyDescent="0.25">
      <c r="B57" s="4">
        <v>53</v>
      </c>
      <c r="E57" t="s">
        <v>4</v>
      </c>
      <c r="J57" t="s">
        <v>2</v>
      </c>
    </row>
    <row r="58" spans="2:10" x14ac:dyDescent="0.25">
      <c r="B58" s="4">
        <v>54</v>
      </c>
      <c r="E58" t="s">
        <v>4</v>
      </c>
      <c r="J58" t="s">
        <v>2</v>
      </c>
    </row>
    <row r="59" spans="2:10" x14ac:dyDescent="0.25">
      <c r="B59" s="4">
        <v>55</v>
      </c>
    </row>
    <row r="60" spans="2:10" x14ac:dyDescent="0.25">
      <c r="B60" s="4">
        <v>56</v>
      </c>
    </row>
  </sheetData>
  <conditionalFormatting sqref="C5:H11">
    <cfRule type="cellIs" dxfId="2123" priority="8" operator="equal">
      <formula>"Energia"</formula>
    </cfRule>
  </conditionalFormatting>
  <conditionalFormatting sqref="C5:J60">
    <cfRule type="cellIs" dxfId="2122" priority="1" operator="equal">
      <formula>"Energia"</formula>
    </cfRule>
    <cfRule type="cellIs" dxfId="2121" priority="3" operator="equal">
      <formula>"Operação"</formula>
    </cfRule>
    <cfRule type="cellIs" dxfId="2120" priority="4" operator="equal">
      <formula>"Chuva"</formula>
    </cfRule>
    <cfRule type="cellIs" dxfId="2119" priority="5" operator="equal">
      <formula>"Elétrico"</formula>
    </cfRule>
    <cfRule type="cellIs" dxfId="2118" priority="6" operator="equal">
      <formula>"Mecânico"</formula>
    </cfRule>
    <cfRule type="cellIs" dxfId="2117" priority="7" operator="equal">
      <formula>"Ok"</formula>
    </cfRule>
  </conditionalFormatting>
  <conditionalFormatting sqref="C5:J61">
    <cfRule type="cellIs" dxfId="2116" priority="2" operator="equal">
      <formula>"Feito"</formula>
    </cfRule>
  </conditionalFormatting>
  <dataValidations count="1">
    <dataValidation type="list" allowBlank="1" showInputMessage="1" showErrorMessage="1" sqref="C5:K60" xr:uid="{2A5913B1-31ED-4315-9302-8306AE7CC42B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F023-EB72-47F7-8D46-EE7FBACCB41F}">
  <sheetPr codeName="Planilha6"/>
  <dimension ref="B3:O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4" sqref="M4:O4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  <col min="15" max="15" width="10.7109375" bestFit="1" customWidth="1"/>
  </cols>
  <sheetData>
    <row r="3" spans="2:15" x14ac:dyDescent="0.25">
      <c r="C3" s="3">
        <v>44226</v>
      </c>
      <c r="D3" s="3">
        <f>C3+1</f>
        <v>44227</v>
      </c>
      <c r="E3" s="3">
        <f t="shared" ref="E3:J3" si="0">D3+1</f>
        <v>44228</v>
      </c>
      <c r="F3" s="3">
        <f t="shared" si="0"/>
        <v>44229</v>
      </c>
      <c r="G3" s="3">
        <f t="shared" si="0"/>
        <v>44230</v>
      </c>
      <c r="H3" s="3">
        <f t="shared" si="0"/>
        <v>44231</v>
      </c>
      <c r="I3" s="3">
        <f t="shared" si="0"/>
        <v>44232</v>
      </c>
      <c r="J3" s="3">
        <f t="shared" si="0"/>
        <v>44233</v>
      </c>
    </row>
    <row r="4" spans="2:15" x14ac:dyDescent="0.25">
      <c r="B4" s="2" t="s">
        <v>0</v>
      </c>
      <c r="C4" s="1" t="str">
        <f>TEXT(C3,"ddd")</f>
        <v>sáb</v>
      </c>
      <c r="D4" s="1" t="str">
        <f t="shared" ref="D4:J4" si="1">TEXT(D3,"ddd")</f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J4" s="1" t="str">
        <f t="shared" si="1"/>
        <v>sáb</v>
      </c>
      <c r="L4" s="11" t="s">
        <v>1</v>
      </c>
      <c r="M4" s="49" t="s">
        <v>32</v>
      </c>
      <c r="N4" s="50" t="s">
        <v>33</v>
      </c>
      <c r="O4" s="51" t="s">
        <v>34</v>
      </c>
    </row>
    <row r="5" spans="2:15" x14ac:dyDescent="0.25">
      <c r="B5" s="4">
        <v>1</v>
      </c>
      <c r="D5" t="s">
        <v>7</v>
      </c>
      <c r="G5" t="s">
        <v>2</v>
      </c>
      <c r="L5" s="5" t="s">
        <v>2</v>
      </c>
      <c r="M5">
        <f>COUNTIF($C$5:$J$60,L5)</f>
        <v>122</v>
      </c>
      <c r="N5" s="53">
        <f>M5/$M$11</f>
        <v>0.69714285714285718</v>
      </c>
      <c r="O5" s="52">
        <v>44226</v>
      </c>
    </row>
    <row r="6" spans="2:15" x14ac:dyDescent="0.25">
      <c r="B6" s="4">
        <v>2</v>
      </c>
      <c r="G6" t="s">
        <v>5</v>
      </c>
      <c r="L6" s="6" t="s">
        <v>5</v>
      </c>
      <c r="M6">
        <f t="shared" ref="M6:M10" si="2">COUNTIF($C$5:$J$60,L6)</f>
        <v>12</v>
      </c>
      <c r="N6" s="53">
        <f t="shared" ref="N6:N10" si="3">M6/$M$11</f>
        <v>6.8571428571428575E-2</v>
      </c>
    </row>
    <row r="7" spans="2:15" x14ac:dyDescent="0.25">
      <c r="B7" s="4">
        <v>3</v>
      </c>
      <c r="L7" s="7" t="s">
        <v>6</v>
      </c>
      <c r="M7">
        <f t="shared" si="2"/>
        <v>0</v>
      </c>
      <c r="N7" s="53">
        <f t="shared" si="3"/>
        <v>0</v>
      </c>
    </row>
    <row r="8" spans="2:15" x14ac:dyDescent="0.25">
      <c r="B8" s="4">
        <v>4</v>
      </c>
      <c r="I8" t="s">
        <v>7</v>
      </c>
      <c r="J8" t="s">
        <v>2</v>
      </c>
      <c r="L8" s="8" t="s">
        <v>4</v>
      </c>
      <c r="M8">
        <f t="shared" si="2"/>
        <v>18</v>
      </c>
      <c r="N8" s="53">
        <f t="shared" si="3"/>
        <v>0.10285714285714286</v>
      </c>
    </row>
    <row r="9" spans="2:15" x14ac:dyDescent="0.25">
      <c r="B9" s="4">
        <v>5</v>
      </c>
      <c r="D9" t="s">
        <v>2</v>
      </c>
      <c r="G9" t="s">
        <v>2</v>
      </c>
      <c r="I9" t="s">
        <v>2</v>
      </c>
      <c r="L9" s="9" t="s">
        <v>3</v>
      </c>
      <c r="M9">
        <f t="shared" si="2"/>
        <v>2</v>
      </c>
      <c r="N9" s="53">
        <f t="shared" si="3"/>
        <v>1.1428571428571429E-2</v>
      </c>
    </row>
    <row r="10" spans="2:15" x14ac:dyDescent="0.25">
      <c r="B10" s="4">
        <v>6</v>
      </c>
      <c r="C10" t="s">
        <v>2</v>
      </c>
      <c r="F10" t="s">
        <v>2</v>
      </c>
      <c r="H10" t="s">
        <v>2</v>
      </c>
      <c r="J10" t="s">
        <v>2</v>
      </c>
      <c r="L10" s="10" t="s">
        <v>7</v>
      </c>
      <c r="M10">
        <f t="shared" si="2"/>
        <v>21</v>
      </c>
      <c r="N10" s="53">
        <f t="shared" si="3"/>
        <v>0.12</v>
      </c>
    </row>
    <row r="11" spans="2:15" x14ac:dyDescent="0.25">
      <c r="B11" s="4">
        <v>7</v>
      </c>
      <c r="C11" t="s">
        <v>2</v>
      </c>
      <c r="F11" t="s">
        <v>2</v>
      </c>
      <c r="I11" t="s">
        <v>2</v>
      </c>
      <c r="M11">
        <f>SUM(M5:M10)</f>
        <v>175</v>
      </c>
    </row>
    <row r="12" spans="2:15" x14ac:dyDescent="0.25">
      <c r="B12" s="4">
        <v>8</v>
      </c>
      <c r="D12" t="s">
        <v>5</v>
      </c>
      <c r="F12" t="s">
        <v>2</v>
      </c>
      <c r="H12" t="s">
        <v>2</v>
      </c>
      <c r="J12" t="s">
        <v>2</v>
      </c>
    </row>
    <row r="13" spans="2:15" x14ac:dyDescent="0.25">
      <c r="B13" s="4">
        <v>9</v>
      </c>
      <c r="D13" t="s">
        <v>5</v>
      </c>
      <c r="F13" t="s">
        <v>7</v>
      </c>
      <c r="H13" t="s">
        <v>2</v>
      </c>
      <c r="J13" t="s">
        <v>2</v>
      </c>
    </row>
    <row r="14" spans="2:15" x14ac:dyDescent="0.25">
      <c r="B14" s="4">
        <v>10</v>
      </c>
      <c r="C14" t="s">
        <v>7</v>
      </c>
      <c r="G14" t="s">
        <v>2</v>
      </c>
      <c r="I14" t="s">
        <v>2</v>
      </c>
    </row>
    <row r="15" spans="2:15" x14ac:dyDescent="0.25">
      <c r="B15" s="4">
        <v>11</v>
      </c>
      <c r="C15" t="s">
        <v>2</v>
      </c>
      <c r="F15" t="s">
        <v>2</v>
      </c>
      <c r="H15" t="s">
        <v>2</v>
      </c>
      <c r="J15" t="s">
        <v>2</v>
      </c>
    </row>
    <row r="16" spans="2:15" x14ac:dyDescent="0.25">
      <c r="B16" s="4">
        <v>12</v>
      </c>
      <c r="D16" t="s">
        <v>2</v>
      </c>
      <c r="G16" t="s">
        <v>2</v>
      </c>
      <c r="I16" t="s">
        <v>2</v>
      </c>
    </row>
    <row r="17" spans="2:10" x14ac:dyDescent="0.25">
      <c r="B17" s="4">
        <v>13</v>
      </c>
      <c r="C17" t="s">
        <v>2</v>
      </c>
      <c r="D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</row>
    <row r="18" spans="2:10" x14ac:dyDescent="0.25">
      <c r="B18" s="4">
        <v>14</v>
      </c>
      <c r="D18" t="s">
        <v>2</v>
      </c>
      <c r="G18" t="s">
        <v>5</v>
      </c>
      <c r="J18" t="s">
        <v>2</v>
      </c>
    </row>
    <row r="19" spans="2:10" x14ac:dyDescent="0.25">
      <c r="B19" s="4">
        <v>15</v>
      </c>
      <c r="I19" t="s">
        <v>2</v>
      </c>
    </row>
    <row r="20" spans="2:10" x14ac:dyDescent="0.25">
      <c r="B20" s="4">
        <v>16</v>
      </c>
      <c r="C20" t="s">
        <v>7</v>
      </c>
      <c r="G20" t="s">
        <v>2</v>
      </c>
    </row>
    <row r="21" spans="2:10" x14ac:dyDescent="0.25">
      <c r="B21" s="4">
        <v>17</v>
      </c>
      <c r="C21" t="s">
        <v>2</v>
      </c>
      <c r="D21" t="s">
        <v>2</v>
      </c>
      <c r="F21" t="s">
        <v>2</v>
      </c>
      <c r="J21" t="s">
        <v>2</v>
      </c>
    </row>
    <row r="22" spans="2:10" x14ac:dyDescent="0.25">
      <c r="B22" s="4">
        <v>18</v>
      </c>
      <c r="D22" t="s">
        <v>7</v>
      </c>
      <c r="E22" t="s">
        <v>2</v>
      </c>
      <c r="J22" t="s">
        <v>2</v>
      </c>
    </row>
    <row r="23" spans="2:10" x14ac:dyDescent="0.25">
      <c r="B23" s="4">
        <v>19</v>
      </c>
      <c r="C23" t="s">
        <v>4</v>
      </c>
      <c r="D23" t="s">
        <v>2</v>
      </c>
      <c r="F23" t="s">
        <v>7</v>
      </c>
    </row>
    <row r="24" spans="2:10" x14ac:dyDescent="0.25">
      <c r="B24" s="4">
        <v>20</v>
      </c>
      <c r="F24" t="s">
        <v>7</v>
      </c>
    </row>
    <row r="25" spans="2:10" x14ac:dyDescent="0.25">
      <c r="B25" s="4">
        <v>21</v>
      </c>
      <c r="C25" t="s">
        <v>4</v>
      </c>
      <c r="D25" t="s">
        <v>4</v>
      </c>
      <c r="E25" t="s">
        <v>2</v>
      </c>
      <c r="F25" t="s">
        <v>4</v>
      </c>
      <c r="J25" t="s">
        <v>2</v>
      </c>
    </row>
    <row r="26" spans="2:10" x14ac:dyDescent="0.25">
      <c r="B26" s="4">
        <v>22</v>
      </c>
      <c r="D26" t="s">
        <v>2</v>
      </c>
      <c r="G26" t="s">
        <v>2</v>
      </c>
    </row>
    <row r="27" spans="2:10" x14ac:dyDescent="0.25">
      <c r="B27" s="4">
        <v>23</v>
      </c>
      <c r="C27" t="s">
        <v>2</v>
      </c>
      <c r="D27" t="s">
        <v>2</v>
      </c>
      <c r="G27" t="s">
        <v>2</v>
      </c>
    </row>
    <row r="28" spans="2:10" x14ac:dyDescent="0.25">
      <c r="B28" s="4">
        <v>24</v>
      </c>
      <c r="C28" t="s">
        <v>7</v>
      </c>
      <c r="H28" t="s">
        <v>7</v>
      </c>
    </row>
    <row r="29" spans="2:10" x14ac:dyDescent="0.25">
      <c r="B29" s="4">
        <v>25</v>
      </c>
      <c r="C29" t="s">
        <v>2</v>
      </c>
      <c r="D29" t="s">
        <v>4</v>
      </c>
      <c r="E29" t="s">
        <v>2</v>
      </c>
      <c r="F29" t="s">
        <v>4</v>
      </c>
      <c r="H29" t="s">
        <v>2</v>
      </c>
      <c r="I29" t="s">
        <v>2</v>
      </c>
      <c r="J29" t="s">
        <v>3</v>
      </c>
    </row>
    <row r="30" spans="2:10" x14ac:dyDescent="0.25">
      <c r="B30" s="4">
        <v>26</v>
      </c>
      <c r="C30" t="s">
        <v>2</v>
      </c>
      <c r="D30" t="s">
        <v>2</v>
      </c>
      <c r="G30" t="s">
        <v>7</v>
      </c>
      <c r="J30" t="s">
        <v>2</v>
      </c>
    </row>
    <row r="31" spans="2:10" x14ac:dyDescent="0.25">
      <c r="B31" s="4">
        <v>27</v>
      </c>
      <c r="J31" t="s">
        <v>5</v>
      </c>
    </row>
    <row r="32" spans="2:10" x14ac:dyDescent="0.25">
      <c r="B32" s="4">
        <v>28</v>
      </c>
      <c r="C32" t="s">
        <v>7</v>
      </c>
      <c r="G32" t="s">
        <v>2</v>
      </c>
    </row>
    <row r="33" spans="2:10" x14ac:dyDescent="0.25">
      <c r="B33" s="4">
        <v>29</v>
      </c>
      <c r="D33" t="s">
        <v>2</v>
      </c>
      <c r="G33" t="s">
        <v>2</v>
      </c>
      <c r="H33" t="s">
        <v>2</v>
      </c>
    </row>
    <row r="34" spans="2:10" x14ac:dyDescent="0.25">
      <c r="B34" s="4">
        <v>30</v>
      </c>
      <c r="C34" t="s">
        <v>2</v>
      </c>
      <c r="F34" t="s">
        <v>5</v>
      </c>
      <c r="G34" t="s">
        <v>7</v>
      </c>
      <c r="J34" t="s">
        <v>2</v>
      </c>
    </row>
    <row r="35" spans="2:10" x14ac:dyDescent="0.25">
      <c r="B35" s="4">
        <v>31</v>
      </c>
      <c r="D35" t="s">
        <v>5</v>
      </c>
      <c r="E35" t="s">
        <v>2</v>
      </c>
      <c r="F35" t="s">
        <v>5</v>
      </c>
      <c r="G35" t="s">
        <v>2</v>
      </c>
      <c r="H35" t="s">
        <v>2</v>
      </c>
      <c r="J35" t="s">
        <v>2</v>
      </c>
    </row>
    <row r="36" spans="2:10" x14ac:dyDescent="0.25">
      <c r="B36" s="4">
        <v>32</v>
      </c>
      <c r="F36" t="s">
        <v>2</v>
      </c>
      <c r="H36" t="s">
        <v>3</v>
      </c>
    </row>
    <row r="37" spans="2:10" x14ac:dyDescent="0.25">
      <c r="B37" s="4">
        <v>33</v>
      </c>
    </row>
    <row r="38" spans="2:10" x14ac:dyDescent="0.25">
      <c r="B38" s="4">
        <v>34</v>
      </c>
      <c r="C38" t="s">
        <v>2</v>
      </c>
      <c r="G38" t="s">
        <v>2</v>
      </c>
      <c r="H38" t="s">
        <v>2</v>
      </c>
    </row>
    <row r="39" spans="2:10" x14ac:dyDescent="0.25">
      <c r="B39" s="4">
        <v>35</v>
      </c>
    </row>
    <row r="40" spans="2:10" x14ac:dyDescent="0.25">
      <c r="B40" s="4">
        <v>36</v>
      </c>
      <c r="C40" t="s">
        <v>2</v>
      </c>
      <c r="F40" t="s">
        <v>2</v>
      </c>
      <c r="I40" t="s">
        <v>5</v>
      </c>
    </row>
    <row r="41" spans="2:10" x14ac:dyDescent="0.25">
      <c r="B41" s="4">
        <v>37</v>
      </c>
    </row>
    <row r="42" spans="2:10" x14ac:dyDescent="0.25">
      <c r="B42" s="4">
        <v>38</v>
      </c>
      <c r="C42" t="s">
        <v>2</v>
      </c>
      <c r="D42" t="s">
        <v>2</v>
      </c>
      <c r="F42" t="s">
        <v>2</v>
      </c>
      <c r="H42" t="s">
        <v>2</v>
      </c>
      <c r="J42" t="s">
        <v>2</v>
      </c>
    </row>
    <row r="43" spans="2:10" x14ac:dyDescent="0.25">
      <c r="B43" s="4">
        <v>39</v>
      </c>
      <c r="C43" t="s">
        <v>2</v>
      </c>
      <c r="D43" t="s">
        <v>2</v>
      </c>
      <c r="G43" t="s">
        <v>2</v>
      </c>
    </row>
    <row r="44" spans="2:10" x14ac:dyDescent="0.25">
      <c r="B44" s="4">
        <v>40</v>
      </c>
      <c r="C44" t="s">
        <v>2</v>
      </c>
      <c r="D44" t="s">
        <v>2</v>
      </c>
      <c r="F44" t="s">
        <v>2</v>
      </c>
      <c r="J44" t="s">
        <v>2</v>
      </c>
    </row>
    <row r="45" spans="2:10" x14ac:dyDescent="0.25">
      <c r="B45" s="4">
        <v>41</v>
      </c>
      <c r="D45" t="s">
        <v>2</v>
      </c>
      <c r="G45" t="s">
        <v>2</v>
      </c>
    </row>
    <row r="46" spans="2:10" x14ac:dyDescent="0.25">
      <c r="B46" s="4">
        <v>42</v>
      </c>
      <c r="C46" t="s">
        <v>2</v>
      </c>
      <c r="D46" t="s">
        <v>2</v>
      </c>
      <c r="F46" t="s">
        <v>2</v>
      </c>
      <c r="H46" t="s">
        <v>2</v>
      </c>
    </row>
    <row r="47" spans="2:10" x14ac:dyDescent="0.25">
      <c r="B47" s="4">
        <v>43</v>
      </c>
      <c r="C47" t="s">
        <v>2</v>
      </c>
      <c r="G47" t="s">
        <v>2</v>
      </c>
    </row>
    <row r="48" spans="2:10" x14ac:dyDescent="0.25">
      <c r="B48" s="4">
        <v>44</v>
      </c>
      <c r="J48" t="s">
        <v>5</v>
      </c>
    </row>
    <row r="49" spans="2:10" x14ac:dyDescent="0.25">
      <c r="B49" s="4">
        <v>45</v>
      </c>
      <c r="C49" t="s">
        <v>4</v>
      </c>
      <c r="F49" t="s">
        <v>2</v>
      </c>
      <c r="H49" t="s">
        <v>2</v>
      </c>
      <c r="I49" t="s">
        <v>2</v>
      </c>
    </row>
    <row r="50" spans="2:10" x14ac:dyDescent="0.25">
      <c r="B50" s="4">
        <v>46</v>
      </c>
      <c r="D50" t="s">
        <v>7</v>
      </c>
      <c r="E50" t="s">
        <v>2</v>
      </c>
      <c r="G50" t="s">
        <v>2</v>
      </c>
      <c r="I50" t="s">
        <v>2</v>
      </c>
    </row>
    <row r="51" spans="2:10" x14ac:dyDescent="0.25">
      <c r="B51" s="4">
        <v>47</v>
      </c>
      <c r="C51" t="s">
        <v>4</v>
      </c>
      <c r="F51" t="s">
        <v>4</v>
      </c>
      <c r="H51" t="s">
        <v>4</v>
      </c>
      <c r="J51" t="s">
        <v>2</v>
      </c>
    </row>
    <row r="52" spans="2:10" x14ac:dyDescent="0.25">
      <c r="B52" s="4">
        <v>48</v>
      </c>
      <c r="D52" t="s">
        <v>7</v>
      </c>
      <c r="E52" t="s">
        <v>2</v>
      </c>
      <c r="H52" t="s">
        <v>4</v>
      </c>
      <c r="J52" t="s">
        <v>2</v>
      </c>
    </row>
    <row r="53" spans="2:10" x14ac:dyDescent="0.25">
      <c r="B53" s="4">
        <v>49</v>
      </c>
      <c r="C53" t="s">
        <v>4</v>
      </c>
      <c r="G53" t="s">
        <v>2</v>
      </c>
      <c r="I53" t="s">
        <v>2</v>
      </c>
    </row>
    <row r="54" spans="2:10" x14ac:dyDescent="0.25">
      <c r="B54" s="4">
        <v>50</v>
      </c>
      <c r="D54" t="s">
        <v>7</v>
      </c>
      <c r="E54" t="s">
        <v>2</v>
      </c>
      <c r="G54" t="s">
        <v>4</v>
      </c>
      <c r="I54" t="s">
        <v>2</v>
      </c>
      <c r="J54" t="s">
        <v>2</v>
      </c>
    </row>
    <row r="55" spans="2:10" x14ac:dyDescent="0.25">
      <c r="B55" s="4">
        <v>51</v>
      </c>
      <c r="C55" t="s">
        <v>4</v>
      </c>
      <c r="F55" t="s">
        <v>2</v>
      </c>
      <c r="J55" t="s">
        <v>2</v>
      </c>
    </row>
    <row r="56" spans="2:10" x14ac:dyDescent="0.25">
      <c r="B56" s="4">
        <v>52</v>
      </c>
      <c r="D56" t="s">
        <v>7</v>
      </c>
      <c r="E56" t="s">
        <v>2</v>
      </c>
      <c r="J56" t="s">
        <v>2</v>
      </c>
    </row>
    <row r="57" spans="2:10" x14ac:dyDescent="0.25">
      <c r="B57" s="4">
        <v>53</v>
      </c>
      <c r="C57" t="s">
        <v>4</v>
      </c>
      <c r="F57" t="s">
        <v>5</v>
      </c>
      <c r="G57" t="s">
        <v>7</v>
      </c>
      <c r="H57" t="s">
        <v>2</v>
      </c>
    </row>
    <row r="58" spans="2:10" x14ac:dyDescent="0.25">
      <c r="B58" s="4">
        <v>54</v>
      </c>
      <c r="C58" t="s">
        <v>4</v>
      </c>
      <c r="F58" t="s">
        <v>2</v>
      </c>
      <c r="G58" t="s">
        <v>7</v>
      </c>
      <c r="J58" t="s">
        <v>2</v>
      </c>
    </row>
    <row r="59" spans="2:10" x14ac:dyDescent="0.25">
      <c r="B59" s="4">
        <v>55</v>
      </c>
      <c r="C59" t="s">
        <v>4</v>
      </c>
      <c r="F59" t="s">
        <v>2</v>
      </c>
      <c r="G59" t="s">
        <v>2</v>
      </c>
      <c r="H59" t="s">
        <v>7</v>
      </c>
      <c r="I59" t="s">
        <v>2</v>
      </c>
      <c r="J59" t="s">
        <v>2</v>
      </c>
    </row>
    <row r="60" spans="2:10" x14ac:dyDescent="0.25">
      <c r="B60" s="4">
        <v>56</v>
      </c>
      <c r="C60" t="s">
        <v>4</v>
      </c>
      <c r="F60" t="s">
        <v>2</v>
      </c>
      <c r="G60" t="s">
        <v>5</v>
      </c>
      <c r="H60" t="s">
        <v>7</v>
      </c>
      <c r="I60" t="s">
        <v>2</v>
      </c>
      <c r="J60" t="s">
        <v>2</v>
      </c>
    </row>
  </sheetData>
  <conditionalFormatting sqref="C5:H11">
    <cfRule type="cellIs" dxfId="2115" priority="8" operator="equal">
      <formula>"Energia"</formula>
    </cfRule>
  </conditionalFormatting>
  <conditionalFormatting sqref="C5:J60">
    <cfRule type="cellIs" dxfId="2114" priority="1" operator="equal">
      <formula>"Energia"</formula>
    </cfRule>
    <cfRule type="cellIs" dxfId="2113" priority="3" operator="equal">
      <formula>"Operação"</formula>
    </cfRule>
    <cfRule type="cellIs" dxfId="2112" priority="4" operator="equal">
      <formula>"Chuva"</formula>
    </cfRule>
    <cfRule type="cellIs" dxfId="2111" priority="5" operator="equal">
      <formula>"Elétrico"</formula>
    </cfRule>
    <cfRule type="cellIs" dxfId="2110" priority="6" operator="equal">
      <formula>"Mecânico"</formula>
    </cfRule>
    <cfRule type="cellIs" dxfId="2109" priority="7" operator="equal">
      <formula>"Ok"</formula>
    </cfRule>
  </conditionalFormatting>
  <conditionalFormatting sqref="C5:J61">
    <cfRule type="cellIs" dxfId="2108" priority="2" operator="equal">
      <formula>"Feito"</formula>
    </cfRule>
  </conditionalFormatting>
  <dataValidations count="1">
    <dataValidation type="list" allowBlank="1" showInputMessage="1" showErrorMessage="1" sqref="C5:K60" xr:uid="{6281C197-BAD3-4311-973E-B03CC4B4503A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91CF-0C1F-4E3F-9C45-DCA42B46C7BA}">
  <sheetPr codeName="Planilha7"/>
  <dimension ref="B3:O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4" sqref="M4:O4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  <col min="15" max="15" width="10.7109375" bestFit="1" customWidth="1"/>
  </cols>
  <sheetData>
    <row r="3" spans="2:15" x14ac:dyDescent="0.25">
      <c r="C3" s="3">
        <v>44234</v>
      </c>
      <c r="D3" s="3">
        <f>C3+1</f>
        <v>44235</v>
      </c>
      <c r="E3" s="3">
        <f t="shared" ref="E3:J3" si="0">D3+1</f>
        <v>44236</v>
      </c>
      <c r="F3" s="3">
        <f t="shared" si="0"/>
        <v>44237</v>
      </c>
      <c r="G3" s="3">
        <f t="shared" si="0"/>
        <v>44238</v>
      </c>
      <c r="H3" s="3">
        <f t="shared" si="0"/>
        <v>44239</v>
      </c>
      <c r="I3" s="3">
        <f t="shared" si="0"/>
        <v>44240</v>
      </c>
      <c r="J3" s="3">
        <f t="shared" si="0"/>
        <v>44241</v>
      </c>
    </row>
    <row r="4" spans="2:15" x14ac:dyDescent="0.25">
      <c r="B4" s="2" t="s">
        <v>0</v>
      </c>
      <c r="C4" s="1" t="str">
        <f>TEXT(C3,"ddd")</f>
        <v>dom</v>
      </c>
      <c r="D4" s="1" t="str">
        <f t="shared" ref="D4:J4" si="1">TEXT(D3,"ddd")</f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J4" s="1" t="str">
        <f t="shared" si="1"/>
        <v>dom</v>
      </c>
      <c r="L4" s="11" t="s">
        <v>1</v>
      </c>
      <c r="M4" s="49" t="s">
        <v>32</v>
      </c>
      <c r="N4" s="50" t="s">
        <v>33</v>
      </c>
      <c r="O4" s="51" t="s">
        <v>34</v>
      </c>
    </row>
    <row r="5" spans="2:15" x14ac:dyDescent="0.25">
      <c r="B5" s="4">
        <v>1</v>
      </c>
      <c r="C5" t="s">
        <v>7</v>
      </c>
      <c r="L5" s="5" t="s">
        <v>2</v>
      </c>
      <c r="M5">
        <f>COUNTIF($C$5:$J$60,L5)</f>
        <v>10</v>
      </c>
      <c r="N5" s="53">
        <f>M5/$M$11</f>
        <v>0.25</v>
      </c>
      <c r="O5" s="52">
        <v>44234</v>
      </c>
    </row>
    <row r="6" spans="2:15" x14ac:dyDescent="0.25">
      <c r="B6" s="4">
        <v>2</v>
      </c>
      <c r="C6" t="s">
        <v>3</v>
      </c>
      <c r="I6" t="s">
        <v>2</v>
      </c>
      <c r="L6" s="6" t="s">
        <v>5</v>
      </c>
      <c r="M6">
        <f t="shared" ref="M6:M10" si="2">COUNTIF($C$5:$J$60,L6)</f>
        <v>2</v>
      </c>
      <c r="N6" s="53">
        <f t="shared" ref="N6:N10" si="3">M6/$M$11</f>
        <v>0.05</v>
      </c>
    </row>
    <row r="7" spans="2:15" x14ac:dyDescent="0.25">
      <c r="B7" s="4">
        <v>3</v>
      </c>
      <c r="L7" s="7" t="s">
        <v>6</v>
      </c>
      <c r="M7">
        <f t="shared" si="2"/>
        <v>1</v>
      </c>
      <c r="N7" s="53">
        <f>M7/$M$11</f>
        <v>2.5000000000000001E-2</v>
      </c>
    </row>
    <row r="8" spans="2:15" x14ac:dyDescent="0.25">
      <c r="B8" s="4">
        <v>4</v>
      </c>
      <c r="L8" s="8" t="s">
        <v>4</v>
      </c>
      <c r="M8">
        <f t="shared" si="2"/>
        <v>0</v>
      </c>
      <c r="N8" s="53">
        <f t="shared" si="3"/>
        <v>0</v>
      </c>
    </row>
    <row r="9" spans="2:15" x14ac:dyDescent="0.25">
      <c r="B9" s="4">
        <v>5</v>
      </c>
      <c r="C9" t="s">
        <v>3</v>
      </c>
      <c r="L9" s="9" t="s">
        <v>3</v>
      </c>
      <c r="M9">
        <f t="shared" si="2"/>
        <v>26</v>
      </c>
      <c r="N9" s="53">
        <f t="shared" si="3"/>
        <v>0.65</v>
      </c>
    </row>
    <row r="10" spans="2:15" x14ac:dyDescent="0.25">
      <c r="B10" s="4">
        <v>6</v>
      </c>
      <c r="L10" s="10" t="s">
        <v>7</v>
      </c>
      <c r="M10">
        <f t="shared" si="2"/>
        <v>1</v>
      </c>
      <c r="N10" s="53">
        <f t="shared" si="3"/>
        <v>2.5000000000000001E-2</v>
      </c>
    </row>
    <row r="11" spans="2:15" x14ac:dyDescent="0.25">
      <c r="B11" s="4">
        <v>7</v>
      </c>
      <c r="C11" t="s">
        <v>3</v>
      </c>
      <c r="M11">
        <f>SUM(M5:M10)</f>
        <v>40</v>
      </c>
    </row>
    <row r="12" spans="2:15" x14ac:dyDescent="0.25">
      <c r="B12" s="4">
        <v>8</v>
      </c>
    </row>
    <row r="13" spans="2:15" x14ac:dyDescent="0.25">
      <c r="B13" s="4">
        <v>9</v>
      </c>
    </row>
    <row r="14" spans="2:15" x14ac:dyDescent="0.25">
      <c r="B14" s="4">
        <v>10</v>
      </c>
      <c r="C14" t="s">
        <v>3</v>
      </c>
    </row>
    <row r="15" spans="2:15" x14ac:dyDescent="0.25">
      <c r="B15" s="4">
        <v>11</v>
      </c>
    </row>
    <row r="16" spans="2:15" x14ac:dyDescent="0.25">
      <c r="B16" s="4">
        <v>12</v>
      </c>
      <c r="C16" t="s">
        <v>3</v>
      </c>
    </row>
    <row r="17" spans="2:9" x14ac:dyDescent="0.25">
      <c r="B17" s="4">
        <v>13</v>
      </c>
      <c r="C17" t="s">
        <v>2</v>
      </c>
    </row>
    <row r="18" spans="2:9" x14ac:dyDescent="0.25">
      <c r="B18" s="4">
        <v>14</v>
      </c>
    </row>
    <row r="19" spans="2:9" x14ac:dyDescent="0.25">
      <c r="B19" s="4">
        <v>15</v>
      </c>
      <c r="C19" t="s">
        <v>3</v>
      </c>
    </row>
    <row r="20" spans="2:9" x14ac:dyDescent="0.25">
      <c r="B20" s="4">
        <v>16</v>
      </c>
      <c r="C20" t="s">
        <v>2</v>
      </c>
    </row>
    <row r="21" spans="2:9" x14ac:dyDescent="0.25">
      <c r="B21" s="4">
        <v>17</v>
      </c>
      <c r="I21" t="s">
        <v>2</v>
      </c>
    </row>
    <row r="22" spans="2:9" x14ac:dyDescent="0.25">
      <c r="B22" s="4">
        <v>18</v>
      </c>
    </row>
    <row r="23" spans="2:9" x14ac:dyDescent="0.25">
      <c r="B23" s="4">
        <v>19</v>
      </c>
      <c r="C23" t="s">
        <v>3</v>
      </c>
    </row>
    <row r="24" spans="2:9" x14ac:dyDescent="0.25">
      <c r="B24" s="4">
        <v>20</v>
      </c>
      <c r="C24" t="s">
        <v>3</v>
      </c>
    </row>
    <row r="25" spans="2:9" x14ac:dyDescent="0.25">
      <c r="B25" s="4">
        <v>21</v>
      </c>
    </row>
    <row r="26" spans="2:9" x14ac:dyDescent="0.25">
      <c r="B26" s="4">
        <v>22</v>
      </c>
    </row>
    <row r="27" spans="2:9" x14ac:dyDescent="0.25">
      <c r="B27" s="4">
        <v>23</v>
      </c>
      <c r="C27" t="s">
        <v>3</v>
      </c>
    </row>
    <row r="28" spans="2:9" x14ac:dyDescent="0.25">
      <c r="B28" s="4">
        <v>24</v>
      </c>
    </row>
    <row r="29" spans="2:9" x14ac:dyDescent="0.25">
      <c r="B29" s="4">
        <v>25</v>
      </c>
      <c r="C29" t="s">
        <v>3</v>
      </c>
      <c r="I29" t="s">
        <v>2</v>
      </c>
    </row>
    <row r="30" spans="2:9" x14ac:dyDescent="0.25">
      <c r="B30" s="4">
        <v>26</v>
      </c>
    </row>
    <row r="31" spans="2:9" x14ac:dyDescent="0.25">
      <c r="B31" s="4">
        <v>27</v>
      </c>
      <c r="C31" t="s">
        <v>3</v>
      </c>
    </row>
    <row r="32" spans="2:9" x14ac:dyDescent="0.25">
      <c r="B32" s="4">
        <v>28</v>
      </c>
    </row>
    <row r="33" spans="2:9" x14ac:dyDescent="0.25">
      <c r="B33" s="4">
        <v>29</v>
      </c>
      <c r="C33" t="s">
        <v>2</v>
      </c>
    </row>
    <row r="34" spans="2:9" x14ac:dyDescent="0.25">
      <c r="B34" s="4">
        <v>30</v>
      </c>
    </row>
    <row r="35" spans="2:9" x14ac:dyDescent="0.25">
      <c r="B35" s="4">
        <v>31</v>
      </c>
      <c r="C35" t="s">
        <v>3</v>
      </c>
    </row>
    <row r="36" spans="2:9" x14ac:dyDescent="0.25">
      <c r="B36" s="4">
        <v>32</v>
      </c>
    </row>
    <row r="37" spans="2:9" x14ac:dyDescent="0.25">
      <c r="B37" s="4">
        <v>33</v>
      </c>
    </row>
    <row r="38" spans="2:9" x14ac:dyDescent="0.25">
      <c r="B38" s="4">
        <v>34</v>
      </c>
      <c r="C38" t="s">
        <v>3</v>
      </c>
    </row>
    <row r="39" spans="2:9" x14ac:dyDescent="0.25">
      <c r="B39" s="4">
        <v>35</v>
      </c>
      <c r="C39" t="s">
        <v>3</v>
      </c>
    </row>
    <row r="40" spans="2:9" x14ac:dyDescent="0.25">
      <c r="B40" s="4">
        <v>36</v>
      </c>
      <c r="C40" t="s">
        <v>3</v>
      </c>
    </row>
    <row r="41" spans="2:9" x14ac:dyDescent="0.25">
      <c r="B41" s="4">
        <v>37</v>
      </c>
    </row>
    <row r="42" spans="2:9" x14ac:dyDescent="0.25">
      <c r="B42" s="4">
        <v>38</v>
      </c>
      <c r="I42" t="s">
        <v>2</v>
      </c>
    </row>
    <row r="43" spans="2:9" x14ac:dyDescent="0.25">
      <c r="B43" s="4">
        <v>39</v>
      </c>
      <c r="C43" t="s">
        <v>6</v>
      </c>
      <c r="I43" t="s">
        <v>5</v>
      </c>
    </row>
    <row r="44" spans="2:9" x14ac:dyDescent="0.25">
      <c r="B44" s="4">
        <v>40</v>
      </c>
    </row>
    <row r="45" spans="2:9" x14ac:dyDescent="0.25">
      <c r="B45" s="4">
        <v>41</v>
      </c>
      <c r="C45" t="s">
        <v>3</v>
      </c>
    </row>
    <row r="46" spans="2:9" x14ac:dyDescent="0.25">
      <c r="B46" s="4">
        <v>42</v>
      </c>
      <c r="I46" t="s">
        <v>2</v>
      </c>
    </row>
    <row r="47" spans="2:9" x14ac:dyDescent="0.25">
      <c r="B47" s="4">
        <v>43</v>
      </c>
      <c r="C47" t="s">
        <v>3</v>
      </c>
    </row>
    <row r="48" spans="2:9" x14ac:dyDescent="0.25">
      <c r="B48" s="4">
        <v>44</v>
      </c>
      <c r="C48" t="s">
        <v>3</v>
      </c>
    </row>
    <row r="49" spans="2:9" x14ac:dyDescent="0.25">
      <c r="B49" s="4">
        <v>45</v>
      </c>
      <c r="C49" t="s">
        <v>3</v>
      </c>
    </row>
    <row r="50" spans="2:9" x14ac:dyDescent="0.25">
      <c r="B50" s="4">
        <v>46</v>
      </c>
      <c r="C50" t="s">
        <v>3</v>
      </c>
    </row>
    <row r="51" spans="2:9" x14ac:dyDescent="0.25">
      <c r="B51" s="4">
        <v>47</v>
      </c>
    </row>
    <row r="52" spans="2:9" x14ac:dyDescent="0.25">
      <c r="B52" s="4">
        <v>48</v>
      </c>
    </row>
    <row r="53" spans="2:9" x14ac:dyDescent="0.25">
      <c r="B53" s="4">
        <v>49</v>
      </c>
      <c r="C53" t="s">
        <v>3</v>
      </c>
    </row>
    <row r="54" spans="2:9" x14ac:dyDescent="0.25">
      <c r="B54" s="4">
        <v>50</v>
      </c>
      <c r="C54" t="s">
        <v>3</v>
      </c>
      <c r="I54" t="s">
        <v>2</v>
      </c>
    </row>
    <row r="55" spans="2:9" x14ac:dyDescent="0.25">
      <c r="B55" s="4">
        <v>51</v>
      </c>
      <c r="C55" t="s">
        <v>3</v>
      </c>
      <c r="I55" t="s">
        <v>2</v>
      </c>
    </row>
    <row r="56" spans="2:9" x14ac:dyDescent="0.25">
      <c r="B56" s="4">
        <v>52</v>
      </c>
    </row>
    <row r="57" spans="2:9" x14ac:dyDescent="0.25">
      <c r="B57" s="4">
        <v>53</v>
      </c>
      <c r="C57" t="s">
        <v>3</v>
      </c>
    </row>
    <row r="58" spans="2:9" x14ac:dyDescent="0.25">
      <c r="B58" s="4">
        <v>54</v>
      </c>
      <c r="C58" t="s">
        <v>3</v>
      </c>
    </row>
    <row r="59" spans="2:9" x14ac:dyDescent="0.25">
      <c r="B59" s="4">
        <v>55</v>
      </c>
      <c r="C59" t="s">
        <v>3</v>
      </c>
    </row>
    <row r="60" spans="2:9" x14ac:dyDescent="0.25">
      <c r="B60" s="4">
        <v>56</v>
      </c>
      <c r="C60" t="s">
        <v>5</v>
      </c>
    </row>
  </sheetData>
  <conditionalFormatting sqref="C5:H11">
    <cfRule type="cellIs" dxfId="2107" priority="8" operator="equal">
      <formula>"Energia"</formula>
    </cfRule>
  </conditionalFormatting>
  <conditionalFormatting sqref="C5:J60">
    <cfRule type="cellIs" dxfId="2106" priority="1" operator="equal">
      <formula>"Energia"</formula>
    </cfRule>
    <cfRule type="cellIs" dxfId="2105" priority="3" operator="equal">
      <formula>"Operação"</formula>
    </cfRule>
    <cfRule type="cellIs" dxfId="2104" priority="4" operator="equal">
      <formula>"Chuva"</formula>
    </cfRule>
    <cfRule type="cellIs" dxfId="2103" priority="5" operator="equal">
      <formula>"Elétrico"</formula>
    </cfRule>
    <cfRule type="cellIs" dxfId="2102" priority="6" operator="equal">
      <formula>"Mecânico"</formula>
    </cfRule>
    <cfRule type="cellIs" dxfId="2101" priority="7" operator="equal">
      <formula>"Ok"</formula>
    </cfRule>
  </conditionalFormatting>
  <conditionalFormatting sqref="C5:J61">
    <cfRule type="cellIs" dxfId="2100" priority="2" operator="equal">
      <formula>"Feito"</formula>
    </cfRule>
  </conditionalFormatting>
  <dataValidations count="1">
    <dataValidation type="list" allowBlank="1" showInputMessage="1" showErrorMessage="1" sqref="C5:K60" xr:uid="{D3497DA1-9B27-4E4A-A747-7631B4AA880F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C581B-727E-4481-ACE8-BBC47BD32569}">
  <sheetPr codeName="Planilha8"/>
  <dimension ref="B3:O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4" sqref="M4:O4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  <col min="15" max="15" width="10.7109375" bestFit="1" customWidth="1"/>
  </cols>
  <sheetData>
    <row r="3" spans="2:15" x14ac:dyDescent="0.25">
      <c r="C3" s="3">
        <v>44242</v>
      </c>
      <c r="D3" s="3">
        <f>C3+1</f>
        <v>44243</v>
      </c>
      <c r="E3" s="3">
        <f t="shared" ref="E3:J3" si="0">D3+1</f>
        <v>44244</v>
      </c>
      <c r="F3" s="3">
        <f t="shared" si="0"/>
        <v>44245</v>
      </c>
      <c r="G3" s="3">
        <f t="shared" si="0"/>
        <v>44246</v>
      </c>
      <c r="H3" s="3">
        <f t="shared" si="0"/>
        <v>44247</v>
      </c>
      <c r="I3" s="3">
        <f t="shared" si="0"/>
        <v>44248</v>
      </c>
      <c r="J3" s="3">
        <f t="shared" si="0"/>
        <v>44249</v>
      </c>
    </row>
    <row r="4" spans="2:15" x14ac:dyDescent="0.25">
      <c r="B4" s="2" t="s">
        <v>0</v>
      </c>
      <c r="C4" s="1" t="str">
        <f>TEXT(C3,"ddd")</f>
        <v>seg</v>
      </c>
      <c r="D4" s="1" t="str">
        <f t="shared" ref="D4:J4" si="1">TEXT(D3,"ddd")</f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J4" s="1" t="str">
        <f t="shared" si="1"/>
        <v>seg</v>
      </c>
      <c r="L4" s="11" t="s">
        <v>1</v>
      </c>
      <c r="M4" s="49" t="s">
        <v>32</v>
      </c>
      <c r="N4" s="50" t="s">
        <v>33</v>
      </c>
      <c r="O4" s="51" t="s">
        <v>34</v>
      </c>
    </row>
    <row r="5" spans="2:15" x14ac:dyDescent="0.25">
      <c r="B5" s="4">
        <v>1</v>
      </c>
      <c r="L5" s="5" t="s">
        <v>2</v>
      </c>
      <c r="M5">
        <f>COUNTIF($C$5:$J$60,L5)</f>
        <v>9</v>
      </c>
      <c r="N5" s="53">
        <f>M5/$M$11</f>
        <v>0.5</v>
      </c>
      <c r="O5" s="52">
        <v>44242</v>
      </c>
    </row>
    <row r="6" spans="2:15" x14ac:dyDescent="0.25">
      <c r="B6" s="4">
        <v>2</v>
      </c>
      <c r="C6" t="s">
        <v>2</v>
      </c>
      <c r="J6" t="s">
        <v>2</v>
      </c>
      <c r="L6" s="6" t="s">
        <v>5</v>
      </c>
      <c r="M6">
        <f t="shared" ref="M6:M10" si="2">COUNTIF($C$5:$J$60,L6)</f>
        <v>6</v>
      </c>
      <c r="N6" s="53">
        <f t="shared" ref="N6:N10" si="3">M6/$M$11</f>
        <v>0.33333333333333331</v>
      </c>
    </row>
    <row r="7" spans="2:15" x14ac:dyDescent="0.25">
      <c r="B7" s="4">
        <v>3</v>
      </c>
      <c r="E7" t="s">
        <v>2</v>
      </c>
      <c r="F7" t="s">
        <v>2</v>
      </c>
      <c r="L7" s="7" t="s">
        <v>6</v>
      </c>
      <c r="M7">
        <f t="shared" si="2"/>
        <v>0</v>
      </c>
      <c r="N7" s="53">
        <f t="shared" si="3"/>
        <v>0</v>
      </c>
    </row>
    <row r="8" spans="2:15" x14ac:dyDescent="0.25">
      <c r="B8" s="4">
        <v>4</v>
      </c>
      <c r="L8" s="8" t="s">
        <v>4</v>
      </c>
      <c r="M8">
        <f t="shared" si="2"/>
        <v>0</v>
      </c>
      <c r="N8" s="53">
        <f t="shared" si="3"/>
        <v>0</v>
      </c>
    </row>
    <row r="9" spans="2:15" x14ac:dyDescent="0.25">
      <c r="B9" s="4">
        <v>5</v>
      </c>
      <c r="L9" s="9" t="s">
        <v>3</v>
      </c>
      <c r="M9">
        <f t="shared" si="2"/>
        <v>1</v>
      </c>
      <c r="N9" s="53">
        <f t="shared" si="3"/>
        <v>5.5555555555555552E-2</v>
      </c>
    </row>
    <row r="10" spans="2:15" x14ac:dyDescent="0.25">
      <c r="B10" s="4">
        <v>6</v>
      </c>
      <c r="L10" s="10" t="s">
        <v>7</v>
      </c>
      <c r="M10">
        <f t="shared" si="2"/>
        <v>2</v>
      </c>
      <c r="N10" s="53">
        <f t="shared" si="3"/>
        <v>0.1111111111111111</v>
      </c>
    </row>
    <row r="11" spans="2:15" x14ac:dyDescent="0.25">
      <c r="B11" s="4">
        <v>7</v>
      </c>
      <c r="M11">
        <f>SUM(M5:M10)</f>
        <v>18</v>
      </c>
    </row>
    <row r="12" spans="2:15" x14ac:dyDescent="0.25">
      <c r="B12" s="4">
        <v>8</v>
      </c>
    </row>
    <row r="13" spans="2:15" x14ac:dyDescent="0.25">
      <c r="B13" s="4">
        <v>9</v>
      </c>
    </row>
    <row r="14" spans="2:15" x14ac:dyDescent="0.25">
      <c r="B14" s="4">
        <v>10</v>
      </c>
    </row>
    <row r="15" spans="2:15" x14ac:dyDescent="0.25">
      <c r="B15" s="4">
        <v>11</v>
      </c>
    </row>
    <row r="16" spans="2:15" x14ac:dyDescent="0.25">
      <c r="B16" s="4">
        <v>12</v>
      </c>
    </row>
    <row r="17" spans="2:10" x14ac:dyDescent="0.25">
      <c r="B17" s="4">
        <v>13</v>
      </c>
    </row>
    <row r="18" spans="2:10" x14ac:dyDescent="0.25">
      <c r="B18" s="4">
        <v>14</v>
      </c>
    </row>
    <row r="19" spans="2:10" x14ac:dyDescent="0.25">
      <c r="B19" s="4">
        <v>15</v>
      </c>
    </row>
    <row r="20" spans="2:10" x14ac:dyDescent="0.25">
      <c r="B20" s="4">
        <v>16</v>
      </c>
    </row>
    <row r="21" spans="2:10" x14ac:dyDescent="0.25">
      <c r="B21" s="4">
        <v>17</v>
      </c>
    </row>
    <row r="22" spans="2:10" x14ac:dyDescent="0.25">
      <c r="B22" s="4">
        <v>18</v>
      </c>
      <c r="J22" t="s">
        <v>2</v>
      </c>
    </row>
    <row r="23" spans="2:10" x14ac:dyDescent="0.25">
      <c r="B23" s="4">
        <v>19</v>
      </c>
      <c r="C23" t="s">
        <v>3</v>
      </c>
      <c r="G23" t="s">
        <v>2</v>
      </c>
    </row>
    <row r="24" spans="2:10" x14ac:dyDescent="0.25">
      <c r="B24" s="4">
        <v>20</v>
      </c>
      <c r="F24" t="s">
        <v>7</v>
      </c>
    </row>
    <row r="25" spans="2:10" x14ac:dyDescent="0.25">
      <c r="B25" s="4">
        <v>21</v>
      </c>
    </row>
    <row r="26" spans="2:10" x14ac:dyDescent="0.25">
      <c r="B26" s="4">
        <v>22</v>
      </c>
    </row>
    <row r="27" spans="2:10" x14ac:dyDescent="0.25">
      <c r="B27" s="4">
        <v>23</v>
      </c>
    </row>
    <row r="28" spans="2:10" x14ac:dyDescent="0.25">
      <c r="B28" s="4">
        <v>24</v>
      </c>
      <c r="E28" t="s">
        <v>5</v>
      </c>
    </row>
    <row r="29" spans="2:10" x14ac:dyDescent="0.25">
      <c r="B29" s="4">
        <v>25</v>
      </c>
      <c r="C29" t="s">
        <v>2</v>
      </c>
    </row>
    <row r="30" spans="2:10" x14ac:dyDescent="0.25">
      <c r="B30" s="4">
        <v>26</v>
      </c>
    </row>
    <row r="31" spans="2:10" x14ac:dyDescent="0.25">
      <c r="B31" s="4">
        <v>27</v>
      </c>
    </row>
    <row r="32" spans="2:10" x14ac:dyDescent="0.25">
      <c r="B32" s="4">
        <v>28</v>
      </c>
    </row>
    <row r="33" spans="2:10" x14ac:dyDescent="0.25">
      <c r="B33" s="4">
        <v>29</v>
      </c>
      <c r="C33" t="s">
        <v>2</v>
      </c>
      <c r="D33" t="s">
        <v>2</v>
      </c>
    </row>
    <row r="34" spans="2:10" x14ac:dyDescent="0.25">
      <c r="B34" s="4">
        <v>30</v>
      </c>
    </row>
    <row r="35" spans="2:10" x14ac:dyDescent="0.25">
      <c r="B35" s="4">
        <v>31</v>
      </c>
    </row>
    <row r="36" spans="2:10" x14ac:dyDescent="0.25">
      <c r="B36" s="4">
        <v>32</v>
      </c>
      <c r="C36" t="s">
        <v>5</v>
      </c>
      <c r="D36" t="s">
        <v>5</v>
      </c>
      <c r="E36" t="s">
        <v>5</v>
      </c>
      <c r="F36" t="s">
        <v>5</v>
      </c>
      <c r="G36" t="s">
        <v>5</v>
      </c>
      <c r="J36" t="s">
        <v>7</v>
      </c>
    </row>
    <row r="37" spans="2:10" x14ac:dyDescent="0.25">
      <c r="B37" s="4">
        <v>33</v>
      </c>
    </row>
    <row r="38" spans="2:10" x14ac:dyDescent="0.25">
      <c r="B38" s="4">
        <v>34</v>
      </c>
    </row>
    <row r="39" spans="2:10" x14ac:dyDescent="0.25">
      <c r="B39" s="4">
        <v>35</v>
      </c>
    </row>
    <row r="40" spans="2:10" x14ac:dyDescent="0.25">
      <c r="B40" s="4">
        <v>36</v>
      </c>
    </row>
    <row r="41" spans="2:10" x14ac:dyDescent="0.25">
      <c r="B41" s="4">
        <v>37</v>
      </c>
    </row>
    <row r="42" spans="2:10" x14ac:dyDescent="0.25">
      <c r="B42" s="4">
        <v>38</v>
      </c>
    </row>
    <row r="43" spans="2:10" x14ac:dyDescent="0.25">
      <c r="B43" s="4">
        <v>39</v>
      </c>
    </row>
    <row r="44" spans="2:10" x14ac:dyDescent="0.25">
      <c r="B44" s="4">
        <v>40</v>
      </c>
    </row>
    <row r="45" spans="2:10" x14ac:dyDescent="0.25">
      <c r="B45" s="4">
        <v>41</v>
      </c>
    </row>
    <row r="46" spans="2:10" x14ac:dyDescent="0.25">
      <c r="B46" s="4">
        <v>42</v>
      </c>
    </row>
    <row r="47" spans="2:10" x14ac:dyDescent="0.25">
      <c r="B47" s="4">
        <v>43</v>
      </c>
    </row>
    <row r="48" spans="2:10" x14ac:dyDescent="0.25">
      <c r="B48" s="4">
        <v>44</v>
      </c>
    </row>
    <row r="49" spans="2:2" x14ac:dyDescent="0.25">
      <c r="B49" s="4">
        <v>45</v>
      </c>
    </row>
    <row r="50" spans="2:2" x14ac:dyDescent="0.25">
      <c r="B50" s="4">
        <v>46</v>
      </c>
    </row>
    <row r="51" spans="2:2" x14ac:dyDescent="0.25">
      <c r="B51" s="4">
        <v>47</v>
      </c>
    </row>
    <row r="52" spans="2:2" x14ac:dyDescent="0.25">
      <c r="B52" s="4">
        <v>48</v>
      </c>
    </row>
    <row r="53" spans="2:2" x14ac:dyDescent="0.25">
      <c r="B53" s="4">
        <v>49</v>
      </c>
    </row>
    <row r="54" spans="2:2" x14ac:dyDescent="0.25">
      <c r="B54" s="4">
        <v>50</v>
      </c>
    </row>
    <row r="55" spans="2:2" x14ac:dyDescent="0.25">
      <c r="B55" s="4">
        <v>51</v>
      </c>
    </row>
    <row r="56" spans="2:2" x14ac:dyDescent="0.25">
      <c r="B56" s="4">
        <v>52</v>
      </c>
    </row>
    <row r="57" spans="2:2" x14ac:dyDescent="0.25">
      <c r="B57" s="4">
        <v>53</v>
      </c>
    </row>
    <row r="58" spans="2:2" x14ac:dyDescent="0.25">
      <c r="B58" s="4">
        <v>54</v>
      </c>
    </row>
    <row r="59" spans="2:2" x14ac:dyDescent="0.25">
      <c r="B59" s="4">
        <v>55</v>
      </c>
    </row>
    <row r="60" spans="2:2" x14ac:dyDescent="0.25">
      <c r="B60" s="4">
        <v>56</v>
      </c>
    </row>
    <row r="66" spans="2:13" x14ac:dyDescent="0.25">
      <c r="C66" s="3">
        <v>44242</v>
      </c>
      <c r="D66" s="3">
        <f>C66+1</f>
        <v>44243</v>
      </c>
      <c r="E66" s="3">
        <f t="shared" ref="E66" si="4">D66+1</f>
        <v>44244</v>
      </c>
      <c r="F66" s="3">
        <f t="shared" ref="F66" si="5">E66+1</f>
        <v>44245</v>
      </c>
      <c r="G66" s="3">
        <f t="shared" ref="G66" si="6">F66+1</f>
        <v>44246</v>
      </c>
      <c r="H66" s="3">
        <f t="shared" ref="H66" si="7">G66+1</f>
        <v>44247</v>
      </c>
      <c r="I66" s="3">
        <f t="shared" ref="I66" si="8">H66+1</f>
        <v>44248</v>
      </c>
      <c r="J66" s="3">
        <f t="shared" ref="J66" si="9">I66+1</f>
        <v>44249</v>
      </c>
    </row>
    <row r="67" spans="2:13" x14ac:dyDescent="0.25">
      <c r="B67" s="2" t="s">
        <v>0</v>
      </c>
      <c r="C67" s="1" t="str">
        <f>TEXT(C66,"ddd")</f>
        <v>seg</v>
      </c>
      <c r="D67" s="1" t="str">
        <f t="shared" ref="D67:J67" si="10">TEXT(D66,"ddd")</f>
        <v>ter</v>
      </c>
      <c r="E67" s="1" t="str">
        <f t="shared" si="10"/>
        <v>qua</v>
      </c>
      <c r="F67" s="1" t="str">
        <f t="shared" si="10"/>
        <v>qui</v>
      </c>
      <c r="G67" s="1" t="str">
        <f t="shared" si="10"/>
        <v>sex</v>
      </c>
      <c r="H67" s="1" t="str">
        <f t="shared" si="10"/>
        <v>sáb</v>
      </c>
      <c r="I67" s="1" t="str">
        <f t="shared" si="10"/>
        <v>dom</v>
      </c>
      <c r="J67" s="1" t="str">
        <f t="shared" si="10"/>
        <v>seg</v>
      </c>
      <c r="L67" s="11" t="s">
        <v>5</v>
      </c>
    </row>
    <row r="68" spans="2:13" x14ac:dyDescent="0.25">
      <c r="B68" s="4">
        <v>1</v>
      </c>
      <c r="L68" s="12" t="s">
        <v>8</v>
      </c>
      <c r="M68">
        <f>COUNTIF($C$68:$J$123,L68)</f>
        <v>2</v>
      </c>
    </row>
    <row r="69" spans="2:13" x14ac:dyDescent="0.25">
      <c r="B69" s="4">
        <v>2</v>
      </c>
      <c r="L69" s="13" t="s">
        <v>9</v>
      </c>
      <c r="M69">
        <f t="shared" ref="M69:M73" si="11">COUNTIF($C$68:$J$123,L69)</f>
        <v>5</v>
      </c>
    </row>
    <row r="70" spans="2:13" x14ac:dyDescent="0.25">
      <c r="B70" s="4">
        <v>3</v>
      </c>
      <c r="L70" s="7" t="s">
        <v>10</v>
      </c>
      <c r="M70">
        <f t="shared" si="11"/>
        <v>5</v>
      </c>
    </row>
    <row r="71" spans="2:13" x14ac:dyDescent="0.25">
      <c r="B71" s="4">
        <v>4</v>
      </c>
      <c r="L71" s="8" t="s">
        <v>11</v>
      </c>
      <c r="M71">
        <f t="shared" si="11"/>
        <v>0</v>
      </c>
    </row>
    <row r="72" spans="2:13" x14ac:dyDescent="0.25">
      <c r="B72" s="4">
        <v>5</v>
      </c>
      <c r="L72" s="14" t="s">
        <v>12</v>
      </c>
      <c r="M72">
        <f t="shared" si="11"/>
        <v>0</v>
      </c>
    </row>
    <row r="73" spans="2:13" x14ac:dyDescent="0.25">
      <c r="B73" s="4">
        <v>6</v>
      </c>
      <c r="L73" s="15" t="s">
        <v>13</v>
      </c>
      <c r="M73">
        <f t="shared" si="11"/>
        <v>0</v>
      </c>
    </row>
    <row r="74" spans="2:13" x14ac:dyDescent="0.25">
      <c r="B74" s="4">
        <v>7</v>
      </c>
      <c r="M74">
        <f>SUM(M68:M73)</f>
        <v>12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9" x14ac:dyDescent="0.25">
      <c r="B81" s="4">
        <v>14</v>
      </c>
    </row>
    <row r="82" spans="2:9" x14ac:dyDescent="0.25">
      <c r="B82" s="4">
        <v>15</v>
      </c>
    </row>
    <row r="83" spans="2:9" x14ac:dyDescent="0.25">
      <c r="B83" s="4">
        <v>16</v>
      </c>
    </row>
    <row r="84" spans="2:9" x14ac:dyDescent="0.25">
      <c r="B84" s="4">
        <v>17</v>
      </c>
    </row>
    <row r="85" spans="2:9" x14ac:dyDescent="0.25">
      <c r="B85" s="4">
        <v>18</v>
      </c>
    </row>
    <row r="86" spans="2:9" x14ac:dyDescent="0.25">
      <c r="B86" s="4">
        <v>19</v>
      </c>
    </row>
    <row r="87" spans="2:9" x14ac:dyDescent="0.25">
      <c r="B87" s="4">
        <v>20</v>
      </c>
    </row>
    <row r="88" spans="2:9" x14ac:dyDescent="0.25">
      <c r="B88" s="4">
        <v>21</v>
      </c>
    </row>
    <row r="89" spans="2:9" x14ac:dyDescent="0.25">
      <c r="B89" s="4">
        <v>22</v>
      </c>
    </row>
    <row r="90" spans="2:9" x14ac:dyDescent="0.25">
      <c r="B90" s="4">
        <v>23</v>
      </c>
    </row>
    <row r="91" spans="2:9" x14ac:dyDescent="0.25">
      <c r="B91" s="4">
        <v>24</v>
      </c>
      <c r="E91" t="s">
        <v>10</v>
      </c>
      <c r="F91" t="s">
        <v>10</v>
      </c>
      <c r="G91" t="s">
        <v>10</v>
      </c>
      <c r="H91" t="s">
        <v>10</v>
      </c>
      <c r="I91" t="s">
        <v>10</v>
      </c>
    </row>
    <row r="92" spans="2:9" x14ac:dyDescent="0.25">
      <c r="B92" s="4">
        <v>25</v>
      </c>
    </row>
    <row r="93" spans="2:9" x14ac:dyDescent="0.25">
      <c r="B93" s="4">
        <v>26</v>
      </c>
    </row>
    <row r="94" spans="2:9" x14ac:dyDescent="0.25">
      <c r="B94" s="4">
        <v>27</v>
      </c>
    </row>
    <row r="95" spans="2:9" x14ac:dyDescent="0.25">
      <c r="B95" s="4">
        <v>28</v>
      </c>
    </row>
    <row r="96" spans="2:9" x14ac:dyDescent="0.25">
      <c r="B96" s="4">
        <v>29</v>
      </c>
    </row>
    <row r="97" spans="2:9" x14ac:dyDescent="0.25">
      <c r="B97" s="4">
        <v>30</v>
      </c>
    </row>
    <row r="98" spans="2:9" x14ac:dyDescent="0.25">
      <c r="B98" s="4">
        <v>31</v>
      </c>
    </row>
    <row r="99" spans="2:9" x14ac:dyDescent="0.25">
      <c r="B99" s="4">
        <v>32</v>
      </c>
      <c r="C99" t="s">
        <v>8</v>
      </c>
      <c r="D99" t="s">
        <v>8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</row>
    <row r="100" spans="2:9" x14ac:dyDescent="0.25">
      <c r="B100" s="4">
        <v>33</v>
      </c>
    </row>
    <row r="101" spans="2:9" x14ac:dyDescent="0.25">
      <c r="B101" s="4">
        <v>34</v>
      </c>
    </row>
    <row r="102" spans="2:9" x14ac:dyDescent="0.25">
      <c r="B102" s="4">
        <v>35</v>
      </c>
    </row>
    <row r="103" spans="2:9" x14ac:dyDescent="0.25">
      <c r="B103" s="4">
        <v>36</v>
      </c>
    </row>
    <row r="104" spans="2:9" x14ac:dyDescent="0.25">
      <c r="B104" s="4">
        <v>37</v>
      </c>
    </row>
    <row r="105" spans="2:9" x14ac:dyDescent="0.25">
      <c r="B105" s="4">
        <v>38</v>
      </c>
    </row>
    <row r="106" spans="2:9" x14ac:dyDescent="0.25">
      <c r="B106" s="4">
        <v>39</v>
      </c>
    </row>
    <row r="107" spans="2:9" x14ac:dyDescent="0.25">
      <c r="B107" s="4">
        <v>40</v>
      </c>
    </row>
    <row r="108" spans="2:9" x14ac:dyDescent="0.25">
      <c r="B108" s="4">
        <v>41</v>
      </c>
    </row>
    <row r="109" spans="2:9" x14ac:dyDescent="0.25">
      <c r="B109" s="4">
        <v>42</v>
      </c>
    </row>
    <row r="110" spans="2:9" x14ac:dyDescent="0.25">
      <c r="B110" s="4">
        <v>43</v>
      </c>
    </row>
    <row r="111" spans="2:9" x14ac:dyDescent="0.25">
      <c r="B111" s="4">
        <v>44</v>
      </c>
    </row>
    <row r="112" spans="2:9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H11">
    <cfRule type="cellIs" dxfId="2099" priority="24" operator="equal">
      <formula>"Energia"</formula>
    </cfRule>
  </conditionalFormatting>
  <conditionalFormatting sqref="C5:J60">
    <cfRule type="cellIs" dxfId="2098" priority="17" operator="equal">
      <formula>"Energia"</formula>
    </cfRule>
    <cfRule type="cellIs" dxfId="2097" priority="19" operator="equal">
      <formula>"Operação"</formula>
    </cfRule>
    <cfRule type="cellIs" dxfId="2096" priority="20" operator="equal">
      <formula>"Chuva"</formula>
    </cfRule>
    <cfRule type="cellIs" dxfId="2095" priority="21" operator="equal">
      <formula>"Elétrico"</formula>
    </cfRule>
    <cfRule type="cellIs" dxfId="2094" priority="22" operator="equal">
      <formula>"Mecânico"</formula>
    </cfRule>
    <cfRule type="cellIs" dxfId="2093" priority="23" operator="equal">
      <formula>"Ok"</formula>
    </cfRule>
  </conditionalFormatting>
  <conditionalFormatting sqref="C5:J61">
    <cfRule type="cellIs" dxfId="2092" priority="18" operator="equal">
      <formula>"Feito"</formula>
    </cfRule>
  </conditionalFormatting>
  <conditionalFormatting sqref="C68:H74">
    <cfRule type="cellIs" dxfId="2091" priority="16" operator="equal">
      <formula>"Energia"</formula>
    </cfRule>
  </conditionalFormatting>
  <conditionalFormatting sqref="C68:J123">
    <cfRule type="cellIs" dxfId="2090" priority="1" operator="equal">
      <formula>"Micro"</formula>
    </cfRule>
    <cfRule type="cellIs" dxfId="2089" priority="2" operator="equal">
      <formula>"Castanha"</formula>
    </cfRule>
    <cfRule type="cellIs" dxfId="2088" priority="3" operator="equal">
      <formula>"Redutor"</formula>
    </cfRule>
    <cfRule type="cellIs" dxfId="2087" priority="4" operator="equal">
      <formula>"Adutora"</formula>
    </cfRule>
    <cfRule type="cellIs" dxfId="2086" priority="5" operator="equal">
      <formula>"Mangote"</formula>
    </cfRule>
    <cfRule type="cellIs" dxfId="2085" priority="6" operator="equal">
      <formula>"Vedação"</formula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{05D25334-D3C7-4F6B-BB7B-F46E8B95E10E}</x14:id>
        </ext>
      </extLst>
    </cfRule>
    <cfRule type="cellIs" dxfId="2084" priority="9" operator="equal">
      <formula>"Energia"</formula>
    </cfRule>
    <cfRule type="cellIs" dxfId="2083" priority="11" operator="equal">
      <formula>"Operação"</formula>
    </cfRule>
    <cfRule type="cellIs" dxfId="2082" priority="12" operator="equal">
      <formula>"Chuva"</formula>
    </cfRule>
    <cfRule type="cellIs" dxfId="2081" priority="13" operator="equal">
      <formula>"Elétrico"</formula>
    </cfRule>
    <cfRule type="cellIs" dxfId="2080" priority="14" operator="equal">
      <formula>"Mecânico"</formula>
    </cfRule>
    <cfRule type="cellIs" dxfId="2079" priority="15" operator="equal">
      <formula>"Ok"</formula>
    </cfRule>
  </conditionalFormatting>
  <conditionalFormatting sqref="C68:J123">
    <cfRule type="cellIs" dxfId="2078" priority="10" operator="equal">
      <formula>"Feito"</formula>
    </cfRule>
  </conditionalFormatting>
  <conditionalFormatting sqref="L7">
    <cfRule type="iconSet" priority="7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5:K60 K68:K123" xr:uid="{C4867145-83A6-4481-8ACC-623BF4482CDB}">
      <formula1>$L$5:$L$10</formula1>
    </dataValidation>
    <dataValidation type="list" allowBlank="1" showInputMessage="1" showErrorMessage="1" sqref="C68:J123" xr:uid="{37D508E7-8BC4-412F-8B7A-1DDE4F68C286}">
      <formula1>$L$68:$L$73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D25334-D3C7-4F6B-BB7B-F46E8B95E10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DFBE-EF39-4938-9242-7055C79DFF96}">
  <sheetPr codeName="Planilha9"/>
  <dimension ref="B3:O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14" sqref="G14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  <col min="15" max="15" width="10.7109375" bestFit="1" customWidth="1"/>
  </cols>
  <sheetData>
    <row r="3" spans="2:15" x14ac:dyDescent="0.25">
      <c r="C3" s="3">
        <v>44250</v>
      </c>
      <c r="D3" s="3">
        <f>C3+1</f>
        <v>44251</v>
      </c>
      <c r="E3" s="3">
        <f t="shared" ref="E3:J3" si="0">D3+1</f>
        <v>44252</v>
      </c>
      <c r="F3" s="3">
        <f t="shared" si="0"/>
        <v>44253</v>
      </c>
      <c r="G3" s="3">
        <f t="shared" si="0"/>
        <v>44254</v>
      </c>
      <c r="H3" s="3">
        <f t="shared" si="0"/>
        <v>44255</v>
      </c>
      <c r="I3" s="3">
        <f t="shared" si="0"/>
        <v>44256</v>
      </c>
      <c r="J3" s="3">
        <f t="shared" si="0"/>
        <v>44257</v>
      </c>
    </row>
    <row r="4" spans="2:15" x14ac:dyDescent="0.25">
      <c r="B4" s="2" t="s">
        <v>0</v>
      </c>
      <c r="C4" s="1" t="str">
        <f>TEXT(C3,"ddd")</f>
        <v>ter</v>
      </c>
      <c r="D4" s="1" t="str">
        <f t="shared" ref="D4:J4" si="1">TEXT(D3,"ddd")</f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 t="str">
        <f t="shared" si="1"/>
        <v>seg</v>
      </c>
      <c r="J4" s="1" t="str">
        <f t="shared" si="1"/>
        <v>ter</v>
      </c>
      <c r="L4" s="11" t="s">
        <v>1</v>
      </c>
      <c r="M4" s="49" t="s">
        <v>32</v>
      </c>
      <c r="N4" s="50" t="s">
        <v>33</v>
      </c>
      <c r="O4" s="51" t="s">
        <v>34</v>
      </c>
    </row>
    <row r="5" spans="2:15" x14ac:dyDescent="0.25">
      <c r="B5" s="4">
        <v>1</v>
      </c>
      <c r="L5" s="5" t="s">
        <v>2</v>
      </c>
      <c r="M5">
        <f>COUNTIF($C$5:$J$60,L5)</f>
        <v>14</v>
      </c>
      <c r="N5" s="53">
        <f>M5/$M$11</f>
        <v>0.82352941176470584</v>
      </c>
      <c r="O5" s="52">
        <f>C3</f>
        <v>44250</v>
      </c>
    </row>
    <row r="6" spans="2:15" x14ac:dyDescent="0.25">
      <c r="B6" s="4">
        <v>2</v>
      </c>
      <c r="C6" t="s">
        <v>2</v>
      </c>
      <c r="J6" t="s">
        <v>2</v>
      </c>
      <c r="L6" s="6" t="s">
        <v>5</v>
      </c>
      <c r="M6">
        <f t="shared" ref="M6:M10" si="2">COUNTIF($C$5:$J$60,L6)</f>
        <v>1</v>
      </c>
      <c r="N6" s="53">
        <f t="shared" ref="N6:N10" si="3">M6/$M$11</f>
        <v>5.8823529411764705E-2</v>
      </c>
    </row>
    <row r="7" spans="2:15" x14ac:dyDescent="0.25">
      <c r="B7" s="4">
        <v>3</v>
      </c>
      <c r="D7" t="s">
        <v>3</v>
      </c>
      <c r="E7" t="s">
        <v>2</v>
      </c>
      <c r="I7" t="s">
        <v>2</v>
      </c>
      <c r="L7" s="7" t="s">
        <v>6</v>
      </c>
      <c r="M7">
        <f t="shared" si="2"/>
        <v>1</v>
      </c>
      <c r="N7" s="53">
        <f t="shared" si="3"/>
        <v>5.8823529411764705E-2</v>
      </c>
    </row>
    <row r="8" spans="2:15" x14ac:dyDescent="0.25">
      <c r="B8" s="4">
        <v>4</v>
      </c>
      <c r="L8" s="8" t="s">
        <v>4</v>
      </c>
      <c r="M8">
        <f t="shared" si="2"/>
        <v>0</v>
      </c>
      <c r="N8" s="53">
        <f t="shared" si="3"/>
        <v>0</v>
      </c>
    </row>
    <row r="9" spans="2:15" x14ac:dyDescent="0.25">
      <c r="B9" s="4">
        <v>5</v>
      </c>
      <c r="L9" s="9" t="s">
        <v>3</v>
      </c>
      <c r="M9">
        <f t="shared" si="2"/>
        <v>1</v>
      </c>
      <c r="N9" s="53">
        <f t="shared" si="3"/>
        <v>5.8823529411764705E-2</v>
      </c>
    </row>
    <row r="10" spans="2:15" x14ac:dyDescent="0.25">
      <c r="B10" s="4">
        <v>6</v>
      </c>
      <c r="L10" s="10" t="s">
        <v>7</v>
      </c>
      <c r="M10">
        <f t="shared" si="2"/>
        <v>0</v>
      </c>
      <c r="N10" s="53">
        <f t="shared" si="3"/>
        <v>0</v>
      </c>
    </row>
    <row r="11" spans="2:15" x14ac:dyDescent="0.25">
      <c r="B11" s="4">
        <v>7</v>
      </c>
      <c r="M11">
        <f>SUM(M5:M10)</f>
        <v>17</v>
      </c>
    </row>
    <row r="12" spans="2:15" x14ac:dyDescent="0.25">
      <c r="B12" s="4">
        <v>8</v>
      </c>
    </row>
    <row r="13" spans="2:15" x14ac:dyDescent="0.25">
      <c r="B13" s="4">
        <v>9</v>
      </c>
    </row>
    <row r="14" spans="2:15" x14ac:dyDescent="0.25">
      <c r="B14" s="4">
        <v>10</v>
      </c>
    </row>
    <row r="15" spans="2:15" x14ac:dyDescent="0.25">
      <c r="B15" s="4">
        <v>11</v>
      </c>
    </row>
    <row r="16" spans="2:15" x14ac:dyDescent="0.25">
      <c r="B16" s="4">
        <v>12</v>
      </c>
    </row>
    <row r="17" spans="2:10" x14ac:dyDescent="0.25">
      <c r="B17" s="4">
        <v>13</v>
      </c>
    </row>
    <row r="18" spans="2:10" x14ac:dyDescent="0.25">
      <c r="B18" s="4">
        <v>14</v>
      </c>
    </row>
    <row r="19" spans="2:10" x14ac:dyDescent="0.25">
      <c r="B19" s="4">
        <v>15</v>
      </c>
    </row>
    <row r="20" spans="2:10" x14ac:dyDescent="0.25">
      <c r="B20" s="4">
        <v>16</v>
      </c>
      <c r="D20" t="s">
        <v>2</v>
      </c>
      <c r="E20" t="s">
        <v>2</v>
      </c>
    </row>
    <row r="21" spans="2:10" x14ac:dyDescent="0.25">
      <c r="B21" s="4">
        <v>17</v>
      </c>
    </row>
    <row r="22" spans="2:10" x14ac:dyDescent="0.25">
      <c r="B22" s="4">
        <v>18</v>
      </c>
      <c r="C22" t="s">
        <v>2</v>
      </c>
    </row>
    <row r="23" spans="2:10" x14ac:dyDescent="0.25">
      <c r="B23" s="4">
        <v>19</v>
      </c>
    </row>
    <row r="24" spans="2:10" x14ac:dyDescent="0.25">
      <c r="B24" s="4">
        <v>20</v>
      </c>
    </row>
    <row r="25" spans="2:10" x14ac:dyDescent="0.25">
      <c r="B25" s="4">
        <v>21</v>
      </c>
    </row>
    <row r="26" spans="2:10" x14ac:dyDescent="0.25">
      <c r="B26" s="4">
        <v>22</v>
      </c>
      <c r="D26" t="s">
        <v>2</v>
      </c>
      <c r="E26" t="s">
        <v>2</v>
      </c>
    </row>
    <row r="27" spans="2:10" x14ac:dyDescent="0.25">
      <c r="B27" s="4">
        <v>23</v>
      </c>
    </row>
    <row r="28" spans="2:10" x14ac:dyDescent="0.25">
      <c r="B28" s="4">
        <v>24</v>
      </c>
      <c r="F28" t="s">
        <v>5</v>
      </c>
      <c r="J28" t="s">
        <v>6</v>
      </c>
    </row>
    <row r="29" spans="2:10" x14ac:dyDescent="0.25">
      <c r="B29" s="4">
        <v>25</v>
      </c>
      <c r="D29" t="s">
        <v>2</v>
      </c>
    </row>
    <row r="30" spans="2:10" x14ac:dyDescent="0.25">
      <c r="B30" s="4">
        <v>26</v>
      </c>
    </row>
    <row r="31" spans="2:10" x14ac:dyDescent="0.25">
      <c r="B31" s="4">
        <v>27</v>
      </c>
    </row>
    <row r="32" spans="2:10" x14ac:dyDescent="0.25">
      <c r="B32" s="4">
        <v>28</v>
      </c>
      <c r="F32" t="s">
        <v>2</v>
      </c>
    </row>
    <row r="33" spans="2:9" x14ac:dyDescent="0.25">
      <c r="B33" s="4">
        <v>29</v>
      </c>
      <c r="D33" t="s">
        <v>2</v>
      </c>
      <c r="I33" t="s">
        <v>2</v>
      </c>
    </row>
    <row r="34" spans="2:9" x14ac:dyDescent="0.25">
      <c r="B34" s="4">
        <v>30</v>
      </c>
    </row>
    <row r="35" spans="2:9" x14ac:dyDescent="0.25">
      <c r="B35" s="4">
        <v>31</v>
      </c>
    </row>
    <row r="36" spans="2:9" x14ac:dyDescent="0.25">
      <c r="B36" s="4">
        <v>32</v>
      </c>
      <c r="C36" t="s">
        <v>2</v>
      </c>
    </row>
    <row r="37" spans="2:9" x14ac:dyDescent="0.25">
      <c r="B37" s="4">
        <v>33</v>
      </c>
    </row>
    <row r="38" spans="2:9" x14ac:dyDescent="0.25">
      <c r="B38" s="4">
        <v>34</v>
      </c>
    </row>
    <row r="39" spans="2:9" x14ac:dyDescent="0.25">
      <c r="B39" s="4">
        <v>35</v>
      </c>
    </row>
    <row r="40" spans="2:9" x14ac:dyDescent="0.25">
      <c r="B40" s="4">
        <v>36</v>
      </c>
    </row>
    <row r="41" spans="2:9" x14ac:dyDescent="0.25">
      <c r="B41" s="4">
        <v>37</v>
      </c>
    </row>
    <row r="42" spans="2:9" x14ac:dyDescent="0.25">
      <c r="B42" s="4">
        <v>38</v>
      </c>
    </row>
    <row r="43" spans="2:9" x14ac:dyDescent="0.25">
      <c r="B43" s="4">
        <v>39</v>
      </c>
    </row>
    <row r="44" spans="2:9" x14ac:dyDescent="0.25">
      <c r="B44" s="4">
        <v>40</v>
      </c>
    </row>
    <row r="45" spans="2:9" x14ac:dyDescent="0.25">
      <c r="B45" s="4">
        <v>41</v>
      </c>
    </row>
    <row r="46" spans="2:9" x14ac:dyDescent="0.25">
      <c r="B46" s="4">
        <v>42</v>
      </c>
    </row>
    <row r="47" spans="2:9" x14ac:dyDescent="0.25">
      <c r="B47" s="4">
        <v>43</v>
      </c>
    </row>
    <row r="48" spans="2:9" x14ac:dyDescent="0.25">
      <c r="B48" s="4">
        <v>44</v>
      </c>
    </row>
    <row r="49" spans="2:2" x14ac:dyDescent="0.25">
      <c r="B49" s="4">
        <v>45</v>
      </c>
    </row>
    <row r="50" spans="2:2" x14ac:dyDescent="0.25">
      <c r="B50" s="4">
        <v>46</v>
      </c>
    </row>
    <row r="51" spans="2:2" x14ac:dyDescent="0.25">
      <c r="B51" s="4">
        <v>47</v>
      </c>
    </row>
    <row r="52" spans="2:2" x14ac:dyDescent="0.25">
      <c r="B52" s="4">
        <v>48</v>
      </c>
    </row>
    <row r="53" spans="2:2" x14ac:dyDescent="0.25">
      <c r="B53" s="4">
        <v>49</v>
      </c>
    </row>
    <row r="54" spans="2:2" x14ac:dyDescent="0.25">
      <c r="B54" s="4">
        <v>50</v>
      </c>
    </row>
    <row r="55" spans="2:2" x14ac:dyDescent="0.25">
      <c r="B55" s="4">
        <v>51</v>
      </c>
    </row>
    <row r="56" spans="2:2" x14ac:dyDescent="0.25">
      <c r="B56" s="4">
        <v>52</v>
      </c>
    </row>
    <row r="57" spans="2:2" x14ac:dyDescent="0.25">
      <c r="B57" s="4">
        <v>53</v>
      </c>
    </row>
    <row r="58" spans="2:2" x14ac:dyDescent="0.25">
      <c r="B58" s="4">
        <v>54</v>
      </c>
    </row>
    <row r="59" spans="2:2" x14ac:dyDescent="0.25">
      <c r="B59" s="4">
        <v>55</v>
      </c>
    </row>
    <row r="60" spans="2:2" x14ac:dyDescent="0.25">
      <c r="B60" s="4">
        <v>56</v>
      </c>
    </row>
    <row r="66" spans="2:13" x14ac:dyDescent="0.25">
      <c r="C66" s="3">
        <v>44250</v>
      </c>
      <c r="D66" s="3">
        <f>C66+1</f>
        <v>44251</v>
      </c>
      <c r="E66" s="3">
        <f t="shared" ref="E66:J66" si="4">D66+1</f>
        <v>44252</v>
      </c>
      <c r="F66" s="3">
        <f t="shared" si="4"/>
        <v>44253</v>
      </c>
      <c r="G66" s="3">
        <f t="shared" si="4"/>
        <v>44254</v>
      </c>
      <c r="H66" s="3">
        <f t="shared" si="4"/>
        <v>44255</v>
      </c>
      <c r="I66" s="3">
        <f t="shared" si="4"/>
        <v>44256</v>
      </c>
      <c r="J66" s="3">
        <f t="shared" si="4"/>
        <v>44257</v>
      </c>
    </row>
    <row r="67" spans="2:13" x14ac:dyDescent="0.25">
      <c r="B67" s="2" t="s">
        <v>0</v>
      </c>
      <c r="C67" s="1" t="str">
        <f>TEXT(C66,"ddd")</f>
        <v>ter</v>
      </c>
      <c r="D67" s="1" t="str">
        <f t="shared" ref="D67:J67" si="5">TEXT(D66,"ddd")</f>
        <v>qua</v>
      </c>
      <c r="E67" s="1" t="str">
        <f t="shared" si="5"/>
        <v>qui</v>
      </c>
      <c r="F67" s="1" t="str">
        <f t="shared" si="5"/>
        <v>sex</v>
      </c>
      <c r="G67" s="1" t="str">
        <f t="shared" si="5"/>
        <v>sáb</v>
      </c>
      <c r="H67" s="1" t="str">
        <f t="shared" si="5"/>
        <v>dom</v>
      </c>
      <c r="I67" s="1" t="str">
        <f t="shared" si="5"/>
        <v>seg</v>
      </c>
      <c r="J67" s="1" t="str">
        <f t="shared" si="5"/>
        <v>ter</v>
      </c>
      <c r="L67" s="11" t="s">
        <v>5</v>
      </c>
    </row>
    <row r="68" spans="2:13" x14ac:dyDescent="0.25">
      <c r="B68" s="4">
        <v>1</v>
      </c>
      <c r="L68" s="12" t="s">
        <v>8</v>
      </c>
      <c r="M68">
        <f>COUNTIF($C$68:$J$123,L68)</f>
        <v>0</v>
      </c>
    </row>
    <row r="69" spans="2:13" x14ac:dyDescent="0.25">
      <c r="B69" s="4">
        <v>2</v>
      </c>
      <c r="L69" s="13" t="s">
        <v>9</v>
      </c>
      <c r="M69">
        <f t="shared" ref="M69:M73" si="6">COUNTIF($C$68:$J$123,L69)</f>
        <v>0</v>
      </c>
    </row>
    <row r="70" spans="2:13" x14ac:dyDescent="0.25">
      <c r="B70" s="4">
        <v>3</v>
      </c>
      <c r="L70" s="7" t="s">
        <v>10</v>
      </c>
      <c r="M70">
        <f t="shared" si="6"/>
        <v>1</v>
      </c>
    </row>
    <row r="71" spans="2:13" x14ac:dyDescent="0.25">
      <c r="B71" s="4">
        <v>4</v>
      </c>
      <c r="L71" s="8" t="s">
        <v>11</v>
      </c>
      <c r="M71">
        <f t="shared" si="6"/>
        <v>0</v>
      </c>
    </row>
    <row r="72" spans="2:13" x14ac:dyDescent="0.25">
      <c r="B72" s="4">
        <v>5</v>
      </c>
      <c r="L72" s="14" t="s">
        <v>12</v>
      </c>
      <c r="M72">
        <f t="shared" si="6"/>
        <v>0</v>
      </c>
    </row>
    <row r="73" spans="2:13" x14ac:dyDescent="0.25">
      <c r="B73" s="4">
        <v>6</v>
      </c>
      <c r="L73" s="15" t="s">
        <v>13</v>
      </c>
      <c r="M73">
        <f t="shared" si="6"/>
        <v>0</v>
      </c>
    </row>
    <row r="74" spans="2:13" x14ac:dyDescent="0.25">
      <c r="B74" s="4">
        <v>7</v>
      </c>
      <c r="M74">
        <f>SUM(M68:M73)</f>
        <v>1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6" x14ac:dyDescent="0.25">
      <c r="B81" s="4">
        <v>14</v>
      </c>
    </row>
    <row r="82" spans="2:6" x14ac:dyDescent="0.25">
      <c r="B82" s="4">
        <v>15</v>
      </c>
    </row>
    <row r="83" spans="2:6" x14ac:dyDescent="0.25">
      <c r="B83" s="4">
        <v>16</v>
      </c>
    </row>
    <row r="84" spans="2:6" x14ac:dyDescent="0.25">
      <c r="B84" s="4">
        <v>17</v>
      </c>
    </row>
    <row r="85" spans="2:6" x14ac:dyDescent="0.25">
      <c r="B85" s="4">
        <v>18</v>
      </c>
    </row>
    <row r="86" spans="2:6" x14ac:dyDescent="0.25">
      <c r="B86" s="4">
        <v>19</v>
      </c>
    </row>
    <row r="87" spans="2:6" x14ac:dyDescent="0.25">
      <c r="B87" s="4">
        <v>20</v>
      </c>
    </row>
    <row r="88" spans="2:6" x14ac:dyDescent="0.25">
      <c r="B88" s="4">
        <v>21</v>
      </c>
    </row>
    <row r="89" spans="2:6" x14ac:dyDescent="0.25">
      <c r="B89" s="4">
        <v>22</v>
      </c>
    </row>
    <row r="90" spans="2:6" x14ac:dyDescent="0.25">
      <c r="B90" s="4">
        <v>23</v>
      </c>
    </row>
    <row r="91" spans="2:6" x14ac:dyDescent="0.25">
      <c r="B91" s="4">
        <v>24</v>
      </c>
      <c r="F91" t="s">
        <v>10</v>
      </c>
    </row>
    <row r="92" spans="2:6" x14ac:dyDescent="0.25">
      <c r="B92" s="4">
        <v>25</v>
      </c>
    </row>
    <row r="93" spans="2:6" x14ac:dyDescent="0.25">
      <c r="B93" s="4">
        <v>26</v>
      </c>
    </row>
    <row r="94" spans="2:6" x14ac:dyDescent="0.25">
      <c r="B94" s="4">
        <v>27</v>
      </c>
    </row>
    <row r="95" spans="2:6" x14ac:dyDescent="0.25">
      <c r="B95" s="4">
        <v>28</v>
      </c>
    </row>
    <row r="96" spans="2:6" x14ac:dyDescent="0.25">
      <c r="B96" s="4">
        <v>29</v>
      </c>
    </row>
    <row r="97" spans="2:2" x14ac:dyDescent="0.25">
      <c r="B97" s="4">
        <v>30</v>
      </c>
    </row>
    <row r="98" spans="2:2" x14ac:dyDescent="0.25">
      <c r="B98" s="4">
        <v>31</v>
      </c>
    </row>
    <row r="99" spans="2:2" x14ac:dyDescent="0.25">
      <c r="B99" s="4">
        <v>32</v>
      </c>
    </row>
    <row r="100" spans="2:2" x14ac:dyDescent="0.25">
      <c r="B100" s="4">
        <v>33</v>
      </c>
    </row>
    <row r="101" spans="2:2" x14ac:dyDescent="0.25">
      <c r="B101" s="4">
        <v>34</v>
      </c>
    </row>
    <row r="102" spans="2:2" x14ac:dyDescent="0.25">
      <c r="B102" s="4">
        <v>35</v>
      </c>
    </row>
    <row r="103" spans="2:2" x14ac:dyDescent="0.25">
      <c r="B103" s="4">
        <v>36</v>
      </c>
    </row>
    <row r="104" spans="2:2" x14ac:dyDescent="0.25">
      <c r="B104" s="4">
        <v>37</v>
      </c>
    </row>
    <row r="105" spans="2:2" x14ac:dyDescent="0.25">
      <c r="B105" s="4">
        <v>38</v>
      </c>
    </row>
    <row r="106" spans="2:2" x14ac:dyDescent="0.25">
      <c r="B106" s="4">
        <v>39</v>
      </c>
    </row>
    <row r="107" spans="2:2" x14ac:dyDescent="0.25">
      <c r="B107" s="4">
        <v>40</v>
      </c>
    </row>
    <row r="108" spans="2:2" x14ac:dyDescent="0.25">
      <c r="B108" s="4">
        <v>41</v>
      </c>
    </row>
    <row r="109" spans="2:2" x14ac:dyDescent="0.25">
      <c r="B109" s="4">
        <v>42</v>
      </c>
    </row>
    <row r="110" spans="2:2" x14ac:dyDescent="0.25">
      <c r="B110" s="4">
        <v>43</v>
      </c>
    </row>
    <row r="111" spans="2:2" x14ac:dyDescent="0.25">
      <c r="B111" s="4">
        <v>44</v>
      </c>
    </row>
    <row r="112" spans="2:2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H11">
    <cfRule type="cellIs" dxfId="2077" priority="24" operator="equal">
      <formula>"Energia"</formula>
    </cfRule>
  </conditionalFormatting>
  <conditionalFormatting sqref="C5:J60">
    <cfRule type="cellIs" dxfId="2076" priority="17" operator="equal">
      <formula>"Energia"</formula>
    </cfRule>
    <cfRule type="cellIs" dxfId="2075" priority="19" operator="equal">
      <formula>"Operação"</formula>
    </cfRule>
    <cfRule type="cellIs" dxfId="2074" priority="20" operator="equal">
      <formula>"Chuva"</formula>
    </cfRule>
    <cfRule type="cellIs" dxfId="2073" priority="21" operator="equal">
      <formula>"Elétrico"</formula>
    </cfRule>
    <cfRule type="cellIs" dxfId="2072" priority="22" operator="equal">
      <formula>"Mecânico"</formula>
    </cfRule>
    <cfRule type="cellIs" dxfId="2071" priority="23" operator="equal">
      <formula>"Ok"</formula>
    </cfRule>
  </conditionalFormatting>
  <conditionalFormatting sqref="C5:J61">
    <cfRule type="cellIs" dxfId="2070" priority="18" operator="equal">
      <formula>"Feito"</formula>
    </cfRule>
  </conditionalFormatting>
  <conditionalFormatting sqref="C68:H74">
    <cfRule type="cellIs" dxfId="2069" priority="16" operator="equal">
      <formula>"Energia"</formula>
    </cfRule>
  </conditionalFormatting>
  <conditionalFormatting sqref="C68:J123">
    <cfRule type="cellIs" dxfId="2068" priority="1" operator="equal">
      <formula>"Micro"</formula>
    </cfRule>
    <cfRule type="cellIs" dxfId="2067" priority="2" operator="equal">
      <formula>"Castanha"</formula>
    </cfRule>
    <cfRule type="cellIs" dxfId="2066" priority="3" operator="equal">
      <formula>"Redutor"</formula>
    </cfRule>
    <cfRule type="cellIs" dxfId="2065" priority="4" operator="equal">
      <formula>"Adutora"</formula>
    </cfRule>
    <cfRule type="cellIs" dxfId="2064" priority="5" operator="equal">
      <formula>"Mangote"</formula>
    </cfRule>
    <cfRule type="cellIs" dxfId="2063" priority="6" operator="equal">
      <formula>"Vedação"</formula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{9DA24045-D511-4B98-9923-3EEDAEA4E5DF}</x14:id>
        </ext>
      </extLst>
    </cfRule>
    <cfRule type="cellIs" dxfId="2062" priority="9" operator="equal">
      <formula>"Energia"</formula>
    </cfRule>
    <cfRule type="cellIs" dxfId="2061" priority="11" operator="equal">
      <formula>"Operação"</formula>
    </cfRule>
    <cfRule type="cellIs" dxfId="2060" priority="12" operator="equal">
      <formula>"Chuva"</formula>
    </cfRule>
    <cfRule type="cellIs" dxfId="2059" priority="13" operator="equal">
      <formula>"Elétrico"</formula>
    </cfRule>
    <cfRule type="cellIs" dxfId="2058" priority="14" operator="equal">
      <formula>"Mecânico"</formula>
    </cfRule>
    <cfRule type="cellIs" dxfId="2057" priority="15" operator="equal">
      <formula>"Ok"</formula>
    </cfRule>
  </conditionalFormatting>
  <conditionalFormatting sqref="C68:J123">
    <cfRule type="cellIs" dxfId="2056" priority="10" operator="equal">
      <formula>"Feito"</formula>
    </cfRule>
  </conditionalFormatting>
  <conditionalFormatting sqref="L7">
    <cfRule type="iconSet" priority="7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68:J123" xr:uid="{6708D51C-8810-49B8-852D-18A9BB7571F9}">
      <formula1>$L$68:$L$73</formula1>
    </dataValidation>
    <dataValidation type="list" allowBlank="1" showInputMessage="1" showErrorMessage="1" sqref="C5:K60 K68:K123" xr:uid="{5A92BEC2-2529-40D6-B263-6FCA099203A7}">
      <formula1>$L$5:$L$10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A24045-D511-4B98-9923-3EEDAEA4E5D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ECBA-A364-4EE5-A495-A49BD59D1142}">
  <sheetPr codeName="Planilha10"/>
  <dimension ref="B3:O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4" sqref="M4:O4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  <col min="15" max="15" width="10.7109375" bestFit="1" customWidth="1"/>
  </cols>
  <sheetData>
    <row r="3" spans="2:15" x14ac:dyDescent="0.25">
      <c r="C3" s="3">
        <v>44258</v>
      </c>
      <c r="D3" s="3">
        <f>C3+1</f>
        <v>44259</v>
      </c>
      <c r="E3" s="3">
        <f t="shared" ref="E3:J3" si="0">D3+1</f>
        <v>44260</v>
      </c>
      <c r="F3" s="3">
        <f t="shared" si="0"/>
        <v>44261</v>
      </c>
      <c r="G3" s="3">
        <f t="shared" si="0"/>
        <v>44262</v>
      </c>
      <c r="H3" s="3">
        <f t="shared" si="0"/>
        <v>44263</v>
      </c>
      <c r="I3" s="3">
        <f t="shared" si="0"/>
        <v>44264</v>
      </c>
      <c r="J3" s="3">
        <f t="shared" si="0"/>
        <v>44265</v>
      </c>
    </row>
    <row r="4" spans="2:15" x14ac:dyDescent="0.25">
      <c r="B4" s="2" t="s">
        <v>0</v>
      </c>
      <c r="C4" s="1" t="str">
        <f>TEXT(C3,"ddd")</f>
        <v>qua</v>
      </c>
      <c r="D4" s="1" t="str">
        <f t="shared" ref="D4:J4" si="1">TEXT(D3,"ddd")</f>
        <v>qui</v>
      </c>
      <c r="E4" s="1" t="str">
        <f t="shared" si="1"/>
        <v>sex</v>
      </c>
      <c r="F4" s="1" t="str">
        <f t="shared" si="1"/>
        <v>sáb</v>
      </c>
      <c r="G4" s="1" t="str">
        <f t="shared" si="1"/>
        <v>dom</v>
      </c>
      <c r="H4" s="1" t="str">
        <f t="shared" si="1"/>
        <v>seg</v>
      </c>
      <c r="I4" s="1" t="str">
        <f t="shared" si="1"/>
        <v>ter</v>
      </c>
      <c r="J4" s="1" t="str">
        <f t="shared" si="1"/>
        <v>qua</v>
      </c>
      <c r="L4" s="11" t="s">
        <v>1</v>
      </c>
      <c r="M4" s="49" t="s">
        <v>32</v>
      </c>
      <c r="N4" s="50" t="s">
        <v>33</v>
      </c>
      <c r="O4" s="51" t="s">
        <v>34</v>
      </c>
    </row>
    <row r="5" spans="2:15" x14ac:dyDescent="0.25">
      <c r="B5" s="4">
        <v>1</v>
      </c>
      <c r="D5" t="s">
        <v>2</v>
      </c>
      <c r="G5" t="s">
        <v>2</v>
      </c>
      <c r="L5" s="5" t="s">
        <v>2</v>
      </c>
      <c r="M5">
        <f>COUNTIF($C$5:$J$60,L5)</f>
        <v>75</v>
      </c>
      <c r="N5" s="53">
        <f>M5/$M$11</f>
        <v>0.59055118110236215</v>
      </c>
      <c r="O5" s="52">
        <v>44258</v>
      </c>
    </row>
    <row r="6" spans="2:15" x14ac:dyDescent="0.25">
      <c r="B6" s="4">
        <v>2</v>
      </c>
      <c r="C6" t="s">
        <v>2</v>
      </c>
      <c r="E6" t="s">
        <v>7</v>
      </c>
      <c r="G6" t="s">
        <v>2</v>
      </c>
      <c r="J6" t="s">
        <v>2</v>
      </c>
      <c r="L6" s="6" t="s">
        <v>5</v>
      </c>
      <c r="M6">
        <f t="shared" ref="M6:M10" si="2">COUNTIF($C$5:$J$60,L6)</f>
        <v>12</v>
      </c>
      <c r="N6" s="53">
        <f t="shared" ref="N6:N10" si="3">M6/$M$11</f>
        <v>9.4488188976377951E-2</v>
      </c>
    </row>
    <row r="7" spans="2:15" x14ac:dyDescent="0.25">
      <c r="B7" s="4">
        <v>3</v>
      </c>
      <c r="D7" t="s">
        <v>2</v>
      </c>
      <c r="E7" t="s">
        <v>2</v>
      </c>
      <c r="F7" t="s">
        <v>2</v>
      </c>
      <c r="H7" t="s">
        <v>2</v>
      </c>
      <c r="L7" s="7" t="s">
        <v>6</v>
      </c>
      <c r="M7">
        <f t="shared" si="2"/>
        <v>15</v>
      </c>
      <c r="N7" s="53">
        <f t="shared" si="3"/>
        <v>0.11811023622047244</v>
      </c>
    </row>
    <row r="8" spans="2:15" x14ac:dyDescent="0.25">
      <c r="B8" s="4">
        <v>4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J8" t="s">
        <v>3</v>
      </c>
      <c r="L8" s="8" t="s">
        <v>4</v>
      </c>
      <c r="M8">
        <f t="shared" si="2"/>
        <v>2</v>
      </c>
      <c r="N8" s="53">
        <f t="shared" si="3"/>
        <v>1.5748031496062992E-2</v>
      </c>
    </row>
    <row r="9" spans="2:15" x14ac:dyDescent="0.25">
      <c r="B9" s="4">
        <v>5</v>
      </c>
      <c r="L9" s="9" t="s">
        <v>3</v>
      </c>
      <c r="M9">
        <f t="shared" si="2"/>
        <v>11</v>
      </c>
      <c r="N9" s="53">
        <f t="shared" si="3"/>
        <v>8.6614173228346455E-2</v>
      </c>
    </row>
    <row r="10" spans="2:15" x14ac:dyDescent="0.25">
      <c r="B10" s="4">
        <v>6</v>
      </c>
      <c r="L10" s="10" t="s">
        <v>7</v>
      </c>
      <c r="M10">
        <f t="shared" si="2"/>
        <v>12</v>
      </c>
      <c r="N10" s="53">
        <f t="shared" si="3"/>
        <v>9.4488188976377951E-2</v>
      </c>
    </row>
    <row r="11" spans="2:15" x14ac:dyDescent="0.25">
      <c r="B11" s="4">
        <v>7</v>
      </c>
      <c r="M11">
        <f>SUM(M5:M10)</f>
        <v>127</v>
      </c>
    </row>
    <row r="12" spans="2:15" x14ac:dyDescent="0.25">
      <c r="B12" s="4">
        <v>8</v>
      </c>
    </row>
    <row r="13" spans="2:15" x14ac:dyDescent="0.25">
      <c r="B13" s="4">
        <v>9</v>
      </c>
    </row>
    <row r="14" spans="2:15" x14ac:dyDescent="0.25">
      <c r="B14" s="4">
        <v>10</v>
      </c>
    </row>
    <row r="15" spans="2:15" x14ac:dyDescent="0.25">
      <c r="B15" s="4">
        <v>11</v>
      </c>
    </row>
    <row r="16" spans="2:15" x14ac:dyDescent="0.25">
      <c r="B16" s="4">
        <v>12</v>
      </c>
    </row>
    <row r="17" spans="2:10" x14ac:dyDescent="0.25">
      <c r="B17" s="4">
        <v>13</v>
      </c>
      <c r="D17" t="s">
        <v>2</v>
      </c>
      <c r="E17" t="s">
        <v>2</v>
      </c>
      <c r="F17" t="s">
        <v>2</v>
      </c>
      <c r="G17" t="s">
        <v>2</v>
      </c>
    </row>
    <row r="18" spans="2:10" x14ac:dyDescent="0.25">
      <c r="B18" s="4">
        <v>14</v>
      </c>
      <c r="D18" t="s">
        <v>2</v>
      </c>
      <c r="F18" t="s">
        <v>5</v>
      </c>
      <c r="H18" t="s">
        <v>5</v>
      </c>
      <c r="I18" t="s">
        <v>3</v>
      </c>
      <c r="J18" t="s">
        <v>2</v>
      </c>
    </row>
    <row r="19" spans="2:10" x14ac:dyDescent="0.25">
      <c r="B19" s="4">
        <v>15</v>
      </c>
      <c r="E19" t="s">
        <v>2</v>
      </c>
    </row>
    <row r="20" spans="2:10" x14ac:dyDescent="0.25">
      <c r="B20" s="4">
        <v>16</v>
      </c>
      <c r="E20" t="s">
        <v>2</v>
      </c>
      <c r="F20" t="s">
        <v>2</v>
      </c>
    </row>
    <row r="21" spans="2:10" x14ac:dyDescent="0.25">
      <c r="B21" s="4">
        <v>17</v>
      </c>
      <c r="D21" t="s">
        <v>2</v>
      </c>
      <c r="F21" t="s">
        <v>6</v>
      </c>
    </row>
    <row r="22" spans="2:10" x14ac:dyDescent="0.25">
      <c r="B22" s="4">
        <v>18</v>
      </c>
      <c r="D22" t="s">
        <v>7</v>
      </c>
      <c r="E22" t="s">
        <v>5</v>
      </c>
      <c r="F22" t="s">
        <v>5</v>
      </c>
      <c r="G22" t="s">
        <v>2</v>
      </c>
    </row>
    <row r="23" spans="2:10" x14ac:dyDescent="0.25">
      <c r="B23" s="4">
        <v>19</v>
      </c>
      <c r="E23" t="s">
        <v>2</v>
      </c>
      <c r="H23" t="s">
        <v>3</v>
      </c>
    </row>
    <row r="24" spans="2:10" x14ac:dyDescent="0.25">
      <c r="B24" s="4">
        <v>20</v>
      </c>
      <c r="D24" t="s">
        <v>7</v>
      </c>
      <c r="G24" t="s">
        <v>2</v>
      </c>
    </row>
    <row r="25" spans="2:10" x14ac:dyDescent="0.25">
      <c r="B25" s="4">
        <v>21</v>
      </c>
      <c r="D25" t="s">
        <v>6</v>
      </c>
      <c r="F25" t="s">
        <v>6</v>
      </c>
    </row>
    <row r="26" spans="2:10" x14ac:dyDescent="0.25">
      <c r="B26" s="4">
        <v>22</v>
      </c>
      <c r="E26" t="s">
        <v>2</v>
      </c>
      <c r="H26" t="s">
        <v>3</v>
      </c>
      <c r="J26" t="s">
        <v>2</v>
      </c>
    </row>
    <row r="27" spans="2:10" x14ac:dyDescent="0.25">
      <c r="B27" s="4">
        <v>23</v>
      </c>
      <c r="C27" t="s">
        <v>2</v>
      </c>
      <c r="F27" t="s">
        <v>6</v>
      </c>
      <c r="H27" t="s">
        <v>3</v>
      </c>
    </row>
    <row r="28" spans="2:10" x14ac:dyDescent="0.25">
      <c r="B28" s="4">
        <v>24</v>
      </c>
      <c r="C28" t="s">
        <v>5</v>
      </c>
      <c r="G28" t="s">
        <v>2</v>
      </c>
    </row>
    <row r="29" spans="2:10" x14ac:dyDescent="0.25">
      <c r="B29" s="4">
        <v>25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7</v>
      </c>
      <c r="J29" t="s">
        <v>3</v>
      </c>
    </row>
    <row r="30" spans="2:10" x14ac:dyDescent="0.25">
      <c r="B30" s="4">
        <v>26</v>
      </c>
      <c r="C30" t="s">
        <v>2</v>
      </c>
      <c r="F30" t="s">
        <v>7</v>
      </c>
    </row>
    <row r="31" spans="2:10" x14ac:dyDescent="0.25">
      <c r="B31" s="4">
        <v>27</v>
      </c>
      <c r="E31" t="s">
        <v>2</v>
      </c>
    </row>
    <row r="32" spans="2:10" x14ac:dyDescent="0.25">
      <c r="B32" s="4">
        <v>28</v>
      </c>
      <c r="D32" t="s">
        <v>2</v>
      </c>
      <c r="G32" t="s">
        <v>2</v>
      </c>
      <c r="H32" t="s">
        <v>7</v>
      </c>
      <c r="I32" t="s">
        <v>3</v>
      </c>
      <c r="J32" t="s">
        <v>2</v>
      </c>
    </row>
    <row r="33" spans="2:10" x14ac:dyDescent="0.25">
      <c r="B33" s="4">
        <v>29</v>
      </c>
      <c r="D33" t="s">
        <v>2</v>
      </c>
      <c r="F33" t="s">
        <v>2</v>
      </c>
    </row>
    <row r="34" spans="2:10" x14ac:dyDescent="0.25">
      <c r="B34" s="4">
        <v>30</v>
      </c>
      <c r="C34" t="s">
        <v>2</v>
      </c>
      <c r="E34" t="s">
        <v>2</v>
      </c>
      <c r="G34" t="s">
        <v>2</v>
      </c>
    </row>
    <row r="35" spans="2:10" x14ac:dyDescent="0.25">
      <c r="B35" s="4">
        <v>31</v>
      </c>
    </row>
    <row r="36" spans="2:10" x14ac:dyDescent="0.25">
      <c r="B36" s="4">
        <v>32</v>
      </c>
      <c r="D36" t="s">
        <v>6</v>
      </c>
      <c r="E36" t="s">
        <v>7</v>
      </c>
      <c r="G36" t="s">
        <v>2</v>
      </c>
    </row>
    <row r="37" spans="2:10" x14ac:dyDescent="0.25">
      <c r="B37" s="4">
        <v>33</v>
      </c>
    </row>
    <row r="38" spans="2:10" x14ac:dyDescent="0.25">
      <c r="B38" s="4">
        <v>34</v>
      </c>
      <c r="F38" t="s">
        <v>7</v>
      </c>
      <c r="H38" t="s">
        <v>2</v>
      </c>
    </row>
    <row r="39" spans="2:10" x14ac:dyDescent="0.25">
      <c r="B39" s="4">
        <v>35</v>
      </c>
    </row>
    <row r="40" spans="2:10" x14ac:dyDescent="0.25">
      <c r="B40" s="4">
        <v>36</v>
      </c>
    </row>
    <row r="41" spans="2:10" x14ac:dyDescent="0.25">
      <c r="B41" s="4">
        <v>37</v>
      </c>
      <c r="G41" t="s">
        <v>2</v>
      </c>
      <c r="H41" t="s">
        <v>2</v>
      </c>
      <c r="J41" t="s">
        <v>2</v>
      </c>
    </row>
    <row r="42" spans="2:10" x14ac:dyDescent="0.25">
      <c r="B42" s="4">
        <v>38</v>
      </c>
      <c r="E42" t="s">
        <v>2</v>
      </c>
    </row>
    <row r="43" spans="2:10" x14ac:dyDescent="0.25">
      <c r="B43" s="4">
        <v>39</v>
      </c>
      <c r="D43" t="s">
        <v>2</v>
      </c>
      <c r="G43" t="s">
        <v>2</v>
      </c>
    </row>
    <row r="44" spans="2:10" x14ac:dyDescent="0.25">
      <c r="B44" s="4">
        <v>40</v>
      </c>
      <c r="D44" t="s">
        <v>2</v>
      </c>
      <c r="F44" t="s">
        <v>2</v>
      </c>
    </row>
    <row r="45" spans="2:10" x14ac:dyDescent="0.25">
      <c r="B45" s="4">
        <v>41</v>
      </c>
      <c r="E45" t="s">
        <v>2</v>
      </c>
      <c r="G45" t="s">
        <v>2</v>
      </c>
    </row>
    <row r="46" spans="2:10" x14ac:dyDescent="0.25">
      <c r="B46" s="4">
        <v>42</v>
      </c>
      <c r="D46" t="s">
        <v>7</v>
      </c>
      <c r="E46" t="s">
        <v>7</v>
      </c>
      <c r="H46" t="s">
        <v>5</v>
      </c>
    </row>
    <row r="47" spans="2:10" x14ac:dyDescent="0.25">
      <c r="B47" s="4">
        <v>43</v>
      </c>
      <c r="D47" t="s">
        <v>2</v>
      </c>
      <c r="E47" t="s">
        <v>2</v>
      </c>
      <c r="G47" t="s">
        <v>2</v>
      </c>
    </row>
    <row r="48" spans="2:10" x14ac:dyDescent="0.25">
      <c r="B48" s="4">
        <v>44</v>
      </c>
      <c r="D48" t="s">
        <v>7</v>
      </c>
      <c r="G48" t="s">
        <v>2</v>
      </c>
    </row>
    <row r="49" spans="2:10" x14ac:dyDescent="0.25">
      <c r="B49" s="4">
        <v>45</v>
      </c>
      <c r="C49" t="s">
        <v>6</v>
      </c>
      <c r="F49" t="s">
        <v>2</v>
      </c>
      <c r="H49" t="s">
        <v>3</v>
      </c>
    </row>
    <row r="50" spans="2:10" x14ac:dyDescent="0.25">
      <c r="B50" s="4">
        <v>46</v>
      </c>
      <c r="C50" t="s">
        <v>6</v>
      </c>
      <c r="F50" t="s">
        <v>2</v>
      </c>
      <c r="H50" t="s">
        <v>3</v>
      </c>
    </row>
    <row r="51" spans="2:10" x14ac:dyDescent="0.25">
      <c r="B51" s="4">
        <v>47</v>
      </c>
      <c r="C51" t="s">
        <v>6</v>
      </c>
      <c r="G51" t="s">
        <v>4</v>
      </c>
    </row>
    <row r="52" spans="2:10" x14ac:dyDescent="0.25">
      <c r="B52" s="4">
        <v>48</v>
      </c>
      <c r="C52" t="s">
        <v>6</v>
      </c>
      <c r="D52" t="s">
        <v>7</v>
      </c>
      <c r="G52" t="s">
        <v>4</v>
      </c>
    </row>
    <row r="53" spans="2:10" x14ac:dyDescent="0.25">
      <c r="B53" s="4">
        <v>49</v>
      </c>
      <c r="C53" t="s">
        <v>6</v>
      </c>
      <c r="G53" t="s">
        <v>2</v>
      </c>
    </row>
    <row r="54" spans="2:10" x14ac:dyDescent="0.25">
      <c r="B54" s="4">
        <v>50</v>
      </c>
      <c r="D54" t="s">
        <v>6</v>
      </c>
      <c r="E54" t="s">
        <v>2</v>
      </c>
      <c r="F54" t="s">
        <v>2</v>
      </c>
      <c r="G54" t="s">
        <v>2</v>
      </c>
      <c r="H54" t="s">
        <v>2</v>
      </c>
    </row>
    <row r="55" spans="2:10" x14ac:dyDescent="0.25">
      <c r="B55" s="4">
        <v>51</v>
      </c>
      <c r="E55" t="s">
        <v>5</v>
      </c>
      <c r="F55" t="s">
        <v>5</v>
      </c>
      <c r="G55" t="s">
        <v>2</v>
      </c>
      <c r="J55" t="s">
        <v>2</v>
      </c>
    </row>
    <row r="56" spans="2:10" x14ac:dyDescent="0.25">
      <c r="B56" s="4">
        <v>52</v>
      </c>
      <c r="C56" t="s">
        <v>6</v>
      </c>
      <c r="D56" t="s">
        <v>6</v>
      </c>
      <c r="E56" t="s">
        <v>6</v>
      </c>
      <c r="F56" t="s">
        <v>6</v>
      </c>
      <c r="H56" t="s">
        <v>3</v>
      </c>
    </row>
    <row r="57" spans="2:10" x14ac:dyDescent="0.25">
      <c r="B57" s="4">
        <v>53</v>
      </c>
      <c r="E57" t="s">
        <v>5</v>
      </c>
      <c r="H57" t="s">
        <v>5</v>
      </c>
      <c r="I57" t="s">
        <v>5</v>
      </c>
    </row>
    <row r="58" spans="2:10" x14ac:dyDescent="0.25">
      <c r="B58" s="4">
        <v>54</v>
      </c>
      <c r="F58" t="s">
        <v>2</v>
      </c>
    </row>
    <row r="59" spans="2:10" x14ac:dyDescent="0.25">
      <c r="B59" s="4">
        <v>55</v>
      </c>
      <c r="D59" t="s">
        <v>2</v>
      </c>
      <c r="G59" t="s">
        <v>2</v>
      </c>
    </row>
    <row r="60" spans="2:10" x14ac:dyDescent="0.25">
      <c r="B60" s="4">
        <v>56</v>
      </c>
      <c r="E60" t="s">
        <v>2</v>
      </c>
      <c r="H60" t="s">
        <v>3</v>
      </c>
      <c r="J60" t="s">
        <v>5</v>
      </c>
    </row>
    <row r="66" spans="2:13" x14ac:dyDescent="0.25">
      <c r="C66" s="3"/>
      <c r="D66" s="3"/>
      <c r="E66" s="3"/>
      <c r="F66" s="3"/>
      <c r="G66" s="3"/>
      <c r="H66" s="3"/>
      <c r="I66" s="3"/>
      <c r="J66" s="3"/>
    </row>
    <row r="67" spans="2:13" x14ac:dyDescent="0.25">
      <c r="B67" s="2" t="s">
        <v>0</v>
      </c>
      <c r="C67" s="1"/>
      <c r="D67" s="1"/>
      <c r="E67" s="1"/>
      <c r="F67" s="1"/>
      <c r="G67" s="1"/>
      <c r="H67" s="1"/>
      <c r="I67" s="1"/>
      <c r="J67" s="1"/>
      <c r="L67" s="11" t="s">
        <v>5</v>
      </c>
    </row>
    <row r="68" spans="2:13" x14ac:dyDescent="0.25">
      <c r="B68" s="4">
        <v>1</v>
      </c>
      <c r="L68" s="12" t="s">
        <v>8</v>
      </c>
      <c r="M68">
        <f>COUNTIF($C$68:$J$123,L68)</f>
        <v>0</v>
      </c>
    </row>
    <row r="69" spans="2:13" x14ac:dyDescent="0.25">
      <c r="B69" s="4">
        <v>2</v>
      </c>
      <c r="L69" s="13" t="s">
        <v>9</v>
      </c>
      <c r="M69">
        <f t="shared" ref="M69:M73" si="4">COUNTIF($C$68:$J$123,L69)</f>
        <v>0</v>
      </c>
    </row>
    <row r="70" spans="2:13" x14ac:dyDescent="0.25">
      <c r="B70" s="4">
        <v>3</v>
      </c>
      <c r="L70" s="7" t="s">
        <v>10</v>
      </c>
      <c r="M70">
        <f t="shared" si="4"/>
        <v>0</v>
      </c>
    </row>
    <row r="71" spans="2:13" x14ac:dyDescent="0.25">
      <c r="B71" s="4">
        <v>4</v>
      </c>
      <c r="L71" s="8" t="s">
        <v>11</v>
      </c>
      <c r="M71">
        <f t="shared" si="4"/>
        <v>4</v>
      </c>
    </row>
    <row r="72" spans="2:13" x14ac:dyDescent="0.25">
      <c r="B72" s="4">
        <v>5</v>
      </c>
      <c r="L72" s="14" t="s">
        <v>12</v>
      </c>
      <c r="M72">
        <f t="shared" si="4"/>
        <v>3</v>
      </c>
    </row>
    <row r="73" spans="2:13" x14ac:dyDescent="0.25">
      <c r="B73" s="4">
        <v>6</v>
      </c>
      <c r="L73" s="15" t="s">
        <v>13</v>
      </c>
      <c r="M73">
        <f t="shared" si="4"/>
        <v>1</v>
      </c>
    </row>
    <row r="74" spans="2:13" x14ac:dyDescent="0.25">
      <c r="B74" s="4">
        <v>7</v>
      </c>
      <c r="M74">
        <f>SUM(M68:M73)</f>
        <v>8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8" x14ac:dyDescent="0.25">
      <c r="B81" s="4">
        <v>14</v>
      </c>
      <c r="F81" t="s">
        <v>12</v>
      </c>
      <c r="H81" t="s">
        <v>11</v>
      </c>
    </row>
    <row r="82" spans="2:8" x14ac:dyDescent="0.25">
      <c r="B82" s="4">
        <v>15</v>
      </c>
    </row>
    <row r="83" spans="2:8" x14ac:dyDescent="0.25">
      <c r="B83" s="4">
        <v>16</v>
      </c>
    </row>
    <row r="84" spans="2:8" x14ac:dyDescent="0.25">
      <c r="B84" s="4">
        <v>17</v>
      </c>
    </row>
    <row r="85" spans="2:8" x14ac:dyDescent="0.25">
      <c r="B85" s="4">
        <v>18</v>
      </c>
      <c r="E85" t="s">
        <v>11</v>
      </c>
    </row>
    <row r="86" spans="2:8" x14ac:dyDescent="0.25">
      <c r="B86" s="4">
        <v>19</v>
      </c>
    </row>
    <row r="87" spans="2:8" x14ac:dyDescent="0.25">
      <c r="B87" s="4">
        <v>20</v>
      </c>
    </row>
    <row r="88" spans="2:8" x14ac:dyDescent="0.25">
      <c r="B88" s="4">
        <v>21</v>
      </c>
    </row>
    <row r="89" spans="2:8" x14ac:dyDescent="0.25">
      <c r="B89" s="4">
        <v>22</v>
      </c>
    </row>
    <row r="90" spans="2:8" x14ac:dyDescent="0.25">
      <c r="B90" s="4">
        <v>23</v>
      </c>
    </row>
    <row r="91" spans="2:8" x14ac:dyDescent="0.25">
      <c r="B91" s="4">
        <v>24</v>
      </c>
    </row>
    <row r="92" spans="2:8" x14ac:dyDescent="0.25">
      <c r="B92" s="4">
        <v>25</v>
      </c>
    </row>
    <row r="93" spans="2:8" x14ac:dyDescent="0.25">
      <c r="B93" s="4">
        <v>26</v>
      </c>
    </row>
    <row r="94" spans="2:8" x14ac:dyDescent="0.25">
      <c r="B94" s="4">
        <v>27</v>
      </c>
    </row>
    <row r="95" spans="2:8" x14ac:dyDescent="0.25">
      <c r="B95" s="4">
        <v>28</v>
      </c>
    </row>
    <row r="96" spans="2:8" x14ac:dyDescent="0.25">
      <c r="B96" s="4">
        <v>29</v>
      </c>
    </row>
    <row r="97" spans="2:8" x14ac:dyDescent="0.25">
      <c r="B97" s="4">
        <v>30</v>
      </c>
    </row>
    <row r="98" spans="2:8" x14ac:dyDescent="0.25">
      <c r="B98" s="4">
        <v>31</v>
      </c>
    </row>
    <row r="99" spans="2:8" x14ac:dyDescent="0.25">
      <c r="B99" s="4">
        <v>32</v>
      </c>
    </row>
    <row r="100" spans="2:8" x14ac:dyDescent="0.25">
      <c r="B100" s="4">
        <v>33</v>
      </c>
    </row>
    <row r="101" spans="2:8" x14ac:dyDescent="0.25">
      <c r="B101" s="4">
        <v>34</v>
      </c>
    </row>
    <row r="102" spans="2:8" x14ac:dyDescent="0.25">
      <c r="B102" s="4">
        <v>35</v>
      </c>
    </row>
    <row r="103" spans="2:8" x14ac:dyDescent="0.25">
      <c r="B103" s="4">
        <v>36</v>
      </c>
    </row>
    <row r="104" spans="2:8" x14ac:dyDescent="0.25">
      <c r="B104" s="4">
        <v>37</v>
      </c>
    </row>
    <row r="105" spans="2:8" x14ac:dyDescent="0.25">
      <c r="B105" s="4">
        <v>38</v>
      </c>
    </row>
    <row r="106" spans="2:8" x14ac:dyDescent="0.25">
      <c r="B106" s="4">
        <v>39</v>
      </c>
    </row>
    <row r="107" spans="2:8" x14ac:dyDescent="0.25">
      <c r="B107" s="4">
        <v>40</v>
      </c>
    </row>
    <row r="108" spans="2:8" x14ac:dyDescent="0.25">
      <c r="B108" s="4">
        <v>41</v>
      </c>
    </row>
    <row r="109" spans="2:8" x14ac:dyDescent="0.25">
      <c r="B109" s="4">
        <v>42</v>
      </c>
      <c r="H109" t="s">
        <v>12</v>
      </c>
    </row>
    <row r="110" spans="2:8" x14ac:dyDescent="0.25">
      <c r="B110" s="4">
        <v>43</v>
      </c>
    </row>
    <row r="111" spans="2:8" x14ac:dyDescent="0.25">
      <c r="B111" s="4">
        <v>44</v>
      </c>
    </row>
    <row r="112" spans="2:8" x14ac:dyDescent="0.25">
      <c r="B112" s="4">
        <v>45</v>
      </c>
    </row>
    <row r="113" spans="2:10" x14ac:dyDescent="0.25">
      <c r="B113" s="4">
        <v>46</v>
      </c>
    </row>
    <row r="114" spans="2:10" x14ac:dyDescent="0.25">
      <c r="B114" s="4">
        <v>47</v>
      </c>
    </row>
    <row r="115" spans="2:10" x14ac:dyDescent="0.25">
      <c r="B115" s="4">
        <v>48</v>
      </c>
    </row>
    <row r="116" spans="2:10" x14ac:dyDescent="0.25">
      <c r="B116" s="4">
        <v>49</v>
      </c>
    </row>
    <row r="117" spans="2:10" x14ac:dyDescent="0.25">
      <c r="B117" s="4">
        <v>50</v>
      </c>
    </row>
    <row r="118" spans="2:10" x14ac:dyDescent="0.25">
      <c r="B118" s="4">
        <v>51</v>
      </c>
    </row>
    <row r="119" spans="2:10" x14ac:dyDescent="0.25">
      <c r="B119" s="4">
        <v>52</v>
      </c>
    </row>
    <row r="120" spans="2:10" x14ac:dyDescent="0.25">
      <c r="B120" s="4">
        <v>53</v>
      </c>
      <c r="E120" t="s">
        <v>12</v>
      </c>
      <c r="H120" t="s">
        <v>11</v>
      </c>
      <c r="I120" t="s">
        <v>11</v>
      </c>
    </row>
    <row r="121" spans="2:10" x14ac:dyDescent="0.25">
      <c r="B121" s="4">
        <v>54</v>
      </c>
    </row>
    <row r="122" spans="2:10" x14ac:dyDescent="0.25">
      <c r="B122" s="4">
        <v>55</v>
      </c>
    </row>
    <row r="123" spans="2:10" x14ac:dyDescent="0.25">
      <c r="B123" s="4">
        <v>56</v>
      </c>
      <c r="J123" t="s">
        <v>13</v>
      </c>
    </row>
  </sheetData>
  <conditionalFormatting sqref="C5:H11">
    <cfRule type="cellIs" dxfId="2055" priority="24" operator="equal">
      <formula>"Energia"</formula>
    </cfRule>
  </conditionalFormatting>
  <conditionalFormatting sqref="C5:J60">
    <cfRule type="cellIs" dxfId="2054" priority="17" operator="equal">
      <formula>"Energia"</formula>
    </cfRule>
    <cfRule type="cellIs" dxfId="2053" priority="19" operator="equal">
      <formula>"Operação"</formula>
    </cfRule>
    <cfRule type="cellIs" dxfId="2052" priority="20" operator="equal">
      <formula>"Chuva"</formula>
    </cfRule>
    <cfRule type="cellIs" dxfId="2051" priority="21" operator="equal">
      <formula>"Elétrico"</formula>
    </cfRule>
    <cfRule type="cellIs" dxfId="2050" priority="22" operator="equal">
      <formula>"Mecânico"</formula>
    </cfRule>
    <cfRule type="cellIs" dxfId="2049" priority="23" operator="equal">
      <formula>"Ok"</formula>
    </cfRule>
  </conditionalFormatting>
  <conditionalFormatting sqref="C5:J61">
    <cfRule type="cellIs" dxfId="2048" priority="18" operator="equal">
      <formula>"Feito"</formula>
    </cfRule>
  </conditionalFormatting>
  <conditionalFormatting sqref="C68:H74">
    <cfRule type="cellIs" dxfId="2047" priority="16" operator="equal">
      <formula>"Energia"</formula>
    </cfRule>
  </conditionalFormatting>
  <conditionalFormatting sqref="C68:J123">
    <cfRule type="cellIs" dxfId="2046" priority="1" operator="equal">
      <formula>"Micro"</formula>
    </cfRule>
    <cfRule type="cellIs" dxfId="2045" priority="2" operator="equal">
      <formula>"Castanha"</formula>
    </cfRule>
    <cfRule type="cellIs" dxfId="2044" priority="3" operator="equal">
      <formula>"Redutor"</formula>
    </cfRule>
    <cfRule type="cellIs" dxfId="2043" priority="4" operator="equal">
      <formula>"Adutora"</formula>
    </cfRule>
    <cfRule type="cellIs" dxfId="2042" priority="5" operator="equal">
      <formula>"Mangote"</formula>
    </cfRule>
    <cfRule type="cellIs" dxfId="2041" priority="6" operator="equal">
      <formula>"Vedação"</formula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{9907A7D5-EB43-483D-9DB4-35252FB46EBD}</x14:id>
        </ext>
      </extLst>
    </cfRule>
    <cfRule type="cellIs" dxfId="2040" priority="9" operator="equal">
      <formula>"Energia"</formula>
    </cfRule>
    <cfRule type="cellIs" dxfId="2039" priority="11" operator="equal">
      <formula>"Operação"</formula>
    </cfRule>
    <cfRule type="cellIs" dxfId="2038" priority="12" operator="equal">
      <formula>"Chuva"</formula>
    </cfRule>
    <cfRule type="cellIs" dxfId="2037" priority="13" operator="equal">
      <formula>"Elétrico"</formula>
    </cfRule>
    <cfRule type="cellIs" dxfId="2036" priority="14" operator="equal">
      <formula>"Mecânico"</formula>
    </cfRule>
    <cfRule type="cellIs" dxfId="2035" priority="15" operator="equal">
      <formula>"Ok"</formula>
    </cfRule>
  </conditionalFormatting>
  <conditionalFormatting sqref="C68:J123">
    <cfRule type="cellIs" dxfId="2034" priority="10" operator="equal">
      <formula>"Feito"</formula>
    </cfRule>
  </conditionalFormatting>
  <conditionalFormatting sqref="L7">
    <cfRule type="iconSet" priority="7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5:K60 K68:K123" xr:uid="{16B09683-A315-47D3-9CA5-FA5163C1ED6C}">
      <formula1>$L$5:$L$10</formula1>
    </dataValidation>
    <dataValidation type="list" allowBlank="1" showInputMessage="1" showErrorMessage="1" sqref="C68:J123" xr:uid="{B7C9C20E-98E3-4493-A4A5-A86162294C08}">
      <formula1>$L$68:$L$73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07A7D5-EB43-483D-9DB4-35252FB46EB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DCC7-60C0-45DC-B90B-089105BCADB0}">
  <sheetPr codeName="Planilha11"/>
  <dimension ref="B3:O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4" sqref="M4:O4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  <col min="15" max="15" width="10.7109375" bestFit="1" customWidth="1"/>
  </cols>
  <sheetData>
    <row r="3" spans="2:15" x14ac:dyDescent="0.25">
      <c r="C3" s="3">
        <v>44266</v>
      </c>
      <c r="D3" s="3">
        <f>C3+1</f>
        <v>44267</v>
      </c>
      <c r="E3" s="3">
        <f t="shared" ref="E3:J3" si="0">D3+1</f>
        <v>44268</v>
      </c>
      <c r="F3" s="3">
        <f t="shared" si="0"/>
        <v>44269</v>
      </c>
      <c r="G3" s="3">
        <f t="shared" si="0"/>
        <v>44270</v>
      </c>
      <c r="H3" s="3">
        <f t="shared" si="0"/>
        <v>44271</v>
      </c>
      <c r="I3" s="3">
        <f t="shared" si="0"/>
        <v>44272</v>
      </c>
      <c r="J3" s="3">
        <f t="shared" si="0"/>
        <v>44273</v>
      </c>
    </row>
    <row r="4" spans="2:15" x14ac:dyDescent="0.25">
      <c r="B4" s="2" t="s">
        <v>0</v>
      </c>
      <c r="C4" s="1" t="str">
        <f>TEXT(C3,"ddd")</f>
        <v>qui</v>
      </c>
      <c r="D4" s="1" t="str">
        <f t="shared" ref="D4:J4" si="1">TEXT(D3,"ddd")</f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J4" s="1" t="str">
        <f t="shared" si="1"/>
        <v>qui</v>
      </c>
      <c r="L4" s="11" t="s">
        <v>1</v>
      </c>
      <c r="M4" s="49" t="s">
        <v>32</v>
      </c>
      <c r="N4" s="50" t="s">
        <v>33</v>
      </c>
      <c r="O4" s="51" t="s">
        <v>34</v>
      </c>
    </row>
    <row r="5" spans="2:15" x14ac:dyDescent="0.25">
      <c r="B5" s="4">
        <v>1</v>
      </c>
      <c r="F5" t="s">
        <v>2</v>
      </c>
      <c r="H5" t="s">
        <v>2</v>
      </c>
      <c r="J5" t="s">
        <v>2</v>
      </c>
      <c r="L5" s="5" t="s">
        <v>2</v>
      </c>
      <c r="M5">
        <f>COUNTIF($C$5:$J$60,L5)</f>
        <v>93</v>
      </c>
      <c r="N5" s="53">
        <f>M5/$M$11</f>
        <v>0.7153846153846154</v>
      </c>
      <c r="O5" s="52">
        <v>44266</v>
      </c>
    </row>
    <row r="6" spans="2:15" x14ac:dyDescent="0.25">
      <c r="B6" s="4">
        <v>2</v>
      </c>
      <c r="G6" t="s">
        <v>5</v>
      </c>
      <c r="L6" s="6" t="s">
        <v>5</v>
      </c>
      <c r="M6">
        <f t="shared" ref="M6:M10" si="2">COUNTIF($C$5:$J$60,L6)</f>
        <v>9</v>
      </c>
      <c r="N6" s="53">
        <f t="shared" ref="N6:N10" si="3">M6/$M$11</f>
        <v>6.9230769230769235E-2</v>
      </c>
    </row>
    <row r="7" spans="2:15" x14ac:dyDescent="0.25">
      <c r="B7" s="4">
        <v>3</v>
      </c>
      <c r="C7" t="s">
        <v>2</v>
      </c>
      <c r="F7" t="s">
        <v>2</v>
      </c>
      <c r="I7" t="s">
        <v>2</v>
      </c>
      <c r="L7" s="7" t="s">
        <v>6</v>
      </c>
      <c r="M7">
        <f t="shared" si="2"/>
        <v>8</v>
      </c>
      <c r="N7" s="53">
        <f t="shared" si="3"/>
        <v>6.1538461538461542E-2</v>
      </c>
    </row>
    <row r="8" spans="2:15" x14ac:dyDescent="0.25">
      <c r="B8" s="4">
        <v>4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L8" s="8" t="s">
        <v>4</v>
      </c>
      <c r="M8">
        <f t="shared" si="2"/>
        <v>9</v>
      </c>
      <c r="N8" s="53">
        <f t="shared" si="3"/>
        <v>6.9230769230769235E-2</v>
      </c>
    </row>
    <row r="9" spans="2:15" x14ac:dyDescent="0.25">
      <c r="B9" s="4">
        <v>5</v>
      </c>
      <c r="J9" t="s">
        <v>7</v>
      </c>
      <c r="L9" s="9" t="s">
        <v>3</v>
      </c>
      <c r="M9">
        <f t="shared" si="2"/>
        <v>0</v>
      </c>
      <c r="N9" s="53">
        <f t="shared" si="3"/>
        <v>0</v>
      </c>
    </row>
    <row r="10" spans="2:15" x14ac:dyDescent="0.25">
      <c r="B10" s="4">
        <v>6</v>
      </c>
      <c r="L10" s="10" t="s">
        <v>7</v>
      </c>
      <c r="M10">
        <f t="shared" si="2"/>
        <v>11</v>
      </c>
      <c r="N10" s="53">
        <f t="shared" si="3"/>
        <v>8.461538461538462E-2</v>
      </c>
    </row>
    <row r="11" spans="2:15" x14ac:dyDescent="0.25">
      <c r="B11" s="4">
        <v>7</v>
      </c>
      <c r="M11">
        <f>SUM(M5:M10)</f>
        <v>130</v>
      </c>
    </row>
    <row r="12" spans="2:15" x14ac:dyDescent="0.25">
      <c r="B12" s="4">
        <v>8</v>
      </c>
    </row>
    <row r="13" spans="2:15" x14ac:dyDescent="0.25">
      <c r="B13" s="4">
        <v>9</v>
      </c>
    </row>
    <row r="14" spans="2:15" x14ac:dyDescent="0.25">
      <c r="B14" s="4">
        <v>10</v>
      </c>
    </row>
    <row r="15" spans="2:15" x14ac:dyDescent="0.25">
      <c r="B15" s="4">
        <v>11</v>
      </c>
    </row>
    <row r="16" spans="2:15" x14ac:dyDescent="0.25">
      <c r="B16" s="4">
        <v>12</v>
      </c>
    </row>
    <row r="17" spans="2:10" x14ac:dyDescent="0.25">
      <c r="B17" s="4">
        <v>13</v>
      </c>
      <c r="F17" t="s">
        <v>5</v>
      </c>
      <c r="G17" t="s">
        <v>5</v>
      </c>
      <c r="H17" t="s">
        <v>6</v>
      </c>
      <c r="J17" t="s">
        <v>2</v>
      </c>
    </row>
    <row r="18" spans="2:10" x14ac:dyDescent="0.25">
      <c r="B18" s="4">
        <v>14</v>
      </c>
      <c r="C18" t="s">
        <v>2</v>
      </c>
      <c r="G18" t="s">
        <v>2</v>
      </c>
      <c r="I18" t="s">
        <v>2</v>
      </c>
    </row>
    <row r="19" spans="2:10" x14ac:dyDescent="0.25">
      <c r="B19" s="4">
        <v>15</v>
      </c>
      <c r="G19" t="s">
        <v>2</v>
      </c>
      <c r="J19" t="s">
        <v>2</v>
      </c>
    </row>
    <row r="20" spans="2:10" x14ac:dyDescent="0.25">
      <c r="B20" s="4">
        <v>16</v>
      </c>
      <c r="F20" t="s">
        <v>2</v>
      </c>
      <c r="G20" t="s">
        <v>2</v>
      </c>
      <c r="I20" t="s">
        <v>5</v>
      </c>
      <c r="J20" t="s">
        <v>5</v>
      </c>
    </row>
    <row r="21" spans="2:10" x14ac:dyDescent="0.25">
      <c r="B21" s="4">
        <v>17</v>
      </c>
      <c r="H21" t="s">
        <v>2</v>
      </c>
    </row>
    <row r="22" spans="2:10" x14ac:dyDescent="0.25">
      <c r="B22" s="4">
        <v>18</v>
      </c>
      <c r="F22" t="s">
        <v>2</v>
      </c>
      <c r="J22" t="s">
        <v>5</v>
      </c>
    </row>
    <row r="23" spans="2:10" x14ac:dyDescent="0.25">
      <c r="B23" s="4">
        <v>19</v>
      </c>
      <c r="F23" t="s">
        <v>2</v>
      </c>
      <c r="H23" t="s">
        <v>7</v>
      </c>
      <c r="I23" t="s">
        <v>2</v>
      </c>
    </row>
    <row r="24" spans="2:10" x14ac:dyDescent="0.25">
      <c r="B24" s="4">
        <v>20</v>
      </c>
      <c r="D24" t="s">
        <v>2</v>
      </c>
      <c r="G24" t="s">
        <v>2</v>
      </c>
      <c r="J24" t="s">
        <v>2</v>
      </c>
    </row>
    <row r="25" spans="2:10" x14ac:dyDescent="0.25">
      <c r="B25" s="4">
        <v>21</v>
      </c>
      <c r="D25" t="s">
        <v>2</v>
      </c>
      <c r="H25" t="s">
        <v>4</v>
      </c>
    </row>
    <row r="26" spans="2:10" x14ac:dyDescent="0.25">
      <c r="B26" s="4">
        <v>22</v>
      </c>
      <c r="C26" t="s">
        <v>2</v>
      </c>
      <c r="G26" t="s">
        <v>2</v>
      </c>
      <c r="J26" t="s">
        <v>2</v>
      </c>
    </row>
    <row r="27" spans="2:10" x14ac:dyDescent="0.25">
      <c r="B27" s="4">
        <v>23</v>
      </c>
      <c r="H27" t="s">
        <v>4</v>
      </c>
    </row>
    <row r="28" spans="2:10" x14ac:dyDescent="0.25">
      <c r="B28" s="4">
        <v>24</v>
      </c>
      <c r="C28" t="s">
        <v>2</v>
      </c>
      <c r="G28" t="s">
        <v>2</v>
      </c>
      <c r="I28" t="s">
        <v>5</v>
      </c>
    </row>
    <row r="29" spans="2:10" x14ac:dyDescent="0.25">
      <c r="B29" s="4">
        <v>25</v>
      </c>
      <c r="C29" t="s">
        <v>2</v>
      </c>
      <c r="D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</row>
    <row r="30" spans="2:10" x14ac:dyDescent="0.25">
      <c r="B30" s="4">
        <v>26</v>
      </c>
      <c r="H30" t="s">
        <v>4</v>
      </c>
    </row>
    <row r="31" spans="2:10" x14ac:dyDescent="0.25">
      <c r="B31" s="4">
        <v>27</v>
      </c>
      <c r="G31" t="s">
        <v>2</v>
      </c>
      <c r="J31" t="s">
        <v>2</v>
      </c>
    </row>
    <row r="32" spans="2:10" x14ac:dyDescent="0.25">
      <c r="B32" s="4">
        <v>28</v>
      </c>
      <c r="G32" t="s">
        <v>2</v>
      </c>
      <c r="J32" t="s">
        <v>2</v>
      </c>
    </row>
    <row r="33" spans="2:10" x14ac:dyDescent="0.25">
      <c r="B33" s="4">
        <v>29</v>
      </c>
      <c r="D33" t="s">
        <v>2</v>
      </c>
      <c r="F33" t="s">
        <v>2</v>
      </c>
      <c r="H33" t="s">
        <v>2</v>
      </c>
      <c r="I33" t="s">
        <v>2</v>
      </c>
      <c r="J33" t="s">
        <v>2</v>
      </c>
    </row>
    <row r="34" spans="2:10" x14ac:dyDescent="0.25">
      <c r="B34" s="4">
        <v>30</v>
      </c>
      <c r="F34" t="s">
        <v>2</v>
      </c>
      <c r="H34" t="s">
        <v>4</v>
      </c>
      <c r="J34" t="s">
        <v>7</v>
      </c>
    </row>
    <row r="35" spans="2:10" x14ac:dyDescent="0.25">
      <c r="B35" s="4">
        <v>31</v>
      </c>
    </row>
    <row r="36" spans="2:10" x14ac:dyDescent="0.25">
      <c r="B36" s="4">
        <v>32</v>
      </c>
      <c r="F36" t="s">
        <v>2</v>
      </c>
      <c r="G36" t="s">
        <v>2</v>
      </c>
      <c r="I36" t="s">
        <v>2</v>
      </c>
      <c r="J36" t="s">
        <v>2</v>
      </c>
    </row>
    <row r="37" spans="2:10" x14ac:dyDescent="0.25">
      <c r="B37" s="4">
        <v>33</v>
      </c>
    </row>
    <row r="38" spans="2:10" x14ac:dyDescent="0.25">
      <c r="B38" s="4">
        <v>34</v>
      </c>
      <c r="F38" t="s">
        <v>2</v>
      </c>
      <c r="H38" t="s">
        <v>4</v>
      </c>
      <c r="J38" t="s">
        <v>2</v>
      </c>
    </row>
    <row r="39" spans="2:10" x14ac:dyDescent="0.25">
      <c r="B39" s="4">
        <v>35</v>
      </c>
      <c r="H39" t="s">
        <v>6</v>
      </c>
      <c r="I39" t="s">
        <v>2</v>
      </c>
      <c r="J39" t="s">
        <v>6</v>
      </c>
    </row>
    <row r="40" spans="2:10" x14ac:dyDescent="0.25">
      <c r="B40" s="4">
        <v>36</v>
      </c>
    </row>
    <row r="41" spans="2:10" x14ac:dyDescent="0.25">
      <c r="B41" s="4">
        <v>37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2</v>
      </c>
    </row>
    <row r="42" spans="2:10" x14ac:dyDescent="0.25">
      <c r="B42" s="4">
        <v>38</v>
      </c>
      <c r="G42" t="s">
        <v>2</v>
      </c>
      <c r="J42" t="s">
        <v>7</v>
      </c>
    </row>
    <row r="43" spans="2:10" x14ac:dyDescent="0.25">
      <c r="B43" s="4">
        <v>39</v>
      </c>
      <c r="F43" t="s">
        <v>2</v>
      </c>
      <c r="I43" t="s">
        <v>2</v>
      </c>
    </row>
    <row r="44" spans="2:10" x14ac:dyDescent="0.25">
      <c r="B44" s="4">
        <v>40</v>
      </c>
      <c r="G44" t="s">
        <v>2</v>
      </c>
      <c r="J44" t="s">
        <v>7</v>
      </c>
    </row>
    <row r="45" spans="2:10" x14ac:dyDescent="0.25">
      <c r="B45" s="4">
        <v>41</v>
      </c>
      <c r="F45" t="s">
        <v>2</v>
      </c>
      <c r="I45" t="s">
        <v>2</v>
      </c>
    </row>
    <row r="46" spans="2:10" x14ac:dyDescent="0.25">
      <c r="B46" s="4">
        <v>42</v>
      </c>
      <c r="G46" t="s">
        <v>2</v>
      </c>
      <c r="J46" t="s">
        <v>2</v>
      </c>
    </row>
    <row r="47" spans="2:10" x14ac:dyDescent="0.25">
      <c r="B47" s="4">
        <v>43</v>
      </c>
      <c r="F47" t="s">
        <v>2</v>
      </c>
      <c r="I47" t="s">
        <v>2</v>
      </c>
    </row>
    <row r="48" spans="2:10" x14ac:dyDescent="0.25">
      <c r="B48" s="4">
        <v>44</v>
      </c>
      <c r="C48" t="s">
        <v>6</v>
      </c>
      <c r="H48" t="s">
        <v>2</v>
      </c>
    </row>
    <row r="49" spans="2:10" x14ac:dyDescent="0.25">
      <c r="B49" s="4">
        <v>45</v>
      </c>
      <c r="F49" t="s">
        <v>2</v>
      </c>
      <c r="H49" t="s">
        <v>2</v>
      </c>
      <c r="J49" t="s">
        <v>2</v>
      </c>
    </row>
    <row r="50" spans="2:10" x14ac:dyDescent="0.25">
      <c r="B50" s="4">
        <v>46</v>
      </c>
      <c r="G50" t="s">
        <v>6</v>
      </c>
      <c r="I50" t="s">
        <v>4</v>
      </c>
    </row>
    <row r="51" spans="2:10" x14ac:dyDescent="0.25">
      <c r="B51" s="4">
        <v>47</v>
      </c>
      <c r="F51" t="s">
        <v>7</v>
      </c>
      <c r="H51" t="s">
        <v>4</v>
      </c>
      <c r="J51" t="s">
        <v>7</v>
      </c>
    </row>
    <row r="52" spans="2:10" x14ac:dyDescent="0.25">
      <c r="B52" s="4">
        <v>48</v>
      </c>
      <c r="G52" t="s">
        <v>2</v>
      </c>
      <c r="I52" t="s">
        <v>2</v>
      </c>
    </row>
    <row r="53" spans="2:10" x14ac:dyDescent="0.25">
      <c r="B53" s="4">
        <v>49</v>
      </c>
      <c r="F53" t="s">
        <v>2</v>
      </c>
      <c r="G53" t="s">
        <v>2</v>
      </c>
      <c r="H53" t="s">
        <v>2</v>
      </c>
      <c r="J53" t="s">
        <v>2</v>
      </c>
    </row>
    <row r="54" spans="2:10" x14ac:dyDescent="0.25">
      <c r="B54" s="4">
        <v>50</v>
      </c>
      <c r="F54" t="s">
        <v>2</v>
      </c>
      <c r="G54" t="s">
        <v>2</v>
      </c>
      <c r="I54" t="s">
        <v>2</v>
      </c>
    </row>
    <row r="55" spans="2:10" x14ac:dyDescent="0.25">
      <c r="B55" s="4">
        <v>51</v>
      </c>
      <c r="F55" t="s">
        <v>5</v>
      </c>
      <c r="G55" t="s">
        <v>5</v>
      </c>
      <c r="I55" t="s">
        <v>7</v>
      </c>
      <c r="J55" t="s">
        <v>7</v>
      </c>
    </row>
    <row r="56" spans="2:10" x14ac:dyDescent="0.25">
      <c r="B56" s="4">
        <v>52</v>
      </c>
      <c r="F56" t="s">
        <v>6</v>
      </c>
      <c r="H56" t="s">
        <v>7</v>
      </c>
      <c r="I56" t="s">
        <v>2</v>
      </c>
      <c r="J56" t="s">
        <v>2</v>
      </c>
    </row>
    <row r="57" spans="2:10" x14ac:dyDescent="0.25">
      <c r="B57" s="4">
        <v>53</v>
      </c>
      <c r="C57" t="s">
        <v>6</v>
      </c>
      <c r="H57" t="s">
        <v>2</v>
      </c>
      <c r="J57" t="s">
        <v>7</v>
      </c>
    </row>
    <row r="58" spans="2:10" x14ac:dyDescent="0.25">
      <c r="B58" s="4">
        <v>54</v>
      </c>
      <c r="G58" t="s">
        <v>2</v>
      </c>
    </row>
    <row r="59" spans="2:10" x14ac:dyDescent="0.25">
      <c r="B59" s="4">
        <v>55</v>
      </c>
      <c r="H59" t="s">
        <v>4</v>
      </c>
      <c r="J59" t="s">
        <v>2</v>
      </c>
    </row>
    <row r="60" spans="2:10" x14ac:dyDescent="0.25">
      <c r="B60" s="4">
        <v>56</v>
      </c>
      <c r="H60" t="s">
        <v>4</v>
      </c>
      <c r="J60" t="s">
        <v>6</v>
      </c>
    </row>
    <row r="66" spans="2:13" x14ac:dyDescent="0.25">
      <c r="C66" s="3"/>
      <c r="D66" s="3"/>
      <c r="E66" s="3"/>
      <c r="F66" s="3"/>
      <c r="G66" s="3"/>
      <c r="H66" s="3"/>
      <c r="I66" s="3"/>
      <c r="J66" s="3"/>
    </row>
    <row r="67" spans="2:13" x14ac:dyDescent="0.25">
      <c r="B67" s="2" t="s">
        <v>0</v>
      </c>
      <c r="C67" s="1"/>
      <c r="D67" s="1"/>
      <c r="E67" s="1"/>
      <c r="F67" s="1"/>
      <c r="G67" s="1"/>
      <c r="H67" s="1"/>
      <c r="I67" s="1"/>
      <c r="J67" s="1"/>
      <c r="L67" s="11" t="s">
        <v>5</v>
      </c>
    </row>
    <row r="68" spans="2:13" x14ac:dyDescent="0.25">
      <c r="B68" s="4">
        <v>1</v>
      </c>
      <c r="L68" s="12" t="s">
        <v>8</v>
      </c>
      <c r="M68">
        <f>COUNTIF($C$68:$J$123,L68)</f>
        <v>2</v>
      </c>
    </row>
    <row r="69" spans="2:13" x14ac:dyDescent="0.25">
      <c r="B69" s="4">
        <v>2</v>
      </c>
      <c r="G69" t="s">
        <v>10</v>
      </c>
      <c r="L69" s="13" t="s">
        <v>9</v>
      </c>
      <c r="M69">
        <f t="shared" ref="M69:M73" si="4">COUNTIF($C$68:$J$123,L69)</f>
        <v>0</v>
      </c>
    </row>
    <row r="70" spans="2:13" x14ac:dyDescent="0.25">
      <c r="B70" s="4">
        <v>3</v>
      </c>
      <c r="L70" s="7" t="s">
        <v>10</v>
      </c>
      <c r="M70">
        <f t="shared" si="4"/>
        <v>1</v>
      </c>
    </row>
    <row r="71" spans="2:13" x14ac:dyDescent="0.25">
      <c r="B71" s="4">
        <v>4</v>
      </c>
      <c r="L71" s="8" t="s">
        <v>11</v>
      </c>
      <c r="M71">
        <f t="shared" si="4"/>
        <v>1</v>
      </c>
    </row>
    <row r="72" spans="2:13" x14ac:dyDescent="0.25">
      <c r="B72" s="4">
        <v>5</v>
      </c>
      <c r="L72" s="14" t="s">
        <v>12</v>
      </c>
      <c r="M72">
        <f t="shared" si="4"/>
        <v>0</v>
      </c>
    </row>
    <row r="73" spans="2:13" x14ac:dyDescent="0.25">
      <c r="B73" s="4">
        <v>6</v>
      </c>
      <c r="L73" s="15" t="s">
        <v>13</v>
      </c>
      <c r="M73">
        <f t="shared" si="4"/>
        <v>2</v>
      </c>
    </row>
    <row r="74" spans="2:13" x14ac:dyDescent="0.25">
      <c r="B74" s="4">
        <v>7</v>
      </c>
      <c r="M74">
        <f>SUM(M68:M73)</f>
        <v>6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  <c r="F80" t="s">
        <v>13</v>
      </c>
      <c r="G80" t="s">
        <v>13</v>
      </c>
    </row>
    <row r="81" spans="2:10" x14ac:dyDescent="0.25">
      <c r="B81" s="4">
        <v>14</v>
      </c>
    </row>
    <row r="82" spans="2:10" x14ac:dyDescent="0.25">
      <c r="B82" s="4">
        <v>15</v>
      </c>
    </row>
    <row r="83" spans="2:10" x14ac:dyDescent="0.25">
      <c r="B83" s="4">
        <v>16</v>
      </c>
      <c r="I83" t="s">
        <v>8</v>
      </c>
    </row>
    <row r="84" spans="2:10" x14ac:dyDescent="0.25">
      <c r="B84" s="4">
        <v>17</v>
      </c>
    </row>
    <row r="85" spans="2:10" x14ac:dyDescent="0.25">
      <c r="B85" s="4">
        <v>18</v>
      </c>
      <c r="J85" t="s">
        <v>11</v>
      </c>
    </row>
    <row r="86" spans="2:10" x14ac:dyDescent="0.25">
      <c r="B86" s="4">
        <v>19</v>
      </c>
    </row>
    <row r="87" spans="2:10" x14ac:dyDescent="0.25">
      <c r="B87" s="4">
        <v>20</v>
      </c>
    </row>
    <row r="88" spans="2:10" x14ac:dyDescent="0.25">
      <c r="B88" s="4">
        <v>21</v>
      </c>
    </row>
    <row r="89" spans="2:10" x14ac:dyDescent="0.25">
      <c r="B89" s="4">
        <v>22</v>
      </c>
    </row>
    <row r="90" spans="2:10" x14ac:dyDescent="0.25">
      <c r="B90" s="4">
        <v>23</v>
      </c>
    </row>
    <row r="91" spans="2:10" x14ac:dyDescent="0.25">
      <c r="B91" s="4">
        <v>24</v>
      </c>
      <c r="I91" t="s">
        <v>8</v>
      </c>
    </row>
    <row r="92" spans="2:10" x14ac:dyDescent="0.25">
      <c r="B92" s="4">
        <v>25</v>
      </c>
    </row>
    <row r="93" spans="2:10" x14ac:dyDescent="0.25">
      <c r="B93" s="4">
        <v>26</v>
      </c>
    </row>
    <row r="94" spans="2:10" x14ac:dyDescent="0.25">
      <c r="B94" s="4">
        <v>27</v>
      </c>
    </row>
    <row r="95" spans="2:10" x14ac:dyDescent="0.25">
      <c r="B95" s="4">
        <v>28</v>
      </c>
    </row>
    <row r="96" spans="2:10" x14ac:dyDescent="0.25">
      <c r="B96" s="4">
        <v>29</v>
      </c>
    </row>
    <row r="97" spans="2:2" x14ac:dyDescent="0.25">
      <c r="B97" s="4">
        <v>30</v>
      </c>
    </row>
    <row r="98" spans="2:2" x14ac:dyDescent="0.25">
      <c r="B98" s="4">
        <v>31</v>
      </c>
    </row>
    <row r="99" spans="2:2" x14ac:dyDescent="0.25">
      <c r="B99" s="4">
        <v>32</v>
      </c>
    </row>
    <row r="100" spans="2:2" x14ac:dyDescent="0.25">
      <c r="B100" s="4">
        <v>33</v>
      </c>
    </row>
    <row r="101" spans="2:2" x14ac:dyDescent="0.25">
      <c r="B101" s="4">
        <v>34</v>
      </c>
    </row>
    <row r="102" spans="2:2" x14ac:dyDescent="0.25">
      <c r="B102" s="4">
        <v>35</v>
      </c>
    </row>
    <row r="103" spans="2:2" x14ac:dyDescent="0.25">
      <c r="B103" s="4">
        <v>36</v>
      </c>
    </row>
    <row r="104" spans="2:2" x14ac:dyDescent="0.25">
      <c r="B104" s="4">
        <v>37</v>
      </c>
    </row>
    <row r="105" spans="2:2" x14ac:dyDescent="0.25">
      <c r="B105" s="4">
        <v>38</v>
      </c>
    </row>
    <row r="106" spans="2:2" x14ac:dyDescent="0.25">
      <c r="B106" s="4">
        <v>39</v>
      </c>
    </row>
    <row r="107" spans="2:2" x14ac:dyDescent="0.25">
      <c r="B107" s="4">
        <v>40</v>
      </c>
    </row>
    <row r="108" spans="2:2" x14ac:dyDescent="0.25">
      <c r="B108" s="4">
        <v>41</v>
      </c>
    </row>
    <row r="109" spans="2:2" x14ac:dyDescent="0.25">
      <c r="B109" s="4">
        <v>42</v>
      </c>
    </row>
    <row r="110" spans="2:2" x14ac:dyDescent="0.25">
      <c r="B110" s="4">
        <v>43</v>
      </c>
    </row>
    <row r="111" spans="2:2" x14ac:dyDescent="0.25">
      <c r="B111" s="4">
        <v>44</v>
      </c>
    </row>
    <row r="112" spans="2:2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H11">
    <cfRule type="cellIs" dxfId="2033" priority="24" operator="equal">
      <formula>"Energia"</formula>
    </cfRule>
  </conditionalFormatting>
  <conditionalFormatting sqref="C5:J60">
    <cfRule type="cellIs" dxfId="2032" priority="17" operator="equal">
      <formula>"Energia"</formula>
    </cfRule>
    <cfRule type="cellIs" dxfId="2031" priority="19" operator="equal">
      <formula>"Operação"</formula>
    </cfRule>
    <cfRule type="cellIs" dxfId="2030" priority="20" operator="equal">
      <formula>"Chuva"</formula>
    </cfRule>
    <cfRule type="cellIs" dxfId="2029" priority="21" operator="equal">
      <formula>"Elétrico"</formula>
    </cfRule>
    <cfRule type="cellIs" dxfId="2028" priority="22" operator="equal">
      <formula>"Mecânico"</formula>
    </cfRule>
    <cfRule type="cellIs" dxfId="2027" priority="23" operator="equal">
      <formula>"Ok"</formula>
    </cfRule>
  </conditionalFormatting>
  <conditionalFormatting sqref="C5:J61">
    <cfRule type="cellIs" dxfId="2026" priority="18" operator="equal">
      <formula>"Feito"</formula>
    </cfRule>
  </conditionalFormatting>
  <conditionalFormatting sqref="C68:H74">
    <cfRule type="cellIs" dxfId="2025" priority="16" operator="equal">
      <formula>"Energia"</formula>
    </cfRule>
  </conditionalFormatting>
  <conditionalFormatting sqref="C68:J123">
    <cfRule type="cellIs" dxfId="2024" priority="1" operator="equal">
      <formula>"Micro"</formula>
    </cfRule>
    <cfRule type="cellIs" dxfId="2023" priority="2" operator="equal">
      <formula>"Castanha"</formula>
    </cfRule>
    <cfRule type="cellIs" dxfId="2022" priority="3" operator="equal">
      <formula>"Redutor"</formula>
    </cfRule>
    <cfRule type="cellIs" dxfId="2021" priority="4" operator="equal">
      <formula>"Adutora"</formula>
    </cfRule>
    <cfRule type="cellIs" dxfId="2020" priority="5" operator="equal">
      <formula>"Mangote"</formula>
    </cfRule>
    <cfRule type="cellIs" dxfId="2019" priority="6" operator="equal">
      <formula>"Vedação"</formula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{6560899C-59EC-45CC-9AE1-1E906E2FA91A}</x14:id>
        </ext>
      </extLst>
    </cfRule>
    <cfRule type="cellIs" dxfId="2018" priority="9" operator="equal">
      <formula>"Energia"</formula>
    </cfRule>
    <cfRule type="cellIs" dxfId="2017" priority="11" operator="equal">
      <formula>"Operação"</formula>
    </cfRule>
    <cfRule type="cellIs" dxfId="2016" priority="12" operator="equal">
      <formula>"Chuva"</formula>
    </cfRule>
    <cfRule type="cellIs" dxfId="2015" priority="13" operator="equal">
      <formula>"Elétrico"</formula>
    </cfRule>
    <cfRule type="cellIs" dxfId="2014" priority="14" operator="equal">
      <formula>"Mecânico"</formula>
    </cfRule>
    <cfRule type="cellIs" dxfId="2013" priority="15" operator="equal">
      <formula>"Ok"</formula>
    </cfRule>
  </conditionalFormatting>
  <conditionalFormatting sqref="C68:J123">
    <cfRule type="cellIs" dxfId="2012" priority="10" operator="equal">
      <formula>"Feito"</formula>
    </cfRule>
  </conditionalFormatting>
  <conditionalFormatting sqref="L7">
    <cfRule type="iconSet" priority="7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68:J123" xr:uid="{5EAE98AE-594E-49A2-B068-33AEA41DE8BF}">
      <formula1>$L$68:$L$73</formula1>
    </dataValidation>
    <dataValidation type="list" allowBlank="1" showInputMessage="1" showErrorMessage="1" sqref="C5:K60 K68:K123" xr:uid="{85F40332-B41C-44FB-B949-74A40E98F70D}">
      <formula1>$L$5:$L$10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60899C-59EC-45CC-9AE1-1E906E2FA91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05ED-5463-4B5F-B70E-544ED7FBFC01}">
  <sheetPr codeName="Planilha12"/>
  <dimension ref="B3:O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4" sqref="M4:O4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  <col min="15" max="15" width="10.7109375" bestFit="1" customWidth="1"/>
  </cols>
  <sheetData>
    <row r="3" spans="2:15" x14ac:dyDescent="0.25">
      <c r="C3" s="3">
        <v>44274</v>
      </c>
      <c r="D3" s="3">
        <f>C3+1</f>
        <v>44275</v>
      </c>
      <c r="E3" s="3">
        <f t="shared" ref="E3:J3" si="0">D3+1</f>
        <v>44276</v>
      </c>
      <c r="F3" s="3">
        <f t="shared" si="0"/>
        <v>44277</v>
      </c>
      <c r="G3" s="3">
        <f t="shared" si="0"/>
        <v>44278</v>
      </c>
      <c r="H3" s="3">
        <f t="shared" si="0"/>
        <v>44279</v>
      </c>
      <c r="I3" s="3">
        <f t="shared" si="0"/>
        <v>44280</v>
      </c>
      <c r="J3" s="3">
        <f t="shared" si="0"/>
        <v>44281</v>
      </c>
    </row>
    <row r="4" spans="2:15" x14ac:dyDescent="0.25">
      <c r="B4" s="2" t="s">
        <v>0</v>
      </c>
      <c r="C4" s="1" t="str">
        <f>TEXT(C3,"ddd")</f>
        <v>sex</v>
      </c>
      <c r="D4" s="1" t="str">
        <f t="shared" ref="D4:J4" si="1">TEXT(D3,"ddd")</f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J4" s="1" t="str">
        <f t="shared" si="1"/>
        <v>sex</v>
      </c>
      <c r="L4" s="11" t="s">
        <v>1</v>
      </c>
      <c r="M4" s="49" t="s">
        <v>32</v>
      </c>
      <c r="N4" s="50" t="s">
        <v>33</v>
      </c>
      <c r="O4" s="51" t="s">
        <v>34</v>
      </c>
    </row>
    <row r="5" spans="2:15" x14ac:dyDescent="0.25">
      <c r="B5" s="4">
        <v>1</v>
      </c>
      <c r="D5" t="s">
        <v>2</v>
      </c>
      <c r="F5" t="s">
        <v>2</v>
      </c>
      <c r="J5" t="s">
        <v>2</v>
      </c>
      <c r="L5" s="5" t="s">
        <v>2</v>
      </c>
      <c r="M5">
        <f>COUNTIF($C$5:$J$60,L5)</f>
        <v>113</v>
      </c>
      <c r="N5" s="53">
        <f>M5/$M$11</f>
        <v>0.59162303664921467</v>
      </c>
      <c r="O5" s="52">
        <v>44274</v>
      </c>
    </row>
    <row r="6" spans="2:15" x14ac:dyDescent="0.25">
      <c r="B6" s="4">
        <v>2</v>
      </c>
      <c r="C6" t="s">
        <v>2</v>
      </c>
      <c r="D6" t="s">
        <v>2</v>
      </c>
      <c r="E6" t="s">
        <v>2</v>
      </c>
      <c r="F6" t="s">
        <v>5</v>
      </c>
      <c r="G6" t="s">
        <v>2</v>
      </c>
      <c r="H6" t="s">
        <v>7</v>
      </c>
      <c r="J6" t="s">
        <v>2</v>
      </c>
      <c r="L6" s="6" t="s">
        <v>5</v>
      </c>
      <c r="M6">
        <f t="shared" ref="M6:M10" si="2">COUNTIF($C$5:$J$60,L6)</f>
        <v>23</v>
      </c>
      <c r="N6" s="53">
        <f t="shared" ref="N6:N10" si="3">M6/$M$11</f>
        <v>0.12041884816753927</v>
      </c>
    </row>
    <row r="7" spans="2:15" x14ac:dyDescent="0.25">
      <c r="B7" s="4">
        <v>3</v>
      </c>
      <c r="C7" t="s">
        <v>2</v>
      </c>
      <c r="H7" t="s">
        <v>2</v>
      </c>
      <c r="I7" t="s">
        <v>2</v>
      </c>
      <c r="L7" s="7" t="s">
        <v>6</v>
      </c>
      <c r="M7">
        <f t="shared" si="2"/>
        <v>18</v>
      </c>
      <c r="N7" s="53">
        <f t="shared" si="3"/>
        <v>9.4240837696335081E-2</v>
      </c>
    </row>
    <row r="8" spans="2:15" x14ac:dyDescent="0.25">
      <c r="B8" s="4">
        <v>4</v>
      </c>
      <c r="C8" t="s">
        <v>5</v>
      </c>
      <c r="D8" t="s">
        <v>2</v>
      </c>
      <c r="E8" t="s">
        <v>2</v>
      </c>
      <c r="G8" t="s">
        <v>2</v>
      </c>
      <c r="I8" t="s">
        <v>2</v>
      </c>
      <c r="J8" t="s">
        <v>2</v>
      </c>
      <c r="L8" s="8" t="s">
        <v>4</v>
      </c>
      <c r="M8">
        <f t="shared" si="2"/>
        <v>0</v>
      </c>
      <c r="N8" s="53">
        <f t="shared" si="3"/>
        <v>0</v>
      </c>
    </row>
    <row r="9" spans="2:15" x14ac:dyDescent="0.25">
      <c r="B9" s="4">
        <v>5</v>
      </c>
      <c r="I9" t="s">
        <v>2</v>
      </c>
      <c r="L9" s="9" t="s">
        <v>3</v>
      </c>
      <c r="M9">
        <f t="shared" si="2"/>
        <v>0</v>
      </c>
      <c r="N9" s="53">
        <f t="shared" si="3"/>
        <v>0</v>
      </c>
    </row>
    <row r="10" spans="2:15" x14ac:dyDescent="0.25">
      <c r="B10" s="4">
        <v>6</v>
      </c>
      <c r="D10" t="s">
        <v>6</v>
      </c>
      <c r="I10" t="s">
        <v>2</v>
      </c>
      <c r="L10" s="10" t="s">
        <v>7</v>
      </c>
      <c r="M10">
        <f t="shared" si="2"/>
        <v>37</v>
      </c>
      <c r="N10" s="53">
        <f t="shared" si="3"/>
        <v>0.193717277486911</v>
      </c>
    </row>
    <row r="11" spans="2:15" x14ac:dyDescent="0.25">
      <c r="B11" s="4">
        <v>7</v>
      </c>
      <c r="D11" t="s">
        <v>2</v>
      </c>
      <c r="M11">
        <f>SUM(M5:M10)</f>
        <v>191</v>
      </c>
    </row>
    <row r="12" spans="2:15" x14ac:dyDescent="0.25">
      <c r="B12" s="4">
        <v>8</v>
      </c>
      <c r="G12" t="s">
        <v>7</v>
      </c>
    </row>
    <row r="13" spans="2:15" x14ac:dyDescent="0.25">
      <c r="B13" s="4">
        <v>9</v>
      </c>
    </row>
    <row r="14" spans="2:15" x14ac:dyDescent="0.25">
      <c r="B14" s="4">
        <v>10</v>
      </c>
    </row>
    <row r="15" spans="2:15" x14ac:dyDescent="0.25">
      <c r="B15" s="4">
        <v>11</v>
      </c>
    </row>
    <row r="16" spans="2:15" x14ac:dyDescent="0.25">
      <c r="B16" s="4">
        <v>12</v>
      </c>
      <c r="I16" t="s">
        <v>2</v>
      </c>
      <c r="J16" t="s">
        <v>2</v>
      </c>
    </row>
    <row r="17" spans="2:10" x14ac:dyDescent="0.25">
      <c r="B17" s="4">
        <v>13</v>
      </c>
      <c r="D17" t="s">
        <v>2</v>
      </c>
    </row>
    <row r="18" spans="2:10" x14ac:dyDescent="0.25">
      <c r="B18" s="4">
        <v>14</v>
      </c>
      <c r="C18" t="s">
        <v>5</v>
      </c>
      <c r="E18" t="s">
        <v>2</v>
      </c>
      <c r="H18" t="s">
        <v>7</v>
      </c>
      <c r="J18" t="s">
        <v>7</v>
      </c>
    </row>
    <row r="19" spans="2:10" x14ac:dyDescent="0.25">
      <c r="B19" s="4">
        <v>15</v>
      </c>
      <c r="C19" t="s">
        <v>7</v>
      </c>
      <c r="E19" t="s">
        <v>2</v>
      </c>
      <c r="H19" t="s">
        <v>2</v>
      </c>
    </row>
    <row r="20" spans="2:10" x14ac:dyDescent="0.25">
      <c r="B20" s="4">
        <v>16</v>
      </c>
      <c r="C20" t="s">
        <v>5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</row>
    <row r="21" spans="2:10" x14ac:dyDescent="0.25">
      <c r="B21" s="4">
        <v>17</v>
      </c>
      <c r="C21" t="s">
        <v>2</v>
      </c>
      <c r="E21" t="s">
        <v>2</v>
      </c>
      <c r="G21" t="s">
        <v>2</v>
      </c>
      <c r="H21" t="s">
        <v>2</v>
      </c>
    </row>
    <row r="22" spans="2:10" x14ac:dyDescent="0.25">
      <c r="B22" s="4">
        <v>18</v>
      </c>
      <c r="D22" t="s">
        <v>2</v>
      </c>
      <c r="G22" t="s">
        <v>2</v>
      </c>
      <c r="J22" t="s">
        <v>2</v>
      </c>
    </row>
    <row r="23" spans="2:10" x14ac:dyDescent="0.25">
      <c r="B23" s="4">
        <v>19</v>
      </c>
      <c r="C23" t="s">
        <v>2</v>
      </c>
      <c r="F23" t="s">
        <v>7</v>
      </c>
      <c r="G23" t="s">
        <v>7</v>
      </c>
      <c r="J23" t="s">
        <v>2</v>
      </c>
    </row>
    <row r="24" spans="2:10" x14ac:dyDescent="0.25">
      <c r="B24" s="4">
        <v>20</v>
      </c>
      <c r="E24" t="s">
        <v>7</v>
      </c>
      <c r="H24" t="s">
        <v>2</v>
      </c>
    </row>
    <row r="25" spans="2:10" x14ac:dyDescent="0.25">
      <c r="B25" s="4">
        <v>21</v>
      </c>
      <c r="C25" t="s">
        <v>6</v>
      </c>
      <c r="G25" t="s">
        <v>6</v>
      </c>
      <c r="I25" t="s">
        <v>6</v>
      </c>
    </row>
    <row r="26" spans="2:10" x14ac:dyDescent="0.25">
      <c r="B26" s="4">
        <v>22</v>
      </c>
      <c r="E26" t="s">
        <v>7</v>
      </c>
      <c r="I26" t="s">
        <v>2</v>
      </c>
    </row>
    <row r="27" spans="2:10" x14ac:dyDescent="0.25">
      <c r="B27" s="4">
        <v>23</v>
      </c>
      <c r="C27" t="s">
        <v>6</v>
      </c>
      <c r="F27" t="s">
        <v>6</v>
      </c>
      <c r="I27" t="s">
        <v>6</v>
      </c>
    </row>
    <row r="28" spans="2:10" x14ac:dyDescent="0.25">
      <c r="B28" s="4">
        <v>24</v>
      </c>
      <c r="D28" t="s">
        <v>7</v>
      </c>
      <c r="G28" t="s">
        <v>7</v>
      </c>
      <c r="I28" t="s">
        <v>7</v>
      </c>
      <c r="J28" t="s">
        <v>2</v>
      </c>
    </row>
    <row r="29" spans="2:10" x14ac:dyDescent="0.25">
      <c r="B29" s="4">
        <v>25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</row>
    <row r="30" spans="2:10" x14ac:dyDescent="0.25">
      <c r="B30" s="4">
        <v>26</v>
      </c>
      <c r="C30" t="s">
        <v>2</v>
      </c>
      <c r="F30" t="s">
        <v>2</v>
      </c>
      <c r="I30" t="s">
        <v>2</v>
      </c>
    </row>
    <row r="31" spans="2:10" x14ac:dyDescent="0.25">
      <c r="B31" s="4">
        <v>27</v>
      </c>
      <c r="C31" t="s">
        <v>7</v>
      </c>
      <c r="F31" t="s">
        <v>2</v>
      </c>
      <c r="I31" t="s">
        <v>2</v>
      </c>
    </row>
    <row r="32" spans="2:10" x14ac:dyDescent="0.25">
      <c r="B32" s="4">
        <v>28</v>
      </c>
      <c r="E32" t="s">
        <v>2</v>
      </c>
      <c r="H32" t="s">
        <v>7</v>
      </c>
      <c r="I32" t="s">
        <v>2</v>
      </c>
      <c r="J32" t="s">
        <v>7</v>
      </c>
    </row>
    <row r="33" spans="2:10" x14ac:dyDescent="0.25">
      <c r="B33" s="4">
        <v>29</v>
      </c>
      <c r="C33" t="s">
        <v>2</v>
      </c>
      <c r="D33" t="s">
        <v>2</v>
      </c>
      <c r="E33" t="s">
        <v>2</v>
      </c>
      <c r="F33" t="s">
        <v>5</v>
      </c>
      <c r="G33" t="s">
        <v>7</v>
      </c>
      <c r="H33" t="s">
        <v>2</v>
      </c>
      <c r="I33" t="s">
        <v>2</v>
      </c>
      <c r="J33" t="s">
        <v>2</v>
      </c>
    </row>
    <row r="34" spans="2:10" x14ac:dyDescent="0.25">
      <c r="B34" s="4">
        <v>30</v>
      </c>
      <c r="D34" t="s">
        <v>7</v>
      </c>
      <c r="E34" t="s">
        <v>5</v>
      </c>
      <c r="F34" t="s">
        <v>5</v>
      </c>
      <c r="G34" t="s">
        <v>5</v>
      </c>
      <c r="H34" t="s">
        <v>5</v>
      </c>
      <c r="I34" t="s">
        <v>5</v>
      </c>
      <c r="J34" t="s">
        <v>2</v>
      </c>
    </row>
    <row r="35" spans="2:10" x14ac:dyDescent="0.25">
      <c r="B35" s="4">
        <v>31</v>
      </c>
    </row>
    <row r="36" spans="2:10" x14ac:dyDescent="0.25">
      <c r="B36" s="4">
        <v>32</v>
      </c>
      <c r="D36" t="s">
        <v>2</v>
      </c>
      <c r="E36" t="s">
        <v>2</v>
      </c>
      <c r="G36" t="s">
        <v>2</v>
      </c>
      <c r="H36" t="s">
        <v>5</v>
      </c>
      <c r="I36" t="s">
        <v>5</v>
      </c>
      <c r="J36" t="s">
        <v>5</v>
      </c>
    </row>
    <row r="37" spans="2:10" x14ac:dyDescent="0.25">
      <c r="B37" s="4">
        <v>33</v>
      </c>
      <c r="I37" t="s">
        <v>6</v>
      </c>
      <c r="J37" t="s">
        <v>2</v>
      </c>
    </row>
    <row r="38" spans="2:10" x14ac:dyDescent="0.25">
      <c r="B38" s="4">
        <v>34</v>
      </c>
      <c r="D38" t="s">
        <v>7</v>
      </c>
      <c r="G38" t="s">
        <v>2</v>
      </c>
      <c r="J38" t="s">
        <v>2</v>
      </c>
    </row>
    <row r="39" spans="2:10" x14ac:dyDescent="0.25">
      <c r="B39" s="4">
        <v>35</v>
      </c>
      <c r="C39" t="s">
        <v>5</v>
      </c>
      <c r="D39" t="s">
        <v>6</v>
      </c>
      <c r="E39" t="s">
        <v>6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</row>
    <row r="40" spans="2:10" x14ac:dyDescent="0.25">
      <c r="B40" s="4">
        <v>36</v>
      </c>
      <c r="D40" t="s">
        <v>5</v>
      </c>
      <c r="F40" t="s">
        <v>2</v>
      </c>
      <c r="G40" t="s">
        <v>6</v>
      </c>
      <c r="H40" t="s">
        <v>7</v>
      </c>
      <c r="I40" t="s">
        <v>2</v>
      </c>
      <c r="J40" t="s">
        <v>2</v>
      </c>
    </row>
    <row r="41" spans="2:10" x14ac:dyDescent="0.25">
      <c r="B41" s="4">
        <v>37</v>
      </c>
      <c r="D41" t="s">
        <v>7</v>
      </c>
      <c r="E41" t="s">
        <v>2</v>
      </c>
      <c r="J41" t="s">
        <v>2</v>
      </c>
    </row>
    <row r="42" spans="2:10" x14ac:dyDescent="0.25">
      <c r="B42" s="4">
        <v>38</v>
      </c>
      <c r="E42" t="s">
        <v>2</v>
      </c>
      <c r="H42" t="s">
        <v>7</v>
      </c>
    </row>
    <row r="43" spans="2:10" x14ac:dyDescent="0.25">
      <c r="B43" s="4">
        <v>39</v>
      </c>
      <c r="C43" t="s">
        <v>7</v>
      </c>
      <c r="D43" t="s">
        <v>2</v>
      </c>
      <c r="F43" t="s">
        <v>2</v>
      </c>
      <c r="H43" t="s">
        <v>2</v>
      </c>
      <c r="I43" t="s">
        <v>2</v>
      </c>
    </row>
    <row r="44" spans="2:10" x14ac:dyDescent="0.25">
      <c r="B44" s="4">
        <v>40</v>
      </c>
      <c r="E44" t="s">
        <v>2</v>
      </c>
      <c r="H44" t="s">
        <v>2</v>
      </c>
      <c r="J44" t="s">
        <v>7</v>
      </c>
    </row>
    <row r="45" spans="2:10" x14ac:dyDescent="0.25">
      <c r="B45" s="4">
        <v>41</v>
      </c>
      <c r="D45" t="s">
        <v>2</v>
      </c>
      <c r="F45" t="s">
        <v>2</v>
      </c>
      <c r="G45" t="s">
        <v>7</v>
      </c>
      <c r="I45" t="s">
        <v>7</v>
      </c>
    </row>
    <row r="46" spans="2:10" x14ac:dyDescent="0.25">
      <c r="B46" s="4">
        <v>42</v>
      </c>
      <c r="E46" t="s">
        <v>2</v>
      </c>
      <c r="H46" t="s">
        <v>2</v>
      </c>
      <c r="J46" t="s">
        <v>2</v>
      </c>
    </row>
    <row r="47" spans="2:10" x14ac:dyDescent="0.25">
      <c r="B47" s="4">
        <v>43</v>
      </c>
      <c r="D47" t="s">
        <v>2</v>
      </c>
      <c r="F47" t="s">
        <v>7</v>
      </c>
      <c r="G47" t="s">
        <v>7</v>
      </c>
      <c r="I47" t="s">
        <v>2</v>
      </c>
    </row>
    <row r="48" spans="2:10" x14ac:dyDescent="0.25">
      <c r="B48" s="4">
        <v>44</v>
      </c>
      <c r="C48" t="s">
        <v>2</v>
      </c>
      <c r="H48" t="s">
        <v>5</v>
      </c>
    </row>
    <row r="49" spans="2:10" x14ac:dyDescent="0.25">
      <c r="B49" s="4">
        <v>45</v>
      </c>
      <c r="D49" t="s">
        <v>2</v>
      </c>
      <c r="F49" t="s">
        <v>2</v>
      </c>
      <c r="H49" t="s">
        <v>2</v>
      </c>
      <c r="J49" t="s">
        <v>2</v>
      </c>
    </row>
    <row r="50" spans="2:10" x14ac:dyDescent="0.25">
      <c r="B50" s="4">
        <v>46</v>
      </c>
      <c r="C50" t="s">
        <v>6</v>
      </c>
      <c r="E50" t="s">
        <v>6</v>
      </c>
      <c r="G50" t="s">
        <v>2</v>
      </c>
      <c r="I50" t="s">
        <v>2</v>
      </c>
      <c r="J50" t="s">
        <v>2</v>
      </c>
    </row>
    <row r="51" spans="2:10" x14ac:dyDescent="0.25">
      <c r="B51" s="4">
        <v>47</v>
      </c>
      <c r="C51" t="s">
        <v>2</v>
      </c>
      <c r="D51" t="s">
        <v>6</v>
      </c>
      <c r="F51" t="s">
        <v>2</v>
      </c>
      <c r="G51" t="s">
        <v>7</v>
      </c>
      <c r="I51" t="s">
        <v>6</v>
      </c>
    </row>
    <row r="52" spans="2:10" x14ac:dyDescent="0.25">
      <c r="B52" s="4">
        <v>48</v>
      </c>
      <c r="C52" t="s">
        <v>7</v>
      </c>
      <c r="E52" t="s">
        <v>7</v>
      </c>
      <c r="G52" t="s">
        <v>2</v>
      </c>
      <c r="H52" t="s">
        <v>2</v>
      </c>
      <c r="I52" t="s">
        <v>2</v>
      </c>
    </row>
    <row r="53" spans="2:10" x14ac:dyDescent="0.25">
      <c r="B53" s="4">
        <v>49</v>
      </c>
      <c r="D53" t="s">
        <v>2</v>
      </c>
      <c r="F53" t="s">
        <v>2</v>
      </c>
      <c r="H53" t="s">
        <v>2</v>
      </c>
      <c r="J53" t="s">
        <v>2</v>
      </c>
    </row>
    <row r="54" spans="2:10" x14ac:dyDescent="0.25">
      <c r="B54" s="4">
        <v>50</v>
      </c>
      <c r="C54" t="s">
        <v>6</v>
      </c>
      <c r="D54" t="s">
        <v>2</v>
      </c>
      <c r="E54" t="s">
        <v>7</v>
      </c>
      <c r="G54" t="s">
        <v>2</v>
      </c>
    </row>
    <row r="55" spans="2:10" x14ac:dyDescent="0.25">
      <c r="B55" s="4">
        <v>51</v>
      </c>
      <c r="D55" t="s">
        <v>6</v>
      </c>
      <c r="E55" t="s">
        <v>7</v>
      </c>
      <c r="G55" t="s">
        <v>2</v>
      </c>
    </row>
    <row r="56" spans="2:10" x14ac:dyDescent="0.25">
      <c r="B56" s="4">
        <v>52</v>
      </c>
      <c r="C56" t="s">
        <v>6</v>
      </c>
      <c r="E56" t="s">
        <v>7</v>
      </c>
    </row>
    <row r="57" spans="2:10" x14ac:dyDescent="0.25">
      <c r="B57" s="4">
        <v>53</v>
      </c>
      <c r="F57" t="s">
        <v>2</v>
      </c>
    </row>
    <row r="58" spans="2:10" x14ac:dyDescent="0.25">
      <c r="B58" s="4">
        <v>54</v>
      </c>
      <c r="C58" t="s">
        <v>2</v>
      </c>
      <c r="E58" t="s">
        <v>2</v>
      </c>
      <c r="H58" t="s">
        <v>2</v>
      </c>
    </row>
    <row r="59" spans="2:10" x14ac:dyDescent="0.25">
      <c r="B59" s="4">
        <v>55</v>
      </c>
      <c r="F59" t="s">
        <v>7</v>
      </c>
      <c r="I59" t="s">
        <v>7</v>
      </c>
    </row>
    <row r="60" spans="2:10" x14ac:dyDescent="0.25">
      <c r="B60" s="4">
        <v>56</v>
      </c>
      <c r="F60" t="s">
        <v>7</v>
      </c>
      <c r="I60" t="s">
        <v>7</v>
      </c>
    </row>
    <row r="66" spans="2:13" x14ac:dyDescent="0.25">
      <c r="C66" s="3"/>
      <c r="D66" s="3"/>
      <c r="E66" s="3"/>
      <c r="F66" s="3"/>
      <c r="G66" s="3"/>
      <c r="H66" s="3"/>
      <c r="I66" s="3"/>
      <c r="J66" s="3"/>
    </row>
    <row r="67" spans="2:13" x14ac:dyDescent="0.25">
      <c r="B67" s="2" t="s">
        <v>0</v>
      </c>
      <c r="C67" s="1"/>
      <c r="D67" s="1"/>
      <c r="E67" s="1"/>
      <c r="F67" s="1"/>
      <c r="G67" s="1"/>
      <c r="H67" s="1"/>
      <c r="I67" s="1"/>
      <c r="J67" s="1"/>
      <c r="L67" s="11" t="s">
        <v>5</v>
      </c>
    </row>
    <row r="68" spans="2:13" x14ac:dyDescent="0.25">
      <c r="B68" s="4">
        <v>1</v>
      </c>
      <c r="L68" s="12" t="s">
        <v>8</v>
      </c>
      <c r="M68">
        <f>COUNTIF($C$68:$J$123,L68)</f>
        <v>3</v>
      </c>
    </row>
    <row r="69" spans="2:13" x14ac:dyDescent="0.25">
      <c r="B69" s="4">
        <v>2</v>
      </c>
      <c r="L69" s="13" t="s">
        <v>9</v>
      </c>
      <c r="M69">
        <f t="shared" ref="M69:M73" si="4">COUNTIF($C$68:$J$123,L69)</f>
        <v>0</v>
      </c>
    </row>
    <row r="70" spans="2:13" x14ac:dyDescent="0.25">
      <c r="B70" s="4">
        <v>3</v>
      </c>
      <c r="L70" s="7" t="s">
        <v>10</v>
      </c>
      <c r="M70">
        <f t="shared" si="4"/>
        <v>0</v>
      </c>
    </row>
    <row r="71" spans="2:13" x14ac:dyDescent="0.25">
      <c r="B71" s="4">
        <v>4</v>
      </c>
      <c r="C71" t="s">
        <v>11</v>
      </c>
      <c r="L71" s="8" t="s">
        <v>11</v>
      </c>
      <c r="M71">
        <f t="shared" si="4"/>
        <v>5</v>
      </c>
    </row>
    <row r="72" spans="2:13" x14ac:dyDescent="0.25">
      <c r="B72" s="4">
        <v>5</v>
      </c>
      <c r="L72" s="14" t="s">
        <v>12</v>
      </c>
      <c r="M72">
        <f t="shared" si="4"/>
        <v>2</v>
      </c>
    </row>
    <row r="73" spans="2:13" x14ac:dyDescent="0.25">
      <c r="B73" s="4">
        <v>6</v>
      </c>
      <c r="L73" s="15" t="s">
        <v>13</v>
      </c>
      <c r="M73">
        <f t="shared" si="4"/>
        <v>0</v>
      </c>
    </row>
    <row r="74" spans="2:13" x14ac:dyDescent="0.25">
      <c r="B74" s="4">
        <v>7</v>
      </c>
      <c r="M74">
        <f>SUM(M68:M73)</f>
        <v>10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8" x14ac:dyDescent="0.25">
      <c r="B81" s="4">
        <v>14</v>
      </c>
      <c r="C81" t="s">
        <v>12</v>
      </c>
    </row>
    <row r="82" spans="2:8" x14ac:dyDescent="0.25">
      <c r="B82" s="4">
        <v>15</v>
      </c>
    </row>
    <row r="83" spans="2:8" x14ac:dyDescent="0.25">
      <c r="B83" s="4">
        <v>16</v>
      </c>
      <c r="F83" t="s">
        <v>8</v>
      </c>
      <c r="G83" t="s">
        <v>8</v>
      </c>
      <c r="H83" t="s">
        <v>8</v>
      </c>
    </row>
    <row r="84" spans="2:8" x14ac:dyDescent="0.25">
      <c r="B84" s="4">
        <v>17</v>
      </c>
    </row>
    <row r="85" spans="2:8" x14ac:dyDescent="0.25">
      <c r="B85" s="4">
        <v>18</v>
      </c>
    </row>
    <row r="86" spans="2:8" x14ac:dyDescent="0.25">
      <c r="B86" s="4">
        <v>19</v>
      </c>
    </row>
    <row r="87" spans="2:8" x14ac:dyDescent="0.25">
      <c r="B87" s="4">
        <v>20</v>
      </c>
    </row>
    <row r="88" spans="2:8" x14ac:dyDescent="0.25">
      <c r="B88" s="4">
        <v>21</v>
      </c>
    </row>
    <row r="89" spans="2:8" x14ac:dyDescent="0.25">
      <c r="B89" s="4">
        <v>22</v>
      </c>
    </row>
    <row r="90" spans="2:8" x14ac:dyDescent="0.25">
      <c r="B90" s="4">
        <v>23</v>
      </c>
    </row>
    <row r="91" spans="2:8" x14ac:dyDescent="0.25">
      <c r="B91" s="4">
        <v>24</v>
      </c>
    </row>
    <row r="92" spans="2:8" x14ac:dyDescent="0.25">
      <c r="B92" s="4">
        <v>25</v>
      </c>
    </row>
    <row r="93" spans="2:8" x14ac:dyDescent="0.25">
      <c r="B93" s="4">
        <v>26</v>
      </c>
    </row>
    <row r="94" spans="2:8" x14ac:dyDescent="0.25">
      <c r="B94" s="4">
        <v>27</v>
      </c>
    </row>
    <row r="95" spans="2:8" x14ac:dyDescent="0.25">
      <c r="B95" s="4">
        <v>28</v>
      </c>
    </row>
    <row r="96" spans="2:8" x14ac:dyDescent="0.25">
      <c r="B96" s="4">
        <v>29</v>
      </c>
    </row>
    <row r="97" spans="2:10" x14ac:dyDescent="0.25">
      <c r="B97" s="4">
        <v>30</v>
      </c>
    </row>
    <row r="98" spans="2:10" x14ac:dyDescent="0.25">
      <c r="B98" s="4">
        <v>31</v>
      </c>
    </row>
    <row r="99" spans="2:10" x14ac:dyDescent="0.25">
      <c r="B99" s="4">
        <v>32</v>
      </c>
      <c r="H99" t="s">
        <v>11</v>
      </c>
      <c r="I99" t="s">
        <v>11</v>
      </c>
      <c r="J99" t="s">
        <v>11</v>
      </c>
    </row>
    <row r="100" spans="2:10" x14ac:dyDescent="0.25">
      <c r="B100" s="4">
        <v>33</v>
      </c>
    </row>
    <row r="101" spans="2:10" x14ac:dyDescent="0.25">
      <c r="B101" s="4">
        <v>34</v>
      </c>
    </row>
    <row r="102" spans="2:10" x14ac:dyDescent="0.25">
      <c r="B102" s="4">
        <v>35</v>
      </c>
      <c r="C102" t="s">
        <v>12</v>
      </c>
    </row>
    <row r="103" spans="2:10" x14ac:dyDescent="0.25">
      <c r="B103" s="4">
        <v>36</v>
      </c>
    </row>
    <row r="104" spans="2:10" x14ac:dyDescent="0.25">
      <c r="B104" s="4">
        <v>37</v>
      </c>
    </row>
    <row r="105" spans="2:10" x14ac:dyDescent="0.25">
      <c r="B105" s="4">
        <v>38</v>
      </c>
    </row>
    <row r="106" spans="2:10" x14ac:dyDescent="0.25">
      <c r="B106" s="4">
        <v>39</v>
      </c>
    </row>
    <row r="107" spans="2:10" x14ac:dyDescent="0.25">
      <c r="B107" s="4">
        <v>40</v>
      </c>
    </row>
    <row r="108" spans="2:10" x14ac:dyDescent="0.25">
      <c r="B108" s="4">
        <v>41</v>
      </c>
    </row>
    <row r="109" spans="2:10" x14ac:dyDescent="0.25">
      <c r="B109" s="4">
        <v>42</v>
      </c>
    </row>
    <row r="110" spans="2:10" x14ac:dyDescent="0.25">
      <c r="B110" s="4">
        <v>43</v>
      </c>
    </row>
    <row r="111" spans="2:10" x14ac:dyDescent="0.25">
      <c r="B111" s="4">
        <v>44</v>
      </c>
      <c r="H111" t="s">
        <v>11</v>
      </c>
    </row>
    <row r="112" spans="2:10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E11 H5:H11">
    <cfRule type="cellIs" dxfId="2011" priority="32" operator="equal">
      <formula>"Energia"</formula>
    </cfRule>
  </conditionalFormatting>
  <conditionalFormatting sqref="C5:E60 H5:J60">
    <cfRule type="cellIs" dxfId="2010" priority="25" operator="equal">
      <formula>"Energia"</formula>
    </cfRule>
    <cfRule type="cellIs" dxfId="2009" priority="27" operator="equal">
      <formula>"Operação"</formula>
    </cfRule>
    <cfRule type="cellIs" dxfId="2008" priority="28" operator="equal">
      <formula>"Chuva"</formula>
    </cfRule>
    <cfRule type="cellIs" dxfId="2007" priority="29" operator="equal">
      <formula>"Elétrico"</formula>
    </cfRule>
    <cfRule type="cellIs" dxfId="2006" priority="30" operator="equal">
      <formula>"Mecânico"</formula>
    </cfRule>
    <cfRule type="cellIs" dxfId="2005" priority="31" operator="equal">
      <formula>"Ok"</formula>
    </cfRule>
  </conditionalFormatting>
  <conditionalFormatting sqref="C61:J61 C5:E60 H5:J60">
    <cfRule type="cellIs" dxfId="2004" priority="26" operator="equal">
      <formula>"Feito"</formula>
    </cfRule>
  </conditionalFormatting>
  <conditionalFormatting sqref="C68:H74">
    <cfRule type="cellIs" dxfId="2003" priority="24" operator="equal">
      <formula>"Energia"</formula>
    </cfRule>
  </conditionalFormatting>
  <conditionalFormatting sqref="C68:J123">
    <cfRule type="cellIs" dxfId="2002" priority="9" operator="equal">
      <formula>"Micro"</formula>
    </cfRule>
    <cfRule type="cellIs" dxfId="2001" priority="10" operator="equal">
      <formula>"Castanha"</formula>
    </cfRule>
    <cfRule type="cellIs" dxfId="2000" priority="11" operator="equal">
      <formula>"Redutor"</formula>
    </cfRule>
    <cfRule type="cellIs" dxfId="1999" priority="12" operator="equal">
      <formula>"Adutora"</formula>
    </cfRule>
    <cfRule type="cellIs" dxfId="1998" priority="13" operator="equal">
      <formula>"Mangote"</formula>
    </cfRule>
    <cfRule type="cellIs" dxfId="1997" priority="14" operator="equal">
      <formula>"Vedação"</formula>
    </cfRule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{B6B63773-1D41-44B4-8D66-BF880EF005DC}</x14:id>
        </ext>
      </extLst>
    </cfRule>
    <cfRule type="cellIs" dxfId="1996" priority="17" operator="equal">
      <formula>"Energia"</formula>
    </cfRule>
    <cfRule type="cellIs" dxfId="1995" priority="19" operator="equal">
      <formula>"Operação"</formula>
    </cfRule>
    <cfRule type="cellIs" dxfId="1994" priority="20" operator="equal">
      <formula>"Chuva"</formula>
    </cfRule>
    <cfRule type="cellIs" dxfId="1993" priority="21" operator="equal">
      <formula>"Elétrico"</formula>
    </cfRule>
    <cfRule type="cellIs" dxfId="1992" priority="22" operator="equal">
      <formula>"Mecânico"</formula>
    </cfRule>
    <cfRule type="cellIs" dxfId="1991" priority="23" operator="equal">
      <formula>"Ok"</formula>
    </cfRule>
  </conditionalFormatting>
  <conditionalFormatting sqref="C68:J123">
    <cfRule type="cellIs" dxfId="1990" priority="18" operator="equal">
      <formula>"Feito"</formula>
    </cfRule>
  </conditionalFormatting>
  <conditionalFormatting sqref="L7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F5:G11">
    <cfRule type="cellIs" dxfId="1989" priority="8" operator="equal">
      <formula>"Energia"</formula>
    </cfRule>
  </conditionalFormatting>
  <conditionalFormatting sqref="F5:G60">
    <cfRule type="cellIs" dxfId="1988" priority="1" operator="equal">
      <formula>"Energia"</formula>
    </cfRule>
    <cfRule type="cellIs" dxfId="1987" priority="3" operator="equal">
      <formula>"Operação"</formula>
    </cfRule>
    <cfRule type="cellIs" dxfId="1986" priority="4" operator="equal">
      <formula>"Chuva"</formula>
    </cfRule>
    <cfRule type="cellIs" dxfId="1985" priority="5" operator="equal">
      <formula>"Elétrico"</formula>
    </cfRule>
    <cfRule type="cellIs" dxfId="1984" priority="6" operator="equal">
      <formula>"Mecânico"</formula>
    </cfRule>
    <cfRule type="cellIs" dxfId="1983" priority="7" operator="equal">
      <formula>"Ok"</formula>
    </cfRule>
  </conditionalFormatting>
  <conditionalFormatting sqref="F5:G60">
    <cfRule type="cellIs" dxfId="1982" priority="2" operator="equal">
      <formula>"Feito"</formula>
    </cfRule>
  </conditionalFormatting>
  <dataValidations count="2">
    <dataValidation type="list" allowBlank="1" showInputMessage="1" showErrorMessage="1" sqref="K68:K123 C5:K60" xr:uid="{4E337D32-D903-4EAD-9AF1-9EB39C2D1543}">
      <formula1>$L$5:$L$10</formula1>
    </dataValidation>
    <dataValidation type="list" allowBlank="1" showInputMessage="1" showErrorMessage="1" sqref="C68:J123" xr:uid="{F930373B-539D-452B-9FB8-C975B5915F84}">
      <formula1>$L$68:$L$73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B63773-1D41-44B4-8D66-BF880EF005D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D79F-3FA9-45CC-A246-40CA33C157DE}">
  <sheetPr codeName="Planilha13"/>
  <dimension ref="B3:O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4" sqref="M4:O4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  <col min="15" max="15" width="10.7109375" bestFit="1" customWidth="1"/>
  </cols>
  <sheetData>
    <row r="3" spans="2:15" x14ac:dyDescent="0.25">
      <c r="C3" s="3">
        <v>44282</v>
      </c>
      <c r="D3" s="3">
        <f>C3+1</f>
        <v>44283</v>
      </c>
      <c r="E3" s="3">
        <f t="shared" ref="E3:J3" si="0">D3+1</f>
        <v>44284</v>
      </c>
      <c r="F3" s="3">
        <f t="shared" si="0"/>
        <v>44285</v>
      </c>
      <c r="G3" s="3">
        <f t="shared" si="0"/>
        <v>44286</v>
      </c>
      <c r="H3" s="3">
        <f t="shared" si="0"/>
        <v>44287</v>
      </c>
      <c r="I3" s="3">
        <f t="shared" si="0"/>
        <v>44288</v>
      </c>
      <c r="J3" s="3">
        <f t="shared" si="0"/>
        <v>44289</v>
      </c>
    </row>
    <row r="4" spans="2:15" x14ac:dyDescent="0.25">
      <c r="B4" s="2" t="s">
        <v>0</v>
      </c>
      <c r="C4" s="1" t="str">
        <f>TEXT(C3,"ddd")</f>
        <v>sáb</v>
      </c>
      <c r="D4" s="1" t="str">
        <f t="shared" ref="D4:J4" si="1">TEXT(D3,"ddd")</f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J4" s="1" t="str">
        <f t="shared" si="1"/>
        <v>sáb</v>
      </c>
      <c r="L4" s="11" t="s">
        <v>1</v>
      </c>
      <c r="M4" s="49" t="s">
        <v>32</v>
      </c>
      <c r="N4" s="50" t="s">
        <v>33</v>
      </c>
      <c r="O4" s="51" t="s">
        <v>34</v>
      </c>
    </row>
    <row r="5" spans="2:15" x14ac:dyDescent="0.25">
      <c r="B5" s="4">
        <v>1</v>
      </c>
      <c r="D5" t="s">
        <v>6</v>
      </c>
      <c r="G5" t="s">
        <v>6</v>
      </c>
      <c r="J5" t="s">
        <v>2</v>
      </c>
      <c r="L5" s="5" t="s">
        <v>2</v>
      </c>
      <c r="M5">
        <f>COUNTIF($C$5:$J$60,L5)</f>
        <v>139</v>
      </c>
      <c r="N5" s="53">
        <f>M5/$M$11</f>
        <v>0.64953271028037385</v>
      </c>
      <c r="O5" s="52">
        <v>44282</v>
      </c>
    </row>
    <row r="6" spans="2:15" x14ac:dyDescent="0.25">
      <c r="B6" s="4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L6" s="6" t="s">
        <v>5</v>
      </c>
      <c r="M6">
        <f t="shared" ref="M6:M10" si="2">COUNTIF($C$5:$J$60,L6)</f>
        <v>23</v>
      </c>
      <c r="N6" s="53">
        <f t="shared" ref="N6:N10" si="3">M6/$M$11</f>
        <v>0.10747663551401869</v>
      </c>
    </row>
    <row r="7" spans="2:15" x14ac:dyDescent="0.25">
      <c r="B7" s="4">
        <v>3</v>
      </c>
      <c r="D7" t="s">
        <v>2</v>
      </c>
      <c r="F7" t="s">
        <v>2</v>
      </c>
      <c r="G7" t="s">
        <v>2</v>
      </c>
      <c r="L7" s="7" t="s">
        <v>6</v>
      </c>
      <c r="M7">
        <f t="shared" si="2"/>
        <v>5</v>
      </c>
      <c r="N7" s="53">
        <f t="shared" si="3"/>
        <v>2.336448598130841E-2</v>
      </c>
    </row>
    <row r="8" spans="2:15" x14ac:dyDescent="0.25">
      <c r="B8" s="4">
        <v>4</v>
      </c>
      <c r="E8" t="s">
        <v>5</v>
      </c>
      <c r="G8" t="s">
        <v>2</v>
      </c>
      <c r="H8" t="s">
        <v>2</v>
      </c>
      <c r="I8" t="s">
        <v>2</v>
      </c>
      <c r="L8" s="8" t="s">
        <v>4</v>
      </c>
      <c r="M8">
        <f t="shared" si="2"/>
        <v>0</v>
      </c>
      <c r="N8" s="53">
        <f t="shared" si="3"/>
        <v>0</v>
      </c>
    </row>
    <row r="9" spans="2:15" x14ac:dyDescent="0.25">
      <c r="B9" s="4">
        <v>5</v>
      </c>
      <c r="D9" t="s">
        <v>2</v>
      </c>
      <c r="G9" t="s">
        <v>5</v>
      </c>
      <c r="H9" t="s">
        <v>5</v>
      </c>
      <c r="I9" t="s">
        <v>5</v>
      </c>
      <c r="L9" s="9" t="s">
        <v>3</v>
      </c>
      <c r="M9">
        <f t="shared" si="2"/>
        <v>0</v>
      </c>
      <c r="N9" s="53">
        <f t="shared" si="3"/>
        <v>0</v>
      </c>
    </row>
    <row r="10" spans="2:15" x14ac:dyDescent="0.25">
      <c r="B10" s="4">
        <v>6</v>
      </c>
      <c r="C10" t="s">
        <v>2</v>
      </c>
      <c r="I10" t="s">
        <v>5</v>
      </c>
      <c r="J10" t="s">
        <v>5</v>
      </c>
      <c r="L10" s="10" t="s">
        <v>7</v>
      </c>
      <c r="M10">
        <f t="shared" si="2"/>
        <v>47</v>
      </c>
      <c r="N10" s="53">
        <f t="shared" si="3"/>
        <v>0.21962616822429906</v>
      </c>
    </row>
    <row r="11" spans="2:15" x14ac:dyDescent="0.25">
      <c r="B11" s="4">
        <v>7</v>
      </c>
      <c r="J11" t="s">
        <v>2</v>
      </c>
      <c r="M11">
        <f>SUM(M5:M10)</f>
        <v>214</v>
      </c>
    </row>
    <row r="12" spans="2:15" x14ac:dyDescent="0.25">
      <c r="B12" s="4">
        <v>8</v>
      </c>
    </row>
    <row r="13" spans="2:15" x14ac:dyDescent="0.25">
      <c r="B13" s="4">
        <v>9</v>
      </c>
    </row>
    <row r="14" spans="2:15" x14ac:dyDescent="0.25">
      <c r="B14" s="4">
        <v>10</v>
      </c>
    </row>
    <row r="15" spans="2:15" x14ac:dyDescent="0.25">
      <c r="B15" s="4">
        <v>11</v>
      </c>
    </row>
    <row r="16" spans="2:15" x14ac:dyDescent="0.25">
      <c r="B16" s="4">
        <v>12</v>
      </c>
    </row>
    <row r="17" spans="2:10" x14ac:dyDescent="0.25">
      <c r="B17" s="4">
        <v>13</v>
      </c>
    </row>
    <row r="18" spans="2:10" x14ac:dyDescent="0.25">
      <c r="B18" s="4">
        <v>14</v>
      </c>
      <c r="C18" t="s">
        <v>2</v>
      </c>
      <c r="E18" t="s">
        <v>2</v>
      </c>
      <c r="I18" t="s">
        <v>2</v>
      </c>
    </row>
    <row r="19" spans="2:10" x14ac:dyDescent="0.25">
      <c r="B19" s="4">
        <v>15</v>
      </c>
      <c r="D19" t="s">
        <v>5</v>
      </c>
      <c r="G19" t="s">
        <v>2</v>
      </c>
      <c r="H19" t="s">
        <v>7</v>
      </c>
      <c r="J19" t="s">
        <v>2</v>
      </c>
    </row>
    <row r="20" spans="2:10" x14ac:dyDescent="0.25">
      <c r="B20" s="4">
        <v>16</v>
      </c>
      <c r="C20" t="s">
        <v>5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7</v>
      </c>
      <c r="J20" t="s">
        <v>2</v>
      </c>
    </row>
    <row r="21" spans="2:10" x14ac:dyDescent="0.25">
      <c r="B21" s="4">
        <v>17</v>
      </c>
      <c r="C21" t="s">
        <v>2</v>
      </c>
      <c r="F21" t="s">
        <v>2</v>
      </c>
      <c r="I21" t="s">
        <v>2</v>
      </c>
    </row>
    <row r="22" spans="2:10" x14ac:dyDescent="0.25">
      <c r="B22" s="4">
        <v>18</v>
      </c>
      <c r="E22" t="s">
        <v>7</v>
      </c>
      <c r="H22" t="s">
        <v>5</v>
      </c>
      <c r="I22" t="s">
        <v>5</v>
      </c>
      <c r="J22" t="s">
        <v>5</v>
      </c>
    </row>
    <row r="23" spans="2:10" x14ac:dyDescent="0.25">
      <c r="B23" s="4">
        <v>19</v>
      </c>
      <c r="E23" t="s">
        <v>2</v>
      </c>
      <c r="F23" t="s">
        <v>2</v>
      </c>
      <c r="H23" t="s">
        <v>7</v>
      </c>
      <c r="I23" t="s">
        <v>2</v>
      </c>
    </row>
    <row r="24" spans="2:10" x14ac:dyDescent="0.25">
      <c r="B24" s="4">
        <v>20</v>
      </c>
      <c r="C24" t="s">
        <v>5</v>
      </c>
      <c r="I24" t="s">
        <v>2</v>
      </c>
    </row>
    <row r="25" spans="2:10" x14ac:dyDescent="0.25">
      <c r="B25" s="4">
        <v>21</v>
      </c>
      <c r="D25" t="s">
        <v>7</v>
      </c>
      <c r="G25" t="s">
        <v>6</v>
      </c>
      <c r="J25" t="s">
        <v>2</v>
      </c>
    </row>
    <row r="26" spans="2:10" x14ac:dyDescent="0.25">
      <c r="B26" s="4">
        <v>22</v>
      </c>
      <c r="D26" t="s">
        <v>2</v>
      </c>
      <c r="E26" t="s">
        <v>2</v>
      </c>
      <c r="F26" t="s">
        <v>2</v>
      </c>
      <c r="H26" t="s">
        <v>7</v>
      </c>
    </row>
    <row r="27" spans="2:10" x14ac:dyDescent="0.25">
      <c r="B27" s="4">
        <v>23</v>
      </c>
      <c r="D27" t="s">
        <v>7</v>
      </c>
      <c r="E27" t="s">
        <v>2</v>
      </c>
      <c r="G27" t="s">
        <v>6</v>
      </c>
      <c r="J27" t="s">
        <v>2</v>
      </c>
    </row>
    <row r="28" spans="2:10" x14ac:dyDescent="0.25">
      <c r="B28" s="4">
        <v>24</v>
      </c>
      <c r="D28" t="s">
        <v>2</v>
      </c>
      <c r="G28" t="s">
        <v>7</v>
      </c>
      <c r="J28" t="s">
        <v>2</v>
      </c>
    </row>
    <row r="29" spans="2:10" x14ac:dyDescent="0.25">
      <c r="B29" s="4">
        <v>25</v>
      </c>
      <c r="C29" t="s">
        <v>2</v>
      </c>
      <c r="D29" t="s">
        <v>2</v>
      </c>
      <c r="E29" t="s">
        <v>2</v>
      </c>
      <c r="F29" t="s">
        <v>2</v>
      </c>
      <c r="H29" t="s">
        <v>2</v>
      </c>
      <c r="I29" t="s">
        <v>2</v>
      </c>
      <c r="J29" t="s">
        <v>2</v>
      </c>
    </row>
    <row r="30" spans="2:10" x14ac:dyDescent="0.25">
      <c r="B30" s="4">
        <v>26</v>
      </c>
      <c r="D30" t="s">
        <v>2</v>
      </c>
      <c r="J30" t="s">
        <v>2</v>
      </c>
    </row>
    <row r="31" spans="2:10" x14ac:dyDescent="0.25">
      <c r="B31" s="4">
        <v>27</v>
      </c>
      <c r="C31" t="s">
        <v>7</v>
      </c>
      <c r="E31" t="s">
        <v>7</v>
      </c>
      <c r="J31" t="s">
        <v>2</v>
      </c>
    </row>
    <row r="32" spans="2:10" x14ac:dyDescent="0.25">
      <c r="B32" s="4">
        <v>28</v>
      </c>
      <c r="E32" t="s">
        <v>7</v>
      </c>
      <c r="F32" t="s">
        <v>7</v>
      </c>
      <c r="G32" t="s">
        <v>2</v>
      </c>
      <c r="H32" t="s">
        <v>2</v>
      </c>
      <c r="I32" t="s">
        <v>5</v>
      </c>
      <c r="J32" t="s">
        <v>5</v>
      </c>
    </row>
    <row r="33" spans="2:10" x14ac:dyDescent="0.25">
      <c r="B33" s="4">
        <v>29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  <c r="J33" t="s">
        <v>2</v>
      </c>
    </row>
    <row r="34" spans="2:10" x14ac:dyDescent="0.25">
      <c r="B34" s="4">
        <v>30</v>
      </c>
      <c r="C34" t="s">
        <v>2</v>
      </c>
      <c r="D34" t="s">
        <v>2</v>
      </c>
      <c r="F34" t="s">
        <v>2</v>
      </c>
      <c r="H34" t="s">
        <v>2</v>
      </c>
      <c r="J34" t="s">
        <v>2</v>
      </c>
    </row>
    <row r="35" spans="2:10" x14ac:dyDescent="0.25">
      <c r="B35" s="4">
        <v>31</v>
      </c>
      <c r="C35" t="s">
        <v>2</v>
      </c>
      <c r="D35" t="s">
        <v>2</v>
      </c>
      <c r="E35" t="s">
        <v>5</v>
      </c>
      <c r="F35" t="s">
        <v>5</v>
      </c>
      <c r="G35" t="s">
        <v>2</v>
      </c>
      <c r="H35" t="s">
        <v>2</v>
      </c>
      <c r="I35" t="s">
        <v>2</v>
      </c>
      <c r="J35" t="s">
        <v>2</v>
      </c>
    </row>
    <row r="36" spans="2:10" x14ac:dyDescent="0.25">
      <c r="B36" s="4">
        <v>32</v>
      </c>
      <c r="C36" t="s">
        <v>2</v>
      </c>
      <c r="E36" t="s">
        <v>2</v>
      </c>
      <c r="F36" t="s">
        <v>2</v>
      </c>
      <c r="H36" t="s">
        <v>2</v>
      </c>
      <c r="I36" t="s">
        <v>2</v>
      </c>
      <c r="J36" t="s">
        <v>5</v>
      </c>
    </row>
    <row r="37" spans="2:10" x14ac:dyDescent="0.25">
      <c r="B37" s="4">
        <v>33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  <c r="I37" t="s">
        <v>2</v>
      </c>
    </row>
    <row r="38" spans="2:10" x14ac:dyDescent="0.25">
      <c r="B38" s="4">
        <v>34</v>
      </c>
      <c r="C38" t="s">
        <v>5</v>
      </c>
      <c r="E38" t="s">
        <v>2</v>
      </c>
      <c r="F38" t="s">
        <v>2</v>
      </c>
      <c r="H38" t="s">
        <v>2</v>
      </c>
      <c r="J38" t="s">
        <v>2</v>
      </c>
    </row>
    <row r="39" spans="2:10" x14ac:dyDescent="0.25">
      <c r="B39" s="4">
        <v>35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</row>
    <row r="40" spans="2:10" x14ac:dyDescent="0.25">
      <c r="B40" s="4">
        <v>36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</row>
    <row r="41" spans="2:10" x14ac:dyDescent="0.25">
      <c r="B41" s="4">
        <v>37</v>
      </c>
      <c r="F41" t="s">
        <v>2</v>
      </c>
      <c r="J41" t="s">
        <v>2</v>
      </c>
    </row>
    <row r="42" spans="2:10" x14ac:dyDescent="0.25">
      <c r="B42" s="4">
        <v>38</v>
      </c>
      <c r="C42" t="s">
        <v>2</v>
      </c>
      <c r="F42" t="s">
        <v>2</v>
      </c>
      <c r="H42" t="s">
        <v>7</v>
      </c>
      <c r="I42" t="s">
        <v>2</v>
      </c>
    </row>
    <row r="43" spans="2:10" x14ac:dyDescent="0.25">
      <c r="B43" s="4">
        <v>39</v>
      </c>
      <c r="D43" t="s">
        <v>2</v>
      </c>
      <c r="H43" t="s">
        <v>2</v>
      </c>
      <c r="I43" t="s">
        <v>2</v>
      </c>
    </row>
    <row r="44" spans="2:10" x14ac:dyDescent="0.25">
      <c r="B44" s="4">
        <v>40</v>
      </c>
      <c r="E44" t="s">
        <v>7</v>
      </c>
      <c r="H44" t="s">
        <v>2</v>
      </c>
      <c r="J44" t="s">
        <v>2</v>
      </c>
    </row>
    <row r="45" spans="2:10" x14ac:dyDescent="0.25">
      <c r="B45" s="4">
        <v>41</v>
      </c>
      <c r="C45" t="s">
        <v>2</v>
      </c>
      <c r="F45" t="s">
        <v>2</v>
      </c>
      <c r="H45" t="s">
        <v>7</v>
      </c>
    </row>
    <row r="46" spans="2:10" x14ac:dyDescent="0.25">
      <c r="B46" s="4">
        <v>42</v>
      </c>
      <c r="E46" t="s">
        <v>2</v>
      </c>
      <c r="I46" t="s">
        <v>2</v>
      </c>
    </row>
    <row r="47" spans="2:10" x14ac:dyDescent="0.25">
      <c r="B47" s="4">
        <v>43</v>
      </c>
      <c r="D47" t="s">
        <v>2</v>
      </c>
      <c r="G47" t="s">
        <v>2</v>
      </c>
      <c r="I47" t="s">
        <v>2</v>
      </c>
    </row>
    <row r="48" spans="2:10" x14ac:dyDescent="0.25">
      <c r="B48" s="4">
        <v>44</v>
      </c>
    </row>
    <row r="49" spans="2:10" x14ac:dyDescent="0.25">
      <c r="B49" s="4">
        <v>45</v>
      </c>
      <c r="D49" t="s">
        <v>2</v>
      </c>
      <c r="F49" t="s">
        <v>2</v>
      </c>
      <c r="J49" t="s">
        <v>2</v>
      </c>
    </row>
    <row r="50" spans="2:10" x14ac:dyDescent="0.25">
      <c r="B50" s="4">
        <v>46</v>
      </c>
      <c r="C50" t="s">
        <v>2</v>
      </c>
      <c r="E50" t="s">
        <v>2</v>
      </c>
      <c r="G50" t="s">
        <v>6</v>
      </c>
      <c r="J50" t="s">
        <v>2</v>
      </c>
    </row>
    <row r="51" spans="2:10" x14ac:dyDescent="0.25">
      <c r="B51" s="4">
        <v>47</v>
      </c>
      <c r="C51" t="s">
        <v>2</v>
      </c>
    </row>
    <row r="52" spans="2:10" x14ac:dyDescent="0.25">
      <c r="B52" s="4">
        <v>48</v>
      </c>
      <c r="C52" t="s">
        <v>2</v>
      </c>
      <c r="E52" t="s">
        <v>2</v>
      </c>
      <c r="G52" t="s">
        <v>2</v>
      </c>
    </row>
    <row r="53" spans="2:10" x14ac:dyDescent="0.25">
      <c r="B53" s="4">
        <v>49</v>
      </c>
      <c r="D53" t="s">
        <v>2</v>
      </c>
      <c r="F53" t="s">
        <v>2</v>
      </c>
    </row>
    <row r="54" spans="2:10" x14ac:dyDescent="0.25">
      <c r="B54" s="4">
        <v>50</v>
      </c>
      <c r="C54" t="s">
        <v>7</v>
      </c>
      <c r="D54" t="s">
        <v>7</v>
      </c>
      <c r="E54" t="s">
        <v>7</v>
      </c>
      <c r="F54" t="s">
        <v>7</v>
      </c>
      <c r="G54" t="s">
        <v>7</v>
      </c>
      <c r="H54" t="s">
        <v>7</v>
      </c>
      <c r="J54" t="s">
        <v>2</v>
      </c>
    </row>
    <row r="55" spans="2:10" x14ac:dyDescent="0.25">
      <c r="B55" s="4">
        <v>51</v>
      </c>
      <c r="C55" t="s">
        <v>7</v>
      </c>
      <c r="D55" t="s">
        <v>7</v>
      </c>
      <c r="E55" t="s">
        <v>7</v>
      </c>
      <c r="F55" t="s">
        <v>7</v>
      </c>
      <c r="G55" t="s">
        <v>7</v>
      </c>
      <c r="H55" t="s">
        <v>7</v>
      </c>
      <c r="I55" t="s">
        <v>2</v>
      </c>
      <c r="J55" t="s">
        <v>2</v>
      </c>
    </row>
    <row r="56" spans="2:10" x14ac:dyDescent="0.25">
      <c r="B56" s="4">
        <v>52</v>
      </c>
      <c r="C56" t="s">
        <v>7</v>
      </c>
      <c r="D56" t="s">
        <v>7</v>
      </c>
      <c r="E56" t="s">
        <v>7</v>
      </c>
      <c r="F56" t="s">
        <v>7</v>
      </c>
      <c r="G56" t="s">
        <v>7</v>
      </c>
      <c r="H56" t="s">
        <v>7</v>
      </c>
      <c r="I56" t="s">
        <v>2</v>
      </c>
      <c r="J56" t="s">
        <v>2</v>
      </c>
    </row>
    <row r="57" spans="2:10" x14ac:dyDescent="0.25">
      <c r="B57" s="4">
        <v>53</v>
      </c>
      <c r="C57" t="s">
        <v>7</v>
      </c>
      <c r="D57" t="s">
        <v>7</v>
      </c>
      <c r="I57" t="s">
        <v>2</v>
      </c>
    </row>
    <row r="58" spans="2:10" x14ac:dyDescent="0.25">
      <c r="B58" s="4">
        <v>54</v>
      </c>
      <c r="C58" t="s">
        <v>7</v>
      </c>
      <c r="D58" t="s">
        <v>7</v>
      </c>
      <c r="F58" t="s">
        <v>7</v>
      </c>
      <c r="H58" t="s">
        <v>7</v>
      </c>
      <c r="I58" t="s">
        <v>2</v>
      </c>
    </row>
    <row r="59" spans="2:10" x14ac:dyDescent="0.25">
      <c r="B59" s="4">
        <v>55</v>
      </c>
      <c r="C59" t="s">
        <v>7</v>
      </c>
      <c r="D59" t="s">
        <v>2</v>
      </c>
      <c r="H59" t="s">
        <v>7</v>
      </c>
      <c r="J59" t="s">
        <v>2</v>
      </c>
    </row>
    <row r="60" spans="2:10" x14ac:dyDescent="0.25">
      <c r="B60" s="4">
        <v>56</v>
      </c>
      <c r="C60" t="s">
        <v>7</v>
      </c>
      <c r="D60" t="s">
        <v>7</v>
      </c>
      <c r="E60" t="s">
        <v>7</v>
      </c>
      <c r="F60" t="s">
        <v>7</v>
      </c>
      <c r="G60" t="s">
        <v>7</v>
      </c>
      <c r="H60" t="s">
        <v>7</v>
      </c>
    </row>
    <row r="66" spans="2:13" x14ac:dyDescent="0.25">
      <c r="C66" s="3"/>
      <c r="D66" s="3"/>
      <c r="E66" s="3"/>
      <c r="F66" s="3"/>
      <c r="G66" s="3"/>
      <c r="H66" s="3"/>
      <c r="I66" s="3"/>
      <c r="J66" s="3"/>
    </row>
    <row r="67" spans="2:13" x14ac:dyDescent="0.25">
      <c r="B67" s="2" t="s">
        <v>0</v>
      </c>
      <c r="C67" s="1"/>
      <c r="D67" s="1"/>
      <c r="E67" s="1"/>
      <c r="F67" s="1"/>
      <c r="G67" s="1"/>
      <c r="H67" s="1"/>
      <c r="I67" s="1"/>
      <c r="J67" s="1"/>
      <c r="L67" s="11" t="s">
        <v>5</v>
      </c>
    </row>
    <row r="68" spans="2:13" x14ac:dyDescent="0.25">
      <c r="B68" s="4">
        <v>1</v>
      </c>
      <c r="L68" s="12" t="s">
        <v>8</v>
      </c>
      <c r="M68">
        <f>COUNTIF($C$68:$J$123,L68)</f>
        <v>0</v>
      </c>
    </row>
    <row r="69" spans="2:13" x14ac:dyDescent="0.25">
      <c r="B69" s="4">
        <v>2</v>
      </c>
      <c r="L69" s="13" t="s">
        <v>9</v>
      </c>
      <c r="M69">
        <f t="shared" ref="M69:M73" si="4">COUNTIF($C$68:$J$123,L69)</f>
        <v>0</v>
      </c>
    </row>
    <row r="70" spans="2:13" x14ac:dyDescent="0.25">
      <c r="B70" s="4">
        <v>3</v>
      </c>
      <c r="L70" s="7" t="s">
        <v>10</v>
      </c>
      <c r="M70">
        <f t="shared" si="4"/>
        <v>0</v>
      </c>
    </row>
    <row r="71" spans="2:13" x14ac:dyDescent="0.25">
      <c r="B71" s="4">
        <v>4</v>
      </c>
      <c r="L71" s="8" t="s">
        <v>11</v>
      </c>
      <c r="M71">
        <f t="shared" si="4"/>
        <v>1</v>
      </c>
    </row>
    <row r="72" spans="2:13" x14ac:dyDescent="0.25">
      <c r="B72" s="4">
        <v>5</v>
      </c>
      <c r="L72" s="14" t="s">
        <v>12</v>
      </c>
      <c r="M72">
        <f t="shared" si="4"/>
        <v>0</v>
      </c>
    </row>
    <row r="73" spans="2:13" x14ac:dyDescent="0.25">
      <c r="B73" s="4">
        <v>6</v>
      </c>
      <c r="L73" s="15" t="s">
        <v>13</v>
      </c>
      <c r="M73">
        <f t="shared" si="4"/>
        <v>0</v>
      </c>
    </row>
    <row r="74" spans="2:13" x14ac:dyDescent="0.25">
      <c r="B74" s="4">
        <v>7</v>
      </c>
      <c r="M74">
        <f>SUM(M68:M73)</f>
        <v>1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2" x14ac:dyDescent="0.25">
      <c r="B81" s="4">
        <v>14</v>
      </c>
    </row>
    <row r="82" spans="2:2" x14ac:dyDescent="0.25">
      <c r="B82" s="4">
        <v>15</v>
      </c>
    </row>
    <row r="83" spans="2:2" x14ac:dyDescent="0.25">
      <c r="B83" s="4">
        <v>16</v>
      </c>
    </row>
    <row r="84" spans="2:2" x14ac:dyDescent="0.25">
      <c r="B84" s="4">
        <v>17</v>
      </c>
    </row>
    <row r="85" spans="2:2" x14ac:dyDescent="0.25">
      <c r="B85" s="4">
        <v>18</v>
      </c>
    </row>
    <row r="86" spans="2:2" x14ac:dyDescent="0.25">
      <c r="B86" s="4">
        <v>19</v>
      </c>
    </row>
    <row r="87" spans="2:2" x14ac:dyDescent="0.25">
      <c r="B87" s="4">
        <v>20</v>
      </c>
    </row>
    <row r="88" spans="2:2" x14ac:dyDescent="0.25">
      <c r="B88" s="4">
        <v>21</v>
      </c>
    </row>
    <row r="89" spans="2:2" x14ac:dyDescent="0.25">
      <c r="B89" s="4">
        <v>22</v>
      </c>
    </row>
    <row r="90" spans="2:2" x14ac:dyDescent="0.25">
      <c r="B90" s="4">
        <v>23</v>
      </c>
    </row>
    <row r="91" spans="2:2" x14ac:dyDescent="0.25">
      <c r="B91" s="4">
        <v>24</v>
      </c>
    </row>
    <row r="92" spans="2:2" x14ac:dyDescent="0.25">
      <c r="B92" s="4">
        <v>25</v>
      </c>
    </row>
    <row r="93" spans="2:2" x14ac:dyDescent="0.25">
      <c r="B93" s="4">
        <v>26</v>
      </c>
    </row>
    <row r="94" spans="2:2" x14ac:dyDescent="0.25">
      <c r="B94" s="4">
        <v>27</v>
      </c>
    </row>
    <row r="95" spans="2:2" x14ac:dyDescent="0.25">
      <c r="B95" s="4">
        <v>28</v>
      </c>
    </row>
    <row r="96" spans="2:2" x14ac:dyDescent="0.25">
      <c r="B96" s="4">
        <v>29</v>
      </c>
    </row>
    <row r="97" spans="2:3" x14ac:dyDescent="0.25">
      <c r="B97" s="4">
        <v>30</v>
      </c>
    </row>
    <row r="98" spans="2:3" x14ac:dyDescent="0.25">
      <c r="B98" s="4">
        <v>31</v>
      </c>
    </row>
    <row r="99" spans="2:3" x14ac:dyDescent="0.25">
      <c r="B99" s="4">
        <v>32</v>
      </c>
    </row>
    <row r="100" spans="2:3" x14ac:dyDescent="0.25">
      <c r="B100" s="4">
        <v>33</v>
      </c>
    </row>
    <row r="101" spans="2:3" x14ac:dyDescent="0.25">
      <c r="B101" s="4">
        <v>34</v>
      </c>
      <c r="C101" t="s">
        <v>11</v>
      </c>
    </row>
    <row r="102" spans="2:3" x14ac:dyDescent="0.25">
      <c r="B102" s="4">
        <v>35</v>
      </c>
    </row>
    <row r="103" spans="2:3" x14ac:dyDescent="0.25">
      <c r="B103" s="4">
        <v>36</v>
      </c>
    </row>
    <row r="104" spans="2:3" x14ac:dyDescent="0.25">
      <c r="B104" s="4">
        <v>37</v>
      </c>
    </row>
    <row r="105" spans="2:3" x14ac:dyDescent="0.25">
      <c r="B105" s="4">
        <v>38</v>
      </c>
    </row>
    <row r="106" spans="2:3" x14ac:dyDescent="0.25">
      <c r="B106" s="4">
        <v>39</v>
      </c>
    </row>
    <row r="107" spans="2:3" x14ac:dyDescent="0.25">
      <c r="B107" s="4">
        <v>40</v>
      </c>
    </row>
    <row r="108" spans="2:3" x14ac:dyDescent="0.25">
      <c r="B108" s="4">
        <v>41</v>
      </c>
    </row>
    <row r="109" spans="2:3" x14ac:dyDescent="0.25">
      <c r="B109" s="4">
        <v>42</v>
      </c>
    </row>
    <row r="110" spans="2:3" x14ac:dyDescent="0.25">
      <c r="B110" s="4">
        <v>43</v>
      </c>
    </row>
    <row r="111" spans="2:3" x14ac:dyDescent="0.25">
      <c r="B111" s="4">
        <v>44</v>
      </c>
    </row>
    <row r="112" spans="2:3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E11 H5:H11">
    <cfRule type="cellIs" dxfId="1981" priority="32" operator="equal">
      <formula>"Energia"</formula>
    </cfRule>
  </conditionalFormatting>
  <conditionalFormatting sqref="C5:E60 H5:J60">
    <cfRule type="cellIs" dxfId="1980" priority="25" operator="equal">
      <formula>"Energia"</formula>
    </cfRule>
    <cfRule type="cellIs" dxfId="1979" priority="27" operator="equal">
      <formula>"Operação"</formula>
    </cfRule>
    <cfRule type="cellIs" dxfId="1978" priority="28" operator="equal">
      <formula>"Chuva"</formula>
    </cfRule>
    <cfRule type="cellIs" dxfId="1977" priority="29" operator="equal">
      <formula>"Elétrico"</formula>
    </cfRule>
    <cfRule type="cellIs" dxfId="1976" priority="30" operator="equal">
      <formula>"Mecânico"</formula>
    </cfRule>
    <cfRule type="cellIs" dxfId="1975" priority="31" operator="equal">
      <formula>"Ok"</formula>
    </cfRule>
  </conditionalFormatting>
  <conditionalFormatting sqref="C61:J61 C5:E60 H5:J60">
    <cfRule type="cellIs" dxfId="1974" priority="26" operator="equal">
      <formula>"Feito"</formula>
    </cfRule>
  </conditionalFormatting>
  <conditionalFormatting sqref="C68:H74">
    <cfRule type="cellIs" dxfId="1973" priority="24" operator="equal">
      <formula>"Energia"</formula>
    </cfRule>
  </conditionalFormatting>
  <conditionalFormatting sqref="C68:J123">
    <cfRule type="cellIs" dxfId="1972" priority="9" operator="equal">
      <formula>"Micro"</formula>
    </cfRule>
    <cfRule type="cellIs" dxfId="1971" priority="10" operator="equal">
      <formula>"Castanha"</formula>
    </cfRule>
    <cfRule type="cellIs" dxfId="1970" priority="11" operator="equal">
      <formula>"Redutor"</formula>
    </cfRule>
    <cfRule type="cellIs" dxfId="1969" priority="12" operator="equal">
      <formula>"Adutora"</formula>
    </cfRule>
    <cfRule type="cellIs" dxfId="1968" priority="13" operator="equal">
      <formula>"Mangote"</formula>
    </cfRule>
    <cfRule type="cellIs" dxfId="1967" priority="14" operator="equal">
      <formula>"Vedação"</formula>
    </cfRule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{40EA3C11-1478-49FF-B333-EBA008520079}</x14:id>
        </ext>
      </extLst>
    </cfRule>
    <cfRule type="cellIs" dxfId="1966" priority="17" operator="equal">
      <formula>"Energia"</formula>
    </cfRule>
    <cfRule type="cellIs" dxfId="1965" priority="19" operator="equal">
      <formula>"Operação"</formula>
    </cfRule>
    <cfRule type="cellIs" dxfId="1964" priority="20" operator="equal">
      <formula>"Chuva"</formula>
    </cfRule>
    <cfRule type="cellIs" dxfId="1963" priority="21" operator="equal">
      <formula>"Elétrico"</formula>
    </cfRule>
    <cfRule type="cellIs" dxfId="1962" priority="22" operator="equal">
      <formula>"Mecânico"</formula>
    </cfRule>
    <cfRule type="cellIs" dxfId="1961" priority="23" operator="equal">
      <formula>"Ok"</formula>
    </cfRule>
  </conditionalFormatting>
  <conditionalFormatting sqref="C68:J123">
    <cfRule type="cellIs" dxfId="1960" priority="18" operator="equal">
      <formula>"Feito"</formula>
    </cfRule>
  </conditionalFormatting>
  <conditionalFormatting sqref="L7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F5:G11">
    <cfRule type="cellIs" dxfId="1959" priority="8" operator="equal">
      <formula>"Energia"</formula>
    </cfRule>
  </conditionalFormatting>
  <conditionalFormatting sqref="F5:G60">
    <cfRule type="cellIs" dxfId="1958" priority="1" operator="equal">
      <formula>"Energia"</formula>
    </cfRule>
    <cfRule type="cellIs" dxfId="1957" priority="3" operator="equal">
      <formula>"Operação"</formula>
    </cfRule>
    <cfRule type="cellIs" dxfId="1956" priority="4" operator="equal">
      <formula>"Chuva"</formula>
    </cfRule>
    <cfRule type="cellIs" dxfId="1955" priority="5" operator="equal">
      <formula>"Elétrico"</formula>
    </cfRule>
    <cfRule type="cellIs" dxfId="1954" priority="6" operator="equal">
      <formula>"Mecânico"</formula>
    </cfRule>
    <cfRule type="cellIs" dxfId="1953" priority="7" operator="equal">
      <formula>"Ok"</formula>
    </cfRule>
  </conditionalFormatting>
  <conditionalFormatting sqref="F5:G60">
    <cfRule type="cellIs" dxfId="1952" priority="2" operator="equal">
      <formula>"Feito"</formula>
    </cfRule>
  </conditionalFormatting>
  <dataValidations count="2">
    <dataValidation type="list" allowBlank="1" showInputMessage="1" showErrorMessage="1" sqref="C68:J123" xr:uid="{5F280A1A-B9EB-44E5-9B1A-8CDC870C7C77}">
      <formula1>$L$68:$L$73</formula1>
    </dataValidation>
    <dataValidation type="list" allowBlank="1" showInputMessage="1" showErrorMessage="1" sqref="K68:K123 C5:K60" xr:uid="{98DC5F78-C415-4A9E-B149-8F86D1FFA37A}">
      <formula1>$L$5:$L$10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EA3C11-1478-49FF-B333-EBA00852007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2C9D-CB79-490F-958E-9D004CC1A14C}">
  <sheetPr codeName="Planilha14"/>
  <dimension ref="B2:O60"/>
  <sheetViews>
    <sheetView workbookViewId="0">
      <selection activeCell="P13" sqref="P13"/>
    </sheetView>
  </sheetViews>
  <sheetFormatPr defaultRowHeight="15" x14ac:dyDescent="0.25"/>
  <cols>
    <col min="3" max="3" width="9.85546875" bestFit="1" customWidth="1"/>
    <col min="4" max="4" width="12.42578125" customWidth="1"/>
    <col min="5" max="5" width="12" customWidth="1"/>
    <col min="6" max="6" width="9.85546875" customWidth="1"/>
    <col min="7" max="7" width="10.5703125" customWidth="1"/>
    <col min="8" max="9" width="10.140625" customWidth="1"/>
    <col min="10" max="10" width="10.5703125" customWidth="1"/>
    <col min="15" max="15" width="10.7109375" bestFit="1" customWidth="1"/>
  </cols>
  <sheetData>
    <row r="2" spans="2:15" x14ac:dyDescent="0.25">
      <c r="C2" s="3"/>
      <c r="D2" s="3"/>
      <c r="E2" s="3"/>
      <c r="F2" s="3"/>
      <c r="G2" s="3"/>
      <c r="H2" s="3"/>
      <c r="I2" s="3"/>
      <c r="J2" s="3"/>
    </row>
    <row r="3" spans="2:15" x14ac:dyDescent="0.25">
      <c r="C3" s="3">
        <v>44290</v>
      </c>
      <c r="D3" s="3">
        <f>C3+1</f>
        <v>44291</v>
      </c>
      <c r="E3" s="3">
        <f t="shared" ref="E3:J3" si="0">D3+1</f>
        <v>44292</v>
      </c>
      <c r="F3" s="3">
        <f t="shared" si="0"/>
        <v>44293</v>
      </c>
      <c r="G3" s="3">
        <f t="shared" si="0"/>
        <v>44294</v>
      </c>
      <c r="H3" s="3">
        <f t="shared" si="0"/>
        <v>44295</v>
      </c>
      <c r="I3" s="3">
        <f t="shared" si="0"/>
        <v>44296</v>
      </c>
      <c r="J3" s="3">
        <f t="shared" si="0"/>
        <v>44297</v>
      </c>
    </row>
    <row r="4" spans="2:15" x14ac:dyDescent="0.25">
      <c r="B4" s="2" t="s">
        <v>0</v>
      </c>
      <c r="C4" s="1" t="str">
        <f>TEXT(C3,"ddd")</f>
        <v>dom</v>
      </c>
      <c r="D4" s="1" t="str">
        <f t="shared" ref="D4:J4" si="1">TEXT(D3,"ddd")</f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J4" s="1" t="str">
        <f t="shared" si="1"/>
        <v>dom</v>
      </c>
      <c r="L4" s="11" t="s">
        <v>1</v>
      </c>
      <c r="M4" s="49" t="s">
        <v>32</v>
      </c>
      <c r="N4" s="50" t="s">
        <v>33</v>
      </c>
      <c r="O4" s="51" t="s">
        <v>34</v>
      </c>
    </row>
    <row r="5" spans="2:15" x14ac:dyDescent="0.25">
      <c r="B5" s="4">
        <v>1</v>
      </c>
      <c r="E5" t="s">
        <v>2</v>
      </c>
      <c r="L5" s="5" t="s">
        <v>2</v>
      </c>
      <c r="M5">
        <f>COUNTIF($C$5:$J$60,L5)</f>
        <v>49</v>
      </c>
      <c r="N5" s="53">
        <f>M5/$M$11</f>
        <v>0.33561643835616439</v>
      </c>
      <c r="O5" s="52">
        <v>44290</v>
      </c>
    </row>
    <row r="6" spans="2:15" x14ac:dyDescent="0.25">
      <c r="B6" s="4">
        <v>2</v>
      </c>
      <c r="C6" t="s">
        <v>5</v>
      </c>
      <c r="D6" t="s">
        <v>2</v>
      </c>
      <c r="E6" t="s">
        <v>2</v>
      </c>
      <c r="F6" t="s">
        <v>3</v>
      </c>
      <c r="G6" t="s">
        <v>3</v>
      </c>
      <c r="L6" s="6" t="s">
        <v>5</v>
      </c>
      <c r="M6">
        <f t="shared" ref="M6:M10" si="2">COUNTIF($C$5:$J$60,L6)</f>
        <v>41</v>
      </c>
      <c r="N6" s="53">
        <f t="shared" ref="N6:N10" si="3">M6/$M$11</f>
        <v>0.28082191780821919</v>
      </c>
    </row>
    <row r="7" spans="2:15" x14ac:dyDescent="0.25">
      <c r="B7" s="4">
        <v>3</v>
      </c>
      <c r="C7" t="s">
        <v>5</v>
      </c>
      <c r="E7" t="s">
        <v>5</v>
      </c>
      <c r="F7" t="s">
        <v>3</v>
      </c>
      <c r="I7" t="s">
        <v>7</v>
      </c>
      <c r="L7" s="7" t="s">
        <v>6</v>
      </c>
      <c r="M7">
        <f t="shared" si="2"/>
        <v>7</v>
      </c>
      <c r="N7" s="53">
        <f t="shared" si="3"/>
        <v>4.7945205479452052E-2</v>
      </c>
    </row>
    <row r="8" spans="2:15" x14ac:dyDescent="0.25">
      <c r="B8" s="4">
        <v>4</v>
      </c>
      <c r="D8" t="s">
        <v>2</v>
      </c>
      <c r="J8" t="s">
        <v>5</v>
      </c>
      <c r="L8" s="8" t="s">
        <v>4</v>
      </c>
      <c r="M8">
        <f t="shared" si="2"/>
        <v>0</v>
      </c>
      <c r="N8" s="53">
        <f t="shared" si="3"/>
        <v>0</v>
      </c>
    </row>
    <row r="9" spans="2:15" x14ac:dyDescent="0.25">
      <c r="B9" s="4">
        <v>5</v>
      </c>
      <c r="C9" t="s">
        <v>2</v>
      </c>
      <c r="E9" t="s">
        <v>2</v>
      </c>
      <c r="L9" s="9" t="s">
        <v>3</v>
      </c>
      <c r="M9">
        <f t="shared" si="2"/>
        <v>34</v>
      </c>
      <c r="N9" s="53">
        <f t="shared" si="3"/>
        <v>0.23287671232876711</v>
      </c>
    </row>
    <row r="10" spans="2:15" x14ac:dyDescent="0.25">
      <c r="B10" s="4">
        <v>6</v>
      </c>
      <c r="C10" t="s">
        <v>2</v>
      </c>
      <c r="D10" t="s">
        <v>5</v>
      </c>
      <c r="E10" t="s">
        <v>5</v>
      </c>
      <c r="H10" t="s">
        <v>5</v>
      </c>
      <c r="I10" t="s">
        <v>6</v>
      </c>
      <c r="J10" t="s">
        <v>5</v>
      </c>
      <c r="L10" s="10" t="s">
        <v>7</v>
      </c>
      <c r="M10">
        <f t="shared" si="2"/>
        <v>15</v>
      </c>
      <c r="N10" s="53">
        <f t="shared" si="3"/>
        <v>0.10273972602739725</v>
      </c>
    </row>
    <row r="11" spans="2:15" x14ac:dyDescent="0.25">
      <c r="B11" s="4">
        <v>7</v>
      </c>
      <c r="C11" t="s">
        <v>2</v>
      </c>
      <c r="M11">
        <f>SUM(M5:M10)</f>
        <v>146</v>
      </c>
    </row>
    <row r="12" spans="2:15" x14ac:dyDescent="0.25">
      <c r="B12" s="4">
        <v>8</v>
      </c>
      <c r="C12" t="s">
        <v>2</v>
      </c>
    </row>
    <row r="13" spans="2:15" x14ac:dyDescent="0.25">
      <c r="B13" s="4">
        <v>9</v>
      </c>
    </row>
    <row r="14" spans="2:15" x14ac:dyDescent="0.25">
      <c r="B14" s="4">
        <v>10</v>
      </c>
    </row>
    <row r="15" spans="2:15" x14ac:dyDescent="0.25">
      <c r="B15" s="4">
        <v>11</v>
      </c>
    </row>
    <row r="16" spans="2:15" x14ac:dyDescent="0.25">
      <c r="B16" s="4">
        <v>12</v>
      </c>
    </row>
    <row r="17" spans="2:10" x14ac:dyDescent="0.25">
      <c r="B17" s="4">
        <v>13</v>
      </c>
    </row>
    <row r="18" spans="2:10" x14ac:dyDescent="0.25">
      <c r="B18" s="4">
        <v>14</v>
      </c>
    </row>
    <row r="19" spans="2:10" x14ac:dyDescent="0.25">
      <c r="B19" s="4">
        <v>15</v>
      </c>
      <c r="E19" t="s">
        <v>2</v>
      </c>
      <c r="F19" t="s">
        <v>3</v>
      </c>
    </row>
    <row r="20" spans="2:10" x14ac:dyDescent="0.25">
      <c r="B20" s="4">
        <v>16</v>
      </c>
      <c r="D20" t="s">
        <v>2</v>
      </c>
      <c r="E20" t="s">
        <v>2</v>
      </c>
      <c r="F20" t="s">
        <v>3</v>
      </c>
      <c r="H20" t="s">
        <v>5</v>
      </c>
      <c r="I20" t="s">
        <v>5</v>
      </c>
      <c r="J20" t="s">
        <v>5</v>
      </c>
    </row>
    <row r="21" spans="2:10" x14ac:dyDescent="0.25">
      <c r="B21" s="4">
        <v>17</v>
      </c>
      <c r="D21" t="s">
        <v>2</v>
      </c>
    </row>
    <row r="22" spans="2:10" x14ac:dyDescent="0.25">
      <c r="B22" s="4">
        <v>18</v>
      </c>
      <c r="C22" t="s">
        <v>5</v>
      </c>
      <c r="D22" t="s">
        <v>5</v>
      </c>
    </row>
    <row r="23" spans="2:10" x14ac:dyDescent="0.25">
      <c r="B23" s="4">
        <v>19</v>
      </c>
      <c r="C23" t="s">
        <v>2</v>
      </c>
      <c r="F23" t="s">
        <v>3</v>
      </c>
      <c r="H23" t="s">
        <v>5</v>
      </c>
      <c r="I23" t="s">
        <v>5</v>
      </c>
      <c r="J23" t="s">
        <v>5</v>
      </c>
    </row>
    <row r="24" spans="2:10" x14ac:dyDescent="0.25">
      <c r="B24" s="4">
        <v>20</v>
      </c>
      <c r="C24" t="s">
        <v>5</v>
      </c>
      <c r="I24" t="s">
        <v>7</v>
      </c>
      <c r="J24" t="s">
        <v>7</v>
      </c>
    </row>
    <row r="25" spans="2:10" x14ac:dyDescent="0.25">
      <c r="B25" s="4">
        <v>21</v>
      </c>
      <c r="D25" t="s">
        <v>5</v>
      </c>
      <c r="E25" t="s">
        <v>2</v>
      </c>
    </row>
    <row r="26" spans="2:10" x14ac:dyDescent="0.25">
      <c r="B26" s="4">
        <v>22</v>
      </c>
      <c r="C26" t="s">
        <v>5</v>
      </c>
      <c r="D26" t="s">
        <v>5</v>
      </c>
      <c r="E26" t="s">
        <v>2</v>
      </c>
      <c r="G26" t="s">
        <v>3</v>
      </c>
      <c r="I26" t="s">
        <v>7</v>
      </c>
      <c r="J26" t="s">
        <v>7</v>
      </c>
    </row>
    <row r="27" spans="2:10" x14ac:dyDescent="0.25">
      <c r="B27" s="4">
        <v>23</v>
      </c>
      <c r="E27" t="s">
        <v>2</v>
      </c>
      <c r="G27" t="s">
        <v>3</v>
      </c>
    </row>
    <row r="28" spans="2:10" x14ac:dyDescent="0.25">
      <c r="B28" s="4">
        <v>24</v>
      </c>
      <c r="E28" t="s">
        <v>2</v>
      </c>
      <c r="G28" t="s">
        <v>3</v>
      </c>
      <c r="I28" t="s">
        <v>7</v>
      </c>
      <c r="J28" t="s">
        <v>7</v>
      </c>
    </row>
    <row r="29" spans="2:10" x14ac:dyDescent="0.25">
      <c r="B29" s="4">
        <v>25</v>
      </c>
      <c r="D29" t="s">
        <v>7</v>
      </c>
      <c r="E29" t="s">
        <v>2</v>
      </c>
      <c r="G29" t="s">
        <v>3</v>
      </c>
    </row>
    <row r="30" spans="2:10" x14ac:dyDescent="0.25">
      <c r="B30" s="4">
        <v>26</v>
      </c>
      <c r="E30" t="s">
        <v>7</v>
      </c>
      <c r="F30" t="s">
        <v>3</v>
      </c>
    </row>
    <row r="31" spans="2:10" x14ac:dyDescent="0.25">
      <c r="B31" s="4">
        <v>27</v>
      </c>
      <c r="D31" t="s">
        <v>7</v>
      </c>
      <c r="E31" t="s">
        <v>7</v>
      </c>
      <c r="G31" t="s">
        <v>3</v>
      </c>
    </row>
    <row r="32" spans="2:10" x14ac:dyDescent="0.25">
      <c r="B32" s="4">
        <v>28</v>
      </c>
      <c r="C32" t="s">
        <v>5</v>
      </c>
      <c r="D32" t="s">
        <v>5</v>
      </c>
      <c r="E32" t="s">
        <v>5</v>
      </c>
      <c r="H32" t="s">
        <v>5</v>
      </c>
      <c r="I32" t="s">
        <v>5</v>
      </c>
      <c r="J32" t="s">
        <v>5</v>
      </c>
    </row>
    <row r="33" spans="2:10" x14ac:dyDescent="0.25">
      <c r="B33" s="4">
        <v>29</v>
      </c>
      <c r="C33" t="s">
        <v>2</v>
      </c>
      <c r="D33" t="s">
        <v>2</v>
      </c>
      <c r="E33" t="s">
        <v>2</v>
      </c>
      <c r="J33" t="s">
        <v>6</v>
      </c>
    </row>
    <row r="34" spans="2:10" x14ac:dyDescent="0.25">
      <c r="B34" s="4">
        <v>30</v>
      </c>
      <c r="D34" t="s">
        <v>2</v>
      </c>
      <c r="F34" t="s">
        <v>3</v>
      </c>
      <c r="H34" t="s">
        <v>6</v>
      </c>
      <c r="I34" t="s">
        <v>5</v>
      </c>
    </row>
    <row r="35" spans="2:10" x14ac:dyDescent="0.25">
      <c r="B35" s="4">
        <v>31</v>
      </c>
      <c r="C35" t="s">
        <v>5</v>
      </c>
      <c r="D35" t="s">
        <v>2</v>
      </c>
      <c r="E35" t="s">
        <v>2</v>
      </c>
      <c r="G35" t="s">
        <v>3</v>
      </c>
      <c r="H35" t="s">
        <v>6</v>
      </c>
      <c r="I35" t="s">
        <v>6</v>
      </c>
      <c r="J35" t="s">
        <v>6</v>
      </c>
    </row>
    <row r="36" spans="2:10" x14ac:dyDescent="0.25">
      <c r="B36" s="4">
        <v>32</v>
      </c>
      <c r="C36" t="s">
        <v>2</v>
      </c>
      <c r="D36" t="s">
        <v>2</v>
      </c>
      <c r="F36" t="s">
        <v>3</v>
      </c>
      <c r="H36" t="s">
        <v>5</v>
      </c>
      <c r="I36" t="s">
        <v>5</v>
      </c>
      <c r="J36" t="s">
        <v>7</v>
      </c>
    </row>
    <row r="37" spans="2:10" x14ac:dyDescent="0.25">
      <c r="B37" s="4">
        <v>33</v>
      </c>
      <c r="C37" t="s">
        <v>5</v>
      </c>
      <c r="E37" t="s">
        <v>5</v>
      </c>
      <c r="F37" t="s">
        <v>3</v>
      </c>
    </row>
    <row r="38" spans="2:10" x14ac:dyDescent="0.25">
      <c r="B38" s="4">
        <v>34</v>
      </c>
      <c r="D38" t="s">
        <v>2</v>
      </c>
      <c r="G38" t="s">
        <v>3</v>
      </c>
    </row>
    <row r="39" spans="2:10" x14ac:dyDescent="0.25">
      <c r="B39" s="4">
        <v>35</v>
      </c>
      <c r="C39" t="s">
        <v>2</v>
      </c>
      <c r="D39" t="s">
        <v>2</v>
      </c>
      <c r="E39" t="s">
        <v>2</v>
      </c>
      <c r="F39" t="s">
        <v>3</v>
      </c>
    </row>
    <row r="40" spans="2:10" x14ac:dyDescent="0.25">
      <c r="B40" s="4">
        <v>36</v>
      </c>
      <c r="C40" t="s">
        <v>2</v>
      </c>
      <c r="E40" t="s">
        <v>2</v>
      </c>
      <c r="G40" t="s">
        <v>3</v>
      </c>
    </row>
    <row r="41" spans="2:10" x14ac:dyDescent="0.25">
      <c r="B41" s="4">
        <v>37</v>
      </c>
      <c r="F41" t="s">
        <v>3</v>
      </c>
      <c r="G41" t="s">
        <v>3</v>
      </c>
    </row>
    <row r="42" spans="2:10" x14ac:dyDescent="0.25">
      <c r="B42" s="4">
        <v>38</v>
      </c>
      <c r="D42" t="s">
        <v>2</v>
      </c>
      <c r="G42" t="s">
        <v>3</v>
      </c>
    </row>
    <row r="43" spans="2:10" x14ac:dyDescent="0.25">
      <c r="B43" s="4">
        <v>39</v>
      </c>
      <c r="D43" t="s">
        <v>2</v>
      </c>
      <c r="F43" t="s">
        <v>3</v>
      </c>
    </row>
    <row r="44" spans="2:10" x14ac:dyDescent="0.25">
      <c r="B44" s="4">
        <v>40</v>
      </c>
      <c r="E44" t="s">
        <v>2</v>
      </c>
      <c r="G44" t="s">
        <v>3</v>
      </c>
    </row>
    <row r="45" spans="2:10" x14ac:dyDescent="0.25">
      <c r="B45" s="4">
        <v>41</v>
      </c>
      <c r="C45" t="s">
        <v>2</v>
      </c>
    </row>
    <row r="46" spans="2:10" x14ac:dyDescent="0.25">
      <c r="B46" s="4">
        <v>42</v>
      </c>
      <c r="D46" t="s">
        <v>2</v>
      </c>
      <c r="F46" t="s">
        <v>3</v>
      </c>
      <c r="J46" t="s">
        <v>2</v>
      </c>
    </row>
    <row r="47" spans="2:10" x14ac:dyDescent="0.25">
      <c r="B47" s="4">
        <v>43</v>
      </c>
      <c r="F47" t="s">
        <v>3</v>
      </c>
      <c r="G47" t="s">
        <v>3</v>
      </c>
    </row>
    <row r="48" spans="2:10" x14ac:dyDescent="0.25">
      <c r="B48" s="4">
        <v>44</v>
      </c>
      <c r="I48" t="s">
        <v>5</v>
      </c>
    </row>
    <row r="49" spans="2:10" x14ac:dyDescent="0.25">
      <c r="B49" s="4">
        <v>45</v>
      </c>
      <c r="D49" t="s">
        <v>2</v>
      </c>
    </row>
    <row r="50" spans="2:10" x14ac:dyDescent="0.25">
      <c r="B50" s="4">
        <v>46</v>
      </c>
      <c r="C50" t="s">
        <v>5</v>
      </c>
      <c r="D50" t="s">
        <v>5</v>
      </c>
      <c r="E50" t="s">
        <v>5</v>
      </c>
      <c r="F50" t="s">
        <v>3</v>
      </c>
      <c r="H50" t="s">
        <v>5</v>
      </c>
    </row>
    <row r="51" spans="2:10" x14ac:dyDescent="0.25">
      <c r="B51" s="4">
        <v>47</v>
      </c>
    </row>
    <row r="52" spans="2:10" x14ac:dyDescent="0.25">
      <c r="B52" s="4">
        <v>48</v>
      </c>
      <c r="C52" t="s">
        <v>2</v>
      </c>
      <c r="E52" t="s">
        <v>5</v>
      </c>
      <c r="G52" t="s">
        <v>3</v>
      </c>
    </row>
    <row r="53" spans="2:10" x14ac:dyDescent="0.25">
      <c r="B53" s="4">
        <v>49</v>
      </c>
      <c r="E53" t="s">
        <v>2</v>
      </c>
      <c r="F53" t="s">
        <v>3</v>
      </c>
    </row>
    <row r="54" spans="2:10" x14ac:dyDescent="0.25">
      <c r="B54" s="4">
        <v>50</v>
      </c>
      <c r="D54" t="s">
        <v>5</v>
      </c>
      <c r="E54" t="s">
        <v>5</v>
      </c>
    </row>
    <row r="55" spans="2:10" x14ac:dyDescent="0.25">
      <c r="B55" s="4">
        <v>51</v>
      </c>
      <c r="C55" t="s">
        <v>2</v>
      </c>
      <c r="E55" t="s">
        <v>2</v>
      </c>
    </row>
    <row r="56" spans="2:10" x14ac:dyDescent="0.25">
      <c r="B56" s="4">
        <v>52</v>
      </c>
      <c r="C56" t="s">
        <v>2</v>
      </c>
      <c r="D56" t="s">
        <v>2</v>
      </c>
      <c r="F56" t="s">
        <v>3</v>
      </c>
      <c r="H56" t="s">
        <v>6</v>
      </c>
      <c r="J56" t="s">
        <v>7</v>
      </c>
    </row>
    <row r="57" spans="2:10" x14ac:dyDescent="0.25">
      <c r="B57" s="4">
        <v>53</v>
      </c>
      <c r="D57" t="s">
        <v>5</v>
      </c>
      <c r="G57" t="s">
        <v>3</v>
      </c>
      <c r="J57" t="s">
        <v>7</v>
      </c>
    </row>
    <row r="58" spans="2:10" x14ac:dyDescent="0.25">
      <c r="B58" s="4">
        <v>54</v>
      </c>
      <c r="D58" t="s">
        <v>2</v>
      </c>
      <c r="F58" t="s">
        <v>3</v>
      </c>
    </row>
    <row r="59" spans="2:10" x14ac:dyDescent="0.25">
      <c r="B59" s="4">
        <v>55</v>
      </c>
      <c r="E59" t="s">
        <v>2</v>
      </c>
      <c r="G59" t="s">
        <v>3</v>
      </c>
      <c r="J59" t="s">
        <v>7</v>
      </c>
    </row>
    <row r="60" spans="2:10" x14ac:dyDescent="0.25">
      <c r="B60" s="4">
        <v>56</v>
      </c>
      <c r="C60" t="s">
        <v>2</v>
      </c>
    </row>
  </sheetData>
  <conditionalFormatting sqref="C5:E11 H5:H11">
    <cfRule type="cellIs" dxfId="1951" priority="17" operator="equal">
      <formula>"Energia"</formula>
    </cfRule>
  </conditionalFormatting>
  <conditionalFormatting sqref="C5:E60 H5:J60">
    <cfRule type="cellIs" dxfId="1950" priority="10" operator="equal">
      <formula>"Energia"</formula>
    </cfRule>
    <cfRule type="cellIs" dxfId="1949" priority="12" operator="equal">
      <formula>"Operação"</formula>
    </cfRule>
    <cfRule type="cellIs" dxfId="1948" priority="13" operator="equal">
      <formula>"Chuva"</formula>
    </cfRule>
    <cfRule type="cellIs" dxfId="1947" priority="14" operator="equal">
      <formula>"Elétrico"</formula>
    </cfRule>
    <cfRule type="cellIs" dxfId="1946" priority="15" operator="equal">
      <formula>"Mecânico"</formula>
    </cfRule>
    <cfRule type="cellIs" dxfId="1945" priority="16" operator="equal">
      <formula>"Ok"</formula>
    </cfRule>
  </conditionalFormatting>
  <conditionalFormatting sqref="C5:E60 H5:J60">
    <cfRule type="cellIs" dxfId="1944" priority="11" operator="equal">
      <formula>"Feito"</formula>
    </cfRule>
  </conditionalFormatting>
  <conditionalFormatting sqref="L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F5:G11">
    <cfRule type="cellIs" dxfId="1943" priority="8" operator="equal">
      <formula>"Energia"</formula>
    </cfRule>
  </conditionalFormatting>
  <conditionalFormatting sqref="F5:G60">
    <cfRule type="cellIs" dxfId="1942" priority="1" operator="equal">
      <formula>"Energia"</formula>
    </cfRule>
    <cfRule type="cellIs" dxfId="1941" priority="3" operator="equal">
      <formula>"Operação"</formula>
    </cfRule>
    <cfRule type="cellIs" dxfId="1940" priority="4" operator="equal">
      <formula>"Chuva"</formula>
    </cfRule>
    <cfRule type="cellIs" dxfId="1939" priority="5" operator="equal">
      <formula>"Elétrico"</formula>
    </cfRule>
    <cfRule type="cellIs" dxfId="1938" priority="6" operator="equal">
      <formula>"Mecânico"</formula>
    </cfRule>
    <cfRule type="cellIs" dxfId="1937" priority="7" operator="equal">
      <formula>"Ok"</formula>
    </cfRule>
  </conditionalFormatting>
  <conditionalFormatting sqref="F5:G60">
    <cfRule type="cellIs" dxfId="1936" priority="2" operator="equal">
      <formula>"Feito"</formula>
    </cfRule>
  </conditionalFormatting>
  <dataValidations count="1">
    <dataValidation type="list" allowBlank="1" showInputMessage="1" showErrorMessage="1" sqref="C5:K60" xr:uid="{D32BC04B-0C54-48F6-9014-191922491DFB}">
      <formula1>$L$5:$L$10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7443-5550-4E9A-9056-7CE9D7F7FEA9}">
  <sheetPr codeName="Planilha15"/>
  <dimension ref="B3:O60"/>
  <sheetViews>
    <sheetView workbookViewId="0">
      <selection activeCell="M4" sqref="M4:O4"/>
    </sheetView>
  </sheetViews>
  <sheetFormatPr defaultRowHeight="15" x14ac:dyDescent="0.25"/>
  <cols>
    <col min="3" max="3" width="10.42578125" customWidth="1"/>
    <col min="4" max="4" width="9.7109375" customWidth="1"/>
    <col min="5" max="6" width="10.85546875" customWidth="1"/>
    <col min="7" max="7" width="11.140625" customWidth="1"/>
    <col min="8" max="8" width="10.42578125" customWidth="1"/>
    <col min="9" max="9" width="9.85546875" customWidth="1"/>
    <col min="10" max="10" width="10.28515625" customWidth="1"/>
    <col min="15" max="15" width="10.7109375" bestFit="1" customWidth="1"/>
  </cols>
  <sheetData>
    <row r="3" spans="2:15" x14ac:dyDescent="0.25">
      <c r="C3" s="3">
        <v>44298</v>
      </c>
      <c r="D3" s="3">
        <f>C3+1</f>
        <v>44299</v>
      </c>
      <c r="E3" s="3">
        <f t="shared" ref="E3:J3" si="0">D3+1</f>
        <v>44300</v>
      </c>
      <c r="F3" s="3">
        <f t="shared" si="0"/>
        <v>44301</v>
      </c>
      <c r="G3" s="3">
        <f t="shared" si="0"/>
        <v>44302</v>
      </c>
      <c r="H3" s="3">
        <f t="shared" si="0"/>
        <v>44303</v>
      </c>
      <c r="I3" s="3">
        <f t="shared" si="0"/>
        <v>44304</v>
      </c>
      <c r="J3" s="3">
        <f t="shared" si="0"/>
        <v>44305</v>
      </c>
    </row>
    <row r="4" spans="2:15" x14ac:dyDescent="0.25">
      <c r="B4" s="2" t="s">
        <v>0</v>
      </c>
      <c r="C4" s="1" t="str">
        <f>TEXT(C3,"ddd")</f>
        <v>seg</v>
      </c>
      <c r="D4" s="1" t="str">
        <f t="shared" ref="D4:J4" si="1">TEXT(D3,"ddd")</f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J4" s="1" t="str">
        <f t="shared" si="1"/>
        <v>seg</v>
      </c>
      <c r="L4" s="11" t="s">
        <v>1</v>
      </c>
      <c r="M4" s="49" t="s">
        <v>32</v>
      </c>
      <c r="N4" s="50" t="s">
        <v>33</v>
      </c>
      <c r="O4" s="51" t="s">
        <v>34</v>
      </c>
    </row>
    <row r="5" spans="2:15" x14ac:dyDescent="0.25">
      <c r="B5" s="4">
        <v>1</v>
      </c>
      <c r="J5" t="s">
        <v>3</v>
      </c>
      <c r="L5" s="5" t="s">
        <v>2</v>
      </c>
      <c r="M5">
        <f>COUNTIF($C$5:$J$60,L5)</f>
        <v>20</v>
      </c>
      <c r="N5" s="53">
        <f>M5/$M$11</f>
        <v>0.25974025974025972</v>
      </c>
      <c r="O5" s="52">
        <v>44298</v>
      </c>
    </row>
    <row r="6" spans="2:15" x14ac:dyDescent="0.25">
      <c r="B6" s="4">
        <v>2</v>
      </c>
      <c r="C6" t="s">
        <v>2</v>
      </c>
      <c r="D6" t="s">
        <v>2</v>
      </c>
      <c r="J6" t="s">
        <v>3</v>
      </c>
      <c r="L6" s="6" t="s">
        <v>5</v>
      </c>
      <c r="M6">
        <f t="shared" ref="M6:M10" si="2">COUNTIF($C$5:$J$60,L6)</f>
        <v>6</v>
      </c>
      <c r="N6" s="53">
        <f t="shared" ref="N6:N10" si="3">M6/$M$11</f>
        <v>7.792207792207792E-2</v>
      </c>
    </row>
    <row r="7" spans="2:15" x14ac:dyDescent="0.25">
      <c r="B7" s="4">
        <v>3</v>
      </c>
      <c r="C7" t="s">
        <v>2</v>
      </c>
      <c r="J7" t="s">
        <v>3</v>
      </c>
      <c r="L7" s="7" t="s">
        <v>6</v>
      </c>
      <c r="M7">
        <f t="shared" si="2"/>
        <v>1</v>
      </c>
      <c r="N7" s="53">
        <f t="shared" si="3"/>
        <v>1.2987012987012988E-2</v>
      </c>
    </row>
    <row r="8" spans="2:15" x14ac:dyDescent="0.25">
      <c r="B8" s="4">
        <v>4</v>
      </c>
      <c r="C8" t="s">
        <v>2</v>
      </c>
      <c r="D8" t="s">
        <v>2</v>
      </c>
      <c r="J8" t="s">
        <v>3</v>
      </c>
      <c r="L8" s="8" t="s">
        <v>4</v>
      </c>
      <c r="M8">
        <f t="shared" si="2"/>
        <v>0</v>
      </c>
      <c r="N8" s="53">
        <f t="shared" si="3"/>
        <v>0</v>
      </c>
    </row>
    <row r="9" spans="2:15" x14ac:dyDescent="0.25">
      <c r="B9" s="4">
        <v>5</v>
      </c>
      <c r="C9" t="s">
        <v>2</v>
      </c>
      <c r="L9" s="9" t="s">
        <v>3</v>
      </c>
      <c r="M9">
        <f t="shared" si="2"/>
        <v>38</v>
      </c>
      <c r="N9" s="53">
        <f t="shared" si="3"/>
        <v>0.4935064935064935</v>
      </c>
    </row>
    <row r="10" spans="2:15" x14ac:dyDescent="0.25">
      <c r="B10" s="4">
        <v>6</v>
      </c>
      <c r="C10" t="s">
        <v>5</v>
      </c>
      <c r="J10" t="s">
        <v>3</v>
      </c>
      <c r="L10" s="10" t="s">
        <v>7</v>
      </c>
      <c r="M10">
        <f t="shared" si="2"/>
        <v>12</v>
      </c>
      <c r="N10" s="53">
        <f t="shared" si="3"/>
        <v>0.15584415584415584</v>
      </c>
    </row>
    <row r="11" spans="2:15" x14ac:dyDescent="0.25">
      <c r="B11" s="4">
        <v>7</v>
      </c>
      <c r="J11" t="s">
        <v>3</v>
      </c>
      <c r="M11">
        <f>SUM(M5:M10)</f>
        <v>77</v>
      </c>
    </row>
    <row r="12" spans="2:15" x14ac:dyDescent="0.25">
      <c r="B12" s="4">
        <v>8</v>
      </c>
      <c r="J12" t="s">
        <v>3</v>
      </c>
    </row>
    <row r="13" spans="2:15" x14ac:dyDescent="0.25">
      <c r="B13" s="4">
        <v>9</v>
      </c>
      <c r="J13" t="s">
        <v>3</v>
      </c>
    </row>
    <row r="14" spans="2:15" x14ac:dyDescent="0.25">
      <c r="B14" s="4">
        <v>10</v>
      </c>
      <c r="J14" t="s">
        <v>3</v>
      </c>
    </row>
    <row r="15" spans="2:15" x14ac:dyDescent="0.25">
      <c r="B15" s="4">
        <v>11</v>
      </c>
      <c r="J15" t="s">
        <v>3</v>
      </c>
    </row>
    <row r="16" spans="2:15" x14ac:dyDescent="0.25">
      <c r="B16" s="4">
        <v>12</v>
      </c>
      <c r="J16" t="s">
        <v>3</v>
      </c>
    </row>
    <row r="17" spans="2:10" x14ac:dyDescent="0.25">
      <c r="B17" s="4">
        <v>13</v>
      </c>
      <c r="J17" t="s">
        <v>3</v>
      </c>
    </row>
    <row r="18" spans="2:10" x14ac:dyDescent="0.25">
      <c r="B18" s="4">
        <v>14</v>
      </c>
      <c r="J18" t="s">
        <v>3</v>
      </c>
    </row>
    <row r="19" spans="2:10" x14ac:dyDescent="0.25">
      <c r="B19" s="4">
        <v>15</v>
      </c>
      <c r="C19" t="s">
        <v>2</v>
      </c>
      <c r="J19" t="s">
        <v>3</v>
      </c>
    </row>
    <row r="20" spans="2:10" x14ac:dyDescent="0.25">
      <c r="B20" s="4">
        <v>16</v>
      </c>
      <c r="C20" t="s">
        <v>5</v>
      </c>
      <c r="J20" t="s">
        <v>3</v>
      </c>
    </row>
    <row r="21" spans="2:10" x14ac:dyDescent="0.25">
      <c r="B21" s="4">
        <v>17</v>
      </c>
      <c r="C21" t="s">
        <v>2</v>
      </c>
      <c r="J21" t="s">
        <v>3</v>
      </c>
    </row>
    <row r="22" spans="2:10" x14ac:dyDescent="0.25">
      <c r="B22" s="4">
        <v>18</v>
      </c>
      <c r="C22" t="s">
        <v>2</v>
      </c>
      <c r="D22" t="s">
        <v>2</v>
      </c>
      <c r="J22" t="s">
        <v>3</v>
      </c>
    </row>
    <row r="23" spans="2:10" x14ac:dyDescent="0.25">
      <c r="B23" s="4">
        <v>19</v>
      </c>
      <c r="J23" t="s">
        <v>3</v>
      </c>
    </row>
    <row r="24" spans="2:10" x14ac:dyDescent="0.25">
      <c r="B24" s="4">
        <v>20</v>
      </c>
      <c r="C24" t="s">
        <v>7</v>
      </c>
      <c r="D24" t="s">
        <v>7</v>
      </c>
      <c r="J24" t="s">
        <v>3</v>
      </c>
    </row>
    <row r="25" spans="2:10" x14ac:dyDescent="0.25">
      <c r="B25" s="4">
        <v>21</v>
      </c>
      <c r="J25" t="s">
        <v>3</v>
      </c>
    </row>
    <row r="26" spans="2:10" x14ac:dyDescent="0.25">
      <c r="B26" s="4">
        <v>22</v>
      </c>
      <c r="C26" t="s">
        <v>7</v>
      </c>
      <c r="D26" t="s">
        <v>7</v>
      </c>
      <c r="J26" t="s">
        <v>3</v>
      </c>
    </row>
    <row r="27" spans="2:10" x14ac:dyDescent="0.25">
      <c r="B27" s="4">
        <v>23</v>
      </c>
      <c r="C27" t="s">
        <v>2</v>
      </c>
      <c r="J27" t="s">
        <v>3</v>
      </c>
    </row>
    <row r="28" spans="2:10" x14ac:dyDescent="0.25">
      <c r="B28" s="4">
        <v>24</v>
      </c>
      <c r="C28" t="s">
        <v>7</v>
      </c>
      <c r="D28" t="s">
        <v>7</v>
      </c>
      <c r="J28" t="s">
        <v>3</v>
      </c>
    </row>
    <row r="29" spans="2:10" x14ac:dyDescent="0.25">
      <c r="B29" s="4">
        <v>25</v>
      </c>
      <c r="D29" t="s">
        <v>2</v>
      </c>
      <c r="J29" t="s">
        <v>3</v>
      </c>
    </row>
    <row r="30" spans="2:10" x14ac:dyDescent="0.25">
      <c r="B30" s="4">
        <v>26</v>
      </c>
      <c r="C30" t="s">
        <v>2</v>
      </c>
      <c r="J30" t="s">
        <v>3</v>
      </c>
    </row>
    <row r="31" spans="2:10" x14ac:dyDescent="0.25">
      <c r="B31" s="4">
        <v>27</v>
      </c>
      <c r="J31" t="s">
        <v>3</v>
      </c>
    </row>
    <row r="32" spans="2:10" x14ac:dyDescent="0.25">
      <c r="B32" s="4">
        <v>28</v>
      </c>
      <c r="C32" t="s">
        <v>5</v>
      </c>
      <c r="J32" t="s">
        <v>3</v>
      </c>
    </row>
    <row r="33" spans="2:10" x14ac:dyDescent="0.25">
      <c r="B33" s="4">
        <v>29</v>
      </c>
      <c r="D33" t="s">
        <v>5</v>
      </c>
      <c r="J33" t="s">
        <v>3</v>
      </c>
    </row>
    <row r="34" spans="2:10" x14ac:dyDescent="0.25">
      <c r="B34" s="4">
        <v>30</v>
      </c>
      <c r="C34" t="s">
        <v>6</v>
      </c>
      <c r="J34" t="s">
        <v>3</v>
      </c>
    </row>
    <row r="35" spans="2:10" x14ac:dyDescent="0.25">
      <c r="B35" s="4">
        <v>31</v>
      </c>
      <c r="D35" t="s">
        <v>5</v>
      </c>
      <c r="J35" t="s">
        <v>3</v>
      </c>
    </row>
    <row r="36" spans="2:10" x14ac:dyDescent="0.25">
      <c r="B36" s="4">
        <v>32</v>
      </c>
      <c r="C36" t="s">
        <v>5</v>
      </c>
      <c r="J36" t="s">
        <v>3</v>
      </c>
    </row>
    <row r="37" spans="2:10" x14ac:dyDescent="0.25">
      <c r="B37" s="4">
        <v>33</v>
      </c>
      <c r="C37" t="s">
        <v>2</v>
      </c>
      <c r="J37" t="s">
        <v>3</v>
      </c>
    </row>
    <row r="38" spans="2:10" x14ac:dyDescent="0.25">
      <c r="B38" s="4">
        <v>34</v>
      </c>
      <c r="D38" t="s">
        <v>2</v>
      </c>
      <c r="J38" t="s">
        <v>3</v>
      </c>
    </row>
    <row r="39" spans="2:10" x14ac:dyDescent="0.25">
      <c r="B39" s="4">
        <v>35</v>
      </c>
      <c r="J39" t="s">
        <v>3</v>
      </c>
    </row>
    <row r="40" spans="2:10" x14ac:dyDescent="0.25">
      <c r="B40" s="4">
        <v>36</v>
      </c>
      <c r="J40" t="s">
        <v>3</v>
      </c>
    </row>
    <row r="41" spans="2:10" x14ac:dyDescent="0.25">
      <c r="B41" s="4">
        <v>37</v>
      </c>
      <c r="J41" t="s">
        <v>3</v>
      </c>
    </row>
    <row r="42" spans="2:10" x14ac:dyDescent="0.25">
      <c r="B42" s="4">
        <v>38</v>
      </c>
      <c r="C42" t="s">
        <v>2</v>
      </c>
      <c r="J42" t="s">
        <v>3</v>
      </c>
    </row>
    <row r="43" spans="2:10" x14ac:dyDescent="0.25">
      <c r="B43" s="4">
        <v>39</v>
      </c>
      <c r="J43" t="s">
        <v>3</v>
      </c>
    </row>
    <row r="44" spans="2:10" x14ac:dyDescent="0.25">
      <c r="B44" s="4">
        <v>40</v>
      </c>
      <c r="C44" t="s">
        <v>2</v>
      </c>
    </row>
    <row r="45" spans="2:10" x14ac:dyDescent="0.25">
      <c r="B45" s="4">
        <v>41</v>
      </c>
    </row>
    <row r="46" spans="2:10" x14ac:dyDescent="0.25">
      <c r="B46" s="4">
        <v>42</v>
      </c>
      <c r="C46" t="s">
        <v>2</v>
      </c>
    </row>
    <row r="47" spans="2:10" x14ac:dyDescent="0.25">
      <c r="B47" s="4">
        <v>43</v>
      </c>
      <c r="D47" t="s">
        <v>2</v>
      </c>
    </row>
    <row r="48" spans="2:10" x14ac:dyDescent="0.25">
      <c r="B48" s="4">
        <v>44</v>
      </c>
    </row>
    <row r="49" spans="2:4" x14ac:dyDescent="0.25">
      <c r="B49" s="4">
        <v>45</v>
      </c>
    </row>
    <row r="50" spans="2:4" x14ac:dyDescent="0.25">
      <c r="B50" s="4">
        <v>46</v>
      </c>
    </row>
    <row r="51" spans="2:4" x14ac:dyDescent="0.25">
      <c r="B51" s="4">
        <v>47</v>
      </c>
      <c r="D51" t="s">
        <v>7</v>
      </c>
    </row>
    <row r="52" spans="2:4" x14ac:dyDescent="0.25">
      <c r="B52" s="4">
        <v>48</v>
      </c>
      <c r="C52" t="s">
        <v>2</v>
      </c>
    </row>
    <row r="53" spans="2:4" x14ac:dyDescent="0.25">
      <c r="B53" s="4">
        <v>49</v>
      </c>
    </row>
    <row r="54" spans="2:4" x14ac:dyDescent="0.25">
      <c r="B54" s="4">
        <v>50</v>
      </c>
      <c r="D54" t="s">
        <v>7</v>
      </c>
    </row>
    <row r="55" spans="2:4" x14ac:dyDescent="0.25">
      <c r="B55" s="4">
        <v>51</v>
      </c>
      <c r="D55" t="s">
        <v>7</v>
      </c>
    </row>
    <row r="56" spans="2:4" x14ac:dyDescent="0.25">
      <c r="B56" s="4">
        <v>52</v>
      </c>
    </row>
    <row r="57" spans="2:4" x14ac:dyDescent="0.25">
      <c r="B57" s="4">
        <v>53</v>
      </c>
    </row>
    <row r="58" spans="2:4" x14ac:dyDescent="0.25">
      <c r="B58" s="4">
        <v>54</v>
      </c>
      <c r="D58" t="s">
        <v>7</v>
      </c>
    </row>
    <row r="59" spans="2:4" x14ac:dyDescent="0.25">
      <c r="B59" s="4">
        <v>55</v>
      </c>
      <c r="C59" t="s">
        <v>7</v>
      </c>
    </row>
    <row r="60" spans="2:4" x14ac:dyDescent="0.25">
      <c r="B60" s="4">
        <v>56</v>
      </c>
      <c r="C60" t="s">
        <v>7</v>
      </c>
    </row>
  </sheetData>
  <conditionalFormatting sqref="C5:E11 H5:H11">
    <cfRule type="cellIs" dxfId="1935" priority="17" operator="equal">
      <formula>"Energia"</formula>
    </cfRule>
  </conditionalFormatting>
  <conditionalFormatting sqref="C5:E60 H5:J60">
    <cfRule type="cellIs" dxfId="1934" priority="10" operator="equal">
      <formula>"Energia"</formula>
    </cfRule>
    <cfRule type="cellIs" dxfId="1933" priority="12" operator="equal">
      <formula>"Operação"</formula>
    </cfRule>
    <cfRule type="cellIs" dxfId="1932" priority="13" operator="equal">
      <formula>"Chuva"</formula>
    </cfRule>
    <cfRule type="cellIs" dxfId="1931" priority="14" operator="equal">
      <formula>"Elétrico"</formula>
    </cfRule>
    <cfRule type="cellIs" dxfId="1930" priority="15" operator="equal">
      <formula>"Mecânico"</formula>
    </cfRule>
    <cfRule type="cellIs" dxfId="1929" priority="16" operator="equal">
      <formula>"Ok"</formula>
    </cfRule>
  </conditionalFormatting>
  <conditionalFormatting sqref="C5:E60 H5:J60">
    <cfRule type="cellIs" dxfId="1928" priority="11" operator="equal">
      <formula>"Feito"</formula>
    </cfRule>
  </conditionalFormatting>
  <conditionalFormatting sqref="L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F5:G11">
    <cfRule type="cellIs" dxfId="1927" priority="8" operator="equal">
      <formula>"Energia"</formula>
    </cfRule>
  </conditionalFormatting>
  <conditionalFormatting sqref="F5:G60">
    <cfRule type="cellIs" dxfId="1926" priority="1" operator="equal">
      <formula>"Energia"</formula>
    </cfRule>
    <cfRule type="cellIs" dxfId="1925" priority="3" operator="equal">
      <formula>"Operação"</formula>
    </cfRule>
    <cfRule type="cellIs" dxfId="1924" priority="4" operator="equal">
      <formula>"Chuva"</formula>
    </cfRule>
    <cfRule type="cellIs" dxfId="1923" priority="5" operator="equal">
      <formula>"Elétrico"</formula>
    </cfRule>
    <cfRule type="cellIs" dxfId="1922" priority="6" operator="equal">
      <formula>"Mecânico"</formula>
    </cfRule>
    <cfRule type="cellIs" dxfId="1921" priority="7" operator="equal">
      <formula>"Ok"</formula>
    </cfRule>
  </conditionalFormatting>
  <conditionalFormatting sqref="F5:G60">
    <cfRule type="cellIs" dxfId="1920" priority="2" operator="equal">
      <formula>"Feito"</formula>
    </cfRule>
  </conditionalFormatting>
  <dataValidations count="1">
    <dataValidation type="list" allowBlank="1" showInputMessage="1" showErrorMessage="1" sqref="C5:K60" xr:uid="{E0F24A0B-78CD-4FBA-8DF4-C1F563DDB1F9}">
      <formula1>$L$5:$L$10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3CDB-5E52-4D58-93D9-558E7338E003}">
  <sheetPr codeName="Planilha16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4" max="14" width="10.7109375" bestFit="1" customWidth="1"/>
  </cols>
  <sheetData>
    <row r="3" spans="1:14" x14ac:dyDescent="0.25">
      <c r="B3" s="3">
        <v>44316</v>
      </c>
      <c r="C3" s="3">
        <f>B3+1</f>
        <v>44317</v>
      </c>
      <c r="D3" s="3">
        <f t="shared" ref="D3:I3" si="0">C3+1</f>
        <v>44318</v>
      </c>
      <c r="E3" s="3">
        <f t="shared" si="0"/>
        <v>44319</v>
      </c>
      <c r="F3" s="3">
        <f t="shared" si="0"/>
        <v>44320</v>
      </c>
      <c r="G3" s="3">
        <f t="shared" si="0"/>
        <v>44321</v>
      </c>
      <c r="H3" s="3">
        <f t="shared" si="0"/>
        <v>44322</v>
      </c>
      <c r="I3" s="3">
        <f t="shared" si="0"/>
        <v>44323</v>
      </c>
    </row>
    <row r="4" spans="1:14" x14ac:dyDescent="0.25">
      <c r="A4" s="2" t="s">
        <v>0</v>
      </c>
      <c r="B4" s="1" t="str">
        <f>TEXT(B3,"ddd")</f>
        <v>sex</v>
      </c>
      <c r="C4" s="1" t="str">
        <f t="shared" ref="C4:I4" si="1">TEXT(C3,"ddd")</f>
        <v>sáb</v>
      </c>
      <c r="D4" s="1" t="str">
        <f t="shared" si="1"/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K5" s="5" t="s">
        <v>2</v>
      </c>
      <c r="L5">
        <f>COUNTIF($B$5:$I$60,K5)</f>
        <v>86</v>
      </c>
      <c r="M5" s="53">
        <f>L5/$L$11</f>
        <v>0.60563380281690138</v>
      </c>
      <c r="N5" s="52">
        <v>44316</v>
      </c>
    </row>
    <row r="6" spans="1:14" x14ac:dyDescent="0.25">
      <c r="A6" s="4">
        <v>2</v>
      </c>
      <c r="F6" t="s">
        <v>2</v>
      </c>
      <c r="K6" s="6" t="s">
        <v>5</v>
      </c>
      <c r="L6">
        <f t="shared" ref="L6:L10" si="2">COUNTIF($B$5:$I$60,K6)</f>
        <v>7</v>
      </c>
      <c r="M6" s="53">
        <f t="shared" ref="M6:M10" si="3">L6/$L$11</f>
        <v>4.9295774647887321E-2</v>
      </c>
    </row>
    <row r="7" spans="1:14" x14ac:dyDescent="0.25">
      <c r="A7" s="4">
        <v>3</v>
      </c>
      <c r="F7" t="s">
        <v>2</v>
      </c>
      <c r="G7" t="s">
        <v>2</v>
      </c>
      <c r="I7" t="s">
        <v>2</v>
      </c>
      <c r="K7" s="7" t="s">
        <v>6</v>
      </c>
      <c r="L7">
        <f t="shared" si="2"/>
        <v>4</v>
      </c>
      <c r="M7" s="53">
        <f t="shared" si="3"/>
        <v>2.8169014084507043E-2</v>
      </c>
    </row>
    <row r="8" spans="1:14" x14ac:dyDescent="0.25">
      <c r="A8" s="4">
        <v>4</v>
      </c>
      <c r="B8" t="s">
        <v>7</v>
      </c>
      <c r="F8" t="s">
        <v>2</v>
      </c>
      <c r="H8" t="s">
        <v>6</v>
      </c>
      <c r="I8" t="s">
        <v>2</v>
      </c>
      <c r="K8" s="8" t="s">
        <v>4</v>
      </c>
      <c r="L8">
        <f t="shared" si="2"/>
        <v>0</v>
      </c>
      <c r="M8" s="53">
        <f t="shared" si="3"/>
        <v>0</v>
      </c>
    </row>
    <row r="9" spans="1:14" x14ac:dyDescent="0.25">
      <c r="A9" s="4">
        <v>5</v>
      </c>
      <c r="B9" t="s">
        <v>2</v>
      </c>
      <c r="F9" t="s">
        <v>7</v>
      </c>
      <c r="G9" t="s">
        <v>2</v>
      </c>
      <c r="H9" t="s">
        <v>2</v>
      </c>
      <c r="I9" t="s">
        <v>2</v>
      </c>
      <c r="K9" s="9" t="s">
        <v>3</v>
      </c>
      <c r="L9">
        <f t="shared" si="2"/>
        <v>0</v>
      </c>
      <c r="M9" s="53">
        <f t="shared" si="3"/>
        <v>0</v>
      </c>
    </row>
    <row r="10" spans="1:14" x14ac:dyDescent="0.25">
      <c r="A10" s="4">
        <v>6</v>
      </c>
      <c r="F10" t="s">
        <v>7</v>
      </c>
      <c r="K10" s="10" t="s">
        <v>7</v>
      </c>
      <c r="L10">
        <f t="shared" si="2"/>
        <v>45</v>
      </c>
      <c r="M10" s="53">
        <f t="shared" si="3"/>
        <v>0.31690140845070425</v>
      </c>
    </row>
    <row r="11" spans="1:14" x14ac:dyDescent="0.25">
      <c r="A11" s="4">
        <v>7</v>
      </c>
      <c r="C11" t="s">
        <v>2</v>
      </c>
      <c r="D11" t="s">
        <v>2</v>
      </c>
      <c r="F11" t="s">
        <v>2</v>
      </c>
      <c r="G11" t="s">
        <v>2</v>
      </c>
      <c r="H11" t="s">
        <v>2</v>
      </c>
      <c r="L11">
        <f>SUM(L5:L10)</f>
        <v>142</v>
      </c>
    </row>
    <row r="12" spans="1:14" x14ac:dyDescent="0.25">
      <c r="A12" s="4">
        <v>8</v>
      </c>
      <c r="B12" t="s">
        <v>7</v>
      </c>
      <c r="C12" t="s">
        <v>2</v>
      </c>
      <c r="D12" t="s">
        <v>2</v>
      </c>
      <c r="E12" t="s">
        <v>7</v>
      </c>
      <c r="F12" t="s">
        <v>2</v>
      </c>
      <c r="G12" t="s">
        <v>2</v>
      </c>
    </row>
    <row r="13" spans="1:14" x14ac:dyDescent="0.25">
      <c r="A13" s="4">
        <v>9</v>
      </c>
      <c r="B13" t="s">
        <v>7</v>
      </c>
      <c r="E13" t="s">
        <v>2</v>
      </c>
      <c r="F13" t="s">
        <v>2</v>
      </c>
      <c r="G13" t="s">
        <v>2</v>
      </c>
      <c r="H13" t="s">
        <v>5</v>
      </c>
      <c r="I13" t="s">
        <v>2</v>
      </c>
    </row>
    <row r="14" spans="1:14" x14ac:dyDescent="0.25">
      <c r="A14" s="4">
        <v>10</v>
      </c>
      <c r="G14" t="s">
        <v>2</v>
      </c>
    </row>
    <row r="15" spans="1:14" x14ac:dyDescent="0.25">
      <c r="A15" s="4">
        <v>11</v>
      </c>
    </row>
    <row r="16" spans="1:14" x14ac:dyDescent="0.25">
      <c r="A16" s="4">
        <v>12</v>
      </c>
    </row>
    <row r="17" spans="1:9" x14ac:dyDescent="0.25">
      <c r="A17" s="4">
        <v>13</v>
      </c>
    </row>
    <row r="18" spans="1:9" x14ac:dyDescent="0.25">
      <c r="A18" s="4">
        <v>14</v>
      </c>
    </row>
    <row r="19" spans="1:9" x14ac:dyDescent="0.25">
      <c r="A19" s="4">
        <v>15</v>
      </c>
      <c r="B19" t="s">
        <v>2</v>
      </c>
      <c r="E19" t="s">
        <v>7</v>
      </c>
      <c r="H19" t="s">
        <v>7</v>
      </c>
    </row>
    <row r="20" spans="1:9" x14ac:dyDescent="0.25">
      <c r="A20" s="4">
        <v>16</v>
      </c>
      <c r="D20" t="s">
        <v>5</v>
      </c>
      <c r="E20" t="s">
        <v>2</v>
      </c>
      <c r="F20" t="s">
        <v>7</v>
      </c>
    </row>
    <row r="21" spans="1:9" x14ac:dyDescent="0.25">
      <c r="A21" s="4">
        <v>17</v>
      </c>
      <c r="B21" t="s">
        <v>2</v>
      </c>
      <c r="E21" t="s">
        <v>7</v>
      </c>
      <c r="H21" t="s">
        <v>2</v>
      </c>
    </row>
    <row r="22" spans="1:9" x14ac:dyDescent="0.25">
      <c r="A22" s="4">
        <v>18</v>
      </c>
      <c r="C22" t="s">
        <v>7</v>
      </c>
      <c r="D22" t="s">
        <v>7</v>
      </c>
      <c r="I22" t="s">
        <v>2</v>
      </c>
    </row>
    <row r="23" spans="1:9" x14ac:dyDescent="0.25">
      <c r="A23" s="4">
        <v>19</v>
      </c>
      <c r="D23" t="s">
        <v>2</v>
      </c>
      <c r="G23" t="s">
        <v>5</v>
      </c>
    </row>
    <row r="24" spans="1:9" x14ac:dyDescent="0.25">
      <c r="A24" s="4">
        <v>20</v>
      </c>
      <c r="C24" t="s">
        <v>7</v>
      </c>
      <c r="D24" t="s">
        <v>7</v>
      </c>
      <c r="F24" t="s">
        <v>7</v>
      </c>
    </row>
    <row r="25" spans="1:9" x14ac:dyDescent="0.25">
      <c r="A25" s="4">
        <v>21</v>
      </c>
      <c r="D25" t="s">
        <v>2</v>
      </c>
      <c r="G25" t="s">
        <v>2</v>
      </c>
    </row>
    <row r="26" spans="1:9" x14ac:dyDescent="0.25">
      <c r="A26" s="4">
        <v>22</v>
      </c>
      <c r="D26" t="s">
        <v>6</v>
      </c>
      <c r="G26" t="s">
        <v>6</v>
      </c>
    </row>
    <row r="27" spans="1:9" x14ac:dyDescent="0.25">
      <c r="A27" s="4">
        <v>23</v>
      </c>
      <c r="B27" t="s">
        <v>2</v>
      </c>
      <c r="E27" t="s">
        <v>7</v>
      </c>
      <c r="H27" t="s">
        <v>2</v>
      </c>
    </row>
    <row r="28" spans="1:9" x14ac:dyDescent="0.25">
      <c r="A28" s="4">
        <v>24</v>
      </c>
      <c r="B28" t="s">
        <v>7</v>
      </c>
      <c r="C28" t="s">
        <v>7</v>
      </c>
      <c r="D28" t="s">
        <v>7</v>
      </c>
      <c r="F28" t="s">
        <v>7</v>
      </c>
    </row>
    <row r="29" spans="1:9" x14ac:dyDescent="0.25">
      <c r="A29" s="4">
        <v>25</v>
      </c>
      <c r="B29" t="s">
        <v>2</v>
      </c>
      <c r="D29" t="s">
        <v>2</v>
      </c>
      <c r="E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  <c r="C30" t="s">
        <v>2</v>
      </c>
      <c r="F30" t="s">
        <v>2</v>
      </c>
      <c r="I30" t="s">
        <v>2</v>
      </c>
    </row>
    <row r="31" spans="1:9" x14ac:dyDescent="0.25">
      <c r="A31" s="4">
        <v>27</v>
      </c>
      <c r="C31" t="s">
        <v>2</v>
      </c>
      <c r="F31" t="s">
        <v>7</v>
      </c>
      <c r="G31" t="s">
        <v>7</v>
      </c>
    </row>
    <row r="32" spans="1:9" x14ac:dyDescent="0.25">
      <c r="A32" s="4">
        <v>28</v>
      </c>
      <c r="D32" t="s">
        <v>2</v>
      </c>
    </row>
    <row r="33" spans="1:9" x14ac:dyDescent="0.25">
      <c r="A33" s="4">
        <v>29</v>
      </c>
      <c r="B33" t="s">
        <v>2</v>
      </c>
      <c r="D33" t="s">
        <v>2</v>
      </c>
      <c r="F33" t="s">
        <v>2</v>
      </c>
      <c r="H33" t="s">
        <v>6</v>
      </c>
      <c r="I33" t="s">
        <v>2</v>
      </c>
    </row>
    <row r="34" spans="1:9" x14ac:dyDescent="0.25">
      <c r="A34" s="4">
        <v>30</v>
      </c>
    </row>
    <row r="35" spans="1:9" x14ac:dyDescent="0.25">
      <c r="A35" s="4">
        <v>31</v>
      </c>
      <c r="C35" t="s">
        <v>2</v>
      </c>
      <c r="F35" t="s">
        <v>2</v>
      </c>
      <c r="I35" t="s">
        <v>2</v>
      </c>
    </row>
    <row r="36" spans="1:9" x14ac:dyDescent="0.25">
      <c r="A36" s="4">
        <v>32</v>
      </c>
      <c r="B36" t="s">
        <v>2</v>
      </c>
      <c r="C36" t="s">
        <v>2</v>
      </c>
      <c r="E36" t="s">
        <v>2</v>
      </c>
      <c r="F36" t="s">
        <v>5</v>
      </c>
      <c r="H36" t="s">
        <v>2</v>
      </c>
      <c r="I36" t="s">
        <v>5</v>
      </c>
    </row>
    <row r="37" spans="1:9" x14ac:dyDescent="0.25">
      <c r="A37" s="4">
        <v>33</v>
      </c>
      <c r="B37" t="s">
        <v>2</v>
      </c>
      <c r="E37" t="s">
        <v>2</v>
      </c>
      <c r="H37" t="s">
        <v>5</v>
      </c>
      <c r="I37" t="s">
        <v>2</v>
      </c>
    </row>
    <row r="38" spans="1:9" x14ac:dyDescent="0.25">
      <c r="A38" s="4">
        <v>34</v>
      </c>
    </row>
    <row r="39" spans="1:9" x14ac:dyDescent="0.25">
      <c r="A39" s="4">
        <v>35</v>
      </c>
      <c r="C39" t="s">
        <v>2</v>
      </c>
      <c r="G39" t="s">
        <v>2</v>
      </c>
      <c r="H39" t="s">
        <v>7</v>
      </c>
    </row>
    <row r="40" spans="1:9" x14ac:dyDescent="0.25">
      <c r="A40" s="4">
        <v>36</v>
      </c>
      <c r="B40" t="s">
        <v>2</v>
      </c>
      <c r="E40" t="s">
        <v>2</v>
      </c>
      <c r="F40" t="s">
        <v>7</v>
      </c>
      <c r="I40" t="s">
        <v>2</v>
      </c>
    </row>
    <row r="41" spans="1:9" x14ac:dyDescent="0.25">
      <c r="A41" s="4">
        <v>37</v>
      </c>
      <c r="B41" t="s">
        <v>2</v>
      </c>
      <c r="F41" t="s">
        <v>2</v>
      </c>
      <c r="H41" t="s">
        <v>2</v>
      </c>
    </row>
    <row r="42" spans="1:9" x14ac:dyDescent="0.25">
      <c r="A42" s="4">
        <v>38</v>
      </c>
      <c r="B42" t="s">
        <v>2</v>
      </c>
      <c r="E42" t="s">
        <v>7</v>
      </c>
      <c r="H42" t="s">
        <v>7</v>
      </c>
      <c r="I42" t="s">
        <v>2</v>
      </c>
    </row>
    <row r="43" spans="1:9" x14ac:dyDescent="0.25">
      <c r="A43" s="4">
        <v>39</v>
      </c>
      <c r="C43" t="s">
        <v>2</v>
      </c>
      <c r="F43" t="s">
        <v>7</v>
      </c>
    </row>
    <row r="44" spans="1:9" x14ac:dyDescent="0.25">
      <c r="A44" s="4">
        <v>40</v>
      </c>
      <c r="D44" t="s">
        <v>2</v>
      </c>
      <c r="G44" t="s">
        <v>7</v>
      </c>
    </row>
    <row r="45" spans="1:9" x14ac:dyDescent="0.25">
      <c r="A45" s="4">
        <v>41</v>
      </c>
      <c r="C45" t="s">
        <v>2</v>
      </c>
      <c r="F45" t="s">
        <v>2</v>
      </c>
    </row>
    <row r="46" spans="1:9" x14ac:dyDescent="0.25">
      <c r="A46" s="4">
        <v>42</v>
      </c>
      <c r="B46" t="s">
        <v>7</v>
      </c>
      <c r="E46" t="s">
        <v>2</v>
      </c>
      <c r="H46" t="s">
        <v>7</v>
      </c>
    </row>
    <row r="47" spans="1:9" x14ac:dyDescent="0.25">
      <c r="A47" s="4">
        <v>43</v>
      </c>
      <c r="C47" t="s">
        <v>2</v>
      </c>
      <c r="F47" t="s">
        <v>7</v>
      </c>
    </row>
    <row r="48" spans="1:9" x14ac:dyDescent="0.25">
      <c r="A48" s="4">
        <v>44</v>
      </c>
      <c r="D48" t="s">
        <v>2</v>
      </c>
      <c r="G48" t="s">
        <v>2</v>
      </c>
    </row>
    <row r="49" spans="1:9" x14ac:dyDescent="0.25">
      <c r="A49" s="4">
        <v>45</v>
      </c>
    </row>
    <row r="50" spans="1:9" x14ac:dyDescent="0.25">
      <c r="A50" s="4">
        <v>46</v>
      </c>
      <c r="G50" t="s">
        <v>7</v>
      </c>
      <c r="H50" t="s">
        <v>7</v>
      </c>
      <c r="I50" t="s">
        <v>7</v>
      </c>
    </row>
    <row r="51" spans="1:9" x14ac:dyDescent="0.25">
      <c r="A51" s="4">
        <v>47</v>
      </c>
    </row>
    <row r="52" spans="1:9" x14ac:dyDescent="0.25">
      <c r="A52" s="4">
        <v>48</v>
      </c>
    </row>
    <row r="53" spans="1:9" x14ac:dyDescent="0.25">
      <c r="A53" s="4">
        <v>49</v>
      </c>
    </row>
    <row r="54" spans="1:9" x14ac:dyDescent="0.25">
      <c r="A54" s="4">
        <v>50</v>
      </c>
      <c r="B54" t="s">
        <v>2</v>
      </c>
      <c r="E54" t="s">
        <v>2</v>
      </c>
      <c r="H54" t="s">
        <v>7</v>
      </c>
    </row>
    <row r="55" spans="1:9" x14ac:dyDescent="0.25">
      <c r="A55" s="4">
        <v>51</v>
      </c>
      <c r="B55" t="s">
        <v>7</v>
      </c>
      <c r="C55" t="s">
        <v>2</v>
      </c>
      <c r="E55" t="s">
        <v>7</v>
      </c>
      <c r="F55" t="s">
        <v>7</v>
      </c>
      <c r="H55" t="s">
        <v>7</v>
      </c>
      <c r="I55" t="s">
        <v>7</v>
      </c>
    </row>
    <row r="56" spans="1:9" x14ac:dyDescent="0.25">
      <c r="A56" s="4">
        <v>52</v>
      </c>
      <c r="I56" t="s">
        <v>7</v>
      </c>
    </row>
    <row r="57" spans="1:9" x14ac:dyDescent="0.25">
      <c r="A57" s="4">
        <v>53</v>
      </c>
      <c r="B57" t="s">
        <v>2</v>
      </c>
      <c r="E57" t="s">
        <v>2</v>
      </c>
      <c r="H57" t="s">
        <v>2</v>
      </c>
    </row>
    <row r="58" spans="1:9" x14ac:dyDescent="0.25">
      <c r="A58" s="4">
        <v>54</v>
      </c>
      <c r="C58" t="s">
        <v>7</v>
      </c>
      <c r="F58" t="s">
        <v>2</v>
      </c>
      <c r="I58" t="s">
        <v>2</v>
      </c>
    </row>
    <row r="59" spans="1:9" x14ac:dyDescent="0.25">
      <c r="A59" s="4">
        <v>55</v>
      </c>
      <c r="B59" t="s">
        <v>2</v>
      </c>
      <c r="E59" t="s">
        <v>7</v>
      </c>
      <c r="H59" t="s">
        <v>7</v>
      </c>
    </row>
    <row r="60" spans="1:9" x14ac:dyDescent="0.25">
      <c r="A60" s="4">
        <v>56</v>
      </c>
      <c r="D60" t="s">
        <v>5</v>
      </c>
      <c r="G60" t="s">
        <v>7</v>
      </c>
    </row>
  </sheetData>
  <conditionalFormatting sqref="B5:D11 G5:G11">
    <cfRule type="cellIs" dxfId="1919" priority="17" operator="equal">
      <formula>"Energia"</formula>
    </cfRule>
  </conditionalFormatting>
  <conditionalFormatting sqref="B5:D60 G5:I60">
    <cfRule type="cellIs" dxfId="1918" priority="10" operator="equal">
      <formula>"Energia"</formula>
    </cfRule>
    <cfRule type="cellIs" dxfId="1917" priority="12" operator="equal">
      <formula>"Operação"</formula>
    </cfRule>
    <cfRule type="cellIs" dxfId="1916" priority="13" operator="equal">
      <formula>"Chuva"</formula>
    </cfRule>
    <cfRule type="cellIs" dxfId="1915" priority="14" operator="equal">
      <formula>"Elétrico"</formula>
    </cfRule>
    <cfRule type="cellIs" dxfId="1914" priority="15" operator="equal">
      <formula>"Mecânico"</formula>
    </cfRule>
    <cfRule type="cellIs" dxfId="1913" priority="16" operator="equal">
      <formula>"Ok"</formula>
    </cfRule>
  </conditionalFormatting>
  <conditionalFormatting sqref="B5:D60 G5:I60">
    <cfRule type="cellIs" dxfId="1912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911" priority="8" operator="equal">
      <formula>"Energia"</formula>
    </cfRule>
  </conditionalFormatting>
  <conditionalFormatting sqref="E5:F60">
    <cfRule type="cellIs" dxfId="1910" priority="1" operator="equal">
      <formula>"Energia"</formula>
    </cfRule>
    <cfRule type="cellIs" dxfId="1909" priority="3" operator="equal">
      <formula>"Operação"</formula>
    </cfRule>
    <cfRule type="cellIs" dxfId="1908" priority="4" operator="equal">
      <formula>"Chuva"</formula>
    </cfRule>
    <cfRule type="cellIs" dxfId="1907" priority="5" operator="equal">
      <formula>"Elétrico"</formula>
    </cfRule>
    <cfRule type="cellIs" dxfId="1906" priority="6" operator="equal">
      <formula>"Mecânico"</formula>
    </cfRule>
    <cfRule type="cellIs" dxfId="1905" priority="7" operator="equal">
      <formula>"Ok"</formula>
    </cfRule>
  </conditionalFormatting>
  <conditionalFormatting sqref="E5:F60">
    <cfRule type="cellIs" dxfId="1904" priority="2" operator="equal">
      <formula>"Feito"</formula>
    </cfRule>
  </conditionalFormatting>
  <dataValidations count="1">
    <dataValidation type="list" allowBlank="1" showInputMessage="1" showErrorMessage="1" sqref="B5:J60" xr:uid="{B9A7CD3D-AE59-42F7-A866-80C27BDC5709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E951-AC4B-4952-9E9B-E6D9813AC6C1}">
  <sheetPr codeName="Planilha17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4" max="14" width="10.7109375" bestFit="1" customWidth="1"/>
  </cols>
  <sheetData>
    <row r="3" spans="1:14" x14ac:dyDescent="0.25">
      <c r="B3" s="3">
        <v>44324</v>
      </c>
      <c r="C3" s="3">
        <f>B3+1</f>
        <v>44325</v>
      </c>
      <c r="D3" s="3">
        <f t="shared" ref="D3:I3" si="0">C3+1</f>
        <v>44326</v>
      </c>
      <c r="E3" s="3">
        <f t="shared" si="0"/>
        <v>44327</v>
      </c>
      <c r="F3" s="3">
        <f t="shared" si="0"/>
        <v>44328</v>
      </c>
      <c r="G3" s="3">
        <f t="shared" si="0"/>
        <v>44329</v>
      </c>
      <c r="H3" s="3">
        <f t="shared" si="0"/>
        <v>44330</v>
      </c>
      <c r="I3" s="3">
        <f t="shared" si="0"/>
        <v>44331</v>
      </c>
    </row>
    <row r="4" spans="1:14" x14ac:dyDescent="0.25">
      <c r="A4" s="2" t="s">
        <v>0</v>
      </c>
      <c r="B4" s="1" t="str">
        <f>TEXT(B3,"ddd")</f>
        <v>sáb</v>
      </c>
      <c r="C4" s="1" t="str">
        <f t="shared" ref="C4:I4" si="1">TEXT(C3,"ddd")</f>
        <v>dom</v>
      </c>
      <c r="D4" s="1" t="str">
        <f t="shared" si="1"/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E5" t="s">
        <v>7</v>
      </c>
      <c r="F5" t="s">
        <v>7</v>
      </c>
      <c r="G5" t="s">
        <v>2</v>
      </c>
      <c r="H5" t="s">
        <v>2</v>
      </c>
      <c r="I5" t="s">
        <v>2</v>
      </c>
      <c r="K5" s="5" t="s">
        <v>2</v>
      </c>
      <c r="L5">
        <f>COUNTIF($B$5:$I$60,K5)</f>
        <v>109</v>
      </c>
      <c r="M5" s="53">
        <f>L5/$L$11</f>
        <v>0.64880952380952384</v>
      </c>
      <c r="N5" s="52">
        <v>44324</v>
      </c>
    </row>
    <row r="6" spans="1:14" x14ac:dyDescent="0.25">
      <c r="A6" s="4">
        <v>2</v>
      </c>
      <c r="C6" t="s">
        <v>2</v>
      </c>
      <c r="I6" t="s">
        <v>2</v>
      </c>
      <c r="K6" s="6" t="s">
        <v>5</v>
      </c>
      <c r="L6">
        <f t="shared" ref="L6:L10" si="2">COUNTIF($B$5:$I$60,K6)</f>
        <v>19</v>
      </c>
      <c r="M6" s="53">
        <f t="shared" ref="M6:M10" si="3">L6/$L$11</f>
        <v>0.1130952380952381</v>
      </c>
    </row>
    <row r="7" spans="1:14" x14ac:dyDescent="0.25">
      <c r="A7" s="4">
        <v>3</v>
      </c>
      <c r="B7" t="s">
        <v>2</v>
      </c>
      <c r="D7" t="s">
        <v>2</v>
      </c>
      <c r="E7" t="s">
        <v>2</v>
      </c>
      <c r="K7" s="7" t="s">
        <v>6</v>
      </c>
      <c r="L7">
        <f t="shared" si="2"/>
        <v>3</v>
      </c>
      <c r="M7" s="53">
        <f t="shared" si="3"/>
        <v>1.7857142857142856E-2</v>
      </c>
    </row>
    <row r="8" spans="1:14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K8" s="8" t="s">
        <v>4</v>
      </c>
      <c r="L8">
        <f t="shared" si="2"/>
        <v>0</v>
      </c>
      <c r="M8" s="53">
        <f t="shared" si="3"/>
        <v>0</v>
      </c>
    </row>
    <row r="9" spans="1:14" x14ac:dyDescent="0.25">
      <c r="A9" s="4">
        <v>5</v>
      </c>
      <c r="D9" t="s">
        <v>2</v>
      </c>
      <c r="G9" t="s">
        <v>7</v>
      </c>
      <c r="H9" t="s">
        <v>2</v>
      </c>
      <c r="I9" t="s">
        <v>2</v>
      </c>
      <c r="K9" s="9" t="s">
        <v>3</v>
      </c>
      <c r="L9">
        <f t="shared" si="2"/>
        <v>0</v>
      </c>
      <c r="M9" s="53">
        <f t="shared" si="3"/>
        <v>0</v>
      </c>
    </row>
    <row r="10" spans="1:14" x14ac:dyDescent="0.25">
      <c r="A10" s="4">
        <v>6</v>
      </c>
      <c r="B10" t="s">
        <v>5</v>
      </c>
      <c r="D10" t="s">
        <v>2</v>
      </c>
      <c r="E10" t="s">
        <v>2</v>
      </c>
      <c r="F10" t="s">
        <v>5</v>
      </c>
      <c r="I10" t="s">
        <v>2</v>
      </c>
      <c r="K10" s="10" t="s">
        <v>7</v>
      </c>
      <c r="L10">
        <f t="shared" si="2"/>
        <v>37</v>
      </c>
      <c r="M10" s="53">
        <f t="shared" si="3"/>
        <v>0.22023809523809523</v>
      </c>
    </row>
    <row r="11" spans="1:14" x14ac:dyDescent="0.25">
      <c r="A11" s="4">
        <v>7</v>
      </c>
      <c r="D11" t="s">
        <v>2</v>
      </c>
      <c r="G11" t="s">
        <v>2</v>
      </c>
      <c r="H11" t="s">
        <v>7</v>
      </c>
      <c r="L11">
        <f>SUM(L5:L10)</f>
        <v>168</v>
      </c>
    </row>
    <row r="12" spans="1:14" x14ac:dyDescent="0.25">
      <c r="A12" s="4">
        <v>8</v>
      </c>
      <c r="B12" t="s">
        <v>2</v>
      </c>
      <c r="D12" t="s">
        <v>2</v>
      </c>
      <c r="G12" t="s">
        <v>2</v>
      </c>
      <c r="H12" t="s">
        <v>7</v>
      </c>
      <c r="I12" t="s">
        <v>2</v>
      </c>
    </row>
    <row r="13" spans="1:14" x14ac:dyDescent="0.25">
      <c r="A13" s="4">
        <v>9</v>
      </c>
      <c r="B13" t="s">
        <v>2</v>
      </c>
      <c r="C13" t="s">
        <v>2</v>
      </c>
      <c r="D13" t="s">
        <v>2</v>
      </c>
      <c r="E13" t="s">
        <v>2</v>
      </c>
      <c r="F13" t="s">
        <v>5</v>
      </c>
      <c r="G13" t="s">
        <v>5</v>
      </c>
      <c r="H13" t="s">
        <v>2</v>
      </c>
    </row>
    <row r="14" spans="1:14" x14ac:dyDescent="0.25">
      <c r="A14" s="4">
        <v>10</v>
      </c>
      <c r="D14" t="s">
        <v>7</v>
      </c>
      <c r="E14" t="s">
        <v>6</v>
      </c>
      <c r="F14" t="s">
        <v>2</v>
      </c>
      <c r="G14" t="s">
        <v>6</v>
      </c>
      <c r="H14" t="s">
        <v>2</v>
      </c>
      <c r="I14" t="s">
        <v>5</v>
      </c>
    </row>
    <row r="15" spans="1:14" x14ac:dyDescent="0.25">
      <c r="A15" s="4">
        <v>11</v>
      </c>
      <c r="D15" t="s">
        <v>7</v>
      </c>
      <c r="I15" t="s">
        <v>7</v>
      </c>
    </row>
    <row r="16" spans="1:14" x14ac:dyDescent="0.25">
      <c r="A16" s="4">
        <v>12</v>
      </c>
    </row>
    <row r="17" spans="1:9" x14ac:dyDescent="0.25">
      <c r="A17" s="4">
        <v>13</v>
      </c>
    </row>
    <row r="18" spans="1:9" x14ac:dyDescent="0.25">
      <c r="A18" s="4">
        <v>14</v>
      </c>
    </row>
    <row r="19" spans="1:9" x14ac:dyDescent="0.25">
      <c r="A19" s="4">
        <v>15</v>
      </c>
      <c r="C19" t="s">
        <v>2</v>
      </c>
      <c r="F19" t="s">
        <v>2</v>
      </c>
    </row>
    <row r="20" spans="1:9" x14ac:dyDescent="0.25">
      <c r="A20" s="4">
        <v>16</v>
      </c>
      <c r="B20" t="s">
        <v>2</v>
      </c>
      <c r="D20" t="s">
        <v>5</v>
      </c>
      <c r="E20" t="s">
        <v>2</v>
      </c>
      <c r="H20" t="s">
        <v>2</v>
      </c>
    </row>
    <row r="21" spans="1:9" x14ac:dyDescent="0.25">
      <c r="A21" s="4">
        <v>17</v>
      </c>
      <c r="C21" t="s">
        <v>2</v>
      </c>
      <c r="F21" t="s">
        <v>2</v>
      </c>
    </row>
    <row r="22" spans="1:9" x14ac:dyDescent="0.25">
      <c r="A22" s="4">
        <v>18</v>
      </c>
      <c r="D22" t="s">
        <v>5</v>
      </c>
      <c r="G22" t="s">
        <v>7</v>
      </c>
    </row>
    <row r="23" spans="1:9" x14ac:dyDescent="0.25">
      <c r="A23" s="4">
        <v>19</v>
      </c>
      <c r="C23" t="s">
        <v>2</v>
      </c>
      <c r="F23" t="s">
        <v>5</v>
      </c>
    </row>
    <row r="24" spans="1:9" x14ac:dyDescent="0.25">
      <c r="A24" s="4">
        <v>20</v>
      </c>
      <c r="B24" t="s">
        <v>2</v>
      </c>
      <c r="E24" t="s">
        <v>5</v>
      </c>
      <c r="H24" t="s">
        <v>2</v>
      </c>
    </row>
    <row r="25" spans="1:9" x14ac:dyDescent="0.25">
      <c r="A25" s="4">
        <v>21</v>
      </c>
      <c r="C25" t="s">
        <v>2</v>
      </c>
      <c r="F25" t="s">
        <v>7</v>
      </c>
    </row>
    <row r="26" spans="1:9" x14ac:dyDescent="0.25">
      <c r="A26" s="4">
        <v>22</v>
      </c>
      <c r="D26" t="s">
        <v>2</v>
      </c>
      <c r="H26" t="s">
        <v>2</v>
      </c>
    </row>
    <row r="27" spans="1:9" x14ac:dyDescent="0.25">
      <c r="A27" s="4">
        <v>23</v>
      </c>
      <c r="D27" t="s">
        <v>7</v>
      </c>
      <c r="H27" t="s">
        <v>2</v>
      </c>
    </row>
    <row r="28" spans="1:9" x14ac:dyDescent="0.25">
      <c r="A28" s="4">
        <v>24</v>
      </c>
      <c r="B28" t="s">
        <v>2</v>
      </c>
      <c r="C28" t="s">
        <v>7</v>
      </c>
      <c r="F28" t="s">
        <v>2</v>
      </c>
    </row>
    <row r="29" spans="1:9" x14ac:dyDescent="0.25">
      <c r="A29" s="4">
        <v>25</v>
      </c>
      <c r="B29" t="s">
        <v>2</v>
      </c>
      <c r="C29" t="s">
        <v>2</v>
      </c>
      <c r="D29" t="s">
        <v>7</v>
      </c>
      <c r="E29" t="s">
        <v>7</v>
      </c>
      <c r="F29" t="s">
        <v>7</v>
      </c>
      <c r="G29" t="s">
        <v>2</v>
      </c>
      <c r="H29" t="s">
        <v>2</v>
      </c>
      <c r="I29" t="s">
        <v>5</v>
      </c>
    </row>
    <row r="30" spans="1:9" x14ac:dyDescent="0.25">
      <c r="A30" s="4">
        <v>26</v>
      </c>
      <c r="D30" t="s">
        <v>2</v>
      </c>
      <c r="F30" t="s">
        <v>7</v>
      </c>
      <c r="G30" t="s">
        <v>7</v>
      </c>
      <c r="H30" t="s">
        <v>7</v>
      </c>
    </row>
    <row r="31" spans="1:9" x14ac:dyDescent="0.25">
      <c r="A31" s="4">
        <v>27</v>
      </c>
      <c r="B31" t="s">
        <v>2</v>
      </c>
      <c r="E31" t="s">
        <v>2</v>
      </c>
    </row>
    <row r="32" spans="1:9" x14ac:dyDescent="0.25">
      <c r="A32" s="4">
        <v>28</v>
      </c>
      <c r="B32" t="s">
        <v>5</v>
      </c>
      <c r="F32" t="s">
        <v>2</v>
      </c>
    </row>
    <row r="33" spans="1:9" x14ac:dyDescent="0.25">
      <c r="A33" s="4">
        <v>29</v>
      </c>
      <c r="B33" t="s">
        <v>2</v>
      </c>
      <c r="C33" t="s">
        <v>2</v>
      </c>
      <c r="E33" t="s">
        <v>7</v>
      </c>
      <c r="F33" t="s">
        <v>7</v>
      </c>
      <c r="G33" t="s">
        <v>7</v>
      </c>
      <c r="I33" t="s">
        <v>7</v>
      </c>
    </row>
    <row r="34" spans="1:9" x14ac:dyDescent="0.25">
      <c r="A34" s="4">
        <v>30</v>
      </c>
      <c r="E34" t="s">
        <v>5</v>
      </c>
      <c r="F34" t="s">
        <v>5</v>
      </c>
      <c r="G34" t="s">
        <v>5</v>
      </c>
      <c r="H34" t="s">
        <v>7</v>
      </c>
    </row>
    <row r="35" spans="1:9" x14ac:dyDescent="0.25">
      <c r="A35" s="4">
        <v>31</v>
      </c>
      <c r="D35" t="s">
        <v>2</v>
      </c>
      <c r="I35" t="s">
        <v>7</v>
      </c>
    </row>
    <row r="36" spans="1:9" x14ac:dyDescent="0.25">
      <c r="A36" s="4">
        <v>32</v>
      </c>
      <c r="B36" t="s">
        <v>5</v>
      </c>
      <c r="C36" t="s">
        <v>5</v>
      </c>
      <c r="D36" t="s">
        <v>5</v>
      </c>
      <c r="E36" t="s">
        <v>2</v>
      </c>
    </row>
    <row r="37" spans="1:9" x14ac:dyDescent="0.25">
      <c r="A37" s="4">
        <v>33</v>
      </c>
      <c r="D37" t="s">
        <v>2</v>
      </c>
      <c r="G37" t="s">
        <v>7</v>
      </c>
      <c r="I37" t="s">
        <v>7</v>
      </c>
    </row>
    <row r="38" spans="1:9" x14ac:dyDescent="0.25">
      <c r="A38" s="4">
        <v>34</v>
      </c>
    </row>
    <row r="39" spans="1:9" x14ac:dyDescent="0.25">
      <c r="A39" s="4">
        <v>35</v>
      </c>
      <c r="B39" t="s">
        <v>7</v>
      </c>
      <c r="D39" t="s">
        <v>7</v>
      </c>
      <c r="F39" t="s">
        <v>7</v>
      </c>
      <c r="H39" t="s">
        <v>2</v>
      </c>
    </row>
    <row r="40" spans="1:9" x14ac:dyDescent="0.25">
      <c r="A40" s="4">
        <v>36</v>
      </c>
      <c r="C40" t="s">
        <v>2</v>
      </c>
      <c r="E40" t="s">
        <v>7</v>
      </c>
      <c r="G40" t="s">
        <v>7</v>
      </c>
      <c r="I40" t="s">
        <v>2</v>
      </c>
    </row>
    <row r="41" spans="1:9" x14ac:dyDescent="0.25">
      <c r="A41" s="4">
        <v>37</v>
      </c>
      <c r="B41" t="s">
        <v>2</v>
      </c>
      <c r="D41" t="s">
        <v>2</v>
      </c>
      <c r="F41" t="s">
        <v>2</v>
      </c>
    </row>
    <row r="42" spans="1:9" x14ac:dyDescent="0.25">
      <c r="A42" s="4">
        <v>38</v>
      </c>
      <c r="D42" t="s">
        <v>2</v>
      </c>
      <c r="G42" t="s">
        <v>2</v>
      </c>
    </row>
    <row r="43" spans="1:9" x14ac:dyDescent="0.25">
      <c r="A43" s="4">
        <v>39</v>
      </c>
      <c r="B43" t="s">
        <v>7</v>
      </c>
      <c r="E43" t="s">
        <v>2</v>
      </c>
      <c r="H43" t="s">
        <v>2</v>
      </c>
    </row>
    <row r="44" spans="1:9" x14ac:dyDescent="0.25">
      <c r="A44" s="4">
        <v>40</v>
      </c>
      <c r="C44" t="s">
        <v>2</v>
      </c>
      <c r="F44" t="s">
        <v>2</v>
      </c>
    </row>
    <row r="45" spans="1:9" x14ac:dyDescent="0.25">
      <c r="A45" s="4">
        <v>41</v>
      </c>
      <c r="B45" t="s">
        <v>2</v>
      </c>
      <c r="F45" t="s">
        <v>2</v>
      </c>
    </row>
    <row r="46" spans="1:9" x14ac:dyDescent="0.25">
      <c r="A46" s="4">
        <v>42</v>
      </c>
      <c r="C46" t="s">
        <v>2</v>
      </c>
      <c r="E46" t="s">
        <v>2</v>
      </c>
      <c r="G46" t="s">
        <v>2</v>
      </c>
    </row>
    <row r="47" spans="1:9" x14ac:dyDescent="0.25">
      <c r="A47" s="4">
        <v>43</v>
      </c>
      <c r="B47" t="s">
        <v>2</v>
      </c>
      <c r="H47" t="s">
        <v>2</v>
      </c>
    </row>
    <row r="48" spans="1:9" x14ac:dyDescent="0.25">
      <c r="A48" s="4">
        <v>44</v>
      </c>
      <c r="C48" t="s">
        <v>2</v>
      </c>
    </row>
    <row r="49" spans="1:9" x14ac:dyDescent="0.25">
      <c r="A49" s="4">
        <v>45</v>
      </c>
      <c r="C49" t="s">
        <v>5</v>
      </c>
      <c r="D49" t="s">
        <v>7</v>
      </c>
      <c r="E49" t="s">
        <v>2</v>
      </c>
      <c r="F49" t="s">
        <v>2</v>
      </c>
      <c r="G49" t="s">
        <v>2</v>
      </c>
      <c r="H49" t="s">
        <v>2</v>
      </c>
      <c r="I49" t="s">
        <v>2</v>
      </c>
    </row>
    <row r="50" spans="1:9" x14ac:dyDescent="0.25">
      <c r="A50" s="4">
        <v>46</v>
      </c>
      <c r="B50" t="s">
        <v>7</v>
      </c>
      <c r="C50" t="s">
        <v>2</v>
      </c>
      <c r="D50" t="s">
        <v>2</v>
      </c>
      <c r="E50" t="s">
        <v>2</v>
      </c>
      <c r="F50" t="s">
        <v>2</v>
      </c>
      <c r="H50" t="s">
        <v>2</v>
      </c>
    </row>
    <row r="51" spans="1:9" x14ac:dyDescent="0.25">
      <c r="A51" s="4">
        <v>47</v>
      </c>
    </row>
    <row r="52" spans="1:9" x14ac:dyDescent="0.25">
      <c r="A52" s="4">
        <v>48</v>
      </c>
    </row>
    <row r="53" spans="1:9" x14ac:dyDescent="0.25">
      <c r="A53" s="4">
        <v>49</v>
      </c>
    </row>
    <row r="54" spans="1:9" x14ac:dyDescent="0.25">
      <c r="A54" s="4">
        <v>50</v>
      </c>
      <c r="C54" t="s">
        <v>2</v>
      </c>
      <c r="F54" t="s">
        <v>2</v>
      </c>
      <c r="G54" t="s">
        <v>5</v>
      </c>
      <c r="I54" t="s">
        <v>2</v>
      </c>
    </row>
    <row r="55" spans="1:9" x14ac:dyDescent="0.25">
      <c r="A55" s="4">
        <v>51</v>
      </c>
      <c r="D55" t="s">
        <v>2</v>
      </c>
      <c r="E55" t="s">
        <v>7</v>
      </c>
      <c r="H55" t="s">
        <v>2</v>
      </c>
      <c r="I55" t="s">
        <v>6</v>
      </c>
    </row>
    <row r="56" spans="1:9" x14ac:dyDescent="0.25">
      <c r="A56" s="4">
        <v>52</v>
      </c>
      <c r="B56" t="s">
        <v>7</v>
      </c>
      <c r="C56" t="s">
        <v>2</v>
      </c>
      <c r="D56" t="s">
        <v>2</v>
      </c>
      <c r="E56" t="s">
        <v>2</v>
      </c>
      <c r="F56" t="s">
        <v>2</v>
      </c>
      <c r="I56" t="s">
        <v>2</v>
      </c>
    </row>
    <row r="57" spans="1:9" x14ac:dyDescent="0.25">
      <c r="A57" s="4">
        <v>53</v>
      </c>
      <c r="D57" t="s">
        <v>2</v>
      </c>
      <c r="H57" t="s">
        <v>2</v>
      </c>
    </row>
    <row r="58" spans="1:9" x14ac:dyDescent="0.25">
      <c r="A58" s="4">
        <v>54</v>
      </c>
      <c r="E58" t="s">
        <v>7</v>
      </c>
      <c r="I58" t="s">
        <v>2</v>
      </c>
    </row>
    <row r="59" spans="1:9" x14ac:dyDescent="0.25">
      <c r="A59" s="4">
        <v>55</v>
      </c>
      <c r="D59" t="s">
        <v>2</v>
      </c>
      <c r="G59" t="s">
        <v>2</v>
      </c>
    </row>
    <row r="60" spans="1:9" x14ac:dyDescent="0.25">
      <c r="A60" s="4">
        <v>56</v>
      </c>
      <c r="B60" t="s">
        <v>2</v>
      </c>
      <c r="F60" t="s">
        <v>2</v>
      </c>
    </row>
  </sheetData>
  <conditionalFormatting sqref="B5:D11 G5:G11">
    <cfRule type="cellIs" dxfId="1903" priority="17" operator="equal">
      <formula>"Energia"</formula>
    </cfRule>
  </conditionalFormatting>
  <conditionalFormatting sqref="B5:D60 G5:I60">
    <cfRule type="cellIs" dxfId="1902" priority="10" operator="equal">
      <formula>"Energia"</formula>
    </cfRule>
    <cfRule type="cellIs" dxfId="1901" priority="12" operator="equal">
      <formula>"Operação"</formula>
    </cfRule>
    <cfRule type="cellIs" dxfId="1900" priority="13" operator="equal">
      <formula>"Chuva"</formula>
    </cfRule>
    <cfRule type="cellIs" dxfId="1899" priority="14" operator="equal">
      <formula>"Elétrico"</formula>
    </cfRule>
    <cfRule type="cellIs" dxfId="1898" priority="15" operator="equal">
      <formula>"Mecânico"</formula>
    </cfRule>
    <cfRule type="cellIs" dxfId="1897" priority="16" operator="equal">
      <formula>"Ok"</formula>
    </cfRule>
  </conditionalFormatting>
  <conditionalFormatting sqref="B5:D60 G5:I60">
    <cfRule type="cellIs" dxfId="1896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895" priority="8" operator="equal">
      <formula>"Energia"</formula>
    </cfRule>
  </conditionalFormatting>
  <conditionalFormatting sqref="E5:F60">
    <cfRule type="cellIs" dxfId="1894" priority="1" operator="equal">
      <formula>"Energia"</formula>
    </cfRule>
    <cfRule type="cellIs" dxfId="1893" priority="3" operator="equal">
      <formula>"Operação"</formula>
    </cfRule>
    <cfRule type="cellIs" dxfId="1892" priority="4" operator="equal">
      <formula>"Chuva"</formula>
    </cfRule>
    <cfRule type="cellIs" dxfId="1891" priority="5" operator="equal">
      <formula>"Elétrico"</formula>
    </cfRule>
    <cfRule type="cellIs" dxfId="1890" priority="6" operator="equal">
      <formula>"Mecânico"</formula>
    </cfRule>
    <cfRule type="cellIs" dxfId="1889" priority="7" operator="equal">
      <formula>"Ok"</formula>
    </cfRule>
  </conditionalFormatting>
  <conditionalFormatting sqref="E5:F60">
    <cfRule type="cellIs" dxfId="1888" priority="2" operator="equal">
      <formula>"Feito"</formula>
    </cfRule>
  </conditionalFormatting>
  <dataValidations count="1">
    <dataValidation type="list" allowBlank="1" showInputMessage="1" showErrorMessage="1" sqref="B5:J60" xr:uid="{4A22E46D-9520-49C5-9118-CA27E7563FC4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FE8B-BC7C-4CE7-AE33-10A18EBF2289}">
  <sheetPr codeName="Planilha18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4" max="14" width="10.7109375" bestFit="1" customWidth="1"/>
  </cols>
  <sheetData>
    <row r="3" spans="1:14" x14ac:dyDescent="0.25">
      <c r="B3" s="3">
        <v>44332</v>
      </c>
      <c r="C3" s="3">
        <f>B3+1</f>
        <v>44333</v>
      </c>
      <c r="D3" s="3">
        <f t="shared" ref="D3:I3" si="0">C3+1</f>
        <v>44334</v>
      </c>
      <c r="E3" s="3">
        <f t="shared" si="0"/>
        <v>44335</v>
      </c>
      <c r="F3" s="3">
        <f t="shared" si="0"/>
        <v>44336</v>
      </c>
      <c r="G3" s="3">
        <f t="shared" si="0"/>
        <v>44337</v>
      </c>
      <c r="H3" s="3">
        <f t="shared" si="0"/>
        <v>44338</v>
      </c>
      <c r="I3" s="3">
        <f t="shared" si="0"/>
        <v>44339</v>
      </c>
    </row>
    <row r="4" spans="1:14" x14ac:dyDescent="0.25">
      <c r="A4" s="2" t="s">
        <v>0</v>
      </c>
      <c r="B4" s="1" t="str">
        <f>TEXT(B3,"ddd")</f>
        <v>dom</v>
      </c>
      <c r="C4" s="1" t="str">
        <f t="shared" ref="C4:I4" si="1">TEXT(C3,"ddd")</f>
        <v>seg</v>
      </c>
      <c r="D4" s="1" t="str">
        <f t="shared" si="1"/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B5" t="s">
        <v>2</v>
      </c>
      <c r="C5" t="s">
        <v>2</v>
      </c>
      <c r="I5" t="s">
        <v>2</v>
      </c>
      <c r="K5" s="5" t="s">
        <v>2</v>
      </c>
      <c r="L5">
        <f>COUNTIF($B$5:$I$60,K5)</f>
        <v>113</v>
      </c>
      <c r="M5" s="53">
        <f>L5/$L$11</f>
        <v>0.68484848484848482</v>
      </c>
      <c r="N5" s="52">
        <v>44332</v>
      </c>
    </row>
    <row r="6" spans="1:14" x14ac:dyDescent="0.25">
      <c r="A6" s="4">
        <v>2</v>
      </c>
      <c r="G6" t="s">
        <v>2</v>
      </c>
      <c r="K6" s="6" t="s">
        <v>5</v>
      </c>
      <c r="L6">
        <f t="shared" ref="L6:L10" si="2">COUNTIF($B$5:$I$60,K6)</f>
        <v>6</v>
      </c>
      <c r="M6" s="53">
        <f t="shared" ref="M6:M10" si="3">L6/$L$11</f>
        <v>3.6363636363636362E-2</v>
      </c>
    </row>
    <row r="7" spans="1:14" x14ac:dyDescent="0.25">
      <c r="A7" s="4">
        <v>3</v>
      </c>
      <c r="B7" t="s">
        <v>2</v>
      </c>
      <c r="C7" t="s">
        <v>2</v>
      </c>
      <c r="H7" t="s">
        <v>2</v>
      </c>
      <c r="I7" t="s">
        <v>2</v>
      </c>
      <c r="K7" s="7" t="s">
        <v>6</v>
      </c>
      <c r="L7">
        <f t="shared" si="2"/>
        <v>5</v>
      </c>
      <c r="M7" s="53">
        <f t="shared" si="3"/>
        <v>3.0303030303030304E-2</v>
      </c>
    </row>
    <row r="8" spans="1:14" x14ac:dyDescent="0.25">
      <c r="A8" s="4">
        <v>4</v>
      </c>
      <c r="B8" t="s">
        <v>2</v>
      </c>
      <c r="C8" t="s">
        <v>2</v>
      </c>
      <c r="F8" t="s">
        <v>2</v>
      </c>
      <c r="G8" t="s">
        <v>2</v>
      </c>
      <c r="K8" s="8" t="s">
        <v>4</v>
      </c>
      <c r="L8">
        <f t="shared" si="2"/>
        <v>0</v>
      </c>
      <c r="M8" s="53">
        <f t="shared" si="3"/>
        <v>0</v>
      </c>
    </row>
    <row r="9" spans="1:14" x14ac:dyDescent="0.25">
      <c r="A9" s="4">
        <v>5</v>
      </c>
      <c r="C9" t="s">
        <v>2</v>
      </c>
      <c r="D9" t="s">
        <v>2</v>
      </c>
      <c r="F9" t="s">
        <v>2</v>
      </c>
      <c r="G9" t="s">
        <v>2</v>
      </c>
      <c r="I9" t="s">
        <v>2</v>
      </c>
      <c r="K9" s="9" t="s">
        <v>3</v>
      </c>
      <c r="L9">
        <f t="shared" si="2"/>
        <v>0</v>
      </c>
      <c r="M9" s="53">
        <f t="shared" si="3"/>
        <v>0</v>
      </c>
    </row>
    <row r="10" spans="1:14" x14ac:dyDescent="0.25">
      <c r="A10" s="4">
        <v>6</v>
      </c>
      <c r="C10" t="s">
        <v>2</v>
      </c>
      <c r="D10" t="s">
        <v>2</v>
      </c>
      <c r="E10" t="s">
        <v>2</v>
      </c>
      <c r="I10" t="s">
        <v>2</v>
      </c>
      <c r="K10" s="10" t="s">
        <v>7</v>
      </c>
      <c r="L10">
        <f t="shared" si="2"/>
        <v>41</v>
      </c>
      <c r="M10" s="53">
        <f t="shared" si="3"/>
        <v>0.24848484848484848</v>
      </c>
    </row>
    <row r="11" spans="1:14" x14ac:dyDescent="0.25">
      <c r="A11" s="4">
        <v>7</v>
      </c>
      <c r="B11" t="s">
        <v>2</v>
      </c>
      <c r="D11" t="s">
        <v>2</v>
      </c>
      <c r="E11" t="s">
        <v>2</v>
      </c>
      <c r="L11">
        <f>SUM(L5:L10)</f>
        <v>165</v>
      </c>
    </row>
    <row r="12" spans="1:14" x14ac:dyDescent="0.25">
      <c r="A12" s="4">
        <v>8</v>
      </c>
      <c r="D12" t="s">
        <v>7</v>
      </c>
      <c r="E12" t="s">
        <v>2</v>
      </c>
      <c r="F12" t="s">
        <v>2</v>
      </c>
    </row>
    <row r="13" spans="1:14" x14ac:dyDescent="0.25">
      <c r="A13" s="4">
        <v>9</v>
      </c>
      <c r="B13" t="s">
        <v>2</v>
      </c>
      <c r="D13" t="s">
        <v>7</v>
      </c>
      <c r="E13" t="s">
        <v>7</v>
      </c>
      <c r="G13" t="s">
        <v>2</v>
      </c>
    </row>
    <row r="14" spans="1:14" x14ac:dyDescent="0.25">
      <c r="A14" s="4">
        <v>10</v>
      </c>
      <c r="B14" t="s">
        <v>2</v>
      </c>
      <c r="C14" t="s">
        <v>6</v>
      </c>
      <c r="D14" t="s">
        <v>2</v>
      </c>
      <c r="E14" t="s">
        <v>2</v>
      </c>
      <c r="H14" t="s">
        <v>2</v>
      </c>
      <c r="I14" t="s">
        <v>2</v>
      </c>
    </row>
    <row r="15" spans="1:14" x14ac:dyDescent="0.25">
      <c r="A15" s="4">
        <v>11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</row>
    <row r="16" spans="1:14" x14ac:dyDescent="0.25">
      <c r="A16" s="4">
        <v>12</v>
      </c>
      <c r="B16" t="s">
        <v>2</v>
      </c>
      <c r="D16" t="s">
        <v>2</v>
      </c>
      <c r="H16" t="s">
        <v>5</v>
      </c>
    </row>
    <row r="17" spans="1:9" x14ac:dyDescent="0.25">
      <c r="A17" s="4">
        <v>13</v>
      </c>
      <c r="G17" t="s">
        <v>7</v>
      </c>
    </row>
    <row r="18" spans="1:9" x14ac:dyDescent="0.25">
      <c r="A18" s="4">
        <v>14</v>
      </c>
      <c r="E18" t="s">
        <v>7</v>
      </c>
      <c r="F18" t="s">
        <v>2</v>
      </c>
      <c r="I18" t="s">
        <v>2</v>
      </c>
    </row>
    <row r="19" spans="1:9" x14ac:dyDescent="0.25">
      <c r="A19" s="4">
        <v>15</v>
      </c>
      <c r="C19" t="s">
        <v>2</v>
      </c>
      <c r="G19" t="s">
        <v>6</v>
      </c>
      <c r="H19" t="s">
        <v>6</v>
      </c>
    </row>
    <row r="20" spans="1:9" x14ac:dyDescent="0.25">
      <c r="A20" s="4">
        <v>16</v>
      </c>
      <c r="D20" t="s">
        <v>7</v>
      </c>
      <c r="H20" t="s">
        <v>5</v>
      </c>
    </row>
    <row r="21" spans="1:9" x14ac:dyDescent="0.25">
      <c r="A21" s="4">
        <v>17</v>
      </c>
      <c r="B21" t="s">
        <v>2</v>
      </c>
      <c r="F21" t="s">
        <v>7</v>
      </c>
    </row>
    <row r="22" spans="1:9" x14ac:dyDescent="0.25">
      <c r="A22" s="4">
        <v>18</v>
      </c>
      <c r="C22" t="s">
        <v>2</v>
      </c>
      <c r="G22" t="s">
        <v>2</v>
      </c>
    </row>
    <row r="23" spans="1:9" x14ac:dyDescent="0.25">
      <c r="A23" s="4">
        <v>19</v>
      </c>
      <c r="B23" t="s">
        <v>2</v>
      </c>
      <c r="F23" t="s">
        <v>2</v>
      </c>
    </row>
    <row r="24" spans="1:9" x14ac:dyDescent="0.25">
      <c r="A24" s="4">
        <v>20</v>
      </c>
      <c r="D24" t="s">
        <v>7</v>
      </c>
      <c r="E24" t="s">
        <v>2</v>
      </c>
      <c r="H24" t="s">
        <v>7</v>
      </c>
    </row>
    <row r="25" spans="1:9" x14ac:dyDescent="0.25">
      <c r="A25" s="4">
        <v>21</v>
      </c>
      <c r="B25" t="s">
        <v>7</v>
      </c>
      <c r="F25" t="s">
        <v>5</v>
      </c>
    </row>
    <row r="26" spans="1:9" x14ac:dyDescent="0.25">
      <c r="A26" s="4">
        <v>22</v>
      </c>
      <c r="D26" t="s">
        <v>5</v>
      </c>
      <c r="E26" t="s">
        <v>2</v>
      </c>
      <c r="H26" t="s">
        <v>2</v>
      </c>
    </row>
    <row r="27" spans="1:9" x14ac:dyDescent="0.25">
      <c r="A27" s="4">
        <v>23</v>
      </c>
      <c r="D27" t="s">
        <v>2</v>
      </c>
      <c r="H27" t="s">
        <v>6</v>
      </c>
    </row>
    <row r="28" spans="1:9" x14ac:dyDescent="0.25">
      <c r="A28" s="4">
        <v>24</v>
      </c>
      <c r="C28" t="s">
        <v>7</v>
      </c>
      <c r="H28" t="s">
        <v>2</v>
      </c>
    </row>
    <row r="29" spans="1:9" x14ac:dyDescent="0.25">
      <c r="A29" s="4">
        <v>25</v>
      </c>
      <c r="B29" t="s">
        <v>2</v>
      </c>
      <c r="C29" t="s">
        <v>2</v>
      </c>
      <c r="D29" t="s">
        <v>7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  <c r="B30" t="s">
        <v>7</v>
      </c>
      <c r="C30" t="s">
        <v>7</v>
      </c>
      <c r="D30" t="s">
        <v>7</v>
      </c>
      <c r="E30" t="s">
        <v>7</v>
      </c>
      <c r="F30" t="s">
        <v>2</v>
      </c>
    </row>
    <row r="31" spans="1:9" x14ac:dyDescent="0.25">
      <c r="A31" s="4">
        <v>27</v>
      </c>
      <c r="C31" t="s">
        <v>7</v>
      </c>
      <c r="D31" t="s">
        <v>7</v>
      </c>
      <c r="E31" t="s">
        <v>7</v>
      </c>
      <c r="F31" t="s">
        <v>2</v>
      </c>
      <c r="G31" t="s">
        <v>2</v>
      </c>
    </row>
    <row r="32" spans="1:9" x14ac:dyDescent="0.25">
      <c r="A32" s="4">
        <v>28</v>
      </c>
      <c r="H32" t="s">
        <v>5</v>
      </c>
    </row>
    <row r="33" spans="1:9" x14ac:dyDescent="0.25">
      <c r="A33" s="4">
        <v>29</v>
      </c>
      <c r="C33" t="s">
        <v>2</v>
      </c>
      <c r="E33" t="s">
        <v>2</v>
      </c>
      <c r="F33" t="s">
        <v>2</v>
      </c>
      <c r="G33" t="s">
        <v>2</v>
      </c>
      <c r="I33" t="s">
        <v>7</v>
      </c>
    </row>
    <row r="34" spans="1:9" x14ac:dyDescent="0.25">
      <c r="A34" s="4">
        <v>30</v>
      </c>
      <c r="B34" t="s">
        <v>7</v>
      </c>
      <c r="C34" t="s">
        <v>2</v>
      </c>
      <c r="D34" t="s">
        <v>7</v>
      </c>
      <c r="E34" t="s">
        <v>7</v>
      </c>
      <c r="F34" t="s">
        <v>7</v>
      </c>
      <c r="G34" t="s">
        <v>7</v>
      </c>
      <c r="H34" t="s">
        <v>2</v>
      </c>
      <c r="I34" t="s">
        <v>7</v>
      </c>
    </row>
    <row r="35" spans="1:9" x14ac:dyDescent="0.25">
      <c r="A35" s="4">
        <v>31</v>
      </c>
      <c r="D35" t="s">
        <v>7</v>
      </c>
      <c r="G35" t="s">
        <v>2</v>
      </c>
    </row>
    <row r="36" spans="1:9" x14ac:dyDescent="0.25">
      <c r="A36" s="4">
        <v>32</v>
      </c>
      <c r="D36" t="s">
        <v>7</v>
      </c>
      <c r="E36" t="s">
        <v>7</v>
      </c>
    </row>
    <row r="37" spans="1:9" x14ac:dyDescent="0.25">
      <c r="A37" s="4">
        <v>33</v>
      </c>
      <c r="C37" t="s">
        <v>2</v>
      </c>
      <c r="F37" t="s">
        <v>2</v>
      </c>
      <c r="I37" t="s">
        <v>2</v>
      </c>
    </row>
    <row r="38" spans="1:9" x14ac:dyDescent="0.25">
      <c r="A38" s="4">
        <v>34</v>
      </c>
      <c r="F38" t="s">
        <v>7</v>
      </c>
      <c r="H38" t="s">
        <v>2</v>
      </c>
    </row>
    <row r="39" spans="1:9" x14ac:dyDescent="0.25">
      <c r="A39" s="4">
        <v>35</v>
      </c>
      <c r="B39" t="s">
        <v>2</v>
      </c>
      <c r="C39" t="s">
        <v>2</v>
      </c>
      <c r="D39" t="s">
        <v>2</v>
      </c>
      <c r="E39" t="s">
        <v>7</v>
      </c>
      <c r="I39" t="s">
        <v>2</v>
      </c>
    </row>
    <row r="40" spans="1:9" x14ac:dyDescent="0.25">
      <c r="A40" s="4">
        <v>36</v>
      </c>
      <c r="C40" t="s">
        <v>7</v>
      </c>
      <c r="D40" t="s">
        <v>2</v>
      </c>
      <c r="H40" t="s">
        <v>5</v>
      </c>
    </row>
    <row r="41" spans="1:9" x14ac:dyDescent="0.25">
      <c r="A41" s="4">
        <v>37</v>
      </c>
      <c r="B41" t="s">
        <v>2</v>
      </c>
      <c r="F41" t="s">
        <v>2</v>
      </c>
    </row>
    <row r="42" spans="1:9" x14ac:dyDescent="0.25">
      <c r="A42" s="4">
        <v>38</v>
      </c>
      <c r="B42" t="s">
        <v>2</v>
      </c>
      <c r="D42" t="s">
        <v>2</v>
      </c>
      <c r="E42" t="s">
        <v>7</v>
      </c>
      <c r="F42" t="s">
        <v>7</v>
      </c>
    </row>
    <row r="43" spans="1:9" x14ac:dyDescent="0.25">
      <c r="A43" s="4">
        <v>39</v>
      </c>
      <c r="D43" t="s">
        <v>2</v>
      </c>
      <c r="H43" t="s">
        <v>2</v>
      </c>
    </row>
    <row r="44" spans="1:9" x14ac:dyDescent="0.25">
      <c r="A44" s="4">
        <v>40</v>
      </c>
      <c r="B44" t="s">
        <v>2</v>
      </c>
      <c r="F44" t="s">
        <v>7</v>
      </c>
    </row>
    <row r="45" spans="1:9" x14ac:dyDescent="0.25">
      <c r="A45" s="4">
        <v>41</v>
      </c>
      <c r="C45" t="s">
        <v>7</v>
      </c>
      <c r="H45" t="s">
        <v>2</v>
      </c>
    </row>
    <row r="46" spans="1:9" x14ac:dyDescent="0.25">
      <c r="A46" s="4">
        <v>42</v>
      </c>
      <c r="B46" t="s">
        <v>2</v>
      </c>
      <c r="G46" t="s">
        <v>2</v>
      </c>
    </row>
    <row r="47" spans="1:9" x14ac:dyDescent="0.25">
      <c r="A47" s="4">
        <v>43</v>
      </c>
      <c r="D47" t="s">
        <v>2</v>
      </c>
      <c r="H47" t="s">
        <v>2</v>
      </c>
    </row>
    <row r="48" spans="1:9" x14ac:dyDescent="0.25">
      <c r="A48" s="4">
        <v>44</v>
      </c>
      <c r="B48" t="s">
        <v>7</v>
      </c>
      <c r="F48" t="s">
        <v>2</v>
      </c>
    </row>
    <row r="49" spans="1:9" x14ac:dyDescent="0.25">
      <c r="A49" s="4">
        <v>45</v>
      </c>
      <c r="B49" t="s">
        <v>2</v>
      </c>
      <c r="C49" t="s">
        <v>2</v>
      </c>
      <c r="H49" t="s">
        <v>2</v>
      </c>
    </row>
    <row r="50" spans="1:9" x14ac:dyDescent="0.25">
      <c r="A50" s="4">
        <v>46</v>
      </c>
      <c r="C50" t="s">
        <v>6</v>
      </c>
      <c r="F50" t="s">
        <v>2</v>
      </c>
      <c r="I50" t="s">
        <v>2</v>
      </c>
    </row>
    <row r="51" spans="1:9" x14ac:dyDescent="0.25">
      <c r="A51" s="4">
        <v>47</v>
      </c>
    </row>
    <row r="52" spans="1:9" x14ac:dyDescent="0.25">
      <c r="A52" s="4">
        <v>48</v>
      </c>
      <c r="C52" t="s">
        <v>2</v>
      </c>
    </row>
    <row r="53" spans="1:9" x14ac:dyDescent="0.25">
      <c r="A53" s="4">
        <v>49</v>
      </c>
      <c r="C53" t="s">
        <v>7</v>
      </c>
    </row>
    <row r="54" spans="1:9" x14ac:dyDescent="0.25">
      <c r="A54" s="4">
        <v>50</v>
      </c>
      <c r="C54" t="s">
        <v>7</v>
      </c>
      <c r="E54" t="s">
        <v>2</v>
      </c>
      <c r="I54" t="s">
        <v>2</v>
      </c>
    </row>
    <row r="55" spans="1:9" x14ac:dyDescent="0.25">
      <c r="A55" s="4">
        <v>51</v>
      </c>
      <c r="D55" t="s">
        <v>2</v>
      </c>
      <c r="E55" t="s">
        <v>2</v>
      </c>
      <c r="H55" t="s">
        <v>2</v>
      </c>
    </row>
    <row r="56" spans="1:9" x14ac:dyDescent="0.25">
      <c r="A56" s="4">
        <v>52</v>
      </c>
      <c r="D56" t="s">
        <v>7</v>
      </c>
      <c r="G56" t="s">
        <v>7</v>
      </c>
    </row>
    <row r="57" spans="1:9" x14ac:dyDescent="0.25">
      <c r="A57" s="4">
        <v>53</v>
      </c>
      <c r="D57" t="s">
        <v>2</v>
      </c>
      <c r="H57" t="s">
        <v>2</v>
      </c>
    </row>
    <row r="58" spans="1:9" x14ac:dyDescent="0.25">
      <c r="A58" s="4">
        <v>54</v>
      </c>
      <c r="D58" t="s">
        <v>2</v>
      </c>
      <c r="I58" t="s">
        <v>2</v>
      </c>
    </row>
    <row r="59" spans="1:9" x14ac:dyDescent="0.25">
      <c r="A59" s="4">
        <v>55</v>
      </c>
      <c r="C59" t="s">
        <v>2</v>
      </c>
      <c r="G59" t="s">
        <v>2</v>
      </c>
    </row>
    <row r="60" spans="1:9" x14ac:dyDescent="0.25">
      <c r="A60" s="4">
        <v>56</v>
      </c>
      <c r="B60" t="s">
        <v>2</v>
      </c>
      <c r="I60" t="s">
        <v>2</v>
      </c>
    </row>
  </sheetData>
  <conditionalFormatting sqref="B5:D11 G5:G11">
    <cfRule type="cellIs" dxfId="1887" priority="17" operator="equal">
      <formula>"Energia"</formula>
    </cfRule>
  </conditionalFormatting>
  <conditionalFormatting sqref="B5:D60 G5:I60">
    <cfRule type="cellIs" dxfId="1886" priority="10" operator="equal">
      <formula>"Energia"</formula>
    </cfRule>
    <cfRule type="cellIs" dxfId="1885" priority="12" operator="equal">
      <formula>"Operação"</formula>
    </cfRule>
    <cfRule type="cellIs" dxfId="1884" priority="13" operator="equal">
      <formula>"Chuva"</formula>
    </cfRule>
    <cfRule type="cellIs" dxfId="1883" priority="14" operator="equal">
      <formula>"Elétrico"</formula>
    </cfRule>
    <cfRule type="cellIs" dxfId="1882" priority="15" operator="equal">
      <formula>"Mecânico"</formula>
    </cfRule>
    <cfRule type="cellIs" dxfId="1881" priority="16" operator="equal">
      <formula>"Ok"</formula>
    </cfRule>
  </conditionalFormatting>
  <conditionalFormatting sqref="B5:D60 G5:I60">
    <cfRule type="cellIs" dxfId="1880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879" priority="8" operator="equal">
      <formula>"Energia"</formula>
    </cfRule>
  </conditionalFormatting>
  <conditionalFormatting sqref="E5:F60">
    <cfRule type="cellIs" dxfId="1878" priority="1" operator="equal">
      <formula>"Energia"</formula>
    </cfRule>
    <cfRule type="cellIs" dxfId="1877" priority="3" operator="equal">
      <formula>"Operação"</formula>
    </cfRule>
    <cfRule type="cellIs" dxfId="1876" priority="4" operator="equal">
      <formula>"Chuva"</formula>
    </cfRule>
    <cfRule type="cellIs" dxfId="1875" priority="5" operator="equal">
      <formula>"Elétrico"</formula>
    </cfRule>
    <cfRule type="cellIs" dxfId="1874" priority="6" operator="equal">
      <formula>"Mecânico"</formula>
    </cfRule>
    <cfRule type="cellIs" dxfId="1873" priority="7" operator="equal">
      <formula>"Ok"</formula>
    </cfRule>
  </conditionalFormatting>
  <conditionalFormatting sqref="E5:F60">
    <cfRule type="cellIs" dxfId="1872" priority="2" operator="equal">
      <formula>"Feito"</formula>
    </cfRule>
  </conditionalFormatting>
  <dataValidations count="1">
    <dataValidation type="list" allowBlank="1" showInputMessage="1" showErrorMessage="1" sqref="B5:J60" xr:uid="{528A28F8-4EBD-4594-B8AA-CBAAE8DE9007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30EE-908C-4DDA-99BA-2C45094A3BC8}">
  <sheetPr codeName="Planilha19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4" max="14" width="10.7109375" bestFit="1" customWidth="1"/>
  </cols>
  <sheetData>
    <row r="3" spans="1:14" x14ac:dyDescent="0.25">
      <c r="B3" s="3">
        <v>44340</v>
      </c>
      <c r="C3" s="3">
        <f>B3+1</f>
        <v>44341</v>
      </c>
      <c r="D3" s="3">
        <f t="shared" ref="D3:I3" si="0">C3+1</f>
        <v>44342</v>
      </c>
      <c r="E3" s="3">
        <f t="shared" si="0"/>
        <v>44343</v>
      </c>
      <c r="F3" s="3">
        <f t="shared" si="0"/>
        <v>44344</v>
      </c>
      <c r="G3" s="3">
        <f t="shared" si="0"/>
        <v>44345</v>
      </c>
      <c r="H3" s="3">
        <f t="shared" si="0"/>
        <v>44346</v>
      </c>
      <c r="I3" s="3">
        <f t="shared" si="0"/>
        <v>44347</v>
      </c>
    </row>
    <row r="4" spans="1:14" x14ac:dyDescent="0.25">
      <c r="A4" s="2" t="s">
        <v>0</v>
      </c>
      <c r="B4" s="1" t="str">
        <f>TEXT(B3,"ddd")</f>
        <v>seg</v>
      </c>
      <c r="C4" s="1" t="str">
        <f t="shared" ref="C4:I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 t="str">
        <f t="shared" si="1"/>
        <v>seg</v>
      </c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D5" t="s">
        <v>2</v>
      </c>
      <c r="F5" t="s">
        <v>7</v>
      </c>
      <c r="G5" t="s">
        <v>2</v>
      </c>
      <c r="K5" s="5" t="s">
        <v>2</v>
      </c>
      <c r="L5">
        <f>COUNTIF($B$5:$I$60,K5)</f>
        <v>119</v>
      </c>
      <c r="M5" s="53">
        <f>L5/$L$11</f>
        <v>0.79865771812080533</v>
      </c>
      <c r="N5" s="52">
        <v>44340</v>
      </c>
    </row>
    <row r="6" spans="1:14" x14ac:dyDescent="0.25">
      <c r="A6" s="4">
        <v>2</v>
      </c>
      <c r="E6" t="s">
        <v>2</v>
      </c>
      <c r="K6" s="6" t="s">
        <v>5</v>
      </c>
      <c r="L6">
        <f t="shared" ref="L6:L10" si="2">COUNTIF($B$5:$I$60,K6)</f>
        <v>9</v>
      </c>
      <c r="M6" s="53">
        <f t="shared" ref="M6:M10" si="3">L6/$L$11</f>
        <v>6.0402684563758392E-2</v>
      </c>
    </row>
    <row r="7" spans="1:14" x14ac:dyDescent="0.25">
      <c r="A7" s="4">
        <v>3</v>
      </c>
      <c r="F7" t="s">
        <v>2</v>
      </c>
      <c r="G7" t="s">
        <v>7</v>
      </c>
      <c r="K7" s="7" t="s">
        <v>6</v>
      </c>
      <c r="L7">
        <f t="shared" si="2"/>
        <v>1</v>
      </c>
      <c r="M7" s="53">
        <f t="shared" si="3"/>
        <v>6.7114093959731542E-3</v>
      </c>
    </row>
    <row r="8" spans="1:14" x14ac:dyDescent="0.25">
      <c r="A8" s="4">
        <v>4</v>
      </c>
      <c r="C8" t="s">
        <v>2</v>
      </c>
      <c r="D8" t="s">
        <v>2</v>
      </c>
      <c r="I8" t="s">
        <v>2</v>
      </c>
      <c r="K8" s="8" t="s">
        <v>4</v>
      </c>
      <c r="L8">
        <f t="shared" si="2"/>
        <v>0</v>
      </c>
      <c r="M8" s="53">
        <f t="shared" si="3"/>
        <v>0</v>
      </c>
    </row>
    <row r="9" spans="1:14" x14ac:dyDescent="0.25">
      <c r="A9" s="4">
        <v>5</v>
      </c>
      <c r="C9" t="s">
        <v>7</v>
      </c>
      <c r="E9" t="s">
        <v>2</v>
      </c>
      <c r="F9" t="s">
        <v>2</v>
      </c>
      <c r="H9" t="s">
        <v>2</v>
      </c>
      <c r="K9" s="9" t="s">
        <v>3</v>
      </c>
      <c r="L9">
        <f t="shared" si="2"/>
        <v>0</v>
      </c>
      <c r="M9" s="53">
        <f t="shared" si="3"/>
        <v>0</v>
      </c>
    </row>
    <row r="10" spans="1:14" x14ac:dyDescent="0.25">
      <c r="A10" s="4">
        <v>6</v>
      </c>
      <c r="B10" t="s">
        <v>5</v>
      </c>
      <c r="C10" t="s">
        <v>2</v>
      </c>
      <c r="E10" t="s">
        <v>2</v>
      </c>
      <c r="G10" t="s">
        <v>2</v>
      </c>
      <c r="I10" t="s">
        <v>2</v>
      </c>
      <c r="K10" s="10" t="s">
        <v>7</v>
      </c>
      <c r="L10">
        <f t="shared" si="2"/>
        <v>20</v>
      </c>
      <c r="M10" s="53">
        <f t="shared" si="3"/>
        <v>0.13422818791946309</v>
      </c>
    </row>
    <row r="11" spans="1:14" x14ac:dyDescent="0.25">
      <c r="A11" s="4">
        <v>7</v>
      </c>
      <c r="B11" t="s">
        <v>2</v>
      </c>
      <c r="F11" t="s">
        <v>2</v>
      </c>
      <c r="H11" t="s">
        <v>2</v>
      </c>
      <c r="L11">
        <f>SUM(L5:L10)</f>
        <v>149</v>
      </c>
    </row>
    <row r="12" spans="1:14" x14ac:dyDescent="0.25">
      <c r="A12" s="4">
        <v>8</v>
      </c>
      <c r="C12" t="s">
        <v>2</v>
      </c>
      <c r="E12" t="s">
        <v>2</v>
      </c>
      <c r="G12" t="s">
        <v>2</v>
      </c>
      <c r="I12" t="s">
        <v>2</v>
      </c>
    </row>
    <row r="13" spans="1:14" x14ac:dyDescent="0.25">
      <c r="A13" s="4">
        <v>9</v>
      </c>
      <c r="B13" t="s">
        <v>2</v>
      </c>
      <c r="F13" t="s">
        <v>2</v>
      </c>
    </row>
    <row r="14" spans="1:14" x14ac:dyDescent="0.25">
      <c r="A14" s="4">
        <v>10</v>
      </c>
      <c r="C14" t="s">
        <v>2</v>
      </c>
      <c r="E14" t="s">
        <v>2</v>
      </c>
      <c r="H14" t="s">
        <v>2</v>
      </c>
    </row>
    <row r="15" spans="1:14" x14ac:dyDescent="0.25">
      <c r="A15" s="4">
        <v>11</v>
      </c>
      <c r="B15" t="s">
        <v>2</v>
      </c>
      <c r="D15" t="s">
        <v>2</v>
      </c>
      <c r="E15" t="s">
        <v>2</v>
      </c>
      <c r="H15" t="s">
        <v>2</v>
      </c>
    </row>
    <row r="16" spans="1:14" x14ac:dyDescent="0.25">
      <c r="A16" s="4">
        <v>12</v>
      </c>
      <c r="B16" t="s">
        <v>2</v>
      </c>
      <c r="C16" t="s">
        <v>7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</row>
    <row r="17" spans="1:9" x14ac:dyDescent="0.25">
      <c r="A17" s="4">
        <v>13</v>
      </c>
      <c r="E17" t="s">
        <v>2</v>
      </c>
      <c r="F17" t="s">
        <v>7</v>
      </c>
      <c r="G17" t="s">
        <v>2</v>
      </c>
      <c r="H17" t="s">
        <v>2</v>
      </c>
      <c r="I17" t="s">
        <v>2</v>
      </c>
    </row>
    <row r="18" spans="1:9" x14ac:dyDescent="0.25">
      <c r="A18" s="4">
        <v>14</v>
      </c>
      <c r="C18" t="s">
        <v>7</v>
      </c>
    </row>
    <row r="19" spans="1:9" x14ac:dyDescent="0.25">
      <c r="A19" s="4">
        <v>15</v>
      </c>
      <c r="E19" t="s">
        <v>2</v>
      </c>
    </row>
    <row r="20" spans="1:9" x14ac:dyDescent="0.25">
      <c r="A20" s="4">
        <v>16</v>
      </c>
      <c r="F20" t="s">
        <v>5</v>
      </c>
    </row>
    <row r="21" spans="1:9" x14ac:dyDescent="0.25">
      <c r="A21" s="4">
        <v>17</v>
      </c>
      <c r="C21" t="s">
        <v>2</v>
      </c>
    </row>
    <row r="22" spans="1:9" x14ac:dyDescent="0.25">
      <c r="A22" s="4">
        <v>18</v>
      </c>
      <c r="B22" t="s">
        <v>7</v>
      </c>
      <c r="G22" t="s">
        <v>2</v>
      </c>
    </row>
    <row r="23" spans="1:9" x14ac:dyDescent="0.25">
      <c r="A23" s="4">
        <v>19</v>
      </c>
      <c r="C23" t="s">
        <v>2</v>
      </c>
      <c r="I23" t="s">
        <v>2</v>
      </c>
    </row>
    <row r="24" spans="1:9" x14ac:dyDescent="0.25">
      <c r="A24" s="4">
        <v>20</v>
      </c>
      <c r="E24" t="s">
        <v>7</v>
      </c>
    </row>
    <row r="25" spans="1:9" x14ac:dyDescent="0.25">
      <c r="A25" s="4">
        <v>21</v>
      </c>
      <c r="C25" t="s">
        <v>7</v>
      </c>
    </row>
    <row r="26" spans="1:9" x14ac:dyDescent="0.25">
      <c r="A26" s="4">
        <v>22</v>
      </c>
      <c r="E26" t="s">
        <v>5</v>
      </c>
    </row>
    <row r="27" spans="1:9" x14ac:dyDescent="0.25">
      <c r="A27" s="4">
        <v>23</v>
      </c>
      <c r="E27" t="s">
        <v>7</v>
      </c>
    </row>
    <row r="28" spans="1:9" x14ac:dyDescent="0.25">
      <c r="A28" s="4">
        <v>24</v>
      </c>
      <c r="F28" t="s">
        <v>2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5</v>
      </c>
      <c r="I29" t="s">
        <v>5</v>
      </c>
    </row>
    <row r="30" spans="1:9" x14ac:dyDescent="0.25">
      <c r="A30" s="4">
        <v>26</v>
      </c>
      <c r="B30" t="s">
        <v>2</v>
      </c>
      <c r="G30" t="s">
        <v>2</v>
      </c>
    </row>
    <row r="31" spans="1:9" x14ac:dyDescent="0.25">
      <c r="A31" s="4">
        <v>27</v>
      </c>
      <c r="G31" t="s">
        <v>2</v>
      </c>
    </row>
    <row r="32" spans="1:9" x14ac:dyDescent="0.25">
      <c r="A32" s="4">
        <v>28</v>
      </c>
      <c r="C32" t="s">
        <v>5</v>
      </c>
      <c r="D32" t="s">
        <v>5</v>
      </c>
      <c r="H32" t="s">
        <v>2</v>
      </c>
    </row>
    <row r="33" spans="1:9" x14ac:dyDescent="0.25">
      <c r="A33" s="4">
        <v>29</v>
      </c>
      <c r="C33" t="s">
        <v>2</v>
      </c>
      <c r="E33" t="s">
        <v>2</v>
      </c>
      <c r="G33" t="s">
        <v>2</v>
      </c>
      <c r="I33" t="s">
        <v>2</v>
      </c>
    </row>
    <row r="34" spans="1:9" x14ac:dyDescent="0.25">
      <c r="A34" s="4">
        <v>30</v>
      </c>
      <c r="B34" t="s">
        <v>2</v>
      </c>
      <c r="C34" t="s">
        <v>2</v>
      </c>
      <c r="D34" t="s">
        <v>7</v>
      </c>
      <c r="E34" t="s">
        <v>2</v>
      </c>
      <c r="F34" t="s">
        <v>2</v>
      </c>
      <c r="G34" t="s">
        <v>2</v>
      </c>
      <c r="H34" t="s">
        <v>2</v>
      </c>
    </row>
    <row r="35" spans="1:9" x14ac:dyDescent="0.25">
      <c r="A35" s="4">
        <v>31</v>
      </c>
      <c r="B35" t="s">
        <v>2</v>
      </c>
      <c r="C35" t="s">
        <v>2</v>
      </c>
      <c r="E35" t="s">
        <v>2</v>
      </c>
      <c r="G35" t="s">
        <v>2</v>
      </c>
      <c r="I35" t="s">
        <v>2</v>
      </c>
    </row>
    <row r="36" spans="1:9" x14ac:dyDescent="0.25">
      <c r="A36" s="4">
        <v>32</v>
      </c>
      <c r="B36" t="s">
        <v>2</v>
      </c>
      <c r="C36" t="s">
        <v>2</v>
      </c>
      <c r="I36" t="s">
        <v>2</v>
      </c>
    </row>
    <row r="37" spans="1:9" x14ac:dyDescent="0.25">
      <c r="A37" s="4">
        <v>33</v>
      </c>
      <c r="D37" t="s">
        <v>2</v>
      </c>
      <c r="F37" t="s">
        <v>7</v>
      </c>
      <c r="H37" t="s">
        <v>2</v>
      </c>
    </row>
    <row r="38" spans="1:9" x14ac:dyDescent="0.25">
      <c r="A38" s="4">
        <v>34</v>
      </c>
      <c r="G38" t="s">
        <v>2</v>
      </c>
      <c r="H38" t="s">
        <v>2</v>
      </c>
      <c r="I38" t="s">
        <v>2</v>
      </c>
    </row>
    <row r="39" spans="1:9" x14ac:dyDescent="0.25">
      <c r="A39" s="4">
        <v>35</v>
      </c>
      <c r="D39" t="s">
        <v>2</v>
      </c>
      <c r="G39" t="s">
        <v>2</v>
      </c>
    </row>
    <row r="40" spans="1:9" x14ac:dyDescent="0.25">
      <c r="A40" s="4">
        <v>36</v>
      </c>
      <c r="B40" t="s">
        <v>2</v>
      </c>
      <c r="C40" t="s">
        <v>2</v>
      </c>
      <c r="E40" t="s">
        <v>7</v>
      </c>
      <c r="I40" t="s">
        <v>2</v>
      </c>
    </row>
    <row r="41" spans="1:9" x14ac:dyDescent="0.25">
      <c r="A41" s="4">
        <v>37</v>
      </c>
      <c r="C41" t="s">
        <v>2</v>
      </c>
      <c r="H41" t="s">
        <v>2</v>
      </c>
    </row>
    <row r="42" spans="1:9" x14ac:dyDescent="0.25">
      <c r="A42" s="4">
        <v>38</v>
      </c>
      <c r="B42" t="s">
        <v>7</v>
      </c>
      <c r="I42" t="s">
        <v>7</v>
      </c>
    </row>
    <row r="43" spans="1:9" x14ac:dyDescent="0.25">
      <c r="A43" s="4">
        <v>39</v>
      </c>
      <c r="E43" t="s">
        <v>7</v>
      </c>
    </row>
    <row r="44" spans="1:9" x14ac:dyDescent="0.25">
      <c r="A44" s="4">
        <v>40</v>
      </c>
      <c r="C44" t="s">
        <v>2</v>
      </c>
    </row>
    <row r="45" spans="1:9" x14ac:dyDescent="0.25">
      <c r="A45" s="4">
        <v>41</v>
      </c>
      <c r="E45" t="s">
        <v>2</v>
      </c>
      <c r="I45" t="s">
        <v>2</v>
      </c>
    </row>
    <row r="46" spans="1:9" x14ac:dyDescent="0.25">
      <c r="A46" s="4">
        <v>42</v>
      </c>
      <c r="D46" t="s">
        <v>2</v>
      </c>
    </row>
    <row r="47" spans="1:9" x14ac:dyDescent="0.25">
      <c r="A47" s="4">
        <v>43</v>
      </c>
      <c r="E47" t="s">
        <v>2</v>
      </c>
    </row>
    <row r="48" spans="1:9" x14ac:dyDescent="0.25">
      <c r="A48" s="4">
        <v>44</v>
      </c>
      <c r="B48" t="s">
        <v>2</v>
      </c>
      <c r="F48" t="s">
        <v>2</v>
      </c>
      <c r="I48" t="s">
        <v>2</v>
      </c>
    </row>
    <row r="49" spans="1:9" x14ac:dyDescent="0.25">
      <c r="A49" s="4">
        <v>45</v>
      </c>
      <c r="C49" t="s">
        <v>2</v>
      </c>
      <c r="E49" t="s">
        <v>2</v>
      </c>
      <c r="F49" t="s">
        <v>2</v>
      </c>
    </row>
    <row r="50" spans="1:9" x14ac:dyDescent="0.25">
      <c r="A50" s="4">
        <v>46</v>
      </c>
      <c r="C50" t="s">
        <v>2</v>
      </c>
      <c r="D50" t="s">
        <v>2</v>
      </c>
      <c r="F50" t="s">
        <v>2</v>
      </c>
      <c r="H50" t="s">
        <v>2</v>
      </c>
    </row>
    <row r="51" spans="1:9" x14ac:dyDescent="0.25">
      <c r="A51" s="4">
        <v>47</v>
      </c>
      <c r="D51" t="s">
        <v>2</v>
      </c>
    </row>
    <row r="52" spans="1:9" x14ac:dyDescent="0.25">
      <c r="A52" s="4">
        <v>48</v>
      </c>
      <c r="D52" t="s">
        <v>7</v>
      </c>
    </row>
    <row r="53" spans="1:9" x14ac:dyDescent="0.25">
      <c r="A53" s="4">
        <v>49</v>
      </c>
      <c r="C53" t="s">
        <v>7</v>
      </c>
    </row>
    <row r="54" spans="1:9" x14ac:dyDescent="0.25">
      <c r="A54" s="4">
        <v>50</v>
      </c>
      <c r="B54" t="s">
        <v>7</v>
      </c>
      <c r="C54" t="s">
        <v>5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  <c r="I54" t="s">
        <v>2</v>
      </c>
    </row>
    <row r="55" spans="1:9" x14ac:dyDescent="0.25">
      <c r="A55" s="4">
        <v>51</v>
      </c>
      <c r="B55" t="s">
        <v>2</v>
      </c>
      <c r="C55" t="s">
        <v>6</v>
      </c>
      <c r="G55" t="s">
        <v>2</v>
      </c>
      <c r="H55" t="s">
        <v>2</v>
      </c>
    </row>
    <row r="56" spans="1:9" x14ac:dyDescent="0.25">
      <c r="A56" s="4">
        <v>52</v>
      </c>
      <c r="B56" t="s">
        <v>2</v>
      </c>
      <c r="D56" t="s">
        <v>2</v>
      </c>
      <c r="G56" t="s">
        <v>5</v>
      </c>
    </row>
    <row r="57" spans="1:9" x14ac:dyDescent="0.25">
      <c r="A57" s="4">
        <v>53</v>
      </c>
      <c r="D57" t="s">
        <v>2</v>
      </c>
      <c r="H57" t="s">
        <v>2</v>
      </c>
    </row>
    <row r="58" spans="1:9" x14ac:dyDescent="0.25">
      <c r="A58" s="4">
        <v>54</v>
      </c>
      <c r="F58" t="s">
        <v>2</v>
      </c>
    </row>
    <row r="59" spans="1:9" x14ac:dyDescent="0.25">
      <c r="A59" s="4">
        <v>55</v>
      </c>
      <c r="C59" t="s">
        <v>7</v>
      </c>
      <c r="H59" t="s">
        <v>2</v>
      </c>
    </row>
    <row r="60" spans="1:9" x14ac:dyDescent="0.25">
      <c r="A60" s="4">
        <v>56</v>
      </c>
      <c r="F60" t="s">
        <v>2</v>
      </c>
    </row>
  </sheetData>
  <conditionalFormatting sqref="B5:D11 G5:G11">
    <cfRule type="cellIs" dxfId="1871" priority="17" operator="equal">
      <formula>"Energia"</formula>
    </cfRule>
  </conditionalFormatting>
  <conditionalFormatting sqref="B5:D60 G5:I60">
    <cfRule type="cellIs" dxfId="1870" priority="10" operator="equal">
      <formula>"Energia"</formula>
    </cfRule>
    <cfRule type="cellIs" dxfId="1869" priority="12" operator="equal">
      <formula>"Operação"</formula>
    </cfRule>
    <cfRule type="cellIs" dxfId="1868" priority="13" operator="equal">
      <formula>"Chuva"</formula>
    </cfRule>
    <cfRule type="cellIs" dxfId="1867" priority="14" operator="equal">
      <formula>"Elétrico"</formula>
    </cfRule>
    <cfRule type="cellIs" dxfId="1866" priority="15" operator="equal">
      <formula>"Mecânico"</formula>
    </cfRule>
    <cfRule type="cellIs" dxfId="1865" priority="16" operator="equal">
      <formula>"Ok"</formula>
    </cfRule>
  </conditionalFormatting>
  <conditionalFormatting sqref="B5:D60 G5:I60">
    <cfRule type="cellIs" dxfId="1864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863" priority="8" operator="equal">
      <formula>"Energia"</formula>
    </cfRule>
  </conditionalFormatting>
  <conditionalFormatting sqref="E5:F60">
    <cfRule type="cellIs" dxfId="1862" priority="1" operator="equal">
      <formula>"Energia"</formula>
    </cfRule>
    <cfRule type="cellIs" dxfId="1861" priority="3" operator="equal">
      <formula>"Operação"</formula>
    </cfRule>
    <cfRule type="cellIs" dxfId="1860" priority="4" operator="equal">
      <formula>"Chuva"</formula>
    </cfRule>
    <cfRule type="cellIs" dxfId="1859" priority="5" operator="equal">
      <formula>"Elétrico"</formula>
    </cfRule>
    <cfRule type="cellIs" dxfId="1858" priority="6" operator="equal">
      <formula>"Mecânico"</formula>
    </cfRule>
    <cfRule type="cellIs" dxfId="1857" priority="7" operator="equal">
      <formula>"Ok"</formula>
    </cfRule>
  </conditionalFormatting>
  <conditionalFormatting sqref="E5:F60">
    <cfRule type="cellIs" dxfId="1856" priority="2" operator="equal">
      <formula>"Feito"</formula>
    </cfRule>
  </conditionalFormatting>
  <dataValidations count="1">
    <dataValidation type="list" allowBlank="1" showInputMessage="1" showErrorMessage="1" sqref="B5:J60" xr:uid="{95BA3DFC-F3D9-4387-A1CC-4AD1AA8CB717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E0A6-0218-442F-B434-EACCB7D0A319}">
  <sheetPr codeName="Planilha20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4" max="14" width="10.7109375" bestFit="1" customWidth="1"/>
  </cols>
  <sheetData>
    <row r="3" spans="1:14" x14ac:dyDescent="0.25">
      <c r="B3" s="3">
        <v>44348</v>
      </c>
      <c r="C3" s="3">
        <f>B3+1</f>
        <v>44349</v>
      </c>
      <c r="D3" s="3">
        <f t="shared" ref="D3:I3" si="0">C3+1</f>
        <v>44350</v>
      </c>
      <c r="E3" s="3">
        <f t="shared" si="0"/>
        <v>44351</v>
      </c>
      <c r="F3" s="3">
        <f t="shared" si="0"/>
        <v>44352</v>
      </c>
      <c r="G3" s="3">
        <f t="shared" si="0"/>
        <v>44353</v>
      </c>
      <c r="H3" s="3">
        <f t="shared" si="0"/>
        <v>44354</v>
      </c>
      <c r="I3" s="3">
        <f t="shared" si="0"/>
        <v>44355</v>
      </c>
    </row>
    <row r="4" spans="1:14" x14ac:dyDescent="0.25">
      <c r="A4" s="2" t="s">
        <v>0</v>
      </c>
      <c r="B4" s="1" t="str">
        <f>TEXT(B3,"ddd")</f>
        <v>ter</v>
      </c>
      <c r="C4" s="1" t="str">
        <f t="shared" ref="C4:I4" si="1">TEXT(C3,"ddd")</f>
        <v>qua</v>
      </c>
      <c r="D4" s="1" t="str">
        <f t="shared" si="1"/>
        <v>qui</v>
      </c>
      <c r="E4" s="1" t="str">
        <f t="shared" si="1"/>
        <v>sex</v>
      </c>
      <c r="F4" s="1" t="str">
        <f t="shared" si="1"/>
        <v>sáb</v>
      </c>
      <c r="G4" s="1" t="str">
        <f t="shared" si="1"/>
        <v>dom</v>
      </c>
      <c r="H4" s="1" t="str">
        <f t="shared" si="1"/>
        <v>seg</v>
      </c>
      <c r="I4" s="1" t="str">
        <f t="shared" si="1"/>
        <v>ter</v>
      </c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B5" t="s">
        <v>2</v>
      </c>
      <c r="E5" t="s">
        <v>2</v>
      </c>
      <c r="H5" t="s">
        <v>2</v>
      </c>
      <c r="K5" s="5" t="s">
        <v>2</v>
      </c>
      <c r="L5">
        <f>COUNTIF($B$5:$I$60,K5)</f>
        <v>113</v>
      </c>
      <c r="M5" s="53">
        <f>L5/$L$11</f>
        <v>0.77397260273972601</v>
      </c>
      <c r="N5" s="52">
        <v>44348</v>
      </c>
    </row>
    <row r="6" spans="1:14" x14ac:dyDescent="0.25">
      <c r="A6" s="4">
        <v>2</v>
      </c>
      <c r="B6" t="s">
        <v>2</v>
      </c>
      <c r="F6" t="s">
        <v>2</v>
      </c>
      <c r="K6" s="6" t="s">
        <v>5</v>
      </c>
      <c r="L6">
        <f t="shared" ref="L6:L10" si="2">COUNTIF($B$5:$I$60,K6)</f>
        <v>7</v>
      </c>
      <c r="M6" s="53">
        <f t="shared" ref="M6:M10" si="3">L6/$L$11</f>
        <v>4.7945205479452052E-2</v>
      </c>
    </row>
    <row r="7" spans="1:14" x14ac:dyDescent="0.25">
      <c r="A7" s="4">
        <v>3</v>
      </c>
      <c r="D7" t="s">
        <v>7</v>
      </c>
      <c r="E7" t="s">
        <v>2</v>
      </c>
      <c r="I7" t="s">
        <v>2</v>
      </c>
      <c r="K7" s="7" t="s">
        <v>6</v>
      </c>
      <c r="L7">
        <f t="shared" si="2"/>
        <v>0</v>
      </c>
      <c r="M7" s="53">
        <f t="shared" si="3"/>
        <v>0</v>
      </c>
    </row>
    <row r="8" spans="1:14" x14ac:dyDescent="0.25">
      <c r="A8" s="4">
        <v>4</v>
      </c>
      <c r="F8" t="s">
        <v>2</v>
      </c>
      <c r="K8" s="8" t="s">
        <v>4</v>
      </c>
      <c r="L8">
        <f t="shared" si="2"/>
        <v>0</v>
      </c>
      <c r="M8" s="53">
        <f t="shared" si="3"/>
        <v>0</v>
      </c>
    </row>
    <row r="9" spans="1:14" x14ac:dyDescent="0.25">
      <c r="A9" s="4">
        <v>5</v>
      </c>
      <c r="B9" t="s">
        <v>2</v>
      </c>
      <c r="D9" t="s">
        <v>2</v>
      </c>
      <c r="F9" t="s">
        <v>5</v>
      </c>
      <c r="H9" t="s">
        <v>2</v>
      </c>
      <c r="K9" s="9" t="s">
        <v>3</v>
      </c>
      <c r="L9">
        <f t="shared" si="2"/>
        <v>0</v>
      </c>
      <c r="M9" s="53">
        <f t="shared" si="3"/>
        <v>0</v>
      </c>
    </row>
    <row r="10" spans="1:14" x14ac:dyDescent="0.25">
      <c r="A10" s="4">
        <v>6</v>
      </c>
      <c r="C10" t="s">
        <v>2</v>
      </c>
      <c r="D10" t="s">
        <v>2</v>
      </c>
      <c r="E10" t="s">
        <v>2</v>
      </c>
      <c r="G10" t="s">
        <v>2</v>
      </c>
      <c r="H10" t="s">
        <v>2</v>
      </c>
      <c r="I10" t="s">
        <v>2</v>
      </c>
      <c r="K10" s="10" t="s">
        <v>7</v>
      </c>
      <c r="L10">
        <f t="shared" si="2"/>
        <v>26</v>
      </c>
      <c r="M10" s="53">
        <f t="shared" si="3"/>
        <v>0.17808219178082191</v>
      </c>
    </row>
    <row r="11" spans="1:14" x14ac:dyDescent="0.25">
      <c r="A11" s="4">
        <v>7</v>
      </c>
      <c r="C11" t="s">
        <v>2</v>
      </c>
      <c r="E11" t="s">
        <v>2</v>
      </c>
      <c r="G11" t="s">
        <v>2</v>
      </c>
      <c r="H11" t="s">
        <v>2</v>
      </c>
      <c r="I11" t="s">
        <v>2</v>
      </c>
      <c r="L11">
        <f>SUM(L5:L10)</f>
        <v>146</v>
      </c>
    </row>
    <row r="12" spans="1:14" x14ac:dyDescent="0.25">
      <c r="A12" s="4">
        <v>8</v>
      </c>
      <c r="D12" t="s">
        <v>2</v>
      </c>
      <c r="E12" t="s">
        <v>2</v>
      </c>
      <c r="F12" t="s">
        <v>2</v>
      </c>
      <c r="H12" t="s">
        <v>2</v>
      </c>
    </row>
    <row r="13" spans="1:14" x14ac:dyDescent="0.25">
      <c r="A13" s="4">
        <v>9</v>
      </c>
      <c r="B13" t="s">
        <v>2</v>
      </c>
      <c r="E13" t="s">
        <v>2</v>
      </c>
      <c r="F13" t="s">
        <v>2</v>
      </c>
    </row>
    <row r="14" spans="1:14" x14ac:dyDescent="0.25">
      <c r="A14" s="4">
        <v>10</v>
      </c>
      <c r="C14" t="s">
        <v>2</v>
      </c>
      <c r="G14" t="s">
        <v>2</v>
      </c>
    </row>
    <row r="15" spans="1:14" x14ac:dyDescent="0.25">
      <c r="A15" s="4">
        <v>11</v>
      </c>
      <c r="C15" t="s">
        <v>7</v>
      </c>
      <c r="D15" t="s">
        <v>2</v>
      </c>
      <c r="G15" t="s">
        <v>2</v>
      </c>
    </row>
    <row r="16" spans="1:14" x14ac:dyDescent="0.25">
      <c r="A16" s="4">
        <v>12</v>
      </c>
      <c r="C16" t="s">
        <v>2</v>
      </c>
      <c r="E16" t="s">
        <v>2</v>
      </c>
      <c r="H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7</v>
      </c>
      <c r="E17" t="s">
        <v>2</v>
      </c>
      <c r="F17" t="s">
        <v>2</v>
      </c>
      <c r="G17" t="s">
        <v>2</v>
      </c>
      <c r="H17" t="s">
        <v>2</v>
      </c>
      <c r="I17" t="s">
        <v>7</v>
      </c>
    </row>
    <row r="18" spans="1:9" x14ac:dyDescent="0.25">
      <c r="A18" s="4">
        <v>14</v>
      </c>
      <c r="B18" t="s">
        <v>5</v>
      </c>
      <c r="D18" t="s">
        <v>2</v>
      </c>
      <c r="E18" t="s">
        <v>2</v>
      </c>
      <c r="F18" t="s">
        <v>2</v>
      </c>
      <c r="G18" t="s">
        <v>5</v>
      </c>
      <c r="H18" t="s">
        <v>7</v>
      </c>
      <c r="I18" t="s">
        <v>7</v>
      </c>
    </row>
    <row r="19" spans="1:9" x14ac:dyDescent="0.25">
      <c r="A19" s="4">
        <v>15</v>
      </c>
      <c r="C19" t="s">
        <v>2</v>
      </c>
      <c r="H19" t="s">
        <v>2</v>
      </c>
    </row>
    <row r="20" spans="1:9" x14ac:dyDescent="0.25">
      <c r="A20" s="4">
        <v>16</v>
      </c>
      <c r="D20" t="s">
        <v>7</v>
      </c>
      <c r="I20" t="s">
        <v>7</v>
      </c>
    </row>
    <row r="21" spans="1:9" x14ac:dyDescent="0.25">
      <c r="A21" s="4">
        <v>17</v>
      </c>
      <c r="B21" t="s">
        <v>2</v>
      </c>
      <c r="G21" t="s">
        <v>2</v>
      </c>
    </row>
    <row r="22" spans="1:9" x14ac:dyDescent="0.25">
      <c r="A22" s="4">
        <v>18</v>
      </c>
      <c r="D22" t="s">
        <v>2</v>
      </c>
      <c r="I22" t="s">
        <v>2</v>
      </c>
    </row>
    <row r="23" spans="1:9" x14ac:dyDescent="0.25">
      <c r="A23" s="4">
        <v>19</v>
      </c>
      <c r="F23" t="s">
        <v>2</v>
      </c>
    </row>
    <row r="24" spans="1:9" x14ac:dyDescent="0.25">
      <c r="A24" s="4">
        <v>20</v>
      </c>
      <c r="C24" t="s">
        <v>2</v>
      </c>
      <c r="H24" t="s">
        <v>2</v>
      </c>
    </row>
    <row r="25" spans="1:9" x14ac:dyDescent="0.25">
      <c r="A25" s="4">
        <v>21</v>
      </c>
      <c r="B25" t="s">
        <v>7</v>
      </c>
      <c r="G25" t="s">
        <v>2</v>
      </c>
    </row>
    <row r="26" spans="1:9" x14ac:dyDescent="0.25">
      <c r="A26" s="4">
        <v>22</v>
      </c>
      <c r="C26" t="s">
        <v>2</v>
      </c>
      <c r="H26" t="s">
        <v>5</v>
      </c>
    </row>
    <row r="27" spans="1:9" x14ac:dyDescent="0.25">
      <c r="A27" s="4">
        <v>23</v>
      </c>
      <c r="B27" t="s">
        <v>5</v>
      </c>
      <c r="C27" t="s">
        <v>5</v>
      </c>
      <c r="G27" t="s">
        <v>2</v>
      </c>
    </row>
    <row r="28" spans="1:9" x14ac:dyDescent="0.25">
      <c r="A28" s="4">
        <v>24</v>
      </c>
      <c r="D28" t="s">
        <v>2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  <c r="E30" t="s">
        <v>2</v>
      </c>
    </row>
    <row r="31" spans="1:9" x14ac:dyDescent="0.25">
      <c r="A31" s="4">
        <v>27</v>
      </c>
      <c r="D31" t="s">
        <v>2</v>
      </c>
      <c r="I31" t="s">
        <v>2</v>
      </c>
    </row>
    <row r="32" spans="1:9" x14ac:dyDescent="0.25">
      <c r="A32" s="4">
        <v>28</v>
      </c>
    </row>
    <row r="33" spans="1:9" x14ac:dyDescent="0.25">
      <c r="A33" s="4">
        <v>29</v>
      </c>
      <c r="C33" t="s">
        <v>2</v>
      </c>
      <c r="E33" t="s">
        <v>2</v>
      </c>
      <c r="G33" t="s">
        <v>2</v>
      </c>
      <c r="I33" t="s">
        <v>7</v>
      </c>
    </row>
    <row r="34" spans="1:9" x14ac:dyDescent="0.25">
      <c r="A34" s="4">
        <v>30</v>
      </c>
      <c r="B34" t="s">
        <v>7</v>
      </c>
      <c r="C34" t="s">
        <v>2</v>
      </c>
      <c r="D34" t="s">
        <v>2</v>
      </c>
      <c r="G34" t="s">
        <v>2</v>
      </c>
      <c r="I34" t="s">
        <v>2</v>
      </c>
    </row>
    <row r="35" spans="1:9" x14ac:dyDescent="0.25">
      <c r="A35" s="4">
        <v>31</v>
      </c>
      <c r="C35" t="s">
        <v>7</v>
      </c>
      <c r="E35" t="s">
        <v>2</v>
      </c>
      <c r="H35" t="s">
        <v>2</v>
      </c>
    </row>
    <row r="36" spans="1:9" x14ac:dyDescent="0.25">
      <c r="A36" s="4">
        <v>32</v>
      </c>
      <c r="B36" t="s">
        <v>2</v>
      </c>
    </row>
    <row r="37" spans="1:9" x14ac:dyDescent="0.25">
      <c r="A37" s="4">
        <v>33</v>
      </c>
      <c r="B37" t="s">
        <v>2</v>
      </c>
      <c r="D37" t="s">
        <v>2</v>
      </c>
      <c r="F37" t="s">
        <v>2</v>
      </c>
    </row>
    <row r="38" spans="1:9" x14ac:dyDescent="0.25">
      <c r="A38" s="4">
        <v>34</v>
      </c>
      <c r="C38" t="s">
        <v>7</v>
      </c>
      <c r="D38" t="s">
        <v>2</v>
      </c>
    </row>
    <row r="39" spans="1:9" x14ac:dyDescent="0.25">
      <c r="A39" s="4">
        <v>35</v>
      </c>
      <c r="C39" t="s">
        <v>2</v>
      </c>
      <c r="G39" t="s">
        <v>2</v>
      </c>
    </row>
    <row r="40" spans="1:9" x14ac:dyDescent="0.25">
      <c r="A40" s="4">
        <v>36</v>
      </c>
      <c r="E40" t="s">
        <v>2</v>
      </c>
      <c r="I40" t="s">
        <v>2</v>
      </c>
    </row>
    <row r="41" spans="1:9" x14ac:dyDescent="0.25">
      <c r="A41" s="4">
        <v>37</v>
      </c>
      <c r="E41" t="s">
        <v>2</v>
      </c>
    </row>
    <row r="42" spans="1:9" x14ac:dyDescent="0.25">
      <c r="A42" s="4">
        <v>38</v>
      </c>
      <c r="C42" t="s">
        <v>2</v>
      </c>
      <c r="H42" t="s">
        <v>7</v>
      </c>
    </row>
    <row r="43" spans="1:9" x14ac:dyDescent="0.25">
      <c r="A43" s="4">
        <v>39</v>
      </c>
      <c r="G43" t="s">
        <v>7</v>
      </c>
    </row>
    <row r="44" spans="1:9" x14ac:dyDescent="0.25">
      <c r="A44" s="4">
        <v>40</v>
      </c>
      <c r="B44" t="s">
        <v>7</v>
      </c>
      <c r="F44" t="s">
        <v>2</v>
      </c>
    </row>
    <row r="45" spans="1:9" x14ac:dyDescent="0.25">
      <c r="A45" s="4">
        <v>41</v>
      </c>
      <c r="F45" t="s">
        <v>2</v>
      </c>
    </row>
    <row r="46" spans="1:9" x14ac:dyDescent="0.25">
      <c r="A46" s="4">
        <v>42</v>
      </c>
      <c r="B46" t="s">
        <v>2</v>
      </c>
      <c r="G46" t="s">
        <v>2</v>
      </c>
    </row>
    <row r="47" spans="1:9" x14ac:dyDescent="0.25">
      <c r="A47" s="4">
        <v>43</v>
      </c>
    </row>
    <row r="48" spans="1:9" x14ac:dyDescent="0.25">
      <c r="A48" s="4">
        <v>44</v>
      </c>
      <c r="E48" t="s">
        <v>2</v>
      </c>
      <c r="I48" t="s">
        <v>2</v>
      </c>
    </row>
    <row r="49" spans="1:9" x14ac:dyDescent="0.25">
      <c r="A49" s="4">
        <v>45</v>
      </c>
      <c r="B49" t="s">
        <v>2</v>
      </c>
      <c r="E49" t="s">
        <v>2</v>
      </c>
      <c r="F49" t="s">
        <v>7</v>
      </c>
      <c r="H49" t="s">
        <v>2</v>
      </c>
    </row>
    <row r="50" spans="1:9" x14ac:dyDescent="0.25">
      <c r="A50" s="4">
        <v>46</v>
      </c>
      <c r="C50" t="s">
        <v>7</v>
      </c>
      <c r="F50" t="s">
        <v>2</v>
      </c>
      <c r="I50" t="s">
        <v>2</v>
      </c>
    </row>
    <row r="51" spans="1:9" x14ac:dyDescent="0.25">
      <c r="A51" s="4">
        <v>47</v>
      </c>
    </row>
    <row r="52" spans="1:9" x14ac:dyDescent="0.25">
      <c r="A52" s="4">
        <v>48</v>
      </c>
      <c r="I52" t="s">
        <v>2</v>
      </c>
    </row>
    <row r="53" spans="1:9" x14ac:dyDescent="0.25">
      <c r="A53" s="4">
        <v>49</v>
      </c>
      <c r="F53" t="s">
        <v>7</v>
      </c>
      <c r="G53" t="s">
        <v>7</v>
      </c>
    </row>
    <row r="54" spans="1:9" x14ac:dyDescent="0.25">
      <c r="A54" s="4">
        <v>50</v>
      </c>
      <c r="C54" t="s">
        <v>2</v>
      </c>
      <c r="D54" t="s">
        <v>2</v>
      </c>
      <c r="E54" t="s">
        <v>7</v>
      </c>
      <c r="G54" t="s">
        <v>2</v>
      </c>
      <c r="I54" t="s">
        <v>2</v>
      </c>
    </row>
    <row r="55" spans="1:9" x14ac:dyDescent="0.25">
      <c r="A55" s="4">
        <v>51</v>
      </c>
      <c r="C55" t="s">
        <v>2</v>
      </c>
      <c r="D55" t="s">
        <v>5</v>
      </c>
      <c r="H55" t="s">
        <v>2</v>
      </c>
      <c r="I55" t="s">
        <v>7</v>
      </c>
    </row>
    <row r="56" spans="1:9" x14ac:dyDescent="0.25">
      <c r="A56" s="4">
        <v>52</v>
      </c>
      <c r="B56" t="s">
        <v>2</v>
      </c>
      <c r="D56" t="s">
        <v>7</v>
      </c>
      <c r="H56" t="s">
        <v>2</v>
      </c>
    </row>
    <row r="57" spans="1:9" x14ac:dyDescent="0.25">
      <c r="A57" s="4">
        <v>53</v>
      </c>
      <c r="D57" t="s">
        <v>2</v>
      </c>
      <c r="I57" t="s">
        <v>2</v>
      </c>
    </row>
    <row r="58" spans="1:9" x14ac:dyDescent="0.25">
      <c r="A58" s="4">
        <v>54</v>
      </c>
      <c r="C58" t="s">
        <v>2</v>
      </c>
      <c r="G58" t="s">
        <v>2</v>
      </c>
    </row>
    <row r="59" spans="1:9" x14ac:dyDescent="0.25">
      <c r="A59" s="4">
        <v>55</v>
      </c>
      <c r="E59" t="s">
        <v>7</v>
      </c>
    </row>
    <row r="60" spans="1:9" x14ac:dyDescent="0.25">
      <c r="A60" s="4">
        <v>56</v>
      </c>
      <c r="B60" t="s">
        <v>7</v>
      </c>
      <c r="F60" t="s">
        <v>7</v>
      </c>
    </row>
  </sheetData>
  <conditionalFormatting sqref="B5:D11 G5:G11">
    <cfRule type="cellIs" dxfId="1855" priority="17" operator="equal">
      <formula>"Energia"</formula>
    </cfRule>
  </conditionalFormatting>
  <conditionalFormatting sqref="B5:D60 G5:I60">
    <cfRule type="cellIs" dxfId="1854" priority="10" operator="equal">
      <formula>"Energia"</formula>
    </cfRule>
    <cfRule type="cellIs" dxfId="1853" priority="12" operator="equal">
      <formula>"Operação"</formula>
    </cfRule>
    <cfRule type="cellIs" dxfId="1852" priority="13" operator="equal">
      <formula>"Chuva"</formula>
    </cfRule>
    <cfRule type="cellIs" dxfId="1851" priority="14" operator="equal">
      <formula>"Elétrico"</formula>
    </cfRule>
    <cfRule type="cellIs" dxfId="1850" priority="15" operator="equal">
      <formula>"Mecânico"</formula>
    </cfRule>
    <cfRule type="cellIs" dxfId="1849" priority="16" operator="equal">
      <formula>"Ok"</formula>
    </cfRule>
  </conditionalFormatting>
  <conditionalFormatting sqref="B5:D60 G5:I60">
    <cfRule type="cellIs" dxfId="1848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847" priority="8" operator="equal">
      <formula>"Energia"</formula>
    </cfRule>
  </conditionalFormatting>
  <conditionalFormatting sqref="E5:F60">
    <cfRule type="cellIs" dxfId="1846" priority="1" operator="equal">
      <formula>"Energia"</formula>
    </cfRule>
    <cfRule type="cellIs" dxfId="1845" priority="3" operator="equal">
      <formula>"Operação"</formula>
    </cfRule>
    <cfRule type="cellIs" dxfId="1844" priority="4" operator="equal">
      <formula>"Chuva"</formula>
    </cfRule>
    <cfRule type="cellIs" dxfId="1843" priority="5" operator="equal">
      <formula>"Elétrico"</formula>
    </cfRule>
    <cfRule type="cellIs" dxfId="1842" priority="6" operator="equal">
      <formula>"Mecânico"</formula>
    </cfRule>
    <cfRule type="cellIs" dxfId="1841" priority="7" operator="equal">
      <formula>"Ok"</formula>
    </cfRule>
  </conditionalFormatting>
  <conditionalFormatting sqref="E5:F60">
    <cfRule type="cellIs" dxfId="1840" priority="2" operator="equal">
      <formula>"Feito"</formula>
    </cfRule>
  </conditionalFormatting>
  <dataValidations count="1">
    <dataValidation type="list" allowBlank="1" showInputMessage="1" showErrorMessage="1" sqref="B5:J60" xr:uid="{ADBA3073-97B5-40B7-B273-4DADE079F780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E6D4-2B3E-499E-91E9-7B6A2A2D6E2D}">
  <sheetPr codeName="Planilha21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44356</v>
      </c>
      <c r="C3" s="3">
        <f>B3+1</f>
        <v>44357</v>
      </c>
      <c r="D3" s="3">
        <f t="shared" ref="D3:I3" si="0">C3+1</f>
        <v>44358</v>
      </c>
      <c r="E3" s="3">
        <f t="shared" si="0"/>
        <v>44359</v>
      </c>
      <c r="F3" s="3">
        <f t="shared" si="0"/>
        <v>44360</v>
      </c>
      <c r="G3" s="3">
        <f t="shared" si="0"/>
        <v>44361</v>
      </c>
      <c r="H3" s="3">
        <f t="shared" si="0"/>
        <v>44362</v>
      </c>
      <c r="I3" s="3">
        <f t="shared" si="0"/>
        <v>44363</v>
      </c>
    </row>
    <row r="4" spans="1:14" x14ac:dyDescent="0.25">
      <c r="A4" s="2" t="s">
        <v>0</v>
      </c>
      <c r="B4" s="1" t="str">
        <f>TEXT(B3,"ddd")</f>
        <v>qua</v>
      </c>
      <c r="C4" s="1" t="str">
        <f t="shared" ref="C4:I4" si="1">TEXT(C3,"ddd")</f>
        <v>qui</v>
      </c>
      <c r="D4" s="1" t="str">
        <f t="shared" si="1"/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C5" t="s">
        <v>2</v>
      </c>
      <c r="F5" t="s">
        <v>2</v>
      </c>
      <c r="I5" t="s">
        <v>2</v>
      </c>
      <c r="K5" s="5" t="s">
        <v>2</v>
      </c>
      <c r="L5">
        <f>COUNTIF($B$5:$I$60,K5)</f>
        <v>92</v>
      </c>
      <c r="M5" s="53">
        <f>L5/$L$11</f>
        <v>0.71317829457364346</v>
      </c>
      <c r="N5" s="52">
        <v>44721</v>
      </c>
    </row>
    <row r="6" spans="1:14" x14ac:dyDescent="0.25">
      <c r="A6" s="4">
        <v>2</v>
      </c>
      <c r="B6" t="s">
        <v>2</v>
      </c>
      <c r="F6" t="s">
        <v>2</v>
      </c>
      <c r="K6" s="6" t="s">
        <v>5</v>
      </c>
      <c r="L6">
        <f t="shared" ref="L6:L10" si="2">COUNTIF($B$5:$I$60,K6)</f>
        <v>5</v>
      </c>
      <c r="M6" s="53">
        <f t="shared" ref="M6:M10" si="3">L6/$L$11</f>
        <v>3.875968992248062E-2</v>
      </c>
    </row>
    <row r="7" spans="1:14" x14ac:dyDescent="0.25">
      <c r="A7" s="4">
        <v>3</v>
      </c>
      <c r="E7" t="s">
        <v>2</v>
      </c>
      <c r="K7" s="7" t="s">
        <v>6</v>
      </c>
      <c r="L7">
        <f t="shared" si="2"/>
        <v>4</v>
      </c>
      <c r="M7" s="53">
        <f t="shared" si="3"/>
        <v>3.1007751937984496E-2</v>
      </c>
    </row>
    <row r="8" spans="1:14" x14ac:dyDescent="0.25">
      <c r="A8" s="4">
        <v>4</v>
      </c>
      <c r="C8" t="s">
        <v>7</v>
      </c>
      <c r="D8" t="s">
        <v>2</v>
      </c>
      <c r="G8" t="s">
        <v>2</v>
      </c>
      <c r="K8" s="8" t="s">
        <v>4</v>
      </c>
      <c r="L8">
        <f t="shared" si="2"/>
        <v>7</v>
      </c>
      <c r="M8" s="53">
        <f t="shared" si="3"/>
        <v>5.4263565891472867E-2</v>
      </c>
    </row>
    <row r="9" spans="1:14" x14ac:dyDescent="0.25">
      <c r="A9" s="4">
        <v>5</v>
      </c>
      <c r="B9" t="s">
        <v>2</v>
      </c>
      <c r="D9" t="s">
        <v>2</v>
      </c>
      <c r="F9" t="s">
        <v>2</v>
      </c>
      <c r="H9" t="s">
        <v>3</v>
      </c>
      <c r="K9" s="9" t="s">
        <v>3</v>
      </c>
      <c r="L9">
        <f t="shared" si="2"/>
        <v>7</v>
      </c>
      <c r="M9" s="53">
        <f t="shared" si="3"/>
        <v>5.4263565891472867E-2</v>
      </c>
    </row>
    <row r="10" spans="1:14" x14ac:dyDescent="0.25">
      <c r="A10" s="4">
        <v>6</v>
      </c>
      <c r="B10" t="s">
        <v>7</v>
      </c>
      <c r="D10" t="s">
        <v>2</v>
      </c>
      <c r="F10" t="s">
        <v>2</v>
      </c>
      <c r="H10" t="s">
        <v>3</v>
      </c>
      <c r="K10" s="10" t="s">
        <v>7</v>
      </c>
      <c r="L10">
        <f t="shared" si="2"/>
        <v>14</v>
      </c>
      <c r="M10" s="53">
        <f t="shared" si="3"/>
        <v>0.10852713178294573</v>
      </c>
    </row>
    <row r="11" spans="1:14" x14ac:dyDescent="0.25">
      <c r="A11" s="4">
        <v>7</v>
      </c>
      <c r="B11" t="s">
        <v>2</v>
      </c>
      <c r="D11" t="s">
        <v>2</v>
      </c>
      <c r="F11" t="s">
        <v>2</v>
      </c>
      <c r="H11" t="s">
        <v>3</v>
      </c>
      <c r="L11">
        <f>SUM(L5:L10)</f>
        <v>129</v>
      </c>
    </row>
    <row r="12" spans="1:14" x14ac:dyDescent="0.25">
      <c r="A12" s="4">
        <v>8</v>
      </c>
      <c r="B12" t="s">
        <v>2</v>
      </c>
      <c r="C12" t="s">
        <v>2</v>
      </c>
      <c r="E12" t="s">
        <v>2</v>
      </c>
      <c r="G12" t="s">
        <v>2</v>
      </c>
      <c r="H12" t="s">
        <v>2</v>
      </c>
    </row>
    <row r="13" spans="1:14" x14ac:dyDescent="0.25">
      <c r="A13" s="4">
        <v>9</v>
      </c>
      <c r="B13" t="s">
        <v>2</v>
      </c>
      <c r="C13" t="s">
        <v>2</v>
      </c>
      <c r="E13" t="s">
        <v>2</v>
      </c>
      <c r="H13" t="s">
        <v>2</v>
      </c>
      <c r="I13" t="s">
        <v>2</v>
      </c>
    </row>
    <row r="14" spans="1:14" x14ac:dyDescent="0.25">
      <c r="A14" s="4">
        <v>10</v>
      </c>
      <c r="C14" t="s">
        <v>2</v>
      </c>
      <c r="D14" t="s">
        <v>2</v>
      </c>
      <c r="H14" t="s">
        <v>3</v>
      </c>
    </row>
    <row r="15" spans="1:14" x14ac:dyDescent="0.25">
      <c r="A15" s="4">
        <v>11</v>
      </c>
      <c r="C15" t="s">
        <v>2</v>
      </c>
      <c r="F15" t="s">
        <v>2</v>
      </c>
    </row>
    <row r="16" spans="1:14" x14ac:dyDescent="0.25">
      <c r="A16" s="4">
        <v>12</v>
      </c>
      <c r="B16" t="s">
        <v>2</v>
      </c>
      <c r="C16" t="s">
        <v>2</v>
      </c>
      <c r="D16" t="s">
        <v>2</v>
      </c>
      <c r="H16" t="s">
        <v>3</v>
      </c>
    </row>
    <row r="17" spans="1:9" x14ac:dyDescent="0.25">
      <c r="A17" s="4">
        <v>13</v>
      </c>
      <c r="C17" t="s">
        <v>2</v>
      </c>
      <c r="E17" t="s">
        <v>2</v>
      </c>
      <c r="F17" t="s">
        <v>2</v>
      </c>
      <c r="I17" t="s">
        <v>2</v>
      </c>
    </row>
    <row r="18" spans="1:9" x14ac:dyDescent="0.25">
      <c r="A18" s="4">
        <v>14</v>
      </c>
      <c r="B18" t="s">
        <v>7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3</v>
      </c>
    </row>
    <row r="19" spans="1:9" x14ac:dyDescent="0.25">
      <c r="A19" s="4">
        <v>15</v>
      </c>
      <c r="E19" t="s">
        <v>2</v>
      </c>
    </row>
    <row r="20" spans="1:9" x14ac:dyDescent="0.25">
      <c r="A20" s="4">
        <v>16</v>
      </c>
      <c r="F20" t="s">
        <v>2</v>
      </c>
    </row>
    <row r="21" spans="1:9" x14ac:dyDescent="0.25">
      <c r="A21" s="4">
        <v>17</v>
      </c>
      <c r="D21" t="s">
        <v>7</v>
      </c>
      <c r="I21" t="s">
        <v>7</v>
      </c>
    </row>
    <row r="22" spans="1:9" x14ac:dyDescent="0.25">
      <c r="A22" s="4">
        <v>18</v>
      </c>
      <c r="G22" t="s">
        <v>7</v>
      </c>
    </row>
    <row r="23" spans="1:9" x14ac:dyDescent="0.25">
      <c r="A23" s="4">
        <v>19</v>
      </c>
      <c r="C23" t="s">
        <v>2</v>
      </c>
      <c r="H23" t="s">
        <v>5</v>
      </c>
    </row>
    <row r="24" spans="1:9" x14ac:dyDescent="0.25">
      <c r="A24" s="4">
        <v>20</v>
      </c>
      <c r="E24" t="s">
        <v>2</v>
      </c>
    </row>
    <row r="25" spans="1:9" x14ac:dyDescent="0.25">
      <c r="A25" s="4">
        <v>21</v>
      </c>
      <c r="D25" t="s">
        <v>7</v>
      </c>
      <c r="I25" t="s">
        <v>4</v>
      </c>
    </row>
    <row r="26" spans="1:9" x14ac:dyDescent="0.25">
      <c r="A26" s="4">
        <v>22</v>
      </c>
      <c r="F26" t="s">
        <v>2</v>
      </c>
    </row>
    <row r="27" spans="1:9" x14ac:dyDescent="0.25">
      <c r="A27" s="4">
        <v>23</v>
      </c>
      <c r="D27" t="s">
        <v>7</v>
      </c>
      <c r="H27" t="s">
        <v>4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</row>
    <row r="30" spans="1:9" x14ac:dyDescent="0.25">
      <c r="A30" s="4">
        <v>26</v>
      </c>
      <c r="B30" t="s">
        <v>2</v>
      </c>
      <c r="G30" t="s">
        <v>2</v>
      </c>
    </row>
    <row r="31" spans="1:9" x14ac:dyDescent="0.25">
      <c r="A31" s="4">
        <v>27</v>
      </c>
      <c r="F31" t="s">
        <v>2</v>
      </c>
    </row>
    <row r="32" spans="1:9" x14ac:dyDescent="0.25">
      <c r="A32" s="4">
        <v>28</v>
      </c>
    </row>
    <row r="33" spans="1:9" x14ac:dyDescent="0.25">
      <c r="A33" s="4">
        <v>29</v>
      </c>
      <c r="C33" t="s">
        <v>5</v>
      </c>
      <c r="E33" t="s">
        <v>2</v>
      </c>
      <c r="G33" t="s">
        <v>6</v>
      </c>
      <c r="I33" t="s">
        <v>6</v>
      </c>
    </row>
    <row r="34" spans="1:9" x14ac:dyDescent="0.25">
      <c r="A34" s="4">
        <v>30</v>
      </c>
      <c r="B34" t="s">
        <v>2</v>
      </c>
      <c r="E34" t="s">
        <v>5</v>
      </c>
      <c r="G34" t="s">
        <v>2</v>
      </c>
      <c r="H34" t="s">
        <v>2</v>
      </c>
      <c r="I34" t="s">
        <v>2</v>
      </c>
    </row>
    <row r="35" spans="1:9" x14ac:dyDescent="0.25">
      <c r="A35" s="4">
        <v>31</v>
      </c>
      <c r="C35" t="s">
        <v>2</v>
      </c>
    </row>
    <row r="36" spans="1:9" x14ac:dyDescent="0.25">
      <c r="A36" s="4">
        <v>32</v>
      </c>
    </row>
    <row r="37" spans="1:9" x14ac:dyDescent="0.25">
      <c r="A37" s="4">
        <v>33</v>
      </c>
    </row>
    <row r="38" spans="1:9" x14ac:dyDescent="0.25">
      <c r="A38" s="4">
        <v>34</v>
      </c>
      <c r="C38" t="s">
        <v>5</v>
      </c>
      <c r="E38" t="s">
        <v>2</v>
      </c>
      <c r="F38" t="s">
        <v>2</v>
      </c>
      <c r="G38" t="s">
        <v>7</v>
      </c>
      <c r="H38" t="s">
        <v>7</v>
      </c>
      <c r="I38" t="s">
        <v>2</v>
      </c>
    </row>
    <row r="39" spans="1:9" x14ac:dyDescent="0.25">
      <c r="A39" s="4">
        <v>35</v>
      </c>
      <c r="D39" t="s">
        <v>2</v>
      </c>
      <c r="H39" t="s">
        <v>3</v>
      </c>
    </row>
    <row r="40" spans="1:9" x14ac:dyDescent="0.25">
      <c r="A40" s="4">
        <v>36</v>
      </c>
      <c r="E40" t="s">
        <v>2</v>
      </c>
      <c r="I40" t="s">
        <v>2</v>
      </c>
    </row>
    <row r="41" spans="1:9" x14ac:dyDescent="0.25">
      <c r="A41" s="4">
        <v>37</v>
      </c>
      <c r="B41" t="s">
        <v>2</v>
      </c>
      <c r="E41" t="s">
        <v>2</v>
      </c>
      <c r="I41" t="s">
        <v>2</v>
      </c>
    </row>
    <row r="42" spans="1:9" x14ac:dyDescent="0.25">
      <c r="A42" s="4">
        <v>38</v>
      </c>
      <c r="F42" t="s">
        <v>2</v>
      </c>
    </row>
    <row r="43" spans="1:9" x14ac:dyDescent="0.25">
      <c r="A43" s="4">
        <v>39</v>
      </c>
      <c r="D43" t="s">
        <v>7</v>
      </c>
      <c r="I43" t="s">
        <v>4</v>
      </c>
    </row>
    <row r="44" spans="1:9" x14ac:dyDescent="0.25">
      <c r="A44" s="4">
        <v>40</v>
      </c>
      <c r="C44" t="s">
        <v>7</v>
      </c>
      <c r="H44" t="s">
        <v>5</v>
      </c>
    </row>
    <row r="45" spans="1:9" x14ac:dyDescent="0.25">
      <c r="A45" s="4">
        <v>41</v>
      </c>
      <c r="C45" t="s">
        <v>2</v>
      </c>
      <c r="I45" t="s">
        <v>2</v>
      </c>
    </row>
    <row r="46" spans="1:9" x14ac:dyDescent="0.25">
      <c r="A46" s="4">
        <v>42</v>
      </c>
      <c r="D46" t="s">
        <v>2</v>
      </c>
      <c r="H46" t="s">
        <v>4</v>
      </c>
    </row>
    <row r="47" spans="1:9" x14ac:dyDescent="0.25">
      <c r="A47" s="4">
        <v>43</v>
      </c>
    </row>
    <row r="48" spans="1:9" x14ac:dyDescent="0.25">
      <c r="A48" s="4">
        <v>44</v>
      </c>
      <c r="E48" t="s">
        <v>2</v>
      </c>
    </row>
    <row r="49" spans="1:9" x14ac:dyDescent="0.25">
      <c r="A49" s="4">
        <v>45</v>
      </c>
      <c r="C49" t="s">
        <v>2</v>
      </c>
      <c r="F49" t="s">
        <v>2</v>
      </c>
      <c r="I49" t="s">
        <v>2</v>
      </c>
    </row>
    <row r="50" spans="1:9" x14ac:dyDescent="0.25">
      <c r="A50" s="4">
        <v>46</v>
      </c>
    </row>
    <row r="51" spans="1:9" x14ac:dyDescent="0.25">
      <c r="A51" s="4">
        <v>47</v>
      </c>
    </row>
    <row r="52" spans="1:9" x14ac:dyDescent="0.25">
      <c r="A52" s="4">
        <v>48</v>
      </c>
      <c r="E52" t="s">
        <v>2</v>
      </c>
      <c r="F52" t="s">
        <v>2</v>
      </c>
    </row>
    <row r="53" spans="1:9" x14ac:dyDescent="0.25">
      <c r="A53" s="4">
        <v>49</v>
      </c>
    </row>
    <row r="54" spans="1:9" x14ac:dyDescent="0.25">
      <c r="A54" s="4">
        <v>50</v>
      </c>
      <c r="B54" t="s">
        <v>2</v>
      </c>
      <c r="D54" t="s">
        <v>2</v>
      </c>
      <c r="E54" t="s">
        <v>6</v>
      </c>
      <c r="G54" t="s">
        <v>2</v>
      </c>
    </row>
    <row r="55" spans="1:9" x14ac:dyDescent="0.25">
      <c r="A55" s="4">
        <v>51</v>
      </c>
      <c r="E55" t="s">
        <v>6</v>
      </c>
      <c r="F55" t="s">
        <v>2</v>
      </c>
      <c r="I55" t="s">
        <v>2</v>
      </c>
    </row>
    <row r="56" spans="1:9" x14ac:dyDescent="0.25">
      <c r="A56" s="4">
        <v>52</v>
      </c>
      <c r="C56" t="s">
        <v>2</v>
      </c>
      <c r="F56" t="s">
        <v>2</v>
      </c>
      <c r="I56" t="s">
        <v>4</v>
      </c>
    </row>
    <row r="57" spans="1:9" x14ac:dyDescent="0.25">
      <c r="A57" s="4">
        <v>53</v>
      </c>
      <c r="F57" t="s">
        <v>2</v>
      </c>
    </row>
    <row r="58" spans="1:9" x14ac:dyDescent="0.25">
      <c r="A58" s="4">
        <v>54</v>
      </c>
      <c r="D58" t="s">
        <v>2</v>
      </c>
      <c r="H58" t="s">
        <v>4</v>
      </c>
    </row>
    <row r="59" spans="1:9" x14ac:dyDescent="0.25">
      <c r="A59" s="4">
        <v>55</v>
      </c>
      <c r="B59" t="s">
        <v>2</v>
      </c>
      <c r="G59" t="s">
        <v>7</v>
      </c>
    </row>
    <row r="60" spans="1:9" x14ac:dyDescent="0.25">
      <c r="A60" s="4">
        <v>56</v>
      </c>
      <c r="C60" t="s">
        <v>7</v>
      </c>
      <c r="H60" t="s">
        <v>4</v>
      </c>
    </row>
  </sheetData>
  <conditionalFormatting sqref="B5:D11 G5:G11">
    <cfRule type="cellIs" dxfId="1839" priority="17" operator="equal">
      <formula>"Energia"</formula>
    </cfRule>
  </conditionalFormatting>
  <conditionalFormatting sqref="B5:D60 G5:I60">
    <cfRule type="cellIs" dxfId="1838" priority="10" operator="equal">
      <formula>"Energia"</formula>
    </cfRule>
    <cfRule type="cellIs" dxfId="1837" priority="12" operator="equal">
      <formula>"Operação"</formula>
    </cfRule>
    <cfRule type="cellIs" dxfId="1836" priority="13" operator="equal">
      <formula>"Chuva"</formula>
    </cfRule>
    <cfRule type="cellIs" dxfId="1835" priority="14" operator="equal">
      <formula>"Elétrico"</formula>
    </cfRule>
    <cfRule type="cellIs" dxfId="1834" priority="15" operator="equal">
      <formula>"Mecânico"</formula>
    </cfRule>
    <cfRule type="cellIs" dxfId="1833" priority="16" operator="equal">
      <formula>"Ok"</formula>
    </cfRule>
  </conditionalFormatting>
  <conditionalFormatting sqref="B5:D60 G5:I60">
    <cfRule type="cellIs" dxfId="1832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831" priority="8" operator="equal">
      <formula>"Energia"</formula>
    </cfRule>
  </conditionalFormatting>
  <conditionalFormatting sqref="E5:F60">
    <cfRule type="cellIs" dxfId="1830" priority="1" operator="equal">
      <formula>"Energia"</formula>
    </cfRule>
    <cfRule type="cellIs" dxfId="1829" priority="3" operator="equal">
      <formula>"Operação"</formula>
    </cfRule>
    <cfRule type="cellIs" dxfId="1828" priority="4" operator="equal">
      <formula>"Chuva"</formula>
    </cfRule>
    <cfRule type="cellIs" dxfId="1827" priority="5" operator="equal">
      <formula>"Elétrico"</formula>
    </cfRule>
    <cfRule type="cellIs" dxfId="1826" priority="6" operator="equal">
      <formula>"Mecânico"</formula>
    </cfRule>
    <cfRule type="cellIs" dxfId="1825" priority="7" operator="equal">
      <formula>"Ok"</formula>
    </cfRule>
  </conditionalFormatting>
  <conditionalFormatting sqref="E5:F60">
    <cfRule type="cellIs" dxfId="1824" priority="2" operator="equal">
      <formula>"Feito"</formula>
    </cfRule>
  </conditionalFormatting>
  <dataValidations count="1">
    <dataValidation type="list" allowBlank="1" showInputMessage="1" showErrorMessage="1" sqref="B5:J60" xr:uid="{D0EDAD2F-A852-42CA-A7B1-D724489B06B7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F25C-0B26-45BF-9B0D-CBE9D0501659}">
  <sheetPr codeName="Planilha22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44364</v>
      </c>
      <c r="C3" s="3">
        <f>B3+1</f>
        <v>44365</v>
      </c>
      <c r="D3" s="3">
        <f t="shared" ref="D3:I3" si="0">C3+1</f>
        <v>44366</v>
      </c>
      <c r="E3" s="3">
        <f t="shared" si="0"/>
        <v>44367</v>
      </c>
      <c r="F3" s="3">
        <f t="shared" si="0"/>
        <v>44368</v>
      </c>
      <c r="G3" s="3">
        <f t="shared" si="0"/>
        <v>44369</v>
      </c>
      <c r="H3" s="3">
        <f t="shared" si="0"/>
        <v>44370</v>
      </c>
      <c r="I3" s="3">
        <f t="shared" si="0"/>
        <v>44371</v>
      </c>
    </row>
    <row r="4" spans="1:14" x14ac:dyDescent="0.25">
      <c r="A4" s="2" t="s">
        <v>0</v>
      </c>
      <c r="B4" s="1" t="str">
        <f>TEXT(B3,"ddd")</f>
        <v>qui</v>
      </c>
      <c r="C4" s="1" t="str">
        <f t="shared" ref="C4:I4" si="1">TEXT(C3,"ddd")</f>
        <v>sex</v>
      </c>
      <c r="D4" s="1" t="str">
        <f t="shared" si="1"/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D5" t="s">
        <v>2</v>
      </c>
      <c r="K5" s="5" t="s">
        <v>2</v>
      </c>
      <c r="L5">
        <f>COUNTIF($B$5:$I$60,K5)</f>
        <v>93</v>
      </c>
      <c r="M5" s="53">
        <f>L5/$L$11</f>
        <v>0.80869565217391304</v>
      </c>
      <c r="N5" s="52">
        <v>44364</v>
      </c>
    </row>
    <row r="6" spans="1:14" x14ac:dyDescent="0.25">
      <c r="A6" s="4">
        <v>2</v>
      </c>
      <c r="H6" t="s">
        <v>2</v>
      </c>
      <c r="K6" s="6" t="s">
        <v>5</v>
      </c>
      <c r="L6">
        <f t="shared" ref="L6:L10" si="2">COUNTIF($B$5:$I$60,K6)</f>
        <v>5</v>
      </c>
      <c r="M6" s="53">
        <f t="shared" ref="M6:M10" si="3">L6/$L$11</f>
        <v>4.3478260869565216E-2</v>
      </c>
    </row>
    <row r="7" spans="1:14" x14ac:dyDescent="0.25">
      <c r="A7" s="4">
        <v>3</v>
      </c>
      <c r="B7" t="s">
        <v>7</v>
      </c>
      <c r="E7" t="s">
        <v>2</v>
      </c>
      <c r="I7" t="s">
        <v>2</v>
      </c>
      <c r="K7" s="7" t="s">
        <v>6</v>
      </c>
      <c r="L7">
        <f t="shared" si="2"/>
        <v>3</v>
      </c>
      <c r="M7" s="53">
        <f t="shared" si="3"/>
        <v>2.6086956521739129E-2</v>
      </c>
    </row>
    <row r="8" spans="1:14" x14ac:dyDescent="0.25">
      <c r="A8" s="4">
        <v>4</v>
      </c>
      <c r="C8" t="s">
        <v>2</v>
      </c>
      <c r="G8" t="s">
        <v>2</v>
      </c>
      <c r="K8" s="8" t="s">
        <v>4</v>
      </c>
      <c r="L8">
        <f t="shared" si="2"/>
        <v>0</v>
      </c>
      <c r="M8" s="53">
        <f t="shared" si="3"/>
        <v>0</v>
      </c>
    </row>
    <row r="9" spans="1:14" x14ac:dyDescent="0.25">
      <c r="A9" s="4">
        <v>5</v>
      </c>
      <c r="B9" t="s">
        <v>2</v>
      </c>
      <c r="D9" t="s">
        <v>2</v>
      </c>
      <c r="G9" t="s">
        <v>2</v>
      </c>
      <c r="K9" s="9" t="s">
        <v>3</v>
      </c>
      <c r="L9">
        <f t="shared" si="2"/>
        <v>0</v>
      </c>
      <c r="M9" s="53">
        <f t="shared" si="3"/>
        <v>0</v>
      </c>
    </row>
    <row r="10" spans="1:14" x14ac:dyDescent="0.25">
      <c r="A10" s="4">
        <v>6</v>
      </c>
      <c r="B10" t="s">
        <v>2</v>
      </c>
      <c r="D10" t="s">
        <v>2</v>
      </c>
      <c r="F10" t="s">
        <v>2</v>
      </c>
      <c r="K10" s="10" t="s">
        <v>7</v>
      </c>
      <c r="L10">
        <f t="shared" si="2"/>
        <v>14</v>
      </c>
      <c r="M10" s="53">
        <f t="shared" si="3"/>
        <v>0.12173913043478261</v>
      </c>
    </row>
    <row r="11" spans="1:14" x14ac:dyDescent="0.25">
      <c r="A11" s="4">
        <v>7</v>
      </c>
      <c r="B11" t="s">
        <v>2</v>
      </c>
      <c r="D11" t="s">
        <v>2</v>
      </c>
      <c r="F11" t="s">
        <v>2</v>
      </c>
      <c r="H11" t="s">
        <v>2</v>
      </c>
      <c r="L11">
        <f>SUM(L5:L10)</f>
        <v>115</v>
      </c>
    </row>
    <row r="12" spans="1:14" x14ac:dyDescent="0.25">
      <c r="A12" s="4">
        <v>8</v>
      </c>
      <c r="C12" t="s">
        <v>2</v>
      </c>
      <c r="E12" t="s">
        <v>2</v>
      </c>
      <c r="G12" t="s">
        <v>2</v>
      </c>
      <c r="I12" t="s">
        <v>2</v>
      </c>
    </row>
    <row r="13" spans="1:14" x14ac:dyDescent="0.25">
      <c r="A13" s="4">
        <v>9</v>
      </c>
      <c r="D13" t="s">
        <v>2</v>
      </c>
      <c r="F13" t="s">
        <v>2</v>
      </c>
      <c r="G13" t="s">
        <v>2</v>
      </c>
      <c r="H13" t="s">
        <v>2</v>
      </c>
    </row>
    <row r="14" spans="1:14" x14ac:dyDescent="0.25">
      <c r="A14" s="4">
        <v>10</v>
      </c>
      <c r="B14" t="s">
        <v>2</v>
      </c>
      <c r="C14" t="s">
        <v>2</v>
      </c>
      <c r="E14" t="s">
        <v>2</v>
      </c>
      <c r="H14" t="s">
        <v>2</v>
      </c>
      <c r="I14" t="s">
        <v>2</v>
      </c>
    </row>
    <row r="15" spans="1:14" x14ac:dyDescent="0.25">
      <c r="A15" s="4">
        <v>11</v>
      </c>
      <c r="B15" t="s">
        <v>2</v>
      </c>
      <c r="F15" t="s">
        <v>2</v>
      </c>
      <c r="G15" t="s">
        <v>2</v>
      </c>
    </row>
    <row r="16" spans="1:14" x14ac:dyDescent="0.25">
      <c r="A16" s="4">
        <v>12</v>
      </c>
      <c r="D16" t="s">
        <v>5</v>
      </c>
    </row>
    <row r="17" spans="1:9" x14ac:dyDescent="0.25">
      <c r="A17" s="4">
        <v>13</v>
      </c>
      <c r="E17" t="s">
        <v>2</v>
      </c>
      <c r="H17" t="s">
        <v>2</v>
      </c>
    </row>
    <row r="18" spans="1:9" x14ac:dyDescent="0.25">
      <c r="A18" s="4">
        <v>14</v>
      </c>
      <c r="B18" t="s">
        <v>2</v>
      </c>
      <c r="E18" t="s">
        <v>2</v>
      </c>
      <c r="H18" t="s">
        <v>5</v>
      </c>
    </row>
    <row r="19" spans="1:9" x14ac:dyDescent="0.25">
      <c r="A19" s="4">
        <v>15</v>
      </c>
      <c r="B19" t="s">
        <v>7</v>
      </c>
      <c r="G19" t="s">
        <v>2</v>
      </c>
    </row>
    <row r="20" spans="1:9" x14ac:dyDescent="0.25">
      <c r="A20" s="4">
        <v>16</v>
      </c>
      <c r="C20" t="s">
        <v>7</v>
      </c>
    </row>
    <row r="21" spans="1:9" x14ac:dyDescent="0.25">
      <c r="A21" s="4">
        <v>17</v>
      </c>
      <c r="E21" t="s">
        <v>2</v>
      </c>
    </row>
    <row r="22" spans="1:9" x14ac:dyDescent="0.25">
      <c r="A22" s="4">
        <v>18</v>
      </c>
    </row>
    <row r="23" spans="1:9" x14ac:dyDescent="0.25">
      <c r="A23" s="4">
        <v>19</v>
      </c>
      <c r="E23" t="s">
        <v>2</v>
      </c>
    </row>
    <row r="24" spans="1:9" x14ac:dyDescent="0.25">
      <c r="A24" s="4">
        <v>20</v>
      </c>
      <c r="C24" t="s">
        <v>2</v>
      </c>
    </row>
    <row r="25" spans="1:9" x14ac:dyDescent="0.25">
      <c r="A25" s="4">
        <v>21</v>
      </c>
      <c r="F25" t="s">
        <v>2</v>
      </c>
    </row>
    <row r="26" spans="1:9" x14ac:dyDescent="0.25">
      <c r="A26" s="4">
        <v>22</v>
      </c>
      <c r="D26" t="s">
        <v>2</v>
      </c>
    </row>
    <row r="27" spans="1:9" x14ac:dyDescent="0.25">
      <c r="A27" s="4">
        <v>23</v>
      </c>
      <c r="E27" t="s">
        <v>2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  <c r="E30" t="s">
        <v>2</v>
      </c>
    </row>
    <row r="31" spans="1:9" x14ac:dyDescent="0.25">
      <c r="A31" s="4">
        <v>27</v>
      </c>
      <c r="C31" t="s">
        <v>2</v>
      </c>
      <c r="G31" t="s">
        <v>2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6</v>
      </c>
      <c r="C33" t="s">
        <v>2</v>
      </c>
      <c r="F33" t="s">
        <v>2</v>
      </c>
      <c r="I33" t="s">
        <v>2</v>
      </c>
    </row>
    <row r="34" spans="1:9" x14ac:dyDescent="0.25">
      <c r="A34" s="4">
        <v>30</v>
      </c>
      <c r="B34" t="s">
        <v>2</v>
      </c>
      <c r="D34" t="s">
        <v>2</v>
      </c>
      <c r="G34" t="s">
        <v>7</v>
      </c>
      <c r="H34" t="s">
        <v>2</v>
      </c>
    </row>
    <row r="35" spans="1:9" x14ac:dyDescent="0.25">
      <c r="A35" s="4">
        <v>31</v>
      </c>
    </row>
    <row r="36" spans="1:9" x14ac:dyDescent="0.25">
      <c r="A36" s="4">
        <v>32</v>
      </c>
    </row>
    <row r="37" spans="1:9" x14ac:dyDescent="0.25">
      <c r="A37" s="4">
        <v>33</v>
      </c>
      <c r="H37" t="s">
        <v>7</v>
      </c>
      <c r="I37" t="s">
        <v>5</v>
      </c>
    </row>
    <row r="38" spans="1:9" x14ac:dyDescent="0.25">
      <c r="A38" s="4">
        <v>34</v>
      </c>
      <c r="B38" t="s">
        <v>7</v>
      </c>
      <c r="C38" t="s">
        <v>7</v>
      </c>
      <c r="D38" t="s">
        <v>7</v>
      </c>
      <c r="E38" t="s">
        <v>2</v>
      </c>
      <c r="F38" t="s">
        <v>2</v>
      </c>
      <c r="G38" t="s">
        <v>2</v>
      </c>
      <c r="I38" t="s">
        <v>2</v>
      </c>
    </row>
    <row r="39" spans="1:9" x14ac:dyDescent="0.25">
      <c r="A39" s="4">
        <v>35</v>
      </c>
      <c r="D39" t="s">
        <v>6</v>
      </c>
      <c r="H39" t="s">
        <v>2</v>
      </c>
    </row>
    <row r="40" spans="1:9" x14ac:dyDescent="0.25">
      <c r="A40" s="4">
        <v>36</v>
      </c>
      <c r="E40" t="s">
        <v>2</v>
      </c>
      <c r="I40" t="s">
        <v>2</v>
      </c>
    </row>
    <row r="41" spans="1:9" x14ac:dyDescent="0.25">
      <c r="A41" s="4">
        <v>37</v>
      </c>
      <c r="E41" t="s">
        <v>2</v>
      </c>
    </row>
    <row r="42" spans="1:9" x14ac:dyDescent="0.25">
      <c r="A42" s="4">
        <v>38</v>
      </c>
      <c r="D42" t="s">
        <v>2</v>
      </c>
      <c r="I42" t="s">
        <v>2</v>
      </c>
    </row>
    <row r="43" spans="1:9" x14ac:dyDescent="0.25">
      <c r="A43" s="4">
        <v>39</v>
      </c>
      <c r="E43" t="s">
        <v>7</v>
      </c>
    </row>
    <row r="44" spans="1:9" x14ac:dyDescent="0.25">
      <c r="A44" s="4">
        <v>40</v>
      </c>
      <c r="E44" t="s">
        <v>2</v>
      </c>
    </row>
    <row r="45" spans="1:9" x14ac:dyDescent="0.25">
      <c r="A45" s="4">
        <v>41</v>
      </c>
      <c r="F45" t="s">
        <v>2</v>
      </c>
    </row>
    <row r="46" spans="1:9" x14ac:dyDescent="0.25">
      <c r="A46" s="4">
        <v>42</v>
      </c>
      <c r="F46" t="s">
        <v>7</v>
      </c>
    </row>
    <row r="47" spans="1:9" x14ac:dyDescent="0.25">
      <c r="A47" s="4">
        <v>43</v>
      </c>
    </row>
    <row r="48" spans="1:9" x14ac:dyDescent="0.25">
      <c r="A48" s="4">
        <v>44</v>
      </c>
      <c r="B48" t="s">
        <v>2</v>
      </c>
      <c r="F48" t="s">
        <v>2</v>
      </c>
    </row>
    <row r="49" spans="1:9" x14ac:dyDescent="0.25">
      <c r="A49" s="4">
        <v>45</v>
      </c>
      <c r="D49" t="s">
        <v>2</v>
      </c>
      <c r="G49" t="s">
        <v>2</v>
      </c>
    </row>
    <row r="50" spans="1:9" x14ac:dyDescent="0.25">
      <c r="A50" s="4">
        <v>46</v>
      </c>
    </row>
    <row r="51" spans="1:9" x14ac:dyDescent="0.25">
      <c r="A51" s="4">
        <v>47</v>
      </c>
    </row>
    <row r="52" spans="1:9" x14ac:dyDescent="0.25">
      <c r="A52" s="4">
        <v>48</v>
      </c>
      <c r="D52" t="s">
        <v>5</v>
      </c>
      <c r="E52" t="s">
        <v>6</v>
      </c>
      <c r="F52" t="s">
        <v>5</v>
      </c>
      <c r="G52" t="s">
        <v>2</v>
      </c>
    </row>
    <row r="53" spans="1:9" x14ac:dyDescent="0.25">
      <c r="A53" s="4">
        <v>49</v>
      </c>
      <c r="B53" t="s">
        <v>7</v>
      </c>
      <c r="D53" t="s">
        <v>2</v>
      </c>
      <c r="E53" t="s">
        <v>2</v>
      </c>
      <c r="F53" t="s">
        <v>2</v>
      </c>
    </row>
    <row r="54" spans="1:9" x14ac:dyDescent="0.25">
      <c r="A54" s="4">
        <v>50</v>
      </c>
      <c r="B54" t="s">
        <v>2</v>
      </c>
      <c r="E54" t="s">
        <v>2</v>
      </c>
      <c r="F54" t="s">
        <v>2</v>
      </c>
      <c r="H54" t="s">
        <v>2</v>
      </c>
    </row>
    <row r="55" spans="1:9" x14ac:dyDescent="0.25">
      <c r="A55" s="4">
        <v>51</v>
      </c>
      <c r="C55" t="s">
        <v>2</v>
      </c>
      <c r="E55" t="s">
        <v>2</v>
      </c>
      <c r="F55" t="s">
        <v>2</v>
      </c>
      <c r="G55" t="s">
        <v>2</v>
      </c>
      <c r="I55" t="s">
        <v>7</v>
      </c>
    </row>
    <row r="56" spans="1:9" x14ac:dyDescent="0.25">
      <c r="A56" s="4">
        <v>52</v>
      </c>
      <c r="D56" t="s">
        <v>2</v>
      </c>
      <c r="H56" t="s">
        <v>7</v>
      </c>
    </row>
    <row r="57" spans="1:9" x14ac:dyDescent="0.25">
      <c r="A57" s="4">
        <v>53</v>
      </c>
      <c r="C57" t="s">
        <v>2</v>
      </c>
      <c r="H57" t="s">
        <v>2</v>
      </c>
    </row>
    <row r="58" spans="1:9" x14ac:dyDescent="0.25">
      <c r="A58" s="4">
        <v>54</v>
      </c>
      <c r="E58" t="s">
        <v>2</v>
      </c>
    </row>
    <row r="59" spans="1:9" x14ac:dyDescent="0.25">
      <c r="A59" s="4">
        <v>55</v>
      </c>
      <c r="D59" t="s">
        <v>2</v>
      </c>
      <c r="I59" t="s">
        <v>7</v>
      </c>
    </row>
    <row r="60" spans="1:9" x14ac:dyDescent="0.25">
      <c r="A60" s="4">
        <v>56</v>
      </c>
      <c r="E60" t="s">
        <v>2</v>
      </c>
    </row>
  </sheetData>
  <conditionalFormatting sqref="B5:D11 G5:G11">
    <cfRule type="cellIs" dxfId="1823" priority="17" operator="equal">
      <formula>"Energia"</formula>
    </cfRule>
  </conditionalFormatting>
  <conditionalFormatting sqref="B5:D60 G5:I60">
    <cfRule type="cellIs" dxfId="1822" priority="10" operator="equal">
      <formula>"Energia"</formula>
    </cfRule>
    <cfRule type="cellIs" dxfId="1821" priority="12" operator="equal">
      <formula>"Operação"</formula>
    </cfRule>
    <cfRule type="cellIs" dxfId="1820" priority="13" operator="equal">
      <formula>"Chuva"</formula>
    </cfRule>
    <cfRule type="cellIs" dxfId="1819" priority="14" operator="equal">
      <formula>"Elétrico"</formula>
    </cfRule>
    <cfRule type="cellIs" dxfId="1818" priority="15" operator="equal">
      <formula>"Mecânico"</formula>
    </cfRule>
    <cfRule type="cellIs" dxfId="1817" priority="16" operator="equal">
      <formula>"Ok"</formula>
    </cfRule>
  </conditionalFormatting>
  <conditionalFormatting sqref="B5:D60 G5:I60">
    <cfRule type="cellIs" dxfId="1816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815" priority="8" operator="equal">
      <formula>"Energia"</formula>
    </cfRule>
  </conditionalFormatting>
  <conditionalFormatting sqref="E5:F60">
    <cfRule type="cellIs" dxfId="1814" priority="1" operator="equal">
      <formula>"Energia"</formula>
    </cfRule>
    <cfRule type="cellIs" dxfId="1813" priority="3" operator="equal">
      <formula>"Operação"</formula>
    </cfRule>
    <cfRule type="cellIs" dxfId="1812" priority="4" operator="equal">
      <formula>"Chuva"</formula>
    </cfRule>
    <cfRule type="cellIs" dxfId="1811" priority="5" operator="equal">
      <formula>"Elétrico"</formula>
    </cfRule>
    <cfRule type="cellIs" dxfId="1810" priority="6" operator="equal">
      <formula>"Mecânico"</formula>
    </cfRule>
    <cfRule type="cellIs" dxfId="1809" priority="7" operator="equal">
      <formula>"Ok"</formula>
    </cfRule>
  </conditionalFormatting>
  <conditionalFormatting sqref="E5:F60">
    <cfRule type="cellIs" dxfId="1808" priority="2" operator="equal">
      <formula>"Feito"</formula>
    </cfRule>
  </conditionalFormatting>
  <dataValidations count="1">
    <dataValidation type="list" allowBlank="1" showInputMessage="1" showErrorMessage="1" sqref="B5:J60" xr:uid="{E6EFDD94-D453-423F-9EB9-12B1F0A78039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4CD6-B2A3-4B2E-B9E7-697CB2FA0510}">
  <sheetPr codeName="Planilha23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44372</v>
      </c>
      <c r="C3" s="3">
        <f>B3+1</f>
        <v>44373</v>
      </c>
      <c r="D3" s="3">
        <f t="shared" ref="D3:I3" si="0">C3+1</f>
        <v>44374</v>
      </c>
      <c r="E3" s="3">
        <f t="shared" si="0"/>
        <v>44375</v>
      </c>
      <c r="F3" s="3">
        <f t="shared" si="0"/>
        <v>44376</v>
      </c>
      <c r="G3" s="3">
        <f t="shared" si="0"/>
        <v>44377</v>
      </c>
      <c r="H3" s="3">
        <f t="shared" si="0"/>
        <v>44378</v>
      </c>
      <c r="I3" s="3">
        <f t="shared" si="0"/>
        <v>44379</v>
      </c>
    </row>
    <row r="4" spans="1:14" x14ac:dyDescent="0.25">
      <c r="A4" s="2" t="s">
        <v>0</v>
      </c>
      <c r="B4" s="1" t="str">
        <f>TEXT(B3,"ddd")</f>
        <v>sex</v>
      </c>
      <c r="C4" s="1" t="str">
        <f t="shared" ref="C4:I4" si="1">TEXT(C3,"ddd")</f>
        <v>sáb</v>
      </c>
      <c r="D4" s="1" t="str">
        <f t="shared" si="1"/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B5" t="s">
        <v>2</v>
      </c>
      <c r="E5" t="s">
        <v>2</v>
      </c>
      <c r="H5" t="s">
        <v>2</v>
      </c>
      <c r="K5" s="5" t="s">
        <v>2</v>
      </c>
      <c r="L5">
        <f>COUNTIF($B$5:$I$60,K5)</f>
        <v>95</v>
      </c>
      <c r="M5" s="53">
        <f>L5/$L$11</f>
        <v>0.7661290322580645</v>
      </c>
      <c r="N5" s="52">
        <v>44372</v>
      </c>
    </row>
    <row r="6" spans="1:14" x14ac:dyDescent="0.25">
      <c r="A6" s="4">
        <v>2</v>
      </c>
      <c r="H6" t="s">
        <v>2</v>
      </c>
      <c r="K6" s="6" t="s">
        <v>5</v>
      </c>
      <c r="L6">
        <f t="shared" ref="L6:L10" si="2">COUNTIF($B$5:$I$60,K6)</f>
        <v>9</v>
      </c>
      <c r="M6" s="53">
        <f t="shared" ref="M6:M10" si="3">L6/$L$11</f>
        <v>7.2580645161290328E-2</v>
      </c>
    </row>
    <row r="7" spans="1:14" x14ac:dyDescent="0.25">
      <c r="A7" s="4">
        <v>3</v>
      </c>
      <c r="D7" t="s">
        <v>2</v>
      </c>
      <c r="K7" s="7" t="s">
        <v>6</v>
      </c>
      <c r="L7">
        <f t="shared" si="2"/>
        <v>5</v>
      </c>
      <c r="M7" s="53">
        <f t="shared" si="3"/>
        <v>4.0322580645161289E-2</v>
      </c>
    </row>
    <row r="8" spans="1:14" x14ac:dyDescent="0.25">
      <c r="A8" s="4">
        <v>4</v>
      </c>
      <c r="C8" t="s">
        <v>2</v>
      </c>
      <c r="H8" t="s">
        <v>2</v>
      </c>
      <c r="K8" s="8" t="s">
        <v>4</v>
      </c>
      <c r="L8">
        <f t="shared" si="2"/>
        <v>0</v>
      </c>
      <c r="M8" s="53">
        <f t="shared" si="3"/>
        <v>0</v>
      </c>
    </row>
    <row r="9" spans="1:14" x14ac:dyDescent="0.25">
      <c r="A9" s="4">
        <v>5</v>
      </c>
      <c r="C9" t="s">
        <v>2</v>
      </c>
      <c r="G9" t="s">
        <v>5</v>
      </c>
      <c r="K9" s="9" t="s">
        <v>3</v>
      </c>
      <c r="L9">
        <f t="shared" si="2"/>
        <v>0</v>
      </c>
      <c r="M9" s="53">
        <f t="shared" si="3"/>
        <v>0</v>
      </c>
    </row>
    <row r="10" spans="1:14" x14ac:dyDescent="0.25">
      <c r="A10" s="4">
        <v>6</v>
      </c>
      <c r="C10" t="s">
        <v>2</v>
      </c>
      <c r="G10" t="s">
        <v>7</v>
      </c>
      <c r="K10" s="10" t="s">
        <v>7</v>
      </c>
      <c r="L10">
        <f t="shared" si="2"/>
        <v>15</v>
      </c>
      <c r="M10" s="53">
        <f t="shared" si="3"/>
        <v>0.12096774193548387</v>
      </c>
    </row>
    <row r="11" spans="1:14" x14ac:dyDescent="0.25">
      <c r="A11" s="4">
        <v>7</v>
      </c>
      <c r="B11" t="s">
        <v>2</v>
      </c>
      <c r="D11" t="s">
        <v>2</v>
      </c>
      <c r="G11" t="s">
        <v>2</v>
      </c>
      <c r="L11">
        <f>SUM(L5:L10)</f>
        <v>124</v>
      </c>
    </row>
    <row r="12" spans="1:14" x14ac:dyDescent="0.25">
      <c r="A12" s="4">
        <v>8</v>
      </c>
      <c r="C12" t="s">
        <v>2</v>
      </c>
      <c r="E12" t="s">
        <v>2</v>
      </c>
      <c r="G12" t="s">
        <v>2</v>
      </c>
      <c r="I12" t="s">
        <v>2</v>
      </c>
    </row>
    <row r="13" spans="1:14" x14ac:dyDescent="0.25">
      <c r="A13" s="4">
        <v>9</v>
      </c>
      <c r="B13" t="s">
        <v>2</v>
      </c>
      <c r="C13" t="s">
        <v>2</v>
      </c>
      <c r="E13" t="s">
        <v>2</v>
      </c>
      <c r="F13" t="s">
        <v>5</v>
      </c>
      <c r="G13" t="s">
        <v>5</v>
      </c>
      <c r="H13" t="s">
        <v>7</v>
      </c>
      <c r="I13" t="s">
        <v>2</v>
      </c>
    </row>
    <row r="14" spans="1:14" x14ac:dyDescent="0.25">
      <c r="A14" s="4">
        <v>10</v>
      </c>
      <c r="B14" t="s">
        <v>2</v>
      </c>
      <c r="F14" t="s">
        <v>2</v>
      </c>
      <c r="G14" t="s">
        <v>2</v>
      </c>
      <c r="H14" t="s">
        <v>2</v>
      </c>
    </row>
    <row r="15" spans="1:14" x14ac:dyDescent="0.25">
      <c r="A15" s="4">
        <v>11</v>
      </c>
      <c r="B15" t="s">
        <v>2</v>
      </c>
      <c r="E15" t="s">
        <v>2</v>
      </c>
      <c r="F15" t="s">
        <v>2</v>
      </c>
      <c r="H15" t="s">
        <v>2</v>
      </c>
    </row>
    <row r="16" spans="1:14" x14ac:dyDescent="0.25">
      <c r="A16" s="4">
        <v>12</v>
      </c>
      <c r="B16" t="s">
        <v>2</v>
      </c>
      <c r="G16" t="s">
        <v>2</v>
      </c>
      <c r="H16" t="s">
        <v>2</v>
      </c>
      <c r="I16" t="s">
        <v>2</v>
      </c>
    </row>
    <row r="17" spans="1:9" x14ac:dyDescent="0.25">
      <c r="A17" s="4">
        <v>13</v>
      </c>
      <c r="D17" t="s">
        <v>2</v>
      </c>
      <c r="H17" t="s">
        <v>2</v>
      </c>
      <c r="I17" t="s">
        <v>2</v>
      </c>
    </row>
    <row r="18" spans="1:9" x14ac:dyDescent="0.25">
      <c r="A18" s="4">
        <v>14</v>
      </c>
      <c r="E18" t="s">
        <v>2</v>
      </c>
      <c r="G18" t="s">
        <v>2</v>
      </c>
      <c r="H18" t="s">
        <v>2</v>
      </c>
    </row>
    <row r="19" spans="1:9" x14ac:dyDescent="0.25">
      <c r="A19" s="4">
        <v>15</v>
      </c>
      <c r="D19" t="s">
        <v>2</v>
      </c>
      <c r="I19" t="s">
        <v>7</v>
      </c>
    </row>
    <row r="20" spans="1:9" x14ac:dyDescent="0.25">
      <c r="A20" s="4">
        <v>16</v>
      </c>
    </row>
    <row r="21" spans="1:9" x14ac:dyDescent="0.25">
      <c r="A21" s="4">
        <v>17</v>
      </c>
      <c r="C21" t="s">
        <v>2</v>
      </c>
      <c r="H21" t="s">
        <v>2</v>
      </c>
    </row>
    <row r="22" spans="1:9" x14ac:dyDescent="0.25">
      <c r="A22" s="4">
        <v>18</v>
      </c>
    </row>
    <row r="23" spans="1:9" x14ac:dyDescent="0.25">
      <c r="A23" s="4">
        <v>19</v>
      </c>
      <c r="B23" t="s">
        <v>5</v>
      </c>
      <c r="G23" t="s">
        <v>7</v>
      </c>
      <c r="H23" t="s">
        <v>7</v>
      </c>
    </row>
    <row r="24" spans="1:9" x14ac:dyDescent="0.25">
      <c r="A24" s="4">
        <v>20</v>
      </c>
    </row>
    <row r="25" spans="1:9" x14ac:dyDescent="0.25">
      <c r="A25" s="4">
        <v>21</v>
      </c>
      <c r="D25" t="s">
        <v>2</v>
      </c>
      <c r="I25" t="s">
        <v>7</v>
      </c>
    </row>
    <row r="26" spans="1:9" x14ac:dyDescent="0.25">
      <c r="A26" s="4">
        <v>22</v>
      </c>
    </row>
    <row r="27" spans="1:9" x14ac:dyDescent="0.25">
      <c r="A27" s="4">
        <v>23</v>
      </c>
      <c r="C27" t="s">
        <v>2</v>
      </c>
      <c r="H27" t="s">
        <v>7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D29" t="s">
        <v>2</v>
      </c>
      <c r="F29" t="s">
        <v>2</v>
      </c>
      <c r="G29" t="s">
        <v>2</v>
      </c>
      <c r="H29" t="s">
        <v>2</v>
      </c>
    </row>
    <row r="30" spans="1:9" x14ac:dyDescent="0.25">
      <c r="A30" s="4">
        <v>26</v>
      </c>
      <c r="C30" t="s">
        <v>2</v>
      </c>
      <c r="I30" t="s">
        <v>7</v>
      </c>
    </row>
    <row r="31" spans="1:9" x14ac:dyDescent="0.25">
      <c r="A31" s="4">
        <v>27</v>
      </c>
      <c r="D31" t="s">
        <v>6</v>
      </c>
      <c r="I31" t="s">
        <v>2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D33" t="s">
        <v>2</v>
      </c>
      <c r="G33" t="s">
        <v>2</v>
      </c>
    </row>
    <row r="34" spans="1:9" x14ac:dyDescent="0.25">
      <c r="A34" s="4">
        <v>30</v>
      </c>
      <c r="B34" t="s">
        <v>2</v>
      </c>
      <c r="E34" t="s">
        <v>2</v>
      </c>
      <c r="G34" t="s">
        <v>2</v>
      </c>
      <c r="I34" t="s">
        <v>2</v>
      </c>
    </row>
    <row r="35" spans="1:9" x14ac:dyDescent="0.25">
      <c r="A35" s="4">
        <v>31</v>
      </c>
      <c r="I35" t="s">
        <v>7</v>
      </c>
    </row>
    <row r="36" spans="1:9" x14ac:dyDescent="0.25">
      <c r="A36" s="4">
        <v>32</v>
      </c>
    </row>
    <row r="37" spans="1:9" x14ac:dyDescent="0.25">
      <c r="A37" s="4">
        <v>33</v>
      </c>
    </row>
    <row r="38" spans="1:9" x14ac:dyDescent="0.25">
      <c r="A38" s="4">
        <v>34</v>
      </c>
      <c r="C38" t="s">
        <v>2</v>
      </c>
      <c r="E38" t="s">
        <v>2</v>
      </c>
      <c r="F38" t="s">
        <v>2</v>
      </c>
      <c r="I38" t="s">
        <v>2</v>
      </c>
    </row>
    <row r="39" spans="1:9" x14ac:dyDescent="0.25">
      <c r="A39" s="4">
        <v>35</v>
      </c>
      <c r="B39" t="s">
        <v>2</v>
      </c>
      <c r="C39" t="s">
        <v>2</v>
      </c>
      <c r="G39" t="s">
        <v>2</v>
      </c>
      <c r="I39" t="s">
        <v>2</v>
      </c>
    </row>
    <row r="40" spans="1:9" x14ac:dyDescent="0.25">
      <c r="A40" s="4">
        <v>36</v>
      </c>
      <c r="E40" t="s">
        <v>5</v>
      </c>
      <c r="I40" t="s">
        <v>2</v>
      </c>
    </row>
    <row r="41" spans="1:9" x14ac:dyDescent="0.25">
      <c r="A41" s="4">
        <v>37</v>
      </c>
      <c r="B41" t="s">
        <v>2</v>
      </c>
      <c r="G41" t="s">
        <v>2</v>
      </c>
    </row>
    <row r="42" spans="1:9" x14ac:dyDescent="0.25">
      <c r="A42" s="4">
        <v>38</v>
      </c>
      <c r="G42" t="s">
        <v>2</v>
      </c>
    </row>
    <row r="43" spans="1:9" x14ac:dyDescent="0.25">
      <c r="A43" s="4">
        <v>39</v>
      </c>
      <c r="B43" t="s">
        <v>2</v>
      </c>
      <c r="H43" t="s">
        <v>2</v>
      </c>
    </row>
    <row r="44" spans="1:9" x14ac:dyDescent="0.25">
      <c r="A44" s="4">
        <v>40</v>
      </c>
      <c r="C44" t="s">
        <v>2</v>
      </c>
      <c r="I44" t="s">
        <v>2</v>
      </c>
    </row>
    <row r="45" spans="1:9" x14ac:dyDescent="0.25">
      <c r="A45" s="4">
        <v>41</v>
      </c>
      <c r="D45" t="s">
        <v>2</v>
      </c>
    </row>
    <row r="46" spans="1:9" x14ac:dyDescent="0.25">
      <c r="A46" s="4">
        <v>42</v>
      </c>
      <c r="C46" t="s">
        <v>2</v>
      </c>
      <c r="H46" t="s">
        <v>2</v>
      </c>
    </row>
    <row r="47" spans="1:9" x14ac:dyDescent="0.25">
      <c r="A47" s="4">
        <v>43</v>
      </c>
    </row>
    <row r="48" spans="1:9" x14ac:dyDescent="0.25">
      <c r="A48" s="4">
        <v>44</v>
      </c>
      <c r="C48" t="s">
        <v>2</v>
      </c>
      <c r="H48" t="s">
        <v>2</v>
      </c>
    </row>
    <row r="49" spans="1:9" x14ac:dyDescent="0.25">
      <c r="A49" s="4">
        <v>45</v>
      </c>
      <c r="B49" t="s">
        <v>2</v>
      </c>
      <c r="E49" t="s">
        <v>2</v>
      </c>
    </row>
    <row r="50" spans="1:9" x14ac:dyDescent="0.25">
      <c r="A50" s="4">
        <v>46</v>
      </c>
      <c r="E50" t="s">
        <v>6</v>
      </c>
      <c r="F50" t="s">
        <v>6</v>
      </c>
      <c r="G50" t="s">
        <v>6</v>
      </c>
      <c r="H50" t="s">
        <v>6</v>
      </c>
    </row>
    <row r="51" spans="1:9" x14ac:dyDescent="0.25">
      <c r="A51" s="4">
        <v>47</v>
      </c>
      <c r="G51" t="s">
        <v>2</v>
      </c>
      <c r="I51" t="s">
        <v>7</v>
      </c>
    </row>
    <row r="52" spans="1:9" x14ac:dyDescent="0.25">
      <c r="A52" s="4">
        <v>48</v>
      </c>
      <c r="B52" t="s">
        <v>7</v>
      </c>
      <c r="C52" t="s">
        <v>2</v>
      </c>
      <c r="D52" t="s">
        <v>2</v>
      </c>
      <c r="E52" t="s">
        <v>5</v>
      </c>
      <c r="F52" t="s">
        <v>7</v>
      </c>
      <c r="G52" t="s">
        <v>5</v>
      </c>
      <c r="H52" t="s">
        <v>7</v>
      </c>
      <c r="I52" t="s">
        <v>7</v>
      </c>
    </row>
    <row r="53" spans="1:9" x14ac:dyDescent="0.25">
      <c r="A53" s="4">
        <v>49</v>
      </c>
      <c r="B53" t="s">
        <v>5</v>
      </c>
      <c r="C53" t="s">
        <v>5</v>
      </c>
      <c r="D53" t="s">
        <v>2</v>
      </c>
      <c r="H53" t="s">
        <v>2</v>
      </c>
    </row>
    <row r="54" spans="1:9" x14ac:dyDescent="0.25">
      <c r="A54" s="4">
        <v>50</v>
      </c>
      <c r="B54" t="s">
        <v>7</v>
      </c>
      <c r="E54" t="s">
        <v>2</v>
      </c>
      <c r="H54" t="s">
        <v>2</v>
      </c>
    </row>
    <row r="55" spans="1:9" x14ac:dyDescent="0.25">
      <c r="A55" s="4">
        <v>51</v>
      </c>
    </row>
    <row r="56" spans="1:9" x14ac:dyDescent="0.25">
      <c r="A56" s="4">
        <v>52</v>
      </c>
      <c r="C56" t="s">
        <v>2</v>
      </c>
      <c r="F56" t="s">
        <v>2</v>
      </c>
    </row>
    <row r="57" spans="1:9" x14ac:dyDescent="0.25">
      <c r="A57" s="4">
        <v>53</v>
      </c>
      <c r="E57" t="s">
        <v>2</v>
      </c>
    </row>
    <row r="58" spans="1:9" x14ac:dyDescent="0.25">
      <c r="A58" s="4">
        <v>54</v>
      </c>
      <c r="B58" t="s">
        <v>2</v>
      </c>
      <c r="G58" t="s">
        <v>2</v>
      </c>
    </row>
    <row r="59" spans="1:9" x14ac:dyDescent="0.25">
      <c r="A59" s="4">
        <v>55</v>
      </c>
      <c r="F59" t="s">
        <v>2</v>
      </c>
    </row>
    <row r="60" spans="1:9" x14ac:dyDescent="0.25">
      <c r="A60" s="4">
        <v>56</v>
      </c>
      <c r="B60" t="s">
        <v>2</v>
      </c>
      <c r="G60" t="s">
        <v>2</v>
      </c>
    </row>
  </sheetData>
  <conditionalFormatting sqref="B5:D11 G5:G11">
    <cfRule type="cellIs" dxfId="1807" priority="17" operator="equal">
      <formula>"Energia"</formula>
    </cfRule>
  </conditionalFormatting>
  <conditionalFormatting sqref="B5:D60 G5:I60">
    <cfRule type="cellIs" dxfId="1806" priority="10" operator="equal">
      <formula>"Energia"</formula>
    </cfRule>
    <cfRule type="cellIs" dxfId="1805" priority="12" operator="equal">
      <formula>"Operação"</formula>
    </cfRule>
    <cfRule type="cellIs" dxfId="1804" priority="13" operator="equal">
      <formula>"Chuva"</formula>
    </cfRule>
    <cfRule type="cellIs" dxfId="1803" priority="14" operator="equal">
      <formula>"Elétrico"</formula>
    </cfRule>
    <cfRule type="cellIs" dxfId="1802" priority="15" operator="equal">
      <formula>"Mecânico"</formula>
    </cfRule>
    <cfRule type="cellIs" dxfId="1801" priority="16" operator="equal">
      <formula>"Ok"</formula>
    </cfRule>
  </conditionalFormatting>
  <conditionalFormatting sqref="B5:D60 G5:I60">
    <cfRule type="cellIs" dxfId="1800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799" priority="8" operator="equal">
      <formula>"Energia"</formula>
    </cfRule>
  </conditionalFormatting>
  <conditionalFormatting sqref="E5:F60">
    <cfRule type="cellIs" dxfId="1798" priority="1" operator="equal">
      <formula>"Energia"</formula>
    </cfRule>
    <cfRule type="cellIs" dxfId="1797" priority="3" operator="equal">
      <formula>"Operação"</formula>
    </cfRule>
    <cfRule type="cellIs" dxfId="1796" priority="4" operator="equal">
      <formula>"Chuva"</formula>
    </cfRule>
    <cfRule type="cellIs" dxfId="1795" priority="5" operator="equal">
      <formula>"Elétrico"</formula>
    </cfRule>
    <cfRule type="cellIs" dxfId="1794" priority="6" operator="equal">
      <formula>"Mecânico"</formula>
    </cfRule>
    <cfRule type="cellIs" dxfId="1793" priority="7" operator="equal">
      <formula>"Ok"</formula>
    </cfRule>
  </conditionalFormatting>
  <conditionalFormatting sqref="E5:F60">
    <cfRule type="cellIs" dxfId="1792" priority="2" operator="equal">
      <formula>"Feito"</formula>
    </cfRule>
  </conditionalFormatting>
  <dataValidations count="1">
    <dataValidation type="list" allowBlank="1" showInputMessage="1" showErrorMessage="1" sqref="B5:J60" xr:uid="{DA2E99B4-7455-46AE-887A-7F371618639C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52AD-5E1D-480C-839F-9D669375B5D9}">
  <sheetPr codeName="Planilha24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44380</v>
      </c>
      <c r="C3" s="3">
        <f>B3+1</f>
        <v>44381</v>
      </c>
      <c r="D3" s="3">
        <f t="shared" ref="D3:I3" si="0">C3+1</f>
        <v>44382</v>
      </c>
      <c r="E3" s="3">
        <f t="shared" si="0"/>
        <v>44383</v>
      </c>
      <c r="F3" s="3">
        <f t="shared" si="0"/>
        <v>44384</v>
      </c>
      <c r="G3" s="3">
        <f t="shared" si="0"/>
        <v>44385</v>
      </c>
      <c r="H3" s="3">
        <f t="shared" si="0"/>
        <v>44386</v>
      </c>
      <c r="I3" s="3">
        <f t="shared" si="0"/>
        <v>44387</v>
      </c>
    </row>
    <row r="4" spans="1:14" x14ac:dyDescent="0.25">
      <c r="A4" s="2" t="s">
        <v>0</v>
      </c>
      <c r="B4" s="1" t="str">
        <f>TEXT(B3,"ddd")</f>
        <v>sáb</v>
      </c>
      <c r="C4" s="1" t="str">
        <f t="shared" ref="C4:I4" si="1">TEXT(C3,"ddd")</f>
        <v>dom</v>
      </c>
      <c r="D4" s="1" t="str">
        <f t="shared" si="1"/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C5" t="s">
        <v>2</v>
      </c>
      <c r="F5" t="s">
        <v>2</v>
      </c>
      <c r="I5" t="s">
        <v>2</v>
      </c>
      <c r="K5" s="5" t="s">
        <v>2</v>
      </c>
      <c r="L5">
        <f>COUNTIF($B$5:$I$60,K5)</f>
        <v>80</v>
      </c>
      <c r="M5" s="53">
        <f>L5/$L$11</f>
        <v>0.72727272727272729</v>
      </c>
      <c r="N5" s="52">
        <v>44380</v>
      </c>
    </row>
    <row r="6" spans="1:14" x14ac:dyDescent="0.25">
      <c r="A6" s="4">
        <v>2</v>
      </c>
      <c r="H6" t="s">
        <v>7</v>
      </c>
      <c r="K6" s="6" t="s">
        <v>5</v>
      </c>
      <c r="L6">
        <f t="shared" ref="L6:L10" si="2">COUNTIF($B$5:$I$60,K6)</f>
        <v>5</v>
      </c>
      <c r="M6" s="53">
        <f t="shared" ref="M6:M10" si="3">L6/$L$11</f>
        <v>4.5454545454545456E-2</v>
      </c>
    </row>
    <row r="7" spans="1:14" x14ac:dyDescent="0.25">
      <c r="A7" s="4">
        <v>3</v>
      </c>
      <c r="F7" t="s">
        <v>7</v>
      </c>
      <c r="K7" s="7" t="s">
        <v>6</v>
      </c>
      <c r="L7">
        <f t="shared" si="2"/>
        <v>3</v>
      </c>
      <c r="M7" s="53">
        <f t="shared" si="3"/>
        <v>2.7272727272727271E-2</v>
      </c>
    </row>
    <row r="8" spans="1:14" x14ac:dyDescent="0.25">
      <c r="A8" s="4">
        <v>4</v>
      </c>
      <c r="D8" t="s">
        <v>2</v>
      </c>
      <c r="F8" t="s">
        <v>7</v>
      </c>
      <c r="G8" t="s">
        <v>2</v>
      </c>
      <c r="K8" s="8" t="s">
        <v>4</v>
      </c>
      <c r="L8">
        <f t="shared" si="2"/>
        <v>0</v>
      </c>
      <c r="M8" s="53">
        <f t="shared" si="3"/>
        <v>0</v>
      </c>
    </row>
    <row r="9" spans="1:14" x14ac:dyDescent="0.25">
      <c r="A9" s="4">
        <v>5</v>
      </c>
      <c r="C9" t="s">
        <v>2</v>
      </c>
      <c r="G9" t="s">
        <v>2</v>
      </c>
      <c r="K9" s="9" t="s">
        <v>3</v>
      </c>
      <c r="L9">
        <f t="shared" si="2"/>
        <v>0</v>
      </c>
      <c r="M9" s="53">
        <f t="shared" si="3"/>
        <v>0</v>
      </c>
    </row>
    <row r="10" spans="1:14" x14ac:dyDescent="0.25">
      <c r="A10" s="4">
        <v>6</v>
      </c>
      <c r="C10" t="s">
        <v>2</v>
      </c>
      <c r="G10" t="s">
        <v>7</v>
      </c>
      <c r="K10" s="10" t="s">
        <v>7</v>
      </c>
      <c r="L10">
        <f t="shared" si="2"/>
        <v>22</v>
      </c>
      <c r="M10" s="53">
        <f t="shared" si="3"/>
        <v>0.2</v>
      </c>
    </row>
    <row r="11" spans="1:14" x14ac:dyDescent="0.25">
      <c r="A11" s="4">
        <v>7</v>
      </c>
      <c r="B11" t="s">
        <v>2</v>
      </c>
      <c r="E11" t="s">
        <v>2</v>
      </c>
      <c r="H11" t="s">
        <v>2</v>
      </c>
      <c r="L11">
        <f>SUM(L5:L10)</f>
        <v>110</v>
      </c>
    </row>
    <row r="12" spans="1:14" x14ac:dyDescent="0.25">
      <c r="A12" s="4">
        <v>8</v>
      </c>
      <c r="D12" t="s">
        <v>2</v>
      </c>
      <c r="G12" t="s">
        <v>7</v>
      </c>
    </row>
    <row r="13" spans="1:14" x14ac:dyDescent="0.25">
      <c r="A13" s="4">
        <v>9</v>
      </c>
      <c r="C13" t="s">
        <v>2</v>
      </c>
      <c r="E13" t="s">
        <v>2</v>
      </c>
      <c r="G13" t="s">
        <v>7</v>
      </c>
      <c r="I13" t="s">
        <v>2</v>
      </c>
    </row>
    <row r="14" spans="1:14" x14ac:dyDescent="0.25">
      <c r="A14" s="4">
        <v>10</v>
      </c>
      <c r="B14" t="s">
        <v>2</v>
      </c>
      <c r="D14" t="s">
        <v>2</v>
      </c>
      <c r="E14" t="s">
        <v>2</v>
      </c>
      <c r="F14" t="s">
        <v>2</v>
      </c>
      <c r="H14" t="s">
        <v>2</v>
      </c>
    </row>
    <row r="15" spans="1:14" x14ac:dyDescent="0.25">
      <c r="A15" s="4">
        <v>11</v>
      </c>
      <c r="D15" t="s">
        <v>2</v>
      </c>
      <c r="E15" t="s">
        <v>5</v>
      </c>
      <c r="F15" t="s">
        <v>2</v>
      </c>
      <c r="I15" t="s">
        <v>2</v>
      </c>
    </row>
    <row r="16" spans="1:14" x14ac:dyDescent="0.25">
      <c r="A16" s="4">
        <v>12</v>
      </c>
      <c r="E16" t="s">
        <v>2</v>
      </c>
      <c r="G16" t="s">
        <v>2</v>
      </c>
    </row>
    <row r="17" spans="1:9" x14ac:dyDescent="0.25">
      <c r="A17" s="4">
        <v>13</v>
      </c>
      <c r="E17" t="s">
        <v>2</v>
      </c>
      <c r="H17" t="s">
        <v>2</v>
      </c>
    </row>
    <row r="18" spans="1:9" x14ac:dyDescent="0.25">
      <c r="A18" s="4">
        <v>14</v>
      </c>
      <c r="C18" t="s">
        <v>2</v>
      </c>
      <c r="F18" t="s">
        <v>2</v>
      </c>
      <c r="I18" t="s">
        <v>2</v>
      </c>
    </row>
    <row r="19" spans="1:9" x14ac:dyDescent="0.25">
      <c r="A19" s="4">
        <v>15</v>
      </c>
      <c r="F19" t="s">
        <v>7</v>
      </c>
    </row>
    <row r="20" spans="1:9" x14ac:dyDescent="0.25">
      <c r="A20" s="4">
        <v>16</v>
      </c>
    </row>
    <row r="21" spans="1:9" x14ac:dyDescent="0.25">
      <c r="A21" s="4">
        <v>17</v>
      </c>
      <c r="D21" t="s">
        <v>2</v>
      </c>
      <c r="I21" t="s">
        <v>2</v>
      </c>
    </row>
    <row r="22" spans="1:9" x14ac:dyDescent="0.25">
      <c r="A22" s="4">
        <v>18</v>
      </c>
    </row>
    <row r="23" spans="1:9" x14ac:dyDescent="0.25">
      <c r="A23" s="4">
        <v>19</v>
      </c>
      <c r="E23" t="s">
        <v>5</v>
      </c>
    </row>
    <row r="24" spans="1:9" x14ac:dyDescent="0.25">
      <c r="A24" s="4">
        <v>20</v>
      </c>
    </row>
    <row r="25" spans="1:9" x14ac:dyDescent="0.25">
      <c r="A25" s="4">
        <v>21</v>
      </c>
      <c r="G25" t="s">
        <v>7</v>
      </c>
    </row>
    <row r="26" spans="1:9" x14ac:dyDescent="0.25">
      <c r="A26" s="4">
        <v>22</v>
      </c>
    </row>
    <row r="27" spans="1:9" x14ac:dyDescent="0.25">
      <c r="A27" s="4">
        <v>23</v>
      </c>
      <c r="E27" t="s">
        <v>7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D29" t="s">
        <v>2</v>
      </c>
      <c r="E29" t="s">
        <v>7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  <c r="E31" t="s">
        <v>2</v>
      </c>
      <c r="I31" t="s">
        <v>2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D33" t="s">
        <v>2</v>
      </c>
      <c r="G33" t="s">
        <v>2</v>
      </c>
      <c r="I33" t="s">
        <v>2</v>
      </c>
    </row>
    <row r="34" spans="1:9" x14ac:dyDescent="0.25">
      <c r="A34" s="4">
        <v>30</v>
      </c>
      <c r="D34" t="s">
        <v>2</v>
      </c>
      <c r="F34" t="s">
        <v>2</v>
      </c>
      <c r="G34" t="s">
        <v>2</v>
      </c>
      <c r="H34" t="s">
        <v>2</v>
      </c>
    </row>
    <row r="35" spans="1:9" x14ac:dyDescent="0.25">
      <c r="A35" s="4">
        <v>31</v>
      </c>
      <c r="H35" t="s">
        <v>7</v>
      </c>
    </row>
    <row r="36" spans="1:9" x14ac:dyDescent="0.25">
      <c r="A36" s="4">
        <v>32</v>
      </c>
    </row>
    <row r="37" spans="1:9" x14ac:dyDescent="0.25">
      <c r="A37" s="4">
        <v>33</v>
      </c>
      <c r="F37" t="s">
        <v>7</v>
      </c>
      <c r="G37" t="s">
        <v>7</v>
      </c>
    </row>
    <row r="38" spans="1:9" x14ac:dyDescent="0.25">
      <c r="A38" s="4">
        <v>34</v>
      </c>
      <c r="D38" t="s">
        <v>2</v>
      </c>
      <c r="H38" t="s">
        <v>2</v>
      </c>
    </row>
    <row r="39" spans="1:9" x14ac:dyDescent="0.25">
      <c r="A39" s="4">
        <v>35</v>
      </c>
      <c r="C39" t="s">
        <v>2</v>
      </c>
      <c r="H39" t="s">
        <v>2</v>
      </c>
    </row>
    <row r="40" spans="1:9" x14ac:dyDescent="0.25">
      <c r="A40" s="4">
        <v>36</v>
      </c>
      <c r="F40" t="s">
        <v>2</v>
      </c>
      <c r="I40" t="s">
        <v>2</v>
      </c>
    </row>
    <row r="41" spans="1:9" x14ac:dyDescent="0.25">
      <c r="A41" s="4">
        <v>37</v>
      </c>
      <c r="D41" t="s">
        <v>2</v>
      </c>
      <c r="G41" t="s">
        <v>2</v>
      </c>
    </row>
    <row r="42" spans="1:9" x14ac:dyDescent="0.25">
      <c r="A42" s="4">
        <v>38</v>
      </c>
      <c r="E42" t="s">
        <v>2</v>
      </c>
      <c r="I42" t="s">
        <v>2</v>
      </c>
    </row>
    <row r="43" spans="1:9" x14ac:dyDescent="0.25">
      <c r="A43" s="4">
        <v>39</v>
      </c>
      <c r="E43" t="s">
        <v>7</v>
      </c>
      <c r="I43" t="s">
        <v>2</v>
      </c>
    </row>
    <row r="44" spans="1:9" x14ac:dyDescent="0.25">
      <c r="A44" s="4">
        <v>40</v>
      </c>
      <c r="F44" t="s">
        <v>6</v>
      </c>
    </row>
    <row r="45" spans="1:9" x14ac:dyDescent="0.25">
      <c r="A45" s="4">
        <v>41</v>
      </c>
    </row>
    <row r="46" spans="1:9" x14ac:dyDescent="0.25">
      <c r="A46" s="4">
        <v>42</v>
      </c>
      <c r="D46" t="s">
        <v>7</v>
      </c>
      <c r="H46" t="s">
        <v>7</v>
      </c>
    </row>
    <row r="47" spans="1:9" x14ac:dyDescent="0.25">
      <c r="A47" s="4">
        <v>43</v>
      </c>
    </row>
    <row r="48" spans="1:9" x14ac:dyDescent="0.25">
      <c r="A48" s="4">
        <v>44</v>
      </c>
      <c r="E48" t="s">
        <v>2</v>
      </c>
    </row>
    <row r="49" spans="1:9" x14ac:dyDescent="0.25">
      <c r="A49" s="4">
        <v>45</v>
      </c>
      <c r="E49" t="s">
        <v>2</v>
      </c>
      <c r="H49" t="s">
        <v>2</v>
      </c>
    </row>
    <row r="50" spans="1:9" x14ac:dyDescent="0.25">
      <c r="A50" s="4">
        <v>46</v>
      </c>
    </row>
    <row r="51" spans="1:9" x14ac:dyDescent="0.25">
      <c r="A51" s="4">
        <v>47</v>
      </c>
      <c r="D51" t="s">
        <v>2</v>
      </c>
      <c r="H51" t="s">
        <v>7</v>
      </c>
      <c r="I51" t="s">
        <v>6</v>
      </c>
    </row>
    <row r="52" spans="1:9" x14ac:dyDescent="0.25">
      <c r="A52" s="4">
        <v>48</v>
      </c>
      <c r="B52" t="s">
        <v>2</v>
      </c>
      <c r="C52" t="s">
        <v>2</v>
      </c>
      <c r="D52" t="s">
        <v>2</v>
      </c>
      <c r="E52" t="s">
        <v>5</v>
      </c>
      <c r="F52" t="s">
        <v>2</v>
      </c>
      <c r="G52" t="s">
        <v>5</v>
      </c>
      <c r="H52" t="s">
        <v>5</v>
      </c>
    </row>
    <row r="53" spans="1:9" x14ac:dyDescent="0.25">
      <c r="A53" s="4">
        <v>49</v>
      </c>
      <c r="B53" t="s">
        <v>2</v>
      </c>
      <c r="C53" t="s">
        <v>2</v>
      </c>
      <c r="D53" t="s">
        <v>2</v>
      </c>
      <c r="E53" t="s">
        <v>7</v>
      </c>
      <c r="F53" t="s">
        <v>7</v>
      </c>
      <c r="G53" t="s">
        <v>2</v>
      </c>
      <c r="H53" t="s">
        <v>2</v>
      </c>
      <c r="I53" t="s">
        <v>6</v>
      </c>
    </row>
    <row r="54" spans="1:9" x14ac:dyDescent="0.25">
      <c r="A54" s="4">
        <v>50</v>
      </c>
      <c r="C54" t="s">
        <v>2</v>
      </c>
      <c r="F54" t="s">
        <v>2</v>
      </c>
      <c r="I54" t="s">
        <v>2</v>
      </c>
    </row>
    <row r="55" spans="1:9" x14ac:dyDescent="0.25">
      <c r="A55" s="4">
        <v>51</v>
      </c>
    </row>
    <row r="56" spans="1:9" x14ac:dyDescent="0.25">
      <c r="A56" s="4">
        <v>52</v>
      </c>
      <c r="F56" t="s">
        <v>7</v>
      </c>
    </row>
    <row r="57" spans="1:9" x14ac:dyDescent="0.25">
      <c r="A57" s="4">
        <v>53</v>
      </c>
      <c r="B57" t="s">
        <v>2</v>
      </c>
    </row>
    <row r="58" spans="1:9" x14ac:dyDescent="0.25">
      <c r="A58" s="4">
        <v>54</v>
      </c>
      <c r="C58" t="s">
        <v>2</v>
      </c>
      <c r="G58" t="s">
        <v>2</v>
      </c>
    </row>
    <row r="59" spans="1:9" x14ac:dyDescent="0.25">
      <c r="A59" s="4">
        <v>55</v>
      </c>
      <c r="B59" t="s">
        <v>7</v>
      </c>
      <c r="F59" t="s">
        <v>2</v>
      </c>
    </row>
    <row r="60" spans="1:9" x14ac:dyDescent="0.25">
      <c r="A60" s="4">
        <v>56</v>
      </c>
      <c r="C60" t="s">
        <v>2</v>
      </c>
      <c r="G60" t="s">
        <v>7</v>
      </c>
    </row>
  </sheetData>
  <conditionalFormatting sqref="B5:D11 G5:G11">
    <cfRule type="cellIs" dxfId="1791" priority="17" operator="equal">
      <formula>"Energia"</formula>
    </cfRule>
  </conditionalFormatting>
  <conditionalFormatting sqref="B5:D60 G5:I60">
    <cfRule type="cellIs" dxfId="1790" priority="10" operator="equal">
      <formula>"Energia"</formula>
    </cfRule>
    <cfRule type="cellIs" dxfId="1789" priority="12" operator="equal">
      <formula>"Operação"</formula>
    </cfRule>
    <cfRule type="cellIs" dxfId="1788" priority="13" operator="equal">
      <formula>"Chuva"</formula>
    </cfRule>
    <cfRule type="cellIs" dxfId="1787" priority="14" operator="equal">
      <formula>"Elétrico"</formula>
    </cfRule>
    <cfRule type="cellIs" dxfId="1786" priority="15" operator="equal">
      <formula>"Mecânico"</formula>
    </cfRule>
    <cfRule type="cellIs" dxfId="1785" priority="16" operator="equal">
      <formula>"Ok"</formula>
    </cfRule>
  </conditionalFormatting>
  <conditionalFormatting sqref="B5:D60 G5:I60">
    <cfRule type="cellIs" dxfId="1784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783" priority="8" operator="equal">
      <formula>"Energia"</formula>
    </cfRule>
  </conditionalFormatting>
  <conditionalFormatting sqref="E5:F60">
    <cfRule type="cellIs" dxfId="1782" priority="1" operator="equal">
      <formula>"Energia"</formula>
    </cfRule>
    <cfRule type="cellIs" dxfId="1781" priority="3" operator="equal">
      <formula>"Operação"</formula>
    </cfRule>
    <cfRule type="cellIs" dxfId="1780" priority="4" operator="equal">
      <formula>"Chuva"</formula>
    </cfRule>
    <cfRule type="cellIs" dxfId="1779" priority="5" operator="equal">
      <formula>"Elétrico"</formula>
    </cfRule>
    <cfRule type="cellIs" dxfId="1778" priority="6" operator="equal">
      <formula>"Mecânico"</formula>
    </cfRule>
    <cfRule type="cellIs" dxfId="1777" priority="7" operator="equal">
      <formula>"Ok"</formula>
    </cfRule>
  </conditionalFormatting>
  <conditionalFormatting sqref="E5:F60">
    <cfRule type="cellIs" dxfId="1776" priority="2" operator="equal">
      <formula>"Feito"</formula>
    </cfRule>
  </conditionalFormatting>
  <dataValidations count="1">
    <dataValidation type="list" allowBlank="1" showInputMessage="1" showErrorMessage="1" sqref="B5:J60" xr:uid="{3010C0CF-86B3-4192-B657-9CF33FB0DC2E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F9CB-7B2A-4AE1-A617-ADB8631A76E2}">
  <sheetPr codeName="Planilha25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44388</v>
      </c>
      <c r="C3" s="3">
        <f>B3+1</f>
        <v>44389</v>
      </c>
      <c r="D3" s="3">
        <f t="shared" ref="D3:I3" si="0">C3+1</f>
        <v>44390</v>
      </c>
      <c r="E3" s="3">
        <f t="shared" si="0"/>
        <v>44391</v>
      </c>
      <c r="F3" s="3">
        <f t="shared" si="0"/>
        <v>44392</v>
      </c>
      <c r="G3" s="3">
        <f t="shared" si="0"/>
        <v>44393</v>
      </c>
      <c r="H3" s="3">
        <f t="shared" si="0"/>
        <v>44394</v>
      </c>
      <c r="I3" s="3">
        <f t="shared" si="0"/>
        <v>44395</v>
      </c>
    </row>
    <row r="4" spans="1:14" x14ac:dyDescent="0.25">
      <c r="A4" s="2" t="s">
        <v>0</v>
      </c>
      <c r="B4" s="1" t="str">
        <f>TEXT(B3,"ddd")</f>
        <v>dom</v>
      </c>
      <c r="C4" s="1" t="str">
        <f t="shared" ref="C4:I4" si="1">TEXT(C3,"ddd")</f>
        <v>seg</v>
      </c>
      <c r="D4" s="1" t="str">
        <f t="shared" si="1"/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D5" t="s">
        <v>2</v>
      </c>
      <c r="G5" t="s">
        <v>2</v>
      </c>
      <c r="K5" s="5" t="s">
        <v>2</v>
      </c>
      <c r="L5">
        <f>COUNTIF($B$5:$I$60,K5)</f>
        <v>79</v>
      </c>
      <c r="M5" s="53">
        <f>L5/$L$11</f>
        <v>0.66386554621848737</v>
      </c>
      <c r="N5" s="52">
        <v>44388</v>
      </c>
    </row>
    <row r="6" spans="1:14" x14ac:dyDescent="0.25">
      <c r="A6" s="4">
        <v>2</v>
      </c>
      <c r="D6" t="s">
        <v>7</v>
      </c>
      <c r="E6" t="s">
        <v>7</v>
      </c>
      <c r="F6" t="s">
        <v>7</v>
      </c>
      <c r="H6" t="s">
        <v>2</v>
      </c>
      <c r="I6" t="s">
        <v>2</v>
      </c>
      <c r="K6" s="6" t="s">
        <v>5</v>
      </c>
      <c r="L6">
        <f t="shared" ref="L6:L10" si="2">COUNTIF($B$5:$I$60,K6)</f>
        <v>7</v>
      </c>
      <c r="M6" s="53">
        <f t="shared" ref="M6:M10" si="3">L6/$L$11</f>
        <v>5.8823529411764705E-2</v>
      </c>
    </row>
    <row r="7" spans="1:14" x14ac:dyDescent="0.25">
      <c r="A7" s="4">
        <v>3</v>
      </c>
      <c r="C7" t="s">
        <v>7</v>
      </c>
      <c r="E7" t="s">
        <v>7</v>
      </c>
      <c r="H7" t="s">
        <v>7</v>
      </c>
      <c r="K7" s="7" t="s">
        <v>6</v>
      </c>
      <c r="L7">
        <f t="shared" si="2"/>
        <v>3</v>
      </c>
      <c r="M7" s="53">
        <f t="shared" si="3"/>
        <v>2.5210084033613446E-2</v>
      </c>
    </row>
    <row r="8" spans="1:14" x14ac:dyDescent="0.25">
      <c r="A8" s="4">
        <v>4</v>
      </c>
      <c r="D8" t="s">
        <v>2</v>
      </c>
      <c r="K8" s="8" t="s">
        <v>4</v>
      </c>
      <c r="L8">
        <f t="shared" si="2"/>
        <v>0</v>
      </c>
      <c r="M8" s="53">
        <f t="shared" si="3"/>
        <v>0</v>
      </c>
    </row>
    <row r="9" spans="1:14" x14ac:dyDescent="0.25">
      <c r="A9" s="4">
        <v>5</v>
      </c>
      <c r="B9" t="s">
        <v>2</v>
      </c>
      <c r="E9" t="s">
        <v>2</v>
      </c>
      <c r="G9" t="s">
        <v>2</v>
      </c>
      <c r="I9" t="s">
        <v>2</v>
      </c>
      <c r="K9" s="9" t="s">
        <v>3</v>
      </c>
      <c r="L9">
        <f t="shared" si="2"/>
        <v>0</v>
      </c>
      <c r="M9" s="53">
        <f t="shared" si="3"/>
        <v>0</v>
      </c>
    </row>
    <row r="10" spans="1:14" x14ac:dyDescent="0.25">
      <c r="A10" s="4">
        <v>6</v>
      </c>
      <c r="B10" t="s">
        <v>2</v>
      </c>
      <c r="E10" t="s">
        <v>2</v>
      </c>
      <c r="G10" t="s">
        <v>5</v>
      </c>
      <c r="K10" s="10" t="s">
        <v>7</v>
      </c>
      <c r="L10">
        <f t="shared" si="2"/>
        <v>30</v>
      </c>
      <c r="M10" s="53">
        <f t="shared" si="3"/>
        <v>0.25210084033613445</v>
      </c>
    </row>
    <row r="11" spans="1:14" x14ac:dyDescent="0.25">
      <c r="A11" s="4">
        <v>7</v>
      </c>
      <c r="D11" t="s">
        <v>2</v>
      </c>
      <c r="H11" t="s">
        <v>7</v>
      </c>
      <c r="L11">
        <f>SUM(L5:L10)</f>
        <v>119</v>
      </c>
    </row>
    <row r="12" spans="1:14" x14ac:dyDescent="0.25">
      <c r="A12" s="4">
        <v>8</v>
      </c>
      <c r="B12" t="s">
        <v>2</v>
      </c>
      <c r="F12" t="s">
        <v>2</v>
      </c>
    </row>
    <row r="13" spans="1:14" x14ac:dyDescent="0.25">
      <c r="A13" s="4">
        <v>9</v>
      </c>
      <c r="C13" t="s">
        <v>2</v>
      </c>
      <c r="E13" t="s">
        <v>2</v>
      </c>
      <c r="G13" t="s">
        <v>2</v>
      </c>
      <c r="H13" t="s">
        <v>2</v>
      </c>
    </row>
    <row r="14" spans="1:14" x14ac:dyDescent="0.25">
      <c r="A14" s="4">
        <v>10</v>
      </c>
      <c r="B14" t="s">
        <v>2</v>
      </c>
      <c r="D14" t="s">
        <v>2</v>
      </c>
      <c r="F14" t="s">
        <v>2</v>
      </c>
      <c r="I14" t="s">
        <v>2</v>
      </c>
    </row>
    <row r="15" spans="1:14" x14ac:dyDescent="0.25">
      <c r="A15" s="4">
        <v>11</v>
      </c>
      <c r="C15" t="s">
        <v>2</v>
      </c>
      <c r="E15" t="s">
        <v>2</v>
      </c>
      <c r="G15" t="s">
        <v>2</v>
      </c>
      <c r="H15" t="s">
        <v>2</v>
      </c>
    </row>
    <row r="16" spans="1:14" x14ac:dyDescent="0.25">
      <c r="A16" s="4">
        <v>12</v>
      </c>
      <c r="B16" t="s">
        <v>2</v>
      </c>
      <c r="C16" t="s">
        <v>7</v>
      </c>
      <c r="D16" t="s">
        <v>7</v>
      </c>
      <c r="E16" t="s">
        <v>2</v>
      </c>
      <c r="F16" t="s">
        <v>2</v>
      </c>
      <c r="H16" t="s">
        <v>2</v>
      </c>
    </row>
    <row r="17" spans="1:9" x14ac:dyDescent="0.25">
      <c r="A17" s="4">
        <v>13</v>
      </c>
      <c r="B17" t="s">
        <v>2</v>
      </c>
      <c r="E17" t="s">
        <v>2</v>
      </c>
      <c r="F17" t="s">
        <v>2</v>
      </c>
      <c r="H17" t="s">
        <v>2</v>
      </c>
      <c r="I17" t="s">
        <v>2</v>
      </c>
    </row>
    <row r="18" spans="1:9" x14ac:dyDescent="0.25">
      <c r="A18" s="4">
        <v>14</v>
      </c>
      <c r="C18" t="s">
        <v>7</v>
      </c>
      <c r="D18" t="s">
        <v>5</v>
      </c>
      <c r="E18" t="s">
        <v>2</v>
      </c>
      <c r="G18" t="s">
        <v>2</v>
      </c>
      <c r="I18" t="s">
        <v>2</v>
      </c>
    </row>
    <row r="19" spans="1:9" x14ac:dyDescent="0.25">
      <c r="A19" s="4">
        <v>15</v>
      </c>
      <c r="C19" t="s">
        <v>2</v>
      </c>
      <c r="H19" t="s">
        <v>2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  <c r="B23" t="s">
        <v>5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7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  <c r="E31" t="s">
        <v>2</v>
      </c>
      <c r="I31" t="s">
        <v>2</v>
      </c>
    </row>
    <row r="32" spans="1:9" x14ac:dyDescent="0.25">
      <c r="A32" s="4">
        <v>28</v>
      </c>
    </row>
    <row r="33" spans="1:9" x14ac:dyDescent="0.25">
      <c r="A33" s="4">
        <v>29</v>
      </c>
      <c r="D33" t="s">
        <v>2</v>
      </c>
      <c r="F33" t="s">
        <v>7</v>
      </c>
      <c r="G33" t="s">
        <v>2</v>
      </c>
      <c r="I33" t="s">
        <v>2</v>
      </c>
    </row>
    <row r="34" spans="1:9" x14ac:dyDescent="0.25">
      <c r="A34" s="4">
        <v>30</v>
      </c>
      <c r="B34" t="s">
        <v>2</v>
      </c>
      <c r="D34" t="s">
        <v>2</v>
      </c>
      <c r="F34" t="s">
        <v>5</v>
      </c>
      <c r="G34" t="s">
        <v>2</v>
      </c>
      <c r="I34" t="s">
        <v>2</v>
      </c>
    </row>
    <row r="35" spans="1:9" x14ac:dyDescent="0.25">
      <c r="A35" s="4">
        <v>31</v>
      </c>
      <c r="B35" t="s">
        <v>7</v>
      </c>
      <c r="E35" t="s">
        <v>7</v>
      </c>
      <c r="F35" t="s">
        <v>2</v>
      </c>
      <c r="G35" t="s">
        <v>7</v>
      </c>
      <c r="I35" t="s">
        <v>2</v>
      </c>
    </row>
    <row r="36" spans="1:9" x14ac:dyDescent="0.25">
      <c r="A36" s="4">
        <v>32</v>
      </c>
    </row>
    <row r="37" spans="1:9" x14ac:dyDescent="0.25">
      <c r="A37" s="4">
        <v>33</v>
      </c>
      <c r="B37" t="s">
        <v>2</v>
      </c>
      <c r="G37" t="s">
        <v>7</v>
      </c>
      <c r="I37" t="s">
        <v>7</v>
      </c>
    </row>
    <row r="38" spans="1:9" x14ac:dyDescent="0.25">
      <c r="A38" s="4">
        <v>34</v>
      </c>
      <c r="D38" t="s">
        <v>7</v>
      </c>
      <c r="H38" t="s">
        <v>5</v>
      </c>
    </row>
    <row r="39" spans="1:9" x14ac:dyDescent="0.25">
      <c r="A39" s="4">
        <v>35</v>
      </c>
      <c r="D39" t="s">
        <v>2</v>
      </c>
      <c r="H39" t="s">
        <v>2</v>
      </c>
    </row>
    <row r="40" spans="1:9" x14ac:dyDescent="0.25">
      <c r="A40" s="4">
        <v>36</v>
      </c>
      <c r="F40" t="s">
        <v>7</v>
      </c>
      <c r="G40" t="s">
        <v>7</v>
      </c>
    </row>
    <row r="41" spans="1:9" x14ac:dyDescent="0.25">
      <c r="A41" s="4">
        <v>37</v>
      </c>
      <c r="B41" t="s">
        <v>2</v>
      </c>
    </row>
    <row r="42" spans="1:9" x14ac:dyDescent="0.25">
      <c r="A42" s="4">
        <v>38</v>
      </c>
      <c r="F42" t="s">
        <v>2</v>
      </c>
    </row>
    <row r="43" spans="1:9" x14ac:dyDescent="0.25">
      <c r="A43" s="4">
        <v>39</v>
      </c>
      <c r="F43" t="s">
        <v>2</v>
      </c>
    </row>
    <row r="44" spans="1:9" x14ac:dyDescent="0.25">
      <c r="A44" s="4">
        <v>40</v>
      </c>
      <c r="B44" t="s">
        <v>2</v>
      </c>
      <c r="G44" t="s">
        <v>7</v>
      </c>
    </row>
    <row r="45" spans="1:9" x14ac:dyDescent="0.25">
      <c r="A45" s="4">
        <v>41</v>
      </c>
    </row>
    <row r="46" spans="1:9" x14ac:dyDescent="0.25">
      <c r="A46" s="4">
        <v>42</v>
      </c>
      <c r="E46" t="s">
        <v>2</v>
      </c>
    </row>
    <row r="47" spans="1:9" x14ac:dyDescent="0.25">
      <c r="A47" s="4">
        <v>43</v>
      </c>
    </row>
    <row r="48" spans="1:9" x14ac:dyDescent="0.25">
      <c r="A48" s="4">
        <v>44</v>
      </c>
      <c r="B48" t="s">
        <v>2</v>
      </c>
      <c r="F48" t="s">
        <v>2</v>
      </c>
    </row>
    <row r="49" spans="1:9" x14ac:dyDescent="0.25">
      <c r="A49" s="4">
        <v>45</v>
      </c>
      <c r="C49" t="s">
        <v>7</v>
      </c>
      <c r="H49" t="s">
        <v>2</v>
      </c>
    </row>
    <row r="50" spans="1:9" x14ac:dyDescent="0.25">
      <c r="A50" s="4">
        <v>46</v>
      </c>
      <c r="B50" t="s">
        <v>7</v>
      </c>
      <c r="C50" t="s">
        <v>7</v>
      </c>
      <c r="H50" t="s">
        <v>5</v>
      </c>
      <c r="I50" t="s">
        <v>5</v>
      </c>
    </row>
    <row r="51" spans="1:9" x14ac:dyDescent="0.25">
      <c r="A51" s="4">
        <v>47</v>
      </c>
      <c r="B51" t="s">
        <v>6</v>
      </c>
      <c r="D51" t="s">
        <v>2</v>
      </c>
      <c r="E51" t="s">
        <v>2</v>
      </c>
      <c r="F51" t="s">
        <v>2</v>
      </c>
      <c r="G51" t="s">
        <v>7</v>
      </c>
      <c r="H51" t="s">
        <v>7</v>
      </c>
      <c r="I51" t="s">
        <v>7</v>
      </c>
    </row>
    <row r="52" spans="1:9" x14ac:dyDescent="0.25">
      <c r="A52" s="4">
        <v>48</v>
      </c>
      <c r="B52" t="s">
        <v>6</v>
      </c>
      <c r="F52" t="s">
        <v>7</v>
      </c>
      <c r="G52" t="s">
        <v>2</v>
      </c>
    </row>
    <row r="53" spans="1:9" x14ac:dyDescent="0.25">
      <c r="A53" s="4">
        <v>49</v>
      </c>
      <c r="B53" t="s">
        <v>6</v>
      </c>
      <c r="C53" t="s">
        <v>2</v>
      </c>
      <c r="D53" t="s">
        <v>2</v>
      </c>
      <c r="E53" t="s">
        <v>2</v>
      </c>
      <c r="H53" t="s">
        <v>2</v>
      </c>
    </row>
    <row r="54" spans="1:9" x14ac:dyDescent="0.25">
      <c r="A54" s="4">
        <v>50</v>
      </c>
      <c r="D54" t="s">
        <v>2</v>
      </c>
      <c r="G54" t="s">
        <v>2</v>
      </c>
    </row>
    <row r="55" spans="1:9" x14ac:dyDescent="0.25">
      <c r="A55" s="4">
        <v>51</v>
      </c>
    </row>
    <row r="56" spans="1:9" x14ac:dyDescent="0.25">
      <c r="A56" s="4">
        <v>52</v>
      </c>
      <c r="C56" t="s">
        <v>7</v>
      </c>
    </row>
    <row r="57" spans="1:9" x14ac:dyDescent="0.25">
      <c r="A57" s="4">
        <v>53</v>
      </c>
    </row>
    <row r="58" spans="1:9" x14ac:dyDescent="0.25">
      <c r="A58" s="4">
        <v>54</v>
      </c>
    </row>
    <row r="59" spans="1:9" x14ac:dyDescent="0.25">
      <c r="A59" s="4">
        <v>55</v>
      </c>
      <c r="C59" t="s">
        <v>7</v>
      </c>
    </row>
    <row r="60" spans="1:9" x14ac:dyDescent="0.25">
      <c r="A60" s="4">
        <v>56</v>
      </c>
    </row>
  </sheetData>
  <conditionalFormatting sqref="B5:D11 G5:G11">
    <cfRule type="cellIs" dxfId="1775" priority="17" operator="equal">
      <formula>"Energia"</formula>
    </cfRule>
  </conditionalFormatting>
  <conditionalFormatting sqref="B5:D60 G5:I60">
    <cfRule type="cellIs" dxfId="1774" priority="10" operator="equal">
      <formula>"Energia"</formula>
    </cfRule>
    <cfRule type="cellIs" dxfId="1773" priority="12" operator="equal">
      <formula>"Operação"</formula>
    </cfRule>
    <cfRule type="cellIs" dxfId="1772" priority="13" operator="equal">
      <formula>"Chuva"</formula>
    </cfRule>
    <cfRule type="cellIs" dxfId="1771" priority="14" operator="equal">
      <formula>"Elétrico"</formula>
    </cfRule>
    <cfRule type="cellIs" dxfId="1770" priority="15" operator="equal">
      <formula>"Mecânico"</formula>
    </cfRule>
    <cfRule type="cellIs" dxfId="1769" priority="16" operator="equal">
      <formula>"Ok"</formula>
    </cfRule>
  </conditionalFormatting>
  <conditionalFormatting sqref="B5:D60 G5:I60">
    <cfRule type="cellIs" dxfId="1768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767" priority="8" operator="equal">
      <formula>"Energia"</formula>
    </cfRule>
  </conditionalFormatting>
  <conditionalFormatting sqref="E5:F60">
    <cfRule type="cellIs" dxfId="1766" priority="1" operator="equal">
      <formula>"Energia"</formula>
    </cfRule>
    <cfRule type="cellIs" dxfId="1765" priority="3" operator="equal">
      <formula>"Operação"</formula>
    </cfRule>
    <cfRule type="cellIs" dxfId="1764" priority="4" operator="equal">
      <formula>"Chuva"</formula>
    </cfRule>
    <cfRule type="cellIs" dxfId="1763" priority="5" operator="equal">
      <formula>"Elétrico"</formula>
    </cfRule>
    <cfRule type="cellIs" dxfId="1762" priority="6" operator="equal">
      <formula>"Mecânico"</formula>
    </cfRule>
    <cfRule type="cellIs" dxfId="1761" priority="7" operator="equal">
      <formula>"Ok"</formula>
    </cfRule>
  </conditionalFormatting>
  <conditionalFormatting sqref="E5:F60">
    <cfRule type="cellIs" dxfId="1760" priority="2" operator="equal">
      <formula>"Feito"</formula>
    </cfRule>
  </conditionalFormatting>
  <dataValidations count="1">
    <dataValidation type="list" allowBlank="1" showInputMessage="1" showErrorMessage="1" sqref="B5:J60" xr:uid="{76ACF2D4-E58F-4DD2-90E7-2ABA0CAF957D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B4B4-E766-42E7-8F99-863B38C98389}">
  <sheetPr codeName="Planilha26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44396</v>
      </c>
      <c r="C3" s="3">
        <f>B3+1</f>
        <v>44397</v>
      </c>
      <c r="D3" s="3">
        <f t="shared" ref="D3:I3" si="0">C3+1</f>
        <v>44398</v>
      </c>
      <c r="E3" s="3">
        <f t="shared" si="0"/>
        <v>44399</v>
      </c>
      <c r="F3" s="3">
        <f t="shared" si="0"/>
        <v>44400</v>
      </c>
      <c r="G3" s="3">
        <f t="shared" si="0"/>
        <v>44401</v>
      </c>
      <c r="H3" s="3">
        <f t="shared" si="0"/>
        <v>44402</v>
      </c>
      <c r="I3" s="3">
        <f t="shared" si="0"/>
        <v>44403</v>
      </c>
    </row>
    <row r="4" spans="1:14" x14ac:dyDescent="0.25">
      <c r="A4" s="2" t="s">
        <v>0</v>
      </c>
      <c r="B4" s="1" t="str">
        <f>TEXT(B3,"ddd")</f>
        <v>seg</v>
      </c>
      <c r="C4" s="1" t="str">
        <f t="shared" ref="C4:I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 t="str">
        <f t="shared" si="1"/>
        <v>seg</v>
      </c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B5" t="s">
        <v>5</v>
      </c>
      <c r="K5" s="5" t="s">
        <v>2</v>
      </c>
      <c r="L5">
        <f>COUNTIF($B$5:$I$60,K5)</f>
        <v>92</v>
      </c>
      <c r="M5" s="53">
        <f>L5/$L$11</f>
        <v>0.73599999999999999</v>
      </c>
      <c r="N5" s="52">
        <v>44396</v>
      </c>
    </row>
    <row r="6" spans="1:14" x14ac:dyDescent="0.25">
      <c r="A6" s="4">
        <v>2</v>
      </c>
      <c r="B6" t="s">
        <v>7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K6" s="6" t="s">
        <v>5</v>
      </c>
      <c r="L6">
        <f t="shared" ref="L6:L10" si="2">COUNTIF($B$5:$I$60,K6)</f>
        <v>8</v>
      </c>
      <c r="M6" s="53">
        <f t="shared" ref="M6:M10" si="3">L6/$L$11</f>
        <v>6.4000000000000001E-2</v>
      </c>
    </row>
    <row r="7" spans="1:14" x14ac:dyDescent="0.25">
      <c r="A7" s="4">
        <v>3</v>
      </c>
      <c r="C7" t="s">
        <v>7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K7" s="7" t="s">
        <v>6</v>
      </c>
      <c r="L7">
        <f t="shared" si="2"/>
        <v>2</v>
      </c>
      <c r="M7" s="53">
        <f t="shared" si="3"/>
        <v>1.6E-2</v>
      </c>
    </row>
    <row r="8" spans="1:14" x14ac:dyDescent="0.25">
      <c r="A8" s="4">
        <v>4</v>
      </c>
      <c r="C8" t="s">
        <v>2</v>
      </c>
      <c r="K8" s="8" t="s">
        <v>4</v>
      </c>
      <c r="L8">
        <f t="shared" si="2"/>
        <v>3</v>
      </c>
      <c r="M8" s="53">
        <f t="shared" si="3"/>
        <v>2.4E-2</v>
      </c>
    </row>
    <row r="9" spans="1:14" x14ac:dyDescent="0.25">
      <c r="A9" s="4">
        <v>5</v>
      </c>
      <c r="E9" t="s">
        <v>7</v>
      </c>
      <c r="I9" t="s">
        <v>2</v>
      </c>
      <c r="K9" s="9" t="s">
        <v>3</v>
      </c>
      <c r="L9">
        <f t="shared" si="2"/>
        <v>0</v>
      </c>
      <c r="M9" s="53">
        <f t="shared" si="3"/>
        <v>0</v>
      </c>
    </row>
    <row r="10" spans="1:14" x14ac:dyDescent="0.25">
      <c r="A10" s="4">
        <v>6</v>
      </c>
      <c r="B10" t="s">
        <v>7</v>
      </c>
      <c r="D10" t="s">
        <v>2</v>
      </c>
      <c r="G10" t="s">
        <v>2</v>
      </c>
      <c r="K10" s="10" t="s">
        <v>7</v>
      </c>
      <c r="L10">
        <f t="shared" si="2"/>
        <v>20</v>
      </c>
      <c r="M10" s="53">
        <f t="shared" si="3"/>
        <v>0.16</v>
      </c>
    </row>
    <row r="11" spans="1:14" x14ac:dyDescent="0.25">
      <c r="A11" s="4">
        <v>7</v>
      </c>
      <c r="D11" t="s">
        <v>7</v>
      </c>
      <c r="H11" t="s">
        <v>2</v>
      </c>
      <c r="L11">
        <f>SUM(L5:L10)</f>
        <v>125</v>
      </c>
    </row>
    <row r="12" spans="1:14" x14ac:dyDescent="0.25">
      <c r="A12" s="4">
        <v>8</v>
      </c>
      <c r="B12" t="s">
        <v>2</v>
      </c>
      <c r="F12" t="s">
        <v>2</v>
      </c>
      <c r="I12" t="s">
        <v>2</v>
      </c>
    </row>
    <row r="13" spans="1:14" x14ac:dyDescent="0.25">
      <c r="A13" s="4">
        <v>9</v>
      </c>
      <c r="B13" t="s">
        <v>2</v>
      </c>
      <c r="E13" t="s">
        <v>2</v>
      </c>
      <c r="H13" t="s">
        <v>2</v>
      </c>
    </row>
    <row r="14" spans="1:14" x14ac:dyDescent="0.25">
      <c r="A14" s="4">
        <v>10</v>
      </c>
      <c r="C14" t="s">
        <v>2</v>
      </c>
      <c r="E14" t="s">
        <v>7</v>
      </c>
      <c r="G14" t="s">
        <v>2</v>
      </c>
    </row>
    <row r="15" spans="1:14" x14ac:dyDescent="0.25">
      <c r="A15" s="4">
        <v>11</v>
      </c>
      <c r="B15" t="s">
        <v>7</v>
      </c>
      <c r="C15" t="s">
        <v>2</v>
      </c>
      <c r="D15" t="s">
        <v>2</v>
      </c>
      <c r="F15" t="s">
        <v>2</v>
      </c>
      <c r="H15" t="s">
        <v>2</v>
      </c>
    </row>
    <row r="16" spans="1:14" x14ac:dyDescent="0.25">
      <c r="A16" s="4">
        <v>12</v>
      </c>
      <c r="B16" t="s">
        <v>2</v>
      </c>
      <c r="D16" t="s">
        <v>2</v>
      </c>
      <c r="F16" t="s">
        <v>2</v>
      </c>
      <c r="H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</row>
    <row r="18" spans="1:9" x14ac:dyDescent="0.25">
      <c r="A18" s="4">
        <v>14</v>
      </c>
      <c r="B18" t="s">
        <v>7</v>
      </c>
      <c r="C18" t="s">
        <v>2</v>
      </c>
      <c r="D18" t="s">
        <v>5</v>
      </c>
      <c r="F18" t="s">
        <v>2</v>
      </c>
      <c r="H18" t="s">
        <v>2</v>
      </c>
      <c r="I18" t="s">
        <v>2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  <c r="E31" t="s">
        <v>2</v>
      </c>
    </row>
    <row r="32" spans="1:9" x14ac:dyDescent="0.25">
      <c r="A32" s="4">
        <v>28</v>
      </c>
    </row>
    <row r="33" spans="1:9" x14ac:dyDescent="0.25">
      <c r="A33" s="4">
        <v>29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</row>
    <row r="34" spans="1:9" x14ac:dyDescent="0.25">
      <c r="A34" s="4">
        <v>30</v>
      </c>
      <c r="C34" t="s">
        <v>2</v>
      </c>
      <c r="E34" t="s">
        <v>7</v>
      </c>
      <c r="F34" t="s">
        <v>2</v>
      </c>
      <c r="G34" t="s">
        <v>2</v>
      </c>
      <c r="H34" t="s">
        <v>2</v>
      </c>
      <c r="I34" t="s">
        <v>2</v>
      </c>
    </row>
    <row r="35" spans="1:9" x14ac:dyDescent="0.25">
      <c r="A35" s="4">
        <v>31</v>
      </c>
      <c r="B35" t="s">
        <v>2</v>
      </c>
      <c r="C35" t="s">
        <v>7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5</v>
      </c>
    </row>
    <row r="36" spans="1:9" x14ac:dyDescent="0.25">
      <c r="A36" s="4">
        <v>32</v>
      </c>
    </row>
    <row r="37" spans="1:9" x14ac:dyDescent="0.25">
      <c r="A37" s="4">
        <v>33</v>
      </c>
      <c r="C37" t="s">
        <v>7</v>
      </c>
      <c r="D37" t="s">
        <v>7</v>
      </c>
      <c r="E37" t="s">
        <v>7</v>
      </c>
      <c r="F37" t="s">
        <v>7</v>
      </c>
      <c r="G37" t="s">
        <v>5</v>
      </c>
      <c r="H37" t="s">
        <v>2</v>
      </c>
      <c r="I37" t="s">
        <v>2</v>
      </c>
    </row>
    <row r="38" spans="1:9" x14ac:dyDescent="0.25">
      <c r="A38" s="4">
        <v>34</v>
      </c>
      <c r="D38" t="s">
        <v>6</v>
      </c>
      <c r="E38" t="s">
        <v>6</v>
      </c>
      <c r="G38" t="s">
        <v>2</v>
      </c>
    </row>
    <row r="39" spans="1:9" x14ac:dyDescent="0.25">
      <c r="A39" s="4">
        <v>35</v>
      </c>
      <c r="D39" t="s">
        <v>7</v>
      </c>
      <c r="H39" t="s">
        <v>2</v>
      </c>
    </row>
    <row r="40" spans="1:9" x14ac:dyDescent="0.25">
      <c r="A40" s="4">
        <v>36</v>
      </c>
      <c r="B40" t="s">
        <v>2</v>
      </c>
      <c r="F40" t="s">
        <v>5</v>
      </c>
      <c r="I40" t="s">
        <v>5</v>
      </c>
    </row>
    <row r="41" spans="1:9" x14ac:dyDescent="0.25">
      <c r="A41" s="4">
        <v>37</v>
      </c>
      <c r="D41" t="s">
        <v>7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</row>
    <row r="48" spans="1:9" x14ac:dyDescent="0.25">
      <c r="A48" s="4">
        <v>44</v>
      </c>
      <c r="B48" t="s">
        <v>2</v>
      </c>
    </row>
    <row r="49" spans="1:9" x14ac:dyDescent="0.25">
      <c r="A49" s="4">
        <v>45</v>
      </c>
      <c r="C49" t="s">
        <v>4</v>
      </c>
    </row>
    <row r="50" spans="1:9" x14ac:dyDescent="0.25">
      <c r="A50" s="4">
        <v>46</v>
      </c>
      <c r="C50" t="s">
        <v>5</v>
      </c>
      <c r="D50" t="s">
        <v>5</v>
      </c>
      <c r="E50" t="s">
        <v>2</v>
      </c>
      <c r="F50" t="s">
        <v>7</v>
      </c>
      <c r="G50" t="s">
        <v>2</v>
      </c>
      <c r="H50" t="s">
        <v>2</v>
      </c>
      <c r="I50" t="s">
        <v>2</v>
      </c>
    </row>
    <row r="51" spans="1:9" x14ac:dyDescent="0.25">
      <c r="A51" s="4">
        <v>47</v>
      </c>
      <c r="B51" t="s">
        <v>7</v>
      </c>
      <c r="C51" t="s">
        <v>4</v>
      </c>
      <c r="D51" t="s">
        <v>2</v>
      </c>
      <c r="E51" t="s">
        <v>2</v>
      </c>
      <c r="H51" t="s">
        <v>2</v>
      </c>
    </row>
    <row r="52" spans="1:9" x14ac:dyDescent="0.25">
      <c r="A52" s="4">
        <v>48</v>
      </c>
      <c r="B52" t="s">
        <v>2</v>
      </c>
      <c r="F52" t="s">
        <v>2</v>
      </c>
    </row>
    <row r="53" spans="1:9" x14ac:dyDescent="0.25">
      <c r="A53" s="4">
        <v>49</v>
      </c>
      <c r="B53" t="s">
        <v>2</v>
      </c>
      <c r="C53" t="s">
        <v>4</v>
      </c>
      <c r="D53" t="s">
        <v>2</v>
      </c>
      <c r="G53" t="s">
        <v>2</v>
      </c>
    </row>
    <row r="54" spans="1:9" x14ac:dyDescent="0.25">
      <c r="A54" s="4">
        <v>50</v>
      </c>
      <c r="B54" t="s">
        <v>2</v>
      </c>
      <c r="E54" t="s">
        <v>7</v>
      </c>
      <c r="H54" t="s">
        <v>2</v>
      </c>
    </row>
    <row r="55" spans="1:9" x14ac:dyDescent="0.25">
      <c r="A55" s="4">
        <v>51</v>
      </c>
    </row>
    <row r="56" spans="1:9" x14ac:dyDescent="0.25">
      <c r="A56" s="4">
        <v>52</v>
      </c>
      <c r="F56" t="s">
        <v>7</v>
      </c>
    </row>
    <row r="57" spans="1:9" x14ac:dyDescent="0.25">
      <c r="A57" s="4">
        <v>53</v>
      </c>
    </row>
    <row r="58" spans="1:9" x14ac:dyDescent="0.25">
      <c r="A58" s="4">
        <v>54</v>
      </c>
    </row>
    <row r="59" spans="1:9" x14ac:dyDescent="0.25">
      <c r="A59" s="4">
        <v>55</v>
      </c>
    </row>
    <row r="60" spans="1:9" x14ac:dyDescent="0.25">
      <c r="A60" s="4">
        <v>56</v>
      </c>
    </row>
  </sheetData>
  <conditionalFormatting sqref="B5:D11 G5:G11">
    <cfRule type="cellIs" dxfId="1759" priority="17" operator="equal">
      <formula>"Energia"</formula>
    </cfRule>
  </conditionalFormatting>
  <conditionalFormatting sqref="B5:D60 G5:I60">
    <cfRule type="cellIs" dxfId="1758" priority="10" operator="equal">
      <formula>"Energia"</formula>
    </cfRule>
    <cfRule type="cellIs" dxfId="1757" priority="12" operator="equal">
      <formula>"Operação"</formula>
    </cfRule>
    <cfRule type="cellIs" dxfId="1756" priority="13" operator="equal">
      <formula>"Chuva"</formula>
    </cfRule>
    <cfRule type="cellIs" dxfId="1755" priority="14" operator="equal">
      <formula>"Elétrico"</formula>
    </cfRule>
    <cfRule type="cellIs" dxfId="1754" priority="15" operator="equal">
      <formula>"Mecânico"</formula>
    </cfRule>
    <cfRule type="cellIs" dxfId="1753" priority="16" operator="equal">
      <formula>"Ok"</formula>
    </cfRule>
  </conditionalFormatting>
  <conditionalFormatting sqref="B5:D60 G5:I60">
    <cfRule type="cellIs" dxfId="1752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751" priority="8" operator="equal">
      <formula>"Energia"</formula>
    </cfRule>
  </conditionalFormatting>
  <conditionalFormatting sqref="E5:F60">
    <cfRule type="cellIs" dxfId="1750" priority="1" operator="equal">
      <formula>"Energia"</formula>
    </cfRule>
    <cfRule type="cellIs" dxfId="1749" priority="3" operator="equal">
      <formula>"Operação"</formula>
    </cfRule>
    <cfRule type="cellIs" dxfId="1748" priority="4" operator="equal">
      <formula>"Chuva"</formula>
    </cfRule>
    <cfRule type="cellIs" dxfId="1747" priority="5" operator="equal">
      <formula>"Elétrico"</formula>
    </cfRule>
    <cfRule type="cellIs" dxfId="1746" priority="6" operator="equal">
      <formula>"Mecânico"</formula>
    </cfRule>
    <cfRule type="cellIs" dxfId="1745" priority="7" operator="equal">
      <formula>"Ok"</formula>
    </cfRule>
  </conditionalFormatting>
  <conditionalFormatting sqref="E5:F60">
    <cfRule type="cellIs" dxfId="1744" priority="2" operator="equal">
      <formula>"Feito"</formula>
    </cfRule>
  </conditionalFormatting>
  <dataValidations count="1">
    <dataValidation type="list" allowBlank="1" showInputMessage="1" showErrorMessage="1" sqref="B5:J60" xr:uid="{A3DF2FA6-390F-4B90-B989-04DE16BA0CF8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D7EB-00F0-4775-A411-ABA17A4E5C65}">
  <sheetPr codeName="Planilha27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44404</v>
      </c>
      <c r="C3" s="3">
        <f>B3+1</f>
        <v>44405</v>
      </c>
      <c r="D3" s="3">
        <f t="shared" ref="D3:I3" si="0">C3+1</f>
        <v>44406</v>
      </c>
      <c r="E3" s="3">
        <f t="shared" si="0"/>
        <v>44407</v>
      </c>
      <c r="F3" s="3">
        <f t="shared" si="0"/>
        <v>44408</v>
      </c>
      <c r="G3" s="3">
        <f t="shared" si="0"/>
        <v>44409</v>
      </c>
      <c r="H3" s="3">
        <f t="shared" si="0"/>
        <v>44410</v>
      </c>
      <c r="I3" s="3">
        <f t="shared" si="0"/>
        <v>44411</v>
      </c>
    </row>
    <row r="4" spans="1:14" x14ac:dyDescent="0.25">
      <c r="A4" s="2" t="s">
        <v>0</v>
      </c>
      <c r="B4" s="1" t="str">
        <f>TEXT(B3,"ddd")</f>
        <v>ter</v>
      </c>
      <c r="C4" s="1" t="str">
        <f t="shared" ref="C4:I4" si="1">TEXT(C3,"ddd")</f>
        <v>qua</v>
      </c>
      <c r="D4" s="1" t="str">
        <f t="shared" si="1"/>
        <v>qui</v>
      </c>
      <c r="E4" s="1" t="str">
        <f t="shared" si="1"/>
        <v>sex</v>
      </c>
      <c r="F4" s="1" t="str">
        <f t="shared" si="1"/>
        <v>sáb</v>
      </c>
      <c r="G4" s="1" t="str">
        <f t="shared" si="1"/>
        <v>dom</v>
      </c>
      <c r="H4" s="1" t="str">
        <f t="shared" si="1"/>
        <v>seg</v>
      </c>
      <c r="I4" s="1" t="str">
        <f t="shared" si="1"/>
        <v>ter</v>
      </c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K5" s="5" t="s">
        <v>2</v>
      </c>
      <c r="L5">
        <f>COUNTIF($B$5:$I$60,K5)</f>
        <v>83</v>
      </c>
      <c r="M5">
        <f>L5/$L$11</f>
        <v>0.80582524271844658</v>
      </c>
      <c r="N5" s="52">
        <v>44404</v>
      </c>
    </row>
    <row r="6" spans="1:14" x14ac:dyDescent="0.25">
      <c r="A6" s="4">
        <v>2</v>
      </c>
      <c r="C6" t="s">
        <v>2</v>
      </c>
      <c r="F6" t="s">
        <v>2</v>
      </c>
      <c r="H6" t="s">
        <v>2</v>
      </c>
      <c r="K6" s="6" t="s">
        <v>5</v>
      </c>
      <c r="L6">
        <f t="shared" ref="L6:L10" si="2">COUNTIF($B$5:$I$60,K6)</f>
        <v>2</v>
      </c>
      <c r="M6">
        <f t="shared" ref="M6:M10" si="3">L6/$L$11</f>
        <v>1.9417475728155338E-2</v>
      </c>
    </row>
    <row r="7" spans="1:14" x14ac:dyDescent="0.25">
      <c r="A7" s="4">
        <v>3</v>
      </c>
      <c r="D7" t="s">
        <v>2</v>
      </c>
      <c r="F7" t="s">
        <v>2</v>
      </c>
      <c r="H7" t="s">
        <v>2</v>
      </c>
      <c r="K7" s="7" t="s">
        <v>6</v>
      </c>
      <c r="L7">
        <f t="shared" si="2"/>
        <v>0</v>
      </c>
      <c r="M7">
        <f t="shared" si="3"/>
        <v>0</v>
      </c>
    </row>
    <row r="8" spans="1:14" x14ac:dyDescent="0.25">
      <c r="A8" s="4">
        <v>4</v>
      </c>
      <c r="D8" t="s">
        <v>2</v>
      </c>
      <c r="F8" t="s">
        <v>2</v>
      </c>
      <c r="I8" t="s">
        <v>7</v>
      </c>
      <c r="K8" s="8" t="s">
        <v>4</v>
      </c>
      <c r="L8">
        <f t="shared" si="2"/>
        <v>0</v>
      </c>
      <c r="M8">
        <f t="shared" si="3"/>
        <v>0</v>
      </c>
    </row>
    <row r="9" spans="1:14" x14ac:dyDescent="0.25">
      <c r="A9" s="4">
        <v>5</v>
      </c>
      <c r="E9" t="s">
        <v>2</v>
      </c>
      <c r="K9" s="9" t="s">
        <v>3</v>
      </c>
      <c r="L9">
        <f t="shared" si="2"/>
        <v>0</v>
      </c>
      <c r="M9">
        <f t="shared" si="3"/>
        <v>0</v>
      </c>
    </row>
    <row r="10" spans="1:14" x14ac:dyDescent="0.25">
      <c r="A10" s="4">
        <v>6</v>
      </c>
      <c r="D10" t="s">
        <v>7</v>
      </c>
      <c r="E10" t="s">
        <v>7</v>
      </c>
      <c r="K10" s="10" t="s">
        <v>7</v>
      </c>
      <c r="L10">
        <f t="shared" si="2"/>
        <v>18</v>
      </c>
      <c r="M10">
        <f t="shared" si="3"/>
        <v>0.17475728155339806</v>
      </c>
    </row>
    <row r="11" spans="1:14" x14ac:dyDescent="0.25">
      <c r="A11" s="4">
        <v>7</v>
      </c>
      <c r="D11" t="s">
        <v>7</v>
      </c>
      <c r="G11" t="s">
        <v>2</v>
      </c>
      <c r="L11">
        <f>SUM(L5:L10)</f>
        <v>103</v>
      </c>
    </row>
    <row r="12" spans="1:14" x14ac:dyDescent="0.25">
      <c r="A12" s="4">
        <v>8</v>
      </c>
      <c r="D12" t="s">
        <v>2</v>
      </c>
      <c r="G12" t="s">
        <v>2</v>
      </c>
    </row>
    <row r="13" spans="1:14" x14ac:dyDescent="0.25">
      <c r="A13" s="4">
        <v>9</v>
      </c>
      <c r="C13" t="s">
        <v>7</v>
      </c>
      <c r="F13" t="s">
        <v>2</v>
      </c>
    </row>
    <row r="14" spans="1:14" x14ac:dyDescent="0.25">
      <c r="A14" s="4">
        <v>10</v>
      </c>
      <c r="B14" t="s">
        <v>2</v>
      </c>
      <c r="E14" t="s">
        <v>2</v>
      </c>
      <c r="H14" t="s">
        <v>2</v>
      </c>
    </row>
    <row r="15" spans="1:14" x14ac:dyDescent="0.25">
      <c r="A15" s="4">
        <v>11</v>
      </c>
      <c r="B15" t="s">
        <v>7</v>
      </c>
      <c r="D15" t="s">
        <v>7</v>
      </c>
      <c r="F15" t="s">
        <v>2</v>
      </c>
      <c r="H15" t="s">
        <v>7</v>
      </c>
    </row>
    <row r="16" spans="1:14" x14ac:dyDescent="0.25">
      <c r="A16" s="4">
        <v>12</v>
      </c>
      <c r="B16" t="s">
        <v>2</v>
      </c>
      <c r="D16" t="s">
        <v>7</v>
      </c>
      <c r="F16" t="s">
        <v>2</v>
      </c>
      <c r="H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I17" t="s">
        <v>2</v>
      </c>
    </row>
    <row r="18" spans="1:9" x14ac:dyDescent="0.25">
      <c r="A18" s="4">
        <v>14</v>
      </c>
      <c r="B18" t="s">
        <v>2</v>
      </c>
      <c r="C18" t="s">
        <v>7</v>
      </c>
      <c r="E18" t="s">
        <v>2</v>
      </c>
      <c r="G18" t="s">
        <v>2</v>
      </c>
      <c r="I18" t="s">
        <v>2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</row>
    <row r="34" spans="1:9" x14ac:dyDescent="0.25">
      <c r="A34" s="4">
        <v>30</v>
      </c>
      <c r="B34" t="s">
        <v>2</v>
      </c>
      <c r="C34" t="s">
        <v>2</v>
      </c>
      <c r="E34" t="s">
        <v>2</v>
      </c>
      <c r="G34" t="s">
        <v>2</v>
      </c>
      <c r="I34" t="s">
        <v>2</v>
      </c>
    </row>
    <row r="35" spans="1:9" x14ac:dyDescent="0.25">
      <c r="A35" s="4">
        <v>31</v>
      </c>
      <c r="D35" t="s">
        <v>2</v>
      </c>
      <c r="F35" t="s">
        <v>2</v>
      </c>
      <c r="I35" t="s">
        <v>2</v>
      </c>
    </row>
    <row r="36" spans="1:9" x14ac:dyDescent="0.25">
      <c r="A36" s="4">
        <v>32</v>
      </c>
    </row>
    <row r="37" spans="1:9" x14ac:dyDescent="0.25">
      <c r="A37" s="4">
        <v>33</v>
      </c>
      <c r="B37" t="s">
        <v>2</v>
      </c>
      <c r="C37" t="s">
        <v>2</v>
      </c>
      <c r="D37" t="s">
        <v>2</v>
      </c>
      <c r="G37" t="s">
        <v>2</v>
      </c>
    </row>
    <row r="38" spans="1:9" x14ac:dyDescent="0.25">
      <c r="A38" s="4">
        <v>34</v>
      </c>
      <c r="C38" t="s">
        <v>2</v>
      </c>
      <c r="D38" t="s">
        <v>2</v>
      </c>
      <c r="G38" t="s">
        <v>2</v>
      </c>
      <c r="I38" t="s">
        <v>5</v>
      </c>
    </row>
    <row r="39" spans="1:9" x14ac:dyDescent="0.25">
      <c r="A39" s="4">
        <v>35</v>
      </c>
      <c r="C39" t="s">
        <v>7</v>
      </c>
    </row>
    <row r="40" spans="1:9" x14ac:dyDescent="0.25">
      <c r="A40" s="4">
        <v>36</v>
      </c>
      <c r="F40" t="s">
        <v>5</v>
      </c>
      <c r="I40" t="s">
        <v>2</v>
      </c>
    </row>
    <row r="41" spans="1:9" x14ac:dyDescent="0.25">
      <c r="A41" s="4">
        <v>37</v>
      </c>
      <c r="D41" t="s">
        <v>2</v>
      </c>
      <c r="F41" t="s">
        <v>2</v>
      </c>
      <c r="G41" t="s">
        <v>7</v>
      </c>
      <c r="H41" t="s">
        <v>2</v>
      </c>
      <c r="I41" t="s">
        <v>2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</row>
    <row r="48" spans="1:9" x14ac:dyDescent="0.25">
      <c r="A48" s="4">
        <v>44</v>
      </c>
    </row>
    <row r="49" spans="1:9" x14ac:dyDescent="0.25">
      <c r="A49" s="4">
        <v>45</v>
      </c>
      <c r="G49" t="s">
        <v>2</v>
      </c>
    </row>
    <row r="50" spans="1:9" x14ac:dyDescent="0.25">
      <c r="A50" s="4">
        <v>46</v>
      </c>
      <c r="B50" t="s">
        <v>2</v>
      </c>
      <c r="C50" t="s">
        <v>2</v>
      </c>
      <c r="D50" t="s">
        <v>2</v>
      </c>
      <c r="E50" t="s">
        <v>2</v>
      </c>
      <c r="F50" t="s">
        <v>7</v>
      </c>
      <c r="I50" t="s">
        <v>2</v>
      </c>
    </row>
    <row r="51" spans="1:9" x14ac:dyDescent="0.25">
      <c r="A51" s="4">
        <v>47</v>
      </c>
      <c r="C51" t="s">
        <v>2</v>
      </c>
      <c r="D51" t="s">
        <v>2</v>
      </c>
      <c r="H51" t="s">
        <v>2</v>
      </c>
    </row>
    <row r="52" spans="1:9" x14ac:dyDescent="0.25">
      <c r="A52" s="4">
        <v>48</v>
      </c>
      <c r="B52" t="s">
        <v>2</v>
      </c>
      <c r="G52" t="s">
        <v>2</v>
      </c>
    </row>
    <row r="53" spans="1:9" x14ac:dyDescent="0.25">
      <c r="A53" s="4">
        <v>49</v>
      </c>
      <c r="C53" t="s">
        <v>2</v>
      </c>
      <c r="H53" t="s">
        <v>2</v>
      </c>
    </row>
    <row r="54" spans="1:9" x14ac:dyDescent="0.25">
      <c r="A54" s="4">
        <v>50</v>
      </c>
      <c r="C54" t="s">
        <v>7</v>
      </c>
      <c r="F54" t="s">
        <v>2</v>
      </c>
      <c r="I54" t="s">
        <v>7</v>
      </c>
    </row>
    <row r="55" spans="1:9" x14ac:dyDescent="0.25">
      <c r="A55" s="4">
        <v>51</v>
      </c>
    </row>
    <row r="56" spans="1:9" x14ac:dyDescent="0.25">
      <c r="A56" s="4">
        <v>52</v>
      </c>
      <c r="D56" t="s">
        <v>2</v>
      </c>
      <c r="F56" t="s">
        <v>7</v>
      </c>
      <c r="H56" t="s">
        <v>7</v>
      </c>
      <c r="I56" t="s">
        <v>7</v>
      </c>
    </row>
    <row r="57" spans="1:9" x14ac:dyDescent="0.25">
      <c r="A57" s="4">
        <v>53</v>
      </c>
    </row>
    <row r="58" spans="1:9" x14ac:dyDescent="0.25">
      <c r="A58" s="4">
        <v>54</v>
      </c>
      <c r="I58" t="s">
        <v>2</v>
      </c>
    </row>
    <row r="59" spans="1:9" x14ac:dyDescent="0.25">
      <c r="A59" s="4">
        <v>55</v>
      </c>
    </row>
    <row r="60" spans="1:9" x14ac:dyDescent="0.25">
      <c r="A60" s="4">
        <v>56</v>
      </c>
    </row>
  </sheetData>
  <conditionalFormatting sqref="B5:D11 G5:G11">
    <cfRule type="cellIs" dxfId="1743" priority="17" operator="equal">
      <formula>"Energia"</formula>
    </cfRule>
  </conditionalFormatting>
  <conditionalFormatting sqref="B5:D60 G5:I60">
    <cfRule type="cellIs" dxfId="1742" priority="10" operator="equal">
      <formula>"Energia"</formula>
    </cfRule>
    <cfRule type="cellIs" dxfId="1741" priority="12" operator="equal">
      <formula>"Operação"</formula>
    </cfRule>
    <cfRule type="cellIs" dxfId="1740" priority="13" operator="equal">
      <formula>"Chuva"</formula>
    </cfRule>
    <cfRule type="cellIs" dxfId="1739" priority="14" operator="equal">
      <formula>"Elétrico"</formula>
    </cfRule>
    <cfRule type="cellIs" dxfId="1738" priority="15" operator="equal">
      <formula>"Mecânico"</formula>
    </cfRule>
    <cfRule type="cellIs" dxfId="1737" priority="16" operator="equal">
      <formula>"Ok"</formula>
    </cfRule>
  </conditionalFormatting>
  <conditionalFormatting sqref="B5:D60 G5:I60">
    <cfRule type="cellIs" dxfId="1736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735" priority="8" operator="equal">
      <formula>"Energia"</formula>
    </cfRule>
  </conditionalFormatting>
  <conditionalFormatting sqref="E5:F60">
    <cfRule type="cellIs" dxfId="1734" priority="1" operator="equal">
      <formula>"Energia"</formula>
    </cfRule>
    <cfRule type="cellIs" dxfId="1733" priority="3" operator="equal">
      <formula>"Operação"</formula>
    </cfRule>
    <cfRule type="cellIs" dxfId="1732" priority="4" operator="equal">
      <formula>"Chuva"</formula>
    </cfRule>
    <cfRule type="cellIs" dxfId="1731" priority="5" operator="equal">
      <formula>"Elétrico"</formula>
    </cfRule>
    <cfRule type="cellIs" dxfId="1730" priority="6" operator="equal">
      <formula>"Mecânico"</formula>
    </cfRule>
    <cfRule type="cellIs" dxfId="1729" priority="7" operator="equal">
      <formula>"Ok"</formula>
    </cfRule>
  </conditionalFormatting>
  <conditionalFormatting sqref="E5:F60">
    <cfRule type="cellIs" dxfId="1728" priority="2" operator="equal">
      <formula>"Feito"</formula>
    </cfRule>
  </conditionalFormatting>
  <dataValidations count="1">
    <dataValidation type="list" allowBlank="1" showInputMessage="1" showErrorMessage="1" sqref="B5:J60" xr:uid="{AE6CAF13-7181-4942-A537-A132B4DEA626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8124-1461-44E5-8FEC-0C3521ABE896}">
  <sheetPr codeName="Planilha28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44412</v>
      </c>
      <c r="C3" s="3">
        <f>B3+1</f>
        <v>44413</v>
      </c>
      <c r="D3" s="3">
        <f t="shared" ref="D3:I3" si="0">C3+1</f>
        <v>44414</v>
      </c>
      <c r="E3" s="3">
        <f t="shared" si="0"/>
        <v>44415</v>
      </c>
      <c r="F3" s="3">
        <f t="shared" si="0"/>
        <v>44416</v>
      </c>
      <c r="G3" s="3">
        <f t="shared" si="0"/>
        <v>44417</v>
      </c>
      <c r="H3" s="3">
        <f t="shared" si="0"/>
        <v>44418</v>
      </c>
      <c r="I3" s="3">
        <f t="shared" si="0"/>
        <v>44419</v>
      </c>
    </row>
    <row r="4" spans="1:14" x14ac:dyDescent="0.25">
      <c r="A4" s="2" t="s">
        <v>0</v>
      </c>
      <c r="B4" s="1" t="str">
        <f>TEXT(B3,"ddd")</f>
        <v>qua</v>
      </c>
      <c r="C4" s="1" t="str">
        <f t="shared" ref="C4:I4" si="1">TEXT(C3,"ddd")</f>
        <v>qui</v>
      </c>
      <c r="D4" s="1" t="str">
        <f t="shared" si="1"/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K5" s="5" t="s">
        <v>2</v>
      </c>
      <c r="L5">
        <f>COUNTIF($B$5:$I$60,K5)</f>
        <v>102</v>
      </c>
      <c r="M5" s="53">
        <f>L5/$L$11</f>
        <v>0.76691729323308266</v>
      </c>
      <c r="N5" s="52">
        <v>44412</v>
      </c>
    </row>
    <row r="6" spans="1:14" x14ac:dyDescent="0.25">
      <c r="A6" s="4">
        <v>2</v>
      </c>
      <c r="B6" t="s">
        <v>2</v>
      </c>
      <c r="C6" t="s">
        <v>2</v>
      </c>
      <c r="E6" t="s">
        <v>2</v>
      </c>
      <c r="H6" t="s">
        <v>2</v>
      </c>
      <c r="K6" s="6" t="s">
        <v>5</v>
      </c>
      <c r="L6">
        <f t="shared" ref="L6:L10" si="2">COUNTIF($B$5:$I$60,K6)</f>
        <v>6</v>
      </c>
      <c r="M6" s="53">
        <f t="shared" ref="M6:M10" si="3">L6/$L$11</f>
        <v>4.5112781954887216E-2</v>
      </c>
    </row>
    <row r="7" spans="1:14" x14ac:dyDescent="0.25">
      <c r="A7" s="4">
        <v>3</v>
      </c>
      <c r="C7" t="s">
        <v>2</v>
      </c>
      <c r="F7" t="s">
        <v>2</v>
      </c>
      <c r="G7" t="s">
        <v>2</v>
      </c>
      <c r="H7" t="s">
        <v>2</v>
      </c>
      <c r="K7" s="7" t="s">
        <v>6</v>
      </c>
      <c r="L7">
        <f t="shared" si="2"/>
        <v>3</v>
      </c>
      <c r="M7" s="53">
        <f t="shared" si="3"/>
        <v>2.2556390977443608E-2</v>
      </c>
    </row>
    <row r="8" spans="1:14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I8" t="s">
        <v>2</v>
      </c>
      <c r="K8" s="8" t="s">
        <v>4</v>
      </c>
      <c r="L8">
        <f t="shared" si="2"/>
        <v>0</v>
      </c>
      <c r="M8" s="53">
        <f t="shared" si="3"/>
        <v>0</v>
      </c>
    </row>
    <row r="9" spans="1:14" x14ac:dyDescent="0.25">
      <c r="A9" s="4">
        <v>5</v>
      </c>
      <c r="B9" t="s">
        <v>2</v>
      </c>
      <c r="F9" t="s">
        <v>2</v>
      </c>
      <c r="I9" t="s">
        <v>2</v>
      </c>
      <c r="K9" s="9" t="s">
        <v>3</v>
      </c>
      <c r="L9">
        <f t="shared" si="2"/>
        <v>0</v>
      </c>
      <c r="M9" s="53">
        <f t="shared" si="3"/>
        <v>0</v>
      </c>
    </row>
    <row r="10" spans="1:14" x14ac:dyDescent="0.25">
      <c r="A10" s="4">
        <v>6</v>
      </c>
      <c r="B10" t="s">
        <v>5</v>
      </c>
      <c r="F10" t="s">
        <v>2</v>
      </c>
      <c r="K10" s="10" t="s">
        <v>7</v>
      </c>
      <c r="L10">
        <f t="shared" si="2"/>
        <v>22</v>
      </c>
      <c r="M10" s="53">
        <f t="shared" si="3"/>
        <v>0.16541353383458646</v>
      </c>
    </row>
    <row r="11" spans="1:14" x14ac:dyDescent="0.25">
      <c r="A11" s="4">
        <v>7</v>
      </c>
      <c r="C11" t="s">
        <v>7</v>
      </c>
      <c r="G11" t="s">
        <v>6</v>
      </c>
      <c r="L11">
        <f>SUM(L5:L10)</f>
        <v>133</v>
      </c>
    </row>
    <row r="12" spans="1:14" x14ac:dyDescent="0.25">
      <c r="A12" s="4">
        <v>8</v>
      </c>
      <c r="B12" t="s">
        <v>2</v>
      </c>
      <c r="E12" t="s">
        <v>2</v>
      </c>
      <c r="H12" t="s">
        <v>2</v>
      </c>
    </row>
    <row r="13" spans="1:14" x14ac:dyDescent="0.25">
      <c r="A13" s="4">
        <v>9</v>
      </c>
      <c r="B13" t="s">
        <v>7</v>
      </c>
      <c r="F13" t="s">
        <v>2</v>
      </c>
    </row>
    <row r="14" spans="1:14" x14ac:dyDescent="0.25">
      <c r="A14" s="4">
        <v>10</v>
      </c>
      <c r="C14" t="s">
        <v>2</v>
      </c>
      <c r="G14" t="s">
        <v>2</v>
      </c>
    </row>
    <row r="15" spans="1:14" x14ac:dyDescent="0.25">
      <c r="A15" s="4">
        <v>11</v>
      </c>
      <c r="B15" t="s">
        <v>7</v>
      </c>
      <c r="D15" t="s">
        <v>7</v>
      </c>
      <c r="F15" t="s">
        <v>2</v>
      </c>
      <c r="I15" t="s">
        <v>2</v>
      </c>
    </row>
    <row r="16" spans="1:14" x14ac:dyDescent="0.25">
      <c r="A16" s="4">
        <v>12</v>
      </c>
      <c r="B16" t="s">
        <v>2</v>
      </c>
      <c r="D16" t="s">
        <v>2</v>
      </c>
      <c r="F16" t="s">
        <v>2</v>
      </c>
      <c r="H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</row>
    <row r="18" spans="1:9" x14ac:dyDescent="0.25">
      <c r="A18" s="4">
        <v>14</v>
      </c>
      <c r="C18" t="s">
        <v>2</v>
      </c>
      <c r="E18" t="s">
        <v>2</v>
      </c>
      <c r="G18" t="s">
        <v>2</v>
      </c>
      <c r="I18" t="s">
        <v>5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5</v>
      </c>
      <c r="G29" t="s">
        <v>2</v>
      </c>
      <c r="H29" t="s">
        <v>7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</row>
    <row r="34" spans="1:9" x14ac:dyDescent="0.25">
      <c r="A34" s="4">
        <v>30</v>
      </c>
      <c r="B34" t="s">
        <v>7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</row>
    <row r="35" spans="1:9" x14ac:dyDescent="0.25">
      <c r="A35" s="4">
        <v>31</v>
      </c>
      <c r="D35" t="s">
        <v>2</v>
      </c>
      <c r="F35" t="s">
        <v>2</v>
      </c>
      <c r="H35" t="s">
        <v>2</v>
      </c>
    </row>
    <row r="36" spans="1:9" x14ac:dyDescent="0.25">
      <c r="A36" s="4">
        <v>32</v>
      </c>
      <c r="I36" t="s">
        <v>2</v>
      </c>
    </row>
    <row r="37" spans="1:9" x14ac:dyDescent="0.25">
      <c r="A37" s="4">
        <v>33</v>
      </c>
      <c r="B37" t="s">
        <v>2</v>
      </c>
      <c r="E37" t="s">
        <v>2</v>
      </c>
      <c r="G37" t="s">
        <v>5</v>
      </c>
    </row>
    <row r="38" spans="1:9" x14ac:dyDescent="0.25">
      <c r="A38" s="4">
        <v>34</v>
      </c>
      <c r="B38" t="s">
        <v>2</v>
      </c>
      <c r="C38" t="s">
        <v>2</v>
      </c>
      <c r="F38" t="s">
        <v>2</v>
      </c>
      <c r="G38" t="s">
        <v>2</v>
      </c>
      <c r="H38" t="s">
        <v>2</v>
      </c>
    </row>
    <row r="39" spans="1:9" x14ac:dyDescent="0.25">
      <c r="A39" s="4">
        <v>35</v>
      </c>
      <c r="B39" t="s">
        <v>2</v>
      </c>
      <c r="D39" t="s">
        <v>7</v>
      </c>
      <c r="F39" t="s">
        <v>7</v>
      </c>
      <c r="G39" t="s">
        <v>2</v>
      </c>
      <c r="H39" t="s">
        <v>7</v>
      </c>
      <c r="I39" t="s">
        <v>7</v>
      </c>
    </row>
    <row r="40" spans="1:9" x14ac:dyDescent="0.25">
      <c r="A40" s="4">
        <v>36</v>
      </c>
      <c r="B40" t="s">
        <v>2</v>
      </c>
      <c r="D40" t="s">
        <v>2</v>
      </c>
      <c r="G40" t="s">
        <v>2</v>
      </c>
      <c r="I40" t="s">
        <v>7</v>
      </c>
    </row>
    <row r="41" spans="1:9" x14ac:dyDescent="0.25">
      <c r="A41" s="4">
        <v>37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H41" t="s">
        <v>2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</row>
    <row r="48" spans="1:9" x14ac:dyDescent="0.25">
      <c r="A48" s="4">
        <v>44</v>
      </c>
    </row>
    <row r="49" spans="1:9" x14ac:dyDescent="0.25">
      <c r="A49" s="4">
        <v>45</v>
      </c>
      <c r="E49" t="s">
        <v>2</v>
      </c>
      <c r="F49" t="s">
        <v>7</v>
      </c>
      <c r="G49" t="s">
        <v>7</v>
      </c>
      <c r="H49" t="s">
        <v>2</v>
      </c>
      <c r="I49" t="s">
        <v>2</v>
      </c>
    </row>
    <row r="50" spans="1:9" x14ac:dyDescent="0.25">
      <c r="A50" s="4">
        <v>46</v>
      </c>
      <c r="C50" t="s">
        <v>2</v>
      </c>
      <c r="D50" t="s">
        <v>2</v>
      </c>
      <c r="E50" t="s">
        <v>2</v>
      </c>
      <c r="G50" t="s">
        <v>6</v>
      </c>
    </row>
    <row r="51" spans="1:9" x14ac:dyDescent="0.25">
      <c r="A51" s="4">
        <v>47</v>
      </c>
      <c r="E51" t="s">
        <v>7</v>
      </c>
    </row>
    <row r="52" spans="1:9" x14ac:dyDescent="0.25">
      <c r="A52" s="4">
        <v>48</v>
      </c>
      <c r="C52" t="s">
        <v>2</v>
      </c>
      <c r="D52" t="s">
        <v>2</v>
      </c>
      <c r="H52" t="s">
        <v>7</v>
      </c>
    </row>
    <row r="53" spans="1:9" x14ac:dyDescent="0.25">
      <c r="A53" s="4">
        <v>49</v>
      </c>
      <c r="E53" t="s">
        <v>2</v>
      </c>
      <c r="I53" t="s">
        <v>7</v>
      </c>
    </row>
    <row r="54" spans="1:9" x14ac:dyDescent="0.25">
      <c r="A54" s="4">
        <v>50</v>
      </c>
      <c r="C54" t="s">
        <v>7</v>
      </c>
      <c r="D54" t="s">
        <v>2</v>
      </c>
      <c r="F54" t="s">
        <v>7</v>
      </c>
      <c r="G54" t="s">
        <v>7</v>
      </c>
    </row>
    <row r="55" spans="1:9" x14ac:dyDescent="0.25">
      <c r="A55" s="4">
        <v>51</v>
      </c>
      <c r="D55" t="s">
        <v>2</v>
      </c>
      <c r="E55" t="s">
        <v>2</v>
      </c>
      <c r="H55" t="s">
        <v>7</v>
      </c>
      <c r="I55" t="s">
        <v>2</v>
      </c>
    </row>
    <row r="56" spans="1:9" x14ac:dyDescent="0.25">
      <c r="A56" s="4">
        <v>52</v>
      </c>
      <c r="B56" t="s">
        <v>7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6</v>
      </c>
    </row>
    <row r="57" spans="1:9" x14ac:dyDescent="0.25">
      <c r="A57" s="4">
        <v>53</v>
      </c>
    </row>
    <row r="58" spans="1:9" x14ac:dyDescent="0.25">
      <c r="A58" s="4">
        <v>54</v>
      </c>
      <c r="B58" t="s">
        <v>5</v>
      </c>
      <c r="C58" t="s">
        <v>5</v>
      </c>
      <c r="D58" t="s">
        <v>7</v>
      </c>
    </row>
    <row r="59" spans="1:9" x14ac:dyDescent="0.25">
      <c r="A59" s="4">
        <v>55</v>
      </c>
    </row>
    <row r="60" spans="1:9" x14ac:dyDescent="0.25">
      <c r="A60" s="4">
        <v>56</v>
      </c>
    </row>
  </sheetData>
  <conditionalFormatting sqref="B5:D11 G5:G11">
    <cfRule type="cellIs" dxfId="1727" priority="17" operator="equal">
      <formula>"Energia"</formula>
    </cfRule>
  </conditionalFormatting>
  <conditionalFormatting sqref="B5:D60 G5:I60">
    <cfRule type="cellIs" dxfId="1726" priority="10" operator="equal">
      <formula>"Energia"</formula>
    </cfRule>
    <cfRule type="cellIs" dxfId="1725" priority="12" operator="equal">
      <formula>"Operação"</formula>
    </cfRule>
    <cfRule type="cellIs" dxfId="1724" priority="13" operator="equal">
      <formula>"Chuva"</formula>
    </cfRule>
    <cfRule type="cellIs" dxfId="1723" priority="14" operator="equal">
      <formula>"Elétrico"</formula>
    </cfRule>
    <cfRule type="cellIs" dxfId="1722" priority="15" operator="equal">
      <formula>"Mecânico"</formula>
    </cfRule>
    <cfRule type="cellIs" dxfId="1721" priority="16" operator="equal">
      <formula>"Ok"</formula>
    </cfRule>
  </conditionalFormatting>
  <conditionalFormatting sqref="B5:D60 G5:I60">
    <cfRule type="cellIs" dxfId="1720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719" priority="8" operator="equal">
      <formula>"Energia"</formula>
    </cfRule>
  </conditionalFormatting>
  <conditionalFormatting sqref="E5:F60">
    <cfRule type="cellIs" dxfId="1718" priority="1" operator="equal">
      <formula>"Energia"</formula>
    </cfRule>
    <cfRule type="cellIs" dxfId="1717" priority="3" operator="equal">
      <formula>"Operação"</formula>
    </cfRule>
    <cfRule type="cellIs" dxfId="1716" priority="4" operator="equal">
      <formula>"Chuva"</formula>
    </cfRule>
    <cfRule type="cellIs" dxfId="1715" priority="5" operator="equal">
      <formula>"Elétrico"</formula>
    </cfRule>
    <cfRule type="cellIs" dxfId="1714" priority="6" operator="equal">
      <formula>"Mecânico"</formula>
    </cfRule>
    <cfRule type="cellIs" dxfId="1713" priority="7" operator="equal">
      <formula>"Ok"</formula>
    </cfRule>
  </conditionalFormatting>
  <conditionalFormatting sqref="E5:F60">
    <cfRule type="cellIs" dxfId="1712" priority="2" operator="equal">
      <formula>"Feito"</formula>
    </cfRule>
  </conditionalFormatting>
  <dataValidations count="1">
    <dataValidation type="list" allowBlank="1" showInputMessage="1" showErrorMessage="1" sqref="B5:J60" xr:uid="{5BE70544-1070-4033-B160-2095C3D31A9F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2D8E-C8E5-49F3-9954-4518387F0359}">
  <sheetPr codeName="Planilha29"/>
  <dimension ref="A3:N60"/>
  <sheetViews>
    <sheetView workbookViewId="0">
      <pane xSplit="1" topLeftCell="B1" activePane="topRight" state="frozen"/>
      <selection pane="topRight" activeCell="I23" sqref="I2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44420</v>
      </c>
      <c r="C3" s="3">
        <f>B3+1</f>
        <v>44421</v>
      </c>
      <c r="D3" s="3">
        <f t="shared" ref="D3:I3" si="0">C3+1</f>
        <v>44422</v>
      </c>
      <c r="E3" s="3">
        <f t="shared" si="0"/>
        <v>44423</v>
      </c>
      <c r="F3" s="3">
        <f t="shared" si="0"/>
        <v>44424</v>
      </c>
      <c r="G3" s="3">
        <f t="shared" si="0"/>
        <v>44425</v>
      </c>
      <c r="H3" s="3">
        <f t="shared" si="0"/>
        <v>44426</v>
      </c>
      <c r="I3" s="3">
        <f t="shared" si="0"/>
        <v>44427</v>
      </c>
    </row>
    <row r="4" spans="1:14" x14ac:dyDescent="0.25">
      <c r="A4" s="2" t="s">
        <v>0</v>
      </c>
      <c r="B4" s="1" t="str">
        <f>TEXT(B3,"ddd")</f>
        <v>qui</v>
      </c>
      <c r="C4" s="1" t="str">
        <f t="shared" ref="C4:I4" si="1">TEXT(C3,"ddd")</f>
        <v>sex</v>
      </c>
      <c r="D4" s="1" t="str">
        <f t="shared" si="1"/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K5" s="5" t="s">
        <v>2</v>
      </c>
      <c r="L5">
        <f>COUNTIF($B$5:$I$60,K5)</f>
        <v>98</v>
      </c>
      <c r="M5" s="53">
        <f>L5/$L$11</f>
        <v>0.72592592592592597</v>
      </c>
      <c r="N5" s="52">
        <v>44420</v>
      </c>
    </row>
    <row r="6" spans="1:14" x14ac:dyDescent="0.25">
      <c r="A6" s="4">
        <v>2</v>
      </c>
      <c r="C6" t="s">
        <v>2</v>
      </c>
      <c r="F6" t="s">
        <v>2</v>
      </c>
      <c r="H6" t="s">
        <v>2</v>
      </c>
      <c r="I6" t="s">
        <v>2</v>
      </c>
      <c r="K6" s="6" t="s">
        <v>5</v>
      </c>
      <c r="L6">
        <f t="shared" ref="L6:L10" si="2">COUNTIF($B$5:$I$60,K6)</f>
        <v>11</v>
      </c>
      <c r="M6" s="53">
        <f t="shared" ref="M6:M10" si="3">L6/$L$11</f>
        <v>8.1481481481481488E-2</v>
      </c>
    </row>
    <row r="7" spans="1:14" x14ac:dyDescent="0.25">
      <c r="A7" s="4">
        <v>3</v>
      </c>
      <c r="C7" t="s">
        <v>2</v>
      </c>
      <c r="F7" t="s">
        <v>2</v>
      </c>
      <c r="I7" t="s">
        <v>2</v>
      </c>
      <c r="K7" s="7" t="s">
        <v>6</v>
      </c>
      <c r="L7">
        <f t="shared" si="2"/>
        <v>7</v>
      </c>
      <c r="M7" s="53">
        <f t="shared" si="3"/>
        <v>5.185185185185185E-2</v>
      </c>
    </row>
    <row r="8" spans="1:14" x14ac:dyDescent="0.25">
      <c r="A8" s="4">
        <v>4</v>
      </c>
      <c r="D8" t="s">
        <v>2</v>
      </c>
      <c r="G8" t="s">
        <v>2</v>
      </c>
      <c r="H8" t="s">
        <v>2</v>
      </c>
      <c r="K8" s="8" t="s">
        <v>4</v>
      </c>
      <c r="L8">
        <f t="shared" si="2"/>
        <v>0</v>
      </c>
      <c r="M8" s="53">
        <f t="shared" si="3"/>
        <v>0</v>
      </c>
    </row>
    <row r="9" spans="1:14" x14ac:dyDescent="0.25">
      <c r="A9" s="4">
        <v>5</v>
      </c>
      <c r="C9" t="s">
        <v>2</v>
      </c>
      <c r="K9" s="9" t="s">
        <v>3</v>
      </c>
      <c r="L9">
        <f t="shared" si="2"/>
        <v>0</v>
      </c>
      <c r="M9" s="53">
        <f t="shared" si="3"/>
        <v>0</v>
      </c>
    </row>
    <row r="10" spans="1:14" x14ac:dyDescent="0.25">
      <c r="A10" s="4">
        <v>6</v>
      </c>
      <c r="B10" t="s">
        <v>7</v>
      </c>
      <c r="E10" t="s">
        <v>5</v>
      </c>
      <c r="H10" t="s">
        <v>2</v>
      </c>
      <c r="I10" t="s">
        <v>2</v>
      </c>
      <c r="K10" s="10" t="s">
        <v>7</v>
      </c>
      <c r="L10">
        <f t="shared" si="2"/>
        <v>19</v>
      </c>
      <c r="M10" s="53">
        <f t="shared" si="3"/>
        <v>0.14074074074074075</v>
      </c>
    </row>
    <row r="11" spans="1:14" x14ac:dyDescent="0.25">
      <c r="A11" s="4">
        <v>7</v>
      </c>
      <c r="D11" t="s">
        <v>6</v>
      </c>
      <c r="H11" t="s">
        <v>2</v>
      </c>
      <c r="L11">
        <f>SUM(L5:L10)</f>
        <v>135</v>
      </c>
    </row>
    <row r="12" spans="1:14" x14ac:dyDescent="0.25">
      <c r="A12" s="4">
        <v>8</v>
      </c>
      <c r="C12" t="s">
        <v>7</v>
      </c>
      <c r="D12" t="s">
        <v>2</v>
      </c>
      <c r="G12" t="s">
        <v>2</v>
      </c>
    </row>
    <row r="13" spans="1:14" x14ac:dyDescent="0.25">
      <c r="A13" s="4">
        <v>9</v>
      </c>
      <c r="B13" t="s">
        <v>2</v>
      </c>
      <c r="E13" t="s">
        <v>2</v>
      </c>
      <c r="I13" t="s">
        <v>5</v>
      </c>
    </row>
    <row r="14" spans="1:14" x14ac:dyDescent="0.25">
      <c r="A14" s="4">
        <v>10</v>
      </c>
      <c r="C14" t="s">
        <v>2</v>
      </c>
      <c r="F14" t="s">
        <v>2</v>
      </c>
      <c r="G14" t="s">
        <v>2</v>
      </c>
    </row>
    <row r="15" spans="1:14" x14ac:dyDescent="0.25">
      <c r="A15" s="4">
        <v>11</v>
      </c>
      <c r="D15" t="s">
        <v>2</v>
      </c>
      <c r="G15" t="s">
        <v>7</v>
      </c>
    </row>
    <row r="16" spans="1:14" x14ac:dyDescent="0.25">
      <c r="A16" s="4">
        <v>12</v>
      </c>
      <c r="C16" t="s">
        <v>2</v>
      </c>
      <c r="E16" t="s">
        <v>2</v>
      </c>
      <c r="H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</row>
    <row r="18" spans="1:9" x14ac:dyDescent="0.25">
      <c r="A18" s="4">
        <v>14</v>
      </c>
      <c r="C18" t="s">
        <v>2</v>
      </c>
      <c r="E18" t="s">
        <v>2</v>
      </c>
      <c r="G18" t="s">
        <v>2</v>
      </c>
      <c r="I18" t="s">
        <v>2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7</v>
      </c>
      <c r="G33" t="s">
        <v>2</v>
      </c>
      <c r="H33" t="s">
        <v>2</v>
      </c>
      <c r="I33" t="s">
        <v>2</v>
      </c>
    </row>
    <row r="34" spans="1:9" x14ac:dyDescent="0.25">
      <c r="A34" s="4">
        <v>30</v>
      </c>
      <c r="B34" t="s">
        <v>5</v>
      </c>
      <c r="C34" t="s">
        <v>5</v>
      </c>
      <c r="D34" t="s">
        <v>2</v>
      </c>
      <c r="E34" t="s">
        <v>7</v>
      </c>
      <c r="F34" t="s">
        <v>2</v>
      </c>
      <c r="G34" t="s">
        <v>2</v>
      </c>
      <c r="H34" t="s">
        <v>2</v>
      </c>
      <c r="I34" t="s">
        <v>2</v>
      </c>
    </row>
    <row r="35" spans="1:9" x14ac:dyDescent="0.25">
      <c r="A35" s="4">
        <v>31</v>
      </c>
      <c r="B35" t="s">
        <v>7</v>
      </c>
      <c r="C35" t="s">
        <v>2</v>
      </c>
      <c r="F35" t="s">
        <v>2</v>
      </c>
      <c r="I35" t="s">
        <v>2</v>
      </c>
    </row>
    <row r="36" spans="1:9" x14ac:dyDescent="0.25">
      <c r="A36" s="4">
        <v>32</v>
      </c>
      <c r="C36" t="s">
        <v>5</v>
      </c>
      <c r="E36" t="s">
        <v>2</v>
      </c>
      <c r="G36" t="s">
        <v>2</v>
      </c>
      <c r="H36" t="s">
        <v>2</v>
      </c>
      <c r="I36" t="s">
        <v>2</v>
      </c>
    </row>
    <row r="37" spans="1:9" x14ac:dyDescent="0.25">
      <c r="A37" s="4">
        <v>33</v>
      </c>
      <c r="C37" t="s">
        <v>2</v>
      </c>
      <c r="E37" t="s">
        <v>2</v>
      </c>
      <c r="F37" t="s">
        <v>2</v>
      </c>
      <c r="I37" t="s">
        <v>2</v>
      </c>
    </row>
    <row r="38" spans="1:9" x14ac:dyDescent="0.25">
      <c r="A38" s="4">
        <v>34</v>
      </c>
      <c r="B38" t="s">
        <v>2</v>
      </c>
      <c r="D38" t="s">
        <v>2</v>
      </c>
      <c r="F38" t="s">
        <v>2</v>
      </c>
      <c r="H38" t="s">
        <v>2</v>
      </c>
    </row>
    <row r="39" spans="1:9" x14ac:dyDescent="0.25">
      <c r="A39" s="4">
        <v>35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</row>
    <row r="40" spans="1:9" x14ac:dyDescent="0.25">
      <c r="A40" s="4">
        <v>36</v>
      </c>
      <c r="B40" t="s">
        <v>7</v>
      </c>
      <c r="C40" t="s">
        <v>2</v>
      </c>
      <c r="D40" t="s">
        <v>2</v>
      </c>
      <c r="E40" t="s">
        <v>2</v>
      </c>
      <c r="F40" t="s">
        <v>7</v>
      </c>
      <c r="G40" t="s">
        <v>7</v>
      </c>
      <c r="I40" t="s">
        <v>2</v>
      </c>
    </row>
    <row r="41" spans="1:9" x14ac:dyDescent="0.25">
      <c r="A41" s="4">
        <v>37</v>
      </c>
      <c r="C41" t="s">
        <v>2</v>
      </c>
      <c r="F41" t="s">
        <v>2</v>
      </c>
      <c r="I41" t="s">
        <v>2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  <c r="E47" t="s">
        <v>7</v>
      </c>
    </row>
    <row r="48" spans="1:9" x14ac:dyDescent="0.25">
      <c r="A48" s="4">
        <v>44</v>
      </c>
    </row>
    <row r="49" spans="1:9" x14ac:dyDescent="0.25">
      <c r="A49" s="4">
        <v>45</v>
      </c>
      <c r="B49" t="s">
        <v>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5</v>
      </c>
      <c r="I49" t="s">
        <v>5</v>
      </c>
    </row>
    <row r="50" spans="1:9" x14ac:dyDescent="0.25">
      <c r="A50" s="4">
        <v>46</v>
      </c>
      <c r="B50" t="s">
        <v>6</v>
      </c>
      <c r="F50" t="s">
        <v>6</v>
      </c>
    </row>
    <row r="51" spans="1:9" x14ac:dyDescent="0.25">
      <c r="A51" s="4">
        <v>47</v>
      </c>
      <c r="B51" t="s">
        <v>5</v>
      </c>
      <c r="F51" t="s">
        <v>7</v>
      </c>
      <c r="I51" t="s">
        <v>5</v>
      </c>
    </row>
    <row r="52" spans="1:9" x14ac:dyDescent="0.25">
      <c r="A52" s="4">
        <v>48</v>
      </c>
      <c r="C52" t="s">
        <v>2</v>
      </c>
      <c r="E52" t="s">
        <v>2</v>
      </c>
      <c r="G52" t="s">
        <v>7</v>
      </c>
      <c r="I52" t="s">
        <v>7</v>
      </c>
    </row>
    <row r="53" spans="1:9" x14ac:dyDescent="0.25">
      <c r="A53" s="4">
        <v>49</v>
      </c>
      <c r="E53" t="s">
        <v>2</v>
      </c>
      <c r="H53" t="s">
        <v>2</v>
      </c>
    </row>
    <row r="54" spans="1:9" x14ac:dyDescent="0.25">
      <c r="A54" s="4">
        <v>50</v>
      </c>
      <c r="B54" t="s">
        <v>7</v>
      </c>
      <c r="C54" t="s">
        <v>6</v>
      </c>
      <c r="I54" t="s">
        <v>2</v>
      </c>
    </row>
    <row r="55" spans="1:9" x14ac:dyDescent="0.25">
      <c r="A55" s="4">
        <v>51</v>
      </c>
      <c r="B55" t="s">
        <v>7</v>
      </c>
    </row>
    <row r="56" spans="1:9" x14ac:dyDescent="0.25">
      <c r="A56" s="4">
        <v>52</v>
      </c>
      <c r="B56" t="s">
        <v>2</v>
      </c>
      <c r="E56" t="s">
        <v>6</v>
      </c>
      <c r="H56" t="s">
        <v>5</v>
      </c>
      <c r="I56" t="s">
        <v>2</v>
      </c>
    </row>
    <row r="57" spans="1:9" x14ac:dyDescent="0.25">
      <c r="A57" s="4">
        <v>53</v>
      </c>
      <c r="F57" t="s">
        <v>7</v>
      </c>
      <c r="G57" t="s">
        <v>7</v>
      </c>
    </row>
    <row r="58" spans="1:9" x14ac:dyDescent="0.25">
      <c r="A58" s="4">
        <v>54</v>
      </c>
      <c r="D58" t="s">
        <v>5</v>
      </c>
      <c r="G58" t="s">
        <v>7</v>
      </c>
      <c r="H58" t="s">
        <v>6</v>
      </c>
      <c r="I58" t="s">
        <v>6</v>
      </c>
    </row>
    <row r="59" spans="1:9" x14ac:dyDescent="0.25">
      <c r="A59" s="4">
        <v>55</v>
      </c>
    </row>
    <row r="60" spans="1:9" x14ac:dyDescent="0.25">
      <c r="A60" s="4">
        <v>56</v>
      </c>
      <c r="G60" t="s">
        <v>7</v>
      </c>
    </row>
  </sheetData>
  <conditionalFormatting sqref="B5:D11 G5:G11">
    <cfRule type="cellIs" dxfId="1711" priority="17" operator="equal">
      <formula>"Energia"</formula>
    </cfRule>
  </conditionalFormatting>
  <conditionalFormatting sqref="B5:D60 G5:I60">
    <cfRule type="cellIs" dxfId="1710" priority="10" operator="equal">
      <formula>"Energia"</formula>
    </cfRule>
    <cfRule type="cellIs" dxfId="1709" priority="12" operator="equal">
      <formula>"Operação"</formula>
    </cfRule>
    <cfRule type="cellIs" dxfId="1708" priority="13" operator="equal">
      <formula>"Chuva"</formula>
    </cfRule>
    <cfRule type="cellIs" dxfId="1707" priority="14" operator="equal">
      <formula>"Elétrico"</formula>
    </cfRule>
    <cfRule type="cellIs" dxfId="1706" priority="15" operator="equal">
      <formula>"Mecânico"</formula>
    </cfRule>
    <cfRule type="cellIs" dxfId="1705" priority="16" operator="equal">
      <formula>"Ok"</formula>
    </cfRule>
  </conditionalFormatting>
  <conditionalFormatting sqref="B5:D60 G5:I60">
    <cfRule type="cellIs" dxfId="1704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703" priority="8" operator="equal">
      <formula>"Energia"</formula>
    </cfRule>
  </conditionalFormatting>
  <conditionalFormatting sqref="E5:F60">
    <cfRule type="cellIs" dxfId="1702" priority="1" operator="equal">
      <formula>"Energia"</formula>
    </cfRule>
    <cfRule type="cellIs" dxfId="1701" priority="3" operator="equal">
      <formula>"Operação"</formula>
    </cfRule>
    <cfRule type="cellIs" dxfId="1700" priority="4" operator="equal">
      <formula>"Chuva"</formula>
    </cfRule>
    <cfRule type="cellIs" dxfId="1699" priority="5" operator="equal">
      <formula>"Elétrico"</formula>
    </cfRule>
    <cfRule type="cellIs" dxfId="1698" priority="6" operator="equal">
      <formula>"Mecânico"</formula>
    </cfRule>
    <cfRule type="cellIs" dxfId="1697" priority="7" operator="equal">
      <formula>"Ok"</formula>
    </cfRule>
  </conditionalFormatting>
  <conditionalFormatting sqref="E5:F60">
    <cfRule type="cellIs" dxfId="1696" priority="2" operator="equal">
      <formula>"Feito"</formula>
    </cfRule>
  </conditionalFormatting>
  <dataValidations count="1">
    <dataValidation type="list" allowBlank="1" showInputMessage="1" showErrorMessage="1" sqref="B5:J60" xr:uid="{41E0C6A3-BF9D-4F54-A9FC-F2CB149AE208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F3E4-BC9D-42C6-9173-F4DC741904DC}">
  <sheetPr codeName="Planilha30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44428</v>
      </c>
      <c r="C3" s="3">
        <f>B3+1</f>
        <v>44429</v>
      </c>
      <c r="D3" s="3">
        <f t="shared" ref="D3:I3" si="0">C3+1</f>
        <v>44430</v>
      </c>
      <c r="E3" s="3">
        <f t="shared" si="0"/>
        <v>44431</v>
      </c>
      <c r="F3" s="3">
        <f t="shared" si="0"/>
        <v>44432</v>
      </c>
      <c r="G3" s="3">
        <f t="shared" si="0"/>
        <v>44433</v>
      </c>
      <c r="H3" s="3">
        <f t="shared" si="0"/>
        <v>44434</v>
      </c>
      <c r="I3" s="3">
        <f t="shared" si="0"/>
        <v>44435</v>
      </c>
    </row>
    <row r="4" spans="1:14" x14ac:dyDescent="0.25">
      <c r="A4" s="2" t="s">
        <v>0</v>
      </c>
      <c r="B4" s="1" t="str">
        <f>TEXT(B3,"ddd")</f>
        <v>sex</v>
      </c>
      <c r="C4" s="1" t="str">
        <f t="shared" ref="C4:I4" si="1">TEXT(C3,"ddd")</f>
        <v>sáb</v>
      </c>
      <c r="D4" s="1" t="str">
        <f t="shared" si="1"/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C5" t="s">
        <v>7</v>
      </c>
      <c r="F5" t="s">
        <v>7</v>
      </c>
      <c r="G5" t="s">
        <v>2</v>
      </c>
      <c r="H5" t="s">
        <v>7</v>
      </c>
      <c r="I5" t="s">
        <v>7</v>
      </c>
      <c r="K5" s="5" t="s">
        <v>2</v>
      </c>
      <c r="L5">
        <f>COUNTIF($B$5:$I$60,K5)</f>
        <v>112</v>
      </c>
      <c r="M5" s="53">
        <f>L5/$L$11</f>
        <v>0.76190476190476186</v>
      </c>
      <c r="N5" s="52">
        <v>44428</v>
      </c>
    </row>
    <row r="6" spans="1:14" x14ac:dyDescent="0.25">
      <c r="A6" s="4">
        <v>2</v>
      </c>
      <c r="D6" t="s">
        <v>2</v>
      </c>
      <c r="G6" t="s">
        <v>2</v>
      </c>
      <c r="I6" t="s">
        <v>5</v>
      </c>
      <c r="K6" s="6" t="s">
        <v>5</v>
      </c>
      <c r="L6">
        <f t="shared" ref="L6:L10" si="2">COUNTIF($B$5:$I$60,K6)</f>
        <v>4</v>
      </c>
      <c r="M6" s="53">
        <f t="shared" ref="M6:M10" si="3">L6/$L$11</f>
        <v>2.7210884353741496E-2</v>
      </c>
    </row>
    <row r="7" spans="1:14" x14ac:dyDescent="0.25">
      <c r="A7" s="4">
        <v>3</v>
      </c>
      <c r="D7" t="s">
        <v>2</v>
      </c>
      <c r="F7" t="s">
        <v>2</v>
      </c>
      <c r="G7" t="s">
        <v>2</v>
      </c>
      <c r="I7" t="s">
        <v>7</v>
      </c>
      <c r="K7" s="7" t="s">
        <v>6</v>
      </c>
      <c r="L7">
        <f t="shared" si="2"/>
        <v>3</v>
      </c>
      <c r="M7" s="53">
        <f t="shared" si="3"/>
        <v>2.0408163265306121E-2</v>
      </c>
    </row>
    <row r="8" spans="1:14" x14ac:dyDescent="0.25">
      <c r="A8" s="4">
        <v>4</v>
      </c>
      <c r="B8" t="s">
        <v>2</v>
      </c>
      <c r="D8" t="s">
        <v>2</v>
      </c>
      <c r="F8" t="s">
        <v>2</v>
      </c>
      <c r="G8" t="s">
        <v>2</v>
      </c>
      <c r="H8" t="s">
        <v>2</v>
      </c>
      <c r="I8" t="s">
        <v>2</v>
      </c>
      <c r="K8" s="8" t="s">
        <v>4</v>
      </c>
      <c r="L8">
        <f t="shared" si="2"/>
        <v>0</v>
      </c>
      <c r="M8" s="53">
        <f t="shared" si="3"/>
        <v>0</v>
      </c>
    </row>
    <row r="9" spans="1:14" x14ac:dyDescent="0.25">
      <c r="A9" s="4">
        <v>5</v>
      </c>
      <c r="H9" t="s">
        <v>2</v>
      </c>
      <c r="K9" s="9" t="s">
        <v>3</v>
      </c>
      <c r="L9">
        <f t="shared" si="2"/>
        <v>0</v>
      </c>
      <c r="M9" s="53">
        <f t="shared" si="3"/>
        <v>0</v>
      </c>
    </row>
    <row r="10" spans="1:14" x14ac:dyDescent="0.25">
      <c r="A10" s="4">
        <v>6</v>
      </c>
      <c r="B10" t="s">
        <v>2</v>
      </c>
      <c r="D10" t="s">
        <v>2</v>
      </c>
      <c r="K10" s="10" t="s">
        <v>7</v>
      </c>
      <c r="L10">
        <f t="shared" si="2"/>
        <v>28</v>
      </c>
      <c r="M10" s="53">
        <f t="shared" si="3"/>
        <v>0.19047619047619047</v>
      </c>
    </row>
    <row r="11" spans="1:14" x14ac:dyDescent="0.25">
      <c r="A11" s="4">
        <v>7</v>
      </c>
      <c r="C11" t="s">
        <v>2</v>
      </c>
      <c r="F11" t="s">
        <v>2</v>
      </c>
      <c r="H11" t="s">
        <v>2</v>
      </c>
      <c r="L11">
        <f>SUM(L5:L10)</f>
        <v>147</v>
      </c>
    </row>
    <row r="12" spans="1:14" x14ac:dyDescent="0.25">
      <c r="A12" s="4">
        <v>8</v>
      </c>
      <c r="C12" t="s">
        <v>2</v>
      </c>
      <c r="G12" t="s">
        <v>7</v>
      </c>
    </row>
    <row r="13" spans="1:14" x14ac:dyDescent="0.25">
      <c r="A13" s="4">
        <v>9</v>
      </c>
      <c r="D13" t="s">
        <v>2</v>
      </c>
      <c r="H13" t="s">
        <v>7</v>
      </c>
    </row>
    <row r="14" spans="1:14" x14ac:dyDescent="0.25">
      <c r="A14" s="4">
        <v>10</v>
      </c>
      <c r="B14" t="s">
        <v>2</v>
      </c>
      <c r="C14" t="s">
        <v>2</v>
      </c>
      <c r="F14" t="s">
        <v>2</v>
      </c>
      <c r="G14" t="s">
        <v>2</v>
      </c>
    </row>
    <row r="15" spans="1:14" x14ac:dyDescent="0.25">
      <c r="A15" s="4">
        <v>11</v>
      </c>
      <c r="B15" t="s">
        <v>7</v>
      </c>
      <c r="E15" t="s">
        <v>7</v>
      </c>
      <c r="H15" t="s">
        <v>2</v>
      </c>
    </row>
    <row r="16" spans="1:14" x14ac:dyDescent="0.25">
      <c r="A16" s="4">
        <v>12</v>
      </c>
      <c r="C16" t="s">
        <v>2</v>
      </c>
      <c r="F16" t="s">
        <v>2</v>
      </c>
      <c r="H16" t="s">
        <v>2</v>
      </c>
      <c r="I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</row>
    <row r="18" spans="1:9" x14ac:dyDescent="0.25">
      <c r="A18" s="4">
        <v>14</v>
      </c>
      <c r="C18" t="s">
        <v>2</v>
      </c>
      <c r="E18" t="s">
        <v>2</v>
      </c>
      <c r="G18" t="s">
        <v>2</v>
      </c>
      <c r="I18" t="s">
        <v>7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5</v>
      </c>
      <c r="G29" t="s">
        <v>2</v>
      </c>
      <c r="H29" t="s">
        <v>2</v>
      </c>
      <c r="I29" t="s">
        <v>7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7</v>
      </c>
    </row>
    <row r="34" spans="1:9" x14ac:dyDescent="0.25">
      <c r="A34" s="4">
        <v>30</v>
      </c>
      <c r="B34" t="s">
        <v>2</v>
      </c>
      <c r="C34" t="s">
        <v>7</v>
      </c>
      <c r="D34" t="s">
        <v>6</v>
      </c>
      <c r="E34" t="s">
        <v>6</v>
      </c>
      <c r="F34" t="s">
        <v>2</v>
      </c>
      <c r="G34" t="s">
        <v>2</v>
      </c>
      <c r="H34" t="s">
        <v>2</v>
      </c>
      <c r="I34" t="s">
        <v>7</v>
      </c>
    </row>
    <row r="35" spans="1:9" x14ac:dyDescent="0.25">
      <c r="A35" s="4">
        <v>31</v>
      </c>
      <c r="D35" t="s">
        <v>2</v>
      </c>
      <c r="G35" t="s">
        <v>2</v>
      </c>
      <c r="I35" t="s">
        <v>7</v>
      </c>
    </row>
    <row r="36" spans="1:9" x14ac:dyDescent="0.25">
      <c r="A36" s="4">
        <v>32</v>
      </c>
      <c r="B36" t="s">
        <v>2</v>
      </c>
      <c r="D36" t="s">
        <v>7</v>
      </c>
      <c r="E36" t="s">
        <v>7</v>
      </c>
      <c r="F36" t="s">
        <v>2</v>
      </c>
      <c r="G36" t="s">
        <v>2</v>
      </c>
      <c r="H36" t="s">
        <v>2</v>
      </c>
      <c r="I36" t="s">
        <v>5</v>
      </c>
    </row>
    <row r="37" spans="1:9" x14ac:dyDescent="0.25">
      <c r="A37" s="4">
        <v>33</v>
      </c>
      <c r="C37" t="s">
        <v>2</v>
      </c>
      <c r="F37" t="s">
        <v>5</v>
      </c>
      <c r="H37" t="s">
        <v>2</v>
      </c>
      <c r="I37" t="s">
        <v>7</v>
      </c>
    </row>
    <row r="38" spans="1:9" x14ac:dyDescent="0.25">
      <c r="A38" s="4">
        <v>34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7</v>
      </c>
    </row>
    <row r="39" spans="1:9" x14ac:dyDescent="0.25">
      <c r="A39" s="4">
        <v>35</v>
      </c>
      <c r="B39" t="s">
        <v>2</v>
      </c>
      <c r="D39" t="s">
        <v>2</v>
      </c>
      <c r="G39" t="s">
        <v>2</v>
      </c>
      <c r="I39" t="s">
        <v>2</v>
      </c>
    </row>
    <row r="40" spans="1:9" x14ac:dyDescent="0.25">
      <c r="A40" s="4">
        <v>36</v>
      </c>
      <c r="C40" t="s">
        <v>2</v>
      </c>
      <c r="F40" t="s">
        <v>2</v>
      </c>
      <c r="I40" t="s">
        <v>2</v>
      </c>
    </row>
    <row r="41" spans="1:9" x14ac:dyDescent="0.25">
      <c r="A41" s="4">
        <v>37</v>
      </c>
      <c r="D41" t="s">
        <v>2</v>
      </c>
      <c r="G41" t="s">
        <v>2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</row>
    <row r="48" spans="1:9" x14ac:dyDescent="0.25">
      <c r="A48" s="4">
        <v>44</v>
      </c>
    </row>
    <row r="49" spans="1:9" x14ac:dyDescent="0.25">
      <c r="A49" s="4">
        <v>45</v>
      </c>
      <c r="B49" t="s">
        <v>2</v>
      </c>
      <c r="D49" t="s">
        <v>2</v>
      </c>
      <c r="E49" t="s">
        <v>2</v>
      </c>
      <c r="F49" t="s">
        <v>2</v>
      </c>
      <c r="H49" t="s">
        <v>2</v>
      </c>
    </row>
    <row r="50" spans="1:9" x14ac:dyDescent="0.25">
      <c r="A50" s="4">
        <v>46</v>
      </c>
      <c r="B50" t="s">
        <v>7</v>
      </c>
      <c r="F50" t="s">
        <v>7</v>
      </c>
    </row>
    <row r="51" spans="1:9" x14ac:dyDescent="0.25">
      <c r="A51" s="4">
        <v>47</v>
      </c>
      <c r="E51" t="s">
        <v>2</v>
      </c>
      <c r="H51" t="s">
        <v>2</v>
      </c>
    </row>
    <row r="52" spans="1:9" x14ac:dyDescent="0.25">
      <c r="A52" s="4">
        <v>48</v>
      </c>
      <c r="C52" t="s">
        <v>2</v>
      </c>
      <c r="E52" t="s">
        <v>2</v>
      </c>
      <c r="G52" t="s">
        <v>2</v>
      </c>
      <c r="H52" t="s">
        <v>2</v>
      </c>
      <c r="I52" t="s">
        <v>2</v>
      </c>
    </row>
    <row r="53" spans="1:9" x14ac:dyDescent="0.25">
      <c r="A53" s="4">
        <v>49</v>
      </c>
      <c r="B53" t="s">
        <v>7</v>
      </c>
      <c r="D53" t="s">
        <v>2</v>
      </c>
      <c r="F53" t="s">
        <v>7</v>
      </c>
      <c r="G53" t="s">
        <v>2</v>
      </c>
      <c r="H53" t="s">
        <v>2</v>
      </c>
      <c r="I53" t="s">
        <v>2</v>
      </c>
    </row>
    <row r="54" spans="1:9" x14ac:dyDescent="0.25">
      <c r="A54" s="4">
        <v>50</v>
      </c>
      <c r="D54" t="s">
        <v>2</v>
      </c>
      <c r="E54" t="s">
        <v>2</v>
      </c>
      <c r="F54" t="s">
        <v>6</v>
      </c>
      <c r="G54" t="s">
        <v>7</v>
      </c>
      <c r="H54" t="s">
        <v>2</v>
      </c>
      <c r="I54" t="s">
        <v>2</v>
      </c>
    </row>
    <row r="55" spans="1:9" x14ac:dyDescent="0.25">
      <c r="A55" s="4">
        <v>51</v>
      </c>
      <c r="F55" t="s">
        <v>2</v>
      </c>
      <c r="G55" t="s">
        <v>7</v>
      </c>
      <c r="H55" t="s">
        <v>2</v>
      </c>
    </row>
    <row r="56" spans="1:9" x14ac:dyDescent="0.25">
      <c r="A56" s="4">
        <v>52</v>
      </c>
      <c r="D56" t="s">
        <v>2</v>
      </c>
      <c r="G56" t="s">
        <v>2</v>
      </c>
      <c r="H56" t="s">
        <v>2</v>
      </c>
    </row>
    <row r="57" spans="1:9" x14ac:dyDescent="0.25">
      <c r="A57" s="4">
        <v>53</v>
      </c>
      <c r="E57" t="s">
        <v>7</v>
      </c>
      <c r="F57" t="s">
        <v>2</v>
      </c>
    </row>
    <row r="58" spans="1:9" x14ac:dyDescent="0.25">
      <c r="A58" s="4">
        <v>54</v>
      </c>
      <c r="C58" t="s">
        <v>2</v>
      </c>
      <c r="D58" t="s">
        <v>2</v>
      </c>
      <c r="E58" t="s">
        <v>2</v>
      </c>
      <c r="F58" t="s">
        <v>2</v>
      </c>
      <c r="G58" t="s">
        <v>7</v>
      </c>
      <c r="I58" t="s">
        <v>2</v>
      </c>
    </row>
    <row r="59" spans="1:9" x14ac:dyDescent="0.25">
      <c r="A59" s="4">
        <v>55</v>
      </c>
      <c r="H59" t="s">
        <v>7</v>
      </c>
    </row>
    <row r="60" spans="1:9" x14ac:dyDescent="0.25">
      <c r="A60" s="4">
        <v>56</v>
      </c>
    </row>
  </sheetData>
  <conditionalFormatting sqref="B5:D11 G5:G11">
    <cfRule type="cellIs" dxfId="1695" priority="17" operator="equal">
      <formula>"Energia"</formula>
    </cfRule>
  </conditionalFormatting>
  <conditionalFormatting sqref="B5:D60 G5:I60">
    <cfRule type="cellIs" dxfId="1694" priority="10" operator="equal">
      <formula>"Energia"</formula>
    </cfRule>
    <cfRule type="cellIs" dxfId="1693" priority="12" operator="equal">
      <formula>"Operação"</formula>
    </cfRule>
    <cfRule type="cellIs" dxfId="1692" priority="13" operator="equal">
      <formula>"Chuva"</formula>
    </cfRule>
    <cfRule type="cellIs" dxfId="1691" priority="14" operator="equal">
      <formula>"Elétrico"</formula>
    </cfRule>
    <cfRule type="cellIs" dxfId="1690" priority="15" operator="equal">
      <formula>"Mecânico"</formula>
    </cfRule>
    <cfRule type="cellIs" dxfId="1689" priority="16" operator="equal">
      <formula>"Ok"</formula>
    </cfRule>
  </conditionalFormatting>
  <conditionalFormatting sqref="B5:D60 G5:I60">
    <cfRule type="cellIs" dxfId="1688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687" priority="8" operator="equal">
      <formula>"Energia"</formula>
    </cfRule>
  </conditionalFormatting>
  <conditionalFormatting sqref="E5:F60">
    <cfRule type="cellIs" dxfId="1686" priority="1" operator="equal">
      <formula>"Energia"</formula>
    </cfRule>
    <cfRule type="cellIs" dxfId="1685" priority="3" operator="equal">
      <formula>"Operação"</formula>
    </cfRule>
    <cfRule type="cellIs" dxfId="1684" priority="4" operator="equal">
      <formula>"Chuva"</formula>
    </cfRule>
    <cfRule type="cellIs" dxfId="1683" priority="5" operator="equal">
      <formula>"Elétrico"</formula>
    </cfRule>
    <cfRule type="cellIs" dxfId="1682" priority="6" operator="equal">
      <formula>"Mecânico"</formula>
    </cfRule>
    <cfRule type="cellIs" dxfId="1681" priority="7" operator="equal">
      <formula>"Ok"</formula>
    </cfRule>
  </conditionalFormatting>
  <conditionalFormatting sqref="E5:F60">
    <cfRule type="cellIs" dxfId="1680" priority="2" operator="equal">
      <formula>"Feito"</formula>
    </cfRule>
  </conditionalFormatting>
  <dataValidations count="1">
    <dataValidation type="list" allowBlank="1" showInputMessage="1" showErrorMessage="1" sqref="B5:J60" xr:uid="{CAE5BEF8-FE99-47F8-971B-08D4395B2A79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A0BE-6964-44AF-8CAB-7EE83BEB2BD1}">
  <sheetPr codeName="Planilha31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44436</v>
      </c>
      <c r="C3" s="3">
        <f>B3+1</f>
        <v>44437</v>
      </c>
      <c r="D3" s="3">
        <f t="shared" ref="D3:I3" si="0">C3+1</f>
        <v>44438</v>
      </c>
      <c r="E3" s="3">
        <f t="shared" si="0"/>
        <v>44439</v>
      </c>
      <c r="F3" s="3">
        <f t="shared" si="0"/>
        <v>44440</v>
      </c>
      <c r="G3" s="3">
        <f t="shared" si="0"/>
        <v>44441</v>
      </c>
      <c r="H3" s="3">
        <f t="shared" si="0"/>
        <v>44442</v>
      </c>
      <c r="I3" s="3">
        <f t="shared" si="0"/>
        <v>44443</v>
      </c>
    </row>
    <row r="4" spans="1:14" x14ac:dyDescent="0.25">
      <c r="A4" s="2" t="s">
        <v>0</v>
      </c>
      <c r="B4" s="1" t="str">
        <f>TEXT(B3,"ddd")</f>
        <v>sáb</v>
      </c>
      <c r="C4" s="1" t="str">
        <f t="shared" ref="C4:I4" si="1">TEXT(C3,"ddd")</f>
        <v>dom</v>
      </c>
      <c r="D4" s="1" t="str">
        <f t="shared" si="1"/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B5" t="s">
        <v>2</v>
      </c>
      <c r="C5" t="s">
        <v>2</v>
      </c>
      <c r="E5" t="s">
        <v>7</v>
      </c>
      <c r="F5" t="s">
        <v>2</v>
      </c>
      <c r="G5" t="s">
        <v>2</v>
      </c>
      <c r="H5" t="s">
        <v>2</v>
      </c>
      <c r="I5" t="s">
        <v>2</v>
      </c>
      <c r="K5" s="5" t="s">
        <v>2</v>
      </c>
      <c r="L5">
        <f>COUNTIF($B$5:$I$60,K5)</f>
        <v>153</v>
      </c>
      <c r="M5" s="53">
        <f>L5/$L$11</f>
        <v>0.7766497461928934</v>
      </c>
      <c r="N5" s="52">
        <v>44436</v>
      </c>
    </row>
    <row r="6" spans="1:14" x14ac:dyDescent="0.25">
      <c r="A6" s="4">
        <v>2</v>
      </c>
      <c r="C6" t="s">
        <v>2</v>
      </c>
      <c r="D6" t="s">
        <v>7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K6" s="6" t="s">
        <v>5</v>
      </c>
      <c r="L6">
        <f t="shared" ref="L6:L10" si="2">COUNTIF($B$5:$I$60,K6)</f>
        <v>7</v>
      </c>
      <c r="M6" s="53">
        <f t="shared" ref="M6:M10" si="3">L6/$L$11</f>
        <v>3.553299492385787E-2</v>
      </c>
    </row>
    <row r="7" spans="1:14" x14ac:dyDescent="0.25">
      <c r="A7" s="4">
        <v>3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K7" s="7" t="s">
        <v>6</v>
      </c>
      <c r="L7">
        <f t="shared" si="2"/>
        <v>1</v>
      </c>
      <c r="M7" s="53">
        <f t="shared" si="3"/>
        <v>5.076142131979695E-3</v>
      </c>
    </row>
    <row r="8" spans="1:14" x14ac:dyDescent="0.25">
      <c r="A8" s="4">
        <v>4</v>
      </c>
      <c r="B8" t="s">
        <v>7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K8" s="8" t="s">
        <v>4</v>
      </c>
      <c r="L8">
        <f t="shared" si="2"/>
        <v>0</v>
      </c>
      <c r="M8" s="53">
        <f t="shared" si="3"/>
        <v>0</v>
      </c>
    </row>
    <row r="9" spans="1:14" x14ac:dyDescent="0.25">
      <c r="A9" s="4">
        <v>5</v>
      </c>
      <c r="K9" s="9" t="s">
        <v>3</v>
      </c>
      <c r="L9">
        <f t="shared" si="2"/>
        <v>0</v>
      </c>
      <c r="M9" s="53">
        <f t="shared" si="3"/>
        <v>0</v>
      </c>
    </row>
    <row r="10" spans="1:14" x14ac:dyDescent="0.25">
      <c r="A10" s="4">
        <v>6</v>
      </c>
      <c r="K10" s="10" t="s">
        <v>7</v>
      </c>
      <c r="L10">
        <f t="shared" si="2"/>
        <v>36</v>
      </c>
      <c r="M10" s="53">
        <f t="shared" si="3"/>
        <v>0.18274111675126903</v>
      </c>
    </row>
    <row r="11" spans="1:14" x14ac:dyDescent="0.25">
      <c r="A11" s="4">
        <v>7</v>
      </c>
      <c r="C11" t="s">
        <v>2</v>
      </c>
      <c r="L11">
        <f>SUM(L5:L10)</f>
        <v>197</v>
      </c>
    </row>
    <row r="12" spans="1:14" x14ac:dyDescent="0.25">
      <c r="A12" s="4">
        <v>8</v>
      </c>
      <c r="B12" t="s">
        <v>2</v>
      </c>
      <c r="E12" t="s">
        <v>2</v>
      </c>
    </row>
    <row r="13" spans="1:14" x14ac:dyDescent="0.25">
      <c r="A13" s="4">
        <v>9</v>
      </c>
      <c r="C13" t="s">
        <v>2</v>
      </c>
      <c r="D13" t="s">
        <v>2</v>
      </c>
      <c r="F13" t="s">
        <v>2</v>
      </c>
      <c r="G13" t="s">
        <v>2</v>
      </c>
      <c r="I13" t="s">
        <v>2</v>
      </c>
    </row>
    <row r="14" spans="1:14" x14ac:dyDescent="0.25">
      <c r="A14" s="4">
        <v>10</v>
      </c>
      <c r="B14" t="s">
        <v>2</v>
      </c>
      <c r="C14" t="s">
        <v>2</v>
      </c>
      <c r="E14" t="s">
        <v>2</v>
      </c>
      <c r="F14" t="s">
        <v>2</v>
      </c>
      <c r="H14" t="s">
        <v>2</v>
      </c>
      <c r="I14" t="s">
        <v>2</v>
      </c>
    </row>
    <row r="15" spans="1:14" x14ac:dyDescent="0.25">
      <c r="A15" s="4">
        <v>11</v>
      </c>
      <c r="C15" t="s">
        <v>2</v>
      </c>
      <c r="D15" t="s">
        <v>2</v>
      </c>
      <c r="F15" t="s">
        <v>2</v>
      </c>
      <c r="G15" t="s">
        <v>2</v>
      </c>
    </row>
    <row r="16" spans="1:14" x14ac:dyDescent="0.25">
      <c r="A16" s="4">
        <v>12</v>
      </c>
      <c r="C16" t="s">
        <v>2</v>
      </c>
      <c r="D16" t="s">
        <v>2</v>
      </c>
      <c r="F16" t="s">
        <v>5</v>
      </c>
      <c r="G16" t="s">
        <v>5</v>
      </c>
      <c r="I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</row>
    <row r="18" spans="1:9" x14ac:dyDescent="0.25">
      <c r="A18" s="4">
        <v>14</v>
      </c>
      <c r="B18" t="s">
        <v>5</v>
      </c>
      <c r="D18" t="s">
        <v>2</v>
      </c>
      <c r="F18" t="s">
        <v>2</v>
      </c>
      <c r="H18" t="s">
        <v>2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7</v>
      </c>
      <c r="D29" t="s">
        <v>2</v>
      </c>
      <c r="E29" t="s">
        <v>2</v>
      </c>
      <c r="F29" t="s">
        <v>2</v>
      </c>
      <c r="G29" t="s">
        <v>7</v>
      </c>
      <c r="H29" t="s">
        <v>2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C33" t="s">
        <v>7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</row>
    <row r="34" spans="1:9" x14ac:dyDescent="0.25">
      <c r="A34" s="4">
        <v>30</v>
      </c>
      <c r="B34" t="s">
        <v>2</v>
      </c>
      <c r="C34" t="s">
        <v>7</v>
      </c>
      <c r="D34" t="s">
        <v>7</v>
      </c>
      <c r="E34" t="s">
        <v>6</v>
      </c>
      <c r="F34" t="s">
        <v>5</v>
      </c>
      <c r="G34" t="s">
        <v>7</v>
      </c>
      <c r="H34" t="s">
        <v>7</v>
      </c>
      <c r="I34" t="s">
        <v>7</v>
      </c>
    </row>
    <row r="35" spans="1:9" x14ac:dyDescent="0.25">
      <c r="A35" s="4">
        <v>31</v>
      </c>
      <c r="B35" t="s">
        <v>7</v>
      </c>
      <c r="C35" t="s">
        <v>2</v>
      </c>
      <c r="D35" t="s">
        <v>2</v>
      </c>
      <c r="E35" t="s">
        <v>7</v>
      </c>
      <c r="F35" t="s">
        <v>2</v>
      </c>
      <c r="G35" t="s">
        <v>2</v>
      </c>
      <c r="H35" t="s">
        <v>2</v>
      </c>
      <c r="I35" t="s">
        <v>2</v>
      </c>
    </row>
    <row r="36" spans="1:9" x14ac:dyDescent="0.25">
      <c r="A36" s="4">
        <v>32</v>
      </c>
      <c r="B36" t="s">
        <v>7</v>
      </c>
      <c r="C36" t="s">
        <v>5</v>
      </c>
      <c r="D36" t="s">
        <v>5</v>
      </c>
      <c r="E36" t="s">
        <v>2</v>
      </c>
      <c r="G36" t="s">
        <v>2</v>
      </c>
      <c r="I36" t="s">
        <v>2</v>
      </c>
    </row>
    <row r="37" spans="1:9" x14ac:dyDescent="0.25">
      <c r="A37" s="4">
        <v>33</v>
      </c>
      <c r="B37" t="s">
        <v>7</v>
      </c>
      <c r="C37" t="s">
        <v>7</v>
      </c>
      <c r="D37" t="s">
        <v>7</v>
      </c>
      <c r="E37" t="s">
        <v>7</v>
      </c>
      <c r="F37" t="s">
        <v>7</v>
      </c>
      <c r="G37" t="s">
        <v>2</v>
      </c>
      <c r="H37" t="s">
        <v>2</v>
      </c>
      <c r="I37" t="s">
        <v>7</v>
      </c>
    </row>
    <row r="38" spans="1:9" x14ac:dyDescent="0.25">
      <c r="A38" s="4">
        <v>34</v>
      </c>
      <c r="B38" t="s">
        <v>7</v>
      </c>
      <c r="C38" t="s">
        <v>7</v>
      </c>
      <c r="D38" t="s">
        <v>7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</row>
    <row r="39" spans="1:9" x14ac:dyDescent="0.25">
      <c r="A39" s="4">
        <v>35</v>
      </c>
      <c r="C39" t="s">
        <v>2</v>
      </c>
      <c r="E39" t="s">
        <v>2</v>
      </c>
      <c r="G39" t="s">
        <v>2</v>
      </c>
      <c r="I39" t="s">
        <v>2</v>
      </c>
    </row>
    <row r="40" spans="1:9" x14ac:dyDescent="0.25">
      <c r="A40" s="4">
        <v>36</v>
      </c>
      <c r="C40" t="s">
        <v>2</v>
      </c>
      <c r="E40" t="s">
        <v>2</v>
      </c>
      <c r="G40" t="s">
        <v>2</v>
      </c>
      <c r="I40" t="s">
        <v>2</v>
      </c>
    </row>
    <row r="41" spans="1:9" x14ac:dyDescent="0.25">
      <c r="A41" s="4">
        <v>37</v>
      </c>
      <c r="B41" t="s">
        <v>2</v>
      </c>
      <c r="D41" t="s">
        <v>2</v>
      </c>
      <c r="F41" t="s">
        <v>2</v>
      </c>
      <c r="H41" t="s">
        <v>2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  <c r="F47" t="s">
        <v>7</v>
      </c>
    </row>
    <row r="48" spans="1:9" x14ac:dyDescent="0.25">
      <c r="A48" s="4">
        <v>44</v>
      </c>
      <c r="F48" t="s">
        <v>7</v>
      </c>
    </row>
    <row r="49" spans="1:9" x14ac:dyDescent="0.25">
      <c r="A49" s="4">
        <v>45</v>
      </c>
      <c r="D49" t="s">
        <v>2</v>
      </c>
      <c r="H49" t="s">
        <v>2</v>
      </c>
      <c r="I49" t="s">
        <v>2</v>
      </c>
    </row>
    <row r="50" spans="1:9" x14ac:dyDescent="0.25">
      <c r="A50" s="4">
        <v>46</v>
      </c>
      <c r="B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</row>
    <row r="51" spans="1:9" x14ac:dyDescent="0.25">
      <c r="A51" s="4">
        <v>47</v>
      </c>
      <c r="B51" t="s">
        <v>7</v>
      </c>
      <c r="D51" t="s">
        <v>7</v>
      </c>
      <c r="E51" t="s">
        <v>2</v>
      </c>
      <c r="F51" t="s">
        <v>7</v>
      </c>
      <c r="G51" t="s">
        <v>2</v>
      </c>
      <c r="H51" t="s">
        <v>2</v>
      </c>
      <c r="I51" t="s">
        <v>2</v>
      </c>
    </row>
    <row r="52" spans="1:9" x14ac:dyDescent="0.25">
      <c r="A52" s="4">
        <v>48</v>
      </c>
      <c r="B52" t="s">
        <v>2</v>
      </c>
      <c r="C52" t="s">
        <v>2</v>
      </c>
      <c r="D52" t="s">
        <v>5</v>
      </c>
      <c r="E52" t="s">
        <v>2</v>
      </c>
      <c r="F52" t="s">
        <v>2</v>
      </c>
      <c r="G52" t="s">
        <v>7</v>
      </c>
      <c r="H52" t="s">
        <v>2</v>
      </c>
      <c r="I52" t="s">
        <v>2</v>
      </c>
    </row>
    <row r="53" spans="1:9" x14ac:dyDescent="0.25">
      <c r="A53" s="4">
        <v>49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</row>
    <row r="54" spans="1:9" x14ac:dyDescent="0.25">
      <c r="A54" s="4">
        <v>50</v>
      </c>
      <c r="B54" t="s">
        <v>2</v>
      </c>
      <c r="C54" t="s">
        <v>2</v>
      </c>
      <c r="D54" t="s">
        <v>2</v>
      </c>
      <c r="E54" t="s">
        <v>2</v>
      </c>
      <c r="F54" t="s">
        <v>2</v>
      </c>
      <c r="G54" t="s">
        <v>2</v>
      </c>
      <c r="H54" t="s">
        <v>7</v>
      </c>
      <c r="I54" t="s">
        <v>2</v>
      </c>
    </row>
    <row r="55" spans="1:9" x14ac:dyDescent="0.25">
      <c r="A55" s="4">
        <v>51</v>
      </c>
      <c r="B55" t="s">
        <v>2</v>
      </c>
      <c r="C55" t="s">
        <v>7</v>
      </c>
      <c r="D55" t="s">
        <v>7</v>
      </c>
      <c r="E55" t="s">
        <v>2</v>
      </c>
      <c r="F55" t="s">
        <v>7</v>
      </c>
      <c r="G55" t="s">
        <v>2</v>
      </c>
      <c r="H55" t="s">
        <v>2</v>
      </c>
      <c r="I55" t="s">
        <v>2</v>
      </c>
    </row>
    <row r="56" spans="1:9" x14ac:dyDescent="0.25">
      <c r="A56" s="4">
        <v>52</v>
      </c>
      <c r="C56" t="s">
        <v>2</v>
      </c>
      <c r="G56" t="s">
        <v>2</v>
      </c>
    </row>
    <row r="57" spans="1:9" x14ac:dyDescent="0.25">
      <c r="A57" s="4">
        <v>53</v>
      </c>
      <c r="G57" t="s">
        <v>2</v>
      </c>
      <c r="H57" t="s">
        <v>7</v>
      </c>
      <c r="I57" t="s">
        <v>2</v>
      </c>
    </row>
    <row r="58" spans="1:9" x14ac:dyDescent="0.25">
      <c r="A58" s="4">
        <v>54</v>
      </c>
      <c r="B58" t="s">
        <v>2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</row>
    <row r="59" spans="1:9" x14ac:dyDescent="0.25">
      <c r="A59" s="4">
        <v>55</v>
      </c>
      <c r="B59" t="s">
        <v>2</v>
      </c>
      <c r="C59" t="s">
        <v>2</v>
      </c>
    </row>
    <row r="60" spans="1:9" x14ac:dyDescent="0.25">
      <c r="A60" s="4">
        <v>56</v>
      </c>
      <c r="E60" t="s">
        <v>7</v>
      </c>
      <c r="F60" t="s">
        <v>7</v>
      </c>
      <c r="G60" t="s">
        <v>2</v>
      </c>
    </row>
  </sheetData>
  <conditionalFormatting sqref="B5:D11 G5:G11">
    <cfRule type="cellIs" dxfId="1679" priority="17" operator="equal">
      <formula>"Energia"</formula>
    </cfRule>
  </conditionalFormatting>
  <conditionalFormatting sqref="B5:D60 G5:I60">
    <cfRule type="cellIs" dxfId="1678" priority="10" operator="equal">
      <formula>"Energia"</formula>
    </cfRule>
    <cfRule type="cellIs" dxfId="1677" priority="12" operator="equal">
      <formula>"Operação"</formula>
    </cfRule>
    <cfRule type="cellIs" dxfId="1676" priority="13" operator="equal">
      <formula>"Chuva"</formula>
    </cfRule>
    <cfRule type="cellIs" dxfId="1675" priority="14" operator="equal">
      <formula>"Elétrico"</formula>
    </cfRule>
    <cfRule type="cellIs" dxfId="1674" priority="15" operator="equal">
      <formula>"Mecânico"</formula>
    </cfRule>
    <cfRule type="cellIs" dxfId="1673" priority="16" operator="equal">
      <formula>"Ok"</formula>
    </cfRule>
  </conditionalFormatting>
  <conditionalFormatting sqref="B5:D60 G5:I60">
    <cfRule type="cellIs" dxfId="1672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671" priority="8" operator="equal">
      <formula>"Energia"</formula>
    </cfRule>
  </conditionalFormatting>
  <conditionalFormatting sqref="E5:F60">
    <cfRule type="cellIs" dxfId="1670" priority="1" operator="equal">
      <formula>"Energia"</formula>
    </cfRule>
    <cfRule type="cellIs" dxfId="1669" priority="3" operator="equal">
      <formula>"Operação"</formula>
    </cfRule>
    <cfRule type="cellIs" dxfId="1668" priority="4" operator="equal">
      <formula>"Chuva"</formula>
    </cfRule>
    <cfRule type="cellIs" dxfId="1667" priority="5" operator="equal">
      <formula>"Elétrico"</formula>
    </cfRule>
    <cfRule type="cellIs" dxfId="1666" priority="6" operator="equal">
      <formula>"Mecânico"</formula>
    </cfRule>
    <cfRule type="cellIs" dxfId="1665" priority="7" operator="equal">
      <formula>"Ok"</formula>
    </cfRule>
  </conditionalFormatting>
  <conditionalFormatting sqref="E5:F60">
    <cfRule type="cellIs" dxfId="1664" priority="2" operator="equal">
      <formula>"Feito"</formula>
    </cfRule>
  </conditionalFormatting>
  <dataValidations count="1">
    <dataValidation type="list" allowBlank="1" showInputMessage="1" showErrorMessage="1" sqref="B5:J60" xr:uid="{BC28EC38-74F4-4044-8FDB-5B45B06A59C5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6129-B701-4736-9757-A4F80DDF1AA6}">
  <sheetPr codeName="Planilha32"/>
  <dimension ref="A3:N62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44444</v>
      </c>
      <c r="C3" s="3">
        <f>B3+1</f>
        <v>44445</v>
      </c>
      <c r="D3" s="3">
        <f t="shared" ref="D3:I3" si="0">C3+1</f>
        <v>44446</v>
      </c>
      <c r="E3" s="3">
        <f t="shared" si="0"/>
        <v>44447</v>
      </c>
      <c r="F3" s="3">
        <f t="shared" si="0"/>
        <v>44448</v>
      </c>
      <c r="G3" s="3">
        <f t="shared" si="0"/>
        <v>44449</v>
      </c>
      <c r="H3" s="3">
        <f t="shared" si="0"/>
        <v>44450</v>
      </c>
      <c r="I3" s="3">
        <f t="shared" si="0"/>
        <v>44451</v>
      </c>
    </row>
    <row r="4" spans="1:14" x14ac:dyDescent="0.25">
      <c r="A4" s="2" t="s">
        <v>0</v>
      </c>
      <c r="B4" s="1" t="str">
        <f>TEXT(B3,"ddd")</f>
        <v>dom</v>
      </c>
      <c r="C4" s="1" t="str">
        <f t="shared" ref="C4:I4" si="1">TEXT(C3,"ddd")</f>
        <v>seg</v>
      </c>
      <c r="D4" s="1" t="str">
        <f t="shared" si="1"/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B5" t="s">
        <v>2</v>
      </c>
      <c r="C5" t="s">
        <v>2</v>
      </c>
      <c r="E5" t="s">
        <v>2</v>
      </c>
      <c r="G5" t="s">
        <v>2</v>
      </c>
      <c r="H5" t="s">
        <v>2</v>
      </c>
      <c r="I5" t="s">
        <v>2</v>
      </c>
      <c r="K5" s="5" t="s">
        <v>2</v>
      </c>
      <c r="L5">
        <f>COUNTIF($B$5:$I$60,K5)</f>
        <v>194</v>
      </c>
      <c r="M5" s="53">
        <f>L5/$L$11</f>
        <v>0.88990825688073394</v>
      </c>
      <c r="N5" s="52">
        <v>44444</v>
      </c>
    </row>
    <row r="6" spans="1:14" x14ac:dyDescent="0.25">
      <c r="A6" s="4">
        <v>2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K6" s="6" t="s">
        <v>5</v>
      </c>
      <c r="L6">
        <f t="shared" ref="L6:L10" si="2">COUNTIF($B$5:$I$60,K6)</f>
        <v>4</v>
      </c>
      <c r="M6" s="53">
        <f t="shared" ref="M6:M10" si="3">L6/$L$11</f>
        <v>1.834862385321101E-2</v>
      </c>
    </row>
    <row r="7" spans="1:14" x14ac:dyDescent="0.25">
      <c r="A7" s="4">
        <v>3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K7" s="7" t="s">
        <v>6</v>
      </c>
      <c r="L7">
        <f t="shared" si="2"/>
        <v>2</v>
      </c>
      <c r="M7" s="53">
        <f t="shared" si="3"/>
        <v>9.1743119266055051E-3</v>
      </c>
    </row>
    <row r="8" spans="1:14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K8" s="8" t="s">
        <v>4</v>
      </c>
      <c r="L8">
        <f t="shared" si="2"/>
        <v>0</v>
      </c>
      <c r="M8" s="53">
        <f t="shared" si="3"/>
        <v>0</v>
      </c>
    </row>
    <row r="9" spans="1:14" x14ac:dyDescent="0.25">
      <c r="A9" s="4">
        <v>5</v>
      </c>
      <c r="K9" s="9" t="s">
        <v>3</v>
      </c>
      <c r="L9">
        <f t="shared" si="2"/>
        <v>0</v>
      </c>
      <c r="M9" s="53">
        <f t="shared" si="3"/>
        <v>0</v>
      </c>
    </row>
    <row r="10" spans="1:14" x14ac:dyDescent="0.25">
      <c r="A10" s="4">
        <v>6</v>
      </c>
      <c r="G10" t="s">
        <v>2</v>
      </c>
      <c r="K10" s="10" t="s">
        <v>7</v>
      </c>
      <c r="L10">
        <f t="shared" si="2"/>
        <v>18</v>
      </c>
      <c r="M10" s="53">
        <f t="shared" si="3"/>
        <v>8.2568807339449546E-2</v>
      </c>
    </row>
    <row r="11" spans="1:14" x14ac:dyDescent="0.25">
      <c r="A11" s="4">
        <v>7</v>
      </c>
      <c r="G11" t="s">
        <v>2</v>
      </c>
      <c r="L11">
        <f>SUM(L5:L10)</f>
        <v>218</v>
      </c>
    </row>
    <row r="12" spans="1:14" x14ac:dyDescent="0.25">
      <c r="A12" s="4">
        <v>8</v>
      </c>
      <c r="B12" t="s">
        <v>2</v>
      </c>
      <c r="E12" t="s">
        <v>7</v>
      </c>
      <c r="G12" t="s">
        <v>2</v>
      </c>
    </row>
    <row r="13" spans="1:14" x14ac:dyDescent="0.25">
      <c r="A13" s="4">
        <v>9</v>
      </c>
      <c r="C13" t="s">
        <v>2</v>
      </c>
      <c r="D13" t="s">
        <v>5</v>
      </c>
      <c r="G13" t="s">
        <v>2</v>
      </c>
      <c r="I13" t="s">
        <v>2</v>
      </c>
    </row>
    <row r="14" spans="1:14" x14ac:dyDescent="0.25">
      <c r="A14" s="4">
        <v>10</v>
      </c>
      <c r="D14" t="s">
        <v>2</v>
      </c>
      <c r="F14" t="s">
        <v>2</v>
      </c>
      <c r="G14" t="s">
        <v>2</v>
      </c>
    </row>
    <row r="15" spans="1:14" x14ac:dyDescent="0.25">
      <c r="A15" s="4">
        <v>11</v>
      </c>
      <c r="B15" t="s">
        <v>2</v>
      </c>
      <c r="C15" t="s">
        <v>2</v>
      </c>
      <c r="E15" t="s">
        <v>2</v>
      </c>
      <c r="F15" t="s">
        <v>5</v>
      </c>
      <c r="H15" t="s">
        <v>2</v>
      </c>
    </row>
    <row r="16" spans="1:14" x14ac:dyDescent="0.25">
      <c r="A16" s="4">
        <v>12</v>
      </c>
      <c r="B16" t="s">
        <v>2</v>
      </c>
      <c r="D16" t="s">
        <v>2</v>
      </c>
      <c r="E16" t="s">
        <v>2</v>
      </c>
      <c r="G16" t="s">
        <v>2</v>
      </c>
      <c r="H16" t="s">
        <v>2</v>
      </c>
      <c r="I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</row>
    <row r="18" spans="1:9" x14ac:dyDescent="0.25">
      <c r="A18" s="4">
        <v>14</v>
      </c>
      <c r="B18" t="s">
        <v>2</v>
      </c>
      <c r="C18" t="s">
        <v>2</v>
      </c>
      <c r="E18" t="s">
        <v>2</v>
      </c>
      <c r="F18" t="s">
        <v>2</v>
      </c>
      <c r="H18" t="s">
        <v>2</v>
      </c>
      <c r="I18" t="s">
        <v>2</v>
      </c>
    </row>
    <row r="19" spans="1:9" x14ac:dyDescent="0.25">
      <c r="A19" s="4">
        <v>15</v>
      </c>
    </row>
    <row r="20" spans="1:9" x14ac:dyDescent="0.25">
      <c r="A20" s="4">
        <v>16</v>
      </c>
      <c r="D20" t="s">
        <v>7</v>
      </c>
      <c r="H20" t="s">
        <v>2</v>
      </c>
      <c r="I20" t="s">
        <v>2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5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</row>
    <row r="34" spans="1:9" x14ac:dyDescent="0.25">
      <c r="A34" s="4">
        <v>30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</row>
    <row r="35" spans="1:9" x14ac:dyDescent="0.25">
      <c r="A35" s="4">
        <v>31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7</v>
      </c>
      <c r="H35" t="s">
        <v>7</v>
      </c>
    </row>
    <row r="36" spans="1:9" x14ac:dyDescent="0.25">
      <c r="A36" s="4">
        <v>32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 t="s">
        <v>2</v>
      </c>
    </row>
    <row r="37" spans="1:9" x14ac:dyDescent="0.25">
      <c r="A37" s="4">
        <v>33</v>
      </c>
      <c r="B37" t="s">
        <v>6</v>
      </c>
      <c r="C37" t="s">
        <v>2</v>
      </c>
      <c r="D37" t="s">
        <v>2</v>
      </c>
      <c r="E37" t="s">
        <v>2</v>
      </c>
      <c r="F37" t="s">
        <v>2</v>
      </c>
      <c r="G37" t="s">
        <v>7</v>
      </c>
      <c r="H37" t="s">
        <v>7</v>
      </c>
    </row>
    <row r="38" spans="1:9" x14ac:dyDescent="0.25">
      <c r="A38" s="4">
        <v>34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</row>
    <row r="39" spans="1:9" x14ac:dyDescent="0.25">
      <c r="A39" s="4">
        <v>35</v>
      </c>
      <c r="C39" t="s">
        <v>2</v>
      </c>
    </row>
    <row r="40" spans="1:9" x14ac:dyDescent="0.25">
      <c r="A40" s="4">
        <v>36</v>
      </c>
      <c r="C40" t="s">
        <v>2</v>
      </c>
      <c r="E40" t="s">
        <v>2</v>
      </c>
      <c r="G40" t="s">
        <v>2</v>
      </c>
      <c r="I40" t="s">
        <v>7</v>
      </c>
    </row>
    <row r="41" spans="1:9" x14ac:dyDescent="0.25">
      <c r="A41" s="4">
        <v>37</v>
      </c>
      <c r="B41" t="s">
        <v>2</v>
      </c>
      <c r="D41" t="s">
        <v>2</v>
      </c>
      <c r="F41" t="s">
        <v>2</v>
      </c>
      <c r="H41" t="s">
        <v>2</v>
      </c>
    </row>
    <row r="42" spans="1:9" x14ac:dyDescent="0.25">
      <c r="A42" s="4">
        <v>38</v>
      </c>
      <c r="I42" t="s">
        <v>7</v>
      </c>
    </row>
    <row r="43" spans="1:9" x14ac:dyDescent="0.25">
      <c r="A43" s="4">
        <v>39</v>
      </c>
      <c r="G43" t="s">
        <v>2</v>
      </c>
      <c r="H43" t="s">
        <v>7</v>
      </c>
    </row>
    <row r="44" spans="1:9" x14ac:dyDescent="0.25">
      <c r="A44" s="4">
        <v>40</v>
      </c>
    </row>
    <row r="45" spans="1:9" x14ac:dyDescent="0.25">
      <c r="A45" s="4">
        <v>41</v>
      </c>
      <c r="F45" t="s">
        <v>7</v>
      </c>
    </row>
    <row r="46" spans="1:9" x14ac:dyDescent="0.25">
      <c r="A46" s="4">
        <v>42</v>
      </c>
      <c r="B46" t="s">
        <v>7</v>
      </c>
      <c r="E46" t="s">
        <v>2</v>
      </c>
      <c r="G46" t="s">
        <v>7</v>
      </c>
    </row>
    <row r="47" spans="1:9" x14ac:dyDescent="0.25">
      <c r="A47" s="4">
        <v>43</v>
      </c>
    </row>
    <row r="48" spans="1:9" x14ac:dyDescent="0.25">
      <c r="A48" s="4">
        <v>44</v>
      </c>
      <c r="E48" t="s">
        <v>2</v>
      </c>
    </row>
    <row r="49" spans="1:9" x14ac:dyDescent="0.25">
      <c r="A49" s="4">
        <v>45</v>
      </c>
      <c r="D49" t="s">
        <v>2</v>
      </c>
      <c r="G49" t="s">
        <v>2</v>
      </c>
      <c r="H49" t="s">
        <v>2</v>
      </c>
      <c r="I49" t="s">
        <v>2</v>
      </c>
    </row>
    <row r="50" spans="1:9" x14ac:dyDescent="0.25">
      <c r="A50" s="4">
        <v>46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</row>
    <row r="51" spans="1:9" x14ac:dyDescent="0.25">
      <c r="A51" s="4">
        <v>47</v>
      </c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  <c r="I51" t="s">
        <v>2</v>
      </c>
    </row>
    <row r="52" spans="1:9" x14ac:dyDescent="0.25">
      <c r="A52" s="4">
        <v>48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</row>
    <row r="53" spans="1:9" x14ac:dyDescent="0.25">
      <c r="A53" s="4">
        <v>49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</row>
    <row r="54" spans="1:9" x14ac:dyDescent="0.25">
      <c r="A54" s="4">
        <v>50</v>
      </c>
      <c r="B54" t="s">
        <v>2</v>
      </c>
      <c r="C54" t="s">
        <v>2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  <c r="I54" t="s">
        <v>2</v>
      </c>
    </row>
    <row r="55" spans="1:9" x14ac:dyDescent="0.25">
      <c r="A55" s="4">
        <v>51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</row>
    <row r="56" spans="1:9" x14ac:dyDescent="0.25">
      <c r="A56" s="4">
        <v>52</v>
      </c>
      <c r="B56" t="s">
        <v>2</v>
      </c>
      <c r="D56" t="s">
        <v>2</v>
      </c>
      <c r="E56" t="s">
        <v>5</v>
      </c>
      <c r="G56" t="s">
        <v>2</v>
      </c>
      <c r="I56" t="s">
        <v>2</v>
      </c>
    </row>
    <row r="57" spans="1:9" x14ac:dyDescent="0.25">
      <c r="A57" s="4">
        <v>53</v>
      </c>
      <c r="B57" t="s">
        <v>2</v>
      </c>
      <c r="C57" t="s">
        <v>2</v>
      </c>
      <c r="D57" t="s">
        <v>2</v>
      </c>
    </row>
    <row r="58" spans="1:9" x14ac:dyDescent="0.25">
      <c r="A58" s="4">
        <v>54</v>
      </c>
      <c r="B58" t="s">
        <v>2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</row>
    <row r="59" spans="1:9" x14ac:dyDescent="0.25">
      <c r="A59" s="4">
        <v>55</v>
      </c>
      <c r="B59" t="s">
        <v>7</v>
      </c>
      <c r="F59" t="s">
        <v>2</v>
      </c>
    </row>
    <row r="60" spans="1:9" x14ac:dyDescent="0.25">
      <c r="A60" s="4">
        <v>56</v>
      </c>
      <c r="B60" t="s">
        <v>7</v>
      </c>
      <c r="C60" t="s">
        <v>6</v>
      </c>
      <c r="D60" t="s">
        <v>7</v>
      </c>
      <c r="E60" t="s">
        <v>2</v>
      </c>
      <c r="F60" t="s">
        <v>7</v>
      </c>
      <c r="G60" t="s">
        <v>7</v>
      </c>
      <c r="H60" t="s">
        <v>7</v>
      </c>
    </row>
    <row r="61" spans="1:9" x14ac:dyDescent="0.25">
      <c r="A61" s="18">
        <v>73</v>
      </c>
    </row>
    <row r="62" spans="1:9" x14ac:dyDescent="0.25">
      <c r="A62" s="18">
        <v>74</v>
      </c>
      <c r="I62" t="s">
        <v>7</v>
      </c>
    </row>
  </sheetData>
  <conditionalFormatting sqref="B5:D11 G5:G11">
    <cfRule type="cellIs" dxfId="1663" priority="17" operator="equal">
      <formula>"Energia"</formula>
    </cfRule>
  </conditionalFormatting>
  <conditionalFormatting sqref="B5:D60 G5:I60 B61:I62">
    <cfRule type="cellIs" dxfId="1662" priority="10" operator="equal">
      <formula>"Energia"</formula>
    </cfRule>
    <cfRule type="cellIs" dxfId="1661" priority="12" operator="equal">
      <formula>"Operação"</formula>
    </cfRule>
    <cfRule type="cellIs" dxfId="1660" priority="13" operator="equal">
      <formula>"Chuva"</formula>
    </cfRule>
    <cfRule type="cellIs" dxfId="1659" priority="14" operator="equal">
      <formula>"Elétrico"</formula>
    </cfRule>
    <cfRule type="cellIs" dxfId="1658" priority="15" operator="equal">
      <formula>"Mecânico"</formula>
    </cfRule>
    <cfRule type="cellIs" dxfId="1657" priority="16" operator="equal">
      <formula>"Ok"</formula>
    </cfRule>
  </conditionalFormatting>
  <conditionalFormatting sqref="B5:D60 G5:I60 B61:I62">
    <cfRule type="cellIs" dxfId="1656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655" priority="8" operator="equal">
      <formula>"Energia"</formula>
    </cfRule>
  </conditionalFormatting>
  <conditionalFormatting sqref="E5:F60">
    <cfRule type="cellIs" dxfId="1654" priority="1" operator="equal">
      <formula>"Energia"</formula>
    </cfRule>
    <cfRule type="cellIs" dxfId="1653" priority="3" operator="equal">
      <formula>"Operação"</formula>
    </cfRule>
    <cfRule type="cellIs" dxfId="1652" priority="4" operator="equal">
      <formula>"Chuva"</formula>
    </cfRule>
    <cfRule type="cellIs" dxfId="1651" priority="5" operator="equal">
      <formula>"Elétrico"</formula>
    </cfRule>
    <cfRule type="cellIs" dxfId="1650" priority="6" operator="equal">
      <formula>"Mecânico"</formula>
    </cfRule>
    <cfRule type="cellIs" dxfId="1649" priority="7" operator="equal">
      <formula>"Ok"</formula>
    </cfRule>
  </conditionalFormatting>
  <conditionalFormatting sqref="E5:F60">
    <cfRule type="cellIs" dxfId="1648" priority="2" operator="equal">
      <formula>"Feito"</formula>
    </cfRule>
  </conditionalFormatting>
  <dataValidations count="1">
    <dataValidation type="list" allowBlank="1" showInputMessage="1" showErrorMessage="1" sqref="B5:J60 B61:I62" xr:uid="{0BE1F21D-4553-4907-8E12-52480F559C4C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421D-DDF3-489B-A0A6-D2E1240E9423}">
  <sheetPr codeName="Planilha33"/>
  <dimension ref="A3:N62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44452</v>
      </c>
      <c r="C3" s="3">
        <f>B3+1</f>
        <v>44453</v>
      </c>
      <c r="D3" s="3">
        <f t="shared" ref="D3:H3" si="0">C3+1</f>
        <v>44454</v>
      </c>
      <c r="E3" s="3">
        <f t="shared" si="0"/>
        <v>44455</v>
      </c>
      <c r="F3" s="3">
        <f t="shared" si="0"/>
        <v>44456</v>
      </c>
      <c r="G3" s="3">
        <f t="shared" si="0"/>
        <v>44457</v>
      </c>
      <c r="H3" s="3">
        <f t="shared" si="0"/>
        <v>44458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K5" s="5" t="s">
        <v>2</v>
      </c>
      <c r="L5">
        <f>COUNTIF($B$5:$I$60,K5)</f>
        <v>156</v>
      </c>
      <c r="M5" s="53">
        <f>L5/$L$11</f>
        <v>0.82539682539682535</v>
      </c>
      <c r="N5" s="52">
        <v>44452</v>
      </c>
    </row>
    <row r="6" spans="1:14" x14ac:dyDescent="0.25">
      <c r="A6" s="4">
        <v>2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K6" s="6" t="s">
        <v>5</v>
      </c>
      <c r="L6">
        <f t="shared" ref="L6:L10" si="2">COUNTIF($B$5:$I$60,K6)</f>
        <v>7</v>
      </c>
      <c r="M6" s="53">
        <f t="shared" ref="M6:M10" si="3">L6/$L$11</f>
        <v>3.7037037037037035E-2</v>
      </c>
    </row>
    <row r="7" spans="1:14" x14ac:dyDescent="0.25">
      <c r="A7" s="4">
        <v>3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K7" s="7" t="s">
        <v>6</v>
      </c>
      <c r="L7">
        <f t="shared" si="2"/>
        <v>6</v>
      </c>
      <c r="M7" s="53">
        <f t="shared" si="3"/>
        <v>3.1746031746031744E-2</v>
      </c>
    </row>
    <row r="8" spans="1:14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K8" s="8" t="s">
        <v>4</v>
      </c>
      <c r="L8">
        <f t="shared" si="2"/>
        <v>0</v>
      </c>
      <c r="M8" s="53">
        <f t="shared" si="3"/>
        <v>0</v>
      </c>
    </row>
    <row r="9" spans="1:14" x14ac:dyDescent="0.25">
      <c r="A9" s="4">
        <v>5</v>
      </c>
      <c r="K9" s="9" t="s">
        <v>3</v>
      </c>
      <c r="L9">
        <f t="shared" si="2"/>
        <v>0</v>
      </c>
      <c r="M9" s="53">
        <f t="shared" si="3"/>
        <v>0</v>
      </c>
    </row>
    <row r="10" spans="1:14" x14ac:dyDescent="0.25">
      <c r="A10" s="4">
        <v>6</v>
      </c>
      <c r="K10" s="10" t="s">
        <v>7</v>
      </c>
      <c r="L10">
        <f t="shared" si="2"/>
        <v>20</v>
      </c>
      <c r="M10" s="53">
        <f t="shared" si="3"/>
        <v>0.10582010582010581</v>
      </c>
    </row>
    <row r="11" spans="1:14" x14ac:dyDescent="0.25">
      <c r="A11" s="4">
        <v>7</v>
      </c>
      <c r="L11">
        <f>SUM(L5:L10)</f>
        <v>189</v>
      </c>
    </row>
    <row r="12" spans="1:14" x14ac:dyDescent="0.25">
      <c r="A12" s="4">
        <v>8</v>
      </c>
    </row>
    <row r="13" spans="1:14" x14ac:dyDescent="0.25">
      <c r="A13" s="4">
        <v>9</v>
      </c>
      <c r="C13" t="s">
        <v>2</v>
      </c>
      <c r="D13" t="s">
        <v>2</v>
      </c>
    </row>
    <row r="14" spans="1:14" x14ac:dyDescent="0.25">
      <c r="A14" s="4">
        <v>10</v>
      </c>
      <c r="B14" t="s">
        <v>2</v>
      </c>
      <c r="D14" t="s">
        <v>2</v>
      </c>
      <c r="E14" t="s">
        <v>2</v>
      </c>
      <c r="G14" t="s">
        <v>2</v>
      </c>
      <c r="H14" t="s">
        <v>2</v>
      </c>
    </row>
    <row r="15" spans="1:14" x14ac:dyDescent="0.25">
      <c r="A15" s="4">
        <v>11</v>
      </c>
      <c r="C15" t="s">
        <v>2</v>
      </c>
      <c r="D15" t="s">
        <v>6</v>
      </c>
      <c r="E15" t="s">
        <v>2</v>
      </c>
      <c r="F15" t="s">
        <v>2</v>
      </c>
      <c r="G15" t="s">
        <v>2</v>
      </c>
      <c r="H15" t="s">
        <v>2</v>
      </c>
    </row>
    <row r="16" spans="1:14" x14ac:dyDescent="0.25">
      <c r="A16" s="4">
        <v>12</v>
      </c>
      <c r="C16" t="s">
        <v>2</v>
      </c>
      <c r="D16" t="s">
        <v>7</v>
      </c>
      <c r="F16" t="s">
        <v>7</v>
      </c>
      <c r="G16" t="s">
        <v>2</v>
      </c>
      <c r="H16" t="s">
        <v>2</v>
      </c>
    </row>
    <row r="17" spans="1:8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</row>
    <row r="18" spans="1:8" x14ac:dyDescent="0.25">
      <c r="A18" s="4">
        <v>14</v>
      </c>
      <c r="D18" t="s">
        <v>6</v>
      </c>
      <c r="E18" t="s">
        <v>5</v>
      </c>
      <c r="G18" t="s">
        <v>5</v>
      </c>
      <c r="H18" t="s">
        <v>2</v>
      </c>
    </row>
    <row r="19" spans="1:8" x14ac:dyDescent="0.25">
      <c r="A19" s="4">
        <v>15</v>
      </c>
      <c r="F19" t="s">
        <v>7</v>
      </c>
      <c r="H19" t="s">
        <v>2</v>
      </c>
    </row>
    <row r="20" spans="1:8" x14ac:dyDescent="0.25">
      <c r="A20" s="4">
        <v>16</v>
      </c>
      <c r="C20" t="s">
        <v>2</v>
      </c>
    </row>
    <row r="21" spans="1:8" x14ac:dyDescent="0.25">
      <c r="A21" s="4">
        <v>17</v>
      </c>
      <c r="H21" t="s">
        <v>2</v>
      </c>
    </row>
    <row r="22" spans="1:8" x14ac:dyDescent="0.25">
      <c r="A22" s="4">
        <v>18</v>
      </c>
    </row>
    <row r="23" spans="1:8" x14ac:dyDescent="0.25">
      <c r="A23" s="4">
        <v>19</v>
      </c>
      <c r="H23" t="s">
        <v>2</v>
      </c>
    </row>
    <row r="24" spans="1:8" x14ac:dyDescent="0.25">
      <c r="A24" s="4">
        <v>20</v>
      </c>
      <c r="F24" t="s">
        <v>7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14</v>
      </c>
    </row>
    <row r="34" spans="1:8" x14ac:dyDescent="0.25">
      <c r="A34" s="4">
        <v>30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</row>
    <row r="35" spans="1:8" x14ac:dyDescent="0.25">
      <c r="A35" s="4">
        <v>31</v>
      </c>
      <c r="B35" t="s">
        <v>2</v>
      </c>
      <c r="C35" t="s">
        <v>2</v>
      </c>
      <c r="D35" t="s">
        <v>2</v>
      </c>
      <c r="E35" t="s">
        <v>5</v>
      </c>
      <c r="F35" t="s">
        <v>2</v>
      </c>
      <c r="G35" t="s">
        <v>7</v>
      </c>
      <c r="H35" t="s">
        <v>2</v>
      </c>
    </row>
    <row r="36" spans="1:8" x14ac:dyDescent="0.25">
      <c r="A36" s="4">
        <v>32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</row>
    <row r="37" spans="1:8" x14ac:dyDescent="0.25">
      <c r="A37" s="4">
        <v>33</v>
      </c>
      <c r="B37" t="s">
        <v>2</v>
      </c>
      <c r="C37" t="s">
        <v>5</v>
      </c>
      <c r="D37" t="s">
        <v>7</v>
      </c>
      <c r="E37" t="s">
        <v>5</v>
      </c>
      <c r="F37" t="s">
        <v>7</v>
      </c>
      <c r="G37" t="s">
        <v>7</v>
      </c>
      <c r="H37" t="s">
        <v>2</v>
      </c>
    </row>
    <row r="38" spans="1:8" x14ac:dyDescent="0.25">
      <c r="A38" s="4">
        <v>34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H38" t="s">
        <v>2</v>
      </c>
    </row>
    <row r="39" spans="1:8" x14ac:dyDescent="0.25">
      <c r="A39" s="4">
        <v>35</v>
      </c>
    </row>
    <row r="40" spans="1:8" x14ac:dyDescent="0.25">
      <c r="A40" s="4">
        <v>36</v>
      </c>
      <c r="C40" t="s">
        <v>2</v>
      </c>
      <c r="E40" t="s">
        <v>2</v>
      </c>
      <c r="G40" t="s">
        <v>7</v>
      </c>
    </row>
    <row r="41" spans="1:8" x14ac:dyDescent="0.25">
      <c r="A41" s="4">
        <v>37</v>
      </c>
      <c r="B41" t="s">
        <v>2</v>
      </c>
      <c r="D41" t="s">
        <v>2</v>
      </c>
      <c r="F41" t="s">
        <v>2</v>
      </c>
    </row>
    <row r="42" spans="1:8" x14ac:dyDescent="0.25">
      <c r="A42" s="4">
        <v>38</v>
      </c>
      <c r="B42" t="s">
        <v>7</v>
      </c>
      <c r="D42" t="s">
        <v>7</v>
      </c>
    </row>
    <row r="43" spans="1:8" x14ac:dyDescent="0.25">
      <c r="A43" s="4">
        <v>39</v>
      </c>
      <c r="B43" t="s">
        <v>2</v>
      </c>
      <c r="E43" t="s">
        <v>2</v>
      </c>
    </row>
    <row r="44" spans="1:8" x14ac:dyDescent="0.25">
      <c r="A44" s="4">
        <v>40</v>
      </c>
      <c r="C44" t="s">
        <v>7</v>
      </c>
    </row>
    <row r="45" spans="1:8" x14ac:dyDescent="0.25">
      <c r="A45" s="4">
        <v>41</v>
      </c>
      <c r="E45" t="s">
        <v>2</v>
      </c>
    </row>
    <row r="46" spans="1:8" x14ac:dyDescent="0.25">
      <c r="A46" s="4">
        <v>42</v>
      </c>
    </row>
    <row r="47" spans="1:8" x14ac:dyDescent="0.25">
      <c r="A47" s="4">
        <v>43</v>
      </c>
    </row>
    <row r="48" spans="1:8" x14ac:dyDescent="0.25">
      <c r="A48" s="4">
        <v>44</v>
      </c>
      <c r="G48" t="s">
        <v>6</v>
      </c>
    </row>
    <row r="49" spans="1:8" x14ac:dyDescent="0.25">
      <c r="A49" s="4">
        <v>45</v>
      </c>
      <c r="B49" t="s">
        <v>2</v>
      </c>
      <c r="C49" t="s">
        <v>2</v>
      </c>
      <c r="D49" t="s">
        <v>2</v>
      </c>
      <c r="E49" t="s">
        <v>2</v>
      </c>
      <c r="G49" t="s">
        <v>2</v>
      </c>
      <c r="H49" t="s">
        <v>2</v>
      </c>
    </row>
    <row r="50" spans="1:8" x14ac:dyDescent="0.25">
      <c r="A50" s="4">
        <v>46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7</v>
      </c>
      <c r="H50" t="s">
        <v>2</v>
      </c>
    </row>
    <row r="51" spans="1:8" x14ac:dyDescent="0.25">
      <c r="A51" s="4">
        <v>47</v>
      </c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</row>
    <row r="52" spans="1:8" x14ac:dyDescent="0.25">
      <c r="A52" s="4">
        <v>48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</row>
    <row r="53" spans="1:8" x14ac:dyDescent="0.25">
      <c r="A53" s="4">
        <v>49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7</v>
      </c>
      <c r="H53" t="s">
        <v>2</v>
      </c>
    </row>
    <row r="54" spans="1:8" x14ac:dyDescent="0.25">
      <c r="A54" s="4">
        <v>50</v>
      </c>
      <c r="B54" t="s">
        <v>6</v>
      </c>
      <c r="C54" t="s">
        <v>7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</row>
    <row r="55" spans="1:8" x14ac:dyDescent="0.25">
      <c r="A55" s="4">
        <v>51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</row>
    <row r="56" spans="1:8" x14ac:dyDescent="0.25">
      <c r="A56" s="4">
        <v>52</v>
      </c>
      <c r="F56" t="s">
        <v>2</v>
      </c>
      <c r="G56" t="s">
        <v>2</v>
      </c>
      <c r="H56" t="s">
        <v>2</v>
      </c>
    </row>
    <row r="57" spans="1:8" x14ac:dyDescent="0.25">
      <c r="A57" s="4">
        <v>53</v>
      </c>
    </row>
    <row r="58" spans="1:8" x14ac:dyDescent="0.25">
      <c r="A58" s="4">
        <v>54</v>
      </c>
      <c r="B58" t="s">
        <v>2</v>
      </c>
      <c r="C58" t="s">
        <v>7</v>
      </c>
      <c r="F58" t="s">
        <v>2</v>
      </c>
      <c r="H58" t="s">
        <v>2</v>
      </c>
    </row>
    <row r="59" spans="1:8" x14ac:dyDescent="0.25">
      <c r="A59" s="4">
        <v>55</v>
      </c>
      <c r="B59" t="s">
        <v>6</v>
      </c>
      <c r="E59" t="s">
        <v>7</v>
      </c>
      <c r="H59" t="s">
        <v>6</v>
      </c>
    </row>
    <row r="60" spans="1:8" x14ac:dyDescent="0.25">
      <c r="A60" s="4">
        <v>56</v>
      </c>
      <c r="B60" t="s">
        <v>2</v>
      </c>
      <c r="C60" t="s">
        <v>7</v>
      </c>
      <c r="D60" t="s">
        <v>2</v>
      </c>
      <c r="E60" t="s">
        <v>7</v>
      </c>
      <c r="F60" t="s">
        <v>5</v>
      </c>
      <c r="G60" t="s">
        <v>7</v>
      </c>
      <c r="H60" t="s">
        <v>5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B5:D11 G5:G11">
    <cfRule type="cellIs" dxfId="1647" priority="17" operator="equal">
      <formula>"Energia"</formula>
    </cfRule>
  </conditionalFormatting>
  <conditionalFormatting sqref="B5:D60 B61:I62 G5:I60">
    <cfRule type="cellIs" dxfId="1646" priority="10" operator="equal">
      <formula>"Energia"</formula>
    </cfRule>
    <cfRule type="cellIs" dxfId="1645" priority="12" operator="equal">
      <formula>"Operação"</formula>
    </cfRule>
    <cfRule type="cellIs" dxfId="1644" priority="13" operator="equal">
      <formula>"Chuva"</formula>
    </cfRule>
    <cfRule type="cellIs" dxfId="1643" priority="14" operator="equal">
      <formula>"Elétrico"</formula>
    </cfRule>
    <cfRule type="cellIs" dxfId="1642" priority="15" operator="equal">
      <formula>"Mecânico"</formula>
    </cfRule>
    <cfRule type="cellIs" dxfId="1641" priority="16" operator="equal">
      <formula>"Ok"</formula>
    </cfRule>
  </conditionalFormatting>
  <conditionalFormatting sqref="B5:D60 B61:I62 G5:I60">
    <cfRule type="cellIs" dxfId="1640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639" priority="8" operator="equal">
      <formula>"Energia"</formula>
    </cfRule>
  </conditionalFormatting>
  <conditionalFormatting sqref="E5:F60">
    <cfRule type="cellIs" dxfId="1638" priority="1" operator="equal">
      <formula>"Energia"</formula>
    </cfRule>
    <cfRule type="cellIs" dxfId="1637" priority="3" operator="equal">
      <formula>"Operação"</formula>
    </cfRule>
    <cfRule type="cellIs" dxfId="1636" priority="4" operator="equal">
      <formula>"Chuva"</formula>
    </cfRule>
    <cfRule type="cellIs" dxfId="1635" priority="5" operator="equal">
      <formula>"Elétrico"</formula>
    </cfRule>
    <cfRule type="cellIs" dxfId="1634" priority="6" operator="equal">
      <formula>"Mecânico"</formula>
    </cfRule>
    <cfRule type="cellIs" dxfId="1633" priority="7" operator="equal">
      <formula>"Ok"</formula>
    </cfRule>
  </conditionalFormatting>
  <conditionalFormatting sqref="E5:F60">
    <cfRule type="cellIs" dxfId="1632" priority="2" operator="equal">
      <formula>"Feito"</formula>
    </cfRule>
  </conditionalFormatting>
  <dataValidations count="1">
    <dataValidation type="list" allowBlank="1" showInputMessage="1" showErrorMessage="1" sqref="B61:I62 B5:J32 B34:J60 B33:G33 I33:J33" xr:uid="{8004C038-B8C7-4B2C-BC2D-485A3B8DAE0F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3E92-6885-43C4-90F4-49ADAEC06A1B}">
  <sheetPr codeName="Planilha34"/>
  <dimension ref="A3:N62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44459</v>
      </c>
      <c r="C3" s="3">
        <f>B3+1</f>
        <v>44460</v>
      </c>
      <c r="D3" s="3">
        <f t="shared" ref="D3:H3" si="0">C3+1</f>
        <v>44461</v>
      </c>
      <c r="E3" s="3">
        <f t="shared" si="0"/>
        <v>44462</v>
      </c>
      <c r="F3" s="3">
        <f t="shared" si="0"/>
        <v>44463</v>
      </c>
      <c r="G3" s="3">
        <f t="shared" si="0"/>
        <v>44464</v>
      </c>
      <c r="H3" s="3">
        <f t="shared" si="0"/>
        <v>44465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B5" t="s">
        <v>7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K5" s="5" t="s">
        <v>2</v>
      </c>
      <c r="L5">
        <f t="shared" ref="L5:L10" si="2">COUNTIF($C$5:$I$60,K5)</f>
        <v>127</v>
      </c>
      <c r="M5" s="53">
        <f>L5/$L$11</f>
        <v>0.79374999999999996</v>
      </c>
      <c r="N5" s="52">
        <v>44459</v>
      </c>
    </row>
    <row r="6" spans="1:14" x14ac:dyDescent="0.25">
      <c r="A6" s="4">
        <v>2</v>
      </c>
      <c r="B6" t="s">
        <v>2</v>
      </c>
      <c r="C6" t="s">
        <v>2</v>
      </c>
      <c r="D6" t="s">
        <v>2</v>
      </c>
      <c r="E6" t="s">
        <v>6</v>
      </c>
      <c r="F6" t="s">
        <v>2</v>
      </c>
      <c r="G6" t="s">
        <v>2</v>
      </c>
      <c r="H6" t="s">
        <v>2</v>
      </c>
      <c r="K6" s="6" t="s">
        <v>5</v>
      </c>
      <c r="L6">
        <f t="shared" si="2"/>
        <v>3</v>
      </c>
      <c r="M6" s="53">
        <f t="shared" ref="M6:M10" si="3">L6/$L$11</f>
        <v>1.8749999999999999E-2</v>
      </c>
    </row>
    <row r="7" spans="1:14" x14ac:dyDescent="0.25">
      <c r="A7" s="4">
        <v>3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K7" s="7" t="s">
        <v>6</v>
      </c>
      <c r="L7">
        <f t="shared" si="2"/>
        <v>4</v>
      </c>
      <c r="M7" s="53">
        <f t="shared" si="3"/>
        <v>2.5000000000000001E-2</v>
      </c>
    </row>
    <row r="8" spans="1:14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F8" t="s">
        <v>6</v>
      </c>
      <c r="G8" t="s">
        <v>2</v>
      </c>
      <c r="H8" t="s">
        <v>2</v>
      </c>
      <c r="K8" s="8" t="s">
        <v>4</v>
      </c>
      <c r="L8">
        <f t="shared" si="2"/>
        <v>0</v>
      </c>
      <c r="M8" s="53">
        <f t="shared" si="3"/>
        <v>0</v>
      </c>
    </row>
    <row r="9" spans="1:14" x14ac:dyDescent="0.25">
      <c r="A9" s="4">
        <v>5</v>
      </c>
      <c r="C9" t="s">
        <v>2</v>
      </c>
      <c r="K9" s="9" t="s">
        <v>3</v>
      </c>
      <c r="L9">
        <f t="shared" si="2"/>
        <v>0</v>
      </c>
      <c r="M9" s="53">
        <f t="shared" si="3"/>
        <v>0</v>
      </c>
    </row>
    <row r="10" spans="1:14" x14ac:dyDescent="0.25">
      <c r="A10" s="4">
        <v>6</v>
      </c>
      <c r="K10" s="10" t="s">
        <v>7</v>
      </c>
      <c r="L10">
        <f t="shared" si="2"/>
        <v>26</v>
      </c>
      <c r="M10" s="53">
        <f t="shared" si="3"/>
        <v>0.16250000000000001</v>
      </c>
    </row>
    <row r="11" spans="1:14" x14ac:dyDescent="0.25">
      <c r="A11" s="4">
        <v>7</v>
      </c>
      <c r="E11" t="s">
        <v>7</v>
      </c>
      <c r="L11">
        <f>SUM(L5:L10)</f>
        <v>160</v>
      </c>
    </row>
    <row r="12" spans="1:14" x14ac:dyDescent="0.25">
      <c r="A12" s="4">
        <v>8</v>
      </c>
      <c r="G12" t="s">
        <v>2</v>
      </c>
    </row>
    <row r="13" spans="1:14" x14ac:dyDescent="0.25">
      <c r="A13" s="4">
        <v>9</v>
      </c>
    </row>
    <row r="14" spans="1:14" x14ac:dyDescent="0.25">
      <c r="A14" s="4">
        <v>10</v>
      </c>
      <c r="C14" t="s">
        <v>2</v>
      </c>
    </row>
    <row r="15" spans="1:14" x14ac:dyDescent="0.25">
      <c r="A15" s="4">
        <v>11</v>
      </c>
      <c r="B15" t="s">
        <v>2</v>
      </c>
      <c r="C15" t="s">
        <v>2</v>
      </c>
      <c r="E15" t="s">
        <v>2</v>
      </c>
      <c r="F15" t="s">
        <v>2</v>
      </c>
      <c r="H15" t="s">
        <v>2</v>
      </c>
    </row>
    <row r="16" spans="1:14" x14ac:dyDescent="0.25">
      <c r="A16" s="4">
        <v>12</v>
      </c>
      <c r="B16" t="s">
        <v>2</v>
      </c>
      <c r="C16" t="s">
        <v>2</v>
      </c>
      <c r="E16" t="s">
        <v>2</v>
      </c>
      <c r="F16" t="s">
        <v>2</v>
      </c>
      <c r="H16" t="s">
        <v>2</v>
      </c>
    </row>
    <row r="17" spans="1:8" x14ac:dyDescent="0.25">
      <c r="A17" s="4">
        <v>13</v>
      </c>
      <c r="B17" t="s">
        <v>2</v>
      </c>
      <c r="C17" t="s">
        <v>7</v>
      </c>
      <c r="D17" t="s">
        <v>2</v>
      </c>
      <c r="E17" t="s">
        <v>5</v>
      </c>
      <c r="F17" t="s">
        <v>6</v>
      </c>
      <c r="H17" t="s">
        <v>2</v>
      </c>
    </row>
    <row r="18" spans="1:8" x14ac:dyDescent="0.25">
      <c r="A18" s="4">
        <v>14</v>
      </c>
      <c r="B18" t="s">
        <v>2</v>
      </c>
      <c r="C18" t="s">
        <v>2</v>
      </c>
      <c r="E18" t="s">
        <v>2</v>
      </c>
      <c r="F18" t="s">
        <v>2</v>
      </c>
      <c r="G18" t="s">
        <v>2</v>
      </c>
      <c r="H18" t="s">
        <v>2</v>
      </c>
    </row>
    <row r="19" spans="1:8" x14ac:dyDescent="0.25">
      <c r="A19" s="4">
        <v>15</v>
      </c>
      <c r="B19" t="s">
        <v>6</v>
      </c>
      <c r="D19" t="s">
        <v>7</v>
      </c>
      <c r="G19" t="s">
        <v>2</v>
      </c>
    </row>
    <row r="20" spans="1:8" x14ac:dyDescent="0.25">
      <c r="A20" s="4">
        <v>16</v>
      </c>
      <c r="B20" t="s">
        <v>6</v>
      </c>
      <c r="G20" t="s">
        <v>2</v>
      </c>
      <c r="H20" t="s">
        <v>2</v>
      </c>
    </row>
    <row r="21" spans="1:8" x14ac:dyDescent="0.25">
      <c r="A21" s="4">
        <v>17</v>
      </c>
      <c r="C21" t="s">
        <v>7</v>
      </c>
      <c r="D21" t="s">
        <v>2</v>
      </c>
      <c r="F21" t="s">
        <v>7</v>
      </c>
      <c r="H21" t="s">
        <v>2</v>
      </c>
    </row>
    <row r="22" spans="1:8" x14ac:dyDescent="0.25">
      <c r="A22" s="4">
        <v>18</v>
      </c>
    </row>
    <row r="23" spans="1:8" x14ac:dyDescent="0.25">
      <c r="A23" s="4">
        <v>19</v>
      </c>
      <c r="C23" t="s">
        <v>7</v>
      </c>
      <c r="D23" t="s">
        <v>7</v>
      </c>
      <c r="F23" t="s">
        <v>2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2</v>
      </c>
      <c r="C29" t="s">
        <v>2</v>
      </c>
      <c r="D29" t="s">
        <v>7</v>
      </c>
      <c r="E29" t="s">
        <v>2</v>
      </c>
      <c r="F29" t="s">
        <v>2</v>
      </c>
      <c r="G29" t="s">
        <v>5</v>
      </c>
      <c r="H29" t="s">
        <v>7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7</v>
      </c>
    </row>
    <row r="34" spans="1:8" x14ac:dyDescent="0.25">
      <c r="A34" s="4">
        <v>30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7</v>
      </c>
    </row>
    <row r="35" spans="1:8" x14ac:dyDescent="0.25">
      <c r="A35" s="4">
        <v>31</v>
      </c>
      <c r="B35" t="s">
        <v>7</v>
      </c>
      <c r="D35" t="s">
        <v>2</v>
      </c>
      <c r="E35" t="s">
        <v>2</v>
      </c>
      <c r="F35" t="s">
        <v>2</v>
      </c>
      <c r="G35" t="s">
        <v>7</v>
      </c>
    </row>
    <row r="36" spans="1:8" x14ac:dyDescent="0.25">
      <c r="A36" s="4">
        <v>32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</row>
    <row r="37" spans="1:8" x14ac:dyDescent="0.25">
      <c r="A37" s="4">
        <v>33</v>
      </c>
      <c r="B37" t="s">
        <v>2</v>
      </c>
      <c r="C37" t="s">
        <v>2</v>
      </c>
      <c r="D37" t="s">
        <v>2</v>
      </c>
      <c r="G37" t="s">
        <v>7</v>
      </c>
    </row>
    <row r="38" spans="1:8" x14ac:dyDescent="0.25">
      <c r="A38" s="4">
        <v>34</v>
      </c>
      <c r="B38" t="s">
        <v>2</v>
      </c>
      <c r="D38" t="s">
        <v>7</v>
      </c>
      <c r="E38" t="s">
        <v>2</v>
      </c>
      <c r="G38" t="s">
        <v>5</v>
      </c>
    </row>
    <row r="39" spans="1:8" x14ac:dyDescent="0.25">
      <c r="A39" s="4">
        <v>35</v>
      </c>
    </row>
    <row r="40" spans="1:8" x14ac:dyDescent="0.25">
      <c r="A40" s="4">
        <v>36</v>
      </c>
    </row>
    <row r="41" spans="1:8" x14ac:dyDescent="0.25">
      <c r="A41" s="4">
        <v>37</v>
      </c>
    </row>
    <row r="42" spans="1:8" x14ac:dyDescent="0.25">
      <c r="A42" s="4">
        <v>38</v>
      </c>
      <c r="G42" t="s">
        <v>7</v>
      </c>
    </row>
    <row r="43" spans="1:8" x14ac:dyDescent="0.25">
      <c r="A43" s="4">
        <v>39</v>
      </c>
      <c r="G43" t="s">
        <v>7</v>
      </c>
      <c r="H43" t="s">
        <v>7</v>
      </c>
    </row>
    <row r="44" spans="1:8" x14ac:dyDescent="0.25">
      <c r="A44" s="4">
        <v>40</v>
      </c>
      <c r="G44" t="s">
        <v>2</v>
      </c>
      <c r="H44" t="s">
        <v>7</v>
      </c>
    </row>
    <row r="45" spans="1:8" x14ac:dyDescent="0.25">
      <c r="A45" s="4">
        <v>41</v>
      </c>
      <c r="F45" t="s">
        <v>7</v>
      </c>
      <c r="G45" t="s">
        <v>2</v>
      </c>
      <c r="H45" t="s">
        <v>7</v>
      </c>
    </row>
    <row r="46" spans="1:8" x14ac:dyDescent="0.25">
      <c r="A46" s="4">
        <v>42</v>
      </c>
      <c r="E46" t="s">
        <v>2</v>
      </c>
      <c r="F46" t="s">
        <v>2</v>
      </c>
      <c r="H46" t="s">
        <v>2</v>
      </c>
    </row>
    <row r="47" spans="1:8" x14ac:dyDescent="0.25">
      <c r="A47" s="4">
        <v>43</v>
      </c>
    </row>
    <row r="48" spans="1:8" x14ac:dyDescent="0.25">
      <c r="A48" s="4">
        <v>44</v>
      </c>
      <c r="B48" t="s">
        <v>2</v>
      </c>
      <c r="E48" t="s">
        <v>2</v>
      </c>
    </row>
    <row r="49" spans="1:8" x14ac:dyDescent="0.25">
      <c r="A49" s="4">
        <v>45</v>
      </c>
      <c r="B49" t="s">
        <v>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</row>
    <row r="50" spans="1:8" x14ac:dyDescent="0.25">
      <c r="A50" s="4">
        <v>46</v>
      </c>
      <c r="B50" t="s">
        <v>7</v>
      </c>
      <c r="C50" t="s">
        <v>2</v>
      </c>
      <c r="D50" t="s">
        <v>2</v>
      </c>
      <c r="E50" t="s">
        <v>2</v>
      </c>
      <c r="F50" t="s">
        <v>7</v>
      </c>
      <c r="G50" t="s">
        <v>2</v>
      </c>
      <c r="H50" t="s">
        <v>7</v>
      </c>
    </row>
    <row r="51" spans="1:8" x14ac:dyDescent="0.25">
      <c r="A51" s="4">
        <v>47</v>
      </c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</row>
    <row r="52" spans="1:8" x14ac:dyDescent="0.25">
      <c r="A52" s="4">
        <v>48</v>
      </c>
      <c r="B52" t="s">
        <v>2</v>
      </c>
      <c r="D52" t="s">
        <v>2</v>
      </c>
      <c r="E52" t="s">
        <v>2</v>
      </c>
      <c r="F52" t="s">
        <v>2</v>
      </c>
      <c r="H52" t="s">
        <v>2</v>
      </c>
    </row>
    <row r="53" spans="1:8" x14ac:dyDescent="0.25">
      <c r="A53" s="4">
        <v>49</v>
      </c>
      <c r="B53" t="s">
        <v>2</v>
      </c>
      <c r="C53" t="s">
        <v>2</v>
      </c>
      <c r="D53" t="s">
        <v>2</v>
      </c>
      <c r="E53" t="s">
        <v>2</v>
      </c>
      <c r="F53" t="s">
        <v>6</v>
      </c>
      <c r="G53" t="s">
        <v>7</v>
      </c>
    </row>
    <row r="54" spans="1:8" x14ac:dyDescent="0.25">
      <c r="A54" s="4">
        <v>50</v>
      </c>
      <c r="B54" t="s">
        <v>2</v>
      </c>
      <c r="D54" t="s">
        <v>2</v>
      </c>
      <c r="E54" t="s">
        <v>2</v>
      </c>
      <c r="G54" t="s">
        <v>2</v>
      </c>
      <c r="H54" t="s">
        <v>2</v>
      </c>
    </row>
    <row r="55" spans="1:8" x14ac:dyDescent="0.25">
      <c r="A55" s="4">
        <v>51</v>
      </c>
      <c r="B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</row>
    <row r="56" spans="1:8" x14ac:dyDescent="0.25">
      <c r="A56" s="4">
        <v>52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7</v>
      </c>
    </row>
    <row r="57" spans="1:8" x14ac:dyDescent="0.25">
      <c r="A57" s="4">
        <v>53</v>
      </c>
      <c r="C57" t="s">
        <v>2</v>
      </c>
    </row>
    <row r="58" spans="1:8" x14ac:dyDescent="0.25">
      <c r="A58" s="4">
        <v>54</v>
      </c>
      <c r="B58" t="s">
        <v>2</v>
      </c>
      <c r="D58" t="s">
        <v>2</v>
      </c>
      <c r="E58" t="s">
        <v>2</v>
      </c>
      <c r="G58" t="s">
        <v>2</v>
      </c>
      <c r="H58" t="s">
        <v>2</v>
      </c>
    </row>
    <row r="59" spans="1:8" x14ac:dyDescent="0.25">
      <c r="A59" s="4">
        <v>55</v>
      </c>
      <c r="B59" t="s">
        <v>6</v>
      </c>
      <c r="C59" t="s">
        <v>7</v>
      </c>
      <c r="D59" t="s">
        <v>2</v>
      </c>
      <c r="E59" t="s">
        <v>2</v>
      </c>
      <c r="F59" t="s">
        <v>2</v>
      </c>
      <c r="H59" t="s">
        <v>7</v>
      </c>
    </row>
    <row r="60" spans="1:8" x14ac:dyDescent="0.25">
      <c r="A60" s="4">
        <v>56</v>
      </c>
      <c r="B60" t="s">
        <v>7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G5:G11 B5:E11">
    <cfRule type="cellIs" dxfId="1631" priority="17" operator="equal">
      <formula>"Energia"</formula>
    </cfRule>
  </conditionalFormatting>
  <conditionalFormatting sqref="C5:E60 C61:I62 B5:B62 G5:I60">
    <cfRule type="cellIs" dxfId="1630" priority="10" operator="equal">
      <formula>"Energia"</formula>
    </cfRule>
    <cfRule type="cellIs" dxfId="1629" priority="12" operator="equal">
      <formula>"Operação"</formula>
    </cfRule>
    <cfRule type="cellIs" dxfId="1628" priority="13" operator="equal">
      <formula>"Chuva"</formula>
    </cfRule>
    <cfRule type="cellIs" dxfId="1627" priority="14" operator="equal">
      <formula>"Elétrico"</formula>
    </cfRule>
    <cfRule type="cellIs" dxfId="1626" priority="15" operator="equal">
      <formula>"Mecânico"</formula>
    </cfRule>
    <cfRule type="cellIs" dxfId="1625" priority="16" operator="equal">
      <formula>"Ok"</formula>
    </cfRule>
  </conditionalFormatting>
  <conditionalFormatting sqref="C5:E60 C61:I62 B5:B62 G5:I60">
    <cfRule type="cellIs" dxfId="1624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F5:F11">
    <cfRule type="cellIs" dxfId="1623" priority="8" operator="equal">
      <formula>"Energia"</formula>
    </cfRule>
  </conditionalFormatting>
  <conditionalFormatting sqref="F5:F60">
    <cfRule type="cellIs" dxfId="1622" priority="1" operator="equal">
      <formula>"Energia"</formula>
    </cfRule>
    <cfRule type="cellIs" dxfId="1621" priority="3" operator="equal">
      <formula>"Operação"</formula>
    </cfRule>
    <cfRule type="cellIs" dxfId="1620" priority="4" operator="equal">
      <formula>"Chuva"</formula>
    </cfRule>
    <cfRule type="cellIs" dxfId="1619" priority="5" operator="equal">
      <formula>"Elétrico"</formula>
    </cfRule>
    <cfRule type="cellIs" dxfId="1618" priority="6" operator="equal">
      <formula>"Mecânico"</formula>
    </cfRule>
    <cfRule type="cellIs" dxfId="1617" priority="7" operator="equal">
      <formula>"Ok"</formula>
    </cfRule>
  </conditionalFormatting>
  <conditionalFormatting sqref="F5:F60">
    <cfRule type="cellIs" dxfId="1616" priority="2" operator="equal">
      <formula>"Feito"</formula>
    </cfRule>
  </conditionalFormatting>
  <dataValidations count="1">
    <dataValidation type="list" allowBlank="1" showInputMessage="1" showErrorMessage="1" sqref="B61:I62 B5:J60" xr:uid="{B8FF1127-3CA7-4422-BD50-C9A778D364AF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B11B-9386-4224-8954-8043BBFE29BA}">
  <sheetPr codeName="Planilha35"/>
  <dimension ref="A3:N62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44466</v>
      </c>
      <c r="C3" s="3">
        <f>B3+1</f>
        <v>44467</v>
      </c>
      <c r="D3" s="3">
        <f t="shared" ref="D3:H3" si="0">C3+1</f>
        <v>44468</v>
      </c>
      <c r="E3" s="3">
        <f t="shared" si="0"/>
        <v>44469</v>
      </c>
      <c r="F3" s="3">
        <f t="shared" si="0"/>
        <v>44470</v>
      </c>
      <c r="G3" s="3">
        <f t="shared" si="0"/>
        <v>44471</v>
      </c>
      <c r="H3" s="3">
        <f t="shared" si="0"/>
        <v>44472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K5" s="5" t="s">
        <v>2</v>
      </c>
      <c r="L5">
        <f t="shared" ref="L5:L10" si="2">COUNTIF($B$5:$I$60,K5)</f>
        <v>152</v>
      </c>
      <c r="M5" s="53">
        <f>L5/$L$11</f>
        <v>0.78350515463917525</v>
      </c>
      <c r="N5" s="52">
        <v>44466</v>
      </c>
    </row>
    <row r="6" spans="1:14" x14ac:dyDescent="0.25">
      <c r="A6" s="4">
        <v>2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K6" s="6" t="s">
        <v>5</v>
      </c>
      <c r="L6">
        <f t="shared" si="2"/>
        <v>4</v>
      </c>
      <c r="M6" s="53">
        <f t="shared" ref="M6:M10" si="3">L6/$L$11</f>
        <v>2.0618556701030927E-2</v>
      </c>
    </row>
    <row r="7" spans="1:14" x14ac:dyDescent="0.25">
      <c r="A7" s="4">
        <v>3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K7" s="7" t="s">
        <v>6</v>
      </c>
      <c r="L7">
        <f t="shared" si="2"/>
        <v>2</v>
      </c>
      <c r="M7" s="53">
        <f t="shared" si="3"/>
        <v>1.0309278350515464E-2</v>
      </c>
    </row>
    <row r="8" spans="1:14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K8" s="8" t="s">
        <v>4</v>
      </c>
      <c r="L8">
        <f t="shared" si="2"/>
        <v>0</v>
      </c>
      <c r="M8" s="53">
        <f t="shared" si="3"/>
        <v>0</v>
      </c>
    </row>
    <row r="9" spans="1:14" x14ac:dyDescent="0.25">
      <c r="A9" s="4">
        <v>5</v>
      </c>
      <c r="K9" s="9" t="s">
        <v>3</v>
      </c>
      <c r="L9">
        <f t="shared" si="2"/>
        <v>0</v>
      </c>
      <c r="M9" s="53">
        <f t="shared" si="3"/>
        <v>0</v>
      </c>
    </row>
    <row r="10" spans="1:14" x14ac:dyDescent="0.25">
      <c r="A10" s="4">
        <v>6</v>
      </c>
      <c r="K10" s="10" t="s">
        <v>7</v>
      </c>
      <c r="L10">
        <f t="shared" si="2"/>
        <v>36</v>
      </c>
      <c r="M10" s="53">
        <f t="shared" si="3"/>
        <v>0.18556701030927836</v>
      </c>
    </row>
    <row r="11" spans="1:14" x14ac:dyDescent="0.25">
      <c r="A11" s="4">
        <v>7</v>
      </c>
      <c r="L11">
        <f>SUM(L5:L10)</f>
        <v>194</v>
      </c>
    </row>
    <row r="12" spans="1:14" x14ac:dyDescent="0.25">
      <c r="A12" s="4">
        <v>8</v>
      </c>
    </row>
    <row r="13" spans="1:14" x14ac:dyDescent="0.25">
      <c r="A13" s="4">
        <v>9</v>
      </c>
    </row>
    <row r="14" spans="1:14" x14ac:dyDescent="0.25">
      <c r="A14" s="4">
        <v>10</v>
      </c>
    </row>
    <row r="15" spans="1:14" x14ac:dyDescent="0.25">
      <c r="A15" s="4">
        <v>11</v>
      </c>
      <c r="B15" t="s">
        <v>5</v>
      </c>
      <c r="D15" t="s">
        <v>2</v>
      </c>
    </row>
    <row r="16" spans="1:14" x14ac:dyDescent="0.25">
      <c r="A16" s="4">
        <v>12</v>
      </c>
      <c r="B16" t="s">
        <v>2</v>
      </c>
      <c r="D16" t="s">
        <v>2</v>
      </c>
      <c r="E16" t="s">
        <v>2</v>
      </c>
      <c r="H16" t="s">
        <v>2</v>
      </c>
    </row>
    <row r="17" spans="1:8" x14ac:dyDescent="0.25">
      <c r="A17" s="4">
        <v>13</v>
      </c>
      <c r="B17" t="s">
        <v>2</v>
      </c>
      <c r="D17" t="s">
        <v>2</v>
      </c>
      <c r="E17" t="s">
        <v>2</v>
      </c>
      <c r="G17" t="s">
        <v>2</v>
      </c>
      <c r="H17" t="s">
        <v>2</v>
      </c>
    </row>
    <row r="18" spans="1:8" x14ac:dyDescent="0.25">
      <c r="A18" s="4">
        <v>14</v>
      </c>
      <c r="C18" t="s">
        <v>7</v>
      </c>
      <c r="D18" t="s">
        <v>2</v>
      </c>
      <c r="F18" t="s">
        <v>2</v>
      </c>
      <c r="G18" t="s">
        <v>2</v>
      </c>
    </row>
    <row r="19" spans="1:8" x14ac:dyDescent="0.25">
      <c r="A19" s="4">
        <v>15</v>
      </c>
      <c r="B19" t="s">
        <v>7</v>
      </c>
      <c r="E19" t="s">
        <v>7</v>
      </c>
    </row>
    <row r="20" spans="1:8" x14ac:dyDescent="0.25">
      <c r="A20" s="4">
        <v>16</v>
      </c>
      <c r="B20" t="s">
        <v>2</v>
      </c>
      <c r="C20" t="s">
        <v>2</v>
      </c>
      <c r="D20" t="s">
        <v>7</v>
      </c>
      <c r="E20" t="s">
        <v>2</v>
      </c>
      <c r="F20" t="s">
        <v>6</v>
      </c>
      <c r="G20" t="s">
        <v>2</v>
      </c>
      <c r="H20" t="s">
        <v>7</v>
      </c>
    </row>
    <row r="21" spans="1:8" x14ac:dyDescent="0.25">
      <c r="A21" s="4">
        <v>17</v>
      </c>
      <c r="B21" t="s">
        <v>2</v>
      </c>
    </row>
    <row r="22" spans="1:8" x14ac:dyDescent="0.25">
      <c r="A22" s="4">
        <v>18</v>
      </c>
      <c r="F22" t="s">
        <v>5</v>
      </c>
    </row>
    <row r="23" spans="1:8" x14ac:dyDescent="0.25">
      <c r="A23" s="4">
        <v>19</v>
      </c>
      <c r="B23" t="s">
        <v>5</v>
      </c>
    </row>
    <row r="24" spans="1:8" x14ac:dyDescent="0.25">
      <c r="A24" s="4">
        <v>20</v>
      </c>
      <c r="C24" t="s">
        <v>2</v>
      </c>
      <c r="H24" t="s">
        <v>7</v>
      </c>
    </row>
    <row r="25" spans="1:8" x14ac:dyDescent="0.25">
      <c r="A25" s="4">
        <v>21</v>
      </c>
      <c r="C25" t="s">
        <v>7</v>
      </c>
      <c r="F25" t="s">
        <v>2</v>
      </c>
    </row>
    <row r="26" spans="1:8" x14ac:dyDescent="0.25">
      <c r="A26" s="4">
        <v>22</v>
      </c>
    </row>
    <row r="27" spans="1:8" x14ac:dyDescent="0.25">
      <c r="A27" s="4">
        <v>23</v>
      </c>
      <c r="C27" t="s">
        <v>7</v>
      </c>
      <c r="E27" t="s">
        <v>7</v>
      </c>
      <c r="G27" t="s">
        <v>2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</row>
    <row r="30" spans="1:8" x14ac:dyDescent="0.25">
      <c r="A30" s="4">
        <v>26</v>
      </c>
      <c r="E30" t="s">
        <v>7</v>
      </c>
      <c r="G30" t="s">
        <v>7</v>
      </c>
      <c r="H30" t="s">
        <v>7</v>
      </c>
    </row>
    <row r="31" spans="1:8" x14ac:dyDescent="0.25">
      <c r="A31" s="4">
        <v>27</v>
      </c>
      <c r="G31" t="s">
        <v>7</v>
      </c>
      <c r="H31" t="s">
        <v>7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</row>
    <row r="34" spans="1:8" x14ac:dyDescent="0.25">
      <c r="A34" s="4">
        <v>30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</row>
    <row r="35" spans="1:8" x14ac:dyDescent="0.25">
      <c r="A35" s="4">
        <v>31</v>
      </c>
      <c r="B35" t="s">
        <v>2</v>
      </c>
      <c r="C35" t="s">
        <v>7</v>
      </c>
      <c r="D35" t="s">
        <v>7</v>
      </c>
      <c r="E35" t="s">
        <v>7</v>
      </c>
      <c r="F35" t="s">
        <v>2</v>
      </c>
      <c r="G35" t="s">
        <v>7</v>
      </c>
    </row>
    <row r="36" spans="1:8" x14ac:dyDescent="0.25">
      <c r="A36" s="4">
        <v>32</v>
      </c>
      <c r="B36" t="s">
        <v>2</v>
      </c>
      <c r="C36" t="s">
        <v>2</v>
      </c>
      <c r="D36" t="s">
        <v>2</v>
      </c>
      <c r="E36" t="s">
        <v>2</v>
      </c>
      <c r="F36" t="s">
        <v>6</v>
      </c>
      <c r="G36" t="s">
        <v>7</v>
      </c>
      <c r="H36" t="s">
        <v>7</v>
      </c>
    </row>
    <row r="37" spans="1:8" x14ac:dyDescent="0.25">
      <c r="A37" s="4">
        <v>33</v>
      </c>
      <c r="B37" t="s">
        <v>7</v>
      </c>
      <c r="C37" t="s">
        <v>7</v>
      </c>
      <c r="D37" t="s">
        <v>2</v>
      </c>
      <c r="E37" t="s">
        <v>2</v>
      </c>
      <c r="F37" t="s">
        <v>2</v>
      </c>
      <c r="G37" t="s">
        <v>7</v>
      </c>
      <c r="H37" t="s">
        <v>7</v>
      </c>
    </row>
    <row r="38" spans="1:8" x14ac:dyDescent="0.25">
      <c r="A38" s="4">
        <v>34</v>
      </c>
      <c r="B38" t="s">
        <v>2</v>
      </c>
      <c r="C38" t="s">
        <v>5</v>
      </c>
      <c r="E38" t="s">
        <v>2</v>
      </c>
      <c r="F38" t="s">
        <v>2</v>
      </c>
      <c r="H38" t="s">
        <v>2</v>
      </c>
    </row>
    <row r="39" spans="1:8" x14ac:dyDescent="0.25">
      <c r="A39" s="4">
        <v>35</v>
      </c>
    </row>
    <row r="40" spans="1:8" x14ac:dyDescent="0.25">
      <c r="A40" s="4">
        <v>36</v>
      </c>
    </row>
    <row r="41" spans="1:8" x14ac:dyDescent="0.25">
      <c r="A41" s="4">
        <v>37</v>
      </c>
    </row>
    <row r="42" spans="1:8" x14ac:dyDescent="0.25">
      <c r="A42" s="4">
        <v>38</v>
      </c>
    </row>
    <row r="43" spans="1:8" x14ac:dyDescent="0.25">
      <c r="A43" s="4">
        <v>39</v>
      </c>
      <c r="B43" t="s">
        <v>7</v>
      </c>
      <c r="D43" t="s">
        <v>2</v>
      </c>
      <c r="E43" t="s">
        <v>2</v>
      </c>
      <c r="F43" t="s">
        <v>2</v>
      </c>
      <c r="G43" t="s">
        <v>2</v>
      </c>
    </row>
    <row r="44" spans="1:8" x14ac:dyDescent="0.25">
      <c r="A44" s="4">
        <v>40</v>
      </c>
      <c r="B44" t="s">
        <v>2</v>
      </c>
      <c r="C44" t="s">
        <v>2</v>
      </c>
      <c r="D44" t="s">
        <v>2</v>
      </c>
    </row>
    <row r="45" spans="1:8" x14ac:dyDescent="0.25">
      <c r="A45" s="4">
        <v>41</v>
      </c>
      <c r="B45" t="s">
        <v>7</v>
      </c>
      <c r="G45" t="s">
        <v>2</v>
      </c>
      <c r="H45" t="s">
        <v>7</v>
      </c>
    </row>
    <row r="46" spans="1:8" x14ac:dyDescent="0.25">
      <c r="A46" s="4">
        <v>42</v>
      </c>
      <c r="B46" t="s">
        <v>2</v>
      </c>
      <c r="C46" t="s">
        <v>2</v>
      </c>
      <c r="G46" t="s">
        <v>2</v>
      </c>
      <c r="H46" t="s">
        <v>2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  <c r="B49" t="s">
        <v>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</row>
    <row r="50" spans="1:8" x14ac:dyDescent="0.25">
      <c r="A50" s="4">
        <v>46</v>
      </c>
      <c r="B50" t="s">
        <v>7</v>
      </c>
      <c r="C50" t="s">
        <v>7</v>
      </c>
      <c r="D50" t="s">
        <v>7</v>
      </c>
      <c r="E50" t="s">
        <v>7</v>
      </c>
      <c r="F50" t="s">
        <v>7</v>
      </c>
      <c r="G50" t="s">
        <v>2</v>
      </c>
      <c r="H50" t="s">
        <v>2</v>
      </c>
    </row>
    <row r="51" spans="1:8" x14ac:dyDescent="0.25">
      <c r="A51" s="4">
        <v>47</v>
      </c>
      <c r="B51" t="s">
        <v>2</v>
      </c>
      <c r="C51" t="s">
        <v>2</v>
      </c>
      <c r="D51" t="s">
        <v>2</v>
      </c>
      <c r="E51" t="s">
        <v>2</v>
      </c>
      <c r="F51" t="s">
        <v>7</v>
      </c>
      <c r="G51" t="s">
        <v>7</v>
      </c>
      <c r="H51" t="s">
        <v>2</v>
      </c>
    </row>
    <row r="52" spans="1:8" x14ac:dyDescent="0.25">
      <c r="A52" s="4">
        <v>48</v>
      </c>
      <c r="B52" t="s">
        <v>2</v>
      </c>
      <c r="D52" t="s">
        <v>2</v>
      </c>
      <c r="E52" t="s">
        <v>2</v>
      </c>
      <c r="G52" t="s">
        <v>2</v>
      </c>
      <c r="H52" t="s">
        <v>2</v>
      </c>
    </row>
    <row r="53" spans="1:8" x14ac:dyDescent="0.25">
      <c r="A53" s="4">
        <v>49</v>
      </c>
      <c r="C53" t="s">
        <v>7</v>
      </c>
      <c r="D53" t="s">
        <v>2</v>
      </c>
      <c r="E53" t="s">
        <v>2</v>
      </c>
      <c r="G53" t="s">
        <v>2</v>
      </c>
      <c r="H53" t="s">
        <v>2</v>
      </c>
    </row>
    <row r="54" spans="1:8" x14ac:dyDescent="0.25">
      <c r="A54" s="4">
        <v>50</v>
      </c>
      <c r="B54" t="s">
        <v>2</v>
      </c>
      <c r="D54" t="s">
        <v>2</v>
      </c>
      <c r="E54" t="s">
        <v>2</v>
      </c>
      <c r="G54" t="s">
        <v>2</v>
      </c>
      <c r="H54" t="s">
        <v>2</v>
      </c>
    </row>
    <row r="55" spans="1:8" x14ac:dyDescent="0.25">
      <c r="A55" s="4">
        <v>51</v>
      </c>
      <c r="B55" t="s">
        <v>2</v>
      </c>
      <c r="C55" t="s">
        <v>2</v>
      </c>
      <c r="D55" t="s">
        <v>2</v>
      </c>
      <c r="F55" t="s">
        <v>2</v>
      </c>
      <c r="H55" t="s">
        <v>2</v>
      </c>
    </row>
    <row r="56" spans="1:8" x14ac:dyDescent="0.25">
      <c r="A56" s="4">
        <v>52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</row>
    <row r="57" spans="1:8" x14ac:dyDescent="0.25">
      <c r="A57" s="4">
        <v>53</v>
      </c>
    </row>
    <row r="58" spans="1:8" x14ac:dyDescent="0.25">
      <c r="A58" s="4">
        <v>54</v>
      </c>
      <c r="C58" t="s">
        <v>2</v>
      </c>
      <c r="D58" t="s">
        <v>2</v>
      </c>
      <c r="E58" t="s">
        <v>2</v>
      </c>
      <c r="F58" t="s">
        <v>2</v>
      </c>
      <c r="H58" t="s">
        <v>2</v>
      </c>
    </row>
    <row r="59" spans="1:8" x14ac:dyDescent="0.25">
      <c r="A59" s="4">
        <v>55</v>
      </c>
      <c r="B59" t="s">
        <v>2</v>
      </c>
      <c r="C59" t="s">
        <v>2</v>
      </c>
      <c r="D59" t="s">
        <v>2</v>
      </c>
      <c r="E59" t="s">
        <v>7</v>
      </c>
      <c r="F59" t="s">
        <v>2</v>
      </c>
      <c r="G59" t="s">
        <v>2</v>
      </c>
      <c r="H59" t="s">
        <v>2</v>
      </c>
    </row>
    <row r="60" spans="1:8" x14ac:dyDescent="0.25">
      <c r="A60" s="4">
        <v>56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H60" t="s">
        <v>2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B61:I62 I5:I60">
    <cfRule type="cellIs" dxfId="1615" priority="34" operator="equal">
      <formula>"Energia"</formula>
    </cfRule>
    <cfRule type="cellIs" dxfId="1614" priority="36" operator="equal">
      <formula>"Operação"</formula>
    </cfRule>
    <cfRule type="cellIs" dxfId="1613" priority="37" operator="equal">
      <formula>"Chuva"</formula>
    </cfRule>
    <cfRule type="cellIs" dxfId="1612" priority="38" operator="equal">
      <formula>"Elétrico"</formula>
    </cfRule>
    <cfRule type="cellIs" dxfId="1611" priority="39" operator="equal">
      <formula>"Mecânico"</formula>
    </cfRule>
    <cfRule type="cellIs" dxfId="1610" priority="40" operator="equal">
      <formula>"Ok"</formula>
    </cfRule>
  </conditionalFormatting>
  <conditionalFormatting sqref="B61:I62 I5:I60">
    <cfRule type="cellIs" dxfId="1609" priority="35" operator="equal">
      <formula>"Feito"</formula>
    </cfRule>
  </conditionalFormatting>
  <conditionalFormatting sqref="K7">
    <cfRule type="iconSet" priority="33">
      <iconSet iconSet="3Arrows">
        <cfvo type="percent" val="0"/>
        <cfvo type="percent" val="33"/>
        <cfvo type="percent" val="67"/>
      </iconSet>
    </cfRule>
  </conditionalFormatting>
  <conditionalFormatting sqref="B5:E11 G5:G11">
    <cfRule type="cellIs" dxfId="1608" priority="16" operator="equal">
      <formula>"Energia"</formula>
    </cfRule>
  </conditionalFormatting>
  <conditionalFormatting sqref="B5:E60 G5:H60">
    <cfRule type="cellIs" dxfId="1607" priority="9" operator="equal">
      <formula>"Energia"</formula>
    </cfRule>
    <cfRule type="cellIs" dxfId="1606" priority="11" operator="equal">
      <formula>"Operação"</formula>
    </cfRule>
    <cfRule type="cellIs" dxfId="1605" priority="12" operator="equal">
      <formula>"Chuva"</formula>
    </cfRule>
    <cfRule type="cellIs" dxfId="1604" priority="13" operator="equal">
      <formula>"Elétrico"</formula>
    </cfRule>
    <cfRule type="cellIs" dxfId="1603" priority="14" operator="equal">
      <formula>"Mecânico"</formula>
    </cfRule>
    <cfRule type="cellIs" dxfId="1602" priority="15" operator="equal">
      <formula>"Ok"</formula>
    </cfRule>
  </conditionalFormatting>
  <conditionalFormatting sqref="B5:E60 G5:H60">
    <cfRule type="cellIs" dxfId="1601" priority="10" operator="equal">
      <formula>"Feito"</formula>
    </cfRule>
  </conditionalFormatting>
  <conditionalFormatting sqref="F5:F11">
    <cfRule type="cellIs" dxfId="1600" priority="8" operator="equal">
      <formula>"Energia"</formula>
    </cfRule>
  </conditionalFormatting>
  <conditionalFormatting sqref="F5:F60">
    <cfRule type="cellIs" dxfId="1599" priority="1" operator="equal">
      <formula>"Energia"</formula>
    </cfRule>
    <cfRule type="cellIs" dxfId="1598" priority="3" operator="equal">
      <formula>"Operação"</formula>
    </cfRule>
    <cfRule type="cellIs" dxfId="1597" priority="4" operator="equal">
      <formula>"Chuva"</formula>
    </cfRule>
    <cfRule type="cellIs" dxfId="1596" priority="5" operator="equal">
      <formula>"Elétrico"</formula>
    </cfRule>
    <cfRule type="cellIs" dxfId="1595" priority="6" operator="equal">
      <formula>"Mecânico"</formula>
    </cfRule>
    <cfRule type="cellIs" dxfId="1594" priority="7" operator="equal">
      <formula>"Ok"</formula>
    </cfRule>
  </conditionalFormatting>
  <conditionalFormatting sqref="F5:F60">
    <cfRule type="cellIs" dxfId="1593" priority="2" operator="equal">
      <formula>"Feito"</formula>
    </cfRule>
  </conditionalFormatting>
  <dataValidations count="1">
    <dataValidation type="list" allowBlank="1" showInputMessage="1" showErrorMessage="1" sqref="B61:I62 B5:J60" xr:uid="{66C8FBBE-AB98-444A-905D-F5FF11458197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E237-6F86-4A0D-AA6A-EC38463DCF88}">
  <sheetPr codeName="Planilha36"/>
  <dimension ref="A3:N62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44473</v>
      </c>
      <c r="C3" s="3">
        <f>B3+1</f>
        <v>44474</v>
      </c>
      <c r="D3" s="3">
        <f t="shared" ref="D3:H3" si="0">C3+1</f>
        <v>44475</v>
      </c>
      <c r="E3" s="3">
        <f t="shared" si="0"/>
        <v>44476</v>
      </c>
      <c r="F3" s="3">
        <f t="shared" si="0"/>
        <v>44477</v>
      </c>
      <c r="G3" s="3">
        <f t="shared" si="0"/>
        <v>44478</v>
      </c>
      <c r="H3" s="3">
        <f t="shared" si="0"/>
        <v>44479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K5" s="5" t="s">
        <v>2</v>
      </c>
      <c r="L5">
        <f t="shared" ref="L5:L10" si="2">COUNTIF($B$5:$I$60,K5)</f>
        <v>170</v>
      </c>
      <c r="M5" s="53">
        <f>L5/$L$11</f>
        <v>0.87179487179487181</v>
      </c>
      <c r="N5" s="52">
        <v>44473</v>
      </c>
    </row>
    <row r="6" spans="1:14" x14ac:dyDescent="0.25">
      <c r="A6" s="4">
        <v>2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K6" s="6" t="s">
        <v>5</v>
      </c>
      <c r="L6">
        <f t="shared" si="2"/>
        <v>4</v>
      </c>
      <c r="M6" s="53">
        <f t="shared" ref="M6:M10" si="3">L6/$L$11</f>
        <v>2.0512820512820513E-2</v>
      </c>
    </row>
    <row r="7" spans="1:14" x14ac:dyDescent="0.25">
      <c r="A7" s="4">
        <v>3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K7" s="7" t="s">
        <v>6</v>
      </c>
      <c r="L7">
        <f t="shared" si="2"/>
        <v>0</v>
      </c>
      <c r="M7" s="53">
        <f t="shared" si="3"/>
        <v>0</v>
      </c>
    </row>
    <row r="8" spans="1:14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K8" s="8" t="s">
        <v>4</v>
      </c>
      <c r="L8">
        <f t="shared" si="2"/>
        <v>0</v>
      </c>
      <c r="M8" s="53">
        <f t="shared" si="3"/>
        <v>0</v>
      </c>
    </row>
    <row r="9" spans="1:14" x14ac:dyDescent="0.25">
      <c r="A9" s="4">
        <v>5</v>
      </c>
      <c r="K9" s="9" t="s">
        <v>3</v>
      </c>
      <c r="L9">
        <f t="shared" si="2"/>
        <v>0</v>
      </c>
      <c r="M9" s="53">
        <f t="shared" si="3"/>
        <v>0</v>
      </c>
    </row>
    <row r="10" spans="1:14" x14ac:dyDescent="0.25">
      <c r="A10" s="4">
        <v>6</v>
      </c>
      <c r="K10" s="10" t="s">
        <v>7</v>
      </c>
      <c r="L10">
        <f t="shared" si="2"/>
        <v>21</v>
      </c>
      <c r="M10" s="53">
        <f t="shared" si="3"/>
        <v>0.1076923076923077</v>
      </c>
    </row>
    <row r="11" spans="1:14" x14ac:dyDescent="0.25">
      <c r="A11" s="4">
        <v>7</v>
      </c>
      <c r="L11">
        <f>SUM(L5:L10)</f>
        <v>195</v>
      </c>
    </row>
    <row r="12" spans="1:14" x14ac:dyDescent="0.25">
      <c r="A12" s="4">
        <v>8</v>
      </c>
    </row>
    <row r="13" spans="1:14" x14ac:dyDescent="0.25">
      <c r="A13" s="4">
        <v>9</v>
      </c>
    </row>
    <row r="14" spans="1:14" x14ac:dyDescent="0.25">
      <c r="A14" s="4">
        <v>10</v>
      </c>
    </row>
    <row r="15" spans="1:14" x14ac:dyDescent="0.25">
      <c r="A15" s="4">
        <v>11</v>
      </c>
    </row>
    <row r="16" spans="1:14" x14ac:dyDescent="0.25">
      <c r="A16" s="4">
        <v>12</v>
      </c>
      <c r="B16" t="s">
        <v>2</v>
      </c>
      <c r="D16" t="s">
        <v>2</v>
      </c>
      <c r="F16" t="s">
        <v>2</v>
      </c>
    </row>
    <row r="17" spans="1:8" x14ac:dyDescent="0.25">
      <c r="A17" s="4">
        <v>13</v>
      </c>
      <c r="C17" t="s">
        <v>5</v>
      </c>
      <c r="D17" t="s">
        <v>5</v>
      </c>
      <c r="E17" t="s">
        <v>7</v>
      </c>
      <c r="F17" t="s">
        <v>2</v>
      </c>
      <c r="G17" t="s">
        <v>2</v>
      </c>
      <c r="H17" t="s">
        <v>2</v>
      </c>
    </row>
    <row r="18" spans="1:8" x14ac:dyDescent="0.25">
      <c r="A18" s="4">
        <v>14</v>
      </c>
      <c r="B18" t="s">
        <v>2</v>
      </c>
      <c r="F18" t="s">
        <v>2</v>
      </c>
      <c r="H18" t="s">
        <v>2</v>
      </c>
    </row>
    <row r="19" spans="1:8" x14ac:dyDescent="0.25">
      <c r="A19" s="4">
        <v>15</v>
      </c>
      <c r="B19" t="s">
        <v>7</v>
      </c>
      <c r="C19" t="s">
        <v>7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</row>
    <row r="20" spans="1:8" x14ac:dyDescent="0.25">
      <c r="A20" s="4">
        <v>16</v>
      </c>
      <c r="B20" t="s">
        <v>7</v>
      </c>
      <c r="C20" t="s">
        <v>7</v>
      </c>
    </row>
    <row r="21" spans="1:8" x14ac:dyDescent="0.25">
      <c r="A21" s="4">
        <v>17</v>
      </c>
      <c r="D21" t="s">
        <v>2</v>
      </c>
      <c r="E21" t="s">
        <v>7</v>
      </c>
      <c r="F21" t="s">
        <v>2</v>
      </c>
      <c r="G21" t="s">
        <v>2</v>
      </c>
      <c r="H21" t="s">
        <v>2</v>
      </c>
    </row>
    <row r="22" spans="1:8" x14ac:dyDescent="0.25">
      <c r="A22" s="4">
        <v>18</v>
      </c>
      <c r="F22" t="s">
        <v>7</v>
      </c>
      <c r="G22" t="s">
        <v>7</v>
      </c>
      <c r="H22" t="s">
        <v>2</v>
      </c>
    </row>
    <row r="23" spans="1:8" x14ac:dyDescent="0.25">
      <c r="A23" s="4">
        <v>19</v>
      </c>
    </row>
    <row r="24" spans="1:8" x14ac:dyDescent="0.25">
      <c r="A24" s="4">
        <v>20</v>
      </c>
      <c r="B24" t="s">
        <v>7</v>
      </c>
      <c r="E24" t="s">
        <v>2</v>
      </c>
      <c r="F24" t="s">
        <v>2</v>
      </c>
      <c r="H24" t="s">
        <v>2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  <c r="D27" t="s">
        <v>2</v>
      </c>
      <c r="G27" t="s">
        <v>2</v>
      </c>
      <c r="H27" t="s">
        <v>2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</row>
    <row r="30" spans="1:8" x14ac:dyDescent="0.25">
      <c r="A30" s="4">
        <v>26</v>
      </c>
      <c r="F30" t="s">
        <v>2</v>
      </c>
      <c r="H30" t="s">
        <v>2</v>
      </c>
    </row>
    <row r="31" spans="1:8" x14ac:dyDescent="0.25">
      <c r="A31" s="4">
        <v>27</v>
      </c>
      <c r="D31" t="s">
        <v>2</v>
      </c>
      <c r="F31" t="s">
        <v>7</v>
      </c>
      <c r="H31" t="s">
        <v>2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</row>
    <row r="34" spans="1:8" x14ac:dyDescent="0.25">
      <c r="A34" s="4">
        <v>30</v>
      </c>
      <c r="C34" t="s">
        <v>2</v>
      </c>
    </row>
    <row r="35" spans="1:8" x14ac:dyDescent="0.25">
      <c r="A35" s="4">
        <v>31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</row>
    <row r="36" spans="1:8" x14ac:dyDescent="0.25">
      <c r="A36" s="4">
        <v>32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7</v>
      </c>
      <c r="H36" t="s">
        <v>2</v>
      </c>
    </row>
    <row r="37" spans="1:8" x14ac:dyDescent="0.25">
      <c r="A37" s="4">
        <v>33</v>
      </c>
      <c r="B37" t="s">
        <v>7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  <c r="H37" t="s">
        <v>2</v>
      </c>
    </row>
    <row r="38" spans="1:8" x14ac:dyDescent="0.25">
      <c r="A38" s="4">
        <v>34</v>
      </c>
      <c r="B38" t="s">
        <v>2</v>
      </c>
      <c r="C38" t="s">
        <v>2</v>
      </c>
      <c r="D38" t="s">
        <v>2</v>
      </c>
      <c r="E38" t="s">
        <v>2</v>
      </c>
      <c r="G38" t="s">
        <v>2</v>
      </c>
      <c r="H38" t="s">
        <v>2</v>
      </c>
    </row>
    <row r="39" spans="1:8" x14ac:dyDescent="0.25">
      <c r="A39" s="4">
        <v>35</v>
      </c>
    </row>
    <row r="40" spans="1:8" x14ac:dyDescent="0.25">
      <c r="A40" s="4">
        <v>36</v>
      </c>
    </row>
    <row r="41" spans="1:8" x14ac:dyDescent="0.25">
      <c r="A41" s="4">
        <v>37</v>
      </c>
    </row>
    <row r="42" spans="1:8" x14ac:dyDescent="0.25">
      <c r="A42" s="4">
        <v>38</v>
      </c>
      <c r="D42" t="s">
        <v>7</v>
      </c>
      <c r="E42" t="s">
        <v>2</v>
      </c>
      <c r="G42" t="s">
        <v>2</v>
      </c>
      <c r="H42" t="s">
        <v>2</v>
      </c>
    </row>
    <row r="43" spans="1:8" x14ac:dyDescent="0.25">
      <c r="A43" s="4">
        <v>39</v>
      </c>
      <c r="D43" t="s">
        <v>2</v>
      </c>
      <c r="E43" t="s">
        <v>2</v>
      </c>
      <c r="F43" t="s">
        <v>7</v>
      </c>
      <c r="G43" t="s">
        <v>2</v>
      </c>
      <c r="H43" t="s">
        <v>2</v>
      </c>
    </row>
    <row r="44" spans="1:8" x14ac:dyDescent="0.25">
      <c r="A44" s="4">
        <v>40</v>
      </c>
      <c r="C44" t="s">
        <v>7</v>
      </c>
      <c r="D44" t="s">
        <v>2</v>
      </c>
    </row>
    <row r="45" spans="1:8" x14ac:dyDescent="0.25">
      <c r="A45" s="4">
        <v>41</v>
      </c>
      <c r="B45" t="s">
        <v>2</v>
      </c>
      <c r="C45" t="s">
        <v>7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</row>
    <row r="46" spans="1:8" x14ac:dyDescent="0.25">
      <c r="A46" s="4">
        <v>42</v>
      </c>
      <c r="B46" t="s">
        <v>2</v>
      </c>
      <c r="C46" t="s">
        <v>7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  <c r="B49" t="s">
        <v>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</row>
    <row r="50" spans="1:8" x14ac:dyDescent="0.25">
      <c r="A50" s="4">
        <v>46</v>
      </c>
      <c r="B50" t="s">
        <v>2</v>
      </c>
      <c r="C50" t="s">
        <v>2</v>
      </c>
      <c r="E50" t="s">
        <v>2</v>
      </c>
      <c r="F50" t="s">
        <v>2</v>
      </c>
      <c r="G50" t="s">
        <v>7</v>
      </c>
      <c r="H50" t="s">
        <v>2</v>
      </c>
    </row>
    <row r="51" spans="1:8" x14ac:dyDescent="0.25">
      <c r="A51" s="4">
        <v>47</v>
      </c>
      <c r="C51" t="s">
        <v>5</v>
      </c>
      <c r="D51" t="s">
        <v>5</v>
      </c>
      <c r="E51" t="s">
        <v>2</v>
      </c>
      <c r="F51" t="s">
        <v>2</v>
      </c>
      <c r="G51" t="s">
        <v>2</v>
      </c>
    </row>
    <row r="52" spans="1:8" x14ac:dyDescent="0.25">
      <c r="A52" s="4">
        <v>48</v>
      </c>
      <c r="C52" t="s">
        <v>2</v>
      </c>
      <c r="D52" t="s">
        <v>2</v>
      </c>
      <c r="F52" t="s">
        <v>7</v>
      </c>
      <c r="G52" t="s">
        <v>7</v>
      </c>
    </row>
    <row r="53" spans="1:8" x14ac:dyDescent="0.25">
      <c r="A53" s="4">
        <v>49</v>
      </c>
      <c r="C53" t="s">
        <v>2</v>
      </c>
      <c r="D53" t="s">
        <v>2</v>
      </c>
      <c r="F53" t="s">
        <v>2</v>
      </c>
      <c r="G53" t="s">
        <v>2</v>
      </c>
    </row>
    <row r="54" spans="1:8" x14ac:dyDescent="0.25">
      <c r="A54" s="4">
        <v>50</v>
      </c>
      <c r="B54" t="s">
        <v>2</v>
      </c>
      <c r="C54" t="s">
        <v>2</v>
      </c>
      <c r="F54" t="s">
        <v>7</v>
      </c>
    </row>
    <row r="55" spans="1:8" x14ac:dyDescent="0.25">
      <c r="A55" s="4">
        <v>51</v>
      </c>
      <c r="B55" t="s">
        <v>2</v>
      </c>
      <c r="C55" t="s">
        <v>2</v>
      </c>
      <c r="E55" t="s">
        <v>2</v>
      </c>
      <c r="G55" t="s">
        <v>2</v>
      </c>
      <c r="H55" t="s">
        <v>2</v>
      </c>
    </row>
    <row r="56" spans="1:8" x14ac:dyDescent="0.25">
      <c r="A56" s="4">
        <v>52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</row>
    <row r="57" spans="1:8" x14ac:dyDescent="0.25">
      <c r="A57" s="4">
        <v>53</v>
      </c>
    </row>
    <row r="58" spans="1:8" x14ac:dyDescent="0.25">
      <c r="A58" s="4">
        <v>54</v>
      </c>
      <c r="B58" t="s">
        <v>2</v>
      </c>
      <c r="C58" t="s">
        <v>2</v>
      </c>
      <c r="E58" t="s">
        <v>2</v>
      </c>
      <c r="F58" t="s">
        <v>2</v>
      </c>
      <c r="G58" t="s">
        <v>2</v>
      </c>
      <c r="H58" t="s">
        <v>2</v>
      </c>
    </row>
    <row r="59" spans="1:8" x14ac:dyDescent="0.25">
      <c r="A59" s="4">
        <v>55</v>
      </c>
      <c r="B59" t="s">
        <v>2</v>
      </c>
      <c r="C59" t="s">
        <v>2</v>
      </c>
      <c r="D59" t="s">
        <v>2</v>
      </c>
      <c r="E59" t="s">
        <v>2</v>
      </c>
      <c r="F59" t="s">
        <v>2</v>
      </c>
      <c r="H59" t="s">
        <v>2</v>
      </c>
    </row>
    <row r="60" spans="1:8" x14ac:dyDescent="0.25">
      <c r="A60" s="4">
        <v>56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B61:I62 I5:I60">
    <cfRule type="cellIs" dxfId="1592" priority="18" operator="equal">
      <formula>"Energia"</formula>
    </cfRule>
    <cfRule type="cellIs" dxfId="1591" priority="20" operator="equal">
      <formula>"Operação"</formula>
    </cfRule>
    <cfRule type="cellIs" dxfId="1590" priority="21" operator="equal">
      <formula>"Chuva"</formula>
    </cfRule>
    <cfRule type="cellIs" dxfId="1589" priority="22" operator="equal">
      <formula>"Elétrico"</formula>
    </cfRule>
    <cfRule type="cellIs" dxfId="1588" priority="23" operator="equal">
      <formula>"Mecânico"</formula>
    </cfRule>
    <cfRule type="cellIs" dxfId="1587" priority="24" operator="equal">
      <formula>"Ok"</formula>
    </cfRule>
  </conditionalFormatting>
  <conditionalFormatting sqref="B61:I62 I5:I60">
    <cfRule type="cellIs" dxfId="1586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11">
    <cfRule type="cellIs" dxfId="1585" priority="16" operator="equal">
      <formula>"Energia"</formula>
    </cfRule>
  </conditionalFormatting>
  <conditionalFormatting sqref="B5:E60 G5:H60">
    <cfRule type="cellIs" dxfId="1584" priority="9" operator="equal">
      <formula>"Energia"</formula>
    </cfRule>
    <cfRule type="cellIs" dxfId="1583" priority="11" operator="equal">
      <formula>"Operação"</formula>
    </cfRule>
    <cfRule type="cellIs" dxfId="1582" priority="12" operator="equal">
      <formula>"Chuva"</formula>
    </cfRule>
    <cfRule type="cellIs" dxfId="1581" priority="13" operator="equal">
      <formula>"Elétrico"</formula>
    </cfRule>
    <cfRule type="cellIs" dxfId="1580" priority="14" operator="equal">
      <formula>"Mecânico"</formula>
    </cfRule>
    <cfRule type="cellIs" dxfId="1579" priority="15" operator="equal">
      <formula>"Ok"</formula>
    </cfRule>
  </conditionalFormatting>
  <conditionalFormatting sqref="B5:E60 G5:H60">
    <cfRule type="cellIs" dxfId="1578" priority="10" operator="equal">
      <formula>"Feito"</formula>
    </cfRule>
  </conditionalFormatting>
  <conditionalFormatting sqref="F5:F11">
    <cfRule type="cellIs" dxfId="1577" priority="8" operator="equal">
      <formula>"Energia"</formula>
    </cfRule>
  </conditionalFormatting>
  <conditionalFormatting sqref="F5:F60">
    <cfRule type="cellIs" dxfId="1576" priority="1" operator="equal">
      <formula>"Energia"</formula>
    </cfRule>
    <cfRule type="cellIs" dxfId="1575" priority="3" operator="equal">
      <formula>"Operação"</formula>
    </cfRule>
    <cfRule type="cellIs" dxfId="1574" priority="4" operator="equal">
      <formula>"Chuva"</formula>
    </cfRule>
    <cfRule type="cellIs" dxfId="1573" priority="5" operator="equal">
      <formula>"Elétrico"</formula>
    </cfRule>
    <cfRule type="cellIs" dxfId="1572" priority="6" operator="equal">
      <formula>"Mecânico"</formula>
    </cfRule>
    <cfRule type="cellIs" dxfId="1571" priority="7" operator="equal">
      <formula>"Ok"</formula>
    </cfRule>
  </conditionalFormatting>
  <conditionalFormatting sqref="F5:F60">
    <cfRule type="cellIs" dxfId="1570" priority="2" operator="equal">
      <formula>"Feito"</formula>
    </cfRule>
  </conditionalFormatting>
  <dataValidations count="1">
    <dataValidation type="list" allowBlank="1" showInputMessage="1" showErrorMessage="1" sqref="B61:I62 B5:J60" xr:uid="{A303FD93-8DFC-4D15-9787-CC76DE9B46F6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89A0-3104-4DEB-BFBA-AF15332BA504}">
  <sheetPr codeName="Planilha37"/>
  <dimension ref="A3:N62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44480</v>
      </c>
      <c r="C3" s="3">
        <f>B3+1</f>
        <v>44481</v>
      </c>
      <c r="D3" s="3">
        <f t="shared" ref="D3:H3" si="0">C3+1</f>
        <v>44482</v>
      </c>
      <c r="E3" s="3">
        <f t="shared" si="0"/>
        <v>44483</v>
      </c>
      <c r="F3" s="3">
        <f t="shared" si="0"/>
        <v>44484</v>
      </c>
      <c r="G3" s="3">
        <f t="shared" si="0"/>
        <v>44485</v>
      </c>
      <c r="H3" s="3">
        <f t="shared" si="0"/>
        <v>44486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B5" t="s">
        <v>3</v>
      </c>
      <c r="C5" t="s">
        <v>3</v>
      </c>
      <c r="H5" t="s">
        <v>2</v>
      </c>
      <c r="K5" s="5" t="s">
        <v>2</v>
      </c>
      <c r="L5">
        <f t="shared" ref="L5:L10" si="2">COUNTIF($B$5:$I$60,K5)</f>
        <v>20</v>
      </c>
      <c r="M5" s="53">
        <f>L5/$L$11</f>
        <v>0.30769230769230771</v>
      </c>
      <c r="N5" s="52">
        <v>44480</v>
      </c>
    </row>
    <row r="6" spans="1:14" x14ac:dyDescent="0.25">
      <c r="A6" s="4">
        <v>2</v>
      </c>
      <c r="B6" t="s">
        <v>3</v>
      </c>
      <c r="C6" t="s">
        <v>2</v>
      </c>
      <c r="H6" t="s">
        <v>2</v>
      </c>
      <c r="K6" s="6" t="s">
        <v>5</v>
      </c>
      <c r="L6">
        <f t="shared" si="2"/>
        <v>2</v>
      </c>
      <c r="M6" s="53">
        <f t="shared" ref="M6:M10" si="3">L6/$L$11</f>
        <v>3.0769230769230771E-2</v>
      </c>
    </row>
    <row r="7" spans="1:14" x14ac:dyDescent="0.25">
      <c r="A7" s="4">
        <v>3</v>
      </c>
      <c r="B7" t="s">
        <v>3</v>
      </c>
      <c r="C7" t="s">
        <v>2</v>
      </c>
      <c r="H7" t="s">
        <v>2</v>
      </c>
      <c r="K7" s="7" t="s">
        <v>6</v>
      </c>
      <c r="L7">
        <f t="shared" si="2"/>
        <v>0</v>
      </c>
      <c r="M7" s="53">
        <f t="shared" si="3"/>
        <v>0</v>
      </c>
    </row>
    <row r="8" spans="1:14" x14ac:dyDescent="0.25">
      <c r="A8" s="4">
        <v>4</v>
      </c>
      <c r="B8" t="s">
        <v>3</v>
      </c>
      <c r="C8" t="s">
        <v>2</v>
      </c>
      <c r="H8" t="s">
        <v>2</v>
      </c>
      <c r="K8" s="8" t="s">
        <v>4</v>
      </c>
      <c r="L8">
        <f t="shared" si="2"/>
        <v>2</v>
      </c>
      <c r="M8" s="53">
        <f t="shared" si="3"/>
        <v>3.0769230769230771E-2</v>
      </c>
    </row>
    <row r="9" spans="1:14" x14ac:dyDescent="0.25">
      <c r="A9" s="4">
        <v>5</v>
      </c>
      <c r="K9" s="9" t="s">
        <v>3</v>
      </c>
      <c r="L9">
        <f t="shared" si="2"/>
        <v>40</v>
      </c>
      <c r="M9" s="53">
        <f t="shared" si="3"/>
        <v>0.61538461538461542</v>
      </c>
    </row>
    <row r="10" spans="1:14" x14ac:dyDescent="0.25">
      <c r="A10" s="4">
        <v>6</v>
      </c>
      <c r="K10" s="10" t="s">
        <v>7</v>
      </c>
      <c r="L10">
        <f t="shared" si="2"/>
        <v>1</v>
      </c>
      <c r="M10" s="53">
        <f t="shared" si="3"/>
        <v>1.5384615384615385E-2</v>
      </c>
    </row>
    <row r="11" spans="1:14" x14ac:dyDescent="0.25">
      <c r="A11" s="4">
        <v>7</v>
      </c>
      <c r="L11">
        <f>SUM(L5:L10)</f>
        <v>65</v>
      </c>
    </row>
    <row r="12" spans="1:14" x14ac:dyDescent="0.25">
      <c r="A12" s="4">
        <v>8</v>
      </c>
    </row>
    <row r="13" spans="1:14" x14ac:dyDescent="0.25">
      <c r="A13" s="4">
        <v>9</v>
      </c>
    </row>
    <row r="14" spans="1:14" x14ac:dyDescent="0.25">
      <c r="A14" s="4">
        <v>10</v>
      </c>
    </row>
    <row r="15" spans="1:14" x14ac:dyDescent="0.25">
      <c r="A15" s="4">
        <v>11</v>
      </c>
    </row>
    <row r="16" spans="1:14" x14ac:dyDescent="0.25">
      <c r="A16" s="4">
        <v>12</v>
      </c>
    </row>
    <row r="17" spans="1:8" x14ac:dyDescent="0.25">
      <c r="A17" s="4">
        <v>13</v>
      </c>
      <c r="B17" t="s">
        <v>3</v>
      </c>
    </row>
    <row r="18" spans="1:8" x14ac:dyDescent="0.25">
      <c r="A18" s="4">
        <v>14</v>
      </c>
      <c r="B18" t="s">
        <v>3</v>
      </c>
    </row>
    <row r="19" spans="1:8" x14ac:dyDescent="0.25">
      <c r="A19" s="4">
        <v>15</v>
      </c>
      <c r="B19" t="s">
        <v>3</v>
      </c>
      <c r="C19" t="s">
        <v>2</v>
      </c>
    </row>
    <row r="20" spans="1:8" x14ac:dyDescent="0.25">
      <c r="A20" s="4">
        <v>16</v>
      </c>
      <c r="H20" t="s">
        <v>2</v>
      </c>
    </row>
    <row r="21" spans="1:8" x14ac:dyDescent="0.25">
      <c r="A21" s="4">
        <v>17</v>
      </c>
      <c r="B21" t="s">
        <v>3</v>
      </c>
      <c r="C21" t="s">
        <v>2</v>
      </c>
      <c r="H21" t="s">
        <v>2</v>
      </c>
    </row>
    <row r="22" spans="1:8" x14ac:dyDescent="0.25">
      <c r="A22" s="4">
        <v>18</v>
      </c>
      <c r="B22" t="s">
        <v>3</v>
      </c>
    </row>
    <row r="23" spans="1:8" x14ac:dyDescent="0.25">
      <c r="A23" s="4">
        <v>19</v>
      </c>
    </row>
    <row r="24" spans="1:8" x14ac:dyDescent="0.25">
      <c r="A24" s="4">
        <v>20</v>
      </c>
      <c r="B24" t="s">
        <v>3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3</v>
      </c>
    </row>
    <row r="30" spans="1:8" x14ac:dyDescent="0.25">
      <c r="A30" s="4">
        <v>26</v>
      </c>
      <c r="B30" t="s">
        <v>3</v>
      </c>
    </row>
    <row r="31" spans="1:8" x14ac:dyDescent="0.25">
      <c r="A31" s="4">
        <v>27</v>
      </c>
      <c r="B31" t="s">
        <v>3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3</v>
      </c>
      <c r="C33" t="s">
        <v>3</v>
      </c>
    </row>
    <row r="34" spans="1:8" x14ac:dyDescent="0.25">
      <c r="A34" s="4">
        <v>30</v>
      </c>
    </row>
    <row r="35" spans="1:8" x14ac:dyDescent="0.25">
      <c r="A35" s="4">
        <v>31</v>
      </c>
      <c r="B35" t="s">
        <v>3</v>
      </c>
      <c r="C35" t="s">
        <v>2</v>
      </c>
      <c r="H35" t="s">
        <v>2</v>
      </c>
    </row>
    <row r="36" spans="1:8" x14ac:dyDescent="0.25">
      <c r="A36" s="4">
        <v>32</v>
      </c>
      <c r="B36" t="s">
        <v>3</v>
      </c>
      <c r="C36" t="s">
        <v>3</v>
      </c>
      <c r="D36" t="s">
        <v>3</v>
      </c>
      <c r="H36" t="s">
        <v>7</v>
      </c>
    </row>
    <row r="37" spans="1:8" x14ac:dyDescent="0.25">
      <c r="A37" s="4">
        <v>33</v>
      </c>
      <c r="B37" t="s">
        <v>3</v>
      </c>
      <c r="C37" t="s">
        <v>3</v>
      </c>
    </row>
    <row r="38" spans="1:8" x14ac:dyDescent="0.25">
      <c r="A38" s="4">
        <v>34</v>
      </c>
    </row>
    <row r="39" spans="1:8" x14ac:dyDescent="0.25">
      <c r="A39" s="4">
        <v>35</v>
      </c>
    </row>
    <row r="40" spans="1:8" x14ac:dyDescent="0.25">
      <c r="A40" s="4">
        <v>36</v>
      </c>
    </row>
    <row r="41" spans="1:8" x14ac:dyDescent="0.25">
      <c r="A41" s="4">
        <v>37</v>
      </c>
    </row>
    <row r="42" spans="1:8" x14ac:dyDescent="0.25">
      <c r="A42" s="4">
        <v>38</v>
      </c>
      <c r="B42" t="s">
        <v>3</v>
      </c>
      <c r="C42" t="s">
        <v>2</v>
      </c>
      <c r="D42" t="s">
        <v>3</v>
      </c>
    </row>
    <row r="43" spans="1:8" x14ac:dyDescent="0.25">
      <c r="A43" s="4">
        <v>39</v>
      </c>
      <c r="B43" t="s">
        <v>3</v>
      </c>
      <c r="C43" t="s">
        <v>2</v>
      </c>
    </row>
    <row r="44" spans="1:8" x14ac:dyDescent="0.25">
      <c r="A44" s="4">
        <v>40</v>
      </c>
    </row>
    <row r="45" spans="1:8" x14ac:dyDescent="0.25">
      <c r="A45" s="4">
        <v>41</v>
      </c>
      <c r="B45" t="s">
        <v>3</v>
      </c>
      <c r="C45" t="s">
        <v>2</v>
      </c>
      <c r="D45" t="s">
        <v>3</v>
      </c>
    </row>
    <row r="46" spans="1:8" x14ac:dyDescent="0.25">
      <c r="A46" s="4">
        <v>42</v>
      </c>
      <c r="B46" t="s">
        <v>3</v>
      </c>
      <c r="C46" t="s">
        <v>2</v>
      </c>
      <c r="D46" t="s">
        <v>3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  <c r="B49" t="s">
        <v>3</v>
      </c>
      <c r="C49" t="s">
        <v>2</v>
      </c>
      <c r="D49" t="s">
        <v>3</v>
      </c>
    </row>
    <row r="50" spans="1:8" x14ac:dyDescent="0.25">
      <c r="A50" s="4">
        <v>46</v>
      </c>
      <c r="B50" t="s">
        <v>3</v>
      </c>
    </row>
    <row r="51" spans="1:8" x14ac:dyDescent="0.25">
      <c r="A51" s="4">
        <v>47</v>
      </c>
      <c r="B51" t="s">
        <v>3</v>
      </c>
    </row>
    <row r="52" spans="1:8" x14ac:dyDescent="0.25">
      <c r="A52" s="4">
        <v>48</v>
      </c>
      <c r="B52" t="s">
        <v>3</v>
      </c>
    </row>
    <row r="53" spans="1:8" x14ac:dyDescent="0.25">
      <c r="A53" s="4">
        <v>49</v>
      </c>
    </row>
    <row r="54" spans="1:8" x14ac:dyDescent="0.25">
      <c r="A54" s="4">
        <v>50</v>
      </c>
      <c r="B54" t="s">
        <v>3</v>
      </c>
      <c r="C54" t="s">
        <v>5</v>
      </c>
      <c r="D54" t="s">
        <v>3</v>
      </c>
      <c r="G54" t="s">
        <v>2</v>
      </c>
    </row>
    <row r="55" spans="1:8" x14ac:dyDescent="0.25">
      <c r="A55" s="4">
        <v>51</v>
      </c>
    </row>
    <row r="56" spans="1:8" x14ac:dyDescent="0.25">
      <c r="A56" s="4">
        <v>52</v>
      </c>
      <c r="B56" t="s">
        <v>3</v>
      </c>
      <c r="D56" t="s">
        <v>3</v>
      </c>
    </row>
    <row r="57" spans="1:8" x14ac:dyDescent="0.25">
      <c r="A57" s="4">
        <v>53</v>
      </c>
    </row>
    <row r="58" spans="1:8" x14ac:dyDescent="0.25">
      <c r="A58" s="4">
        <v>54</v>
      </c>
      <c r="B58" t="s">
        <v>3</v>
      </c>
      <c r="C58" t="s">
        <v>5</v>
      </c>
      <c r="D58" t="s">
        <v>3</v>
      </c>
      <c r="H58" t="s">
        <v>2</v>
      </c>
    </row>
    <row r="59" spans="1:8" x14ac:dyDescent="0.25">
      <c r="A59" s="4">
        <v>55</v>
      </c>
      <c r="C59" t="s">
        <v>4</v>
      </c>
    </row>
    <row r="60" spans="1:8" x14ac:dyDescent="0.25">
      <c r="A60" s="4">
        <v>56</v>
      </c>
      <c r="C60" t="s">
        <v>4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B61:I62 I5:I60">
    <cfRule type="cellIs" dxfId="1569" priority="18" operator="equal">
      <formula>"Energia"</formula>
    </cfRule>
    <cfRule type="cellIs" dxfId="1568" priority="20" operator="equal">
      <formula>"Operação"</formula>
    </cfRule>
    <cfRule type="cellIs" dxfId="1567" priority="21" operator="equal">
      <formula>"Chuva"</formula>
    </cfRule>
    <cfRule type="cellIs" dxfId="1566" priority="22" operator="equal">
      <formula>"Elétrico"</formula>
    </cfRule>
    <cfRule type="cellIs" dxfId="1565" priority="23" operator="equal">
      <formula>"Mecânico"</formula>
    </cfRule>
    <cfRule type="cellIs" dxfId="1564" priority="24" operator="equal">
      <formula>"Ok"</formula>
    </cfRule>
  </conditionalFormatting>
  <conditionalFormatting sqref="B61:I62 I5:I60">
    <cfRule type="cellIs" dxfId="1563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1562" priority="16" operator="equal">
      <formula>"Energia"</formula>
    </cfRule>
  </conditionalFormatting>
  <conditionalFormatting sqref="B5:E60 G5:H60">
    <cfRule type="cellIs" dxfId="1561" priority="9" operator="equal">
      <formula>"Energia"</formula>
    </cfRule>
    <cfRule type="cellIs" dxfId="1560" priority="11" operator="equal">
      <formula>"Operação"</formula>
    </cfRule>
    <cfRule type="cellIs" dxfId="1559" priority="12" operator="equal">
      <formula>"Chuva"</formula>
    </cfRule>
    <cfRule type="cellIs" dxfId="1558" priority="13" operator="equal">
      <formula>"Elétrico"</formula>
    </cfRule>
    <cfRule type="cellIs" dxfId="1557" priority="14" operator="equal">
      <formula>"Mecânico"</formula>
    </cfRule>
    <cfRule type="cellIs" dxfId="1556" priority="15" operator="equal">
      <formula>"Ok"</formula>
    </cfRule>
  </conditionalFormatting>
  <conditionalFormatting sqref="B5:E60 G5:H60">
    <cfRule type="cellIs" dxfId="1555" priority="10" operator="equal">
      <formula>"Feito"</formula>
    </cfRule>
  </conditionalFormatting>
  <conditionalFormatting sqref="F5:F11">
    <cfRule type="cellIs" dxfId="1554" priority="8" operator="equal">
      <formula>"Energia"</formula>
    </cfRule>
  </conditionalFormatting>
  <conditionalFormatting sqref="F5:F60">
    <cfRule type="cellIs" dxfId="1553" priority="1" operator="equal">
      <formula>"Energia"</formula>
    </cfRule>
    <cfRule type="cellIs" dxfId="1552" priority="3" operator="equal">
      <formula>"Operação"</formula>
    </cfRule>
    <cfRule type="cellIs" dxfId="1551" priority="4" operator="equal">
      <formula>"Chuva"</formula>
    </cfRule>
    <cfRule type="cellIs" dxfId="1550" priority="5" operator="equal">
      <formula>"Elétrico"</formula>
    </cfRule>
    <cfRule type="cellIs" dxfId="1549" priority="6" operator="equal">
      <formula>"Mecânico"</formula>
    </cfRule>
    <cfRule type="cellIs" dxfId="1548" priority="7" operator="equal">
      <formula>"Ok"</formula>
    </cfRule>
  </conditionalFormatting>
  <conditionalFormatting sqref="F5:F60">
    <cfRule type="cellIs" dxfId="1547" priority="2" operator="equal">
      <formula>"Feito"</formula>
    </cfRule>
  </conditionalFormatting>
  <dataValidations count="1">
    <dataValidation type="list" allowBlank="1" showInputMessage="1" showErrorMessage="1" sqref="B61:I62 B5:J60" xr:uid="{E9E9FA3D-9767-4452-AD1A-B9036A7C0675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4D0F-2EFB-4BC5-AE2E-4056D3C32138}">
  <sheetPr codeName="Planilha38"/>
  <dimension ref="A3:N62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44487</v>
      </c>
      <c r="C3" s="3">
        <f>B3+1</f>
        <v>44488</v>
      </c>
      <c r="D3" s="3">
        <f t="shared" ref="D3:H3" si="0">C3+1</f>
        <v>44489</v>
      </c>
      <c r="E3" s="3">
        <f t="shared" si="0"/>
        <v>44490</v>
      </c>
      <c r="F3" s="3">
        <f t="shared" si="0"/>
        <v>44491</v>
      </c>
      <c r="G3" s="3">
        <f t="shared" si="0"/>
        <v>44492</v>
      </c>
      <c r="H3" s="3">
        <f t="shared" si="0"/>
        <v>44493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C5" t="s">
        <v>3</v>
      </c>
      <c r="E5" t="s">
        <v>3</v>
      </c>
      <c r="F5" t="s">
        <v>3</v>
      </c>
      <c r="H5" t="s">
        <v>3</v>
      </c>
      <c r="K5" s="5" t="s">
        <v>2</v>
      </c>
      <c r="L5">
        <f t="shared" ref="L5:L10" si="2">COUNTIF($B$5:$I$60,K5)</f>
        <v>7</v>
      </c>
      <c r="M5" s="53">
        <f>L5/$L$11</f>
        <v>5.9829059829059832E-2</v>
      </c>
      <c r="N5" s="52">
        <v>44487</v>
      </c>
    </row>
    <row r="6" spans="1:14" x14ac:dyDescent="0.25">
      <c r="A6" s="4">
        <v>2</v>
      </c>
      <c r="C6" t="s">
        <v>3</v>
      </c>
      <c r="E6" t="s">
        <v>3</v>
      </c>
      <c r="F6" t="s">
        <v>3</v>
      </c>
      <c r="H6" t="s">
        <v>3</v>
      </c>
      <c r="K6" s="6" t="s">
        <v>5</v>
      </c>
      <c r="L6">
        <f t="shared" si="2"/>
        <v>0</v>
      </c>
      <c r="M6" s="53">
        <f t="shared" ref="M6:M10" si="3">L6/$L$11</f>
        <v>0</v>
      </c>
    </row>
    <row r="7" spans="1:14" x14ac:dyDescent="0.25">
      <c r="A7" s="4">
        <v>3</v>
      </c>
      <c r="C7" t="s">
        <v>3</v>
      </c>
      <c r="E7" t="s">
        <v>3</v>
      </c>
      <c r="F7" t="s">
        <v>3</v>
      </c>
      <c r="H7" t="s">
        <v>3</v>
      </c>
      <c r="K7" s="7" t="s">
        <v>6</v>
      </c>
      <c r="L7">
        <f t="shared" si="2"/>
        <v>0</v>
      </c>
      <c r="M7" s="53">
        <f t="shared" si="3"/>
        <v>0</v>
      </c>
    </row>
    <row r="8" spans="1:14" x14ac:dyDescent="0.25">
      <c r="A8" s="4">
        <v>4</v>
      </c>
      <c r="C8" t="s">
        <v>3</v>
      </c>
      <c r="E8" t="s">
        <v>3</v>
      </c>
      <c r="F8" t="s">
        <v>3</v>
      </c>
      <c r="H8" t="s">
        <v>3</v>
      </c>
      <c r="K8" s="8" t="s">
        <v>4</v>
      </c>
      <c r="L8">
        <f t="shared" si="2"/>
        <v>0</v>
      </c>
      <c r="M8" s="53">
        <f t="shared" si="3"/>
        <v>0</v>
      </c>
    </row>
    <row r="9" spans="1:14" x14ac:dyDescent="0.25">
      <c r="A9" s="4">
        <v>5</v>
      </c>
      <c r="K9" s="9" t="s">
        <v>3</v>
      </c>
      <c r="L9">
        <f t="shared" si="2"/>
        <v>109</v>
      </c>
      <c r="M9" s="53">
        <f t="shared" si="3"/>
        <v>0.93162393162393164</v>
      </c>
    </row>
    <row r="10" spans="1:14" x14ac:dyDescent="0.25">
      <c r="A10" s="4">
        <v>6</v>
      </c>
      <c r="K10" s="10" t="s">
        <v>7</v>
      </c>
      <c r="L10">
        <f t="shared" si="2"/>
        <v>1</v>
      </c>
      <c r="M10" s="53">
        <f t="shared" si="3"/>
        <v>8.5470085470085479E-3</v>
      </c>
    </row>
    <row r="11" spans="1:14" x14ac:dyDescent="0.25">
      <c r="A11" s="4">
        <v>7</v>
      </c>
      <c r="L11">
        <f>SUM(L5:L10)</f>
        <v>117</v>
      </c>
    </row>
    <row r="12" spans="1:14" x14ac:dyDescent="0.25">
      <c r="A12" s="4">
        <v>8</v>
      </c>
    </row>
    <row r="13" spans="1:14" x14ac:dyDescent="0.25">
      <c r="A13" s="4">
        <v>9</v>
      </c>
    </row>
    <row r="14" spans="1:14" x14ac:dyDescent="0.25">
      <c r="A14" s="4">
        <v>10</v>
      </c>
    </row>
    <row r="15" spans="1:14" x14ac:dyDescent="0.25">
      <c r="A15" s="4">
        <v>11</v>
      </c>
    </row>
    <row r="16" spans="1:14" x14ac:dyDescent="0.25">
      <c r="A16" s="4">
        <v>12</v>
      </c>
    </row>
    <row r="17" spans="1:6" x14ac:dyDescent="0.25">
      <c r="A17" s="4">
        <v>13</v>
      </c>
    </row>
    <row r="18" spans="1:6" x14ac:dyDescent="0.25">
      <c r="A18" s="4">
        <v>14</v>
      </c>
      <c r="B18" t="s">
        <v>3</v>
      </c>
      <c r="C18" t="s">
        <v>3</v>
      </c>
      <c r="D18" t="s">
        <v>3</v>
      </c>
      <c r="E18" t="s">
        <v>3</v>
      </c>
      <c r="F18" t="s">
        <v>3</v>
      </c>
    </row>
    <row r="19" spans="1:6" x14ac:dyDescent="0.25">
      <c r="A19" s="4">
        <v>15</v>
      </c>
      <c r="B19" t="s">
        <v>3</v>
      </c>
      <c r="C19" t="s">
        <v>3</v>
      </c>
      <c r="D19" t="s">
        <v>3</v>
      </c>
      <c r="E19" t="s">
        <v>3</v>
      </c>
      <c r="F19" t="s">
        <v>3</v>
      </c>
    </row>
    <row r="20" spans="1:6" x14ac:dyDescent="0.25">
      <c r="A20" s="4">
        <v>16</v>
      </c>
      <c r="B20" t="s">
        <v>3</v>
      </c>
      <c r="C20" t="s">
        <v>3</v>
      </c>
      <c r="D20" t="s">
        <v>3</v>
      </c>
      <c r="E20" t="s">
        <v>2</v>
      </c>
      <c r="F20" t="s">
        <v>3</v>
      </c>
    </row>
    <row r="21" spans="1:6" x14ac:dyDescent="0.25">
      <c r="A21" s="4">
        <v>17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</row>
    <row r="22" spans="1:6" x14ac:dyDescent="0.25">
      <c r="A22" s="4">
        <v>18</v>
      </c>
    </row>
    <row r="23" spans="1:6" x14ac:dyDescent="0.25">
      <c r="A23" s="4">
        <v>19</v>
      </c>
    </row>
    <row r="24" spans="1:6" x14ac:dyDescent="0.25">
      <c r="A24" s="4">
        <v>20</v>
      </c>
    </row>
    <row r="25" spans="1:6" x14ac:dyDescent="0.25">
      <c r="A25" s="4">
        <v>21</v>
      </c>
    </row>
    <row r="26" spans="1:6" x14ac:dyDescent="0.25">
      <c r="A26" s="4">
        <v>22</v>
      </c>
    </row>
    <row r="27" spans="1:6" x14ac:dyDescent="0.25">
      <c r="A27" s="4">
        <v>23</v>
      </c>
    </row>
    <row r="28" spans="1:6" x14ac:dyDescent="0.25">
      <c r="A28" s="4">
        <v>24</v>
      </c>
    </row>
    <row r="29" spans="1:6" x14ac:dyDescent="0.25">
      <c r="A29" s="4">
        <v>25</v>
      </c>
      <c r="C29" t="s">
        <v>3</v>
      </c>
      <c r="E29" t="s">
        <v>3</v>
      </c>
      <c r="F29" t="s">
        <v>3</v>
      </c>
    </row>
    <row r="30" spans="1:6" x14ac:dyDescent="0.25">
      <c r="A30" s="4">
        <v>26</v>
      </c>
    </row>
    <row r="31" spans="1:6" x14ac:dyDescent="0.25">
      <c r="A31" s="4">
        <v>27</v>
      </c>
    </row>
    <row r="32" spans="1:6" x14ac:dyDescent="0.25">
      <c r="A32" s="4">
        <v>28</v>
      </c>
    </row>
    <row r="33" spans="1:8" x14ac:dyDescent="0.25">
      <c r="A33" s="4">
        <v>29</v>
      </c>
      <c r="C33" t="s">
        <v>3</v>
      </c>
      <c r="E33" t="s">
        <v>3</v>
      </c>
      <c r="F33" t="s">
        <v>3</v>
      </c>
    </row>
    <row r="34" spans="1:8" x14ac:dyDescent="0.25">
      <c r="A34" s="4">
        <v>30</v>
      </c>
    </row>
    <row r="35" spans="1:8" x14ac:dyDescent="0.25">
      <c r="A35" s="4">
        <v>31</v>
      </c>
      <c r="C35" t="s">
        <v>3</v>
      </c>
      <c r="E35" t="s">
        <v>3</v>
      </c>
      <c r="F35" t="s">
        <v>3</v>
      </c>
    </row>
    <row r="36" spans="1:8" x14ac:dyDescent="0.25">
      <c r="A36" s="4">
        <v>32</v>
      </c>
      <c r="C36" t="s">
        <v>3</v>
      </c>
      <c r="E36" t="s">
        <v>3</v>
      </c>
      <c r="F36" t="s">
        <v>3</v>
      </c>
    </row>
    <row r="37" spans="1:8" x14ac:dyDescent="0.25">
      <c r="A37" s="4">
        <v>33</v>
      </c>
      <c r="C37" t="s">
        <v>3</v>
      </c>
      <c r="F37" t="s">
        <v>3</v>
      </c>
    </row>
    <row r="38" spans="1:8" x14ac:dyDescent="0.25">
      <c r="A38" s="4">
        <v>34</v>
      </c>
    </row>
    <row r="39" spans="1:8" x14ac:dyDescent="0.25">
      <c r="A39" s="4">
        <v>35</v>
      </c>
    </row>
    <row r="40" spans="1:8" x14ac:dyDescent="0.25">
      <c r="A40" s="4">
        <v>36</v>
      </c>
      <c r="D40" t="s">
        <v>2</v>
      </c>
      <c r="E40" t="s">
        <v>3</v>
      </c>
      <c r="F40" t="s">
        <v>3</v>
      </c>
      <c r="H40" t="s">
        <v>3</v>
      </c>
    </row>
    <row r="41" spans="1:8" x14ac:dyDescent="0.25">
      <c r="A41" s="4">
        <v>37</v>
      </c>
      <c r="E41" t="s">
        <v>3</v>
      </c>
      <c r="F41" t="s">
        <v>3</v>
      </c>
    </row>
    <row r="42" spans="1:8" x14ac:dyDescent="0.25">
      <c r="A42" s="4">
        <v>38</v>
      </c>
      <c r="B42" t="s">
        <v>3</v>
      </c>
      <c r="C42" t="s">
        <v>3</v>
      </c>
      <c r="E42" t="s">
        <v>3</v>
      </c>
      <c r="F42" t="s">
        <v>3</v>
      </c>
    </row>
    <row r="43" spans="1:8" x14ac:dyDescent="0.25">
      <c r="A43" s="4">
        <v>39</v>
      </c>
      <c r="B43" t="s">
        <v>3</v>
      </c>
      <c r="C43" t="s">
        <v>3</v>
      </c>
      <c r="E43" t="s">
        <v>3</v>
      </c>
      <c r="F43" t="s">
        <v>3</v>
      </c>
    </row>
    <row r="44" spans="1:8" x14ac:dyDescent="0.25">
      <c r="A44" s="4">
        <v>40</v>
      </c>
      <c r="E44" t="s">
        <v>3</v>
      </c>
      <c r="F44" t="s">
        <v>3</v>
      </c>
    </row>
    <row r="45" spans="1:8" x14ac:dyDescent="0.25">
      <c r="A45" s="4">
        <v>41</v>
      </c>
      <c r="B45" t="s">
        <v>3</v>
      </c>
      <c r="C45" t="s">
        <v>3</v>
      </c>
      <c r="E45" t="s">
        <v>3</v>
      </c>
      <c r="F45" t="s">
        <v>3</v>
      </c>
    </row>
    <row r="46" spans="1:8" x14ac:dyDescent="0.25">
      <c r="A46" s="4">
        <v>42</v>
      </c>
      <c r="B46" t="s">
        <v>2</v>
      </c>
      <c r="C46" t="s">
        <v>3</v>
      </c>
      <c r="E46" t="s">
        <v>3</v>
      </c>
      <c r="F46" t="s">
        <v>3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  <c r="B49" t="s">
        <v>7</v>
      </c>
      <c r="C49" t="s">
        <v>3</v>
      </c>
      <c r="E49" t="s">
        <v>3</v>
      </c>
      <c r="F49" t="s">
        <v>3</v>
      </c>
    </row>
    <row r="50" spans="1:8" x14ac:dyDescent="0.25">
      <c r="A50" s="4">
        <v>46</v>
      </c>
      <c r="B50" t="s">
        <v>3</v>
      </c>
      <c r="C50" t="s">
        <v>3</v>
      </c>
      <c r="E50" t="s">
        <v>3</v>
      </c>
      <c r="F50" t="s">
        <v>3</v>
      </c>
      <c r="H50" t="s">
        <v>3</v>
      </c>
    </row>
    <row r="51" spans="1:8" x14ac:dyDescent="0.25">
      <c r="A51" s="4">
        <v>47</v>
      </c>
      <c r="C51" t="s">
        <v>3</v>
      </c>
      <c r="E51" t="s">
        <v>3</v>
      </c>
      <c r="F51" t="s">
        <v>3</v>
      </c>
      <c r="H51" t="s">
        <v>3</v>
      </c>
    </row>
    <row r="52" spans="1:8" x14ac:dyDescent="0.25">
      <c r="A52" s="4">
        <v>48</v>
      </c>
      <c r="C52" t="s">
        <v>3</v>
      </c>
      <c r="E52" t="s">
        <v>3</v>
      </c>
      <c r="F52" t="s">
        <v>3</v>
      </c>
      <c r="H52" t="s">
        <v>3</v>
      </c>
    </row>
    <row r="53" spans="1:8" x14ac:dyDescent="0.25">
      <c r="A53" s="4">
        <v>49</v>
      </c>
      <c r="B53" t="s">
        <v>3</v>
      </c>
      <c r="C53" t="s">
        <v>3</v>
      </c>
      <c r="E53" t="s">
        <v>3</v>
      </c>
      <c r="F53" t="s">
        <v>3</v>
      </c>
      <c r="H53" t="s">
        <v>3</v>
      </c>
    </row>
    <row r="54" spans="1:8" x14ac:dyDescent="0.25">
      <c r="A54" s="4">
        <v>50</v>
      </c>
      <c r="B54" t="s">
        <v>3</v>
      </c>
      <c r="C54" t="s">
        <v>3</v>
      </c>
      <c r="E54" t="s">
        <v>2</v>
      </c>
      <c r="F54" t="s">
        <v>3</v>
      </c>
    </row>
    <row r="55" spans="1:8" x14ac:dyDescent="0.25">
      <c r="A55" s="4">
        <v>51</v>
      </c>
      <c r="B55" t="s">
        <v>3</v>
      </c>
      <c r="C55" t="s">
        <v>3</v>
      </c>
      <c r="D55" t="s">
        <v>2</v>
      </c>
      <c r="E55" t="s">
        <v>3</v>
      </c>
      <c r="F55" t="s">
        <v>3</v>
      </c>
    </row>
    <row r="56" spans="1:8" x14ac:dyDescent="0.25">
      <c r="A56" s="4">
        <v>52</v>
      </c>
      <c r="C56" t="s">
        <v>3</v>
      </c>
      <c r="F56" t="s">
        <v>3</v>
      </c>
    </row>
    <row r="57" spans="1:8" x14ac:dyDescent="0.25">
      <c r="A57" s="4">
        <v>53</v>
      </c>
    </row>
    <row r="58" spans="1:8" x14ac:dyDescent="0.25">
      <c r="A58" s="4">
        <v>54</v>
      </c>
      <c r="C58" t="s">
        <v>3</v>
      </c>
      <c r="D58" t="s">
        <v>2</v>
      </c>
      <c r="F58" t="s">
        <v>3</v>
      </c>
    </row>
    <row r="59" spans="1:8" x14ac:dyDescent="0.25">
      <c r="A59" s="4">
        <v>55</v>
      </c>
      <c r="B59" t="s">
        <v>3</v>
      </c>
      <c r="C59" t="s">
        <v>2</v>
      </c>
      <c r="E59" t="s">
        <v>3</v>
      </c>
      <c r="F59" t="s">
        <v>3</v>
      </c>
      <c r="H59" t="s">
        <v>3</v>
      </c>
    </row>
    <row r="60" spans="1:8" x14ac:dyDescent="0.25">
      <c r="A60" s="4">
        <v>56</v>
      </c>
      <c r="C60" t="s">
        <v>3</v>
      </c>
      <c r="F60" t="s">
        <v>3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B61:I62 I5:I60">
    <cfRule type="cellIs" dxfId="1546" priority="18" operator="equal">
      <formula>"Energia"</formula>
    </cfRule>
    <cfRule type="cellIs" dxfId="1545" priority="20" operator="equal">
      <formula>"Operação"</formula>
    </cfRule>
    <cfRule type="cellIs" dxfId="1544" priority="21" operator="equal">
      <formula>"Chuva"</formula>
    </cfRule>
    <cfRule type="cellIs" dxfId="1543" priority="22" operator="equal">
      <formula>"Elétrico"</formula>
    </cfRule>
    <cfRule type="cellIs" dxfId="1542" priority="23" operator="equal">
      <formula>"Mecânico"</formula>
    </cfRule>
    <cfRule type="cellIs" dxfId="1541" priority="24" operator="equal">
      <formula>"Ok"</formula>
    </cfRule>
  </conditionalFormatting>
  <conditionalFormatting sqref="B61:I62 I5:I60">
    <cfRule type="cellIs" dxfId="1540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1539" priority="16" operator="equal">
      <formula>"Energia"</formula>
    </cfRule>
  </conditionalFormatting>
  <conditionalFormatting sqref="G5:H60 B5:E60">
    <cfRule type="cellIs" dxfId="1538" priority="9" operator="equal">
      <formula>"Energia"</formula>
    </cfRule>
    <cfRule type="cellIs" dxfId="1537" priority="11" operator="equal">
      <formula>"Operação"</formula>
    </cfRule>
    <cfRule type="cellIs" dxfId="1536" priority="12" operator="equal">
      <formula>"Chuva"</formula>
    </cfRule>
    <cfRule type="cellIs" dxfId="1535" priority="13" operator="equal">
      <formula>"Elétrico"</formula>
    </cfRule>
    <cfRule type="cellIs" dxfId="1534" priority="14" operator="equal">
      <formula>"Mecânico"</formula>
    </cfRule>
    <cfRule type="cellIs" dxfId="1533" priority="15" operator="equal">
      <formula>"Ok"</formula>
    </cfRule>
  </conditionalFormatting>
  <conditionalFormatting sqref="G5:H60 B5:E60">
    <cfRule type="cellIs" dxfId="1532" priority="10" operator="equal">
      <formula>"Feito"</formula>
    </cfRule>
  </conditionalFormatting>
  <conditionalFormatting sqref="F5:F11">
    <cfRule type="cellIs" dxfId="1531" priority="8" operator="equal">
      <formula>"Energia"</formula>
    </cfRule>
  </conditionalFormatting>
  <conditionalFormatting sqref="F5:F60">
    <cfRule type="cellIs" dxfId="1530" priority="1" operator="equal">
      <formula>"Energia"</formula>
    </cfRule>
    <cfRule type="cellIs" dxfId="1529" priority="3" operator="equal">
      <formula>"Operação"</formula>
    </cfRule>
    <cfRule type="cellIs" dxfId="1528" priority="4" operator="equal">
      <formula>"Chuva"</formula>
    </cfRule>
    <cfRule type="cellIs" dxfId="1527" priority="5" operator="equal">
      <formula>"Elétrico"</formula>
    </cfRule>
    <cfRule type="cellIs" dxfId="1526" priority="6" operator="equal">
      <formula>"Mecânico"</formula>
    </cfRule>
    <cfRule type="cellIs" dxfId="1525" priority="7" operator="equal">
      <formula>"Ok"</formula>
    </cfRule>
  </conditionalFormatting>
  <conditionalFormatting sqref="F5:F60">
    <cfRule type="cellIs" dxfId="1524" priority="2" operator="equal">
      <formula>"Feito"</formula>
    </cfRule>
  </conditionalFormatting>
  <dataValidations count="1">
    <dataValidation type="list" allowBlank="1" showInputMessage="1" showErrorMessage="1" sqref="B61:I62 B5:J60" xr:uid="{631224D6-471A-4BCE-AB54-A61CAAD167ED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380A-0B29-4666-BF91-1F925A097EDB}">
  <sheetPr codeName="Planilha39"/>
  <dimension ref="A3:N62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44494</v>
      </c>
      <c r="C3" s="3">
        <f>B3+1</f>
        <v>44495</v>
      </c>
      <c r="D3" s="3">
        <f t="shared" ref="D3:H3" si="0">C3+1</f>
        <v>44496</v>
      </c>
      <c r="E3" s="3">
        <f t="shared" si="0"/>
        <v>44497</v>
      </c>
      <c r="F3" s="3">
        <f t="shared" si="0"/>
        <v>44498</v>
      </c>
      <c r="G3" s="3">
        <f t="shared" si="0"/>
        <v>44499</v>
      </c>
      <c r="H3" s="3">
        <f t="shared" si="0"/>
        <v>44500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C5" t="s">
        <v>3</v>
      </c>
      <c r="E5" t="s">
        <v>7</v>
      </c>
      <c r="F5" t="s">
        <v>7</v>
      </c>
      <c r="G5" t="s">
        <v>7</v>
      </c>
      <c r="H5" t="s">
        <v>7</v>
      </c>
      <c r="K5" s="5" t="s">
        <v>2</v>
      </c>
      <c r="L5">
        <f>COUNTIF($B$5:$I$60,K5)</f>
        <v>69</v>
      </c>
      <c r="M5" s="53">
        <f>L5/$L$11</f>
        <v>0.61061946902654862</v>
      </c>
      <c r="N5" s="52">
        <v>44494</v>
      </c>
    </row>
    <row r="6" spans="1:14" x14ac:dyDescent="0.25">
      <c r="A6" s="4">
        <v>2</v>
      </c>
      <c r="B6" t="s">
        <v>7</v>
      </c>
      <c r="E6" t="s">
        <v>2</v>
      </c>
      <c r="F6" t="s">
        <v>2</v>
      </c>
      <c r="G6" t="s">
        <v>2</v>
      </c>
      <c r="H6" t="s">
        <v>2</v>
      </c>
      <c r="K6" s="6" t="s">
        <v>5</v>
      </c>
      <c r="L6">
        <f>COUNTIF($B$5:$I$60,K6)</f>
        <v>5</v>
      </c>
      <c r="M6" s="53">
        <f t="shared" ref="M6:M10" si="2">L6/$L$11</f>
        <v>4.4247787610619468E-2</v>
      </c>
    </row>
    <row r="7" spans="1:14" x14ac:dyDescent="0.25">
      <c r="A7" s="4">
        <v>3</v>
      </c>
      <c r="B7" t="s">
        <v>7</v>
      </c>
      <c r="E7" t="s">
        <v>2</v>
      </c>
      <c r="F7" t="s">
        <v>5</v>
      </c>
      <c r="G7" t="s">
        <v>2</v>
      </c>
      <c r="H7" t="s">
        <v>7</v>
      </c>
      <c r="K7" s="7" t="s">
        <v>6</v>
      </c>
      <c r="L7">
        <f t="shared" ref="L7:L10" si="3">COUNTIF($B$5:$I$60,K7)</f>
        <v>4</v>
      </c>
      <c r="M7" s="53">
        <f t="shared" si="2"/>
        <v>3.5398230088495575E-2</v>
      </c>
    </row>
    <row r="8" spans="1:14" x14ac:dyDescent="0.25">
      <c r="A8" s="4">
        <v>4</v>
      </c>
      <c r="B8" t="s">
        <v>7</v>
      </c>
      <c r="E8" t="s">
        <v>2</v>
      </c>
      <c r="F8" t="s">
        <v>2</v>
      </c>
      <c r="G8" t="s">
        <v>2</v>
      </c>
      <c r="H8" t="s">
        <v>2</v>
      </c>
      <c r="K8" s="8" t="s">
        <v>4</v>
      </c>
      <c r="L8">
        <f t="shared" si="3"/>
        <v>0</v>
      </c>
      <c r="M8" s="53">
        <f t="shared" si="2"/>
        <v>0</v>
      </c>
    </row>
    <row r="9" spans="1:14" x14ac:dyDescent="0.25">
      <c r="A9" s="4">
        <v>5</v>
      </c>
      <c r="D9" t="s">
        <v>7</v>
      </c>
      <c r="E9" t="s">
        <v>2</v>
      </c>
      <c r="F9" t="s">
        <v>2</v>
      </c>
      <c r="G9" t="s">
        <v>2</v>
      </c>
      <c r="H9" t="s">
        <v>2</v>
      </c>
      <c r="K9" s="9" t="s">
        <v>3</v>
      </c>
      <c r="L9">
        <f t="shared" si="3"/>
        <v>7</v>
      </c>
      <c r="M9" s="53">
        <f t="shared" si="2"/>
        <v>6.1946902654867256E-2</v>
      </c>
    </row>
    <row r="10" spans="1:14" x14ac:dyDescent="0.25">
      <c r="A10" s="4">
        <v>6</v>
      </c>
      <c r="F10" t="s">
        <v>2</v>
      </c>
      <c r="G10" t="s">
        <v>2</v>
      </c>
      <c r="H10" t="s">
        <v>2</v>
      </c>
      <c r="K10" s="10" t="s">
        <v>7</v>
      </c>
      <c r="L10">
        <f t="shared" si="3"/>
        <v>28</v>
      </c>
      <c r="M10" s="53">
        <f t="shared" si="2"/>
        <v>0.24778761061946902</v>
      </c>
    </row>
    <row r="11" spans="1:14" x14ac:dyDescent="0.25">
      <c r="A11" s="4">
        <v>7</v>
      </c>
      <c r="D11" t="s">
        <v>7</v>
      </c>
      <c r="E11" t="s">
        <v>2</v>
      </c>
      <c r="F11" t="s">
        <v>2</v>
      </c>
      <c r="G11" t="s">
        <v>2</v>
      </c>
      <c r="H11" t="s">
        <v>2</v>
      </c>
      <c r="L11">
        <f>SUM(L5:L10)</f>
        <v>113</v>
      </c>
    </row>
    <row r="12" spans="1:14" x14ac:dyDescent="0.25">
      <c r="A12" s="4">
        <v>8</v>
      </c>
      <c r="F12" t="s">
        <v>7</v>
      </c>
      <c r="G12" t="s">
        <v>7</v>
      </c>
      <c r="H12" t="s">
        <v>2</v>
      </c>
    </row>
    <row r="13" spans="1:14" x14ac:dyDescent="0.25">
      <c r="A13" s="4">
        <v>9</v>
      </c>
      <c r="H13" t="s">
        <v>2</v>
      </c>
    </row>
    <row r="14" spans="1:14" x14ac:dyDescent="0.25">
      <c r="A14" s="4">
        <v>10</v>
      </c>
      <c r="G14" t="s">
        <v>2</v>
      </c>
    </row>
    <row r="15" spans="1:14" x14ac:dyDescent="0.25">
      <c r="A15" s="4">
        <v>11</v>
      </c>
      <c r="H15" t="s">
        <v>7</v>
      </c>
    </row>
    <row r="16" spans="1:14" x14ac:dyDescent="0.25">
      <c r="A16" s="4">
        <v>12</v>
      </c>
    </row>
    <row r="17" spans="1:8" x14ac:dyDescent="0.25">
      <c r="A17" s="4">
        <v>13</v>
      </c>
    </row>
    <row r="18" spans="1:8" x14ac:dyDescent="0.25">
      <c r="A18" s="4">
        <v>14</v>
      </c>
    </row>
    <row r="19" spans="1:8" x14ac:dyDescent="0.25">
      <c r="A19" s="4">
        <v>15</v>
      </c>
      <c r="E19" t="s">
        <v>2</v>
      </c>
      <c r="H19" t="s">
        <v>2</v>
      </c>
    </row>
    <row r="20" spans="1:8" x14ac:dyDescent="0.25">
      <c r="A20" s="4">
        <v>16</v>
      </c>
      <c r="D20" t="s">
        <v>7</v>
      </c>
    </row>
    <row r="21" spans="1:8" x14ac:dyDescent="0.25">
      <c r="A21" s="4">
        <v>17</v>
      </c>
    </row>
    <row r="22" spans="1:8" x14ac:dyDescent="0.25">
      <c r="A22" s="4">
        <v>18</v>
      </c>
    </row>
    <row r="23" spans="1:8" x14ac:dyDescent="0.25">
      <c r="A23" s="4">
        <v>19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C29" t="s">
        <v>3</v>
      </c>
      <c r="F29" t="s">
        <v>2</v>
      </c>
      <c r="G29" t="s">
        <v>2</v>
      </c>
      <c r="H29" t="s">
        <v>2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8" x14ac:dyDescent="0.25">
      <c r="A33" s="4">
        <v>29</v>
      </c>
      <c r="C33" t="s">
        <v>3</v>
      </c>
      <c r="G33" t="s">
        <v>2</v>
      </c>
    </row>
    <row r="34" spans="1:8" x14ac:dyDescent="0.25">
      <c r="A34" s="4">
        <v>30</v>
      </c>
    </row>
    <row r="35" spans="1:8" x14ac:dyDescent="0.25">
      <c r="A35" s="4">
        <v>31</v>
      </c>
      <c r="C35" t="s">
        <v>3</v>
      </c>
      <c r="D35" t="s">
        <v>7</v>
      </c>
      <c r="E35" t="s">
        <v>2</v>
      </c>
      <c r="F35" t="s">
        <v>6</v>
      </c>
      <c r="G35" t="s">
        <v>2</v>
      </c>
      <c r="H35" t="s">
        <v>2</v>
      </c>
    </row>
    <row r="36" spans="1:8" x14ac:dyDescent="0.25">
      <c r="A36" s="4">
        <v>32</v>
      </c>
      <c r="B36" t="s">
        <v>7</v>
      </c>
      <c r="D36" t="s">
        <v>2</v>
      </c>
      <c r="E36" t="s">
        <v>5</v>
      </c>
      <c r="F36" t="s">
        <v>6</v>
      </c>
      <c r="G36" t="s">
        <v>7</v>
      </c>
      <c r="H36" t="s">
        <v>5</v>
      </c>
    </row>
    <row r="37" spans="1:8" x14ac:dyDescent="0.25">
      <c r="A37" s="4">
        <v>33</v>
      </c>
      <c r="C37" t="s">
        <v>3</v>
      </c>
      <c r="D37" t="s">
        <v>7</v>
      </c>
      <c r="E37" t="s">
        <v>7</v>
      </c>
      <c r="F37" t="s">
        <v>6</v>
      </c>
      <c r="G37" t="s">
        <v>2</v>
      </c>
      <c r="H37" t="s">
        <v>2</v>
      </c>
    </row>
    <row r="38" spans="1:8" x14ac:dyDescent="0.25">
      <c r="A38" s="4">
        <v>34</v>
      </c>
    </row>
    <row r="39" spans="1:8" x14ac:dyDescent="0.25">
      <c r="A39" s="4">
        <v>35</v>
      </c>
      <c r="C39" t="s">
        <v>3</v>
      </c>
      <c r="D39" t="s">
        <v>2</v>
      </c>
      <c r="E39" t="s">
        <v>7</v>
      </c>
      <c r="F39" t="s">
        <v>2</v>
      </c>
      <c r="G39" t="s">
        <v>2</v>
      </c>
      <c r="H39" t="s">
        <v>2</v>
      </c>
    </row>
    <row r="40" spans="1:8" x14ac:dyDescent="0.25">
      <c r="A40" s="4">
        <v>36</v>
      </c>
      <c r="C40" t="s">
        <v>3</v>
      </c>
      <c r="E40" t="s">
        <v>2</v>
      </c>
      <c r="F40" t="s">
        <v>2</v>
      </c>
      <c r="G40" t="s">
        <v>2</v>
      </c>
      <c r="H40" t="s">
        <v>2</v>
      </c>
    </row>
    <row r="41" spans="1:8" x14ac:dyDescent="0.25">
      <c r="A41" s="4">
        <v>37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</row>
    <row r="42" spans="1:8" x14ac:dyDescent="0.25">
      <c r="A42" s="4">
        <v>38</v>
      </c>
      <c r="F42" t="s">
        <v>7</v>
      </c>
      <c r="G42" t="s">
        <v>2</v>
      </c>
    </row>
    <row r="43" spans="1:8" x14ac:dyDescent="0.25">
      <c r="A43" s="4">
        <v>39</v>
      </c>
      <c r="D43" t="s">
        <v>7</v>
      </c>
      <c r="E43" t="s">
        <v>2</v>
      </c>
      <c r="G43" t="s">
        <v>2</v>
      </c>
    </row>
    <row r="44" spans="1:8" x14ac:dyDescent="0.25">
      <c r="A44" s="4">
        <v>40</v>
      </c>
      <c r="D44" t="s">
        <v>2</v>
      </c>
      <c r="F44" t="s">
        <v>2</v>
      </c>
      <c r="G44" t="s">
        <v>2</v>
      </c>
      <c r="H44" t="s">
        <v>2</v>
      </c>
    </row>
    <row r="45" spans="1:8" x14ac:dyDescent="0.25">
      <c r="A45" s="4">
        <v>41</v>
      </c>
      <c r="C45" t="s">
        <v>5</v>
      </c>
      <c r="E45" t="s">
        <v>7</v>
      </c>
    </row>
    <row r="46" spans="1:8" x14ac:dyDescent="0.25">
      <c r="A46" s="4">
        <v>42</v>
      </c>
      <c r="B46" t="s">
        <v>5</v>
      </c>
      <c r="F46" t="s">
        <v>2</v>
      </c>
      <c r="H46" t="s">
        <v>2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  <c r="B49" t="s">
        <v>7</v>
      </c>
      <c r="H49" t="s">
        <v>2</v>
      </c>
    </row>
    <row r="50" spans="1:8" x14ac:dyDescent="0.25">
      <c r="A50" s="4">
        <v>46</v>
      </c>
      <c r="B50" t="s">
        <v>7</v>
      </c>
    </row>
    <row r="51" spans="1:8" x14ac:dyDescent="0.25">
      <c r="A51" s="4">
        <v>47</v>
      </c>
      <c r="B51" t="s">
        <v>7</v>
      </c>
    </row>
    <row r="52" spans="1:8" x14ac:dyDescent="0.25">
      <c r="A52" s="4">
        <v>48</v>
      </c>
    </row>
    <row r="53" spans="1:8" x14ac:dyDescent="0.25">
      <c r="A53" s="4">
        <v>49</v>
      </c>
    </row>
    <row r="54" spans="1:8" x14ac:dyDescent="0.25">
      <c r="A54" s="4">
        <v>50</v>
      </c>
      <c r="D54" t="s">
        <v>2</v>
      </c>
      <c r="G54" t="s">
        <v>2</v>
      </c>
    </row>
    <row r="55" spans="1:8" x14ac:dyDescent="0.25">
      <c r="A55" s="4">
        <v>51</v>
      </c>
      <c r="B55" t="s">
        <v>2</v>
      </c>
      <c r="C55" t="s">
        <v>2</v>
      </c>
      <c r="F55" t="s">
        <v>2</v>
      </c>
      <c r="H55" t="s">
        <v>2</v>
      </c>
    </row>
    <row r="56" spans="1:8" x14ac:dyDescent="0.25">
      <c r="A56" s="4">
        <v>52</v>
      </c>
    </row>
    <row r="57" spans="1:8" x14ac:dyDescent="0.25">
      <c r="A57" s="4">
        <v>53</v>
      </c>
    </row>
    <row r="58" spans="1:8" x14ac:dyDescent="0.25">
      <c r="A58" s="4">
        <v>54</v>
      </c>
      <c r="B58" t="s">
        <v>7</v>
      </c>
      <c r="C58" t="s">
        <v>2</v>
      </c>
      <c r="D58" t="s">
        <v>2</v>
      </c>
      <c r="G58" t="s">
        <v>2</v>
      </c>
    </row>
    <row r="59" spans="1:8" x14ac:dyDescent="0.25">
      <c r="A59" s="4">
        <v>55</v>
      </c>
      <c r="G59" t="s">
        <v>6</v>
      </c>
    </row>
    <row r="60" spans="1:8" x14ac:dyDescent="0.25">
      <c r="A60" s="4">
        <v>56</v>
      </c>
      <c r="E60" t="s">
        <v>7</v>
      </c>
      <c r="G60" t="s">
        <v>2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B61:I62 I5:I60">
    <cfRule type="cellIs" dxfId="1523" priority="18" operator="equal">
      <formula>"Energia"</formula>
    </cfRule>
    <cfRule type="cellIs" dxfId="1522" priority="20" operator="equal">
      <formula>"Operação"</formula>
    </cfRule>
    <cfRule type="cellIs" dxfId="1521" priority="21" operator="equal">
      <formula>"Chuva"</formula>
    </cfRule>
    <cfRule type="cellIs" dxfId="1520" priority="22" operator="equal">
      <formula>"Elétrico"</formula>
    </cfRule>
    <cfRule type="cellIs" dxfId="1519" priority="23" operator="equal">
      <formula>"Mecânico"</formula>
    </cfRule>
    <cfRule type="cellIs" dxfId="1518" priority="24" operator="equal">
      <formula>"Ok"</formula>
    </cfRule>
  </conditionalFormatting>
  <conditionalFormatting sqref="B61:I62 I5:I60">
    <cfRule type="cellIs" dxfId="1517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1516" priority="16" operator="equal">
      <formula>"Energia"</formula>
    </cfRule>
  </conditionalFormatting>
  <conditionalFormatting sqref="G5:H60 B5:E60">
    <cfRule type="cellIs" dxfId="1515" priority="9" operator="equal">
      <formula>"Energia"</formula>
    </cfRule>
    <cfRule type="cellIs" dxfId="1514" priority="11" operator="equal">
      <formula>"Operação"</formula>
    </cfRule>
    <cfRule type="cellIs" dxfId="1513" priority="12" operator="equal">
      <formula>"Chuva"</formula>
    </cfRule>
    <cfRule type="cellIs" dxfId="1512" priority="13" operator="equal">
      <formula>"Elétrico"</formula>
    </cfRule>
    <cfRule type="cellIs" dxfId="1511" priority="14" operator="equal">
      <formula>"Mecânico"</formula>
    </cfRule>
    <cfRule type="cellIs" dxfId="1510" priority="15" operator="equal">
      <formula>"Ok"</formula>
    </cfRule>
  </conditionalFormatting>
  <conditionalFormatting sqref="G5:H60 B5:E60">
    <cfRule type="cellIs" dxfId="1509" priority="10" operator="equal">
      <formula>"Feito"</formula>
    </cfRule>
  </conditionalFormatting>
  <conditionalFormatting sqref="F5:F11">
    <cfRule type="cellIs" dxfId="1508" priority="8" operator="equal">
      <formula>"Energia"</formula>
    </cfRule>
  </conditionalFormatting>
  <conditionalFormatting sqref="F5:F60">
    <cfRule type="cellIs" dxfId="1507" priority="1" operator="equal">
      <formula>"Energia"</formula>
    </cfRule>
    <cfRule type="cellIs" dxfId="1506" priority="3" operator="equal">
      <formula>"Operação"</formula>
    </cfRule>
    <cfRule type="cellIs" dxfId="1505" priority="4" operator="equal">
      <formula>"Chuva"</formula>
    </cfRule>
    <cfRule type="cellIs" dxfId="1504" priority="5" operator="equal">
      <formula>"Elétrico"</formula>
    </cfRule>
    <cfRule type="cellIs" dxfId="1503" priority="6" operator="equal">
      <formula>"Mecânico"</formula>
    </cfRule>
    <cfRule type="cellIs" dxfId="1502" priority="7" operator="equal">
      <formula>"Ok"</formula>
    </cfRule>
  </conditionalFormatting>
  <conditionalFormatting sqref="F5:F60">
    <cfRule type="cellIs" dxfId="1501" priority="2" operator="equal">
      <formula>"Feito"</formula>
    </cfRule>
  </conditionalFormatting>
  <dataValidations count="1">
    <dataValidation type="list" allowBlank="1" showInputMessage="1" showErrorMessage="1" sqref="B61:I62 B5:J60" xr:uid="{29185F61-7F10-48B1-9B06-432602F2A8FC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4E9C-DA58-4E7F-A1D2-26254D812D37}">
  <sheetPr codeName="Planilha40"/>
  <dimension ref="A3:N62"/>
  <sheetViews>
    <sheetView zoomScale="110" zoomScaleNormal="110"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44501</v>
      </c>
      <c r="C3" s="3">
        <f>B3+1</f>
        <v>44502</v>
      </c>
      <c r="D3" s="3">
        <f t="shared" ref="D3:H3" si="0">C3+1</f>
        <v>44503</v>
      </c>
      <c r="E3" s="3">
        <f t="shared" si="0"/>
        <v>44504</v>
      </c>
      <c r="F3" s="3">
        <f t="shared" si="0"/>
        <v>44505</v>
      </c>
      <c r="G3" s="3">
        <f t="shared" si="0"/>
        <v>44506</v>
      </c>
      <c r="H3" s="3">
        <f t="shared" si="0"/>
        <v>44507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B5" t="s">
        <v>2</v>
      </c>
      <c r="C5" t="s">
        <v>2</v>
      </c>
      <c r="D5" t="s">
        <v>2</v>
      </c>
      <c r="E5" t="s">
        <v>7</v>
      </c>
      <c r="G5" t="s">
        <v>2</v>
      </c>
      <c r="H5" t="s">
        <v>2</v>
      </c>
      <c r="K5" s="5" t="s">
        <v>2</v>
      </c>
      <c r="L5">
        <f>COUNTIF($B$5:$I$60,K5)</f>
        <v>85</v>
      </c>
      <c r="M5" s="53">
        <f>L5/$L$11</f>
        <v>0.69672131147540983</v>
      </c>
      <c r="N5" s="52">
        <v>44501</v>
      </c>
    </row>
    <row r="6" spans="1:14" x14ac:dyDescent="0.25">
      <c r="A6" s="4">
        <v>2</v>
      </c>
      <c r="B6" t="s">
        <v>2</v>
      </c>
      <c r="C6" t="s">
        <v>2</v>
      </c>
      <c r="D6" t="s">
        <v>2</v>
      </c>
      <c r="E6" t="s">
        <v>2</v>
      </c>
      <c r="G6" t="s">
        <v>2</v>
      </c>
      <c r="H6" t="s">
        <v>2</v>
      </c>
      <c r="K6" s="6" t="s">
        <v>5</v>
      </c>
      <c r="L6">
        <f>COUNTIF($B$5:$I$60,K6)</f>
        <v>4</v>
      </c>
      <c r="M6" s="53">
        <f t="shared" ref="M6:M10" si="2">L6/$L$11</f>
        <v>3.2786885245901641E-2</v>
      </c>
    </row>
    <row r="7" spans="1:14" x14ac:dyDescent="0.25">
      <c r="A7" s="4">
        <v>3</v>
      </c>
      <c r="B7" t="s">
        <v>7</v>
      </c>
      <c r="C7" t="s">
        <v>2</v>
      </c>
      <c r="D7" t="s">
        <v>7</v>
      </c>
      <c r="E7" t="s">
        <v>2</v>
      </c>
      <c r="G7" t="s">
        <v>2</v>
      </c>
      <c r="H7" t="s">
        <v>7</v>
      </c>
      <c r="K7" s="7" t="s">
        <v>6</v>
      </c>
      <c r="L7">
        <f t="shared" ref="L7:L10" si="3">COUNTIF($B$5:$I$60,K7)</f>
        <v>8</v>
      </c>
      <c r="M7" s="53">
        <f t="shared" si="2"/>
        <v>6.5573770491803282E-2</v>
      </c>
    </row>
    <row r="8" spans="1:14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G8" t="s">
        <v>2</v>
      </c>
      <c r="H8" t="s">
        <v>2</v>
      </c>
      <c r="K8" s="8" t="s">
        <v>4</v>
      </c>
      <c r="L8">
        <f t="shared" si="3"/>
        <v>0</v>
      </c>
      <c r="M8" s="53">
        <f t="shared" si="2"/>
        <v>0</v>
      </c>
    </row>
    <row r="9" spans="1:14" x14ac:dyDescent="0.25">
      <c r="A9" s="4">
        <v>5</v>
      </c>
      <c r="B9" t="s">
        <v>2</v>
      </c>
      <c r="C9" t="s">
        <v>2</v>
      </c>
      <c r="D9" t="s">
        <v>2</v>
      </c>
      <c r="E9" t="s">
        <v>2</v>
      </c>
      <c r="H9" t="s">
        <v>2</v>
      </c>
      <c r="K9" s="9" t="s">
        <v>3</v>
      </c>
      <c r="L9">
        <f t="shared" si="3"/>
        <v>5</v>
      </c>
      <c r="M9" s="53">
        <f t="shared" si="2"/>
        <v>4.0983606557377046E-2</v>
      </c>
    </row>
    <row r="10" spans="1:14" x14ac:dyDescent="0.25">
      <c r="A10" s="4">
        <v>6</v>
      </c>
      <c r="B10" t="s">
        <v>2</v>
      </c>
      <c r="C10" t="s">
        <v>2</v>
      </c>
      <c r="D10" t="s">
        <v>2</v>
      </c>
      <c r="E10" t="s">
        <v>5</v>
      </c>
      <c r="H10" t="s">
        <v>7</v>
      </c>
      <c r="K10" s="10" t="s">
        <v>7</v>
      </c>
      <c r="L10">
        <f t="shared" si="3"/>
        <v>20</v>
      </c>
      <c r="M10" s="53">
        <f t="shared" si="2"/>
        <v>0.16393442622950818</v>
      </c>
    </row>
    <row r="11" spans="1:14" x14ac:dyDescent="0.25">
      <c r="A11" s="4">
        <v>7</v>
      </c>
      <c r="B11" t="s">
        <v>2</v>
      </c>
      <c r="C11" t="s">
        <v>2</v>
      </c>
      <c r="D11" t="s">
        <v>2</v>
      </c>
      <c r="E11" t="s">
        <v>2</v>
      </c>
      <c r="F11" t="s">
        <v>3</v>
      </c>
      <c r="G11" t="s">
        <v>2</v>
      </c>
      <c r="L11">
        <f>SUM(L5:L10)</f>
        <v>122</v>
      </c>
    </row>
    <row r="12" spans="1:14" x14ac:dyDescent="0.25">
      <c r="A12" s="4">
        <v>8</v>
      </c>
      <c r="B12" t="s">
        <v>2</v>
      </c>
      <c r="C12" t="s">
        <v>2</v>
      </c>
      <c r="D12" t="s">
        <v>2</v>
      </c>
      <c r="E12" t="s">
        <v>2</v>
      </c>
      <c r="F12" t="s">
        <v>3</v>
      </c>
      <c r="G12" t="s">
        <v>7</v>
      </c>
    </row>
    <row r="13" spans="1:14" x14ac:dyDescent="0.25">
      <c r="A13" s="4">
        <v>9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</row>
    <row r="14" spans="1:14" x14ac:dyDescent="0.25">
      <c r="A14" s="4">
        <v>10</v>
      </c>
      <c r="D14" t="s">
        <v>2</v>
      </c>
      <c r="E14" t="s">
        <v>2</v>
      </c>
      <c r="F14" t="s">
        <v>3</v>
      </c>
      <c r="G14" t="s">
        <v>2</v>
      </c>
      <c r="H14" t="s">
        <v>2</v>
      </c>
    </row>
    <row r="15" spans="1:14" x14ac:dyDescent="0.25">
      <c r="A15" s="4">
        <v>11</v>
      </c>
      <c r="E15" t="s">
        <v>2</v>
      </c>
      <c r="F15" t="s">
        <v>2</v>
      </c>
      <c r="G15" t="s">
        <v>2</v>
      </c>
      <c r="H15" t="s">
        <v>2</v>
      </c>
    </row>
    <row r="16" spans="1:14" x14ac:dyDescent="0.25">
      <c r="A16" s="4">
        <v>12</v>
      </c>
      <c r="C16" t="s">
        <v>2</v>
      </c>
      <c r="E16" t="s">
        <v>2</v>
      </c>
      <c r="F16" t="s">
        <v>2</v>
      </c>
      <c r="G16" t="s">
        <v>2</v>
      </c>
      <c r="H16" t="s">
        <v>2</v>
      </c>
    </row>
    <row r="17" spans="1:8" x14ac:dyDescent="0.25">
      <c r="A17" s="4">
        <v>13</v>
      </c>
    </row>
    <row r="18" spans="1:8" x14ac:dyDescent="0.25">
      <c r="A18" s="4">
        <v>14</v>
      </c>
      <c r="H18" t="s">
        <v>7</v>
      </c>
    </row>
    <row r="19" spans="1:8" x14ac:dyDescent="0.25">
      <c r="A19" s="4">
        <v>15</v>
      </c>
      <c r="D19" t="s">
        <v>7</v>
      </c>
      <c r="H19" t="s">
        <v>2</v>
      </c>
    </row>
    <row r="20" spans="1:8" x14ac:dyDescent="0.25">
      <c r="A20" s="4">
        <v>16</v>
      </c>
      <c r="B20" t="s">
        <v>7</v>
      </c>
    </row>
    <row r="21" spans="1:8" x14ac:dyDescent="0.25">
      <c r="A21" s="4">
        <v>17</v>
      </c>
      <c r="E21" t="s">
        <v>7</v>
      </c>
    </row>
    <row r="22" spans="1:8" x14ac:dyDescent="0.25">
      <c r="A22" s="4">
        <v>18</v>
      </c>
    </row>
    <row r="23" spans="1:8" x14ac:dyDescent="0.25">
      <c r="A23" s="4">
        <v>19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  <c r="D27" t="s">
        <v>6</v>
      </c>
      <c r="H27" t="s">
        <v>2</v>
      </c>
    </row>
    <row r="28" spans="1:8" x14ac:dyDescent="0.25">
      <c r="A28" s="4">
        <v>24</v>
      </c>
    </row>
    <row r="29" spans="1:8" x14ac:dyDescent="0.25">
      <c r="A29" s="4">
        <v>25</v>
      </c>
      <c r="C29" t="s">
        <v>2</v>
      </c>
      <c r="E29" t="s">
        <v>6</v>
      </c>
      <c r="F29" t="s">
        <v>3</v>
      </c>
      <c r="H29" t="s">
        <v>2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2</v>
      </c>
      <c r="D33" t="s">
        <v>3</v>
      </c>
      <c r="F33" t="s">
        <v>2</v>
      </c>
      <c r="H33" t="s">
        <v>2</v>
      </c>
    </row>
    <row r="34" spans="1:8" x14ac:dyDescent="0.25">
      <c r="A34" s="4">
        <v>30</v>
      </c>
    </row>
    <row r="35" spans="1:8" x14ac:dyDescent="0.25">
      <c r="A35" s="4">
        <v>31</v>
      </c>
      <c r="B35" t="s">
        <v>2</v>
      </c>
      <c r="C35" t="s">
        <v>7</v>
      </c>
      <c r="D35" t="s">
        <v>6</v>
      </c>
      <c r="G35" t="s">
        <v>6</v>
      </c>
    </row>
    <row r="36" spans="1:8" x14ac:dyDescent="0.25">
      <c r="A36" s="4">
        <v>32</v>
      </c>
      <c r="B36" t="s">
        <v>7</v>
      </c>
      <c r="C36" t="s">
        <v>7</v>
      </c>
      <c r="D36" t="s">
        <v>7</v>
      </c>
      <c r="E36" t="s">
        <v>6</v>
      </c>
      <c r="G36" t="s">
        <v>7</v>
      </c>
      <c r="H36" t="s">
        <v>7</v>
      </c>
    </row>
    <row r="37" spans="1:8" x14ac:dyDescent="0.25">
      <c r="A37" s="4">
        <v>33</v>
      </c>
      <c r="B37" t="s">
        <v>7</v>
      </c>
      <c r="C37" t="s">
        <v>5</v>
      </c>
      <c r="D37" t="s">
        <v>5</v>
      </c>
      <c r="E37" t="s">
        <v>6</v>
      </c>
      <c r="G37" t="s">
        <v>2</v>
      </c>
      <c r="H37" t="s">
        <v>2</v>
      </c>
    </row>
    <row r="38" spans="1:8" x14ac:dyDescent="0.25">
      <c r="A38" s="4">
        <v>34</v>
      </c>
    </row>
    <row r="39" spans="1:8" x14ac:dyDescent="0.25">
      <c r="A39" s="4">
        <v>35</v>
      </c>
      <c r="B39" t="s">
        <v>2</v>
      </c>
      <c r="C39" t="s">
        <v>5</v>
      </c>
      <c r="D39" t="s">
        <v>2</v>
      </c>
      <c r="F39" t="s">
        <v>2</v>
      </c>
    </row>
    <row r="40" spans="1:8" x14ac:dyDescent="0.25">
      <c r="A40" s="4">
        <v>36</v>
      </c>
      <c r="B40" t="s">
        <v>2</v>
      </c>
      <c r="C40" t="s">
        <v>2</v>
      </c>
      <c r="D40" t="s">
        <v>2</v>
      </c>
      <c r="H40" t="s">
        <v>7</v>
      </c>
    </row>
    <row r="41" spans="1:8" x14ac:dyDescent="0.25">
      <c r="A41" s="4">
        <v>37</v>
      </c>
      <c r="B41" t="s">
        <v>2</v>
      </c>
      <c r="C41" t="s">
        <v>2</v>
      </c>
      <c r="H41" t="s">
        <v>2</v>
      </c>
    </row>
    <row r="42" spans="1:8" x14ac:dyDescent="0.25">
      <c r="A42" s="4">
        <v>38</v>
      </c>
      <c r="B42" t="s">
        <v>2</v>
      </c>
      <c r="F42" t="s">
        <v>2</v>
      </c>
    </row>
    <row r="43" spans="1:8" x14ac:dyDescent="0.25">
      <c r="A43" s="4">
        <v>39</v>
      </c>
      <c r="C43" t="s">
        <v>2</v>
      </c>
      <c r="E43" t="s">
        <v>2</v>
      </c>
      <c r="G43" t="s">
        <v>2</v>
      </c>
    </row>
    <row r="44" spans="1:8" x14ac:dyDescent="0.25">
      <c r="A44" s="4">
        <v>40</v>
      </c>
      <c r="F44" t="s">
        <v>2</v>
      </c>
    </row>
    <row r="45" spans="1:8" x14ac:dyDescent="0.25">
      <c r="A45" s="4">
        <v>41</v>
      </c>
      <c r="C45" t="s">
        <v>6</v>
      </c>
      <c r="G45" t="s">
        <v>2</v>
      </c>
    </row>
    <row r="46" spans="1:8" x14ac:dyDescent="0.25">
      <c r="A46" s="4">
        <v>42</v>
      </c>
      <c r="D46" t="s">
        <v>2</v>
      </c>
      <c r="F46" t="s">
        <v>7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2" x14ac:dyDescent="0.25">
      <c r="A49" s="4">
        <v>45</v>
      </c>
    </row>
    <row r="50" spans="1:2" x14ac:dyDescent="0.25">
      <c r="A50" s="4">
        <v>46</v>
      </c>
    </row>
    <row r="51" spans="1:2" x14ac:dyDescent="0.25">
      <c r="A51" s="4">
        <v>47</v>
      </c>
    </row>
    <row r="52" spans="1:2" x14ac:dyDescent="0.25">
      <c r="A52" s="4">
        <v>48</v>
      </c>
    </row>
    <row r="53" spans="1:2" x14ac:dyDescent="0.25">
      <c r="A53" s="4">
        <v>49</v>
      </c>
    </row>
    <row r="54" spans="1:2" x14ac:dyDescent="0.25">
      <c r="A54" s="4">
        <v>50</v>
      </c>
    </row>
    <row r="55" spans="1:2" x14ac:dyDescent="0.25">
      <c r="A55" s="4">
        <v>51</v>
      </c>
      <c r="B55" t="s">
        <v>2</v>
      </c>
    </row>
    <row r="56" spans="1:2" x14ac:dyDescent="0.25">
      <c r="A56" s="4">
        <v>52</v>
      </c>
    </row>
    <row r="57" spans="1:2" x14ac:dyDescent="0.25">
      <c r="A57" s="4">
        <v>53</v>
      </c>
    </row>
    <row r="58" spans="1:2" x14ac:dyDescent="0.25">
      <c r="A58" s="4">
        <v>54</v>
      </c>
      <c r="B58" t="s">
        <v>6</v>
      </c>
    </row>
    <row r="59" spans="1:2" x14ac:dyDescent="0.25">
      <c r="A59" s="4">
        <v>55</v>
      </c>
      <c r="B59" t="s">
        <v>7</v>
      </c>
    </row>
    <row r="60" spans="1:2" x14ac:dyDescent="0.25">
      <c r="A60" s="4">
        <v>56</v>
      </c>
    </row>
    <row r="61" spans="1:2" x14ac:dyDescent="0.25">
      <c r="A61" s="18">
        <v>73</v>
      </c>
    </row>
    <row r="62" spans="1:2" x14ac:dyDescent="0.25">
      <c r="A62" s="18">
        <v>74</v>
      </c>
    </row>
  </sheetData>
  <conditionalFormatting sqref="B61:I62 I5:I60">
    <cfRule type="cellIs" dxfId="1500" priority="18" operator="equal">
      <formula>"Energia"</formula>
    </cfRule>
    <cfRule type="cellIs" dxfId="1499" priority="20" operator="equal">
      <formula>"Operação"</formula>
    </cfRule>
    <cfRule type="cellIs" dxfId="1498" priority="21" operator="equal">
      <formula>"Chuva"</formula>
    </cfRule>
    <cfRule type="cellIs" dxfId="1497" priority="22" operator="equal">
      <formula>"Elétrico"</formula>
    </cfRule>
    <cfRule type="cellIs" dxfId="1496" priority="23" operator="equal">
      <formula>"Mecânico"</formula>
    </cfRule>
    <cfRule type="cellIs" dxfId="1495" priority="24" operator="equal">
      <formula>"Ok"</formula>
    </cfRule>
  </conditionalFormatting>
  <conditionalFormatting sqref="B61:I62 I5:I60">
    <cfRule type="cellIs" dxfId="1494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1493" priority="16" operator="equal">
      <formula>"Energia"</formula>
    </cfRule>
  </conditionalFormatting>
  <conditionalFormatting sqref="G5:H60 B5:E60">
    <cfRule type="cellIs" dxfId="1492" priority="9" operator="equal">
      <formula>"Energia"</formula>
    </cfRule>
    <cfRule type="cellIs" dxfId="1491" priority="11" operator="equal">
      <formula>"Operação"</formula>
    </cfRule>
    <cfRule type="cellIs" dxfId="1490" priority="12" operator="equal">
      <formula>"Chuva"</formula>
    </cfRule>
    <cfRule type="cellIs" dxfId="1489" priority="13" operator="equal">
      <formula>"Elétrico"</formula>
    </cfRule>
    <cfRule type="cellIs" dxfId="1488" priority="14" operator="equal">
      <formula>"Mecânico"</formula>
    </cfRule>
    <cfRule type="cellIs" dxfId="1487" priority="15" operator="equal">
      <formula>"Ok"</formula>
    </cfRule>
  </conditionalFormatting>
  <conditionalFormatting sqref="G5:H60 B5:E60">
    <cfRule type="cellIs" dxfId="1486" priority="10" operator="equal">
      <formula>"Feito"</formula>
    </cfRule>
  </conditionalFormatting>
  <conditionalFormatting sqref="F5:F11">
    <cfRule type="cellIs" dxfId="1485" priority="8" operator="equal">
      <formula>"Energia"</formula>
    </cfRule>
  </conditionalFormatting>
  <conditionalFormatting sqref="F5:F60">
    <cfRule type="cellIs" dxfId="1484" priority="1" operator="equal">
      <formula>"Energia"</formula>
    </cfRule>
    <cfRule type="cellIs" dxfId="1483" priority="3" operator="equal">
      <formula>"Operação"</formula>
    </cfRule>
    <cfRule type="cellIs" dxfId="1482" priority="4" operator="equal">
      <formula>"Chuva"</formula>
    </cfRule>
    <cfRule type="cellIs" dxfId="1481" priority="5" operator="equal">
      <formula>"Elétrico"</formula>
    </cfRule>
    <cfRule type="cellIs" dxfId="1480" priority="6" operator="equal">
      <formula>"Mecânico"</formula>
    </cfRule>
    <cfRule type="cellIs" dxfId="1479" priority="7" operator="equal">
      <formula>"Ok"</formula>
    </cfRule>
  </conditionalFormatting>
  <conditionalFormatting sqref="F5:F60">
    <cfRule type="cellIs" dxfId="1478" priority="2" operator="equal">
      <formula>"Feito"</formula>
    </cfRule>
  </conditionalFormatting>
  <dataValidations count="1">
    <dataValidation type="list" allowBlank="1" showInputMessage="1" showErrorMessage="1" sqref="B61:I62 B5:J60" xr:uid="{6982E1B5-9587-43C5-B8B1-ED7199409678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0C82-2251-48D4-BBEB-C1081FFA46D3}">
  <sheetPr codeName="Planilha41"/>
  <dimension ref="A3:N62"/>
  <sheetViews>
    <sheetView zoomScale="110" zoomScaleNormal="110"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44508</v>
      </c>
      <c r="C3" s="3">
        <f>B3+1</f>
        <v>44509</v>
      </c>
      <c r="D3" s="3">
        <f t="shared" ref="D3:H3" si="0">C3+1</f>
        <v>44510</v>
      </c>
      <c r="E3" s="3">
        <f t="shared" si="0"/>
        <v>44511</v>
      </c>
      <c r="F3" s="3">
        <f t="shared" si="0"/>
        <v>44512</v>
      </c>
      <c r="G3" s="3">
        <f t="shared" si="0"/>
        <v>44513</v>
      </c>
      <c r="H3" s="3">
        <f t="shared" si="0"/>
        <v>44514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K5" s="5" t="s">
        <v>2</v>
      </c>
      <c r="L5">
        <f>COUNTIF($B$5:$I$60,K5)</f>
        <v>3</v>
      </c>
      <c r="M5" s="53">
        <f>L5/$L$11</f>
        <v>0.1875</v>
      </c>
      <c r="N5" s="52">
        <v>44508</v>
      </c>
    </row>
    <row r="6" spans="1:14" x14ac:dyDescent="0.25">
      <c r="A6" s="4">
        <v>2</v>
      </c>
      <c r="K6" s="6" t="s">
        <v>5</v>
      </c>
      <c r="L6">
        <f>COUNTIF($B$5:$I$60,K6)</f>
        <v>0</v>
      </c>
      <c r="M6" s="53">
        <f t="shared" ref="M6:M10" si="2">L6/$L$11</f>
        <v>0</v>
      </c>
    </row>
    <row r="7" spans="1:14" x14ac:dyDescent="0.25">
      <c r="A7" s="4">
        <v>3</v>
      </c>
      <c r="K7" s="7" t="s">
        <v>6</v>
      </c>
      <c r="L7">
        <f t="shared" ref="L7:L10" si="3">COUNTIF($B$5:$I$60,K7)</f>
        <v>2</v>
      </c>
      <c r="M7" s="53">
        <f t="shared" si="2"/>
        <v>0.125</v>
      </c>
    </row>
    <row r="8" spans="1:14" x14ac:dyDescent="0.25">
      <c r="A8" s="4">
        <v>4</v>
      </c>
      <c r="K8" s="8" t="s">
        <v>4</v>
      </c>
      <c r="L8">
        <f t="shared" si="3"/>
        <v>0</v>
      </c>
      <c r="M8" s="53">
        <f t="shared" si="2"/>
        <v>0</v>
      </c>
    </row>
    <row r="9" spans="1:14" x14ac:dyDescent="0.25">
      <c r="A9" s="4">
        <v>5</v>
      </c>
      <c r="K9" s="9" t="s">
        <v>3</v>
      </c>
      <c r="L9">
        <f t="shared" si="3"/>
        <v>5</v>
      </c>
      <c r="M9" s="53">
        <f t="shared" si="2"/>
        <v>0.3125</v>
      </c>
    </row>
    <row r="10" spans="1:14" x14ac:dyDescent="0.25">
      <c r="A10" s="4">
        <v>6</v>
      </c>
      <c r="K10" s="10" t="s">
        <v>7</v>
      </c>
      <c r="L10">
        <f t="shared" si="3"/>
        <v>6</v>
      </c>
      <c r="M10" s="53">
        <f t="shared" si="2"/>
        <v>0.375</v>
      </c>
    </row>
    <row r="11" spans="1:14" x14ac:dyDescent="0.25">
      <c r="A11" s="4">
        <v>7</v>
      </c>
      <c r="L11">
        <f>SUM(L5:L10)</f>
        <v>16</v>
      </c>
    </row>
    <row r="12" spans="1:14" x14ac:dyDescent="0.25">
      <c r="A12" s="4">
        <v>8</v>
      </c>
    </row>
    <row r="13" spans="1:14" x14ac:dyDescent="0.25">
      <c r="A13" s="4">
        <v>9</v>
      </c>
    </row>
    <row r="14" spans="1:14" x14ac:dyDescent="0.25">
      <c r="A14" s="4">
        <v>10</v>
      </c>
    </row>
    <row r="15" spans="1:14" x14ac:dyDescent="0.25">
      <c r="A15" s="4">
        <v>11</v>
      </c>
    </row>
    <row r="16" spans="1:14" x14ac:dyDescent="0.25">
      <c r="A16" s="4">
        <v>12</v>
      </c>
    </row>
    <row r="17" spans="1:6" x14ac:dyDescent="0.25">
      <c r="A17" s="4">
        <v>13</v>
      </c>
    </row>
    <row r="18" spans="1:6" x14ac:dyDescent="0.25">
      <c r="A18" s="4">
        <v>14</v>
      </c>
    </row>
    <row r="19" spans="1:6" x14ac:dyDescent="0.25">
      <c r="A19" s="4">
        <v>15</v>
      </c>
    </row>
    <row r="20" spans="1:6" x14ac:dyDescent="0.25">
      <c r="A20" s="4">
        <v>16</v>
      </c>
    </row>
    <row r="21" spans="1:6" x14ac:dyDescent="0.25">
      <c r="A21" s="4">
        <v>17</v>
      </c>
    </row>
    <row r="22" spans="1:6" x14ac:dyDescent="0.25">
      <c r="A22" s="4">
        <v>18</v>
      </c>
    </row>
    <row r="23" spans="1:6" x14ac:dyDescent="0.25">
      <c r="A23" s="4">
        <v>19</v>
      </c>
    </row>
    <row r="24" spans="1:6" x14ac:dyDescent="0.25">
      <c r="A24" s="4">
        <v>20</v>
      </c>
    </row>
    <row r="25" spans="1:6" x14ac:dyDescent="0.25">
      <c r="A25" s="4">
        <v>21</v>
      </c>
    </row>
    <row r="26" spans="1:6" x14ac:dyDescent="0.25">
      <c r="A26" s="4">
        <v>22</v>
      </c>
    </row>
    <row r="27" spans="1:6" x14ac:dyDescent="0.25">
      <c r="A27" s="4">
        <v>23</v>
      </c>
    </row>
    <row r="28" spans="1:6" x14ac:dyDescent="0.25">
      <c r="A28" s="4">
        <v>24</v>
      </c>
    </row>
    <row r="29" spans="1:6" x14ac:dyDescent="0.25">
      <c r="A29" s="4">
        <v>25</v>
      </c>
      <c r="B29" t="s">
        <v>7</v>
      </c>
      <c r="E29" t="s">
        <v>6</v>
      </c>
      <c r="F29" t="s">
        <v>2</v>
      </c>
    </row>
    <row r="30" spans="1:6" x14ac:dyDescent="0.25">
      <c r="A30" s="4">
        <v>26</v>
      </c>
    </row>
    <row r="31" spans="1:6" x14ac:dyDescent="0.25">
      <c r="A31" s="4">
        <v>27</v>
      </c>
    </row>
    <row r="32" spans="1:6" x14ac:dyDescent="0.25">
      <c r="A32" s="4">
        <v>28</v>
      </c>
    </row>
    <row r="33" spans="1:2" x14ac:dyDescent="0.25">
      <c r="A33" s="4">
        <v>29</v>
      </c>
    </row>
    <row r="34" spans="1:2" x14ac:dyDescent="0.25">
      <c r="A34" s="4">
        <v>30</v>
      </c>
    </row>
    <row r="35" spans="1:2" x14ac:dyDescent="0.25">
      <c r="A35" s="4">
        <v>31</v>
      </c>
    </row>
    <row r="36" spans="1:2" x14ac:dyDescent="0.25">
      <c r="A36" s="4">
        <v>32</v>
      </c>
    </row>
    <row r="37" spans="1:2" x14ac:dyDescent="0.25">
      <c r="A37" s="4">
        <v>33</v>
      </c>
    </row>
    <row r="38" spans="1:2" x14ac:dyDescent="0.25">
      <c r="A38" s="4">
        <v>34</v>
      </c>
    </row>
    <row r="39" spans="1:2" x14ac:dyDescent="0.25">
      <c r="A39" s="4">
        <v>35</v>
      </c>
      <c r="B39" t="s">
        <v>3</v>
      </c>
    </row>
    <row r="40" spans="1:2" x14ac:dyDescent="0.25">
      <c r="A40" s="4">
        <v>36</v>
      </c>
      <c r="B40" t="s">
        <v>3</v>
      </c>
    </row>
    <row r="41" spans="1:2" x14ac:dyDescent="0.25">
      <c r="A41" s="4">
        <v>37</v>
      </c>
    </row>
    <row r="42" spans="1:2" x14ac:dyDescent="0.25">
      <c r="A42" s="4">
        <v>38</v>
      </c>
      <c r="B42" t="s">
        <v>3</v>
      </c>
    </row>
    <row r="43" spans="1:2" x14ac:dyDescent="0.25">
      <c r="A43" s="4">
        <v>39</v>
      </c>
    </row>
    <row r="44" spans="1:2" x14ac:dyDescent="0.25">
      <c r="A44" s="4">
        <v>40</v>
      </c>
      <c r="B44" t="s">
        <v>3</v>
      </c>
    </row>
    <row r="45" spans="1:2" x14ac:dyDescent="0.25">
      <c r="A45" s="4">
        <v>41</v>
      </c>
    </row>
    <row r="46" spans="1:2" x14ac:dyDescent="0.25">
      <c r="A46" s="4">
        <v>42</v>
      </c>
      <c r="B46" t="s">
        <v>3</v>
      </c>
    </row>
    <row r="47" spans="1:2" x14ac:dyDescent="0.25">
      <c r="A47" s="4">
        <v>43</v>
      </c>
    </row>
    <row r="48" spans="1:2" x14ac:dyDescent="0.25">
      <c r="A48" s="4">
        <v>44</v>
      </c>
    </row>
    <row r="49" spans="1:7" x14ac:dyDescent="0.25">
      <c r="A49" s="4">
        <v>45</v>
      </c>
    </row>
    <row r="50" spans="1:7" x14ac:dyDescent="0.25">
      <c r="A50" s="4">
        <v>46</v>
      </c>
    </row>
    <row r="51" spans="1:7" x14ac:dyDescent="0.25">
      <c r="A51" s="4">
        <v>47</v>
      </c>
    </row>
    <row r="52" spans="1:7" x14ac:dyDescent="0.25">
      <c r="A52" s="4">
        <v>48</v>
      </c>
    </row>
    <row r="53" spans="1:7" x14ac:dyDescent="0.25">
      <c r="A53" s="4">
        <v>49</v>
      </c>
    </row>
    <row r="54" spans="1:7" x14ac:dyDescent="0.25">
      <c r="A54" s="4">
        <v>50</v>
      </c>
    </row>
    <row r="55" spans="1:7" x14ac:dyDescent="0.25">
      <c r="A55" s="4">
        <v>51</v>
      </c>
    </row>
    <row r="56" spans="1:7" x14ac:dyDescent="0.25">
      <c r="A56" s="4">
        <v>52</v>
      </c>
    </row>
    <row r="57" spans="1:7" x14ac:dyDescent="0.25">
      <c r="A57" s="4">
        <v>53</v>
      </c>
    </row>
    <row r="58" spans="1:7" x14ac:dyDescent="0.25">
      <c r="A58" s="4">
        <v>54</v>
      </c>
    </row>
    <row r="59" spans="1:7" x14ac:dyDescent="0.25">
      <c r="A59" s="4">
        <v>55</v>
      </c>
      <c r="B59" t="s">
        <v>7</v>
      </c>
      <c r="E59" t="s">
        <v>2</v>
      </c>
      <c r="F59" t="s">
        <v>7</v>
      </c>
      <c r="G59" t="s">
        <v>6</v>
      </c>
    </row>
    <row r="60" spans="1:7" x14ac:dyDescent="0.25">
      <c r="A60" s="4">
        <v>56</v>
      </c>
      <c r="B60" t="s">
        <v>7</v>
      </c>
      <c r="E60" t="s">
        <v>2</v>
      </c>
      <c r="F60" t="s">
        <v>7</v>
      </c>
      <c r="G60" t="s">
        <v>7</v>
      </c>
    </row>
    <row r="61" spans="1:7" x14ac:dyDescent="0.25">
      <c r="A61" s="18">
        <v>73</v>
      </c>
    </row>
    <row r="62" spans="1:7" x14ac:dyDescent="0.25">
      <c r="A62" s="18">
        <v>74</v>
      </c>
    </row>
  </sheetData>
  <conditionalFormatting sqref="B61:I62 I5:I60">
    <cfRule type="cellIs" dxfId="1477" priority="18" operator="equal">
      <formula>"Energia"</formula>
    </cfRule>
    <cfRule type="cellIs" dxfId="1476" priority="20" operator="equal">
      <formula>"Operação"</formula>
    </cfRule>
    <cfRule type="cellIs" dxfId="1475" priority="21" operator="equal">
      <formula>"Chuva"</formula>
    </cfRule>
    <cfRule type="cellIs" dxfId="1474" priority="22" operator="equal">
      <formula>"Elétrico"</formula>
    </cfRule>
    <cfRule type="cellIs" dxfId="1473" priority="23" operator="equal">
      <formula>"Mecânico"</formula>
    </cfRule>
    <cfRule type="cellIs" dxfId="1472" priority="24" operator="equal">
      <formula>"Ok"</formula>
    </cfRule>
  </conditionalFormatting>
  <conditionalFormatting sqref="B61:I62 I5:I60">
    <cfRule type="cellIs" dxfId="1471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1470" priority="16" operator="equal">
      <formula>"Energia"</formula>
    </cfRule>
  </conditionalFormatting>
  <conditionalFormatting sqref="G5:H60 B5:E60">
    <cfRule type="cellIs" dxfId="1469" priority="9" operator="equal">
      <formula>"Energia"</formula>
    </cfRule>
    <cfRule type="cellIs" dxfId="1468" priority="11" operator="equal">
      <formula>"Operação"</formula>
    </cfRule>
    <cfRule type="cellIs" dxfId="1467" priority="12" operator="equal">
      <formula>"Chuva"</formula>
    </cfRule>
    <cfRule type="cellIs" dxfId="1466" priority="13" operator="equal">
      <formula>"Elétrico"</formula>
    </cfRule>
    <cfRule type="cellIs" dxfId="1465" priority="14" operator="equal">
      <formula>"Mecânico"</formula>
    </cfRule>
    <cfRule type="cellIs" dxfId="1464" priority="15" operator="equal">
      <formula>"Ok"</formula>
    </cfRule>
  </conditionalFormatting>
  <conditionalFormatting sqref="G5:H60 B5:E60">
    <cfRule type="cellIs" dxfId="1463" priority="10" operator="equal">
      <formula>"Feito"</formula>
    </cfRule>
  </conditionalFormatting>
  <conditionalFormatting sqref="F5:F11">
    <cfRule type="cellIs" dxfId="1462" priority="8" operator="equal">
      <formula>"Energia"</formula>
    </cfRule>
  </conditionalFormatting>
  <conditionalFormatting sqref="F5:F60">
    <cfRule type="cellIs" dxfId="1461" priority="1" operator="equal">
      <formula>"Energia"</formula>
    </cfRule>
    <cfRule type="cellIs" dxfId="1460" priority="3" operator="equal">
      <formula>"Operação"</formula>
    </cfRule>
    <cfRule type="cellIs" dxfId="1459" priority="4" operator="equal">
      <formula>"Chuva"</formula>
    </cfRule>
    <cfRule type="cellIs" dxfId="1458" priority="5" operator="equal">
      <formula>"Elétrico"</formula>
    </cfRule>
    <cfRule type="cellIs" dxfId="1457" priority="6" operator="equal">
      <formula>"Mecânico"</formula>
    </cfRule>
    <cfRule type="cellIs" dxfId="1456" priority="7" operator="equal">
      <formula>"Ok"</formula>
    </cfRule>
  </conditionalFormatting>
  <conditionalFormatting sqref="F5:F60">
    <cfRule type="cellIs" dxfId="1455" priority="2" operator="equal">
      <formula>"Feito"</formula>
    </cfRule>
  </conditionalFormatting>
  <dataValidations count="1">
    <dataValidation type="list" allowBlank="1" showInputMessage="1" showErrorMessage="1" sqref="B61:I62 B5:J60" xr:uid="{A99C090C-4C46-4250-927C-54F2016DD74B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44CF-6B30-4B33-ABE0-CDC7F159B2D5}">
  <sheetPr codeName="Planilha42"/>
  <dimension ref="A3:N62"/>
  <sheetViews>
    <sheetView zoomScale="110" zoomScaleNormal="110"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44515</v>
      </c>
      <c r="C3" s="3">
        <f>B3+1</f>
        <v>44516</v>
      </c>
      <c r="D3" s="3">
        <f t="shared" ref="D3:H3" si="0">C3+1</f>
        <v>44517</v>
      </c>
      <c r="E3" s="3">
        <f t="shared" si="0"/>
        <v>44518</v>
      </c>
      <c r="F3" s="3">
        <f t="shared" si="0"/>
        <v>44519</v>
      </c>
      <c r="G3" s="3">
        <f t="shared" si="0"/>
        <v>44520</v>
      </c>
      <c r="H3" s="3">
        <f t="shared" si="0"/>
        <v>44521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E5" t="s">
        <v>3</v>
      </c>
      <c r="F5" t="s">
        <v>2</v>
      </c>
      <c r="K5" s="5" t="s">
        <v>2</v>
      </c>
      <c r="L5">
        <f>COUNTIF($B$5:$I$60,K5)</f>
        <v>11</v>
      </c>
      <c r="M5" s="53">
        <f>L5/$L$11</f>
        <v>0.40740740740740738</v>
      </c>
      <c r="N5" s="52">
        <v>44515</v>
      </c>
    </row>
    <row r="6" spans="1:14" x14ac:dyDescent="0.25">
      <c r="A6" s="4">
        <v>2</v>
      </c>
      <c r="E6" t="s">
        <v>6</v>
      </c>
      <c r="K6" s="6" t="s">
        <v>5</v>
      </c>
      <c r="L6">
        <f>COUNTIF($B$5:$I$60,K6)</f>
        <v>0</v>
      </c>
      <c r="M6" s="53">
        <f t="shared" ref="M6:M10" si="2">L6/$L$11</f>
        <v>0</v>
      </c>
    </row>
    <row r="7" spans="1:14" x14ac:dyDescent="0.25">
      <c r="A7" s="4">
        <v>3</v>
      </c>
      <c r="E7" t="s">
        <v>3</v>
      </c>
      <c r="K7" s="7" t="s">
        <v>6</v>
      </c>
      <c r="L7">
        <f t="shared" ref="L7:L10" si="3">COUNTIF($B$5:$I$60,K7)</f>
        <v>2</v>
      </c>
      <c r="M7" s="53">
        <f t="shared" si="2"/>
        <v>7.407407407407407E-2</v>
      </c>
    </row>
    <row r="8" spans="1:14" x14ac:dyDescent="0.25">
      <c r="A8" s="4">
        <v>4</v>
      </c>
      <c r="E8" t="s">
        <v>3</v>
      </c>
      <c r="K8" s="8" t="s">
        <v>4</v>
      </c>
      <c r="L8">
        <f t="shared" si="3"/>
        <v>0</v>
      </c>
      <c r="M8" s="53">
        <f t="shared" si="2"/>
        <v>0</v>
      </c>
    </row>
    <row r="9" spans="1:14" x14ac:dyDescent="0.25">
      <c r="A9" s="4">
        <v>5</v>
      </c>
      <c r="E9" t="s">
        <v>3</v>
      </c>
      <c r="K9" s="9" t="s">
        <v>3</v>
      </c>
      <c r="L9">
        <f t="shared" si="3"/>
        <v>13</v>
      </c>
      <c r="M9" s="53">
        <f t="shared" si="2"/>
        <v>0.48148148148148145</v>
      </c>
    </row>
    <row r="10" spans="1:14" x14ac:dyDescent="0.25">
      <c r="A10" s="4">
        <v>6</v>
      </c>
      <c r="K10" s="10" t="s">
        <v>7</v>
      </c>
      <c r="L10">
        <f t="shared" si="3"/>
        <v>1</v>
      </c>
      <c r="M10" s="53">
        <f t="shared" si="2"/>
        <v>3.7037037037037035E-2</v>
      </c>
    </row>
    <row r="11" spans="1:14" x14ac:dyDescent="0.25">
      <c r="A11" s="4">
        <v>7</v>
      </c>
      <c r="E11" t="s">
        <v>2</v>
      </c>
      <c r="L11">
        <f>SUM(L5:L10)</f>
        <v>27</v>
      </c>
    </row>
    <row r="12" spans="1:14" x14ac:dyDescent="0.25">
      <c r="A12" s="4">
        <v>8</v>
      </c>
    </row>
    <row r="13" spans="1:14" x14ac:dyDescent="0.25">
      <c r="A13" s="4">
        <v>9</v>
      </c>
      <c r="E13" t="s">
        <v>3</v>
      </c>
    </row>
    <row r="14" spans="1:14" x14ac:dyDescent="0.25">
      <c r="A14" s="4">
        <v>10</v>
      </c>
    </row>
    <row r="15" spans="1:14" x14ac:dyDescent="0.25">
      <c r="A15" s="4">
        <v>11</v>
      </c>
    </row>
    <row r="16" spans="1:14" x14ac:dyDescent="0.25">
      <c r="A16" s="4">
        <v>12</v>
      </c>
      <c r="E16" t="s">
        <v>3</v>
      </c>
    </row>
    <row r="17" spans="1:5" x14ac:dyDescent="0.25">
      <c r="A17" s="4">
        <v>13</v>
      </c>
    </row>
    <row r="18" spans="1:5" x14ac:dyDescent="0.25">
      <c r="A18" s="4">
        <v>14</v>
      </c>
      <c r="E18" t="s">
        <v>3</v>
      </c>
    </row>
    <row r="19" spans="1:5" x14ac:dyDescent="0.25">
      <c r="A19" s="4">
        <v>15</v>
      </c>
    </row>
    <row r="20" spans="1:5" x14ac:dyDescent="0.25">
      <c r="A20" s="4">
        <v>16</v>
      </c>
    </row>
    <row r="21" spans="1:5" x14ac:dyDescent="0.25">
      <c r="A21" s="4">
        <v>17</v>
      </c>
    </row>
    <row r="22" spans="1:5" x14ac:dyDescent="0.25">
      <c r="A22" s="4">
        <v>18</v>
      </c>
    </row>
    <row r="23" spans="1:5" x14ac:dyDescent="0.25">
      <c r="A23" s="4">
        <v>19</v>
      </c>
    </row>
    <row r="24" spans="1:5" x14ac:dyDescent="0.25">
      <c r="A24" s="4">
        <v>20</v>
      </c>
    </row>
    <row r="25" spans="1:5" x14ac:dyDescent="0.25">
      <c r="A25" s="4">
        <v>21</v>
      </c>
    </row>
    <row r="26" spans="1:5" x14ac:dyDescent="0.25">
      <c r="A26" s="4">
        <v>22</v>
      </c>
    </row>
    <row r="27" spans="1:5" x14ac:dyDescent="0.25">
      <c r="A27" s="4">
        <v>23</v>
      </c>
    </row>
    <row r="28" spans="1:5" x14ac:dyDescent="0.25">
      <c r="A28" s="4">
        <v>24</v>
      </c>
    </row>
    <row r="29" spans="1:5" x14ac:dyDescent="0.25">
      <c r="A29" s="4">
        <v>25</v>
      </c>
      <c r="E29" t="s">
        <v>2</v>
      </c>
    </row>
    <row r="30" spans="1:5" x14ac:dyDescent="0.25">
      <c r="A30" s="4">
        <v>26</v>
      </c>
      <c r="E30" t="s">
        <v>3</v>
      </c>
    </row>
    <row r="31" spans="1:5" x14ac:dyDescent="0.25">
      <c r="A31" s="4">
        <v>27</v>
      </c>
    </row>
    <row r="32" spans="1:5" x14ac:dyDescent="0.25">
      <c r="A32" s="4">
        <v>28</v>
      </c>
    </row>
    <row r="33" spans="1:6" x14ac:dyDescent="0.25">
      <c r="A33" s="4">
        <v>29</v>
      </c>
      <c r="E33" t="s">
        <v>2</v>
      </c>
    </row>
    <row r="34" spans="1:6" x14ac:dyDescent="0.25">
      <c r="A34" s="4">
        <v>30</v>
      </c>
    </row>
    <row r="35" spans="1:6" x14ac:dyDescent="0.25">
      <c r="A35" s="4">
        <v>31</v>
      </c>
    </row>
    <row r="36" spans="1:6" x14ac:dyDescent="0.25">
      <c r="A36" s="4">
        <v>32</v>
      </c>
      <c r="E36" t="s">
        <v>7</v>
      </c>
    </row>
    <row r="37" spans="1:6" x14ac:dyDescent="0.25">
      <c r="A37" s="4">
        <v>33</v>
      </c>
      <c r="E37" t="s">
        <v>6</v>
      </c>
    </row>
    <row r="38" spans="1:6" x14ac:dyDescent="0.25">
      <c r="A38" s="4">
        <v>34</v>
      </c>
    </row>
    <row r="39" spans="1:6" x14ac:dyDescent="0.25">
      <c r="A39" s="4">
        <v>35</v>
      </c>
      <c r="E39" t="s">
        <v>3</v>
      </c>
    </row>
    <row r="40" spans="1:6" x14ac:dyDescent="0.25">
      <c r="A40" s="4">
        <v>36</v>
      </c>
      <c r="E40" t="s">
        <v>3</v>
      </c>
    </row>
    <row r="41" spans="1:6" x14ac:dyDescent="0.25">
      <c r="A41" s="4">
        <v>37</v>
      </c>
      <c r="D41" t="s">
        <v>2</v>
      </c>
    </row>
    <row r="42" spans="1:6" x14ac:dyDescent="0.25">
      <c r="A42" s="4">
        <v>38</v>
      </c>
      <c r="E42" t="s">
        <v>3</v>
      </c>
    </row>
    <row r="43" spans="1:6" x14ac:dyDescent="0.25">
      <c r="A43" s="4">
        <v>39</v>
      </c>
    </row>
    <row r="44" spans="1:6" x14ac:dyDescent="0.25">
      <c r="A44" s="4">
        <v>40</v>
      </c>
      <c r="E44" t="s">
        <v>3</v>
      </c>
    </row>
    <row r="45" spans="1:6" x14ac:dyDescent="0.25">
      <c r="A45" s="4">
        <v>41</v>
      </c>
      <c r="E45" t="s">
        <v>3</v>
      </c>
    </row>
    <row r="46" spans="1:6" x14ac:dyDescent="0.25">
      <c r="A46" s="4">
        <v>42</v>
      </c>
      <c r="F46" t="s">
        <v>2</v>
      </c>
    </row>
    <row r="47" spans="1:6" x14ac:dyDescent="0.25">
      <c r="A47" s="4">
        <v>43</v>
      </c>
    </row>
    <row r="48" spans="1:6" x14ac:dyDescent="0.25">
      <c r="A48" s="4">
        <v>44</v>
      </c>
    </row>
    <row r="49" spans="1:5" x14ac:dyDescent="0.25">
      <c r="A49" s="4">
        <v>45</v>
      </c>
    </row>
    <row r="50" spans="1:5" x14ac:dyDescent="0.25">
      <c r="A50" s="4">
        <v>46</v>
      </c>
    </row>
    <row r="51" spans="1:5" x14ac:dyDescent="0.25">
      <c r="A51" s="4">
        <v>47</v>
      </c>
    </row>
    <row r="52" spans="1:5" x14ac:dyDescent="0.25">
      <c r="A52" s="4">
        <v>48</v>
      </c>
    </row>
    <row r="53" spans="1:5" x14ac:dyDescent="0.25">
      <c r="A53" s="4">
        <v>49</v>
      </c>
    </row>
    <row r="54" spans="1:5" x14ac:dyDescent="0.25">
      <c r="A54" s="4">
        <v>50</v>
      </c>
    </row>
    <row r="55" spans="1:5" x14ac:dyDescent="0.25">
      <c r="A55" s="4">
        <v>51</v>
      </c>
    </row>
    <row r="56" spans="1:5" x14ac:dyDescent="0.25">
      <c r="A56" s="4">
        <v>52</v>
      </c>
    </row>
    <row r="57" spans="1:5" x14ac:dyDescent="0.25">
      <c r="A57" s="4">
        <v>53</v>
      </c>
    </row>
    <row r="58" spans="1:5" x14ac:dyDescent="0.25">
      <c r="A58" s="4">
        <v>54</v>
      </c>
    </row>
    <row r="59" spans="1:5" x14ac:dyDescent="0.25">
      <c r="A59" s="4">
        <v>55</v>
      </c>
      <c r="C59" t="s">
        <v>2</v>
      </c>
      <c r="D59" t="s">
        <v>2</v>
      </c>
      <c r="E59" t="s">
        <v>2</v>
      </c>
    </row>
    <row r="60" spans="1:5" x14ac:dyDescent="0.25">
      <c r="A60" s="4">
        <v>56</v>
      </c>
      <c r="C60" t="s">
        <v>2</v>
      </c>
      <c r="D60" t="s">
        <v>2</v>
      </c>
    </row>
    <row r="61" spans="1:5" x14ac:dyDescent="0.25">
      <c r="A61" s="18">
        <v>73</v>
      </c>
    </row>
    <row r="62" spans="1:5" x14ac:dyDescent="0.25">
      <c r="A62" s="18">
        <v>74</v>
      </c>
    </row>
  </sheetData>
  <conditionalFormatting sqref="B61:I62 I5:I60 B63:D63">
    <cfRule type="cellIs" dxfId="1454" priority="19" operator="equal">
      <formula>"Energia"</formula>
    </cfRule>
    <cfRule type="cellIs" dxfId="1453" priority="21" operator="equal">
      <formula>"Operação"</formula>
    </cfRule>
    <cfRule type="cellIs" dxfId="1452" priority="22" operator="equal">
      <formula>"Chuva"</formula>
    </cfRule>
    <cfRule type="cellIs" dxfId="1451" priority="23" operator="equal">
      <formula>"Elétrico"</formula>
    </cfRule>
    <cfRule type="cellIs" dxfId="1450" priority="24" operator="equal">
      <formula>"Mecânico"</formula>
    </cfRule>
    <cfRule type="cellIs" dxfId="1449" priority="25" operator="equal">
      <formula>"Ok"</formula>
    </cfRule>
  </conditionalFormatting>
  <conditionalFormatting sqref="B61:I62 I5:I60 B63:D63">
    <cfRule type="cellIs" dxfId="1448" priority="20" operator="equal">
      <formula>"Feito"</formula>
    </cfRule>
  </conditionalFormatting>
  <conditionalFormatting sqref="K7">
    <cfRule type="iconSet" priority="18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1447" priority="17" operator="equal">
      <formula>"Energia"</formula>
    </cfRule>
  </conditionalFormatting>
  <conditionalFormatting sqref="G5:H60 B5:E60">
    <cfRule type="cellIs" dxfId="1446" priority="10" operator="equal">
      <formula>"Energia"</formula>
    </cfRule>
    <cfRule type="cellIs" dxfId="1445" priority="12" operator="equal">
      <formula>"Operação"</formula>
    </cfRule>
    <cfRule type="cellIs" dxfId="1444" priority="13" operator="equal">
      <formula>"Chuva"</formula>
    </cfRule>
    <cfRule type="cellIs" dxfId="1443" priority="14" operator="equal">
      <formula>"Elétrico"</formula>
    </cfRule>
    <cfRule type="cellIs" dxfId="1442" priority="15" operator="equal">
      <formula>"Mecânico"</formula>
    </cfRule>
    <cfRule type="cellIs" dxfId="1441" priority="16" operator="equal">
      <formula>"Ok"</formula>
    </cfRule>
  </conditionalFormatting>
  <conditionalFormatting sqref="G5:H60 B5:E60">
    <cfRule type="cellIs" dxfId="1440" priority="11" operator="equal">
      <formula>"Feito"</formula>
    </cfRule>
  </conditionalFormatting>
  <conditionalFormatting sqref="F5:F11">
    <cfRule type="cellIs" dxfId="1439" priority="9" operator="equal">
      <formula>"Energia"</formula>
    </cfRule>
  </conditionalFormatting>
  <conditionalFormatting sqref="F5:F60">
    <cfRule type="cellIs" dxfId="1438" priority="2" operator="equal">
      <formula>"Energia"</formula>
    </cfRule>
    <cfRule type="cellIs" dxfId="1437" priority="4" operator="equal">
      <formula>"Operação"</formula>
    </cfRule>
    <cfRule type="cellIs" dxfId="1436" priority="5" operator="equal">
      <formula>"Chuva"</formula>
    </cfRule>
    <cfRule type="cellIs" dxfId="1435" priority="6" operator="equal">
      <formula>"Elétrico"</formula>
    </cfRule>
    <cfRule type="cellIs" dxfId="1434" priority="7" operator="equal">
      <formula>"Mecânico"</formula>
    </cfRule>
    <cfRule type="cellIs" dxfId="1433" priority="8" operator="equal">
      <formula>"Ok"</formula>
    </cfRule>
  </conditionalFormatting>
  <conditionalFormatting sqref="F5:F60">
    <cfRule type="cellIs" dxfId="1432" priority="3" operator="equal">
      <formula>"Feito"</formula>
    </cfRule>
  </conditionalFormatting>
  <dataValidations count="1">
    <dataValidation type="list" allowBlank="1" showInputMessage="1" showErrorMessage="1" sqref="B61:I62 B63:D63 B5:J60" xr:uid="{FF23AE31-E2E6-47E9-9F11-2564B8E9DC5C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A4DE-E7FD-49EB-99E5-A9447630CACA}">
  <sheetPr codeName="Planilha43"/>
  <dimension ref="A3:N62"/>
  <sheetViews>
    <sheetView zoomScale="110" zoomScaleNormal="110" workbookViewId="0">
      <selection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44522</v>
      </c>
      <c r="C3" s="3">
        <f>B3+1</f>
        <v>44523</v>
      </c>
      <c r="D3" s="3">
        <f t="shared" ref="D3:H3" si="0">C3+1</f>
        <v>44524</v>
      </c>
      <c r="E3" s="3">
        <f t="shared" si="0"/>
        <v>44525</v>
      </c>
      <c r="F3" s="3">
        <f t="shared" si="0"/>
        <v>44526</v>
      </c>
      <c r="G3" s="3">
        <f t="shared" si="0"/>
        <v>44527</v>
      </c>
      <c r="H3" s="3">
        <f t="shared" si="0"/>
        <v>44528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>TEXT(C3,"ddd")</f>
        <v>ter</v>
      </c>
      <c r="D4" s="1" t="str">
        <f t="shared" ref="D4:H4" si="1">TEXT(D3,"ddd")</f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G5" t="s">
        <v>3</v>
      </c>
      <c r="K5" s="5" t="s">
        <v>2</v>
      </c>
      <c r="L5">
        <f>COUNTIF($B$5:$I$60,K5)</f>
        <v>26</v>
      </c>
      <c r="M5" s="53">
        <f>L5/$L$11</f>
        <v>0.47272727272727272</v>
      </c>
      <c r="N5" s="52">
        <v>44522</v>
      </c>
    </row>
    <row r="6" spans="1:14" x14ac:dyDescent="0.25">
      <c r="A6" s="4">
        <v>2</v>
      </c>
      <c r="F6" t="s">
        <v>6</v>
      </c>
      <c r="H6" t="s">
        <v>3</v>
      </c>
      <c r="K6" s="6" t="s">
        <v>5</v>
      </c>
      <c r="L6">
        <f>COUNTIF($B$5:$I$60,K6)</f>
        <v>0</v>
      </c>
      <c r="M6" s="53">
        <f t="shared" ref="M6:M10" si="2">L6/$L$11</f>
        <v>0</v>
      </c>
    </row>
    <row r="7" spans="1:14" x14ac:dyDescent="0.25">
      <c r="A7" s="4">
        <v>3</v>
      </c>
      <c r="F7" t="s">
        <v>2</v>
      </c>
      <c r="G7" t="s">
        <v>3</v>
      </c>
      <c r="H7" t="s">
        <v>3</v>
      </c>
      <c r="K7" s="7" t="s">
        <v>6</v>
      </c>
      <c r="L7">
        <f t="shared" ref="L7:L10" si="3">COUNTIF($B$5:$I$60,K7)</f>
        <v>1</v>
      </c>
      <c r="M7" s="53">
        <f t="shared" si="2"/>
        <v>1.8181818181818181E-2</v>
      </c>
    </row>
    <row r="8" spans="1:14" x14ac:dyDescent="0.25">
      <c r="A8" s="4">
        <v>4</v>
      </c>
      <c r="F8" t="s">
        <v>2</v>
      </c>
      <c r="G8" t="s">
        <v>2</v>
      </c>
      <c r="H8" t="s">
        <v>3</v>
      </c>
      <c r="K8" s="8" t="s">
        <v>4</v>
      </c>
      <c r="L8">
        <f t="shared" si="3"/>
        <v>0</v>
      </c>
      <c r="M8" s="53">
        <f t="shared" si="2"/>
        <v>0</v>
      </c>
    </row>
    <row r="9" spans="1:14" x14ac:dyDescent="0.25">
      <c r="A9" s="4">
        <v>5</v>
      </c>
      <c r="D9" t="s">
        <v>2</v>
      </c>
      <c r="F9" t="s">
        <v>2</v>
      </c>
      <c r="H9" t="s">
        <v>3</v>
      </c>
      <c r="K9" s="9" t="s">
        <v>3</v>
      </c>
      <c r="L9">
        <f t="shared" si="3"/>
        <v>22</v>
      </c>
      <c r="M9" s="53">
        <f t="shared" si="2"/>
        <v>0.4</v>
      </c>
    </row>
    <row r="10" spans="1:14" x14ac:dyDescent="0.25">
      <c r="A10" s="4">
        <v>6</v>
      </c>
      <c r="G10" t="s">
        <v>3</v>
      </c>
      <c r="K10" s="10" t="s">
        <v>7</v>
      </c>
      <c r="L10">
        <f t="shared" si="3"/>
        <v>6</v>
      </c>
      <c r="M10" s="53">
        <f t="shared" si="2"/>
        <v>0.10909090909090909</v>
      </c>
    </row>
    <row r="11" spans="1:14" x14ac:dyDescent="0.25">
      <c r="A11" s="4">
        <v>7</v>
      </c>
      <c r="F11" t="s">
        <v>7</v>
      </c>
      <c r="L11">
        <f>SUM(L5:L10)</f>
        <v>55</v>
      </c>
    </row>
    <row r="12" spans="1:14" x14ac:dyDescent="0.25">
      <c r="A12" s="4">
        <v>8</v>
      </c>
      <c r="G12" t="s">
        <v>2</v>
      </c>
    </row>
    <row r="13" spans="1:14" x14ac:dyDescent="0.25">
      <c r="A13" s="4">
        <v>9</v>
      </c>
      <c r="G13" t="s">
        <v>3</v>
      </c>
    </row>
    <row r="14" spans="1:14" x14ac:dyDescent="0.25">
      <c r="A14" s="4">
        <v>10</v>
      </c>
      <c r="F14" t="s">
        <v>2</v>
      </c>
      <c r="H14" t="s">
        <v>3</v>
      </c>
    </row>
    <row r="15" spans="1:14" x14ac:dyDescent="0.25">
      <c r="A15" s="4">
        <v>11</v>
      </c>
      <c r="F15" t="s">
        <v>2</v>
      </c>
      <c r="H15" t="s">
        <v>3</v>
      </c>
    </row>
    <row r="16" spans="1:14" x14ac:dyDescent="0.25">
      <c r="A16" s="4">
        <v>12</v>
      </c>
      <c r="F16" t="s">
        <v>7</v>
      </c>
      <c r="G16" t="s">
        <v>2</v>
      </c>
    </row>
    <row r="17" spans="1:8" x14ac:dyDescent="0.25">
      <c r="A17" s="4">
        <v>13</v>
      </c>
      <c r="F17" t="s">
        <v>2</v>
      </c>
      <c r="G17" t="s">
        <v>2</v>
      </c>
      <c r="H17" t="s">
        <v>3</v>
      </c>
    </row>
    <row r="18" spans="1:8" x14ac:dyDescent="0.25">
      <c r="A18" s="4">
        <v>14</v>
      </c>
      <c r="G18" t="s">
        <v>2</v>
      </c>
    </row>
    <row r="19" spans="1:8" x14ac:dyDescent="0.25">
      <c r="A19" s="4">
        <v>15</v>
      </c>
    </row>
    <row r="20" spans="1:8" x14ac:dyDescent="0.25">
      <c r="A20" s="4">
        <v>16</v>
      </c>
    </row>
    <row r="21" spans="1:8" x14ac:dyDescent="0.25">
      <c r="A21" s="4">
        <v>17</v>
      </c>
    </row>
    <row r="22" spans="1:8" x14ac:dyDescent="0.25">
      <c r="A22" s="4">
        <v>18</v>
      </c>
    </row>
    <row r="23" spans="1:8" x14ac:dyDescent="0.25">
      <c r="A23" s="4">
        <v>19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F29" t="s">
        <v>2</v>
      </c>
      <c r="G29" t="s">
        <v>2</v>
      </c>
      <c r="H29" t="s">
        <v>3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8" x14ac:dyDescent="0.25">
      <c r="A33" s="4">
        <v>29</v>
      </c>
      <c r="D33" t="s">
        <v>2</v>
      </c>
      <c r="F33" t="s">
        <v>2</v>
      </c>
      <c r="G33" t="s">
        <v>2</v>
      </c>
      <c r="H33" t="s">
        <v>3</v>
      </c>
    </row>
    <row r="34" spans="1:8" x14ac:dyDescent="0.25">
      <c r="A34" s="4">
        <v>30</v>
      </c>
    </row>
    <row r="35" spans="1:8" x14ac:dyDescent="0.25">
      <c r="A35" s="4">
        <v>31</v>
      </c>
    </row>
    <row r="36" spans="1:8" x14ac:dyDescent="0.25">
      <c r="A36" s="4">
        <v>32</v>
      </c>
    </row>
    <row r="37" spans="1:8" x14ac:dyDescent="0.25">
      <c r="A37" s="4">
        <v>33</v>
      </c>
    </row>
    <row r="38" spans="1:8" x14ac:dyDescent="0.25">
      <c r="A38" s="4">
        <v>34</v>
      </c>
    </row>
    <row r="39" spans="1:8" x14ac:dyDescent="0.25">
      <c r="A39" s="4">
        <v>35</v>
      </c>
      <c r="B39" t="s">
        <v>2</v>
      </c>
      <c r="F39" t="s">
        <v>2</v>
      </c>
      <c r="H39" t="s">
        <v>3</v>
      </c>
    </row>
    <row r="40" spans="1:8" x14ac:dyDescent="0.25">
      <c r="A40" s="4">
        <v>36</v>
      </c>
      <c r="C40" t="s">
        <v>2</v>
      </c>
      <c r="G40" t="s">
        <v>2</v>
      </c>
    </row>
    <row r="41" spans="1:8" x14ac:dyDescent="0.25">
      <c r="A41" s="4">
        <v>37</v>
      </c>
      <c r="F41" t="s">
        <v>2</v>
      </c>
      <c r="H41" t="s">
        <v>3</v>
      </c>
    </row>
    <row r="42" spans="1:8" x14ac:dyDescent="0.25">
      <c r="A42" s="4">
        <v>38</v>
      </c>
      <c r="D42" t="s">
        <v>7</v>
      </c>
      <c r="G42" t="s">
        <v>3</v>
      </c>
    </row>
    <row r="43" spans="1:8" x14ac:dyDescent="0.25">
      <c r="A43" s="4">
        <v>39</v>
      </c>
      <c r="H43" t="s">
        <v>3</v>
      </c>
    </row>
    <row r="44" spans="1:8" x14ac:dyDescent="0.25">
      <c r="A44" s="4">
        <v>40</v>
      </c>
      <c r="G44" t="s">
        <v>2</v>
      </c>
    </row>
    <row r="45" spans="1:8" x14ac:dyDescent="0.25">
      <c r="A45" s="4">
        <v>41</v>
      </c>
      <c r="B45" t="s">
        <v>7</v>
      </c>
      <c r="F45" t="s">
        <v>7</v>
      </c>
      <c r="H45" t="s">
        <v>3</v>
      </c>
    </row>
    <row r="46" spans="1:8" x14ac:dyDescent="0.25">
      <c r="A46" s="4">
        <v>42</v>
      </c>
      <c r="F46" t="s">
        <v>2</v>
      </c>
      <c r="H46" t="s">
        <v>3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</row>
    <row r="50" spans="1:8" x14ac:dyDescent="0.25">
      <c r="A50" s="4">
        <v>46</v>
      </c>
    </row>
    <row r="51" spans="1:8" x14ac:dyDescent="0.25">
      <c r="A51" s="4">
        <v>47</v>
      </c>
      <c r="G51" t="s">
        <v>2</v>
      </c>
    </row>
    <row r="52" spans="1:8" x14ac:dyDescent="0.25">
      <c r="A52" s="4">
        <v>48</v>
      </c>
      <c r="G52" t="s">
        <v>3</v>
      </c>
    </row>
    <row r="53" spans="1:8" x14ac:dyDescent="0.25">
      <c r="A53" s="4">
        <v>49</v>
      </c>
    </row>
    <row r="54" spans="1:8" x14ac:dyDescent="0.25">
      <c r="A54" s="4">
        <v>50</v>
      </c>
    </row>
    <row r="55" spans="1:8" x14ac:dyDescent="0.25">
      <c r="A55" s="4">
        <v>51</v>
      </c>
      <c r="H55" t="s">
        <v>3</v>
      </c>
    </row>
    <row r="56" spans="1:8" x14ac:dyDescent="0.25">
      <c r="A56" s="4">
        <v>52</v>
      </c>
    </row>
    <row r="57" spans="1:8" x14ac:dyDescent="0.25">
      <c r="A57" s="4">
        <v>53</v>
      </c>
    </row>
    <row r="58" spans="1:8" x14ac:dyDescent="0.25">
      <c r="A58" s="4">
        <v>54</v>
      </c>
    </row>
    <row r="59" spans="1:8" x14ac:dyDescent="0.25">
      <c r="A59" s="4">
        <v>55</v>
      </c>
      <c r="B59" t="s">
        <v>2</v>
      </c>
      <c r="C59" t="s">
        <v>7</v>
      </c>
    </row>
    <row r="60" spans="1:8" x14ac:dyDescent="0.25">
      <c r="A60" s="4">
        <v>56</v>
      </c>
      <c r="H60" t="s">
        <v>3</v>
      </c>
    </row>
    <row r="61" spans="1:8" x14ac:dyDescent="0.25">
      <c r="A61" s="18">
        <v>73</v>
      </c>
      <c r="F61" t="s">
        <v>2</v>
      </c>
      <c r="G61" t="s">
        <v>2</v>
      </c>
      <c r="H61" t="s">
        <v>3</v>
      </c>
    </row>
    <row r="62" spans="1:8" x14ac:dyDescent="0.25">
      <c r="A62" s="18">
        <v>74</v>
      </c>
    </row>
  </sheetData>
  <conditionalFormatting sqref="B61:I62 I5:I60 B63:D63">
    <cfRule type="cellIs" dxfId="1431" priority="18" operator="equal">
      <formula>"Energia"</formula>
    </cfRule>
    <cfRule type="cellIs" dxfId="1430" priority="20" operator="equal">
      <formula>"Operação"</formula>
    </cfRule>
    <cfRule type="cellIs" dxfId="1429" priority="21" operator="equal">
      <formula>"Chuva"</formula>
    </cfRule>
    <cfRule type="cellIs" dxfId="1428" priority="22" operator="equal">
      <formula>"Elétrico"</formula>
    </cfRule>
    <cfRule type="cellIs" dxfId="1427" priority="23" operator="equal">
      <formula>"Mecânico"</formula>
    </cfRule>
    <cfRule type="cellIs" dxfId="1426" priority="24" operator="equal">
      <formula>"Ok"</formula>
    </cfRule>
  </conditionalFormatting>
  <conditionalFormatting sqref="B61:I62 I5:I60 B63:D63">
    <cfRule type="cellIs" dxfId="1425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1424" priority="16" operator="equal">
      <formula>"Energia"</formula>
    </cfRule>
  </conditionalFormatting>
  <conditionalFormatting sqref="B5:E60 G5:H60">
    <cfRule type="cellIs" dxfId="1423" priority="9" operator="equal">
      <formula>"Energia"</formula>
    </cfRule>
    <cfRule type="cellIs" dxfId="1422" priority="11" operator="equal">
      <formula>"Operação"</formula>
    </cfRule>
    <cfRule type="cellIs" dxfId="1421" priority="12" operator="equal">
      <formula>"Chuva"</formula>
    </cfRule>
    <cfRule type="cellIs" dxfId="1420" priority="13" operator="equal">
      <formula>"Elétrico"</formula>
    </cfRule>
    <cfRule type="cellIs" dxfId="1419" priority="14" operator="equal">
      <formula>"Mecânico"</formula>
    </cfRule>
    <cfRule type="cellIs" dxfId="1418" priority="15" operator="equal">
      <formula>"Ok"</formula>
    </cfRule>
  </conditionalFormatting>
  <conditionalFormatting sqref="B5:E60 G5:H60">
    <cfRule type="cellIs" dxfId="1417" priority="10" operator="equal">
      <formula>"Feito"</formula>
    </cfRule>
  </conditionalFormatting>
  <conditionalFormatting sqref="F5:F11">
    <cfRule type="cellIs" dxfId="1416" priority="8" operator="equal">
      <formula>"Energia"</formula>
    </cfRule>
  </conditionalFormatting>
  <conditionalFormatting sqref="F5:F60">
    <cfRule type="cellIs" dxfId="1415" priority="1" operator="equal">
      <formula>"Energia"</formula>
    </cfRule>
    <cfRule type="cellIs" dxfId="1414" priority="3" operator="equal">
      <formula>"Operação"</formula>
    </cfRule>
    <cfRule type="cellIs" dxfId="1413" priority="4" operator="equal">
      <formula>"Chuva"</formula>
    </cfRule>
    <cfRule type="cellIs" dxfId="1412" priority="5" operator="equal">
      <formula>"Elétrico"</formula>
    </cfRule>
    <cfRule type="cellIs" dxfId="1411" priority="6" operator="equal">
      <formula>"Mecânico"</formula>
    </cfRule>
    <cfRule type="cellIs" dxfId="1410" priority="7" operator="equal">
      <formula>"Ok"</formula>
    </cfRule>
  </conditionalFormatting>
  <conditionalFormatting sqref="F5:F60">
    <cfRule type="cellIs" dxfId="1409" priority="2" operator="equal">
      <formula>"Feito"</formula>
    </cfRule>
  </conditionalFormatting>
  <dataValidations count="1">
    <dataValidation type="list" allowBlank="1" showInputMessage="1" showErrorMessage="1" sqref="B61:I62 B63:D63 B5:J60" xr:uid="{2E67255F-CDF0-4CB0-BE2A-107902C66195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6EC6-7911-4AC6-B56A-C6760E0F0C98}">
  <sheetPr codeName="Planilha44"/>
  <dimension ref="A3:N62"/>
  <sheetViews>
    <sheetView zoomScale="110" zoomScaleNormal="110" workbookViewId="0">
      <selection activeCell="O6" sqref="O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44529</v>
      </c>
      <c r="C3" s="3">
        <f>B3+1</f>
        <v>44530</v>
      </c>
      <c r="D3" s="3">
        <f t="shared" ref="D3:H3" si="0">C3+1</f>
        <v>44531</v>
      </c>
      <c r="E3" s="3">
        <f t="shared" si="0"/>
        <v>44532</v>
      </c>
      <c r="F3" s="3">
        <f t="shared" si="0"/>
        <v>44533</v>
      </c>
      <c r="G3" s="3">
        <f t="shared" si="0"/>
        <v>44534</v>
      </c>
      <c r="H3" s="3">
        <f t="shared" si="0"/>
        <v>44535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>TEXT(C3,"ddd")</f>
        <v>ter</v>
      </c>
      <c r="D4" s="1" t="str">
        <f t="shared" ref="D4:H4" si="1">TEXT(D3,"ddd")</f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9" t="s">
        <v>32</v>
      </c>
      <c r="M4" s="50" t="s">
        <v>33</v>
      </c>
      <c r="N4" s="51" t="s">
        <v>34</v>
      </c>
    </row>
    <row r="5" spans="1:14" x14ac:dyDescent="0.25">
      <c r="A5" s="4">
        <v>1</v>
      </c>
      <c r="K5" s="5" t="s">
        <v>2</v>
      </c>
      <c r="L5">
        <f>COUNTIF($B$5:$I$60,K5)</f>
        <v>17</v>
      </c>
      <c r="M5" s="53">
        <f>L5/$L$11</f>
        <v>0.265625</v>
      </c>
      <c r="N5" s="52">
        <v>44529</v>
      </c>
    </row>
    <row r="6" spans="1:14" x14ac:dyDescent="0.25">
      <c r="A6" s="4">
        <v>2</v>
      </c>
      <c r="B6" t="s">
        <v>3</v>
      </c>
      <c r="F6" t="s">
        <v>3</v>
      </c>
      <c r="K6" s="6" t="s">
        <v>5</v>
      </c>
      <c r="L6">
        <f>COUNTIF($B$5:$I$60,K6)</f>
        <v>0</v>
      </c>
      <c r="M6" s="53">
        <f t="shared" ref="M6:M10" si="2">L6/$L$11</f>
        <v>0</v>
      </c>
    </row>
    <row r="7" spans="1:14" x14ac:dyDescent="0.25">
      <c r="A7" s="4">
        <v>3</v>
      </c>
      <c r="B7" t="s">
        <v>3</v>
      </c>
      <c r="F7" t="s">
        <v>3</v>
      </c>
      <c r="K7" s="7" t="s">
        <v>6</v>
      </c>
      <c r="L7">
        <f t="shared" ref="L7:L10" si="3">COUNTIF($B$5:$I$60,K7)</f>
        <v>0</v>
      </c>
      <c r="M7" s="53">
        <f t="shared" si="2"/>
        <v>0</v>
      </c>
    </row>
    <row r="8" spans="1:14" x14ac:dyDescent="0.25">
      <c r="A8" s="4">
        <v>4</v>
      </c>
      <c r="B8" t="s">
        <v>3</v>
      </c>
      <c r="F8" t="s">
        <v>3</v>
      </c>
      <c r="K8" s="8" t="s">
        <v>4</v>
      </c>
      <c r="L8">
        <f t="shared" si="3"/>
        <v>2</v>
      </c>
      <c r="M8" s="53">
        <f t="shared" si="2"/>
        <v>3.125E-2</v>
      </c>
    </row>
    <row r="9" spans="1:14" x14ac:dyDescent="0.25">
      <c r="A9" s="4">
        <v>5</v>
      </c>
      <c r="E9" t="s">
        <v>2</v>
      </c>
      <c r="K9" s="9" t="s">
        <v>3</v>
      </c>
      <c r="L9">
        <f t="shared" si="3"/>
        <v>38</v>
      </c>
      <c r="M9" s="53">
        <f t="shared" si="2"/>
        <v>0.59375</v>
      </c>
    </row>
    <row r="10" spans="1:14" x14ac:dyDescent="0.25">
      <c r="A10" s="4">
        <v>6</v>
      </c>
      <c r="B10" t="s">
        <v>3</v>
      </c>
      <c r="F10" t="s">
        <v>3</v>
      </c>
      <c r="G10" t="s">
        <v>2</v>
      </c>
      <c r="H10" t="s">
        <v>2</v>
      </c>
      <c r="K10" s="10" t="s">
        <v>7</v>
      </c>
      <c r="L10">
        <f t="shared" si="3"/>
        <v>7</v>
      </c>
      <c r="M10" s="53">
        <f t="shared" si="2"/>
        <v>0.109375</v>
      </c>
    </row>
    <row r="11" spans="1:14" x14ac:dyDescent="0.25">
      <c r="A11" s="4">
        <v>7</v>
      </c>
      <c r="B11" t="s">
        <v>3</v>
      </c>
      <c r="H11" t="s">
        <v>3</v>
      </c>
      <c r="L11">
        <f>SUM(L5:L10)</f>
        <v>64</v>
      </c>
    </row>
    <row r="12" spans="1:14" x14ac:dyDescent="0.25">
      <c r="A12" s="4">
        <v>8</v>
      </c>
      <c r="B12" t="s">
        <v>3</v>
      </c>
      <c r="E12" t="s">
        <v>2</v>
      </c>
    </row>
    <row r="13" spans="1:14" x14ac:dyDescent="0.25">
      <c r="A13" s="4">
        <v>9</v>
      </c>
      <c r="B13" t="s">
        <v>3</v>
      </c>
      <c r="E13" t="s">
        <v>2</v>
      </c>
      <c r="H13" t="s">
        <v>3</v>
      </c>
    </row>
    <row r="14" spans="1:14" x14ac:dyDescent="0.25">
      <c r="A14" s="4">
        <v>10</v>
      </c>
      <c r="F14" t="s">
        <v>7</v>
      </c>
      <c r="G14" t="s">
        <v>2</v>
      </c>
    </row>
    <row r="15" spans="1:14" x14ac:dyDescent="0.25">
      <c r="A15" s="4">
        <v>11</v>
      </c>
      <c r="C15" t="s">
        <v>2</v>
      </c>
    </row>
    <row r="16" spans="1:14" x14ac:dyDescent="0.25">
      <c r="A16" s="4">
        <v>12</v>
      </c>
      <c r="B16" t="s">
        <v>3</v>
      </c>
      <c r="F16" t="s">
        <v>3</v>
      </c>
    </row>
    <row r="17" spans="1:8" x14ac:dyDescent="0.25">
      <c r="A17" s="4">
        <v>13</v>
      </c>
      <c r="B17" t="s">
        <v>3</v>
      </c>
      <c r="E17" t="s">
        <v>2</v>
      </c>
      <c r="F17" t="s">
        <v>3</v>
      </c>
    </row>
    <row r="18" spans="1:8" x14ac:dyDescent="0.25">
      <c r="A18" s="4">
        <v>14</v>
      </c>
      <c r="B18" t="s">
        <v>3</v>
      </c>
      <c r="E18" t="s">
        <v>2</v>
      </c>
      <c r="F18" t="s">
        <v>7</v>
      </c>
      <c r="G18" t="s">
        <v>2</v>
      </c>
    </row>
    <row r="19" spans="1:8" x14ac:dyDescent="0.25">
      <c r="A19" s="4">
        <v>15</v>
      </c>
    </row>
    <row r="20" spans="1:8" x14ac:dyDescent="0.25">
      <c r="A20" s="4">
        <v>16</v>
      </c>
      <c r="F20" t="s">
        <v>3</v>
      </c>
      <c r="G20" t="s">
        <v>7</v>
      </c>
    </row>
    <row r="21" spans="1:8" x14ac:dyDescent="0.25">
      <c r="A21" s="4">
        <v>17</v>
      </c>
    </row>
    <row r="22" spans="1:8" x14ac:dyDescent="0.25">
      <c r="A22" s="4">
        <v>18</v>
      </c>
    </row>
    <row r="23" spans="1:8" x14ac:dyDescent="0.25">
      <c r="A23" s="4">
        <v>19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3</v>
      </c>
      <c r="C29" t="s">
        <v>2</v>
      </c>
      <c r="D29" t="s">
        <v>2</v>
      </c>
      <c r="E29" t="s">
        <v>2</v>
      </c>
      <c r="F29" t="s">
        <v>3</v>
      </c>
      <c r="G29" t="s">
        <v>2</v>
      </c>
      <c r="H29" t="s">
        <v>3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7" x14ac:dyDescent="0.25">
      <c r="A33" s="4">
        <v>29</v>
      </c>
      <c r="B33" t="s">
        <v>3</v>
      </c>
      <c r="F33" t="s">
        <v>3</v>
      </c>
    </row>
    <row r="34" spans="1:7" x14ac:dyDescent="0.25">
      <c r="A34" s="4">
        <v>30</v>
      </c>
    </row>
    <row r="35" spans="1:7" x14ac:dyDescent="0.25">
      <c r="A35" s="4">
        <v>31</v>
      </c>
    </row>
    <row r="36" spans="1:7" x14ac:dyDescent="0.25">
      <c r="A36" s="4">
        <v>32</v>
      </c>
    </row>
    <row r="37" spans="1:7" x14ac:dyDescent="0.25">
      <c r="A37" s="4">
        <v>33</v>
      </c>
    </row>
    <row r="38" spans="1:7" x14ac:dyDescent="0.25">
      <c r="A38" s="4">
        <v>34</v>
      </c>
    </row>
    <row r="39" spans="1:7" x14ac:dyDescent="0.25">
      <c r="A39" s="4">
        <v>35</v>
      </c>
      <c r="D39" t="s">
        <v>7</v>
      </c>
    </row>
    <row r="40" spans="1:7" x14ac:dyDescent="0.25">
      <c r="A40" s="4">
        <v>36</v>
      </c>
      <c r="B40" t="s">
        <v>3</v>
      </c>
      <c r="F40" t="s">
        <v>3</v>
      </c>
      <c r="G40" t="s">
        <v>2</v>
      </c>
    </row>
    <row r="41" spans="1:7" x14ac:dyDescent="0.25">
      <c r="A41" s="4">
        <v>37</v>
      </c>
      <c r="C41" t="s">
        <v>2</v>
      </c>
    </row>
    <row r="42" spans="1:7" x14ac:dyDescent="0.25">
      <c r="A42" s="4">
        <v>38</v>
      </c>
      <c r="B42" t="s">
        <v>3</v>
      </c>
      <c r="F42" t="s">
        <v>3</v>
      </c>
    </row>
    <row r="43" spans="1:7" x14ac:dyDescent="0.25">
      <c r="A43" s="4">
        <v>39</v>
      </c>
      <c r="E43" t="s">
        <v>7</v>
      </c>
    </row>
    <row r="44" spans="1:7" x14ac:dyDescent="0.25">
      <c r="A44" s="4">
        <v>40</v>
      </c>
      <c r="B44" t="s">
        <v>3</v>
      </c>
      <c r="C44" t="s">
        <v>7</v>
      </c>
      <c r="F44" t="s">
        <v>3</v>
      </c>
    </row>
    <row r="45" spans="1:7" x14ac:dyDescent="0.25">
      <c r="A45" s="4">
        <v>41</v>
      </c>
    </row>
    <row r="46" spans="1:7" x14ac:dyDescent="0.25">
      <c r="A46" s="4">
        <v>42</v>
      </c>
    </row>
    <row r="47" spans="1:7" x14ac:dyDescent="0.25">
      <c r="A47" s="4">
        <v>43</v>
      </c>
    </row>
    <row r="48" spans="1:7" x14ac:dyDescent="0.25">
      <c r="A48" s="4">
        <v>44</v>
      </c>
    </row>
    <row r="49" spans="1:8" x14ac:dyDescent="0.25">
      <c r="A49" s="4">
        <v>45</v>
      </c>
    </row>
    <row r="50" spans="1:8" x14ac:dyDescent="0.25">
      <c r="A50" s="4">
        <v>46</v>
      </c>
    </row>
    <row r="51" spans="1:8" x14ac:dyDescent="0.25">
      <c r="A51" s="4">
        <v>47</v>
      </c>
    </row>
    <row r="52" spans="1:8" x14ac:dyDescent="0.25">
      <c r="A52" s="4">
        <v>48</v>
      </c>
      <c r="D52" t="s">
        <v>2</v>
      </c>
      <c r="E52" t="s">
        <v>4</v>
      </c>
      <c r="F52" t="s">
        <v>3</v>
      </c>
      <c r="G52" t="s">
        <v>3</v>
      </c>
      <c r="H52" t="s">
        <v>3</v>
      </c>
    </row>
    <row r="53" spans="1:8" x14ac:dyDescent="0.25">
      <c r="A53" s="4">
        <v>49</v>
      </c>
      <c r="D53" t="s">
        <v>7</v>
      </c>
      <c r="E53" t="s">
        <v>4</v>
      </c>
      <c r="F53" t="s">
        <v>3</v>
      </c>
      <c r="G53" t="s">
        <v>3</v>
      </c>
      <c r="H53" t="s">
        <v>3</v>
      </c>
    </row>
    <row r="54" spans="1:8" x14ac:dyDescent="0.25">
      <c r="A54" s="4">
        <v>50</v>
      </c>
      <c r="B54" t="s">
        <v>3</v>
      </c>
    </row>
    <row r="55" spans="1:8" x14ac:dyDescent="0.25">
      <c r="A55" s="4">
        <v>51</v>
      </c>
    </row>
    <row r="56" spans="1:8" x14ac:dyDescent="0.25">
      <c r="A56" s="4">
        <v>52</v>
      </c>
    </row>
    <row r="57" spans="1:8" x14ac:dyDescent="0.25">
      <c r="A57" s="4">
        <v>53</v>
      </c>
    </row>
    <row r="58" spans="1:8" x14ac:dyDescent="0.25">
      <c r="A58" s="4">
        <v>54</v>
      </c>
    </row>
    <row r="59" spans="1:8" x14ac:dyDescent="0.25">
      <c r="A59" s="4">
        <v>55</v>
      </c>
      <c r="B59" t="s">
        <v>3</v>
      </c>
    </row>
    <row r="60" spans="1:8" x14ac:dyDescent="0.25">
      <c r="A60" s="4">
        <v>56</v>
      </c>
    </row>
    <row r="61" spans="1:8" x14ac:dyDescent="0.25">
      <c r="A61" s="18">
        <v>73</v>
      </c>
      <c r="B61" t="s">
        <v>3</v>
      </c>
      <c r="E61" t="s">
        <v>5</v>
      </c>
      <c r="F61" t="s">
        <v>3</v>
      </c>
    </row>
    <row r="62" spans="1:8" x14ac:dyDescent="0.25">
      <c r="A62" s="18">
        <v>74</v>
      </c>
      <c r="F62" t="s">
        <v>3</v>
      </c>
      <c r="G62" t="s">
        <v>6</v>
      </c>
      <c r="H62" t="s">
        <v>3</v>
      </c>
    </row>
  </sheetData>
  <conditionalFormatting sqref="B61:I62 I5:I60 B63:D63">
    <cfRule type="cellIs" dxfId="1408" priority="18" operator="equal">
      <formula>"Energia"</formula>
    </cfRule>
    <cfRule type="cellIs" dxfId="1407" priority="20" operator="equal">
      <formula>"Operação"</formula>
    </cfRule>
    <cfRule type="cellIs" dxfId="1406" priority="21" operator="equal">
      <formula>"Chuva"</formula>
    </cfRule>
    <cfRule type="cellIs" dxfId="1405" priority="22" operator="equal">
      <formula>"Elétrico"</formula>
    </cfRule>
    <cfRule type="cellIs" dxfId="1404" priority="23" operator="equal">
      <formula>"Mecânico"</formula>
    </cfRule>
    <cfRule type="cellIs" dxfId="1403" priority="24" operator="equal">
      <formula>"Ok"</formula>
    </cfRule>
  </conditionalFormatting>
  <conditionalFormatting sqref="B61:I62 I5:I60 B63:D63">
    <cfRule type="cellIs" dxfId="1402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1401" priority="16" operator="equal">
      <formula>"Energia"</formula>
    </cfRule>
  </conditionalFormatting>
  <conditionalFormatting sqref="G5:H60 B5:E60">
    <cfRule type="cellIs" dxfId="1400" priority="9" operator="equal">
      <formula>"Energia"</formula>
    </cfRule>
    <cfRule type="cellIs" dxfId="1399" priority="11" operator="equal">
      <formula>"Operação"</formula>
    </cfRule>
    <cfRule type="cellIs" dxfId="1398" priority="12" operator="equal">
      <formula>"Chuva"</formula>
    </cfRule>
    <cfRule type="cellIs" dxfId="1397" priority="13" operator="equal">
      <formula>"Elétrico"</formula>
    </cfRule>
    <cfRule type="cellIs" dxfId="1396" priority="14" operator="equal">
      <formula>"Mecânico"</formula>
    </cfRule>
    <cfRule type="cellIs" dxfId="1395" priority="15" operator="equal">
      <formula>"Ok"</formula>
    </cfRule>
  </conditionalFormatting>
  <conditionalFormatting sqref="G5:H60 B5:E60">
    <cfRule type="cellIs" dxfId="1394" priority="10" operator="equal">
      <formula>"Feito"</formula>
    </cfRule>
  </conditionalFormatting>
  <conditionalFormatting sqref="F5:F11">
    <cfRule type="cellIs" dxfId="1393" priority="8" operator="equal">
      <formula>"Energia"</formula>
    </cfRule>
  </conditionalFormatting>
  <conditionalFormatting sqref="F5:F60">
    <cfRule type="cellIs" dxfId="1392" priority="1" operator="equal">
      <formula>"Energia"</formula>
    </cfRule>
    <cfRule type="cellIs" dxfId="1391" priority="3" operator="equal">
      <formula>"Operação"</formula>
    </cfRule>
    <cfRule type="cellIs" dxfId="1390" priority="4" operator="equal">
      <formula>"Chuva"</formula>
    </cfRule>
    <cfRule type="cellIs" dxfId="1389" priority="5" operator="equal">
      <formula>"Elétrico"</formula>
    </cfRule>
    <cfRule type="cellIs" dxfId="1388" priority="6" operator="equal">
      <formula>"Mecânico"</formula>
    </cfRule>
    <cfRule type="cellIs" dxfId="1387" priority="7" operator="equal">
      <formula>"Ok"</formula>
    </cfRule>
  </conditionalFormatting>
  <conditionalFormatting sqref="F5:F60">
    <cfRule type="cellIs" dxfId="1386" priority="2" operator="equal">
      <formula>"Feito"</formula>
    </cfRule>
  </conditionalFormatting>
  <dataValidations count="1">
    <dataValidation type="list" allowBlank="1" showInputMessage="1" showErrorMessage="1" sqref="B61:I62 B63:D63 B5:J60" xr:uid="{8138D61F-2290-437D-841D-908C758A2CB5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B7B71-F233-46D7-AA4E-99E9AE5B1E8E}">
  <sheetPr codeName="Planilha46"/>
  <dimension ref="A3:N62"/>
  <sheetViews>
    <sheetView zoomScale="110" zoomScaleNormal="110" workbookViewId="0">
      <selection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44564</v>
      </c>
      <c r="C3" s="3">
        <f>B3+1</f>
        <v>44565</v>
      </c>
      <c r="D3" s="3">
        <f t="shared" ref="D3:H3" si="0">C3+1</f>
        <v>44566</v>
      </c>
      <c r="E3" s="3">
        <f t="shared" si="0"/>
        <v>44567</v>
      </c>
      <c r="F3" s="3">
        <f t="shared" si="0"/>
        <v>44568</v>
      </c>
      <c r="G3" s="3">
        <f t="shared" si="0"/>
        <v>44569</v>
      </c>
      <c r="H3" s="3">
        <f t="shared" si="0"/>
        <v>44570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>TEXT(C3,"ddd")</f>
        <v>ter</v>
      </c>
      <c r="D4" s="1" t="str">
        <f t="shared" ref="D4:H4" si="1">TEXT(D3,"ddd")</f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t="s">
        <v>32</v>
      </c>
      <c r="M4" t="s">
        <v>33</v>
      </c>
      <c r="N4" t="s">
        <v>34</v>
      </c>
    </row>
    <row r="5" spans="1:14" x14ac:dyDescent="0.25">
      <c r="A5" s="4">
        <v>1</v>
      </c>
      <c r="K5" s="5" t="s">
        <v>2</v>
      </c>
      <c r="L5">
        <f t="shared" ref="L5:L10" si="2">COUNTIF($B$5:$I$60,K5)</f>
        <v>3</v>
      </c>
      <c r="M5" s="53">
        <f>L5/$L$11</f>
        <v>0.6</v>
      </c>
      <c r="N5" s="52">
        <v>44564</v>
      </c>
    </row>
    <row r="6" spans="1:14" x14ac:dyDescent="0.25">
      <c r="A6" s="4">
        <v>2</v>
      </c>
      <c r="K6" s="6" t="s">
        <v>5</v>
      </c>
      <c r="L6">
        <f t="shared" si="2"/>
        <v>0</v>
      </c>
      <c r="M6" s="53">
        <f t="shared" ref="M6:M10" si="3">L6/$L$11</f>
        <v>0</v>
      </c>
    </row>
    <row r="7" spans="1:14" x14ac:dyDescent="0.25">
      <c r="A7" s="4">
        <v>3</v>
      </c>
      <c r="K7" s="7" t="s">
        <v>6</v>
      </c>
      <c r="L7">
        <f t="shared" si="2"/>
        <v>2</v>
      </c>
      <c r="M7" s="53">
        <f t="shared" si="3"/>
        <v>0.4</v>
      </c>
    </row>
    <row r="8" spans="1:14" x14ac:dyDescent="0.25">
      <c r="A8" s="4">
        <v>4</v>
      </c>
      <c r="K8" s="8" t="s">
        <v>4</v>
      </c>
      <c r="L8">
        <f t="shared" si="2"/>
        <v>0</v>
      </c>
      <c r="M8" s="53">
        <f t="shared" si="3"/>
        <v>0</v>
      </c>
    </row>
    <row r="9" spans="1:14" x14ac:dyDescent="0.25">
      <c r="A9" s="4">
        <v>5</v>
      </c>
      <c r="K9" s="9" t="s">
        <v>3</v>
      </c>
      <c r="L9">
        <f t="shared" si="2"/>
        <v>0</v>
      </c>
      <c r="M9" s="53">
        <f t="shared" si="3"/>
        <v>0</v>
      </c>
    </row>
    <row r="10" spans="1:14" x14ac:dyDescent="0.25">
      <c r="A10" s="4">
        <v>6</v>
      </c>
      <c r="K10" s="10" t="s">
        <v>7</v>
      </c>
      <c r="L10">
        <f t="shared" si="2"/>
        <v>0</v>
      </c>
      <c r="M10" s="53">
        <f t="shared" si="3"/>
        <v>0</v>
      </c>
    </row>
    <row r="11" spans="1:14" x14ac:dyDescent="0.25">
      <c r="A11" s="4">
        <v>7</v>
      </c>
      <c r="L11">
        <f>SUM(L5:L10)</f>
        <v>5</v>
      </c>
    </row>
    <row r="12" spans="1:14" x14ac:dyDescent="0.25">
      <c r="A12" s="4">
        <v>8</v>
      </c>
    </row>
    <row r="13" spans="1:14" x14ac:dyDescent="0.25">
      <c r="A13" s="4">
        <v>9</v>
      </c>
    </row>
    <row r="14" spans="1:14" x14ac:dyDescent="0.25">
      <c r="A14" s="4">
        <v>10</v>
      </c>
    </row>
    <row r="15" spans="1:14" x14ac:dyDescent="0.25">
      <c r="A15" s="4">
        <v>11</v>
      </c>
    </row>
    <row r="16" spans="1:14" x14ac:dyDescent="0.25">
      <c r="A16" s="4">
        <v>12</v>
      </c>
    </row>
    <row r="17" spans="1:6" x14ac:dyDescent="0.25">
      <c r="A17" s="4">
        <v>13</v>
      </c>
    </row>
    <row r="18" spans="1:6" x14ac:dyDescent="0.25">
      <c r="A18" s="4">
        <v>14</v>
      </c>
    </row>
    <row r="19" spans="1:6" x14ac:dyDescent="0.25">
      <c r="A19" s="4">
        <v>15</v>
      </c>
    </row>
    <row r="20" spans="1:6" x14ac:dyDescent="0.25">
      <c r="A20" s="4">
        <v>16</v>
      </c>
    </row>
    <row r="21" spans="1:6" x14ac:dyDescent="0.25">
      <c r="A21" s="4">
        <v>17</v>
      </c>
    </row>
    <row r="22" spans="1:6" x14ac:dyDescent="0.25">
      <c r="A22" s="4">
        <v>18</v>
      </c>
    </row>
    <row r="23" spans="1:6" x14ac:dyDescent="0.25">
      <c r="A23" s="4">
        <v>19</v>
      </c>
    </row>
    <row r="24" spans="1:6" x14ac:dyDescent="0.25">
      <c r="A24" s="4">
        <v>20</v>
      </c>
      <c r="E24" t="s">
        <v>6</v>
      </c>
      <c r="F24" t="s">
        <v>2</v>
      </c>
    </row>
    <row r="25" spans="1:6" x14ac:dyDescent="0.25">
      <c r="A25" s="4">
        <v>21</v>
      </c>
    </row>
    <row r="26" spans="1:6" x14ac:dyDescent="0.25">
      <c r="A26" s="4">
        <v>22</v>
      </c>
    </row>
    <row r="27" spans="1:6" x14ac:dyDescent="0.25">
      <c r="A27" s="4">
        <v>23</v>
      </c>
    </row>
    <row r="28" spans="1:6" x14ac:dyDescent="0.25">
      <c r="A28" s="4">
        <v>24</v>
      </c>
      <c r="E28" t="s">
        <v>6</v>
      </c>
    </row>
    <row r="29" spans="1:6" x14ac:dyDescent="0.25">
      <c r="A29" s="4">
        <v>25</v>
      </c>
    </row>
    <row r="30" spans="1:6" x14ac:dyDescent="0.25">
      <c r="A30" s="4">
        <v>26</v>
      </c>
    </row>
    <row r="31" spans="1:6" x14ac:dyDescent="0.25">
      <c r="A31" s="4">
        <v>27</v>
      </c>
    </row>
    <row r="32" spans="1:6" x14ac:dyDescent="0.25">
      <c r="A32" s="4">
        <v>28</v>
      </c>
    </row>
    <row r="33" spans="1:6" x14ac:dyDescent="0.25">
      <c r="A33" s="4">
        <v>29</v>
      </c>
    </row>
    <row r="34" spans="1:6" x14ac:dyDescent="0.25">
      <c r="A34" s="4">
        <v>30</v>
      </c>
      <c r="E34" t="s">
        <v>2</v>
      </c>
      <c r="F34" t="s">
        <v>2</v>
      </c>
    </row>
    <row r="35" spans="1:6" x14ac:dyDescent="0.25">
      <c r="A35" s="4">
        <v>31</v>
      </c>
    </row>
    <row r="36" spans="1:6" x14ac:dyDescent="0.25">
      <c r="A36" s="4">
        <v>32</v>
      </c>
    </row>
    <row r="37" spans="1:6" x14ac:dyDescent="0.25">
      <c r="A37" s="4">
        <v>33</v>
      </c>
    </row>
    <row r="38" spans="1:6" x14ac:dyDescent="0.25">
      <c r="A38" s="4">
        <v>34</v>
      </c>
    </row>
    <row r="39" spans="1:6" x14ac:dyDescent="0.25">
      <c r="A39" s="4">
        <v>35</v>
      </c>
    </row>
    <row r="40" spans="1:6" x14ac:dyDescent="0.25">
      <c r="A40" s="4">
        <v>36</v>
      </c>
    </row>
    <row r="41" spans="1:6" x14ac:dyDescent="0.25">
      <c r="A41" s="4">
        <v>37</v>
      </c>
    </row>
    <row r="42" spans="1:6" x14ac:dyDescent="0.25">
      <c r="A42" s="4">
        <v>38</v>
      </c>
    </row>
    <row r="43" spans="1:6" x14ac:dyDescent="0.25">
      <c r="A43" s="4">
        <v>39</v>
      </c>
    </row>
    <row r="44" spans="1:6" x14ac:dyDescent="0.25">
      <c r="A44" s="4">
        <v>40</v>
      </c>
    </row>
    <row r="45" spans="1:6" x14ac:dyDescent="0.25">
      <c r="A45" s="4">
        <v>41</v>
      </c>
    </row>
    <row r="46" spans="1:6" x14ac:dyDescent="0.25">
      <c r="A46" s="4">
        <v>42</v>
      </c>
    </row>
    <row r="47" spans="1:6" x14ac:dyDescent="0.25">
      <c r="A47" s="4">
        <v>43</v>
      </c>
    </row>
    <row r="48" spans="1:6" x14ac:dyDescent="0.25">
      <c r="A48" s="4">
        <v>44</v>
      </c>
    </row>
    <row r="49" spans="1:1" x14ac:dyDescent="0.25">
      <c r="A49" s="4">
        <v>45</v>
      </c>
    </row>
    <row r="50" spans="1:1" x14ac:dyDescent="0.25">
      <c r="A50" s="4">
        <v>46</v>
      </c>
    </row>
    <row r="51" spans="1:1" x14ac:dyDescent="0.25">
      <c r="A51" s="4">
        <v>47</v>
      </c>
    </row>
    <row r="52" spans="1:1" x14ac:dyDescent="0.25">
      <c r="A52" s="4">
        <v>48</v>
      </c>
    </row>
    <row r="53" spans="1:1" x14ac:dyDescent="0.25">
      <c r="A53" s="4">
        <v>49</v>
      </c>
    </row>
    <row r="54" spans="1:1" x14ac:dyDescent="0.25">
      <c r="A54" s="4">
        <v>50</v>
      </c>
    </row>
    <row r="55" spans="1:1" x14ac:dyDescent="0.25">
      <c r="A55" s="4">
        <v>51</v>
      </c>
    </row>
    <row r="56" spans="1:1" x14ac:dyDescent="0.25">
      <c r="A56" s="4">
        <v>52</v>
      </c>
    </row>
    <row r="57" spans="1:1" x14ac:dyDescent="0.25">
      <c r="A57" s="4">
        <v>53</v>
      </c>
    </row>
    <row r="58" spans="1:1" x14ac:dyDescent="0.25">
      <c r="A58" s="4">
        <v>54</v>
      </c>
    </row>
    <row r="59" spans="1:1" x14ac:dyDescent="0.25">
      <c r="A59" s="4">
        <v>55</v>
      </c>
    </row>
    <row r="60" spans="1:1" x14ac:dyDescent="0.25">
      <c r="A60" s="4">
        <v>56</v>
      </c>
    </row>
    <row r="61" spans="1:1" x14ac:dyDescent="0.25">
      <c r="A61" s="18">
        <v>73</v>
      </c>
    </row>
    <row r="62" spans="1:1" x14ac:dyDescent="0.25">
      <c r="A62" s="18">
        <v>74</v>
      </c>
    </row>
  </sheetData>
  <conditionalFormatting sqref="B61:I62 I5:I60 B63:D63">
    <cfRule type="cellIs" dxfId="1385" priority="18" operator="equal">
      <formula>"Energia"</formula>
    </cfRule>
    <cfRule type="cellIs" dxfId="1384" priority="20" operator="equal">
      <formula>"Operação"</formula>
    </cfRule>
    <cfRule type="cellIs" dxfId="1383" priority="21" operator="equal">
      <formula>"Chuva"</formula>
    </cfRule>
    <cfRule type="cellIs" dxfId="1382" priority="22" operator="equal">
      <formula>"Elétrico"</formula>
    </cfRule>
    <cfRule type="cellIs" dxfId="1381" priority="23" operator="equal">
      <formula>"Mecânico"</formula>
    </cfRule>
    <cfRule type="cellIs" dxfId="1380" priority="24" operator="equal">
      <formula>"Ok"</formula>
    </cfRule>
  </conditionalFormatting>
  <conditionalFormatting sqref="B61:I62 I5:I60 B63:D63">
    <cfRule type="cellIs" dxfId="1379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1378" priority="16" operator="equal">
      <formula>"Energia"</formula>
    </cfRule>
  </conditionalFormatting>
  <conditionalFormatting sqref="G5:H60 B5:E60">
    <cfRule type="cellIs" dxfId="1377" priority="9" operator="equal">
      <formula>"Energia"</formula>
    </cfRule>
    <cfRule type="cellIs" dxfId="1376" priority="11" operator="equal">
      <formula>"Operação"</formula>
    </cfRule>
    <cfRule type="cellIs" dxfId="1375" priority="12" operator="equal">
      <formula>"Chuva"</formula>
    </cfRule>
    <cfRule type="cellIs" dxfId="1374" priority="13" operator="equal">
      <formula>"Elétrico"</formula>
    </cfRule>
    <cfRule type="cellIs" dxfId="1373" priority="14" operator="equal">
      <formula>"Mecânico"</formula>
    </cfRule>
    <cfRule type="cellIs" dxfId="1372" priority="15" operator="equal">
      <formula>"Ok"</formula>
    </cfRule>
  </conditionalFormatting>
  <conditionalFormatting sqref="G5:H60 B5:E60">
    <cfRule type="cellIs" dxfId="1371" priority="10" operator="equal">
      <formula>"Feito"</formula>
    </cfRule>
  </conditionalFormatting>
  <conditionalFormatting sqref="F5:F11">
    <cfRule type="cellIs" dxfId="1370" priority="8" operator="equal">
      <formula>"Energia"</formula>
    </cfRule>
  </conditionalFormatting>
  <conditionalFormatting sqref="F5:F60">
    <cfRule type="cellIs" dxfId="1369" priority="1" operator="equal">
      <formula>"Energia"</formula>
    </cfRule>
    <cfRule type="cellIs" dxfId="1368" priority="3" operator="equal">
      <formula>"Operação"</formula>
    </cfRule>
    <cfRule type="cellIs" dxfId="1367" priority="4" operator="equal">
      <formula>"Chuva"</formula>
    </cfRule>
    <cfRule type="cellIs" dxfId="1366" priority="5" operator="equal">
      <formula>"Elétrico"</formula>
    </cfRule>
    <cfRule type="cellIs" dxfId="1365" priority="6" operator="equal">
      <formula>"Mecânico"</formula>
    </cfRule>
    <cfRule type="cellIs" dxfId="1364" priority="7" operator="equal">
      <formula>"Ok"</formula>
    </cfRule>
  </conditionalFormatting>
  <conditionalFormatting sqref="F5:F60">
    <cfRule type="cellIs" dxfId="1363" priority="2" operator="equal">
      <formula>"Feito"</formula>
    </cfRule>
  </conditionalFormatting>
  <dataValidations count="1">
    <dataValidation type="list" allowBlank="1" showInputMessage="1" showErrorMessage="1" sqref="B61:I62 B63:D63 B5:J60" xr:uid="{B1ED9DB0-268C-46A8-AFE5-F5F8CB597655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5A66-69BF-4071-99B7-F794E6C29033}">
  <sheetPr codeName="Planilha47"/>
  <dimension ref="A3:N62"/>
  <sheetViews>
    <sheetView zoomScale="110" zoomScaleNormal="110" workbookViewId="0">
      <selection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44571</v>
      </c>
      <c r="C3" s="3">
        <f>B3+1</f>
        <v>44572</v>
      </c>
      <c r="D3" s="3">
        <f t="shared" ref="D3:H3" si="0">C3+1</f>
        <v>44573</v>
      </c>
      <c r="E3" s="3">
        <f t="shared" si="0"/>
        <v>44574</v>
      </c>
      <c r="F3" s="3">
        <f t="shared" si="0"/>
        <v>44575</v>
      </c>
      <c r="G3" s="3">
        <f t="shared" si="0"/>
        <v>44576</v>
      </c>
      <c r="H3" s="3">
        <f t="shared" si="0"/>
        <v>44577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t="s">
        <v>32</v>
      </c>
      <c r="M4" t="s">
        <v>33</v>
      </c>
      <c r="N4" t="s">
        <v>34</v>
      </c>
    </row>
    <row r="5" spans="1:14" x14ac:dyDescent="0.25">
      <c r="A5" s="4">
        <v>1</v>
      </c>
      <c r="H5" t="s">
        <v>5</v>
      </c>
      <c r="K5" s="5" t="s">
        <v>2</v>
      </c>
      <c r="L5">
        <f t="shared" ref="L5:L10" si="2">COUNTIF($B$5:$I$60,K5)</f>
        <v>5</v>
      </c>
      <c r="M5" s="53">
        <f>L5/$L$11</f>
        <v>0.625</v>
      </c>
      <c r="N5" s="52">
        <v>44571</v>
      </c>
    </row>
    <row r="6" spans="1:14" x14ac:dyDescent="0.25">
      <c r="A6" s="4">
        <v>2</v>
      </c>
      <c r="K6" s="6" t="s">
        <v>5</v>
      </c>
      <c r="L6">
        <f t="shared" si="2"/>
        <v>1</v>
      </c>
      <c r="M6" s="53">
        <f t="shared" ref="M6:M10" si="3">L6/$L$11</f>
        <v>0.125</v>
      </c>
    </row>
    <row r="7" spans="1:14" x14ac:dyDescent="0.25">
      <c r="A7" s="4">
        <v>3</v>
      </c>
      <c r="K7" s="7" t="s">
        <v>6</v>
      </c>
      <c r="L7">
        <f t="shared" si="2"/>
        <v>0</v>
      </c>
      <c r="M7" s="53">
        <f t="shared" si="3"/>
        <v>0</v>
      </c>
    </row>
    <row r="8" spans="1:14" x14ac:dyDescent="0.25">
      <c r="A8" s="4">
        <v>4</v>
      </c>
      <c r="K8" s="8" t="s">
        <v>4</v>
      </c>
      <c r="L8">
        <f t="shared" si="2"/>
        <v>0</v>
      </c>
      <c r="M8" s="53">
        <f t="shared" si="3"/>
        <v>0</v>
      </c>
    </row>
    <row r="9" spans="1:14" x14ac:dyDescent="0.25">
      <c r="A9" s="4">
        <v>5</v>
      </c>
      <c r="K9" s="9" t="s">
        <v>3</v>
      </c>
      <c r="L9">
        <f t="shared" si="2"/>
        <v>0</v>
      </c>
      <c r="M9" s="53">
        <f t="shared" si="3"/>
        <v>0</v>
      </c>
    </row>
    <row r="10" spans="1:14" x14ac:dyDescent="0.25">
      <c r="A10" s="4">
        <v>6</v>
      </c>
      <c r="K10" s="10" t="s">
        <v>7</v>
      </c>
      <c r="L10">
        <f t="shared" si="2"/>
        <v>2</v>
      </c>
      <c r="M10" s="53">
        <f t="shared" si="3"/>
        <v>0.25</v>
      </c>
    </row>
    <row r="11" spans="1:14" x14ac:dyDescent="0.25">
      <c r="A11" s="4">
        <v>7</v>
      </c>
      <c r="L11">
        <f>SUM(L5:L10)</f>
        <v>8</v>
      </c>
    </row>
    <row r="12" spans="1:14" x14ac:dyDescent="0.25">
      <c r="A12" s="4">
        <v>8</v>
      </c>
    </row>
    <row r="13" spans="1:14" x14ac:dyDescent="0.25">
      <c r="A13" s="4">
        <v>9</v>
      </c>
    </row>
    <row r="14" spans="1:14" x14ac:dyDescent="0.25">
      <c r="A14" s="4">
        <v>10</v>
      </c>
    </row>
    <row r="15" spans="1:14" x14ac:dyDescent="0.25">
      <c r="A15" s="4">
        <v>11</v>
      </c>
    </row>
    <row r="16" spans="1:14" x14ac:dyDescent="0.25">
      <c r="A16" s="4">
        <v>12</v>
      </c>
    </row>
    <row r="17" spans="1:8" x14ac:dyDescent="0.25">
      <c r="A17" s="4">
        <v>13</v>
      </c>
    </row>
    <row r="18" spans="1:8" x14ac:dyDescent="0.25">
      <c r="A18" s="4">
        <v>14</v>
      </c>
    </row>
    <row r="19" spans="1:8" x14ac:dyDescent="0.25">
      <c r="A19" s="4">
        <v>15</v>
      </c>
    </row>
    <row r="20" spans="1:8" x14ac:dyDescent="0.25">
      <c r="A20" s="4">
        <v>16</v>
      </c>
    </row>
    <row r="21" spans="1:8" x14ac:dyDescent="0.25">
      <c r="A21" s="4">
        <v>17</v>
      </c>
    </row>
    <row r="22" spans="1:8" x14ac:dyDescent="0.25">
      <c r="A22" s="4">
        <v>18</v>
      </c>
    </row>
    <row r="23" spans="1:8" x14ac:dyDescent="0.25">
      <c r="A23" s="4">
        <v>19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  <c r="G27" t="s">
        <v>2</v>
      </c>
      <c r="H27" t="s">
        <v>2</v>
      </c>
    </row>
    <row r="28" spans="1:8" x14ac:dyDescent="0.25">
      <c r="A28" s="4">
        <v>24</v>
      </c>
      <c r="G28" t="s">
        <v>7</v>
      </c>
    </row>
    <row r="29" spans="1:8" x14ac:dyDescent="0.25">
      <c r="A29" s="4">
        <v>25</v>
      </c>
    </row>
    <row r="30" spans="1:8" x14ac:dyDescent="0.25">
      <c r="A30" s="4">
        <v>26</v>
      </c>
      <c r="H30" t="s">
        <v>7</v>
      </c>
    </row>
    <row r="31" spans="1:8" x14ac:dyDescent="0.25">
      <c r="A31" s="4">
        <v>27</v>
      </c>
    </row>
    <row r="32" spans="1:8" x14ac:dyDescent="0.25">
      <c r="A32" s="4">
        <v>28</v>
      </c>
      <c r="G32" t="s">
        <v>2</v>
      </c>
    </row>
    <row r="33" spans="1:8" x14ac:dyDescent="0.25">
      <c r="A33" s="4">
        <v>29</v>
      </c>
    </row>
    <row r="34" spans="1:8" x14ac:dyDescent="0.25">
      <c r="A34" s="4">
        <v>30</v>
      </c>
    </row>
    <row r="35" spans="1:8" x14ac:dyDescent="0.25">
      <c r="A35" s="4">
        <v>31</v>
      </c>
    </row>
    <row r="36" spans="1:8" x14ac:dyDescent="0.25">
      <c r="A36" s="4">
        <v>32</v>
      </c>
    </row>
    <row r="37" spans="1:8" x14ac:dyDescent="0.25">
      <c r="A37" s="4">
        <v>33</v>
      </c>
      <c r="G37" t="s">
        <v>2</v>
      </c>
    </row>
    <row r="38" spans="1:8" x14ac:dyDescent="0.25">
      <c r="A38" s="4">
        <v>34</v>
      </c>
    </row>
    <row r="39" spans="1:8" x14ac:dyDescent="0.25">
      <c r="A39" s="4">
        <v>35</v>
      </c>
    </row>
    <row r="40" spans="1:8" x14ac:dyDescent="0.25">
      <c r="A40" s="4">
        <v>36</v>
      </c>
    </row>
    <row r="41" spans="1:8" x14ac:dyDescent="0.25">
      <c r="A41" s="4">
        <v>37</v>
      </c>
    </row>
    <row r="42" spans="1:8" x14ac:dyDescent="0.25">
      <c r="A42" s="4">
        <v>38</v>
      </c>
    </row>
    <row r="43" spans="1:8" x14ac:dyDescent="0.25">
      <c r="A43" s="4">
        <v>39</v>
      </c>
    </row>
    <row r="44" spans="1:8" x14ac:dyDescent="0.25">
      <c r="A44" s="4">
        <v>40</v>
      </c>
    </row>
    <row r="45" spans="1:8" x14ac:dyDescent="0.25">
      <c r="A45" s="4">
        <v>41</v>
      </c>
    </row>
    <row r="46" spans="1:8" x14ac:dyDescent="0.25">
      <c r="A46" s="4">
        <v>42</v>
      </c>
    </row>
    <row r="47" spans="1:8" x14ac:dyDescent="0.25">
      <c r="A47" s="4">
        <v>43</v>
      </c>
      <c r="H47" t="s">
        <v>2</v>
      </c>
    </row>
    <row r="48" spans="1:8" x14ac:dyDescent="0.25">
      <c r="A48" s="4">
        <v>44</v>
      </c>
    </row>
    <row r="49" spans="1:1" x14ac:dyDescent="0.25">
      <c r="A49" s="4">
        <v>45</v>
      </c>
    </row>
    <row r="50" spans="1:1" x14ac:dyDescent="0.25">
      <c r="A50" s="4">
        <v>46</v>
      </c>
    </row>
    <row r="51" spans="1:1" x14ac:dyDescent="0.25">
      <c r="A51" s="4">
        <v>47</v>
      </c>
    </row>
    <row r="52" spans="1:1" x14ac:dyDescent="0.25">
      <c r="A52" s="4">
        <v>48</v>
      </c>
    </row>
    <row r="53" spans="1:1" x14ac:dyDescent="0.25">
      <c r="A53" s="4">
        <v>49</v>
      </c>
    </row>
    <row r="54" spans="1:1" x14ac:dyDescent="0.25">
      <c r="A54" s="4">
        <v>50</v>
      </c>
    </row>
    <row r="55" spans="1:1" x14ac:dyDescent="0.25">
      <c r="A55" s="4">
        <v>51</v>
      </c>
    </row>
    <row r="56" spans="1:1" x14ac:dyDescent="0.25">
      <c r="A56" s="4">
        <v>52</v>
      </c>
    </row>
    <row r="57" spans="1:1" x14ac:dyDescent="0.25">
      <c r="A57" s="4">
        <v>53</v>
      </c>
    </row>
    <row r="58" spans="1:1" x14ac:dyDescent="0.25">
      <c r="A58" s="4">
        <v>54</v>
      </c>
    </row>
    <row r="59" spans="1:1" x14ac:dyDescent="0.25">
      <c r="A59" s="4">
        <v>55</v>
      </c>
    </row>
    <row r="60" spans="1:1" x14ac:dyDescent="0.25">
      <c r="A60" s="4">
        <v>56</v>
      </c>
    </row>
    <row r="61" spans="1:1" x14ac:dyDescent="0.25">
      <c r="A61" s="18">
        <v>73</v>
      </c>
    </row>
    <row r="62" spans="1:1" x14ac:dyDescent="0.25">
      <c r="A62" s="18">
        <v>74</v>
      </c>
    </row>
  </sheetData>
  <conditionalFormatting sqref="B61:I62 I5:I60 B63:D63">
    <cfRule type="cellIs" dxfId="1362" priority="18" operator="equal">
      <formula>"Energia"</formula>
    </cfRule>
    <cfRule type="cellIs" dxfId="1361" priority="20" operator="equal">
      <formula>"Operação"</formula>
    </cfRule>
    <cfRule type="cellIs" dxfId="1360" priority="21" operator="equal">
      <formula>"Chuva"</formula>
    </cfRule>
    <cfRule type="cellIs" dxfId="1359" priority="22" operator="equal">
      <formula>"Elétrico"</formula>
    </cfRule>
    <cfRule type="cellIs" dxfId="1358" priority="23" operator="equal">
      <formula>"Mecânico"</formula>
    </cfRule>
    <cfRule type="cellIs" dxfId="1357" priority="24" operator="equal">
      <formula>"Ok"</formula>
    </cfRule>
  </conditionalFormatting>
  <conditionalFormatting sqref="B61:I62 I5:I60 B63:D63">
    <cfRule type="cellIs" dxfId="1356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1355" priority="16" operator="equal">
      <formula>"Energia"</formula>
    </cfRule>
  </conditionalFormatting>
  <conditionalFormatting sqref="G5:H60 B5:E60">
    <cfRule type="cellIs" dxfId="1354" priority="9" operator="equal">
      <formula>"Energia"</formula>
    </cfRule>
    <cfRule type="cellIs" dxfId="1353" priority="11" operator="equal">
      <formula>"Operação"</formula>
    </cfRule>
    <cfRule type="cellIs" dxfId="1352" priority="12" operator="equal">
      <formula>"Chuva"</formula>
    </cfRule>
    <cfRule type="cellIs" dxfId="1351" priority="13" operator="equal">
      <formula>"Elétrico"</formula>
    </cfRule>
    <cfRule type="cellIs" dxfId="1350" priority="14" operator="equal">
      <formula>"Mecânico"</formula>
    </cfRule>
    <cfRule type="cellIs" dxfId="1349" priority="15" operator="equal">
      <formula>"Ok"</formula>
    </cfRule>
  </conditionalFormatting>
  <conditionalFormatting sqref="G5:H60 B5:E60">
    <cfRule type="cellIs" dxfId="1348" priority="10" operator="equal">
      <formula>"Feito"</formula>
    </cfRule>
  </conditionalFormatting>
  <conditionalFormatting sqref="F5:F11">
    <cfRule type="cellIs" dxfId="1347" priority="8" operator="equal">
      <formula>"Energia"</formula>
    </cfRule>
  </conditionalFormatting>
  <conditionalFormatting sqref="F5:F60">
    <cfRule type="cellIs" dxfId="1346" priority="1" operator="equal">
      <formula>"Energia"</formula>
    </cfRule>
    <cfRule type="cellIs" dxfId="1345" priority="3" operator="equal">
      <formula>"Operação"</formula>
    </cfRule>
    <cfRule type="cellIs" dxfId="1344" priority="4" operator="equal">
      <formula>"Chuva"</formula>
    </cfRule>
    <cfRule type="cellIs" dxfId="1343" priority="5" operator="equal">
      <formula>"Elétrico"</formula>
    </cfRule>
    <cfRule type="cellIs" dxfId="1342" priority="6" operator="equal">
      <formula>"Mecânico"</formula>
    </cfRule>
    <cfRule type="cellIs" dxfId="1341" priority="7" operator="equal">
      <formula>"Ok"</formula>
    </cfRule>
  </conditionalFormatting>
  <conditionalFormatting sqref="F5:F60">
    <cfRule type="cellIs" dxfId="1340" priority="2" operator="equal">
      <formula>"Feito"</formula>
    </cfRule>
  </conditionalFormatting>
  <dataValidations count="1">
    <dataValidation type="list" allowBlank="1" showInputMessage="1" showErrorMessage="1" sqref="B61:I62 B63:D63 B5:J60" xr:uid="{3B53E093-6701-4B82-9E73-56DDD6B794BC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8AA3-B2FE-4793-827F-9E63E9AEE76B}">
  <sheetPr codeName="Planilha48"/>
  <dimension ref="A3:N95"/>
  <sheetViews>
    <sheetView zoomScale="110" zoomScaleNormal="110" workbookViewId="0">
      <selection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44578</v>
      </c>
      <c r="C3" s="3">
        <f>B3+1</f>
        <v>44579</v>
      </c>
      <c r="D3" s="3">
        <f t="shared" ref="D3:H3" si="0">C3+1</f>
        <v>44580</v>
      </c>
      <c r="E3" s="3">
        <f t="shared" si="0"/>
        <v>44581</v>
      </c>
      <c r="F3" s="3">
        <f t="shared" si="0"/>
        <v>44582</v>
      </c>
      <c r="G3" s="3">
        <f t="shared" si="0"/>
        <v>44583</v>
      </c>
      <c r="H3" s="3">
        <f t="shared" si="0"/>
        <v>44584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t="s">
        <v>32</v>
      </c>
      <c r="M4" t="s">
        <v>33</v>
      </c>
      <c r="N4" t="s">
        <v>34</v>
      </c>
    </row>
    <row r="5" spans="1:14" x14ac:dyDescent="0.25">
      <c r="A5" s="4">
        <v>1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K5" s="5" t="s">
        <v>2</v>
      </c>
      <c r="L5">
        <f>COUNTIF($B$5:$I$95,K5)</f>
        <v>99</v>
      </c>
      <c r="M5" s="53">
        <f>L5/$L$11</f>
        <v>0.58579881656804733</v>
      </c>
      <c r="N5" s="54">
        <v>44578</v>
      </c>
    </row>
    <row r="6" spans="1:14" x14ac:dyDescent="0.25">
      <c r="A6" s="4">
        <v>2</v>
      </c>
      <c r="K6" s="6" t="s">
        <v>5</v>
      </c>
      <c r="L6">
        <f t="shared" ref="L6:L10" si="2">COUNTIF($B$5:$I$60,K6)</f>
        <v>11</v>
      </c>
      <c r="M6" s="53">
        <f t="shared" ref="M6:M10" si="3">L6/$L$11</f>
        <v>6.5088757396449703E-2</v>
      </c>
    </row>
    <row r="7" spans="1:14" x14ac:dyDescent="0.25">
      <c r="A7" s="4">
        <v>3</v>
      </c>
      <c r="K7" s="7" t="s">
        <v>6</v>
      </c>
      <c r="L7">
        <f t="shared" si="2"/>
        <v>8</v>
      </c>
      <c r="M7" s="53">
        <f t="shared" si="3"/>
        <v>4.7337278106508875E-2</v>
      </c>
    </row>
    <row r="8" spans="1:14" x14ac:dyDescent="0.25">
      <c r="A8" s="4">
        <v>4</v>
      </c>
      <c r="K8" s="8" t="s">
        <v>4</v>
      </c>
      <c r="L8">
        <f t="shared" si="2"/>
        <v>0</v>
      </c>
      <c r="M8" s="53">
        <f t="shared" si="3"/>
        <v>0</v>
      </c>
    </row>
    <row r="9" spans="1:14" x14ac:dyDescent="0.25">
      <c r="A9" s="4">
        <v>5</v>
      </c>
      <c r="C9" t="s">
        <v>2</v>
      </c>
      <c r="E9" t="s">
        <v>2</v>
      </c>
      <c r="G9" t="s">
        <v>7</v>
      </c>
      <c r="K9" s="9" t="s">
        <v>3</v>
      </c>
      <c r="L9">
        <f t="shared" si="2"/>
        <v>5</v>
      </c>
      <c r="M9" s="53">
        <f t="shared" si="3"/>
        <v>2.9585798816568046E-2</v>
      </c>
    </row>
    <row r="10" spans="1:14" x14ac:dyDescent="0.25">
      <c r="A10" s="4">
        <v>6</v>
      </c>
      <c r="B10" t="s">
        <v>6</v>
      </c>
      <c r="E10" t="s">
        <v>2</v>
      </c>
      <c r="G10" t="s">
        <v>7</v>
      </c>
      <c r="K10" s="10" t="s">
        <v>7</v>
      </c>
      <c r="L10">
        <f t="shared" si="2"/>
        <v>46</v>
      </c>
      <c r="M10" s="53">
        <f t="shared" si="3"/>
        <v>0.27218934911242604</v>
      </c>
    </row>
    <row r="11" spans="1:14" x14ac:dyDescent="0.25">
      <c r="A11" s="4">
        <v>7</v>
      </c>
      <c r="B11" t="s">
        <v>7</v>
      </c>
      <c r="F11" t="s">
        <v>2</v>
      </c>
      <c r="H11" t="s">
        <v>2</v>
      </c>
      <c r="L11">
        <f>SUM(L5:L10)</f>
        <v>169</v>
      </c>
    </row>
    <row r="12" spans="1:14" x14ac:dyDescent="0.25">
      <c r="A12" s="4">
        <v>8</v>
      </c>
      <c r="B12" t="s">
        <v>7</v>
      </c>
      <c r="F12" t="s">
        <v>2</v>
      </c>
      <c r="H12" t="s">
        <v>2</v>
      </c>
    </row>
    <row r="13" spans="1:14" x14ac:dyDescent="0.25">
      <c r="A13" s="4">
        <v>9</v>
      </c>
      <c r="C13" t="s">
        <v>2</v>
      </c>
      <c r="F13" t="s">
        <v>2</v>
      </c>
      <c r="H13" t="s">
        <v>2</v>
      </c>
    </row>
    <row r="14" spans="1:14" x14ac:dyDescent="0.25">
      <c r="A14" s="4">
        <v>10</v>
      </c>
      <c r="C14" t="s">
        <v>2</v>
      </c>
      <c r="F14" t="s">
        <v>2</v>
      </c>
      <c r="H14" t="s">
        <v>2</v>
      </c>
    </row>
    <row r="15" spans="1:14" x14ac:dyDescent="0.25">
      <c r="A15" s="4">
        <v>11</v>
      </c>
      <c r="B15" t="s">
        <v>7</v>
      </c>
      <c r="E15" t="s">
        <v>7</v>
      </c>
      <c r="G15" t="s">
        <v>7</v>
      </c>
    </row>
    <row r="16" spans="1:14" x14ac:dyDescent="0.25">
      <c r="A16" s="4">
        <v>12</v>
      </c>
      <c r="C16" t="s">
        <v>7</v>
      </c>
      <c r="E16" t="s">
        <v>7</v>
      </c>
      <c r="G16" t="s">
        <v>7</v>
      </c>
    </row>
    <row r="17" spans="1:8" x14ac:dyDescent="0.25">
      <c r="A17" s="4">
        <v>13</v>
      </c>
      <c r="B17" t="s">
        <v>7</v>
      </c>
      <c r="D17" t="s">
        <v>2</v>
      </c>
      <c r="E17" t="s">
        <v>7</v>
      </c>
      <c r="F17" t="s">
        <v>5</v>
      </c>
      <c r="H17" t="s">
        <v>2</v>
      </c>
    </row>
    <row r="18" spans="1:8" x14ac:dyDescent="0.25">
      <c r="A18" s="4">
        <v>14</v>
      </c>
      <c r="B18" t="s">
        <v>7</v>
      </c>
      <c r="C18" t="s">
        <v>7</v>
      </c>
      <c r="E18" t="s">
        <v>7</v>
      </c>
      <c r="F18" t="s">
        <v>5</v>
      </c>
      <c r="H18" t="s">
        <v>5</v>
      </c>
    </row>
    <row r="19" spans="1:8" x14ac:dyDescent="0.25">
      <c r="A19" s="4">
        <v>15</v>
      </c>
    </row>
    <row r="20" spans="1:8" x14ac:dyDescent="0.25">
      <c r="A20" s="4">
        <v>16</v>
      </c>
    </row>
    <row r="21" spans="1:8" x14ac:dyDescent="0.25">
      <c r="A21" s="4">
        <v>17</v>
      </c>
    </row>
    <row r="22" spans="1:8" x14ac:dyDescent="0.25">
      <c r="A22" s="4">
        <v>18</v>
      </c>
      <c r="C22" t="s">
        <v>7</v>
      </c>
      <c r="E22" t="s">
        <v>7</v>
      </c>
      <c r="H22" t="s">
        <v>2</v>
      </c>
    </row>
    <row r="23" spans="1:8" x14ac:dyDescent="0.25">
      <c r="A23" s="4">
        <v>19</v>
      </c>
    </row>
    <row r="24" spans="1:8" x14ac:dyDescent="0.25">
      <c r="A24" s="4">
        <v>20</v>
      </c>
      <c r="E24" t="s">
        <v>6</v>
      </c>
      <c r="F24" t="s">
        <v>7</v>
      </c>
    </row>
    <row r="25" spans="1:8" x14ac:dyDescent="0.25">
      <c r="A25" s="4">
        <v>21</v>
      </c>
    </row>
    <row r="26" spans="1:8" x14ac:dyDescent="0.25">
      <c r="A26" s="4">
        <v>22</v>
      </c>
      <c r="B26" t="s">
        <v>6</v>
      </c>
      <c r="D26" t="s">
        <v>2</v>
      </c>
      <c r="E26" t="s">
        <v>2</v>
      </c>
      <c r="G26" t="s">
        <v>2</v>
      </c>
    </row>
    <row r="27" spans="1:8" x14ac:dyDescent="0.25">
      <c r="A27" s="4">
        <v>23</v>
      </c>
      <c r="B27" t="s">
        <v>7</v>
      </c>
      <c r="C27" t="s">
        <v>7</v>
      </c>
      <c r="D27" t="s">
        <v>2</v>
      </c>
      <c r="F27" t="s">
        <v>5</v>
      </c>
      <c r="G27" t="s">
        <v>2</v>
      </c>
    </row>
    <row r="28" spans="1:8" x14ac:dyDescent="0.25">
      <c r="A28" s="4">
        <v>24</v>
      </c>
      <c r="F28" t="s">
        <v>5</v>
      </c>
    </row>
    <row r="29" spans="1:8" x14ac:dyDescent="0.25">
      <c r="A29" s="4">
        <v>25</v>
      </c>
    </row>
    <row r="30" spans="1:8" x14ac:dyDescent="0.25">
      <c r="A30" s="4">
        <v>26</v>
      </c>
      <c r="B30" t="s">
        <v>7</v>
      </c>
      <c r="C30" t="s">
        <v>7</v>
      </c>
      <c r="D30" t="s">
        <v>7</v>
      </c>
      <c r="E30" t="s">
        <v>7</v>
      </c>
      <c r="F30" t="s">
        <v>5</v>
      </c>
      <c r="G30" t="s">
        <v>2</v>
      </c>
      <c r="H30" t="s">
        <v>6</v>
      </c>
    </row>
    <row r="31" spans="1:8" x14ac:dyDescent="0.25">
      <c r="A31" s="4">
        <v>27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</row>
    <row r="32" spans="1:8" x14ac:dyDescent="0.25">
      <c r="A32" s="4">
        <v>28</v>
      </c>
      <c r="B32" t="s">
        <v>7</v>
      </c>
      <c r="F32" t="s">
        <v>6</v>
      </c>
      <c r="G32" t="s">
        <v>2</v>
      </c>
    </row>
    <row r="33" spans="1:8" x14ac:dyDescent="0.25">
      <c r="A33" s="4">
        <v>29</v>
      </c>
      <c r="B33" t="s">
        <v>2</v>
      </c>
      <c r="D33" t="s">
        <v>2</v>
      </c>
      <c r="F33" t="s">
        <v>7</v>
      </c>
      <c r="G33" t="s">
        <v>2</v>
      </c>
    </row>
    <row r="34" spans="1:8" x14ac:dyDescent="0.25">
      <c r="A34" s="4">
        <v>30</v>
      </c>
      <c r="D34" t="s">
        <v>7</v>
      </c>
      <c r="G34" t="s">
        <v>2</v>
      </c>
    </row>
    <row r="35" spans="1:8" x14ac:dyDescent="0.25">
      <c r="A35" s="4">
        <v>31</v>
      </c>
      <c r="D35" t="s">
        <v>7</v>
      </c>
      <c r="F35" t="s">
        <v>5</v>
      </c>
      <c r="G35" t="s">
        <v>5</v>
      </c>
    </row>
    <row r="36" spans="1:8" x14ac:dyDescent="0.25">
      <c r="A36" s="4">
        <v>32</v>
      </c>
      <c r="C36" t="s">
        <v>2</v>
      </c>
      <c r="D36" t="s">
        <v>5</v>
      </c>
      <c r="E36" t="s">
        <v>7</v>
      </c>
      <c r="F36" t="s">
        <v>5</v>
      </c>
      <c r="G36" t="s">
        <v>2</v>
      </c>
      <c r="H36" t="s">
        <v>2</v>
      </c>
    </row>
    <row r="37" spans="1:8" x14ac:dyDescent="0.25">
      <c r="A37" s="4">
        <v>33</v>
      </c>
      <c r="H37" t="s">
        <v>7</v>
      </c>
    </row>
    <row r="38" spans="1:8" x14ac:dyDescent="0.25">
      <c r="A38" s="4">
        <v>34</v>
      </c>
    </row>
    <row r="39" spans="1:8" x14ac:dyDescent="0.25">
      <c r="A39" s="4">
        <v>35</v>
      </c>
      <c r="B39" t="s">
        <v>7</v>
      </c>
      <c r="E39" t="s">
        <v>7</v>
      </c>
      <c r="G39" t="s">
        <v>7</v>
      </c>
    </row>
    <row r="40" spans="1:8" x14ac:dyDescent="0.25">
      <c r="A40" s="4">
        <v>36</v>
      </c>
      <c r="B40" t="s">
        <v>7</v>
      </c>
      <c r="E40" t="s">
        <v>7</v>
      </c>
      <c r="G40" t="s">
        <v>2</v>
      </c>
    </row>
    <row r="41" spans="1:8" x14ac:dyDescent="0.25">
      <c r="A41" s="4">
        <v>37</v>
      </c>
      <c r="C41" t="s">
        <v>2</v>
      </c>
      <c r="E41" t="s">
        <v>2</v>
      </c>
      <c r="H41" t="s">
        <v>2</v>
      </c>
    </row>
    <row r="42" spans="1:8" x14ac:dyDescent="0.25">
      <c r="A42" s="4">
        <v>38</v>
      </c>
    </row>
    <row r="43" spans="1:8" x14ac:dyDescent="0.25">
      <c r="A43" s="4">
        <v>39</v>
      </c>
    </row>
    <row r="44" spans="1:8" x14ac:dyDescent="0.25">
      <c r="A44" s="4">
        <v>40</v>
      </c>
    </row>
    <row r="45" spans="1:8" x14ac:dyDescent="0.25">
      <c r="A45" s="4">
        <v>41</v>
      </c>
      <c r="H45" t="s">
        <v>7</v>
      </c>
    </row>
    <row r="46" spans="1:8" x14ac:dyDescent="0.25">
      <c r="A46" s="4">
        <v>42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</row>
    <row r="47" spans="1:8" x14ac:dyDescent="0.25">
      <c r="A47" s="4">
        <v>43</v>
      </c>
      <c r="D47" t="s">
        <v>2</v>
      </c>
      <c r="E47" t="s">
        <v>7</v>
      </c>
      <c r="F47" t="s">
        <v>7</v>
      </c>
    </row>
    <row r="48" spans="1:8" x14ac:dyDescent="0.25">
      <c r="A48" s="4">
        <v>44</v>
      </c>
      <c r="E48" t="s">
        <v>2</v>
      </c>
      <c r="F48" t="s">
        <v>2</v>
      </c>
      <c r="G48" t="s">
        <v>2</v>
      </c>
      <c r="H48" t="s">
        <v>3</v>
      </c>
    </row>
    <row r="49" spans="1:8" x14ac:dyDescent="0.25">
      <c r="A49" s="4">
        <v>45</v>
      </c>
      <c r="G49" t="s">
        <v>2</v>
      </c>
    </row>
    <row r="50" spans="1:8" x14ac:dyDescent="0.25">
      <c r="A50" s="4">
        <v>46</v>
      </c>
      <c r="B50" t="s">
        <v>7</v>
      </c>
      <c r="C50" t="s">
        <v>7</v>
      </c>
      <c r="D50" t="s">
        <v>7</v>
      </c>
      <c r="E50" t="s">
        <v>7</v>
      </c>
      <c r="G50" t="s">
        <v>2</v>
      </c>
    </row>
    <row r="51" spans="1:8" x14ac:dyDescent="0.25">
      <c r="A51" s="4">
        <v>47</v>
      </c>
    </row>
    <row r="52" spans="1:8" x14ac:dyDescent="0.25">
      <c r="A52" s="4">
        <v>48</v>
      </c>
      <c r="C52" t="s">
        <v>7</v>
      </c>
      <c r="F52" t="s">
        <v>6</v>
      </c>
      <c r="H52" t="s">
        <v>6</v>
      </c>
    </row>
    <row r="53" spans="1:8" x14ac:dyDescent="0.25">
      <c r="A53" s="4">
        <v>49</v>
      </c>
      <c r="C53" t="s">
        <v>7</v>
      </c>
      <c r="H53" t="s">
        <v>7</v>
      </c>
    </row>
    <row r="54" spans="1:8" x14ac:dyDescent="0.25">
      <c r="A54" s="4">
        <v>50</v>
      </c>
      <c r="H54" t="s">
        <v>3</v>
      </c>
    </row>
    <row r="55" spans="1:8" x14ac:dyDescent="0.25">
      <c r="A55" s="4">
        <v>51</v>
      </c>
      <c r="H55" t="s">
        <v>2</v>
      </c>
    </row>
    <row r="56" spans="1:8" x14ac:dyDescent="0.25">
      <c r="A56" s="4">
        <v>52</v>
      </c>
      <c r="D56" t="s">
        <v>5</v>
      </c>
      <c r="F56" t="s">
        <v>7</v>
      </c>
      <c r="G56" t="s">
        <v>2</v>
      </c>
      <c r="H56" t="s">
        <v>2</v>
      </c>
    </row>
    <row r="57" spans="1:8" x14ac:dyDescent="0.25">
      <c r="A57" s="4">
        <v>53</v>
      </c>
      <c r="E57" t="s">
        <v>2</v>
      </c>
      <c r="H57" t="s">
        <v>3</v>
      </c>
    </row>
    <row r="58" spans="1:8" x14ac:dyDescent="0.25">
      <c r="A58" s="4">
        <v>54</v>
      </c>
    </row>
    <row r="59" spans="1:8" x14ac:dyDescent="0.25">
      <c r="A59" s="4">
        <v>55</v>
      </c>
      <c r="F59" t="s">
        <v>6</v>
      </c>
      <c r="G59" t="s">
        <v>2</v>
      </c>
      <c r="H59" t="s">
        <v>3</v>
      </c>
    </row>
    <row r="60" spans="1:8" x14ac:dyDescent="0.25">
      <c r="A60" s="4">
        <v>56</v>
      </c>
      <c r="G60" t="s">
        <v>2</v>
      </c>
      <c r="H60" t="s">
        <v>3</v>
      </c>
    </row>
    <row r="61" spans="1:8" x14ac:dyDescent="0.25">
      <c r="A61" s="18">
        <v>73</v>
      </c>
    </row>
    <row r="62" spans="1:8" x14ac:dyDescent="0.25">
      <c r="A62" s="18">
        <v>74</v>
      </c>
      <c r="D62" t="s">
        <v>2</v>
      </c>
      <c r="E62" t="s">
        <v>7</v>
      </c>
      <c r="H62" t="s">
        <v>7</v>
      </c>
    </row>
    <row r="63" spans="1:8" x14ac:dyDescent="0.25">
      <c r="A63" s="18">
        <v>101</v>
      </c>
      <c r="F63" t="s">
        <v>2</v>
      </c>
      <c r="H63" t="s">
        <v>2</v>
      </c>
    </row>
    <row r="64" spans="1:8" x14ac:dyDescent="0.25">
      <c r="A64" s="18">
        <v>102</v>
      </c>
      <c r="E64" t="s">
        <v>5</v>
      </c>
      <c r="F64" t="s">
        <v>5</v>
      </c>
      <c r="G64" t="s">
        <v>5</v>
      </c>
    </row>
    <row r="65" spans="1:8" x14ac:dyDescent="0.25">
      <c r="A65" s="18">
        <v>103</v>
      </c>
      <c r="E65" t="s">
        <v>2</v>
      </c>
      <c r="G65" t="s">
        <v>2</v>
      </c>
    </row>
    <row r="66" spans="1:8" x14ac:dyDescent="0.25">
      <c r="A66" s="18">
        <v>104</v>
      </c>
      <c r="E66" t="s">
        <v>2</v>
      </c>
    </row>
    <row r="67" spans="1:8" x14ac:dyDescent="0.25">
      <c r="A67" s="18">
        <v>105</v>
      </c>
    </row>
    <row r="68" spans="1:8" x14ac:dyDescent="0.25">
      <c r="A68" s="18">
        <v>106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</row>
    <row r="69" spans="1:8" x14ac:dyDescent="0.25">
      <c r="A69" s="18">
        <v>107</v>
      </c>
    </row>
    <row r="70" spans="1:8" x14ac:dyDescent="0.25">
      <c r="A70" s="18">
        <v>108</v>
      </c>
      <c r="D70" t="s">
        <v>2</v>
      </c>
      <c r="E70" t="s">
        <v>2</v>
      </c>
      <c r="F70" t="s">
        <v>2</v>
      </c>
      <c r="H70" t="s">
        <v>2</v>
      </c>
    </row>
    <row r="71" spans="1:8" x14ac:dyDescent="0.25">
      <c r="A71" s="18">
        <v>109</v>
      </c>
      <c r="E71" t="s">
        <v>2</v>
      </c>
      <c r="F71" t="s">
        <v>2</v>
      </c>
      <c r="G71" t="s">
        <v>2</v>
      </c>
      <c r="H71" t="s">
        <v>2</v>
      </c>
    </row>
    <row r="72" spans="1:8" x14ac:dyDescent="0.25">
      <c r="A72" s="18">
        <v>110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</row>
    <row r="73" spans="1:8" x14ac:dyDescent="0.25">
      <c r="A73" s="18">
        <v>111</v>
      </c>
    </row>
    <row r="74" spans="1:8" x14ac:dyDescent="0.25">
      <c r="A74" s="18">
        <v>112</v>
      </c>
      <c r="E74" t="s">
        <v>2</v>
      </c>
      <c r="G74" t="s">
        <v>2</v>
      </c>
    </row>
    <row r="75" spans="1:8" x14ac:dyDescent="0.25">
      <c r="A75" s="18">
        <v>113</v>
      </c>
      <c r="D75" t="s">
        <v>2</v>
      </c>
      <c r="F75" t="s">
        <v>2</v>
      </c>
      <c r="G75" t="s">
        <v>2</v>
      </c>
      <c r="H75" t="s">
        <v>5</v>
      </c>
    </row>
    <row r="76" spans="1:8" x14ac:dyDescent="0.25">
      <c r="A76" s="18">
        <v>114</v>
      </c>
      <c r="E76" t="s">
        <v>2</v>
      </c>
    </row>
    <row r="77" spans="1:8" x14ac:dyDescent="0.25">
      <c r="A77" s="18">
        <v>115</v>
      </c>
      <c r="D77" t="s">
        <v>2</v>
      </c>
      <c r="G77" t="s">
        <v>5</v>
      </c>
      <c r="H77" t="s">
        <v>5</v>
      </c>
    </row>
    <row r="78" spans="1:8" x14ac:dyDescent="0.25">
      <c r="A78" s="18">
        <v>116</v>
      </c>
      <c r="E78" t="s">
        <v>2</v>
      </c>
      <c r="F78" t="s">
        <v>2</v>
      </c>
      <c r="G78" t="s">
        <v>5</v>
      </c>
      <c r="H78" t="s">
        <v>5</v>
      </c>
    </row>
    <row r="79" spans="1:8" x14ac:dyDescent="0.25">
      <c r="A79" s="18">
        <v>117</v>
      </c>
      <c r="F79" t="s">
        <v>5</v>
      </c>
      <c r="G79" t="s">
        <v>5</v>
      </c>
      <c r="H79" t="s">
        <v>5</v>
      </c>
    </row>
    <row r="80" spans="1:8" x14ac:dyDescent="0.25">
      <c r="A80" s="18">
        <v>118</v>
      </c>
      <c r="E80" t="s">
        <v>2</v>
      </c>
      <c r="G80" t="s">
        <v>5</v>
      </c>
      <c r="H80" t="s">
        <v>5</v>
      </c>
    </row>
    <row r="81" spans="1:8" x14ac:dyDescent="0.25">
      <c r="A81" s="18">
        <v>119</v>
      </c>
      <c r="F81" t="s">
        <v>2</v>
      </c>
      <c r="G81" t="s">
        <v>5</v>
      </c>
      <c r="H81" t="s">
        <v>5</v>
      </c>
    </row>
    <row r="82" spans="1:8" x14ac:dyDescent="0.25">
      <c r="A82" s="18">
        <v>120</v>
      </c>
    </row>
    <row r="83" spans="1:8" x14ac:dyDescent="0.25">
      <c r="A83" s="18">
        <v>121</v>
      </c>
    </row>
    <row r="84" spans="1:8" x14ac:dyDescent="0.25">
      <c r="A84" s="18">
        <v>122</v>
      </c>
    </row>
    <row r="85" spans="1:8" x14ac:dyDescent="0.25">
      <c r="A85" s="18">
        <v>123</v>
      </c>
    </row>
    <row r="86" spans="1:8" x14ac:dyDescent="0.25">
      <c r="A86" s="18">
        <v>124</v>
      </c>
    </row>
    <row r="87" spans="1:8" x14ac:dyDescent="0.25">
      <c r="A87" s="18">
        <v>125</v>
      </c>
    </row>
    <row r="88" spans="1:8" x14ac:dyDescent="0.25">
      <c r="A88" s="18">
        <v>126</v>
      </c>
    </row>
    <row r="89" spans="1:8" x14ac:dyDescent="0.25">
      <c r="A89" s="18">
        <v>127</v>
      </c>
    </row>
    <row r="90" spans="1:8" x14ac:dyDescent="0.25">
      <c r="A90" s="18">
        <v>128</v>
      </c>
      <c r="F90" t="s">
        <v>5</v>
      </c>
      <c r="G90" t="s">
        <v>5</v>
      </c>
      <c r="H90" t="s">
        <v>5</v>
      </c>
    </row>
    <row r="91" spans="1:8" x14ac:dyDescent="0.25">
      <c r="A91" s="18">
        <v>129</v>
      </c>
      <c r="F91" t="s">
        <v>5</v>
      </c>
      <c r="G91" t="s">
        <v>5</v>
      </c>
      <c r="H91" t="s">
        <v>5</v>
      </c>
    </row>
    <row r="92" spans="1:8" x14ac:dyDescent="0.25">
      <c r="A92" s="18">
        <v>130</v>
      </c>
      <c r="F92" t="s">
        <v>5</v>
      </c>
      <c r="G92" t="s">
        <v>5</v>
      </c>
      <c r="H92" t="s">
        <v>5</v>
      </c>
    </row>
    <row r="93" spans="1:8" x14ac:dyDescent="0.25">
      <c r="A93" s="18">
        <v>131</v>
      </c>
    </row>
    <row r="94" spans="1:8" x14ac:dyDescent="0.25">
      <c r="A94" s="18">
        <v>132</v>
      </c>
    </row>
    <row r="95" spans="1:8" x14ac:dyDescent="0.25">
      <c r="A95" s="18">
        <v>133</v>
      </c>
    </row>
  </sheetData>
  <conditionalFormatting sqref="B61:I62 I5:I60">
    <cfRule type="cellIs" dxfId="1339" priority="25" operator="equal">
      <formula>"Energia"</formula>
    </cfRule>
    <cfRule type="cellIs" dxfId="1338" priority="27" operator="equal">
      <formula>"Operação"</formula>
    </cfRule>
    <cfRule type="cellIs" dxfId="1337" priority="28" operator="equal">
      <formula>"Chuva"</formula>
    </cfRule>
    <cfRule type="cellIs" dxfId="1336" priority="29" operator="equal">
      <formula>"Elétrico"</formula>
    </cfRule>
    <cfRule type="cellIs" dxfId="1335" priority="30" operator="equal">
      <formula>"Mecânico"</formula>
    </cfRule>
    <cfRule type="cellIs" dxfId="1334" priority="31" operator="equal">
      <formula>"Ok"</formula>
    </cfRule>
  </conditionalFormatting>
  <conditionalFormatting sqref="B61:I62 I5:I60">
    <cfRule type="cellIs" dxfId="1333" priority="26" operator="equal">
      <formula>"Feito"</formula>
    </cfRule>
  </conditionalFormatting>
  <conditionalFormatting sqref="K7"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B5:E11 G5:G56">
    <cfRule type="cellIs" dxfId="1332" priority="23" operator="equal">
      <formula>"Energia"</formula>
    </cfRule>
  </conditionalFormatting>
  <conditionalFormatting sqref="B5:E60 G5:H60">
    <cfRule type="cellIs" dxfId="1331" priority="16" operator="equal">
      <formula>"Energia"</formula>
    </cfRule>
    <cfRule type="cellIs" dxfId="1330" priority="18" operator="equal">
      <formula>"Operação"</formula>
    </cfRule>
    <cfRule type="cellIs" dxfId="1329" priority="19" operator="equal">
      <formula>"Chuva"</formula>
    </cfRule>
    <cfRule type="cellIs" dxfId="1328" priority="20" operator="equal">
      <formula>"Elétrico"</formula>
    </cfRule>
    <cfRule type="cellIs" dxfId="1327" priority="21" operator="equal">
      <formula>"Mecânico"</formula>
    </cfRule>
    <cfRule type="cellIs" dxfId="1326" priority="22" operator="equal">
      <formula>"Ok"</formula>
    </cfRule>
  </conditionalFormatting>
  <conditionalFormatting sqref="B5:E60 G5:H60">
    <cfRule type="cellIs" dxfId="1325" priority="17" operator="equal">
      <formula>"Feito"</formula>
    </cfRule>
  </conditionalFormatting>
  <conditionalFormatting sqref="F5:F11">
    <cfRule type="cellIs" dxfId="1324" priority="15" operator="equal">
      <formula>"Energia"</formula>
    </cfRule>
  </conditionalFormatting>
  <conditionalFormatting sqref="F5:F60">
    <cfRule type="cellIs" dxfId="1323" priority="8" operator="equal">
      <formula>"Energia"</formula>
    </cfRule>
    <cfRule type="cellIs" dxfId="1322" priority="10" operator="equal">
      <formula>"Operação"</formula>
    </cfRule>
    <cfRule type="cellIs" dxfId="1321" priority="11" operator="equal">
      <formula>"Chuva"</formula>
    </cfRule>
    <cfRule type="cellIs" dxfId="1320" priority="12" operator="equal">
      <formula>"Elétrico"</formula>
    </cfRule>
    <cfRule type="cellIs" dxfId="1319" priority="13" operator="equal">
      <formula>"Mecânico"</formula>
    </cfRule>
    <cfRule type="cellIs" dxfId="1318" priority="14" operator="equal">
      <formula>"Ok"</formula>
    </cfRule>
  </conditionalFormatting>
  <conditionalFormatting sqref="F5:F60">
    <cfRule type="cellIs" dxfId="1317" priority="9" operator="equal">
      <formula>"Feito"</formula>
    </cfRule>
  </conditionalFormatting>
  <conditionalFormatting sqref="B63:H95">
    <cfRule type="cellIs" dxfId="1316" priority="1" operator="equal">
      <formula>"Energia"</formula>
    </cfRule>
    <cfRule type="cellIs" dxfId="1315" priority="3" operator="equal">
      <formula>"Operação"</formula>
    </cfRule>
    <cfRule type="cellIs" dxfId="1314" priority="4" operator="equal">
      <formula>"Chuva"</formula>
    </cfRule>
    <cfRule type="cellIs" dxfId="1313" priority="5" operator="equal">
      <formula>"Elétrico"</formula>
    </cfRule>
    <cfRule type="cellIs" dxfId="1312" priority="6" operator="equal">
      <formula>"Mecânico"</formula>
    </cfRule>
    <cfRule type="cellIs" dxfId="1311" priority="7" operator="equal">
      <formula>"Ok"</formula>
    </cfRule>
  </conditionalFormatting>
  <conditionalFormatting sqref="B63:H95">
    <cfRule type="cellIs" dxfId="1310" priority="2" operator="equal">
      <formula>"Feito"</formula>
    </cfRule>
  </conditionalFormatting>
  <dataValidations count="1">
    <dataValidation type="list" allowBlank="1" showInputMessage="1" showErrorMessage="1" sqref="B61:I62 B5:J60 B63:H95" xr:uid="{4E6828DB-6184-4C74-95D7-407813E8A7C1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4337D-CC41-486C-84C6-476681D2A537}">
  <sheetPr codeName="Planilha49"/>
  <dimension ref="A3:N95"/>
  <sheetViews>
    <sheetView zoomScale="110" zoomScaleNormal="110" workbookViewId="0">
      <selection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44585</v>
      </c>
      <c r="C3" s="3">
        <f>B3+1</f>
        <v>44586</v>
      </c>
      <c r="D3" s="3">
        <f t="shared" ref="D3:H3" si="0">C3+1</f>
        <v>44587</v>
      </c>
      <c r="E3" s="3">
        <f t="shared" si="0"/>
        <v>44588</v>
      </c>
      <c r="F3" s="3">
        <f t="shared" si="0"/>
        <v>44589</v>
      </c>
      <c r="G3" s="3">
        <f t="shared" si="0"/>
        <v>44590</v>
      </c>
      <c r="H3" s="3">
        <f t="shared" si="0"/>
        <v>44591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t="s">
        <v>32</v>
      </c>
      <c r="M4" t="s">
        <v>33</v>
      </c>
      <c r="N4" t="s">
        <v>34</v>
      </c>
    </row>
    <row r="5" spans="1:14" x14ac:dyDescent="0.25">
      <c r="A5" s="4">
        <v>1</v>
      </c>
      <c r="C5" t="s">
        <v>2</v>
      </c>
      <c r="H5" t="s">
        <v>2</v>
      </c>
      <c r="K5" s="5" t="s">
        <v>2</v>
      </c>
      <c r="L5">
        <f>COUNTIF($B$5:$H$95,K5)</f>
        <v>80</v>
      </c>
      <c r="M5" s="53">
        <f>L5/$L$11</f>
        <v>0.47619047619047616</v>
      </c>
      <c r="N5" s="52">
        <v>44585</v>
      </c>
    </row>
    <row r="6" spans="1:14" x14ac:dyDescent="0.25">
      <c r="A6" s="4">
        <v>2</v>
      </c>
      <c r="K6" s="6" t="s">
        <v>5</v>
      </c>
      <c r="L6">
        <f>COUNTIF($B$5:$H$95,K6)</f>
        <v>18</v>
      </c>
      <c r="M6" s="53">
        <f t="shared" ref="M6:M10" si="2">L6/$L$11</f>
        <v>0.10714285714285714</v>
      </c>
    </row>
    <row r="7" spans="1:14" x14ac:dyDescent="0.25">
      <c r="A7" s="4">
        <v>3</v>
      </c>
      <c r="K7" s="7" t="s">
        <v>6</v>
      </c>
      <c r="L7">
        <f t="shared" ref="L7:L10" si="3">COUNTIF($B$5:$H$95,K7)</f>
        <v>24</v>
      </c>
      <c r="M7" s="53">
        <f t="shared" si="2"/>
        <v>0.14285714285714285</v>
      </c>
    </row>
    <row r="8" spans="1:14" x14ac:dyDescent="0.25">
      <c r="A8" s="4">
        <v>4</v>
      </c>
      <c r="K8" s="8" t="s">
        <v>4</v>
      </c>
      <c r="L8">
        <f t="shared" si="3"/>
        <v>0</v>
      </c>
      <c r="M8" s="53">
        <f t="shared" si="2"/>
        <v>0</v>
      </c>
    </row>
    <row r="9" spans="1:14" x14ac:dyDescent="0.25">
      <c r="A9" s="4">
        <v>5</v>
      </c>
      <c r="B9" t="s">
        <v>2</v>
      </c>
      <c r="D9" t="s">
        <v>3</v>
      </c>
      <c r="G9" t="s">
        <v>2</v>
      </c>
      <c r="K9" s="9" t="s">
        <v>3</v>
      </c>
      <c r="L9">
        <f t="shared" si="3"/>
        <v>31</v>
      </c>
      <c r="M9" s="53">
        <f t="shared" si="2"/>
        <v>0.18452380952380953</v>
      </c>
    </row>
    <row r="10" spans="1:14" x14ac:dyDescent="0.25">
      <c r="A10" s="4">
        <v>6</v>
      </c>
      <c r="B10" t="s">
        <v>2</v>
      </c>
      <c r="D10" t="s">
        <v>7</v>
      </c>
      <c r="H10" t="s">
        <v>6</v>
      </c>
      <c r="K10" s="10" t="s">
        <v>7</v>
      </c>
      <c r="L10">
        <f t="shared" si="3"/>
        <v>15</v>
      </c>
      <c r="M10" s="53">
        <f t="shared" si="2"/>
        <v>8.9285714285714288E-2</v>
      </c>
    </row>
    <row r="11" spans="1:14" x14ac:dyDescent="0.25">
      <c r="A11" s="4">
        <v>7</v>
      </c>
      <c r="C11" t="s">
        <v>2</v>
      </c>
      <c r="G11" t="s">
        <v>2</v>
      </c>
      <c r="L11">
        <f>SUM(L5:L10)</f>
        <v>168</v>
      </c>
    </row>
    <row r="12" spans="1:14" x14ac:dyDescent="0.25">
      <c r="A12" s="4">
        <v>8</v>
      </c>
      <c r="C12" t="s">
        <v>2</v>
      </c>
      <c r="H12" t="s">
        <v>6</v>
      </c>
    </row>
    <row r="13" spans="1:14" x14ac:dyDescent="0.25">
      <c r="A13" s="4">
        <v>9</v>
      </c>
      <c r="C13" t="s">
        <v>2</v>
      </c>
      <c r="G13" t="s">
        <v>2</v>
      </c>
    </row>
    <row r="14" spans="1:14" x14ac:dyDescent="0.25">
      <c r="A14" s="4">
        <v>10</v>
      </c>
      <c r="C14" t="s">
        <v>2</v>
      </c>
      <c r="H14" t="s">
        <v>2</v>
      </c>
    </row>
    <row r="15" spans="1:14" x14ac:dyDescent="0.25">
      <c r="A15" s="4">
        <v>11</v>
      </c>
      <c r="B15" t="s">
        <v>2</v>
      </c>
      <c r="D15" t="s">
        <v>6</v>
      </c>
    </row>
    <row r="16" spans="1:14" x14ac:dyDescent="0.25">
      <c r="A16" s="4">
        <v>12</v>
      </c>
      <c r="B16" t="s">
        <v>2</v>
      </c>
      <c r="D16" t="s">
        <v>3</v>
      </c>
      <c r="H16" t="s">
        <v>6</v>
      </c>
    </row>
    <row r="17" spans="1:8" x14ac:dyDescent="0.25">
      <c r="A17" s="4">
        <v>13</v>
      </c>
      <c r="C17" t="s">
        <v>7</v>
      </c>
      <c r="G17" t="s">
        <v>2</v>
      </c>
    </row>
    <row r="18" spans="1:8" x14ac:dyDescent="0.25">
      <c r="A18" s="4">
        <v>14</v>
      </c>
      <c r="C18" t="s">
        <v>2</v>
      </c>
      <c r="H18" t="s">
        <v>2</v>
      </c>
    </row>
    <row r="19" spans="1:8" x14ac:dyDescent="0.25">
      <c r="A19" s="4">
        <v>15</v>
      </c>
      <c r="D19" t="s">
        <v>7</v>
      </c>
      <c r="G19" t="s">
        <v>6</v>
      </c>
    </row>
    <row r="20" spans="1:8" x14ac:dyDescent="0.25">
      <c r="A20" s="4">
        <v>16</v>
      </c>
    </row>
    <row r="21" spans="1:8" x14ac:dyDescent="0.25">
      <c r="A21" s="4">
        <v>17</v>
      </c>
    </row>
    <row r="22" spans="1:8" x14ac:dyDescent="0.25">
      <c r="A22" s="4">
        <v>18</v>
      </c>
      <c r="F22" t="s">
        <v>2</v>
      </c>
    </row>
    <row r="23" spans="1:8" x14ac:dyDescent="0.25">
      <c r="A23" s="4">
        <v>19</v>
      </c>
      <c r="G23" t="s">
        <v>2</v>
      </c>
    </row>
    <row r="24" spans="1:8" x14ac:dyDescent="0.25">
      <c r="A24" s="4">
        <v>20</v>
      </c>
      <c r="B24" t="s">
        <v>2</v>
      </c>
      <c r="H24" t="s">
        <v>2</v>
      </c>
    </row>
    <row r="25" spans="1:8" x14ac:dyDescent="0.25">
      <c r="A25" s="4">
        <v>21</v>
      </c>
      <c r="D25" t="s">
        <v>7</v>
      </c>
      <c r="F25" t="s">
        <v>6</v>
      </c>
      <c r="G25" t="s">
        <v>2</v>
      </c>
      <c r="H25" t="s">
        <v>3</v>
      </c>
    </row>
    <row r="26" spans="1:8" x14ac:dyDescent="0.25">
      <c r="A26" s="4">
        <v>22</v>
      </c>
      <c r="H26" t="s">
        <v>3</v>
      </c>
    </row>
    <row r="27" spans="1:8" x14ac:dyDescent="0.25">
      <c r="A27" s="4">
        <v>23</v>
      </c>
      <c r="C27" t="s">
        <v>6</v>
      </c>
      <c r="D27" t="s">
        <v>6</v>
      </c>
      <c r="G27" t="s">
        <v>2</v>
      </c>
    </row>
    <row r="28" spans="1:8" x14ac:dyDescent="0.25">
      <c r="A28" s="4">
        <v>24</v>
      </c>
      <c r="C28" t="s">
        <v>7</v>
      </c>
      <c r="H28" t="s">
        <v>3</v>
      </c>
    </row>
    <row r="29" spans="1:8" x14ac:dyDescent="0.25">
      <c r="A29" s="4">
        <v>25</v>
      </c>
      <c r="H29" t="s">
        <v>5</v>
      </c>
    </row>
    <row r="30" spans="1:8" x14ac:dyDescent="0.25">
      <c r="A30" s="4">
        <v>26</v>
      </c>
      <c r="B30" t="s">
        <v>6</v>
      </c>
      <c r="D30" t="s">
        <v>6</v>
      </c>
      <c r="G30" t="s">
        <v>2</v>
      </c>
    </row>
    <row r="31" spans="1:8" x14ac:dyDescent="0.25">
      <c r="A31" s="4">
        <v>27</v>
      </c>
      <c r="B31" t="s">
        <v>2</v>
      </c>
      <c r="C31" t="s">
        <v>2</v>
      </c>
      <c r="H31" t="s">
        <v>2</v>
      </c>
    </row>
    <row r="32" spans="1:8" x14ac:dyDescent="0.25">
      <c r="A32" s="4">
        <v>28</v>
      </c>
      <c r="C32" t="s">
        <v>7</v>
      </c>
      <c r="H32" t="s">
        <v>3</v>
      </c>
    </row>
    <row r="33" spans="1:8" x14ac:dyDescent="0.25">
      <c r="A33" s="4">
        <v>29</v>
      </c>
      <c r="B33" t="s">
        <v>2</v>
      </c>
      <c r="D33" t="s">
        <v>2</v>
      </c>
      <c r="G33" t="s">
        <v>2</v>
      </c>
    </row>
    <row r="34" spans="1:8" x14ac:dyDescent="0.25">
      <c r="A34" s="4">
        <v>30</v>
      </c>
      <c r="B34" t="s">
        <v>5</v>
      </c>
      <c r="C34" t="s">
        <v>2</v>
      </c>
      <c r="H34" t="s">
        <v>2</v>
      </c>
    </row>
    <row r="35" spans="1:8" x14ac:dyDescent="0.25">
      <c r="A35" s="4">
        <v>31</v>
      </c>
    </row>
    <row r="36" spans="1:8" x14ac:dyDescent="0.25">
      <c r="A36" s="4">
        <v>32</v>
      </c>
      <c r="B36" t="s">
        <v>2</v>
      </c>
      <c r="C36" t="s">
        <v>2</v>
      </c>
      <c r="D36" t="s">
        <v>3</v>
      </c>
      <c r="H36" t="s">
        <v>3</v>
      </c>
    </row>
    <row r="37" spans="1:8" x14ac:dyDescent="0.25">
      <c r="A37" s="4">
        <v>33</v>
      </c>
      <c r="D37" t="s">
        <v>3</v>
      </c>
      <c r="H37" t="s">
        <v>3</v>
      </c>
    </row>
    <row r="38" spans="1:8" x14ac:dyDescent="0.25">
      <c r="A38" s="4">
        <v>34</v>
      </c>
      <c r="B38" t="s">
        <v>7</v>
      </c>
      <c r="H38" t="s">
        <v>3</v>
      </c>
    </row>
    <row r="39" spans="1:8" x14ac:dyDescent="0.25">
      <c r="A39" s="4">
        <v>35</v>
      </c>
      <c r="B39" t="s">
        <v>7</v>
      </c>
      <c r="D39" t="s">
        <v>3</v>
      </c>
      <c r="G39" t="s">
        <v>6</v>
      </c>
      <c r="H39" t="s">
        <v>6</v>
      </c>
    </row>
    <row r="40" spans="1:8" x14ac:dyDescent="0.25">
      <c r="A40" s="4">
        <v>36</v>
      </c>
      <c r="B40" t="s">
        <v>7</v>
      </c>
      <c r="D40" t="s">
        <v>3</v>
      </c>
      <c r="G40" t="s">
        <v>6</v>
      </c>
      <c r="H40" t="s">
        <v>6</v>
      </c>
    </row>
    <row r="41" spans="1:8" x14ac:dyDescent="0.25">
      <c r="A41" s="4">
        <v>37</v>
      </c>
      <c r="C41" t="s">
        <v>2</v>
      </c>
      <c r="H41" t="s">
        <v>2</v>
      </c>
    </row>
    <row r="42" spans="1:8" x14ac:dyDescent="0.25">
      <c r="A42" s="4">
        <v>38</v>
      </c>
      <c r="D42" t="s">
        <v>6</v>
      </c>
      <c r="F42" t="s">
        <v>6</v>
      </c>
      <c r="H42" t="s">
        <v>2</v>
      </c>
    </row>
    <row r="43" spans="1:8" x14ac:dyDescent="0.25">
      <c r="A43" s="4">
        <v>39</v>
      </c>
      <c r="B43" t="s">
        <v>3</v>
      </c>
      <c r="H43" t="s">
        <v>2</v>
      </c>
    </row>
    <row r="44" spans="1:8" x14ac:dyDescent="0.25">
      <c r="A44" s="4">
        <v>40</v>
      </c>
    </row>
    <row r="45" spans="1:8" x14ac:dyDescent="0.25">
      <c r="A45" s="4">
        <v>41</v>
      </c>
      <c r="C45" t="s">
        <v>2</v>
      </c>
      <c r="F45" t="s">
        <v>6</v>
      </c>
      <c r="H45" t="s">
        <v>2</v>
      </c>
    </row>
    <row r="46" spans="1:8" x14ac:dyDescent="0.25">
      <c r="A46" s="4">
        <v>42</v>
      </c>
      <c r="B46" t="s">
        <v>2</v>
      </c>
      <c r="H46" t="s">
        <v>2</v>
      </c>
    </row>
    <row r="47" spans="1:8" x14ac:dyDescent="0.25">
      <c r="A47" s="4">
        <v>43</v>
      </c>
      <c r="B47" t="s">
        <v>2</v>
      </c>
      <c r="D47" t="s">
        <v>2</v>
      </c>
      <c r="E47" t="s">
        <v>2</v>
      </c>
    </row>
    <row r="48" spans="1:8" x14ac:dyDescent="0.25">
      <c r="A48" s="4">
        <v>44</v>
      </c>
      <c r="B48" t="s">
        <v>3</v>
      </c>
      <c r="H48" t="s">
        <v>3</v>
      </c>
    </row>
    <row r="49" spans="1:8" x14ac:dyDescent="0.25">
      <c r="A49" s="4">
        <v>45</v>
      </c>
      <c r="B49" t="s">
        <v>2</v>
      </c>
      <c r="D49" t="s">
        <v>3</v>
      </c>
      <c r="H49" t="s">
        <v>2</v>
      </c>
    </row>
    <row r="50" spans="1:8" x14ac:dyDescent="0.25">
      <c r="A50" s="4">
        <v>46</v>
      </c>
      <c r="B50" t="s">
        <v>3</v>
      </c>
      <c r="D50" t="s">
        <v>3</v>
      </c>
      <c r="H50" t="s">
        <v>6</v>
      </c>
    </row>
    <row r="51" spans="1:8" x14ac:dyDescent="0.25">
      <c r="A51" s="4">
        <v>47</v>
      </c>
      <c r="G51" t="s">
        <v>7</v>
      </c>
    </row>
    <row r="52" spans="1:8" x14ac:dyDescent="0.25">
      <c r="A52" s="4">
        <v>48</v>
      </c>
      <c r="C52" t="s">
        <v>2</v>
      </c>
      <c r="G52" t="s">
        <v>6</v>
      </c>
      <c r="H52" t="s">
        <v>6</v>
      </c>
    </row>
    <row r="53" spans="1:8" x14ac:dyDescent="0.25">
      <c r="A53" s="4">
        <v>49</v>
      </c>
      <c r="C53" t="s">
        <v>7</v>
      </c>
      <c r="G53" t="s">
        <v>6</v>
      </c>
      <c r="H53" t="s">
        <v>6</v>
      </c>
    </row>
    <row r="54" spans="1:8" x14ac:dyDescent="0.25">
      <c r="A54" s="4">
        <v>50</v>
      </c>
      <c r="D54" t="s">
        <v>3</v>
      </c>
      <c r="F54" t="s">
        <v>7</v>
      </c>
      <c r="H54" t="s">
        <v>2</v>
      </c>
    </row>
    <row r="55" spans="1:8" x14ac:dyDescent="0.25">
      <c r="A55" s="4">
        <v>51</v>
      </c>
      <c r="D55" t="s">
        <v>3</v>
      </c>
      <c r="F55" t="s">
        <v>7</v>
      </c>
      <c r="H55" t="s">
        <v>2</v>
      </c>
    </row>
    <row r="56" spans="1:8" x14ac:dyDescent="0.25">
      <c r="A56" s="4">
        <v>52</v>
      </c>
      <c r="B56" t="s">
        <v>3</v>
      </c>
      <c r="D56" t="s">
        <v>3</v>
      </c>
      <c r="H56" t="s">
        <v>2</v>
      </c>
    </row>
    <row r="57" spans="1:8" x14ac:dyDescent="0.25">
      <c r="A57" s="4">
        <v>53</v>
      </c>
      <c r="B57" t="s">
        <v>3</v>
      </c>
      <c r="H57" t="s">
        <v>3</v>
      </c>
    </row>
    <row r="58" spans="1:8" x14ac:dyDescent="0.25">
      <c r="A58" s="4">
        <v>54</v>
      </c>
      <c r="D58" t="s">
        <v>3</v>
      </c>
      <c r="H58" t="s">
        <v>3</v>
      </c>
    </row>
    <row r="59" spans="1:8" x14ac:dyDescent="0.25">
      <c r="A59" s="4">
        <v>55</v>
      </c>
      <c r="B59" t="s">
        <v>3</v>
      </c>
      <c r="D59" t="s">
        <v>3</v>
      </c>
      <c r="F59" t="s">
        <v>7</v>
      </c>
    </row>
    <row r="60" spans="1:8" x14ac:dyDescent="0.25">
      <c r="A60" s="4">
        <v>56</v>
      </c>
      <c r="B60" t="s">
        <v>3</v>
      </c>
      <c r="D60" t="s">
        <v>3</v>
      </c>
      <c r="F60" t="s">
        <v>7</v>
      </c>
    </row>
    <row r="61" spans="1:8" x14ac:dyDescent="0.25">
      <c r="A61" s="18">
        <v>73</v>
      </c>
    </row>
    <row r="62" spans="1:8" x14ac:dyDescent="0.25">
      <c r="A62" s="18">
        <v>74</v>
      </c>
      <c r="H62" t="s">
        <v>2</v>
      </c>
    </row>
    <row r="63" spans="1:8" x14ac:dyDescent="0.25">
      <c r="A63" s="18">
        <v>101</v>
      </c>
      <c r="H63" t="s">
        <v>2</v>
      </c>
    </row>
    <row r="64" spans="1:8" x14ac:dyDescent="0.25">
      <c r="A64" s="18">
        <v>102</v>
      </c>
      <c r="D64" t="s">
        <v>2</v>
      </c>
      <c r="G64" t="s">
        <v>2</v>
      </c>
      <c r="H64" t="s">
        <v>2</v>
      </c>
    </row>
    <row r="65" spans="1:8" x14ac:dyDescent="0.25">
      <c r="A65" s="18">
        <v>103</v>
      </c>
    </row>
    <row r="66" spans="1:8" x14ac:dyDescent="0.25">
      <c r="A66" s="18">
        <v>104</v>
      </c>
    </row>
    <row r="67" spans="1:8" x14ac:dyDescent="0.25">
      <c r="A67" s="18">
        <v>105</v>
      </c>
      <c r="G67" t="s">
        <v>5</v>
      </c>
      <c r="H67" t="s">
        <v>2</v>
      </c>
    </row>
    <row r="68" spans="1:8" x14ac:dyDescent="0.25">
      <c r="A68" s="18">
        <v>106</v>
      </c>
      <c r="B68" t="s">
        <v>2</v>
      </c>
      <c r="D68" t="s">
        <v>2</v>
      </c>
      <c r="H68" t="s">
        <v>2</v>
      </c>
    </row>
    <row r="69" spans="1:8" x14ac:dyDescent="0.25">
      <c r="A69" s="18">
        <v>107</v>
      </c>
      <c r="B69" t="s">
        <v>2</v>
      </c>
      <c r="G69" t="s">
        <v>5</v>
      </c>
      <c r="H69" t="s">
        <v>2</v>
      </c>
    </row>
    <row r="70" spans="1:8" x14ac:dyDescent="0.25">
      <c r="A70" s="18">
        <v>108</v>
      </c>
      <c r="B70" t="s">
        <v>2</v>
      </c>
      <c r="D70" t="s">
        <v>2</v>
      </c>
      <c r="H70" t="s">
        <v>2</v>
      </c>
    </row>
    <row r="71" spans="1:8" x14ac:dyDescent="0.25">
      <c r="A71" s="18">
        <v>109</v>
      </c>
      <c r="D71" t="s">
        <v>2</v>
      </c>
    </row>
    <row r="72" spans="1:8" x14ac:dyDescent="0.25">
      <c r="A72" s="18">
        <v>110</v>
      </c>
      <c r="D72" t="s">
        <v>2</v>
      </c>
      <c r="H72" t="s">
        <v>2</v>
      </c>
    </row>
    <row r="73" spans="1:8" x14ac:dyDescent="0.25">
      <c r="A73" s="18">
        <v>111</v>
      </c>
    </row>
    <row r="74" spans="1:8" x14ac:dyDescent="0.25">
      <c r="A74" s="18">
        <v>112</v>
      </c>
      <c r="H74" t="s">
        <v>2</v>
      </c>
    </row>
    <row r="75" spans="1:8" x14ac:dyDescent="0.25">
      <c r="A75" s="18">
        <v>113</v>
      </c>
      <c r="B75" t="s">
        <v>2</v>
      </c>
      <c r="D75" t="s">
        <v>2</v>
      </c>
      <c r="G75" t="s">
        <v>2</v>
      </c>
      <c r="H75" t="s">
        <v>2</v>
      </c>
    </row>
    <row r="76" spans="1:8" x14ac:dyDescent="0.25">
      <c r="A76" s="18">
        <v>114</v>
      </c>
    </row>
    <row r="77" spans="1:8" x14ac:dyDescent="0.25">
      <c r="A77" s="18">
        <v>115</v>
      </c>
      <c r="B77" t="s">
        <v>2</v>
      </c>
      <c r="G77" t="s">
        <v>2</v>
      </c>
      <c r="H77" t="s">
        <v>2</v>
      </c>
    </row>
    <row r="78" spans="1:8" x14ac:dyDescent="0.25">
      <c r="A78" s="18">
        <v>116</v>
      </c>
      <c r="B78" t="s">
        <v>5</v>
      </c>
      <c r="C78" t="s">
        <v>5</v>
      </c>
    </row>
    <row r="79" spans="1:8" x14ac:dyDescent="0.25">
      <c r="A79" s="18">
        <v>117</v>
      </c>
      <c r="B79" t="s">
        <v>5</v>
      </c>
      <c r="C79" t="s">
        <v>5</v>
      </c>
      <c r="H79" t="s">
        <v>2</v>
      </c>
    </row>
    <row r="80" spans="1:8" x14ac:dyDescent="0.25">
      <c r="A80" s="18">
        <v>118</v>
      </c>
      <c r="B80" t="s">
        <v>5</v>
      </c>
      <c r="C80" t="s">
        <v>5</v>
      </c>
      <c r="H80" t="s">
        <v>2</v>
      </c>
    </row>
    <row r="81" spans="1:8" x14ac:dyDescent="0.25">
      <c r="A81" s="18">
        <v>119</v>
      </c>
      <c r="B81" t="s">
        <v>5</v>
      </c>
      <c r="C81" t="s">
        <v>5</v>
      </c>
    </row>
    <row r="82" spans="1:8" x14ac:dyDescent="0.25">
      <c r="A82" s="18">
        <v>120</v>
      </c>
    </row>
    <row r="83" spans="1:8" x14ac:dyDescent="0.25">
      <c r="A83" s="18">
        <v>121</v>
      </c>
    </row>
    <row r="84" spans="1:8" x14ac:dyDescent="0.25">
      <c r="A84" s="18">
        <v>122</v>
      </c>
    </row>
    <row r="85" spans="1:8" x14ac:dyDescent="0.25">
      <c r="A85" s="18">
        <v>123</v>
      </c>
    </row>
    <row r="86" spans="1:8" x14ac:dyDescent="0.25">
      <c r="A86" s="18">
        <v>124</v>
      </c>
    </row>
    <row r="87" spans="1:8" x14ac:dyDescent="0.25">
      <c r="A87" s="18">
        <v>125</v>
      </c>
    </row>
    <row r="88" spans="1:8" x14ac:dyDescent="0.25">
      <c r="A88" s="18">
        <v>126</v>
      </c>
    </row>
    <row r="89" spans="1:8" x14ac:dyDescent="0.25">
      <c r="A89" s="18">
        <v>127</v>
      </c>
    </row>
    <row r="90" spans="1:8" x14ac:dyDescent="0.25">
      <c r="A90" s="18">
        <v>128</v>
      </c>
      <c r="B90" t="s">
        <v>5</v>
      </c>
      <c r="C90" t="s">
        <v>5</v>
      </c>
      <c r="G90" t="s">
        <v>6</v>
      </c>
      <c r="H90" t="s">
        <v>2</v>
      </c>
    </row>
    <row r="91" spans="1:8" x14ac:dyDescent="0.25">
      <c r="A91" s="18">
        <v>129</v>
      </c>
      <c r="B91" t="s">
        <v>5</v>
      </c>
      <c r="C91" t="s">
        <v>5</v>
      </c>
    </row>
    <row r="92" spans="1:8" x14ac:dyDescent="0.25">
      <c r="A92" s="18">
        <v>130</v>
      </c>
      <c r="B92" t="s">
        <v>5</v>
      </c>
      <c r="C92" t="s">
        <v>5</v>
      </c>
      <c r="G92" t="s">
        <v>6</v>
      </c>
      <c r="H92" t="s">
        <v>2</v>
      </c>
    </row>
    <row r="93" spans="1:8" x14ac:dyDescent="0.25">
      <c r="A93" s="18">
        <v>131</v>
      </c>
    </row>
    <row r="94" spans="1:8" x14ac:dyDescent="0.25">
      <c r="A94" s="18">
        <v>132</v>
      </c>
    </row>
    <row r="95" spans="1:8" x14ac:dyDescent="0.25">
      <c r="A95" s="18">
        <v>133</v>
      </c>
    </row>
  </sheetData>
  <conditionalFormatting sqref="B61:I62 I5:I60 B63:H95">
    <cfRule type="cellIs" dxfId="1309" priority="18" operator="equal">
      <formula>"Energia"</formula>
    </cfRule>
    <cfRule type="cellIs" dxfId="1308" priority="20" operator="equal">
      <formula>"Operação"</formula>
    </cfRule>
    <cfRule type="cellIs" dxfId="1307" priority="21" operator="equal">
      <formula>"Chuva"</formula>
    </cfRule>
    <cfRule type="cellIs" dxfId="1306" priority="22" operator="equal">
      <formula>"Elétrico"</formula>
    </cfRule>
    <cfRule type="cellIs" dxfId="1305" priority="23" operator="equal">
      <formula>"Mecânico"</formula>
    </cfRule>
    <cfRule type="cellIs" dxfId="1304" priority="24" operator="equal">
      <formula>"Ok"</formula>
    </cfRule>
  </conditionalFormatting>
  <conditionalFormatting sqref="B61:I62 I5:I60 B63:H95">
    <cfRule type="cellIs" dxfId="1303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302" priority="16" operator="equal">
      <formula>"Energia"</formula>
    </cfRule>
  </conditionalFormatting>
  <conditionalFormatting sqref="B5:E60 G5:H60">
    <cfRule type="cellIs" dxfId="1301" priority="9" operator="equal">
      <formula>"Energia"</formula>
    </cfRule>
    <cfRule type="cellIs" dxfId="1300" priority="11" operator="equal">
      <formula>"Operação"</formula>
    </cfRule>
    <cfRule type="cellIs" dxfId="1299" priority="12" operator="equal">
      <formula>"Chuva"</formula>
    </cfRule>
    <cfRule type="cellIs" dxfId="1298" priority="13" operator="equal">
      <formula>"Elétrico"</formula>
    </cfRule>
    <cfRule type="cellIs" dxfId="1297" priority="14" operator="equal">
      <formula>"Mecânico"</formula>
    </cfRule>
    <cfRule type="cellIs" dxfId="1296" priority="15" operator="equal">
      <formula>"Ok"</formula>
    </cfRule>
  </conditionalFormatting>
  <conditionalFormatting sqref="B5:E60 G5:H60">
    <cfRule type="cellIs" dxfId="1295" priority="10" operator="equal">
      <formula>"Feito"</formula>
    </cfRule>
  </conditionalFormatting>
  <conditionalFormatting sqref="F5:F11">
    <cfRule type="cellIs" dxfId="1294" priority="8" operator="equal">
      <formula>"Energia"</formula>
    </cfRule>
  </conditionalFormatting>
  <conditionalFormatting sqref="F5:F60">
    <cfRule type="cellIs" dxfId="1293" priority="1" operator="equal">
      <formula>"Energia"</formula>
    </cfRule>
    <cfRule type="cellIs" dxfId="1292" priority="3" operator="equal">
      <formula>"Operação"</formula>
    </cfRule>
    <cfRule type="cellIs" dxfId="1291" priority="4" operator="equal">
      <formula>"Chuva"</formula>
    </cfRule>
    <cfRule type="cellIs" dxfId="1290" priority="5" operator="equal">
      <formula>"Elétrico"</formula>
    </cfRule>
    <cfRule type="cellIs" dxfId="1289" priority="6" operator="equal">
      <formula>"Mecânico"</formula>
    </cfRule>
    <cfRule type="cellIs" dxfId="1288" priority="7" operator="equal">
      <formula>"Ok"</formula>
    </cfRule>
  </conditionalFormatting>
  <conditionalFormatting sqref="F5:F60">
    <cfRule type="cellIs" dxfId="1287" priority="2" operator="equal">
      <formula>"Feito"</formula>
    </cfRule>
  </conditionalFormatting>
  <dataValidations count="1">
    <dataValidation type="list" allowBlank="1" showInputMessage="1" showErrorMessage="1" sqref="B61:I62 B63:H95 B5:J60" xr:uid="{48D265BE-C2DC-4A80-9E6E-56CC48ECA86B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CA94-AEBF-4B1C-8A13-3068CA3A4871}">
  <sheetPr codeName="Planilha50"/>
  <dimension ref="A3:N95"/>
  <sheetViews>
    <sheetView zoomScale="110" zoomScaleNormal="110" workbookViewId="0">
      <selection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44592</v>
      </c>
      <c r="C3" s="3">
        <f>B3+1</f>
        <v>44593</v>
      </c>
      <c r="D3" s="3">
        <f t="shared" ref="D3:H3" si="0">C3+1</f>
        <v>44594</v>
      </c>
      <c r="E3" s="3">
        <f t="shared" si="0"/>
        <v>44595</v>
      </c>
      <c r="F3" s="3">
        <f t="shared" si="0"/>
        <v>44596</v>
      </c>
      <c r="G3" s="3">
        <f t="shared" si="0"/>
        <v>44597</v>
      </c>
      <c r="H3" s="3">
        <f t="shared" si="0"/>
        <v>44598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t="s">
        <v>32</v>
      </c>
      <c r="M4" t="s">
        <v>33</v>
      </c>
      <c r="N4" t="s">
        <v>34</v>
      </c>
    </row>
    <row r="5" spans="1:14" x14ac:dyDescent="0.25">
      <c r="A5" s="4">
        <v>1</v>
      </c>
      <c r="B5" t="s">
        <v>7</v>
      </c>
      <c r="D5" t="s">
        <v>3</v>
      </c>
      <c r="K5" s="5" t="s">
        <v>2</v>
      </c>
      <c r="L5">
        <f>COUNTIF($B$5:$H$95,K5)</f>
        <v>111</v>
      </c>
      <c r="M5" s="53">
        <f>L5/$L$11</f>
        <v>0.6271186440677966</v>
      </c>
      <c r="N5" s="52">
        <v>44592</v>
      </c>
    </row>
    <row r="6" spans="1:14" x14ac:dyDescent="0.25">
      <c r="A6" s="4">
        <v>2</v>
      </c>
      <c r="C6" t="s">
        <v>2</v>
      </c>
      <c r="K6" s="6" t="s">
        <v>5</v>
      </c>
      <c r="L6">
        <f>COUNTIF($B$5:$H$95,K6)</f>
        <v>7</v>
      </c>
      <c r="M6" s="53">
        <f t="shared" ref="M6:M10" si="2">L6/$L$11</f>
        <v>3.954802259887006E-2</v>
      </c>
    </row>
    <row r="7" spans="1:14" x14ac:dyDescent="0.25">
      <c r="A7" s="4">
        <v>3</v>
      </c>
      <c r="K7" s="7" t="s">
        <v>6</v>
      </c>
      <c r="L7">
        <f t="shared" ref="L7:L10" si="3">COUNTIF($B$5:$H$95,K7)</f>
        <v>35</v>
      </c>
      <c r="M7" s="53">
        <f t="shared" si="2"/>
        <v>0.19774011299435029</v>
      </c>
    </row>
    <row r="8" spans="1:14" x14ac:dyDescent="0.25">
      <c r="A8" s="4">
        <v>4</v>
      </c>
      <c r="C8" t="s">
        <v>2</v>
      </c>
      <c r="K8" s="8" t="s">
        <v>4</v>
      </c>
      <c r="L8">
        <f t="shared" si="3"/>
        <v>0</v>
      </c>
      <c r="M8" s="53">
        <f t="shared" si="2"/>
        <v>0</v>
      </c>
    </row>
    <row r="9" spans="1:14" x14ac:dyDescent="0.25">
      <c r="A9" s="4">
        <v>5</v>
      </c>
      <c r="B9" t="s">
        <v>2</v>
      </c>
      <c r="D9" t="s">
        <v>3</v>
      </c>
      <c r="K9" s="9" t="s">
        <v>3</v>
      </c>
      <c r="L9">
        <f t="shared" si="3"/>
        <v>16</v>
      </c>
      <c r="M9" s="53">
        <f t="shared" si="2"/>
        <v>9.03954802259887E-2</v>
      </c>
    </row>
    <row r="10" spans="1:14" x14ac:dyDescent="0.25">
      <c r="A10" s="4">
        <v>6</v>
      </c>
      <c r="G10" t="s">
        <v>2</v>
      </c>
      <c r="K10" s="10" t="s">
        <v>7</v>
      </c>
      <c r="L10">
        <f t="shared" si="3"/>
        <v>8</v>
      </c>
      <c r="M10" s="53">
        <f t="shared" si="2"/>
        <v>4.519774011299435E-2</v>
      </c>
    </row>
    <row r="11" spans="1:14" x14ac:dyDescent="0.25">
      <c r="A11" s="4">
        <v>7</v>
      </c>
      <c r="B11" t="s">
        <v>2</v>
      </c>
      <c r="D11" t="s">
        <v>3</v>
      </c>
      <c r="L11">
        <f>SUM(L5:L10)</f>
        <v>177</v>
      </c>
    </row>
    <row r="12" spans="1:14" x14ac:dyDescent="0.25">
      <c r="A12" s="4">
        <v>8</v>
      </c>
      <c r="B12" t="s">
        <v>6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</row>
    <row r="13" spans="1:14" x14ac:dyDescent="0.25">
      <c r="A13" s="4">
        <v>9</v>
      </c>
      <c r="B13" t="s">
        <v>2</v>
      </c>
      <c r="D13" t="s">
        <v>3</v>
      </c>
    </row>
    <row r="14" spans="1:14" x14ac:dyDescent="0.25">
      <c r="A14" s="4">
        <v>10</v>
      </c>
      <c r="C14" t="s">
        <v>2</v>
      </c>
      <c r="G14" t="s">
        <v>2</v>
      </c>
    </row>
    <row r="15" spans="1:14" x14ac:dyDescent="0.25">
      <c r="A15" s="4">
        <v>11</v>
      </c>
      <c r="B15" t="s">
        <v>2</v>
      </c>
    </row>
    <row r="16" spans="1:14" x14ac:dyDescent="0.25">
      <c r="A16" s="4">
        <v>12</v>
      </c>
      <c r="B16" t="s">
        <v>6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</row>
    <row r="17" spans="1:8" x14ac:dyDescent="0.25">
      <c r="A17" s="4">
        <v>13</v>
      </c>
      <c r="B17" t="s">
        <v>6</v>
      </c>
      <c r="D17" t="s">
        <v>2</v>
      </c>
    </row>
    <row r="18" spans="1:8" x14ac:dyDescent="0.25">
      <c r="A18" s="4">
        <v>14</v>
      </c>
      <c r="C18" t="s">
        <v>2</v>
      </c>
    </row>
    <row r="19" spans="1:8" x14ac:dyDescent="0.25">
      <c r="A19" s="4">
        <v>15</v>
      </c>
      <c r="B19" t="s">
        <v>2</v>
      </c>
      <c r="C19" t="s">
        <v>5</v>
      </c>
      <c r="D19" t="s">
        <v>2</v>
      </c>
      <c r="G19" t="s">
        <v>3</v>
      </c>
    </row>
    <row r="20" spans="1:8" x14ac:dyDescent="0.25">
      <c r="A20" s="4">
        <v>16</v>
      </c>
      <c r="G20" t="s">
        <v>5</v>
      </c>
      <c r="H20" t="s">
        <v>5</v>
      </c>
    </row>
    <row r="21" spans="1:8" x14ac:dyDescent="0.25">
      <c r="A21" s="4">
        <v>17</v>
      </c>
      <c r="B21" t="s">
        <v>2</v>
      </c>
      <c r="C21" t="s">
        <v>2</v>
      </c>
      <c r="D21" t="s">
        <v>2</v>
      </c>
      <c r="F21" t="s">
        <v>2</v>
      </c>
    </row>
    <row r="22" spans="1:8" x14ac:dyDescent="0.25">
      <c r="A22" s="4">
        <v>18</v>
      </c>
      <c r="C22" t="s">
        <v>2</v>
      </c>
    </row>
    <row r="23" spans="1:8" x14ac:dyDescent="0.25">
      <c r="A23" s="4">
        <v>19</v>
      </c>
      <c r="B23" t="s">
        <v>2</v>
      </c>
      <c r="C23" t="s">
        <v>2</v>
      </c>
      <c r="D23" t="s">
        <v>2</v>
      </c>
      <c r="F23" t="s">
        <v>2</v>
      </c>
      <c r="G23" t="s">
        <v>2</v>
      </c>
    </row>
    <row r="24" spans="1:8" x14ac:dyDescent="0.25">
      <c r="A24" s="4">
        <v>20</v>
      </c>
      <c r="D24" t="s">
        <v>3</v>
      </c>
    </row>
    <row r="25" spans="1:8" x14ac:dyDescent="0.25">
      <c r="A25" s="4">
        <v>21</v>
      </c>
      <c r="B25" t="s">
        <v>2</v>
      </c>
      <c r="C25" t="s">
        <v>2</v>
      </c>
      <c r="D25" t="s">
        <v>3</v>
      </c>
      <c r="G25" t="s">
        <v>2</v>
      </c>
    </row>
    <row r="26" spans="1:8" x14ac:dyDescent="0.25">
      <c r="A26" s="4">
        <v>22</v>
      </c>
      <c r="D26" t="s">
        <v>3</v>
      </c>
    </row>
    <row r="27" spans="1:8" x14ac:dyDescent="0.25">
      <c r="A27" s="4">
        <v>23</v>
      </c>
      <c r="C27" t="s">
        <v>2</v>
      </c>
    </row>
    <row r="28" spans="1:8" x14ac:dyDescent="0.25">
      <c r="A28" s="4">
        <v>24</v>
      </c>
      <c r="D28" t="s">
        <v>3</v>
      </c>
    </row>
    <row r="29" spans="1:8" x14ac:dyDescent="0.25">
      <c r="A29" s="4">
        <v>25</v>
      </c>
      <c r="B29" t="s">
        <v>5</v>
      </c>
      <c r="C29" t="s">
        <v>2</v>
      </c>
      <c r="D29" t="s">
        <v>7</v>
      </c>
      <c r="E29" t="s">
        <v>2</v>
      </c>
      <c r="F29" t="s">
        <v>2</v>
      </c>
      <c r="G29" t="s">
        <v>6</v>
      </c>
    </row>
    <row r="30" spans="1:8" x14ac:dyDescent="0.25">
      <c r="A30" s="4">
        <v>26</v>
      </c>
      <c r="B30" t="s">
        <v>7</v>
      </c>
      <c r="C30" t="s">
        <v>2</v>
      </c>
    </row>
    <row r="31" spans="1:8" x14ac:dyDescent="0.25">
      <c r="A31" s="4">
        <v>27</v>
      </c>
      <c r="D31" t="s">
        <v>2</v>
      </c>
    </row>
    <row r="32" spans="1:8" x14ac:dyDescent="0.25">
      <c r="A32" s="4">
        <v>28</v>
      </c>
      <c r="D32" t="s">
        <v>3</v>
      </c>
    </row>
    <row r="33" spans="1:7" x14ac:dyDescent="0.25">
      <c r="A33" s="4">
        <v>29</v>
      </c>
      <c r="B33" t="s">
        <v>2</v>
      </c>
      <c r="D33" t="s">
        <v>2</v>
      </c>
      <c r="G33" t="s">
        <v>2</v>
      </c>
    </row>
    <row r="34" spans="1:7" x14ac:dyDescent="0.25">
      <c r="A34" s="4">
        <v>30</v>
      </c>
      <c r="D34" t="s">
        <v>2</v>
      </c>
    </row>
    <row r="35" spans="1:7" x14ac:dyDescent="0.25">
      <c r="A35" s="4">
        <v>31</v>
      </c>
      <c r="B35" t="s">
        <v>2</v>
      </c>
    </row>
    <row r="36" spans="1:7" x14ac:dyDescent="0.25">
      <c r="A36" s="4">
        <v>32</v>
      </c>
      <c r="D36" t="s">
        <v>6</v>
      </c>
    </row>
    <row r="37" spans="1:7" x14ac:dyDescent="0.25">
      <c r="A37" s="4">
        <v>33</v>
      </c>
      <c r="B37" t="s">
        <v>2</v>
      </c>
    </row>
    <row r="38" spans="1:7" x14ac:dyDescent="0.25">
      <c r="A38" s="4">
        <v>34</v>
      </c>
      <c r="B38" t="s">
        <v>5</v>
      </c>
      <c r="C38" t="s">
        <v>2</v>
      </c>
    </row>
    <row r="39" spans="1:7" x14ac:dyDescent="0.25">
      <c r="A39" s="4">
        <v>35</v>
      </c>
      <c r="B39" t="s">
        <v>6</v>
      </c>
      <c r="D39" t="s">
        <v>3</v>
      </c>
    </row>
    <row r="40" spans="1:7" x14ac:dyDescent="0.25">
      <c r="A40" s="4">
        <v>36</v>
      </c>
      <c r="B40" t="s">
        <v>6</v>
      </c>
      <c r="C40" t="s">
        <v>6</v>
      </c>
      <c r="D40" t="s">
        <v>6</v>
      </c>
      <c r="E40" t="s">
        <v>6</v>
      </c>
      <c r="G40" t="s">
        <v>2</v>
      </c>
    </row>
    <row r="41" spans="1:7" x14ac:dyDescent="0.25">
      <c r="A41" s="4">
        <v>37</v>
      </c>
      <c r="C41" t="s">
        <v>2</v>
      </c>
    </row>
    <row r="42" spans="1:7" x14ac:dyDescent="0.25">
      <c r="A42" s="4">
        <v>38</v>
      </c>
      <c r="B42" t="s">
        <v>2</v>
      </c>
      <c r="C42" t="s">
        <v>2</v>
      </c>
      <c r="F42" t="s">
        <v>7</v>
      </c>
    </row>
    <row r="43" spans="1:7" x14ac:dyDescent="0.25">
      <c r="A43" s="4">
        <v>39</v>
      </c>
      <c r="B43" t="s">
        <v>2</v>
      </c>
      <c r="C43" t="s">
        <v>2</v>
      </c>
    </row>
    <row r="44" spans="1:7" x14ac:dyDescent="0.25">
      <c r="A44" s="4">
        <v>40</v>
      </c>
    </row>
    <row r="45" spans="1:7" x14ac:dyDescent="0.25">
      <c r="A45" s="4">
        <v>41</v>
      </c>
      <c r="B45" t="s">
        <v>5</v>
      </c>
      <c r="C45" t="s">
        <v>5</v>
      </c>
    </row>
    <row r="46" spans="1:7" x14ac:dyDescent="0.25">
      <c r="A46" s="4">
        <v>42</v>
      </c>
      <c r="D46" t="s">
        <v>2</v>
      </c>
    </row>
    <row r="47" spans="1:7" x14ac:dyDescent="0.25">
      <c r="A47" s="4">
        <v>43</v>
      </c>
      <c r="B47" t="s">
        <v>6</v>
      </c>
    </row>
    <row r="48" spans="1:7" x14ac:dyDescent="0.25">
      <c r="A48" s="4">
        <v>44</v>
      </c>
      <c r="F48" t="s">
        <v>7</v>
      </c>
    </row>
    <row r="49" spans="1:8" x14ac:dyDescent="0.25">
      <c r="A49" s="4">
        <v>45</v>
      </c>
      <c r="B49" t="s">
        <v>2</v>
      </c>
      <c r="C49" t="s">
        <v>2</v>
      </c>
    </row>
    <row r="50" spans="1:8" x14ac:dyDescent="0.25">
      <c r="A50" s="4">
        <v>46</v>
      </c>
    </row>
    <row r="51" spans="1:8" x14ac:dyDescent="0.25">
      <c r="A51" s="4">
        <v>47</v>
      </c>
      <c r="B51" t="s">
        <v>6</v>
      </c>
      <c r="C51" t="s">
        <v>6</v>
      </c>
      <c r="D51" t="s">
        <v>6</v>
      </c>
    </row>
    <row r="52" spans="1:8" x14ac:dyDescent="0.25">
      <c r="A52" s="4">
        <v>48</v>
      </c>
      <c r="D52" t="s">
        <v>3</v>
      </c>
      <c r="E52" t="s">
        <v>6</v>
      </c>
      <c r="F52" t="s">
        <v>7</v>
      </c>
    </row>
    <row r="53" spans="1:8" x14ac:dyDescent="0.25">
      <c r="A53" s="4">
        <v>49</v>
      </c>
      <c r="B53" t="s">
        <v>6</v>
      </c>
      <c r="C53" t="s">
        <v>6</v>
      </c>
      <c r="D53" t="s">
        <v>6</v>
      </c>
      <c r="E53" t="s">
        <v>6</v>
      </c>
      <c r="F53" t="s">
        <v>6</v>
      </c>
    </row>
    <row r="54" spans="1:8" x14ac:dyDescent="0.25">
      <c r="A54" s="4">
        <v>50</v>
      </c>
      <c r="B54" t="s">
        <v>2</v>
      </c>
      <c r="C54" t="s">
        <v>6</v>
      </c>
    </row>
    <row r="55" spans="1:8" x14ac:dyDescent="0.25">
      <c r="A55" s="4">
        <v>51</v>
      </c>
      <c r="B55" t="s">
        <v>2</v>
      </c>
      <c r="C55" t="s">
        <v>2</v>
      </c>
    </row>
    <row r="56" spans="1:8" x14ac:dyDescent="0.25">
      <c r="A56" s="4">
        <v>52</v>
      </c>
      <c r="C56" t="s">
        <v>6</v>
      </c>
    </row>
    <row r="57" spans="1:8" x14ac:dyDescent="0.25">
      <c r="A57" s="4">
        <v>53</v>
      </c>
      <c r="D57" t="s">
        <v>3</v>
      </c>
    </row>
    <row r="58" spans="1:8" x14ac:dyDescent="0.25">
      <c r="A58" s="4">
        <v>54</v>
      </c>
      <c r="B58" t="s">
        <v>2</v>
      </c>
    </row>
    <row r="59" spans="1:8" x14ac:dyDescent="0.25">
      <c r="A59" s="4">
        <v>55</v>
      </c>
      <c r="B59" t="s">
        <v>2</v>
      </c>
      <c r="C59" t="s">
        <v>2</v>
      </c>
      <c r="D59" t="s">
        <v>6</v>
      </c>
    </row>
    <row r="60" spans="1:8" x14ac:dyDescent="0.25">
      <c r="A60" s="4">
        <v>56</v>
      </c>
      <c r="B60" t="s">
        <v>2</v>
      </c>
      <c r="C60" t="s">
        <v>2</v>
      </c>
      <c r="D60" t="s">
        <v>3</v>
      </c>
    </row>
    <row r="61" spans="1:8" x14ac:dyDescent="0.25">
      <c r="A61" s="18">
        <v>73</v>
      </c>
      <c r="G61" t="s">
        <v>3</v>
      </c>
    </row>
    <row r="62" spans="1:8" x14ac:dyDescent="0.25">
      <c r="A62" s="18">
        <v>74</v>
      </c>
      <c r="C62" t="s">
        <v>2</v>
      </c>
      <c r="G62" t="s">
        <v>2</v>
      </c>
    </row>
    <row r="63" spans="1:8" x14ac:dyDescent="0.25">
      <c r="A63" s="18">
        <v>101</v>
      </c>
      <c r="G63" t="s">
        <v>2</v>
      </c>
    </row>
    <row r="64" spans="1:8" x14ac:dyDescent="0.25">
      <c r="A64" s="18">
        <v>102</v>
      </c>
      <c r="B64" t="s">
        <v>2</v>
      </c>
      <c r="C64" t="s">
        <v>2</v>
      </c>
      <c r="E64" t="s">
        <v>2</v>
      </c>
      <c r="H64" t="s">
        <v>2</v>
      </c>
    </row>
    <row r="65" spans="1:8" x14ac:dyDescent="0.25">
      <c r="A65" s="18">
        <v>103</v>
      </c>
      <c r="G65" t="s">
        <v>2</v>
      </c>
    </row>
    <row r="66" spans="1:8" x14ac:dyDescent="0.25">
      <c r="A66" s="18">
        <v>104</v>
      </c>
      <c r="C66" t="s">
        <v>2</v>
      </c>
      <c r="F66" t="s">
        <v>2</v>
      </c>
    </row>
    <row r="67" spans="1:8" x14ac:dyDescent="0.25">
      <c r="A67" s="18">
        <v>105</v>
      </c>
      <c r="B67" t="s">
        <v>2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</row>
    <row r="68" spans="1:8" x14ac:dyDescent="0.25">
      <c r="A68" s="18">
        <v>106</v>
      </c>
      <c r="B68" t="s">
        <v>2</v>
      </c>
      <c r="D68" t="s">
        <v>2</v>
      </c>
      <c r="E68" t="s">
        <v>2</v>
      </c>
      <c r="F68" t="s">
        <v>2</v>
      </c>
      <c r="H68" t="s">
        <v>2</v>
      </c>
    </row>
    <row r="69" spans="1:8" x14ac:dyDescent="0.25">
      <c r="A69" s="18">
        <v>107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</row>
    <row r="70" spans="1:8" x14ac:dyDescent="0.25">
      <c r="A70" s="18">
        <v>108</v>
      </c>
      <c r="D70" t="s">
        <v>2</v>
      </c>
      <c r="G70" t="s">
        <v>2</v>
      </c>
    </row>
    <row r="71" spans="1:8" x14ac:dyDescent="0.25">
      <c r="A71" s="18">
        <v>109</v>
      </c>
      <c r="B71" t="s">
        <v>2</v>
      </c>
      <c r="E71" t="s">
        <v>2</v>
      </c>
      <c r="H71" t="s">
        <v>2</v>
      </c>
    </row>
    <row r="72" spans="1:8" x14ac:dyDescent="0.25">
      <c r="A72" s="18">
        <v>110</v>
      </c>
      <c r="D72" t="s">
        <v>2</v>
      </c>
      <c r="G72" t="s">
        <v>2</v>
      </c>
    </row>
    <row r="73" spans="1:8" x14ac:dyDescent="0.25">
      <c r="A73" s="18">
        <v>111</v>
      </c>
    </row>
    <row r="74" spans="1:8" x14ac:dyDescent="0.25">
      <c r="A74" s="18">
        <v>112</v>
      </c>
      <c r="E74" t="s">
        <v>2</v>
      </c>
    </row>
    <row r="75" spans="1:8" x14ac:dyDescent="0.25">
      <c r="A75" s="18">
        <v>113</v>
      </c>
      <c r="B75" t="s">
        <v>2</v>
      </c>
      <c r="C75" t="s">
        <v>2</v>
      </c>
      <c r="D75" t="s">
        <v>2</v>
      </c>
      <c r="E75" t="s">
        <v>2</v>
      </c>
      <c r="G75" t="s">
        <v>2</v>
      </c>
      <c r="H75" t="s">
        <v>3</v>
      </c>
    </row>
    <row r="76" spans="1:8" x14ac:dyDescent="0.25">
      <c r="A76" s="18">
        <v>114</v>
      </c>
      <c r="B76" t="s">
        <v>2</v>
      </c>
      <c r="H76" t="s">
        <v>7</v>
      </c>
    </row>
    <row r="77" spans="1:8" x14ac:dyDescent="0.25">
      <c r="A77" s="18">
        <v>115</v>
      </c>
      <c r="B77" t="s">
        <v>2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</row>
    <row r="78" spans="1:8" x14ac:dyDescent="0.25">
      <c r="A78" s="18">
        <v>116</v>
      </c>
      <c r="D78" t="s">
        <v>2</v>
      </c>
      <c r="H78" t="s">
        <v>2</v>
      </c>
    </row>
    <row r="79" spans="1:8" x14ac:dyDescent="0.25">
      <c r="A79" s="18">
        <v>117</v>
      </c>
    </row>
    <row r="80" spans="1:8" x14ac:dyDescent="0.25">
      <c r="A80" s="18">
        <v>118</v>
      </c>
      <c r="F80" t="s">
        <v>7</v>
      </c>
      <c r="H80" t="s">
        <v>2</v>
      </c>
    </row>
    <row r="81" spans="1:5" x14ac:dyDescent="0.25">
      <c r="A81" s="18">
        <v>119</v>
      </c>
      <c r="D81" t="s">
        <v>2</v>
      </c>
    </row>
    <row r="82" spans="1:5" x14ac:dyDescent="0.25">
      <c r="A82" s="18">
        <v>120</v>
      </c>
    </row>
    <row r="83" spans="1:5" x14ac:dyDescent="0.25">
      <c r="A83" s="18">
        <v>121</v>
      </c>
    </row>
    <row r="84" spans="1:5" x14ac:dyDescent="0.25">
      <c r="A84" s="18">
        <v>122</v>
      </c>
    </row>
    <row r="85" spans="1:5" x14ac:dyDescent="0.25">
      <c r="A85" s="18">
        <v>123</v>
      </c>
    </row>
    <row r="86" spans="1:5" x14ac:dyDescent="0.25">
      <c r="A86" s="18">
        <v>124</v>
      </c>
    </row>
    <row r="87" spans="1:5" x14ac:dyDescent="0.25">
      <c r="A87" s="18">
        <v>125</v>
      </c>
    </row>
    <row r="88" spans="1:5" x14ac:dyDescent="0.25">
      <c r="A88" s="18">
        <v>126</v>
      </c>
    </row>
    <row r="89" spans="1:5" x14ac:dyDescent="0.25">
      <c r="A89" s="18">
        <v>127</v>
      </c>
    </row>
    <row r="90" spans="1:5" x14ac:dyDescent="0.25">
      <c r="A90" s="18">
        <v>128</v>
      </c>
      <c r="B90" t="s">
        <v>2</v>
      </c>
    </row>
    <row r="91" spans="1:5" x14ac:dyDescent="0.25">
      <c r="A91" s="18">
        <v>129</v>
      </c>
    </row>
    <row r="92" spans="1:5" x14ac:dyDescent="0.25">
      <c r="A92" s="18">
        <v>130</v>
      </c>
      <c r="B92" t="s">
        <v>2</v>
      </c>
      <c r="C92" t="s">
        <v>2</v>
      </c>
      <c r="E92" t="s">
        <v>2</v>
      </c>
    </row>
    <row r="93" spans="1:5" x14ac:dyDescent="0.25">
      <c r="A93" s="18">
        <v>131</v>
      </c>
    </row>
    <row r="94" spans="1:5" x14ac:dyDescent="0.25">
      <c r="A94" s="18">
        <v>132</v>
      </c>
    </row>
    <row r="95" spans="1:5" x14ac:dyDescent="0.25">
      <c r="A95" s="18">
        <v>133</v>
      </c>
    </row>
  </sheetData>
  <conditionalFormatting sqref="B61:I62 I5:I60 B63:H95">
    <cfRule type="cellIs" dxfId="1286" priority="18" operator="equal">
      <formula>"Energia"</formula>
    </cfRule>
    <cfRule type="cellIs" dxfId="1285" priority="20" operator="equal">
      <formula>"Operação"</formula>
    </cfRule>
    <cfRule type="cellIs" dxfId="1284" priority="21" operator="equal">
      <formula>"Chuva"</formula>
    </cfRule>
    <cfRule type="cellIs" dxfId="1283" priority="22" operator="equal">
      <formula>"Elétrico"</formula>
    </cfRule>
    <cfRule type="cellIs" dxfId="1282" priority="23" operator="equal">
      <formula>"Mecânico"</formula>
    </cfRule>
    <cfRule type="cellIs" dxfId="1281" priority="24" operator="equal">
      <formula>"Ok"</formula>
    </cfRule>
  </conditionalFormatting>
  <conditionalFormatting sqref="B61:I62 I5:I60 B63:H95">
    <cfRule type="cellIs" dxfId="1280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279" priority="16" operator="equal">
      <formula>"Energia"</formula>
    </cfRule>
  </conditionalFormatting>
  <conditionalFormatting sqref="B5:E60 G5:H60">
    <cfRule type="cellIs" dxfId="1278" priority="9" operator="equal">
      <formula>"Energia"</formula>
    </cfRule>
    <cfRule type="cellIs" dxfId="1277" priority="11" operator="equal">
      <formula>"Operação"</formula>
    </cfRule>
    <cfRule type="cellIs" dxfId="1276" priority="12" operator="equal">
      <formula>"Chuva"</formula>
    </cfRule>
    <cfRule type="cellIs" dxfId="1275" priority="13" operator="equal">
      <formula>"Elétrico"</formula>
    </cfRule>
    <cfRule type="cellIs" dxfId="1274" priority="14" operator="equal">
      <formula>"Mecânico"</formula>
    </cfRule>
    <cfRule type="cellIs" dxfId="1273" priority="15" operator="equal">
      <formula>"Ok"</formula>
    </cfRule>
  </conditionalFormatting>
  <conditionalFormatting sqref="B5:E60 G5:H60">
    <cfRule type="cellIs" dxfId="1272" priority="10" operator="equal">
      <formula>"Feito"</formula>
    </cfRule>
  </conditionalFormatting>
  <conditionalFormatting sqref="F5:F11">
    <cfRule type="cellIs" dxfId="1271" priority="8" operator="equal">
      <formula>"Energia"</formula>
    </cfRule>
  </conditionalFormatting>
  <conditionalFormatting sqref="F5:F60">
    <cfRule type="cellIs" dxfId="1270" priority="1" operator="equal">
      <formula>"Energia"</formula>
    </cfRule>
    <cfRule type="cellIs" dxfId="1269" priority="3" operator="equal">
      <formula>"Operação"</formula>
    </cfRule>
    <cfRule type="cellIs" dxfId="1268" priority="4" operator="equal">
      <formula>"Chuva"</formula>
    </cfRule>
    <cfRule type="cellIs" dxfId="1267" priority="5" operator="equal">
      <formula>"Elétrico"</formula>
    </cfRule>
    <cfRule type="cellIs" dxfId="1266" priority="6" operator="equal">
      <formula>"Mecânico"</formula>
    </cfRule>
    <cfRule type="cellIs" dxfId="1265" priority="7" operator="equal">
      <formula>"Ok"</formula>
    </cfRule>
  </conditionalFormatting>
  <conditionalFormatting sqref="F5:F60">
    <cfRule type="cellIs" dxfId="1264" priority="2" operator="equal">
      <formula>"Feito"</formula>
    </cfRule>
  </conditionalFormatting>
  <dataValidations count="1">
    <dataValidation type="list" allowBlank="1" showInputMessage="1" showErrorMessage="1" sqref="B61:I62 B5:J60 B63:H95" xr:uid="{890558DB-9067-4566-AACF-477E514F10D5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05CB5-91B5-4C3A-A925-F4B1CAC7F2B8}">
  <sheetPr codeName="Planilha51"/>
  <dimension ref="A3:N95"/>
  <sheetViews>
    <sheetView zoomScale="110" zoomScaleNormal="110" workbookViewId="0">
      <selection activeCell="M16" sqref="M1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44599</v>
      </c>
      <c r="C3" s="3">
        <f>B3+1</f>
        <v>44600</v>
      </c>
      <c r="D3" s="3">
        <f t="shared" ref="D3:H3" si="0">C3+1</f>
        <v>44601</v>
      </c>
      <c r="E3" s="3">
        <f t="shared" si="0"/>
        <v>44602</v>
      </c>
      <c r="F3" s="3">
        <f t="shared" si="0"/>
        <v>44603</v>
      </c>
      <c r="G3" s="3">
        <f t="shared" si="0"/>
        <v>44604</v>
      </c>
      <c r="H3" s="3">
        <f t="shared" si="0"/>
        <v>44605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t="s">
        <v>32</v>
      </c>
      <c r="M4" t="s">
        <v>33</v>
      </c>
      <c r="N4" t="s">
        <v>34</v>
      </c>
    </row>
    <row r="5" spans="1:14" x14ac:dyDescent="0.25">
      <c r="A5" s="4">
        <v>1</v>
      </c>
      <c r="K5" s="5" t="s">
        <v>2</v>
      </c>
      <c r="L5">
        <f>COUNTIF($B$5:$H$95,K5)</f>
        <v>8</v>
      </c>
      <c r="M5" s="53">
        <f>L5/$L$11</f>
        <v>0.36363636363636365</v>
      </c>
      <c r="N5" s="52">
        <v>44599</v>
      </c>
    </row>
    <row r="6" spans="1:14" x14ac:dyDescent="0.25">
      <c r="A6" s="4">
        <v>2</v>
      </c>
      <c r="K6" s="6" t="s">
        <v>5</v>
      </c>
      <c r="L6">
        <f>COUNTIF($B$5:$H$95,K6)</f>
        <v>3</v>
      </c>
      <c r="M6" s="53">
        <f t="shared" ref="M6:M9" si="2">L6/$L$11</f>
        <v>0.13636363636363635</v>
      </c>
    </row>
    <row r="7" spans="1:14" x14ac:dyDescent="0.25">
      <c r="A7" s="4">
        <v>3</v>
      </c>
      <c r="K7" s="7" t="s">
        <v>6</v>
      </c>
      <c r="L7">
        <f t="shared" ref="L7:L10" si="3">COUNTIF($B$5:$H$95,K7)</f>
        <v>2</v>
      </c>
      <c r="M7" s="53">
        <f t="shared" si="2"/>
        <v>9.0909090909090912E-2</v>
      </c>
    </row>
    <row r="8" spans="1:14" x14ac:dyDescent="0.25">
      <c r="A8" s="4">
        <v>4</v>
      </c>
      <c r="K8" s="8" t="s">
        <v>4</v>
      </c>
      <c r="L8">
        <f t="shared" si="3"/>
        <v>0</v>
      </c>
      <c r="M8" s="53">
        <f t="shared" si="2"/>
        <v>0</v>
      </c>
    </row>
    <row r="9" spans="1:14" x14ac:dyDescent="0.25">
      <c r="A9" s="4">
        <v>5</v>
      </c>
      <c r="K9" s="9" t="s">
        <v>3</v>
      </c>
      <c r="L9">
        <f t="shared" si="3"/>
        <v>1</v>
      </c>
      <c r="M9" s="53">
        <f t="shared" si="2"/>
        <v>4.5454545454545456E-2</v>
      </c>
    </row>
    <row r="10" spans="1:14" x14ac:dyDescent="0.25">
      <c r="A10" s="4">
        <v>6</v>
      </c>
      <c r="K10" s="10" t="s">
        <v>7</v>
      </c>
      <c r="L10">
        <f t="shared" si="3"/>
        <v>8</v>
      </c>
      <c r="M10" s="53">
        <f>L10/$L$11</f>
        <v>0.36363636363636365</v>
      </c>
    </row>
    <row r="11" spans="1:14" x14ac:dyDescent="0.25">
      <c r="A11" s="4">
        <v>7</v>
      </c>
      <c r="L11">
        <f>SUM(L5:L10)</f>
        <v>22</v>
      </c>
    </row>
    <row r="12" spans="1:14" x14ac:dyDescent="0.25">
      <c r="A12" s="4">
        <v>8</v>
      </c>
    </row>
    <row r="13" spans="1:14" x14ac:dyDescent="0.25">
      <c r="A13" s="4">
        <v>9</v>
      </c>
    </row>
    <row r="14" spans="1:14" x14ac:dyDescent="0.25">
      <c r="A14" s="4">
        <v>10</v>
      </c>
    </row>
    <row r="15" spans="1:14" x14ac:dyDescent="0.25">
      <c r="A15" s="4">
        <v>11</v>
      </c>
    </row>
    <row r="16" spans="1:14" x14ac:dyDescent="0.25">
      <c r="A16" s="4">
        <v>12</v>
      </c>
    </row>
    <row r="17" spans="1:6" x14ac:dyDescent="0.25">
      <c r="A17" s="4">
        <v>13</v>
      </c>
    </row>
    <row r="18" spans="1:6" x14ac:dyDescent="0.25">
      <c r="A18" s="4">
        <v>14</v>
      </c>
    </row>
    <row r="19" spans="1:6" x14ac:dyDescent="0.25">
      <c r="A19" s="4">
        <v>15</v>
      </c>
    </row>
    <row r="20" spans="1:6" x14ac:dyDescent="0.25">
      <c r="A20" s="4">
        <v>16</v>
      </c>
      <c r="B20" t="s">
        <v>5</v>
      </c>
      <c r="C20" t="s">
        <v>5</v>
      </c>
      <c r="D20" t="s">
        <v>5</v>
      </c>
    </row>
    <row r="21" spans="1:6" x14ac:dyDescent="0.25">
      <c r="A21" s="4">
        <v>17</v>
      </c>
    </row>
    <row r="22" spans="1:6" x14ac:dyDescent="0.25">
      <c r="A22" s="4">
        <v>18</v>
      </c>
    </row>
    <row r="23" spans="1:6" x14ac:dyDescent="0.25">
      <c r="A23" s="4">
        <v>19</v>
      </c>
    </row>
    <row r="24" spans="1:6" x14ac:dyDescent="0.25">
      <c r="A24" s="4">
        <v>20</v>
      </c>
    </row>
    <row r="25" spans="1:6" x14ac:dyDescent="0.25">
      <c r="A25" s="4">
        <v>21</v>
      </c>
    </row>
    <row r="26" spans="1:6" x14ac:dyDescent="0.25">
      <c r="A26" s="4">
        <v>22</v>
      </c>
    </row>
    <row r="27" spans="1:6" x14ac:dyDescent="0.25">
      <c r="A27" s="4">
        <v>23</v>
      </c>
    </row>
    <row r="28" spans="1:6" x14ac:dyDescent="0.25">
      <c r="A28" s="4">
        <v>24</v>
      </c>
    </row>
    <row r="29" spans="1:6" x14ac:dyDescent="0.25">
      <c r="A29" s="4">
        <v>25</v>
      </c>
    </row>
    <row r="30" spans="1:6" x14ac:dyDescent="0.25">
      <c r="A30" s="4">
        <v>26</v>
      </c>
      <c r="F30" t="s">
        <v>2</v>
      </c>
    </row>
    <row r="31" spans="1:6" x14ac:dyDescent="0.25">
      <c r="A31" s="4">
        <v>27</v>
      </c>
      <c r="F31" t="s">
        <v>2</v>
      </c>
    </row>
    <row r="32" spans="1:6" x14ac:dyDescent="0.25">
      <c r="A32" s="4">
        <v>28</v>
      </c>
    </row>
    <row r="33" spans="1:6" x14ac:dyDescent="0.25">
      <c r="A33" s="4">
        <v>29</v>
      </c>
    </row>
    <row r="34" spans="1:6" x14ac:dyDescent="0.25">
      <c r="A34" s="4">
        <v>30</v>
      </c>
    </row>
    <row r="35" spans="1:6" x14ac:dyDescent="0.25">
      <c r="A35" s="4">
        <v>31</v>
      </c>
    </row>
    <row r="36" spans="1:6" x14ac:dyDescent="0.25">
      <c r="A36" s="4">
        <v>32</v>
      </c>
      <c r="B36" t="s">
        <v>7</v>
      </c>
      <c r="C36" t="s">
        <v>7</v>
      </c>
      <c r="D36" t="s">
        <v>6</v>
      </c>
    </row>
    <row r="37" spans="1:6" x14ac:dyDescent="0.25">
      <c r="A37" s="4">
        <v>33</v>
      </c>
      <c r="F37" t="s">
        <v>7</v>
      </c>
    </row>
    <row r="38" spans="1:6" x14ac:dyDescent="0.25">
      <c r="A38" s="4">
        <v>34</v>
      </c>
    </row>
    <row r="39" spans="1:6" x14ac:dyDescent="0.25">
      <c r="A39" s="4">
        <v>35</v>
      </c>
    </row>
    <row r="40" spans="1:6" x14ac:dyDescent="0.25">
      <c r="A40" s="4">
        <v>36</v>
      </c>
    </row>
    <row r="41" spans="1:6" x14ac:dyDescent="0.25">
      <c r="A41" s="4">
        <v>37</v>
      </c>
    </row>
    <row r="42" spans="1:6" x14ac:dyDescent="0.25">
      <c r="A42" s="4">
        <v>38</v>
      </c>
      <c r="B42" t="s">
        <v>2</v>
      </c>
    </row>
    <row r="43" spans="1:6" x14ac:dyDescent="0.25">
      <c r="A43" s="4">
        <v>39</v>
      </c>
      <c r="C43" t="s">
        <v>7</v>
      </c>
    </row>
    <row r="44" spans="1:6" x14ac:dyDescent="0.25">
      <c r="A44" s="4">
        <v>40</v>
      </c>
      <c r="B44" t="s">
        <v>3</v>
      </c>
    </row>
    <row r="45" spans="1:6" x14ac:dyDescent="0.25">
      <c r="A45" s="4">
        <v>41</v>
      </c>
    </row>
    <row r="46" spans="1:6" x14ac:dyDescent="0.25">
      <c r="A46" s="4">
        <v>42</v>
      </c>
    </row>
    <row r="47" spans="1:6" x14ac:dyDescent="0.25">
      <c r="A47" s="4">
        <v>43</v>
      </c>
    </row>
    <row r="48" spans="1:6" x14ac:dyDescent="0.25">
      <c r="A48" s="4">
        <v>44</v>
      </c>
      <c r="B48" t="s">
        <v>7</v>
      </c>
    </row>
    <row r="49" spans="1:6" x14ac:dyDescent="0.25">
      <c r="A49" s="4">
        <v>45</v>
      </c>
    </row>
    <row r="50" spans="1:6" x14ac:dyDescent="0.25">
      <c r="A50" s="4">
        <v>46</v>
      </c>
    </row>
    <row r="51" spans="1:6" x14ac:dyDescent="0.25">
      <c r="A51" s="4">
        <v>47</v>
      </c>
    </row>
    <row r="52" spans="1:6" x14ac:dyDescent="0.25">
      <c r="A52" s="4">
        <v>48</v>
      </c>
    </row>
    <row r="53" spans="1:6" x14ac:dyDescent="0.25">
      <c r="A53" s="4">
        <v>49</v>
      </c>
    </row>
    <row r="54" spans="1:6" x14ac:dyDescent="0.25">
      <c r="A54" s="4">
        <v>50</v>
      </c>
    </row>
    <row r="55" spans="1:6" x14ac:dyDescent="0.25">
      <c r="A55" s="4">
        <v>51</v>
      </c>
    </row>
    <row r="56" spans="1:6" x14ac:dyDescent="0.25">
      <c r="A56" s="4">
        <v>52</v>
      </c>
    </row>
    <row r="57" spans="1:6" x14ac:dyDescent="0.25">
      <c r="A57" s="4">
        <v>53</v>
      </c>
      <c r="E57" t="s">
        <v>2</v>
      </c>
      <c r="F57" t="s">
        <v>2</v>
      </c>
    </row>
    <row r="58" spans="1:6" x14ac:dyDescent="0.25">
      <c r="A58" s="4">
        <v>54</v>
      </c>
    </row>
    <row r="59" spans="1:6" x14ac:dyDescent="0.25">
      <c r="A59" s="4">
        <v>55</v>
      </c>
    </row>
    <row r="60" spans="1:6" x14ac:dyDescent="0.25">
      <c r="A60" s="4">
        <v>56</v>
      </c>
    </row>
    <row r="61" spans="1:6" x14ac:dyDescent="0.25">
      <c r="A61" s="18">
        <v>73</v>
      </c>
    </row>
    <row r="62" spans="1:6" x14ac:dyDescent="0.25">
      <c r="A62" s="18">
        <v>74</v>
      </c>
    </row>
    <row r="63" spans="1:6" x14ac:dyDescent="0.25">
      <c r="A63" s="18">
        <v>101</v>
      </c>
      <c r="B63" s="19" t="s">
        <v>7</v>
      </c>
    </row>
    <row r="64" spans="1:6" x14ac:dyDescent="0.25">
      <c r="A64" s="18">
        <v>102</v>
      </c>
      <c r="C64" t="s">
        <v>7</v>
      </c>
    </row>
    <row r="65" spans="1:6" x14ac:dyDescent="0.25">
      <c r="A65" s="18">
        <v>103</v>
      </c>
      <c r="D65" t="s">
        <v>7</v>
      </c>
    </row>
    <row r="66" spans="1:6" x14ac:dyDescent="0.25">
      <c r="A66" s="18">
        <v>104</v>
      </c>
      <c r="E66" t="s">
        <v>2</v>
      </c>
    </row>
    <row r="67" spans="1:6" x14ac:dyDescent="0.25">
      <c r="A67" s="18">
        <v>105</v>
      </c>
    </row>
    <row r="68" spans="1:6" x14ac:dyDescent="0.25">
      <c r="A68" s="18">
        <v>106</v>
      </c>
    </row>
    <row r="69" spans="1:6" x14ac:dyDescent="0.25">
      <c r="A69" s="18">
        <v>107</v>
      </c>
    </row>
    <row r="70" spans="1:6" x14ac:dyDescent="0.25">
      <c r="A70" s="18">
        <v>108</v>
      </c>
    </row>
    <row r="71" spans="1:6" x14ac:dyDescent="0.25">
      <c r="A71" s="18">
        <v>109</v>
      </c>
    </row>
    <row r="72" spans="1:6" x14ac:dyDescent="0.25">
      <c r="A72" s="18">
        <v>110</v>
      </c>
      <c r="F72" t="s">
        <v>6</v>
      </c>
    </row>
    <row r="73" spans="1:6" x14ac:dyDescent="0.25">
      <c r="A73" s="18">
        <v>111</v>
      </c>
    </row>
    <row r="74" spans="1:6" x14ac:dyDescent="0.25">
      <c r="A74" s="18">
        <v>112</v>
      </c>
    </row>
    <row r="75" spans="1:6" x14ac:dyDescent="0.25">
      <c r="A75" s="18">
        <v>113</v>
      </c>
      <c r="B75" t="s">
        <v>2</v>
      </c>
    </row>
    <row r="76" spans="1:6" x14ac:dyDescent="0.25">
      <c r="A76" s="18">
        <v>114</v>
      </c>
    </row>
    <row r="77" spans="1:6" x14ac:dyDescent="0.25">
      <c r="A77" s="18">
        <v>115</v>
      </c>
      <c r="B77" t="s">
        <v>2</v>
      </c>
    </row>
    <row r="78" spans="1:6" x14ac:dyDescent="0.25">
      <c r="A78" s="18">
        <v>116</v>
      </c>
    </row>
    <row r="79" spans="1:6" x14ac:dyDescent="0.25">
      <c r="A79" s="18">
        <v>117</v>
      </c>
    </row>
    <row r="80" spans="1:6" x14ac:dyDescent="0.25">
      <c r="A80" s="18">
        <v>118</v>
      </c>
    </row>
    <row r="81" spans="1:1" x14ac:dyDescent="0.25">
      <c r="A81" s="18">
        <v>119</v>
      </c>
    </row>
    <row r="82" spans="1:1" x14ac:dyDescent="0.25">
      <c r="A82" s="18">
        <v>120</v>
      </c>
    </row>
    <row r="83" spans="1:1" x14ac:dyDescent="0.25">
      <c r="A83" s="18">
        <v>121</v>
      </c>
    </row>
    <row r="84" spans="1:1" x14ac:dyDescent="0.25">
      <c r="A84" s="18">
        <v>122</v>
      </c>
    </row>
    <row r="85" spans="1:1" x14ac:dyDescent="0.25">
      <c r="A85" s="18">
        <v>123</v>
      </c>
    </row>
    <row r="86" spans="1:1" x14ac:dyDescent="0.25">
      <c r="A86" s="18">
        <v>124</v>
      </c>
    </row>
    <row r="87" spans="1:1" x14ac:dyDescent="0.25">
      <c r="A87" s="18">
        <v>125</v>
      </c>
    </row>
    <row r="88" spans="1:1" x14ac:dyDescent="0.25">
      <c r="A88" s="18">
        <v>126</v>
      </c>
    </row>
    <row r="89" spans="1:1" x14ac:dyDescent="0.25">
      <c r="A89" s="18">
        <v>127</v>
      </c>
    </row>
    <row r="90" spans="1:1" x14ac:dyDescent="0.25">
      <c r="A90" s="18">
        <v>128</v>
      </c>
    </row>
    <row r="91" spans="1:1" x14ac:dyDescent="0.25">
      <c r="A91" s="18">
        <v>129</v>
      </c>
    </row>
    <row r="92" spans="1:1" x14ac:dyDescent="0.25">
      <c r="A92" s="18">
        <v>130</v>
      </c>
    </row>
    <row r="93" spans="1:1" x14ac:dyDescent="0.25">
      <c r="A93" s="18">
        <v>131</v>
      </c>
    </row>
    <row r="94" spans="1:1" x14ac:dyDescent="0.25">
      <c r="A94" s="18">
        <v>132</v>
      </c>
    </row>
    <row r="95" spans="1:1" x14ac:dyDescent="0.25">
      <c r="A95" s="18">
        <v>133</v>
      </c>
    </row>
  </sheetData>
  <conditionalFormatting sqref="B61:I62 I5:I60 B63:H95">
    <cfRule type="cellIs" dxfId="1263" priority="18" operator="equal">
      <formula>"Energia"</formula>
    </cfRule>
    <cfRule type="cellIs" dxfId="1262" priority="20" operator="equal">
      <formula>"Operação"</formula>
    </cfRule>
    <cfRule type="cellIs" dxfId="1261" priority="21" operator="equal">
      <formula>"Chuva"</formula>
    </cfRule>
    <cfRule type="cellIs" dxfId="1260" priority="22" operator="equal">
      <formula>"Elétrico"</formula>
    </cfRule>
    <cfRule type="cellIs" dxfId="1259" priority="23" operator="equal">
      <formula>"Mecânico"</formula>
    </cfRule>
    <cfRule type="cellIs" dxfId="1258" priority="24" operator="equal">
      <formula>"Ok"</formula>
    </cfRule>
  </conditionalFormatting>
  <conditionalFormatting sqref="B61:I62 I5:I60 B63:H95">
    <cfRule type="cellIs" dxfId="1257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256" priority="16" operator="equal">
      <formula>"Energia"</formula>
    </cfRule>
  </conditionalFormatting>
  <conditionalFormatting sqref="B5:E60 G5:H60">
    <cfRule type="cellIs" dxfId="1255" priority="9" operator="equal">
      <formula>"Energia"</formula>
    </cfRule>
    <cfRule type="cellIs" dxfId="1254" priority="11" operator="equal">
      <formula>"Operação"</formula>
    </cfRule>
    <cfRule type="cellIs" dxfId="1253" priority="12" operator="equal">
      <formula>"Chuva"</formula>
    </cfRule>
    <cfRule type="cellIs" dxfId="1252" priority="13" operator="equal">
      <formula>"Elétrico"</formula>
    </cfRule>
    <cfRule type="cellIs" dxfId="1251" priority="14" operator="equal">
      <formula>"Mecânico"</formula>
    </cfRule>
    <cfRule type="cellIs" dxfId="1250" priority="15" operator="equal">
      <formula>"Ok"</formula>
    </cfRule>
  </conditionalFormatting>
  <conditionalFormatting sqref="B5:E60 G5:H60">
    <cfRule type="cellIs" dxfId="1249" priority="10" operator="equal">
      <formula>"Feito"</formula>
    </cfRule>
  </conditionalFormatting>
  <conditionalFormatting sqref="F5:F11">
    <cfRule type="cellIs" dxfId="1248" priority="8" operator="equal">
      <formula>"Energia"</formula>
    </cfRule>
  </conditionalFormatting>
  <conditionalFormatting sqref="F5:F60">
    <cfRule type="cellIs" dxfId="1247" priority="1" operator="equal">
      <formula>"Energia"</formula>
    </cfRule>
    <cfRule type="cellIs" dxfId="1246" priority="3" operator="equal">
      <formula>"Operação"</formula>
    </cfRule>
    <cfRule type="cellIs" dxfId="1245" priority="4" operator="equal">
      <formula>"Chuva"</formula>
    </cfRule>
    <cfRule type="cellIs" dxfId="1244" priority="5" operator="equal">
      <formula>"Elétrico"</formula>
    </cfRule>
    <cfRule type="cellIs" dxfId="1243" priority="6" operator="equal">
      <formula>"Mecânico"</formula>
    </cfRule>
    <cfRule type="cellIs" dxfId="1242" priority="7" operator="equal">
      <formula>"Ok"</formula>
    </cfRule>
  </conditionalFormatting>
  <conditionalFormatting sqref="F5:F60">
    <cfRule type="cellIs" dxfId="1241" priority="2" operator="equal">
      <formula>"Feito"</formula>
    </cfRule>
  </conditionalFormatting>
  <dataValidations count="1">
    <dataValidation type="list" allowBlank="1" showInputMessage="1" showErrorMessage="1" sqref="B61:I62 B5:J60 B63:H95" xr:uid="{48F4910A-0C3A-4E78-B010-A43355670DE8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67AC-F113-4A5F-A971-20D657A318CB}">
  <sheetPr codeName="Planilha52"/>
  <dimension ref="A3:N95"/>
  <sheetViews>
    <sheetView zoomScale="110" zoomScaleNormal="11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O10" sqref="O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44606</v>
      </c>
      <c r="C3" s="3">
        <f>B3+1</f>
        <v>44607</v>
      </c>
      <c r="D3" s="3">
        <f t="shared" ref="D3:H3" si="0">C3+1</f>
        <v>44608</v>
      </c>
      <c r="E3" s="3">
        <f t="shared" si="0"/>
        <v>44609</v>
      </c>
      <c r="F3" s="3">
        <f t="shared" si="0"/>
        <v>44610</v>
      </c>
      <c r="G3" s="3">
        <f t="shared" si="0"/>
        <v>44611</v>
      </c>
      <c r="H3" s="3">
        <f t="shared" si="0"/>
        <v>44612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t="s">
        <v>32</v>
      </c>
      <c r="M4" t="s">
        <v>33</v>
      </c>
      <c r="N4" t="s">
        <v>34</v>
      </c>
    </row>
    <row r="5" spans="1:14" x14ac:dyDescent="0.25">
      <c r="A5" s="4">
        <v>1</v>
      </c>
      <c r="K5" s="5" t="s">
        <v>2</v>
      </c>
      <c r="L5">
        <f>COUNTIF($B$5:$H$95,K5)</f>
        <v>10</v>
      </c>
      <c r="M5" s="53">
        <f>L5/$L$11</f>
        <v>0.55555555555555558</v>
      </c>
      <c r="N5" s="52">
        <v>44606</v>
      </c>
    </row>
    <row r="6" spans="1:14" x14ac:dyDescent="0.25">
      <c r="A6" s="4">
        <v>2</v>
      </c>
      <c r="B6" t="s">
        <v>2</v>
      </c>
      <c r="C6" t="s">
        <v>5</v>
      </c>
      <c r="D6" t="s">
        <v>3</v>
      </c>
      <c r="F6" t="s">
        <v>3</v>
      </c>
      <c r="K6" s="6" t="s">
        <v>5</v>
      </c>
      <c r="L6">
        <f>COUNTIF($B$5:$H$95,K6)</f>
        <v>1</v>
      </c>
      <c r="M6" s="53">
        <f t="shared" ref="M6:M9" si="2">L6/$L$11</f>
        <v>5.5555555555555552E-2</v>
      </c>
    </row>
    <row r="7" spans="1:14" x14ac:dyDescent="0.25">
      <c r="A7" s="4">
        <v>3</v>
      </c>
      <c r="K7" s="7" t="s">
        <v>6</v>
      </c>
      <c r="L7">
        <f t="shared" ref="L7:L10" si="3">COUNTIF($B$5:$H$95,K7)</f>
        <v>0</v>
      </c>
      <c r="M7" s="53">
        <f t="shared" si="2"/>
        <v>0</v>
      </c>
    </row>
    <row r="8" spans="1:14" x14ac:dyDescent="0.25">
      <c r="A8" s="4">
        <v>4</v>
      </c>
      <c r="K8" s="8" t="s">
        <v>4</v>
      </c>
      <c r="L8">
        <f t="shared" si="3"/>
        <v>0</v>
      </c>
      <c r="M8" s="53">
        <f t="shared" si="2"/>
        <v>0</v>
      </c>
    </row>
    <row r="9" spans="1:14" x14ac:dyDescent="0.25">
      <c r="A9" s="4">
        <v>5</v>
      </c>
      <c r="K9" s="9" t="s">
        <v>3</v>
      </c>
      <c r="L9">
        <f t="shared" si="3"/>
        <v>4</v>
      </c>
      <c r="M9" s="53">
        <f t="shared" si="2"/>
        <v>0.22222222222222221</v>
      </c>
    </row>
    <row r="10" spans="1:14" x14ac:dyDescent="0.25">
      <c r="A10" s="4">
        <v>6</v>
      </c>
      <c r="K10" s="10" t="s">
        <v>7</v>
      </c>
      <c r="L10">
        <f t="shared" si="3"/>
        <v>3</v>
      </c>
      <c r="M10" s="53">
        <f>L10/$L$11</f>
        <v>0.16666666666666666</v>
      </c>
    </row>
    <row r="11" spans="1:14" x14ac:dyDescent="0.25">
      <c r="A11" s="4">
        <v>7</v>
      </c>
      <c r="L11">
        <f>SUM(L5:L10)</f>
        <v>18</v>
      </c>
    </row>
    <row r="12" spans="1:14" x14ac:dyDescent="0.25">
      <c r="A12" s="4">
        <v>8</v>
      </c>
    </row>
    <row r="13" spans="1:14" x14ac:dyDescent="0.25">
      <c r="A13" s="4">
        <v>9</v>
      </c>
    </row>
    <row r="14" spans="1:14" x14ac:dyDescent="0.25">
      <c r="A14" s="4">
        <v>10</v>
      </c>
    </row>
    <row r="15" spans="1:14" x14ac:dyDescent="0.25">
      <c r="A15" s="4">
        <v>11</v>
      </c>
    </row>
    <row r="16" spans="1:14" x14ac:dyDescent="0.25">
      <c r="A16" s="4">
        <v>12</v>
      </c>
    </row>
    <row r="17" spans="1:1" x14ac:dyDescent="0.25">
      <c r="A17" s="4">
        <v>13</v>
      </c>
    </row>
    <row r="18" spans="1:1" x14ac:dyDescent="0.25">
      <c r="A18" s="4">
        <v>14</v>
      </c>
    </row>
    <row r="19" spans="1:1" x14ac:dyDescent="0.25">
      <c r="A19" s="4">
        <v>15</v>
      </c>
    </row>
    <row r="20" spans="1:1" x14ac:dyDescent="0.25">
      <c r="A20" s="4">
        <v>16</v>
      </c>
    </row>
    <row r="21" spans="1:1" x14ac:dyDescent="0.25">
      <c r="A21" s="4">
        <v>17</v>
      </c>
    </row>
    <row r="22" spans="1:1" x14ac:dyDescent="0.25">
      <c r="A22" s="4">
        <v>18</v>
      </c>
    </row>
    <row r="23" spans="1:1" x14ac:dyDescent="0.25">
      <c r="A23" s="4">
        <v>19</v>
      </c>
    </row>
    <row r="24" spans="1:1" x14ac:dyDescent="0.25">
      <c r="A24" s="4">
        <v>20</v>
      </c>
    </row>
    <row r="25" spans="1:1" x14ac:dyDescent="0.25">
      <c r="A25" s="4">
        <v>21</v>
      </c>
    </row>
    <row r="26" spans="1:1" x14ac:dyDescent="0.25">
      <c r="A26" s="4">
        <v>22</v>
      </c>
    </row>
    <row r="27" spans="1:1" x14ac:dyDescent="0.25">
      <c r="A27" s="4">
        <v>23</v>
      </c>
    </row>
    <row r="28" spans="1:1" x14ac:dyDescent="0.25">
      <c r="A28" s="4">
        <v>24</v>
      </c>
    </row>
    <row r="29" spans="1:1" x14ac:dyDescent="0.25">
      <c r="A29" s="4">
        <v>25</v>
      </c>
    </row>
    <row r="30" spans="1:1" x14ac:dyDescent="0.25">
      <c r="A30" s="4">
        <v>26</v>
      </c>
    </row>
    <row r="31" spans="1:1" x14ac:dyDescent="0.25">
      <c r="A31" s="4">
        <v>27</v>
      </c>
    </row>
    <row r="32" spans="1:1" x14ac:dyDescent="0.25">
      <c r="A32" s="4">
        <v>28</v>
      </c>
    </row>
    <row r="33" spans="1:6" x14ac:dyDescent="0.25">
      <c r="A33" s="4">
        <v>29</v>
      </c>
    </row>
    <row r="34" spans="1:6" x14ac:dyDescent="0.25">
      <c r="A34" s="4">
        <v>30</v>
      </c>
      <c r="B34" t="s">
        <v>7</v>
      </c>
      <c r="C34" t="s">
        <v>7</v>
      </c>
    </row>
    <row r="35" spans="1:6" x14ac:dyDescent="0.25">
      <c r="A35" s="4">
        <v>31</v>
      </c>
      <c r="D35" t="s">
        <v>2</v>
      </c>
      <c r="E35" t="s">
        <v>2</v>
      </c>
    </row>
    <row r="36" spans="1:6" x14ac:dyDescent="0.25">
      <c r="A36" s="4">
        <v>32</v>
      </c>
    </row>
    <row r="37" spans="1:6" x14ac:dyDescent="0.25">
      <c r="A37" s="4">
        <v>33</v>
      </c>
    </row>
    <row r="38" spans="1:6" x14ac:dyDescent="0.25">
      <c r="A38" s="4">
        <v>34</v>
      </c>
      <c r="F38" t="s">
        <v>2</v>
      </c>
    </row>
    <row r="39" spans="1:6" x14ac:dyDescent="0.25">
      <c r="A39" s="4">
        <v>35</v>
      </c>
    </row>
    <row r="40" spans="1:6" x14ac:dyDescent="0.25">
      <c r="A40" s="4">
        <v>36</v>
      </c>
    </row>
    <row r="41" spans="1:6" x14ac:dyDescent="0.25">
      <c r="A41" s="4">
        <v>37</v>
      </c>
    </row>
    <row r="42" spans="1:6" x14ac:dyDescent="0.25">
      <c r="A42" s="4">
        <v>38</v>
      </c>
    </row>
    <row r="43" spans="1:6" x14ac:dyDescent="0.25">
      <c r="A43" s="4">
        <v>39</v>
      </c>
    </row>
    <row r="44" spans="1:6" x14ac:dyDescent="0.25">
      <c r="A44" s="4">
        <v>40</v>
      </c>
    </row>
    <row r="45" spans="1:6" x14ac:dyDescent="0.25">
      <c r="A45" s="4">
        <v>41</v>
      </c>
    </row>
    <row r="46" spans="1:6" x14ac:dyDescent="0.25">
      <c r="A46" s="4">
        <v>42</v>
      </c>
    </row>
    <row r="47" spans="1:6" x14ac:dyDescent="0.25">
      <c r="A47" s="4">
        <v>43</v>
      </c>
    </row>
    <row r="48" spans="1:6" x14ac:dyDescent="0.25">
      <c r="A48" s="4">
        <v>44</v>
      </c>
    </row>
    <row r="49" spans="1:2" x14ac:dyDescent="0.25">
      <c r="A49" s="4">
        <v>45</v>
      </c>
    </row>
    <row r="50" spans="1:2" x14ac:dyDescent="0.25">
      <c r="A50" s="4">
        <v>46</v>
      </c>
    </row>
    <row r="51" spans="1:2" x14ac:dyDescent="0.25">
      <c r="A51" s="4">
        <v>47</v>
      </c>
    </row>
    <row r="52" spans="1:2" x14ac:dyDescent="0.25">
      <c r="A52" s="4">
        <v>48</v>
      </c>
    </row>
    <row r="53" spans="1:2" x14ac:dyDescent="0.25">
      <c r="A53" s="4">
        <v>49</v>
      </c>
    </row>
    <row r="54" spans="1:2" x14ac:dyDescent="0.25">
      <c r="A54" s="4">
        <v>50</v>
      </c>
    </row>
    <row r="55" spans="1:2" x14ac:dyDescent="0.25">
      <c r="A55" s="4">
        <v>51</v>
      </c>
    </row>
    <row r="56" spans="1:2" x14ac:dyDescent="0.25">
      <c r="A56" s="4">
        <v>52</v>
      </c>
    </row>
    <row r="57" spans="1:2" x14ac:dyDescent="0.25">
      <c r="A57" s="4">
        <v>53</v>
      </c>
    </row>
    <row r="58" spans="1:2" x14ac:dyDescent="0.25">
      <c r="A58" s="4">
        <v>54</v>
      </c>
    </row>
    <row r="59" spans="1:2" x14ac:dyDescent="0.25">
      <c r="A59" s="4">
        <v>55</v>
      </c>
    </row>
    <row r="60" spans="1:2" x14ac:dyDescent="0.25">
      <c r="A60" s="4">
        <v>56</v>
      </c>
    </row>
    <row r="61" spans="1:2" x14ac:dyDescent="0.25">
      <c r="A61" s="18">
        <v>73</v>
      </c>
    </row>
    <row r="62" spans="1:2" x14ac:dyDescent="0.25">
      <c r="A62" s="18">
        <v>74</v>
      </c>
    </row>
    <row r="63" spans="1:2" x14ac:dyDescent="0.25">
      <c r="A63" s="18">
        <v>101</v>
      </c>
      <c r="B63" s="19"/>
    </row>
    <row r="64" spans="1:2" x14ac:dyDescent="0.25">
      <c r="A64" s="18">
        <v>102</v>
      </c>
    </row>
    <row r="65" spans="1:6" x14ac:dyDescent="0.25">
      <c r="A65" s="18">
        <v>103</v>
      </c>
    </row>
    <row r="66" spans="1:6" x14ac:dyDescent="0.25">
      <c r="A66" s="18">
        <v>104</v>
      </c>
    </row>
    <row r="67" spans="1:6" x14ac:dyDescent="0.25">
      <c r="A67" s="18">
        <v>105</v>
      </c>
      <c r="D67" t="s">
        <v>2</v>
      </c>
    </row>
    <row r="68" spans="1:6" x14ac:dyDescent="0.25">
      <c r="A68" s="18">
        <v>106</v>
      </c>
      <c r="B68" t="s">
        <v>2</v>
      </c>
    </row>
    <row r="69" spans="1:6" x14ac:dyDescent="0.25">
      <c r="A69" s="18">
        <v>107</v>
      </c>
      <c r="E69" t="s">
        <v>2</v>
      </c>
    </row>
    <row r="70" spans="1:6" x14ac:dyDescent="0.25">
      <c r="A70" s="18">
        <v>108</v>
      </c>
      <c r="C70" t="s">
        <v>2</v>
      </c>
    </row>
    <row r="71" spans="1:6" x14ac:dyDescent="0.25">
      <c r="A71" s="18">
        <v>109</v>
      </c>
      <c r="F71" t="s">
        <v>2</v>
      </c>
    </row>
    <row r="72" spans="1:6" x14ac:dyDescent="0.25">
      <c r="A72" s="18">
        <v>110</v>
      </c>
    </row>
    <row r="73" spans="1:6" x14ac:dyDescent="0.25">
      <c r="A73" s="18">
        <v>111</v>
      </c>
    </row>
    <row r="74" spans="1:6" x14ac:dyDescent="0.25">
      <c r="A74" s="18">
        <v>112</v>
      </c>
    </row>
    <row r="75" spans="1:6" x14ac:dyDescent="0.25">
      <c r="A75" s="18">
        <v>113</v>
      </c>
      <c r="B75" t="s">
        <v>7</v>
      </c>
      <c r="C75" t="s">
        <v>3</v>
      </c>
      <c r="D75" t="s">
        <v>3</v>
      </c>
    </row>
    <row r="76" spans="1:6" x14ac:dyDescent="0.25">
      <c r="A76" s="18">
        <v>114</v>
      </c>
    </row>
    <row r="77" spans="1:6" x14ac:dyDescent="0.25">
      <c r="A77" s="18">
        <v>115</v>
      </c>
      <c r="F77" t="s">
        <v>2</v>
      </c>
    </row>
    <row r="78" spans="1:6" x14ac:dyDescent="0.25">
      <c r="A78" s="18">
        <v>116</v>
      </c>
    </row>
    <row r="79" spans="1:6" x14ac:dyDescent="0.25">
      <c r="A79" s="18">
        <v>117</v>
      </c>
    </row>
    <row r="80" spans="1:6" x14ac:dyDescent="0.25">
      <c r="A80" s="18">
        <v>118</v>
      </c>
    </row>
    <row r="81" spans="1:1" x14ac:dyDescent="0.25">
      <c r="A81" s="18">
        <v>119</v>
      </c>
    </row>
    <row r="82" spans="1:1" x14ac:dyDescent="0.25">
      <c r="A82" s="18">
        <v>120</v>
      </c>
    </row>
    <row r="83" spans="1:1" x14ac:dyDescent="0.25">
      <c r="A83" s="18">
        <v>121</v>
      </c>
    </row>
    <row r="84" spans="1:1" x14ac:dyDescent="0.25">
      <c r="A84" s="18">
        <v>122</v>
      </c>
    </row>
    <row r="85" spans="1:1" x14ac:dyDescent="0.25">
      <c r="A85" s="18">
        <v>123</v>
      </c>
    </row>
    <row r="86" spans="1:1" x14ac:dyDescent="0.25">
      <c r="A86" s="18">
        <v>124</v>
      </c>
    </row>
    <row r="87" spans="1:1" x14ac:dyDescent="0.25">
      <c r="A87" s="18">
        <v>125</v>
      </c>
    </row>
    <row r="88" spans="1:1" x14ac:dyDescent="0.25">
      <c r="A88" s="18">
        <v>126</v>
      </c>
    </row>
    <row r="89" spans="1:1" x14ac:dyDescent="0.25">
      <c r="A89" s="18">
        <v>127</v>
      </c>
    </row>
    <row r="90" spans="1:1" x14ac:dyDescent="0.25">
      <c r="A90" s="18">
        <v>128</v>
      </c>
    </row>
    <row r="91" spans="1:1" x14ac:dyDescent="0.25">
      <c r="A91" s="18">
        <v>129</v>
      </c>
    </row>
    <row r="92" spans="1:1" x14ac:dyDescent="0.25">
      <c r="A92" s="18">
        <v>130</v>
      </c>
    </row>
    <row r="93" spans="1:1" x14ac:dyDescent="0.25">
      <c r="A93" s="18">
        <v>131</v>
      </c>
    </row>
    <row r="94" spans="1:1" x14ac:dyDescent="0.25">
      <c r="A94" s="18">
        <v>132</v>
      </c>
    </row>
    <row r="95" spans="1:1" x14ac:dyDescent="0.25">
      <c r="A95" s="18">
        <v>133</v>
      </c>
    </row>
  </sheetData>
  <conditionalFormatting sqref="B61:I62 I5:I60 B63:H95">
    <cfRule type="cellIs" dxfId="1240" priority="18" operator="equal">
      <formula>"Energia"</formula>
    </cfRule>
    <cfRule type="cellIs" dxfId="1239" priority="20" operator="equal">
      <formula>"Operação"</formula>
    </cfRule>
    <cfRule type="cellIs" dxfId="1238" priority="21" operator="equal">
      <formula>"Chuva"</formula>
    </cfRule>
    <cfRule type="cellIs" dxfId="1237" priority="22" operator="equal">
      <formula>"Elétrico"</formula>
    </cfRule>
    <cfRule type="cellIs" dxfId="1236" priority="23" operator="equal">
      <formula>"Mecânico"</formula>
    </cfRule>
    <cfRule type="cellIs" dxfId="1235" priority="24" operator="equal">
      <formula>"Ok"</formula>
    </cfRule>
  </conditionalFormatting>
  <conditionalFormatting sqref="B61:I62 I5:I60 B63:H95">
    <cfRule type="cellIs" dxfId="1234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233" priority="16" operator="equal">
      <formula>"Energia"</formula>
    </cfRule>
  </conditionalFormatting>
  <conditionalFormatting sqref="B5:E60 G5:H60">
    <cfRule type="cellIs" dxfId="1232" priority="9" operator="equal">
      <formula>"Energia"</formula>
    </cfRule>
    <cfRule type="cellIs" dxfId="1231" priority="11" operator="equal">
      <formula>"Operação"</formula>
    </cfRule>
    <cfRule type="cellIs" dxfId="1230" priority="12" operator="equal">
      <formula>"Chuva"</formula>
    </cfRule>
    <cfRule type="cellIs" dxfId="1229" priority="13" operator="equal">
      <formula>"Elétrico"</formula>
    </cfRule>
    <cfRule type="cellIs" dxfId="1228" priority="14" operator="equal">
      <formula>"Mecânico"</formula>
    </cfRule>
    <cfRule type="cellIs" dxfId="1227" priority="15" operator="equal">
      <formula>"Ok"</formula>
    </cfRule>
  </conditionalFormatting>
  <conditionalFormatting sqref="B5:E60 G5:H60">
    <cfRule type="cellIs" dxfId="1226" priority="10" operator="equal">
      <formula>"Feito"</formula>
    </cfRule>
  </conditionalFormatting>
  <conditionalFormatting sqref="F5:F11">
    <cfRule type="cellIs" dxfId="1225" priority="8" operator="equal">
      <formula>"Energia"</formula>
    </cfRule>
  </conditionalFormatting>
  <conditionalFormatting sqref="F5:F60">
    <cfRule type="cellIs" dxfId="1224" priority="1" operator="equal">
      <formula>"Energia"</formula>
    </cfRule>
    <cfRule type="cellIs" dxfId="1223" priority="3" operator="equal">
      <formula>"Operação"</formula>
    </cfRule>
    <cfRule type="cellIs" dxfId="1222" priority="4" operator="equal">
      <formula>"Chuva"</formula>
    </cfRule>
    <cfRule type="cellIs" dxfId="1221" priority="5" operator="equal">
      <formula>"Elétrico"</formula>
    </cfRule>
    <cfRule type="cellIs" dxfId="1220" priority="6" operator="equal">
      <formula>"Mecânico"</formula>
    </cfRule>
    <cfRule type="cellIs" dxfId="1219" priority="7" operator="equal">
      <formula>"Ok"</formula>
    </cfRule>
  </conditionalFormatting>
  <conditionalFormatting sqref="F5:F60">
    <cfRule type="cellIs" dxfId="1218" priority="2" operator="equal">
      <formula>"Feito"</formula>
    </cfRule>
  </conditionalFormatting>
  <dataValidations count="1">
    <dataValidation type="list" allowBlank="1" showInputMessage="1" showErrorMessage="1" sqref="B61:I62 B5:J60 B63:H95" xr:uid="{C4459BA2-84A3-46C6-AC88-FA9436AE72F1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4EF0-9DAB-42C7-950B-FA201B8F7AA6}">
  <dimension ref="A1:N95"/>
  <sheetViews>
    <sheetView topLeftCell="F1" zoomScale="110" zoomScaleNormal="110" workbookViewId="0">
      <pane ySplit="4" topLeftCell="A5" activePane="bottomLeft" state="frozen"/>
      <selection pane="bottomLeft" activeCell="N13" sqref="N1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1" spans="1:14" x14ac:dyDescent="0.25">
      <c r="A1" s="70" t="s">
        <v>15</v>
      </c>
      <c r="B1" s="70"/>
      <c r="C1" s="70"/>
      <c r="D1" s="70"/>
      <c r="E1" s="70"/>
      <c r="F1" s="70"/>
      <c r="G1" s="70"/>
      <c r="H1" s="70"/>
    </row>
    <row r="2" spans="1:14" x14ac:dyDescent="0.25">
      <c r="A2" s="70"/>
      <c r="B2" s="70"/>
      <c r="C2" s="70"/>
      <c r="D2" s="70"/>
      <c r="E2" s="70"/>
      <c r="F2" s="70"/>
      <c r="G2" s="70"/>
      <c r="H2" s="70"/>
    </row>
    <row r="3" spans="1:14" x14ac:dyDescent="0.25">
      <c r="A3" s="24" t="s">
        <v>16</v>
      </c>
      <c r="B3" s="23">
        <v>44613</v>
      </c>
      <c r="C3" s="23">
        <f>B3+1</f>
        <v>44614</v>
      </c>
      <c r="D3" s="23">
        <f t="shared" ref="D3:H3" si="0">C3+1</f>
        <v>44615</v>
      </c>
      <c r="E3" s="23">
        <f t="shared" si="0"/>
        <v>44616</v>
      </c>
      <c r="F3" s="23">
        <f t="shared" si="0"/>
        <v>44617</v>
      </c>
      <c r="G3" s="23">
        <f t="shared" si="0"/>
        <v>44618</v>
      </c>
      <c r="H3" s="25">
        <f t="shared" si="0"/>
        <v>44619</v>
      </c>
      <c r="I3" s="3"/>
    </row>
    <row r="4" spans="1:14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K4" s="20" t="s">
        <v>1</v>
      </c>
      <c r="L4" t="s">
        <v>32</v>
      </c>
      <c r="M4" t="s">
        <v>33</v>
      </c>
      <c r="N4" t="s">
        <v>34</v>
      </c>
    </row>
    <row r="5" spans="1:14" x14ac:dyDescent="0.25">
      <c r="A5" s="4">
        <v>1</v>
      </c>
      <c r="B5" s="38" t="s">
        <v>2</v>
      </c>
      <c r="C5" s="38" t="s">
        <v>2</v>
      </c>
      <c r="D5" s="38"/>
      <c r="E5" s="38"/>
      <c r="F5" s="38"/>
      <c r="G5" s="38" t="s">
        <v>2</v>
      </c>
      <c r="H5" s="38"/>
      <c r="K5" s="27" t="s">
        <v>2</v>
      </c>
      <c r="L5" s="33">
        <f>COUNTIF($B$5:$H$95,K5)</f>
        <v>79</v>
      </c>
      <c r="M5" s="34">
        <f t="shared" ref="M5:M10" si="2">L5/$L$11</f>
        <v>0.69298245614035092</v>
      </c>
      <c r="N5" s="52">
        <v>44613</v>
      </c>
    </row>
    <row r="6" spans="1:14" x14ac:dyDescent="0.25">
      <c r="A6" s="4">
        <v>2</v>
      </c>
      <c r="B6" s="38"/>
      <c r="C6" s="38"/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  <c r="K6" s="28" t="s">
        <v>5</v>
      </c>
      <c r="L6">
        <f>COUNTIF($B$5:$H$95,K6)</f>
        <v>9</v>
      </c>
      <c r="M6" s="35">
        <f t="shared" si="2"/>
        <v>7.8947368421052627E-2</v>
      </c>
    </row>
    <row r="7" spans="1:14" x14ac:dyDescent="0.25">
      <c r="A7" s="4">
        <v>3</v>
      </c>
      <c r="B7" s="38"/>
      <c r="C7" s="38"/>
      <c r="D7" s="38"/>
      <c r="E7" s="38"/>
      <c r="F7" s="38"/>
      <c r="G7" s="38" t="s">
        <v>2</v>
      </c>
      <c r="H7" s="38" t="s">
        <v>2</v>
      </c>
      <c r="K7" s="29" t="s">
        <v>6</v>
      </c>
      <c r="L7">
        <f t="shared" ref="L7:L10" si="3">COUNTIF($B$5:$H$95,K7)</f>
        <v>16</v>
      </c>
      <c r="M7" s="35">
        <f t="shared" si="2"/>
        <v>0.14035087719298245</v>
      </c>
    </row>
    <row r="8" spans="1:14" x14ac:dyDescent="0.25">
      <c r="A8" s="4">
        <v>4</v>
      </c>
      <c r="B8" s="38"/>
      <c r="C8" s="38"/>
      <c r="D8" s="38"/>
      <c r="E8" s="38"/>
      <c r="F8" s="38"/>
      <c r="G8" s="38"/>
      <c r="H8" s="38"/>
      <c r="K8" s="30" t="s">
        <v>4</v>
      </c>
      <c r="L8">
        <f>COUNTIF($B$5:$H$95,K8)</f>
        <v>1</v>
      </c>
      <c r="M8" s="35">
        <f t="shared" si="2"/>
        <v>8.771929824561403E-3</v>
      </c>
    </row>
    <row r="9" spans="1:14" x14ac:dyDescent="0.25">
      <c r="A9" s="4">
        <v>5</v>
      </c>
      <c r="B9" s="38"/>
      <c r="C9" s="38"/>
      <c r="D9" s="38"/>
      <c r="E9" s="38"/>
      <c r="F9" s="38"/>
      <c r="G9" s="38"/>
      <c r="H9" s="38" t="s">
        <v>2</v>
      </c>
      <c r="K9" s="31" t="s">
        <v>3</v>
      </c>
      <c r="L9">
        <f t="shared" si="3"/>
        <v>1</v>
      </c>
      <c r="M9" s="35">
        <f t="shared" si="2"/>
        <v>8.771929824561403E-3</v>
      </c>
    </row>
    <row r="10" spans="1:14" x14ac:dyDescent="0.25">
      <c r="A10" s="4">
        <v>6</v>
      </c>
      <c r="B10" s="38"/>
      <c r="C10" s="38"/>
      <c r="D10" s="38"/>
      <c r="E10" s="38"/>
      <c r="F10" s="38"/>
      <c r="G10" s="38"/>
      <c r="H10" s="38" t="s">
        <v>2</v>
      </c>
      <c r="K10" s="32" t="s">
        <v>7</v>
      </c>
      <c r="L10" s="36">
        <f t="shared" si="3"/>
        <v>8</v>
      </c>
      <c r="M10" s="37">
        <f t="shared" si="2"/>
        <v>7.0175438596491224E-2</v>
      </c>
    </row>
    <row r="11" spans="1:14" x14ac:dyDescent="0.25">
      <c r="A11" s="4">
        <v>7</v>
      </c>
      <c r="B11" s="38"/>
      <c r="C11" s="38"/>
      <c r="D11" s="38"/>
      <c r="E11" s="38"/>
      <c r="F11" s="38"/>
      <c r="G11" s="38"/>
      <c r="H11" s="38" t="s">
        <v>2</v>
      </c>
      <c r="K11" s="11" t="s">
        <v>17</v>
      </c>
      <c r="L11" s="11">
        <f>SUM(L5:L10)</f>
        <v>114</v>
      </c>
    </row>
    <row r="12" spans="1:14" x14ac:dyDescent="0.25">
      <c r="A12" s="4">
        <v>8</v>
      </c>
      <c r="B12" s="38"/>
      <c r="C12" s="38"/>
      <c r="D12" s="38"/>
      <c r="E12" s="38"/>
      <c r="F12" s="38"/>
      <c r="G12" s="38"/>
      <c r="H12" s="38"/>
    </row>
    <row r="13" spans="1:14" x14ac:dyDescent="0.25">
      <c r="A13" s="4">
        <v>9</v>
      </c>
      <c r="B13" s="38"/>
      <c r="C13" s="38"/>
      <c r="D13" s="38"/>
      <c r="E13" s="38"/>
      <c r="F13" s="38" t="s">
        <v>2</v>
      </c>
      <c r="G13" s="38"/>
      <c r="H13" s="38"/>
    </row>
    <row r="14" spans="1:14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4" x14ac:dyDescent="0.25">
      <c r="A15" s="4">
        <v>11</v>
      </c>
      <c r="B15" s="38"/>
      <c r="C15" s="38"/>
      <c r="D15" s="38"/>
      <c r="E15" s="38"/>
      <c r="F15" s="38" t="s">
        <v>6</v>
      </c>
      <c r="G15" s="38"/>
      <c r="H15" s="38"/>
    </row>
    <row r="16" spans="1:14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 t="s">
        <v>2</v>
      </c>
      <c r="G17" s="38"/>
      <c r="H17" s="38" t="s">
        <v>2</v>
      </c>
    </row>
    <row r="18" spans="1:8" x14ac:dyDescent="0.25">
      <c r="A18" s="4">
        <v>14</v>
      </c>
      <c r="B18" s="38"/>
      <c r="C18" s="38"/>
      <c r="D18" s="38"/>
      <c r="E18" s="38"/>
      <c r="F18" s="38"/>
      <c r="G18" s="38" t="s">
        <v>6</v>
      </c>
      <c r="H18" s="38" t="s">
        <v>6</v>
      </c>
    </row>
    <row r="19" spans="1:8" x14ac:dyDescent="0.25">
      <c r="A19" s="4">
        <v>15</v>
      </c>
      <c r="B19" s="38"/>
      <c r="C19" s="38"/>
      <c r="D19" s="38"/>
      <c r="E19" s="38" t="s">
        <v>2</v>
      </c>
      <c r="F19" s="38"/>
      <c r="G19" s="38"/>
      <c r="H19" s="38"/>
    </row>
    <row r="20" spans="1:8" x14ac:dyDescent="0.25">
      <c r="A20" s="4">
        <v>16</v>
      </c>
      <c r="B20" s="38"/>
      <c r="C20" s="38"/>
      <c r="D20" s="38"/>
      <c r="E20" s="38"/>
      <c r="F20" s="38" t="s">
        <v>5</v>
      </c>
      <c r="G20" s="38" t="s">
        <v>5</v>
      </c>
      <c r="H20" s="38" t="s">
        <v>5</v>
      </c>
    </row>
    <row r="21" spans="1:8" x14ac:dyDescent="0.25">
      <c r="A21" s="4">
        <v>17</v>
      </c>
      <c r="B21" s="38"/>
      <c r="C21" s="38"/>
      <c r="D21" s="38"/>
      <c r="E21" s="38"/>
      <c r="F21" s="38" t="s">
        <v>2</v>
      </c>
      <c r="G21" s="38"/>
      <c r="H21" s="38"/>
    </row>
    <row r="22" spans="1:8" x14ac:dyDescent="0.25">
      <c r="A22" s="4">
        <v>18</v>
      </c>
      <c r="B22" s="38"/>
      <c r="C22" s="38"/>
      <c r="D22" s="38"/>
      <c r="E22" s="38"/>
      <c r="F22" s="38"/>
      <c r="G22" s="38"/>
      <c r="H22" s="38" t="s">
        <v>6</v>
      </c>
    </row>
    <row r="23" spans="1:8" x14ac:dyDescent="0.25">
      <c r="A23" s="4">
        <v>19</v>
      </c>
      <c r="B23" s="38"/>
      <c r="C23" s="38"/>
      <c r="D23" s="38"/>
      <c r="E23" s="38"/>
      <c r="F23" s="38"/>
      <c r="G23" s="38" t="s">
        <v>2</v>
      </c>
      <c r="H23" s="38"/>
    </row>
    <row r="24" spans="1:8" x14ac:dyDescent="0.25">
      <c r="A24" s="4">
        <v>20</v>
      </c>
      <c r="B24" s="38"/>
      <c r="C24" s="38"/>
      <c r="D24" s="38"/>
      <c r="E24" s="38"/>
      <c r="F24" s="38" t="s">
        <v>6</v>
      </c>
      <c r="G24" s="38"/>
      <c r="H24" s="38"/>
    </row>
    <row r="25" spans="1:8" x14ac:dyDescent="0.25">
      <c r="A25" s="4">
        <v>21</v>
      </c>
      <c r="B25" s="38"/>
      <c r="C25" s="38"/>
      <c r="D25" s="38"/>
      <c r="E25" s="38"/>
      <c r="F25" s="38"/>
      <c r="G25" s="38" t="s">
        <v>2</v>
      </c>
      <c r="H25" s="38"/>
    </row>
    <row r="26" spans="1:8" x14ac:dyDescent="0.25">
      <c r="A26" s="4">
        <v>22</v>
      </c>
      <c r="B26" s="38"/>
      <c r="C26" s="38" t="s">
        <v>7</v>
      </c>
      <c r="D26" s="38" t="s">
        <v>2</v>
      </c>
      <c r="E26" s="38"/>
      <c r="F26" s="38"/>
      <c r="G26" s="38"/>
      <c r="H26" s="38" t="s">
        <v>2</v>
      </c>
    </row>
    <row r="27" spans="1:8" x14ac:dyDescent="0.25">
      <c r="A27" s="4">
        <v>23</v>
      </c>
      <c r="B27" s="38"/>
      <c r="C27" s="38"/>
      <c r="D27" s="38"/>
      <c r="E27" s="38"/>
      <c r="F27" s="38" t="s">
        <v>6</v>
      </c>
      <c r="G27" s="38" t="s">
        <v>2</v>
      </c>
      <c r="H27" s="38"/>
    </row>
    <row r="28" spans="1:8" x14ac:dyDescent="0.25">
      <c r="A28" s="4">
        <v>24</v>
      </c>
      <c r="B28" s="38"/>
      <c r="C28" s="38"/>
      <c r="D28" s="38"/>
      <c r="E28" s="38"/>
      <c r="F28" s="38"/>
      <c r="G28" s="38"/>
      <c r="H28" s="38" t="s">
        <v>6</v>
      </c>
    </row>
    <row r="29" spans="1:8" x14ac:dyDescent="0.25">
      <c r="A29" s="4">
        <v>25</v>
      </c>
      <c r="B29" s="38"/>
      <c r="C29" s="38"/>
      <c r="D29" s="38"/>
      <c r="E29" s="38" t="s">
        <v>2</v>
      </c>
      <c r="F29" s="38" t="s">
        <v>2</v>
      </c>
      <c r="G29" s="38" t="s">
        <v>2</v>
      </c>
      <c r="H29" s="38" t="s">
        <v>2</v>
      </c>
    </row>
    <row r="30" spans="1:8" x14ac:dyDescent="0.25">
      <c r="A30" s="4">
        <v>26</v>
      </c>
      <c r="B30" s="38"/>
      <c r="C30" s="38"/>
      <c r="D30" s="38"/>
      <c r="E30" s="38"/>
      <c r="F30" s="38"/>
      <c r="G30" s="38"/>
      <c r="H30" s="38" t="s">
        <v>6</v>
      </c>
    </row>
    <row r="31" spans="1:8" x14ac:dyDescent="0.25">
      <c r="A31" s="4">
        <v>27</v>
      </c>
      <c r="B31" s="38"/>
      <c r="C31" s="38"/>
      <c r="D31" s="38"/>
      <c r="E31" s="38"/>
      <c r="F31" s="38"/>
      <c r="G31" s="38" t="s">
        <v>2</v>
      </c>
      <c r="H31" s="38"/>
    </row>
    <row r="32" spans="1:8" x14ac:dyDescent="0.25">
      <c r="A32" s="4">
        <v>28</v>
      </c>
      <c r="B32" s="38"/>
      <c r="C32" s="38"/>
      <c r="D32" s="38"/>
      <c r="E32" s="38" t="s">
        <v>7</v>
      </c>
      <c r="F32" s="38" t="s">
        <v>7</v>
      </c>
      <c r="G32" s="38" t="s">
        <v>2</v>
      </c>
      <c r="H32" s="38" t="s">
        <v>2</v>
      </c>
    </row>
    <row r="33" spans="1:8" x14ac:dyDescent="0.25">
      <c r="A33" s="4">
        <v>29</v>
      </c>
      <c r="B33" s="38"/>
      <c r="C33" s="38"/>
      <c r="D33" s="38"/>
      <c r="E33" s="38" t="s">
        <v>2</v>
      </c>
      <c r="F33" s="38" t="s">
        <v>2</v>
      </c>
      <c r="G33" s="38" t="s">
        <v>2</v>
      </c>
      <c r="H33" s="38" t="s">
        <v>2</v>
      </c>
    </row>
    <row r="34" spans="1:8" x14ac:dyDescent="0.25">
      <c r="A34" s="4">
        <v>30</v>
      </c>
      <c r="B34" s="38"/>
      <c r="C34" s="38"/>
      <c r="D34" s="38"/>
      <c r="E34" s="38"/>
      <c r="F34" s="38" t="s">
        <v>2</v>
      </c>
      <c r="G34" s="38"/>
      <c r="H34" s="38"/>
    </row>
    <row r="35" spans="1:8" x14ac:dyDescent="0.25">
      <c r="A35" s="4">
        <v>31</v>
      </c>
      <c r="B35" s="38"/>
      <c r="C35" s="38"/>
      <c r="D35" s="38"/>
      <c r="E35" s="38"/>
      <c r="F35" s="38"/>
      <c r="G35" s="38" t="s">
        <v>2</v>
      </c>
      <c r="H35" s="38"/>
    </row>
    <row r="36" spans="1:8" x14ac:dyDescent="0.25">
      <c r="A36" s="4">
        <v>32</v>
      </c>
      <c r="B36" s="38"/>
      <c r="C36" s="38"/>
      <c r="D36" s="38"/>
      <c r="E36" s="38"/>
      <c r="F36" s="38"/>
      <c r="G36" s="38"/>
      <c r="H36" s="38" t="s">
        <v>7</v>
      </c>
    </row>
    <row r="37" spans="1:8" x14ac:dyDescent="0.25">
      <c r="A37" s="4">
        <v>33</v>
      </c>
      <c r="B37" s="38"/>
      <c r="C37" s="38"/>
      <c r="D37" s="38"/>
      <c r="E37" s="38"/>
      <c r="F37" s="38" t="s">
        <v>5</v>
      </c>
      <c r="G37" s="38"/>
      <c r="H37" s="38"/>
    </row>
    <row r="38" spans="1:8" x14ac:dyDescent="0.25">
      <c r="A38" s="4">
        <v>34</v>
      </c>
      <c r="B38" s="38" t="s">
        <v>7</v>
      </c>
      <c r="C38" s="38" t="s">
        <v>4</v>
      </c>
      <c r="D38" s="38"/>
      <c r="E38" s="38"/>
      <c r="F38" s="38"/>
      <c r="G38" s="38" t="s">
        <v>2</v>
      </c>
      <c r="H38" s="38"/>
    </row>
    <row r="39" spans="1:8" x14ac:dyDescent="0.25">
      <c r="A39" s="4">
        <v>35</v>
      </c>
      <c r="B39" s="38"/>
      <c r="C39" s="38"/>
      <c r="D39" s="38"/>
      <c r="E39" s="38"/>
      <c r="F39" s="38"/>
      <c r="G39" s="38"/>
      <c r="H39" s="38"/>
    </row>
    <row r="40" spans="1:8" x14ac:dyDescent="0.25">
      <c r="A40" s="4">
        <v>36</v>
      </c>
      <c r="B40" s="38"/>
      <c r="C40" s="38"/>
      <c r="D40" s="38"/>
      <c r="E40" s="38"/>
      <c r="F40" s="38"/>
      <c r="G40" s="38"/>
      <c r="H40" s="38"/>
    </row>
    <row r="41" spans="1:8" x14ac:dyDescent="0.25">
      <c r="A41" s="4">
        <v>37</v>
      </c>
      <c r="B41" s="38"/>
      <c r="C41" s="38"/>
      <c r="D41" s="38"/>
      <c r="E41" s="38"/>
      <c r="F41" s="38"/>
      <c r="G41" s="38"/>
      <c r="H41" s="38" t="s">
        <v>2</v>
      </c>
    </row>
    <row r="42" spans="1:8" x14ac:dyDescent="0.25">
      <c r="A42" s="4">
        <v>38</v>
      </c>
      <c r="B42" s="38"/>
      <c r="C42" s="38" t="s">
        <v>2</v>
      </c>
      <c r="D42" s="38"/>
      <c r="E42" s="38"/>
      <c r="F42" s="38"/>
      <c r="G42" s="38" t="s">
        <v>5</v>
      </c>
      <c r="H42" s="38" t="s">
        <v>5</v>
      </c>
    </row>
    <row r="43" spans="1:8" x14ac:dyDescent="0.25">
      <c r="A43" s="4">
        <v>39</v>
      </c>
      <c r="B43" s="38"/>
      <c r="C43" s="38"/>
      <c r="D43" s="38"/>
      <c r="E43" s="38"/>
      <c r="F43" s="38"/>
      <c r="G43" s="38"/>
      <c r="H43" s="38" t="s">
        <v>2</v>
      </c>
    </row>
    <row r="44" spans="1:8" x14ac:dyDescent="0.25">
      <c r="A44" s="4">
        <v>40</v>
      </c>
      <c r="B44" s="38"/>
      <c r="C44" s="38"/>
      <c r="D44" s="38"/>
      <c r="E44" s="38"/>
      <c r="F44" s="38"/>
      <c r="G44" s="38"/>
      <c r="H44" s="38"/>
    </row>
    <row r="45" spans="1:8" x14ac:dyDescent="0.25">
      <c r="A45" s="4">
        <v>41</v>
      </c>
      <c r="B45" s="38"/>
      <c r="C45" s="38" t="s">
        <v>3</v>
      </c>
      <c r="D45" s="38"/>
      <c r="E45" s="38"/>
      <c r="F45" s="38"/>
      <c r="G45" s="38"/>
      <c r="H45" s="38" t="s">
        <v>2</v>
      </c>
    </row>
    <row r="46" spans="1:8" x14ac:dyDescent="0.25">
      <c r="A46" s="4">
        <v>42</v>
      </c>
      <c r="B46" s="38"/>
      <c r="C46" s="38"/>
      <c r="D46" s="38"/>
      <c r="E46" s="38" t="s">
        <v>5</v>
      </c>
      <c r="F46" s="38"/>
      <c r="G46" s="38"/>
      <c r="H46" s="38"/>
    </row>
    <row r="47" spans="1:8" x14ac:dyDescent="0.25">
      <c r="A47" s="4">
        <v>43</v>
      </c>
      <c r="B47" s="38"/>
      <c r="C47" s="38"/>
      <c r="D47" s="38"/>
      <c r="E47" s="38" t="s">
        <v>2</v>
      </c>
      <c r="F47" s="38"/>
      <c r="G47" s="38" t="s">
        <v>2</v>
      </c>
      <c r="H47" s="38"/>
    </row>
    <row r="48" spans="1:8" x14ac:dyDescent="0.25">
      <c r="A48" s="4">
        <v>44</v>
      </c>
      <c r="B48" s="38"/>
      <c r="C48" s="38"/>
      <c r="D48" s="38"/>
      <c r="E48" s="38"/>
      <c r="F48" s="38" t="s">
        <v>6</v>
      </c>
      <c r="G48" s="38"/>
      <c r="H48" s="38"/>
    </row>
    <row r="49" spans="1:8" x14ac:dyDescent="0.25">
      <c r="A49" s="4">
        <v>45</v>
      </c>
      <c r="B49" s="38"/>
      <c r="C49" s="38"/>
      <c r="D49" s="38"/>
      <c r="E49" s="38"/>
      <c r="F49" s="38" t="s">
        <v>2</v>
      </c>
      <c r="G49" s="38"/>
      <c r="H49" s="38" t="s">
        <v>2</v>
      </c>
    </row>
    <row r="50" spans="1:8" x14ac:dyDescent="0.25">
      <c r="A50" s="4">
        <v>46</v>
      </c>
      <c r="B50" s="38"/>
      <c r="C50" s="38"/>
      <c r="D50" s="38"/>
      <c r="E50" s="38"/>
      <c r="F50" s="38"/>
      <c r="G50" s="38" t="s">
        <v>2</v>
      </c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/>
      <c r="D54" s="38"/>
      <c r="E54" s="38"/>
      <c r="F54" s="38" t="s">
        <v>2</v>
      </c>
      <c r="G54" s="38"/>
      <c r="H54" s="38"/>
    </row>
    <row r="55" spans="1:8" x14ac:dyDescent="0.25">
      <c r="A55" s="4">
        <v>51</v>
      </c>
      <c r="B55" s="38"/>
      <c r="C55" s="38"/>
      <c r="D55" s="38"/>
      <c r="E55" s="38"/>
      <c r="F55" s="38"/>
      <c r="G55" s="38" t="s">
        <v>2</v>
      </c>
      <c r="H55" s="38"/>
    </row>
    <row r="56" spans="1:8" x14ac:dyDescent="0.25">
      <c r="A56" s="4">
        <v>52</v>
      </c>
      <c r="B56" s="38"/>
      <c r="C56" s="38"/>
      <c r="D56" s="38"/>
      <c r="E56" s="38"/>
      <c r="F56" s="38" t="s">
        <v>6</v>
      </c>
      <c r="G56" s="38" t="s">
        <v>6</v>
      </c>
      <c r="H56" s="38" t="s">
        <v>6</v>
      </c>
    </row>
    <row r="57" spans="1:8" x14ac:dyDescent="0.25">
      <c r="A57" s="4">
        <v>53</v>
      </c>
      <c r="B57" s="38"/>
      <c r="C57" s="38"/>
      <c r="D57" s="38"/>
      <c r="E57" s="38"/>
      <c r="F57" s="38" t="s">
        <v>2</v>
      </c>
      <c r="G57" s="38" t="s">
        <v>2</v>
      </c>
      <c r="H57" s="38"/>
    </row>
    <row r="58" spans="1:8" x14ac:dyDescent="0.25">
      <c r="A58" s="4">
        <v>54</v>
      </c>
      <c r="B58" s="38" t="s">
        <v>6</v>
      </c>
      <c r="C58" s="38" t="s">
        <v>7</v>
      </c>
      <c r="D58" s="38" t="s">
        <v>2</v>
      </c>
      <c r="E58" s="38"/>
      <c r="F58" s="38"/>
      <c r="G58" s="38"/>
      <c r="H58" s="38" t="s">
        <v>2</v>
      </c>
    </row>
    <row r="59" spans="1:8" x14ac:dyDescent="0.25">
      <c r="A59" s="4">
        <v>55</v>
      </c>
      <c r="B59" s="38" t="s">
        <v>6</v>
      </c>
      <c r="C59" s="38"/>
      <c r="D59" s="38"/>
      <c r="E59" s="38"/>
      <c r="F59" s="38" t="s">
        <v>2</v>
      </c>
      <c r="G59" s="38"/>
      <c r="H59" s="38" t="s">
        <v>6</v>
      </c>
    </row>
    <row r="60" spans="1:8" x14ac:dyDescent="0.25">
      <c r="A60" s="4">
        <v>56</v>
      </c>
      <c r="B60" s="38"/>
      <c r="C60" s="38"/>
      <c r="D60" s="38"/>
      <c r="E60" s="38" t="s">
        <v>7</v>
      </c>
      <c r="F60" s="38"/>
      <c r="G60" s="38" t="s">
        <v>2</v>
      </c>
      <c r="H60" s="38"/>
    </row>
    <row r="61" spans="1:8" x14ac:dyDescent="0.25">
      <c r="A61" s="18">
        <v>73</v>
      </c>
      <c r="B61" s="38"/>
      <c r="C61" s="38"/>
      <c r="D61" s="38"/>
      <c r="E61" s="38"/>
      <c r="F61" s="38" t="s">
        <v>2</v>
      </c>
      <c r="G61" s="38"/>
      <c r="H61" s="38" t="s">
        <v>7</v>
      </c>
    </row>
    <row r="62" spans="1:8" x14ac:dyDescent="0.25">
      <c r="A62" s="18">
        <v>74</v>
      </c>
      <c r="B62" s="38"/>
      <c r="C62" s="38"/>
      <c r="D62" s="38"/>
      <c r="E62" s="38"/>
      <c r="F62" s="38"/>
      <c r="G62" s="38" t="s">
        <v>6</v>
      </c>
      <c r="H62" s="38"/>
    </row>
    <row r="63" spans="1:8" x14ac:dyDescent="0.25">
      <c r="A63" s="18">
        <v>101</v>
      </c>
      <c r="B63" s="39"/>
      <c r="C63" s="38"/>
      <c r="D63" s="38"/>
      <c r="E63" s="38"/>
      <c r="F63" s="38" t="s">
        <v>2</v>
      </c>
      <c r="G63" s="38"/>
      <c r="H63" s="38"/>
    </row>
    <row r="64" spans="1:8" x14ac:dyDescent="0.25">
      <c r="A64" s="18">
        <v>102</v>
      </c>
      <c r="B64" s="38"/>
      <c r="C64" s="38"/>
      <c r="D64" s="38"/>
      <c r="E64" s="38"/>
      <c r="F64" s="38"/>
      <c r="G64" s="38" t="s">
        <v>2</v>
      </c>
      <c r="H64" s="38"/>
    </row>
    <row r="65" spans="1:8" x14ac:dyDescent="0.25">
      <c r="A65" s="18">
        <v>103</v>
      </c>
      <c r="B65" s="38"/>
      <c r="C65" s="38"/>
      <c r="D65" s="38"/>
      <c r="E65" s="38"/>
      <c r="F65" s="38"/>
      <c r="G65" s="38" t="s">
        <v>2</v>
      </c>
      <c r="H65" s="38"/>
    </row>
    <row r="66" spans="1:8" x14ac:dyDescent="0.25">
      <c r="A66" s="18">
        <v>104</v>
      </c>
      <c r="B66" s="38"/>
      <c r="C66" s="38"/>
      <c r="D66" s="38"/>
      <c r="E66" s="38"/>
      <c r="F66" s="38" t="s">
        <v>2</v>
      </c>
      <c r="G66" s="38"/>
      <c r="H66" s="38"/>
    </row>
    <row r="67" spans="1:8" x14ac:dyDescent="0.25">
      <c r="A67" s="18">
        <v>105</v>
      </c>
      <c r="B67" s="38"/>
      <c r="C67" s="38"/>
      <c r="D67" s="38"/>
      <c r="E67" s="38"/>
      <c r="F67" s="38"/>
      <c r="G67" s="38" t="s">
        <v>2</v>
      </c>
      <c r="H67" s="38"/>
    </row>
    <row r="68" spans="1:8" x14ac:dyDescent="0.25">
      <c r="A68" s="18">
        <v>106</v>
      </c>
      <c r="B68" s="38"/>
      <c r="C68" s="38"/>
      <c r="D68" s="38"/>
      <c r="E68" s="38" t="s">
        <v>2</v>
      </c>
      <c r="F68" s="38"/>
      <c r="G68" s="38" t="s">
        <v>2</v>
      </c>
      <c r="H68" s="38" t="s">
        <v>2</v>
      </c>
    </row>
    <row r="69" spans="1:8" x14ac:dyDescent="0.25">
      <c r="A69" s="18">
        <v>107</v>
      </c>
      <c r="B69" s="38"/>
      <c r="C69" s="38"/>
      <c r="D69" s="38"/>
      <c r="E69" s="38"/>
      <c r="F69" s="38" t="s">
        <v>2</v>
      </c>
      <c r="G69" s="38"/>
      <c r="H69" s="38"/>
    </row>
    <row r="70" spans="1:8" x14ac:dyDescent="0.25">
      <c r="A70" s="18">
        <v>108</v>
      </c>
      <c r="B70" s="38"/>
      <c r="C70" s="38"/>
      <c r="D70" s="38"/>
      <c r="E70" s="38"/>
      <c r="F70" s="38"/>
      <c r="G70" s="38" t="s">
        <v>2</v>
      </c>
      <c r="H70" s="38"/>
    </row>
    <row r="71" spans="1:8" x14ac:dyDescent="0.25">
      <c r="A71" s="18">
        <v>109</v>
      </c>
      <c r="B71" s="38"/>
      <c r="C71" s="38"/>
      <c r="D71" s="38"/>
      <c r="E71" s="38"/>
      <c r="F71" s="38"/>
      <c r="G71" s="38"/>
      <c r="H71" s="38" t="s">
        <v>2</v>
      </c>
    </row>
    <row r="72" spans="1:8" x14ac:dyDescent="0.25">
      <c r="A72" s="18">
        <v>110</v>
      </c>
      <c r="B72" s="38"/>
      <c r="C72" s="38"/>
      <c r="D72" s="38"/>
      <c r="E72" s="38"/>
      <c r="F72" s="38" t="s">
        <v>2</v>
      </c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/>
      <c r="E74" s="38"/>
      <c r="F74" s="38"/>
      <c r="G74" s="38" t="s">
        <v>2</v>
      </c>
      <c r="H74" s="38"/>
    </row>
    <row r="75" spans="1:8" x14ac:dyDescent="0.25">
      <c r="A75" s="18">
        <v>113</v>
      </c>
      <c r="B75" s="38"/>
      <c r="C75" s="38" t="s">
        <v>5</v>
      </c>
      <c r="D75" s="38" t="s">
        <v>5</v>
      </c>
      <c r="E75" s="38"/>
      <c r="F75" s="38" t="s">
        <v>2</v>
      </c>
      <c r="G75" s="38"/>
      <c r="H75" s="38"/>
    </row>
    <row r="76" spans="1:8" x14ac:dyDescent="0.25">
      <c r="A76" s="18">
        <v>114</v>
      </c>
      <c r="B76" s="38"/>
      <c r="C76" s="38"/>
      <c r="D76" s="38"/>
      <c r="E76" s="38"/>
      <c r="F76" s="38"/>
      <c r="G76" s="38"/>
      <c r="H76" s="38" t="s">
        <v>2</v>
      </c>
    </row>
    <row r="77" spans="1:8" x14ac:dyDescent="0.25">
      <c r="A77" s="18">
        <v>115</v>
      </c>
      <c r="B77" s="38"/>
      <c r="C77" s="38" t="s">
        <v>2</v>
      </c>
      <c r="D77" s="38"/>
      <c r="E77" s="38"/>
      <c r="F77" s="38" t="s">
        <v>2</v>
      </c>
      <c r="G77" s="38"/>
      <c r="H77" s="38"/>
    </row>
    <row r="78" spans="1:8" x14ac:dyDescent="0.25">
      <c r="A78" s="18">
        <v>116</v>
      </c>
      <c r="B78" s="38"/>
      <c r="C78" s="38"/>
      <c r="D78" s="38"/>
      <c r="E78" s="38"/>
      <c r="F78" s="38" t="s">
        <v>2</v>
      </c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 t="s">
        <v>2</v>
      </c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 t="s">
        <v>2</v>
      </c>
    </row>
    <row r="81" spans="1:8" x14ac:dyDescent="0.25">
      <c r="A81" s="18">
        <v>119</v>
      </c>
      <c r="B81" s="38"/>
      <c r="C81" s="38"/>
      <c r="D81" s="38"/>
      <c r="E81" s="38"/>
      <c r="F81" s="38" t="s">
        <v>2</v>
      </c>
      <c r="G81" s="38"/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/>
      <c r="D90" s="38" t="s">
        <v>2</v>
      </c>
      <c r="E90" s="38"/>
      <c r="F90" s="38"/>
      <c r="G90" s="38"/>
      <c r="H90" s="38"/>
    </row>
    <row r="91" spans="1:8" x14ac:dyDescent="0.25">
      <c r="A91" s="18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18">
        <v>130</v>
      </c>
      <c r="B92" s="38"/>
      <c r="C92" s="38"/>
      <c r="D92" s="38"/>
      <c r="E92" s="38" t="s">
        <v>2</v>
      </c>
      <c r="F92" s="38"/>
      <c r="G92" s="38"/>
      <c r="H92" s="38" t="s">
        <v>2</v>
      </c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1217" priority="18" operator="equal">
      <formula>"Energia"</formula>
    </cfRule>
    <cfRule type="cellIs" dxfId="1216" priority="20" operator="equal">
      <formula>"Operação"</formula>
    </cfRule>
    <cfRule type="cellIs" dxfId="1215" priority="21" operator="equal">
      <formula>"Chuva"</formula>
    </cfRule>
    <cfRule type="cellIs" dxfId="1214" priority="22" operator="equal">
      <formula>"Elétrico"</formula>
    </cfRule>
    <cfRule type="cellIs" dxfId="1213" priority="23" operator="equal">
      <formula>"Mecânico"</formula>
    </cfRule>
    <cfRule type="cellIs" dxfId="1212" priority="24" operator="equal">
      <formula>"Ok"</formula>
    </cfRule>
  </conditionalFormatting>
  <conditionalFormatting sqref="B61:I62 I5:I60 B63:H95">
    <cfRule type="cellIs" dxfId="1211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210" priority="16" operator="equal">
      <formula>"Energia"</formula>
    </cfRule>
  </conditionalFormatting>
  <conditionalFormatting sqref="B5:E60 G5:H60">
    <cfRule type="cellIs" dxfId="1209" priority="9" operator="equal">
      <formula>"Energia"</formula>
    </cfRule>
    <cfRule type="cellIs" dxfId="1208" priority="11" operator="equal">
      <formula>"Operação"</formula>
    </cfRule>
    <cfRule type="cellIs" dxfId="1207" priority="12" operator="equal">
      <formula>"Chuva"</formula>
    </cfRule>
    <cfRule type="cellIs" dxfId="1206" priority="13" operator="equal">
      <formula>"Elétrico"</formula>
    </cfRule>
    <cfRule type="cellIs" dxfId="1205" priority="14" operator="equal">
      <formula>"Mecânico"</formula>
    </cfRule>
    <cfRule type="cellIs" dxfId="1204" priority="15" operator="equal">
      <formula>"Ok"</formula>
    </cfRule>
  </conditionalFormatting>
  <conditionalFormatting sqref="B5:E60 G5:H60">
    <cfRule type="cellIs" dxfId="1203" priority="10" operator="equal">
      <formula>"Feito"</formula>
    </cfRule>
  </conditionalFormatting>
  <conditionalFormatting sqref="F5:F11">
    <cfRule type="cellIs" dxfId="1202" priority="8" operator="equal">
      <formula>"Energia"</formula>
    </cfRule>
  </conditionalFormatting>
  <conditionalFormatting sqref="F5:F60">
    <cfRule type="cellIs" dxfId="1201" priority="1" operator="equal">
      <formula>"Energia"</formula>
    </cfRule>
    <cfRule type="cellIs" dxfId="1200" priority="3" operator="equal">
      <formula>"Operação"</formula>
    </cfRule>
    <cfRule type="cellIs" dxfId="1199" priority="4" operator="equal">
      <formula>"Chuva"</formula>
    </cfRule>
    <cfRule type="cellIs" dxfId="1198" priority="5" operator="equal">
      <formula>"Elétrico"</formula>
    </cfRule>
    <cfRule type="cellIs" dxfId="1197" priority="6" operator="equal">
      <formula>"Mecânico"</formula>
    </cfRule>
    <cfRule type="cellIs" dxfId="1196" priority="7" operator="equal">
      <formula>"Ok"</formula>
    </cfRule>
  </conditionalFormatting>
  <conditionalFormatting sqref="F5:F60">
    <cfRule type="cellIs" dxfId="1195" priority="2" operator="equal">
      <formula>"Feito"</formula>
    </cfRule>
  </conditionalFormatting>
  <dataValidations count="1">
    <dataValidation type="list" allowBlank="1" showInputMessage="1" showErrorMessage="1" sqref="B61:I62 B5:J60 B63:H95" xr:uid="{358E2588-027E-4D75-A5EB-365CCA021F8A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99E6-CF6D-46B7-AFA3-408CDE42E8B3}">
  <dimension ref="A1:M95"/>
  <sheetViews>
    <sheetView zoomScale="110" zoomScaleNormal="110" workbookViewId="0">
      <pane ySplit="4" topLeftCell="A5" activePane="bottomLeft" state="frozen"/>
      <selection pane="bottomLeft" activeCell="M14" sqref="M1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3" max="13" width="10.85546875" bestFit="1" customWidth="1"/>
    <col min="17" max="17" width="8.5703125" customWidth="1"/>
  </cols>
  <sheetData>
    <row r="1" spans="1:13" x14ac:dyDescent="0.25">
      <c r="A1" s="70" t="s">
        <v>35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4" t="s">
        <v>16</v>
      </c>
      <c r="B3" s="23">
        <v>44620</v>
      </c>
      <c r="C3" s="23">
        <f>B3+1</f>
        <v>44621</v>
      </c>
      <c r="D3" s="23">
        <f t="shared" ref="D3:H3" si="0">C3+1</f>
        <v>44622</v>
      </c>
      <c r="E3" s="23">
        <f t="shared" si="0"/>
        <v>44623</v>
      </c>
      <c r="F3" s="23">
        <f t="shared" si="0"/>
        <v>44624</v>
      </c>
      <c r="G3" s="23">
        <f t="shared" si="0"/>
        <v>44625</v>
      </c>
      <c r="H3" s="25">
        <f t="shared" si="0"/>
        <v>44626</v>
      </c>
      <c r="I3" s="3"/>
    </row>
    <row r="4" spans="1:13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</row>
    <row r="5" spans="1:13" x14ac:dyDescent="0.25">
      <c r="A5" s="4">
        <v>1</v>
      </c>
      <c r="B5" s="38"/>
      <c r="C5" s="38" t="s">
        <v>2</v>
      </c>
      <c r="D5" s="38"/>
      <c r="E5" s="38" t="s">
        <v>3</v>
      </c>
      <c r="F5" s="38"/>
      <c r="G5" s="38" t="s">
        <v>2</v>
      </c>
      <c r="H5" s="38"/>
      <c r="J5" s="48" t="s">
        <v>2</v>
      </c>
      <c r="K5" s="33">
        <f>COUNTIF($B$5:$H$95,J5)</f>
        <v>137</v>
      </c>
      <c r="L5" s="34">
        <f>K5/$K$11</f>
        <v>0.68159203980099503</v>
      </c>
      <c r="M5" s="52">
        <v>44620</v>
      </c>
    </row>
    <row r="6" spans="1:13" x14ac:dyDescent="0.25">
      <c r="A6" s="4">
        <v>2</v>
      </c>
      <c r="B6" s="38" t="s">
        <v>2</v>
      </c>
      <c r="C6" s="38" t="s">
        <v>2</v>
      </c>
      <c r="D6" s="38" t="s">
        <v>2</v>
      </c>
      <c r="E6" s="38" t="s">
        <v>3</v>
      </c>
      <c r="F6" s="38"/>
      <c r="G6" s="38" t="s">
        <v>2</v>
      </c>
      <c r="H6" s="38"/>
      <c r="J6" s="42" t="s">
        <v>5</v>
      </c>
      <c r="K6">
        <f>COUNTIF($B$5:$H$95,J6)</f>
        <v>17</v>
      </c>
      <c r="L6" s="35">
        <f t="shared" ref="L6:L9" si="2">K6/$K$11</f>
        <v>8.45771144278607E-2</v>
      </c>
    </row>
    <row r="7" spans="1:13" x14ac:dyDescent="0.25">
      <c r="A7" s="4">
        <v>3</v>
      </c>
      <c r="B7" s="38" t="s">
        <v>2</v>
      </c>
      <c r="C7" s="38" t="s">
        <v>2</v>
      </c>
      <c r="D7" s="38" t="s">
        <v>2</v>
      </c>
      <c r="E7" s="38" t="s">
        <v>2</v>
      </c>
      <c r="F7" s="38" t="s">
        <v>2</v>
      </c>
      <c r="G7" s="38" t="s">
        <v>2</v>
      </c>
      <c r="H7" s="38" t="s">
        <v>2</v>
      </c>
      <c r="J7" s="46" t="s">
        <v>6</v>
      </c>
      <c r="K7">
        <f t="shared" ref="K7:K10" si="3">COUNTIF($B$5:$H$95,J7)</f>
        <v>14</v>
      </c>
      <c r="L7" s="35">
        <f t="shared" si="2"/>
        <v>6.965174129353234E-2</v>
      </c>
    </row>
    <row r="8" spans="1:13" x14ac:dyDescent="0.25">
      <c r="A8" s="4">
        <v>4</v>
      </c>
      <c r="B8" s="38"/>
      <c r="C8" s="38"/>
      <c r="D8" s="38"/>
      <c r="E8" s="38"/>
      <c r="F8" s="38"/>
      <c r="G8" s="38"/>
      <c r="H8" s="38"/>
      <c r="J8" s="47" t="s">
        <v>4</v>
      </c>
      <c r="K8">
        <f>COUNTIF($B$5:$H$95,J8)</f>
        <v>0</v>
      </c>
      <c r="L8" s="35">
        <f t="shared" si="2"/>
        <v>0</v>
      </c>
    </row>
    <row r="9" spans="1:13" x14ac:dyDescent="0.25">
      <c r="A9" s="4">
        <v>5</v>
      </c>
      <c r="B9" s="38"/>
      <c r="C9" s="38"/>
      <c r="D9" s="38" t="s">
        <v>5</v>
      </c>
      <c r="E9" s="38"/>
      <c r="F9" s="38"/>
      <c r="G9" s="38"/>
      <c r="H9" s="38"/>
      <c r="J9" s="45" t="s">
        <v>3</v>
      </c>
      <c r="K9">
        <f t="shared" si="3"/>
        <v>17</v>
      </c>
      <c r="L9" s="35">
        <f t="shared" si="2"/>
        <v>8.45771144278607E-2</v>
      </c>
    </row>
    <row r="10" spans="1:13" x14ac:dyDescent="0.25">
      <c r="A10" s="4">
        <v>6</v>
      </c>
      <c r="B10" s="38"/>
      <c r="C10" s="38"/>
      <c r="D10" s="38" t="s">
        <v>2</v>
      </c>
      <c r="E10" s="38"/>
      <c r="F10" s="38"/>
      <c r="G10" s="38"/>
      <c r="H10" s="38"/>
      <c r="J10" s="43" t="s">
        <v>7</v>
      </c>
      <c r="K10" s="36">
        <f t="shared" si="3"/>
        <v>16</v>
      </c>
      <c r="L10" s="37">
        <f>K10/$K$11</f>
        <v>7.9601990049751242E-2</v>
      </c>
    </row>
    <row r="11" spans="1:13" x14ac:dyDescent="0.25">
      <c r="A11" s="4">
        <v>7</v>
      </c>
      <c r="B11" s="38"/>
      <c r="C11" s="38"/>
      <c r="D11" s="38" t="s">
        <v>2</v>
      </c>
      <c r="E11" s="38"/>
      <c r="F11" s="38"/>
      <c r="G11" s="38"/>
      <c r="H11" s="38"/>
      <c r="J11" s="44" t="s">
        <v>17</v>
      </c>
      <c r="K11" s="11">
        <f>SUM(K5:K10)</f>
        <v>201</v>
      </c>
    </row>
    <row r="12" spans="1:13" x14ac:dyDescent="0.25">
      <c r="A12" s="4">
        <v>8</v>
      </c>
      <c r="B12" s="38"/>
      <c r="C12" s="38"/>
      <c r="D12" s="38"/>
      <c r="E12" s="38"/>
      <c r="F12" s="38"/>
      <c r="G12" s="38"/>
      <c r="H12" s="38"/>
    </row>
    <row r="13" spans="1:13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3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3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3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 t="s">
        <v>2</v>
      </c>
      <c r="D17" s="38"/>
      <c r="E17" s="38" t="s">
        <v>2</v>
      </c>
      <c r="F17" s="38"/>
      <c r="G17" s="38"/>
      <c r="H17" s="38"/>
    </row>
    <row r="18" spans="1:8" x14ac:dyDescent="0.25">
      <c r="A18" s="4">
        <v>14</v>
      </c>
      <c r="B18" s="38" t="s">
        <v>2</v>
      </c>
      <c r="C18" s="38"/>
      <c r="D18" s="38" t="s">
        <v>6</v>
      </c>
      <c r="E18" s="38"/>
      <c r="F18" s="38"/>
      <c r="G18" s="38"/>
      <c r="H18" s="38"/>
    </row>
    <row r="19" spans="1:8" x14ac:dyDescent="0.25">
      <c r="A19" s="4">
        <v>15</v>
      </c>
      <c r="B19" s="38" t="s">
        <v>2</v>
      </c>
      <c r="C19" s="38"/>
      <c r="D19" s="38"/>
      <c r="E19" s="38" t="s">
        <v>3</v>
      </c>
      <c r="F19" s="38"/>
      <c r="G19" s="38"/>
      <c r="H19" s="38"/>
    </row>
    <row r="20" spans="1:8" x14ac:dyDescent="0.25">
      <c r="A20" s="4">
        <v>16</v>
      </c>
      <c r="B20" s="38" t="s">
        <v>5</v>
      </c>
      <c r="C20" s="38" t="s">
        <v>5</v>
      </c>
      <c r="D20" s="38" t="s">
        <v>5</v>
      </c>
      <c r="E20" s="38" t="s">
        <v>3</v>
      </c>
      <c r="F20" s="38"/>
      <c r="G20" s="38"/>
      <c r="H20" s="38" t="s">
        <v>2</v>
      </c>
    </row>
    <row r="21" spans="1:8" x14ac:dyDescent="0.25">
      <c r="A21" s="4">
        <v>17</v>
      </c>
      <c r="B21" s="38" t="s">
        <v>2</v>
      </c>
      <c r="C21" s="38"/>
      <c r="D21" s="38"/>
      <c r="E21" s="38" t="s">
        <v>3</v>
      </c>
      <c r="F21" s="38"/>
      <c r="G21" s="38"/>
      <c r="H21" s="38" t="s">
        <v>2</v>
      </c>
    </row>
    <row r="22" spans="1:8" x14ac:dyDescent="0.25">
      <c r="A22" s="4">
        <v>18</v>
      </c>
      <c r="B22" s="38"/>
      <c r="C22" s="38"/>
      <c r="D22" s="38" t="s">
        <v>2</v>
      </c>
      <c r="E22" s="38" t="s">
        <v>2</v>
      </c>
      <c r="F22" s="38" t="s">
        <v>2</v>
      </c>
      <c r="G22" s="38"/>
      <c r="H22" s="38"/>
    </row>
    <row r="23" spans="1:8" x14ac:dyDescent="0.25">
      <c r="A23" s="4">
        <v>19</v>
      </c>
      <c r="B23" s="38"/>
      <c r="C23" s="38" t="s">
        <v>2</v>
      </c>
      <c r="D23" s="38"/>
      <c r="E23" s="38" t="s">
        <v>2</v>
      </c>
      <c r="F23" s="38"/>
      <c r="G23" s="38"/>
      <c r="H23" s="38" t="s">
        <v>2</v>
      </c>
    </row>
    <row r="24" spans="1:8" x14ac:dyDescent="0.25">
      <c r="A24" s="4">
        <v>20</v>
      </c>
      <c r="B24" s="38"/>
      <c r="C24" s="38" t="s">
        <v>2</v>
      </c>
      <c r="D24" s="38" t="s">
        <v>2</v>
      </c>
      <c r="E24" s="38" t="s">
        <v>3</v>
      </c>
      <c r="F24" s="38"/>
      <c r="G24" s="38"/>
      <c r="H24" s="38"/>
    </row>
    <row r="25" spans="1:8" x14ac:dyDescent="0.25">
      <c r="A25" s="4">
        <v>21</v>
      </c>
      <c r="B25" s="38" t="s">
        <v>2</v>
      </c>
      <c r="C25" s="38"/>
      <c r="D25" s="38"/>
      <c r="E25" s="38" t="s">
        <v>3</v>
      </c>
      <c r="F25" s="38"/>
      <c r="G25" s="38"/>
      <c r="H25" s="38" t="s">
        <v>2</v>
      </c>
    </row>
    <row r="26" spans="1:8" x14ac:dyDescent="0.25">
      <c r="A26" s="4">
        <v>22</v>
      </c>
      <c r="B26" s="38"/>
      <c r="C26" s="38"/>
      <c r="D26" s="38" t="s">
        <v>7</v>
      </c>
      <c r="E26" s="38"/>
      <c r="F26" s="38"/>
      <c r="G26" s="38" t="s">
        <v>7</v>
      </c>
      <c r="H26" s="38"/>
    </row>
    <row r="27" spans="1:8" x14ac:dyDescent="0.25">
      <c r="A27" s="4">
        <v>23</v>
      </c>
      <c r="B27" s="38" t="s">
        <v>2</v>
      </c>
      <c r="C27" s="38"/>
      <c r="D27" s="38"/>
      <c r="E27" s="38" t="s">
        <v>3</v>
      </c>
      <c r="F27" s="38"/>
      <c r="G27" s="38"/>
      <c r="H27" s="38"/>
    </row>
    <row r="28" spans="1:8" x14ac:dyDescent="0.25">
      <c r="A28" s="4">
        <v>24</v>
      </c>
      <c r="B28" s="38"/>
      <c r="C28" s="38"/>
      <c r="D28" s="38" t="s">
        <v>2</v>
      </c>
      <c r="E28" s="38"/>
      <c r="F28" s="38"/>
      <c r="G28" s="38"/>
      <c r="H28" s="38"/>
    </row>
    <row r="29" spans="1:8" x14ac:dyDescent="0.25">
      <c r="A29" s="4">
        <v>25</v>
      </c>
      <c r="B29" s="38" t="s">
        <v>6</v>
      </c>
      <c r="C29" s="38" t="s">
        <v>5</v>
      </c>
      <c r="D29" s="38" t="s">
        <v>2</v>
      </c>
      <c r="E29" s="38" t="s">
        <v>3</v>
      </c>
      <c r="F29" s="38" t="s">
        <v>2</v>
      </c>
      <c r="G29" s="38" t="s">
        <v>2</v>
      </c>
      <c r="H29" s="38" t="s">
        <v>2</v>
      </c>
    </row>
    <row r="30" spans="1:8" x14ac:dyDescent="0.25">
      <c r="A30" s="4">
        <v>26</v>
      </c>
      <c r="B30" s="38"/>
      <c r="C30" s="38"/>
      <c r="D30" s="38" t="s">
        <v>2</v>
      </c>
      <c r="E30" s="38"/>
      <c r="F30" s="38"/>
      <c r="G30" s="38" t="s">
        <v>2</v>
      </c>
      <c r="H30" s="38"/>
    </row>
    <row r="31" spans="1:8" x14ac:dyDescent="0.25">
      <c r="A31" s="4">
        <v>27</v>
      </c>
      <c r="B31" s="38"/>
      <c r="C31" s="38" t="s">
        <v>7</v>
      </c>
      <c r="D31" s="38" t="s">
        <v>2</v>
      </c>
      <c r="E31" s="38"/>
      <c r="F31" s="38"/>
      <c r="G31" s="38"/>
      <c r="H31" s="38" t="s">
        <v>2</v>
      </c>
    </row>
    <row r="32" spans="1:8" x14ac:dyDescent="0.25">
      <c r="A32" s="4">
        <v>28</v>
      </c>
      <c r="B32" s="38" t="s">
        <v>2</v>
      </c>
      <c r="C32" s="38"/>
      <c r="D32" s="38"/>
      <c r="E32" s="38" t="s">
        <v>3</v>
      </c>
      <c r="F32" s="38"/>
      <c r="G32" s="38"/>
      <c r="H32" s="38"/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3</v>
      </c>
      <c r="F33" s="38" t="s">
        <v>2</v>
      </c>
      <c r="G33" s="38" t="s">
        <v>2</v>
      </c>
      <c r="H33" s="38" t="s">
        <v>2</v>
      </c>
    </row>
    <row r="34" spans="1:8" x14ac:dyDescent="0.25">
      <c r="A34" s="4">
        <v>30</v>
      </c>
      <c r="B34" s="38" t="s">
        <v>6</v>
      </c>
      <c r="C34" s="38" t="s">
        <v>6</v>
      </c>
      <c r="D34" s="38" t="s">
        <v>5</v>
      </c>
      <c r="E34" s="38" t="s">
        <v>5</v>
      </c>
      <c r="F34" s="38"/>
      <c r="G34" s="38" t="s">
        <v>2</v>
      </c>
      <c r="H34" s="38"/>
    </row>
    <row r="35" spans="1:8" x14ac:dyDescent="0.25">
      <c r="A35" s="4">
        <v>31</v>
      </c>
      <c r="B35" s="38"/>
      <c r="C35" s="38" t="s">
        <v>2</v>
      </c>
      <c r="D35" s="38"/>
      <c r="E35" s="38"/>
      <c r="F35" s="38"/>
      <c r="G35" s="38"/>
      <c r="H35" s="38" t="s">
        <v>2</v>
      </c>
    </row>
    <row r="36" spans="1:8" x14ac:dyDescent="0.25">
      <c r="A36" s="4">
        <v>32</v>
      </c>
      <c r="B36" s="38" t="s">
        <v>7</v>
      </c>
      <c r="C36" s="38" t="s">
        <v>5</v>
      </c>
      <c r="D36" s="38" t="s">
        <v>7</v>
      </c>
      <c r="E36" s="38"/>
      <c r="F36" s="38"/>
      <c r="G36" s="38" t="s">
        <v>2</v>
      </c>
      <c r="H36" s="38" t="s">
        <v>2</v>
      </c>
    </row>
    <row r="37" spans="1:8" x14ac:dyDescent="0.25">
      <c r="A37" s="4">
        <v>33</v>
      </c>
      <c r="B37" s="38" t="s">
        <v>2</v>
      </c>
      <c r="C37" s="38"/>
      <c r="D37" s="38"/>
      <c r="E37" s="38" t="s">
        <v>3</v>
      </c>
      <c r="F37" s="38"/>
      <c r="G37" s="38" t="s">
        <v>6</v>
      </c>
      <c r="H37" s="38" t="s">
        <v>6</v>
      </c>
    </row>
    <row r="38" spans="1:8" x14ac:dyDescent="0.25">
      <c r="A38" s="4">
        <v>34</v>
      </c>
      <c r="B38" s="38" t="s">
        <v>7</v>
      </c>
      <c r="C38" s="38" t="s">
        <v>7</v>
      </c>
      <c r="D38" s="38" t="s">
        <v>7</v>
      </c>
      <c r="E38" s="38" t="s">
        <v>7</v>
      </c>
      <c r="F38" s="38" t="s">
        <v>7</v>
      </c>
      <c r="G38" s="38" t="s">
        <v>2</v>
      </c>
      <c r="H38" s="38"/>
    </row>
    <row r="39" spans="1:8" x14ac:dyDescent="0.25">
      <c r="A39" s="4">
        <v>35</v>
      </c>
      <c r="B39" s="38"/>
      <c r="C39" s="38"/>
      <c r="D39" s="38"/>
      <c r="E39" s="38"/>
      <c r="F39" s="38"/>
      <c r="G39" s="38"/>
      <c r="H39" s="38" t="s">
        <v>2</v>
      </c>
    </row>
    <row r="40" spans="1:8" x14ac:dyDescent="0.25">
      <c r="A40" s="4">
        <v>36</v>
      </c>
      <c r="B40" s="38"/>
      <c r="C40" s="38"/>
      <c r="D40" s="38"/>
      <c r="E40" s="38"/>
      <c r="F40" s="38"/>
      <c r="G40" s="38"/>
      <c r="H40" s="38"/>
    </row>
    <row r="41" spans="1:8" x14ac:dyDescent="0.25">
      <c r="A41" s="4">
        <v>37</v>
      </c>
      <c r="B41" s="38"/>
      <c r="C41" s="38"/>
      <c r="D41" s="38"/>
      <c r="E41" s="38" t="s">
        <v>2</v>
      </c>
      <c r="F41" s="38"/>
      <c r="G41" s="38"/>
      <c r="H41" s="38" t="s">
        <v>2</v>
      </c>
    </row>
    <row r="42" spans="1:8" x14ac:dyDescent="0.25">
      <c r="A42" s="4">
        <v>38</v>
      </c>
      <c r="B42" s="38"/>
      <c r="C42" s="38" t="s">
        <v>2</v>
      </c>
      <c r="D42" s="38"/>
      <c r="E42" s="38"/>
      <c r="F42" s="38"/>
      <c r="G42" s="38"/>
      <c r="H42" s="38" t="s">
        <v>2</v>
      </c>
    </row>
    <row r="43" spans="1:8" x14ac:dyDescent="0.25">
      <c r="A43" s="4">
        <v>39</v>
      </c>
      <c r="B43" s="38"/>
      <c r="C43" s="38"/>
      <c r="D43" s="38" t="s">
        <v>2</v>
      </c>
      <c r="E43" s="38"/>
      <c r="F43" s="38"/>
      <c r="G43" s="38"/>
      <c r="H43" s="38"/>
    </row>
    <row r="44" spans="1:8" x14ac:dyDescent="0.25">
      <c r="A44" s="4">
        <v>40</v>
      </c>
      <c r="B44" s="38" t="s">
        <v>2</v>
      </c>
      <c r="C44" s="38"/>
      <c r="D44" s="38"/>
      <c r="E44" s="38" t="s">
        <v>3</v>
      </c>
      <c r="F44" s="38"/>
      <c r="G44" s="38"/>
      <c r="H44" s="38"/>
    </row>
    <row r="45" spans="1:8" x14ac:dyDescent="0.25">
      <c r="A45" s="4">
        <v>41</v>
      </c>
      <c r="B45" s="38"/>
      <c r="C45" s="38"/>
      <c r="D45" s="38" t="s">
        <v>5</v>
      </c>
      <c r="E45" s="38"/>
      <c r="F45" s="38"/>
      <c r="G45" s="38" t="s">
        <v>6</v>
      </c>
      <c r="H45" s="38"/>
    </row>
    <row r="46" spans="1:8" x14ac:dyDescent="0.25">
      <c r="A46" s="4">
        <v>42</v>
      </c>
      <c r="B46" s="38" t="s">
        <v>2</v>
      </c>
      <c r="C46" s="38"/>
      <c r="D46" s="38"/>
      <c r="E46" s="38" t="s">
        <v>3</v>
      </c>
      <c r="F46" s="38"/>
      <c r="G46" s="38"/>
      <c r="H46" s="38"/>
    </row>
    <row r="47" spans="1:8" x14ac:dyDescent="0.25">
      <c r="A47" s="4">
        <v>43</v>
      </c>
      <c r="B47" s="38"/>
      <c r="C47" s="38" t="s">
        <v>2</v>
      </c>
      <c r="D47" s="38"/>
      <c r="E47" s="38"/>
      <c r="F47" s="38"/>
      <c r="G47" s="38" t="s">
        <v>6</v>
      </c>
      <c r="H47" s="38"/>
    </row>
    <row r="48" spans="1:8" x14ac:dyDescent="0.25">
      <c r="A48" s="4">
        <v>44</v>
      </c>
      <c r="B48" s="38" t="s">
        <v>2</v>
      </c>
      <c r="C48" s="38"/>
      <c r="D48" s="38"/>
      <c r="E48" s="38" t="s">
        <v>2</v>
      </c>
      <c r="F48" s="38"/>
      <c r="G48" s="38"/>
      <c r="H48" s="38"/>
    </row>
    <row r="49" spans="1:8" x14ac:dyDescent="0.25">
      <c r="A49" s="4">
        <v>45</v>
      </c>
      <c r="B49" s="38"/>
      <c r="C49" s="38" t="s">
        <v>2</v>
      </c>
      <c r="D49" s="38"/>
      <c r="E49" s="38" t="s">
        <v>3</v>
      </c>
      <c r="F49" s="38"/>
      <c r="G49" s="38" t="s">
        <v>2</v>
      </c>
      <c r="H49" s="38"/>
    </row>
    <row r="50" spans="1:8" x14ac:dyDescent="0.25">
      <c r="A50" s="4">
        <v>46</v>
      </c>
      <c r="B50" s="38" t="s">
        <v>2</v>
      </c>
      <c r="C50" s="38"/>
      <c r="D50" s="38" t="s">
        <v>2</v>
      </c>
      <c r="E50" s="38"/>
      <c r="F50" s="38"/>
      <c r="G50" s="38"/>
      <c r="H50" s="38" t="s">
        <v>2</v>
      </c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2</v>
      </c>
      <c r="D54" s="38"/>
      <c r="E54" s="38" t="s">
        <v>3</v>
      </c>
      <c r="F54" s="38"/>
      <c r="G54" s="38"/>
      <c r="H54" s="38" t="s">
        <v>2</v>
      </c>
    </row>
    <row r="55" spans="1:8" x14ac:dyDescent="0.25">
      <c r="A55" s="4">
        <v>51</v>
      </c>
      <c r="B55" s="38" t="s">
        <v>2</v>
      </c>
      <c r="C55" s="38"/>
      <c r="D55" s="38"/>
      <c r="E55" s="38"/>
      <c r="F55" s="38"/>
      <c r="G55" s="38" t="s">
        <v>6</v>
      </c>
      <c r="H55" s="38"/>
    </row>
    <row r="56" spans="1:8" x14ac:dyDescent="0.25">
      <c r="A56" s="4">
        <v>52</v>
      </c>
      <c r="B56" s="38" t="s">
        <v>6</v>
      </c>
      <c r="C56" s="38"/>
      <c r="D56" s="38" t="s">
        <v>2</v>
      </c>
      <c r="E56" s="38" t="s">
        <v>3</v>
      </c>
      <c r="F56" s="38"/>
      <c r="G56" s="38" t="s">
        <v>2</v>
      </c>
      <c r="H56" s="38"/>
    </row>
    <row r="57" spans="1:8" x14ac:dyDescent="0.25">
      <c r="A57" s="4">
        <v>53</v>
      </c>
      <c r="B57" s="38" t="s">
        <v>2</v>
      </c>
      <c r="C57" s="38"/>
      <c r="D57" s="38"/>
      <c r="E57" s="38" t="s">
        <v>2</v>
      </c>
      <c r="F57" s="38"/>
      <c r="G57" s="38"/>
      <c r="H57" s="38"/>
    </row>
    <row r="58" spans="1:8" x14ac:dyDescent="0.25">
      <c r="A58" s="4">
        <v>54</v>
      </c>
      <c r="B58" s="38"/>
      <c r="C58" s="38"/>
      <c r="D58" s="38" t="s">
        <v>2</v>
      </c>
      <c r="E58" s="38"/>
      <c r="F58" s="38"/>
      <c r="G58" s="38"/>
      <c r="H58" s="38" t="s">
        <v>2</v>
      </c>
    </row>
    <row r="59" spans="1:8" x14ac:dyDescent="0.25">
      <c r="A59" s="4">
        <v>55</v>
      </c>
      <c r="B59" s="38"/>
      <c r="C59" s="38"/>
      <c r="D59" s="38" t="s">
        <v>2</v>
      </c>
      <c r="E59" s="38"/>
      <c r="F59" s="38"/>
      <c r="G59" s="38" t="s">
        <v>5</v>
      </c>
      <c r="H59" s="38"/>
    </row>
    <row r="60" spans="1:8" x14ac:dyDescent="0.25">
      <c r="A60" s="4">
        <v>56</v>
      </c>
      <c r="B60" s="38"/>
      <c r="C60" s="38" t="s">
        <v>2</v>
      </c>
      <c r="D60" s="38" t="s">
        <v>2</v>
      </c>
      <c r="E60" s="38"/>
      <c r="F60" s="38"/>
      <c r="G60" s="38"/>
      <c r="H60" s="38"/>
    </row>
    <row r="61" spans="1:8" x14ac:dyDescent="0.25">
      <c r="A61" s="18">
        <v>73</v>
      </c>
      <c r="B61" s="38"/>
      <c r="C61" s="38" t="s">
        <v>2</v>
      </c>
      <c r="D61" s="38"/>
      <c r="E61" s="38" t="s">
        <v>2</v>
      </c>
      <c r="F61" s="38"/>
      <c r="G61" s="38" t="s">
        <v>2</v>
      </c>
      <c r="H61" s="38"/>
    </row>
    <row r="62" spans="1:8" x14ac:dyDescent="0.25">
      <c r="A62" s="18">
        <v>74</v>
      </c>
      <c r="B62" s="38" t="s">
        <v>2</v>
      </c>
      <c r="C62" s="38"/>
      <c r="D62" s="38" t="s">
        <v>7</v>
      </c>
      <c r="E62" s="38"/>
      <c r="F62" s="38"/>
      <c r="G62" s="38"/>
      <c r="H62" s="38" t="s">
        <v>7</v>
      </c>
    </row>
    <row r="63" spans="1:8" x14ac:dyDescent="0.25">
      <c r="A63" s="18">
        <v>101</v>
      </c>
      <c r="B63" s="39" t="s">
        <v>2</v>
      </c>
      <c r="C63" s="38"/>
      <c r="D63" s="38"/>
      <c r="E63" s="38" t="s">
        <v>2</v>
      </c>
      <c r="F63" s="38"/>
      <c r="G63" s="38" t="s">
        <v>2</v>
      </c>
      <c r="H63" s="38"/>
    </row>
    <row r="64" spans="1:8" x14ac:dyDescent="0.25">
      <c r="A64" s="18">
        <v>102</v>
      </c>
      <c r="B64" s="38"/>
      <c r="C64" s="38" t="s">
        <v>2</v>
      </c>
      <c r="D64" s="38"/>
      <c r="E64" s="38"/>
      <c r="F64" s="38" t="s">
        <v>6</v>
      </c>
      <c r="G64" s="38"/>
      <c r="H64" s="38" t="s">
        <v>2</v>
      </c>
    </row>
    <row r="65" spans="1:8" x14ac:dyDescent="0.25">
      <c r="A65" s="18">
        <v>103</v>
      </c>
      <c r="B65" s="38"/>
      <c r="C65" s="38" t="s">
        <v>2</v>
      </c>
      <c r="D65" s="38"/>
      <c r="E65" s="38"/>
      <c r="F65" s="38" t="s">
        <v>6</v>
      </c>
      <c r="G65" s="38"/>
      <c r="H65" s="38" t="s">
        <v>2</v>
      </c>
    </row>
    <row r="66" spans="1:8" x14ac:dyDescent="0.25">
      <c r="A66" s="18">
        <v>104</v>
      </c>
      <c r="B66" s="38" t="s">
        <v>2</v>
      </c>
      <c r="C66" s="38"/>
      <c r="D66" s="38"/>
      <c r="E66" s="38" t="s">
        <v>2</v>
      </c>
      <c r="F66" s="38" t="s">
        <v>6</v>
      </c>
      <c r="G66" s="38"/>
      <c r="H66" s="38" t="s">
        <v>2</v>
      </c>
    </row>
    <row r="67" spans="1:8" x14ac:dyDescent="0.25">
      <c r="A67" s="18">
        <v>105</v>
      </c>
      <c r="B67" s="38"/>
      <c r="C67" s="38" t="s">
        <v>2</v>
      </c>
      <c r="D67" s="38"/>
      <c r="E67" s="38"/>
      <c r="F67" s="38" t="s">
        <v>2</v>
      </c>
      <c r="G67" s="38"/>
      <c r="H67" s="38"/>
    </row>
    <row r="68" spans="1:8" x14ac:dyDescent="0.25">
      <c r="A68" s="18">
        <v>106</v>
      </c>
      <c r="B68" s="38" t="s">
        <v>2</v>
      </c>
      <c r="C68" s="38"/>
      <c r="D68" s="38" t="s">
        <v>2</v>
      </c>
      <c r="E68" s="38"/>
      <c r="F68" s="38" t="s">
        <v>2</v>
      </c>
      <c r="G68" s="38" t="s">
        <v>2</v>
      </c>
      <c r="H68" s="38" t="s">
        <v>2</v>
      </c>
    </row>
    <row r="69" spans="1:8" x14ac:dyDescent="0.25">
      <c r="A69" s="18">
        <v>107</v>
      </c>
      <c r="B69" s="38" t="s">
        <v>2</v>
      </c>
      <c r="C69" s="38"/>
      <c r="D69" s="38"/>
      <c r="E69" s="38" t="s">
        <v>2</v>
      </c>
      <c r="F69" s="38"/>
      <c r="G69" s="38" t="s">
        <v>2</v>
      </c>
      <c r="H69" s="38"/>
    </row>
    <row r="70" spans="1:8" x14ac:dyDescent="0.25">
      <c r="A70" s="18">
        <v>108</v>
      </c>
      <c r="B70" s="38"/>
      <c r="C70" s="38" t="s">
        <v>2</v>
      </c>
      <c r="D70" s="38"/>
      <c r="E70" s="38"/>
      <c r="F70" s="38" t="s">
        <v>2</v>
      </c>
      <c r="G70" s="38"/>
      <c r="H70" s="38"/>
    </row>
    <row r="71" spans="1:8" x14ac:dyDescent="0.25">
      <c r="A71" s="18">
        <v>109</v>
      </c>
      <c r="B71" s="38"/>
      <c r="C71" s="38"/>
      <c r="D71" s="38" t="s">
        <v>2</v>
      </c>
      <c r="E71" s="38"/>
      <c r="F71" s="38"/>
      <c r="G71" s="38" t="s">
        <v>2</v>
      </c>
      <c r="H71" s="38"/>
    </row>
    <row r="72" spans="1:8" x14ac:dyDescent="0.25">
      <c r="A72" s="18">
        <v>110</v>
      </c>
      <c r="B72" s="38" t="s">
        <v>2</v>
      </c>
      <c r="C72" s="38"/>
      <c r="D72" s="38"/>
      <c r="E72" s="38" t="s">
        <v>6</v>
      </c>
      <c r="F72" s="38"/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 t="s">
        <v>7</v>
      </c>
      <c r="C74" s="38" t="s">
        <v>2</v>
      </c>
      <c r="D74" s="38" t="s">
        <v>2</v>
      </c>
      <c r="E74" s="38" t="s">
        <v>2</v>
      </c>
      <c r="F74" s="38" t="s">
        <v>7</v>
      </c>
      <c r="G74" s="38"/>
      <c r="H74" s="38"/>
    </row>
    <row r="75" spans="1:8" x14ac:dyDescent="0.25">
      <c r="A75" s="18">
        <v>113</v>
      </c>
      <c r="B75" s="38" t="s">
        <v>7</v>
      </c>
      <c r="C75" s="38" t="s">
        <v>2</v>
      </c>
      <c r="D75" s="38"/>
      <c r="E75" s="38" t="s">
        <v>2</v>
      </c>
      <c r="F75" s="38"/>
      <c r="G75" s="38"/>
      <c r="H75" s="38" t="s">
        <v>2</v>
      </c>
    </row>
    <row r="76" spans="1:8" x14ac:dyDescent="0.25">
      <c r="A76" s="18">
        <v>114</v>
      </c>
      <c r="B76" s="38"/>
      <c r="C76" s="38"/>
      <c r="D76" s="38" t="s">
        <v>2</v>
      </c>
      <c r="E76" s="38"/>
      <c r="F76" s="38" t="s">
        <v>2</v>
      </c>
      <c r="G76" s="38"/>
      <c r="H76" s="38"/>
    </row>
    <row r="77" spans="1:8" x14ac:dyDescent="0.25">
      <c r="A77" s="18">
        <v>115</v>
      </c>
      <c r="B77" s="38" t="s">
        <v>2</v>
      </c>
      <c r="C77" s="38"/>
      <c r="D77" s="38" t="s">
        <v>2</v>
      </c>
      <c r="E77" s="38"/>
      <c r="F77" s="38"/>
      <c r="G77" s="38" t="s">
        <v>2</v>
      </c>
      <c r="H77" s="38"/>
    </row>
    <row r="78" spans="1:8" x14ac:dyDescent="0.25">
      <c r="A78" s="18">
        <v>116</v>
      </c>
      <c r="B78" s="38" t="s">
        <v>2</v>
      </c>
      <c r="C78" s="38"/>
      <c r="D78" s="38"/>
      <c r="E78" s="38" t="s">
        <v>7</v>
      </c>
      <c r="F78" s="38" t="s">
        <v>2</v>
      </c>
      <c r="G78" s="38"/>
      <c r="H78" s="38"/>
    </row>
    <row r="79" spans="1:8" x14ac:dyDescent="0.25">
      <c r="A79" s="18">
        <v>117</v>
      </c>
      <c r="B79" s="38"/>
      <c r="C79" s="38" t="s">
        <v>2</v>
      </c>
      <c r="D79" s="38"/>
      <c r="E79" s="38"/>
      <c r="F79" s="38" t="s">
        <v>5</v>
      </c>
      <c r="G79" s="38"/>
      <c r="H79" s="38" t="s">
        <v>2</v>
      </c>
    </row>
    <row r="80" spans="1:8" x14ac:dyDescent="0.25">
      <c r="A80" s="18">
        <v>118</v>
      </c>
      <c r="B80" s="38"/>
      <c r="C80" s="38"/>
      <c r="D80" s="38" t="s">
        <v>2</v>
      </c>
      <c r="E80" s="38"/>
      <c r="F80" s="38" t="s">
        <v>2</v>
      </c>
      <c r="G80" s="38"/>
      <c r="H80" s="38"/>
    </row>
    <row r="81" spans="1:8" x14ac:dyDescent="0.25">
      <c r="A81" s="18">
        <v>119</v>
      </c>
      <c r="B81" s="38" t="s">
        <v>2</v>
      </c>
      <c r="C81" s="38"/>
      <c r="D81" s="38"/>
      <c r="E81" s="38" t="s">
        <v>2</v>
      </c>
      <c r="F81" s="38"/>
      <c r="G81" s="38"/>
      <c r="H81" s="38" t="s">
        <v>2</v>
      </c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 t="s">
        <v>2</v>
      </c>
      <c r="D90" s="38"/>
      <c r="E90" s="38"/>
      <c r="F90" s="38" t="s">
        <v>5</v>
      </c>
      <c r="G90" s="38"/>
      <c r="H90" s="38" t="s">
        <v>2</v>
      </c>
    </row>
    <row r="91" spans="1:8" x14ac:dyDescent="0.25">
      <c r="A91" s="18">
        <v>129</v>
      </c>
      <c r="B91" s="38" t="s">
        <v>5</v>
      </c>
      <c r="C91" s="38" t="s">
        <v>5</v>
      </c>
      <c r="D91" s="38" t="s">
        <v>5</v>
      </c>
      <c r="E91" s="38" t="s">
        <v>5</v>
      </c>
      <c r="F91" s="38" t="s">
        <v>5</v>
      </c>
      <c r="G91" s="38"/>
      <c r="H91" s="38"/>
    </row>
    <row r="92" spans="1:8" x14ac:dyDescent="0.25">
      <c r="A92" s="18">
        <v>130</v>
      </c>
      <c r="B92" s="38"/>
      <c r="C92" s="38"/>
      <c r="D92" s="38" t="s">
        <v>2</v>
      </c>
      <c r="E92" s="38"/>
      <c r="F92" s="38"/>
      <c r="G92" s="38" t="s">
        <v>2</v>
      </c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1194" priority="18" operator="equal">
      <formula>"Energia"</formula>
    </cfRule>
    <cfRule type="cellIs" dxfId="1193" priority="20" operator="equal">
      <formula>"Operação"</formula>
    </cfRule>
    <cfRule type="cellIs" dxfId="1192" priority="21" operator="equal">
      <formula>"Chuva"</formula>
    </cfRule>
    <cfRule type="cellIs" dxfId="1191" priority="22" operator="equal">
      <formula>"Elétrico"</formula>
    </cfRule>
    <cfRule type="cellIs" dxfId="1190" priority="23" operator="equal">
      <formula>"Mecânico"</formula>
    </cfRule>
    <cfRule type="cellIs" dxfId="1189" priority="24" operator="equal">
      <formula>"Ok"</formula>
    </cfRule>
  </conditionalFormatting>
  <conditionalFormatting sqref="B61:I62 I5:I60 B63:H95">
    <cfRule type="cellIs" dxfId="1188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187" priority="16" operator="equal">
      <formula>"Energia"</formula>
    </cfRule>
  </conditionalFormatting>
  <conditionalFormatting sqref="B5:E60 G5:H60">
    <cfRule type="cellIs" dxfId="1186" priority="9" operator="equal">
      <formula>"Energia"</formula>
    </cfRule>
    <cfRule type="cellIs" dxfId="1185" priority="11" operator="equal">
      <formula>"Operação"</formula>
    </cfRule>
    <cfRule type="cellIs" dxfId="1184" priority="12" operator="equal">
      <formula>"Chuva"</formula>
    </cfRule>
    <cfRule type="cellIs" dxfId="1183" priority="13" operator="equal">
      <formula>"Elétrico"</formula>
    </cfRule>
    <cfRule type="cellIs" dxfId="1182" priority="14" operator="equal">
      <formula>"Mecânico"</formula>
    </cfRule>
    <cfRule type="cellIs" dxfId="1181" priority="15" operator="equal">
      <formula>"Ok"</formula>
    </cfRule>
  </conditionalFormatting>
  <conditionalFormatting sqref="B5:E60 G5:H60">
    <cfRule type="cellIs" dxfId="1180" priority="10" operator="equal">
      <formula>"Feito"</formula>
    </cfRule>
  </conditionalFormatting>
  <conditionalFormatting sqref="F5:F11">
    <cfRule type="cellIs" dxfId="1179" priority="8" operator="equal">
      <formula>"Energia"</formula>
    </cfRule>
  </conditionalFormatting>
  <conditionalFormatting sqref="F5:F60">
    <cfRule type="cellIs" dxfId="1178" priority="1" operator="equal">
      <formula>"Energia"</formula>
    </cfRule>
    <cfRule type="cellIs" dxfId="1177" priority="3" operator="equal">
      <formula>"Operação"</formula>
    </cfRule>
    <cfRule type="cellIs" dxfId="1176" priority="4" operator="equal">
      <formula>"Chuva"</formula>
    </cfRule>
    <cfRule type="cellIs" dxfId="1175" priority="5" operator="equal">
      <formula>"Elétrico"</formula>
    </cfRule>
    <cfRule type="cellIs" dxfId="1174" priority="6" operator="equal">
      <formula>"Mecânico"</formula>
    </cfRule>
    <cfRule type="cellIs" dxfId="1173" priority="7" operator="equal">
      <formula>"Ok"</formula>
    </cfRule>
  </conditionalFormatting>
  <conditionalFormatting sqref="F5:F60">
    <cfRule type="cellIs" dxfId="1172" priority="2" operator="equal">
      <formula>"Feito"</formula>
    </cfRule>
  </conditionalFormatting>
  <dataValidations count="1">
    <dataValidation type="list" allowBlank="1" showInputMessage="1" showErrorMessage="1" sqref="B61:I62 B5:I26 B27:J60 B63:H95" xr:uid="{B0509BEC-7B41-447C-8AAD-0BE38B5716B8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939E-9624-4384-8F7F-273DDF7A0F07}">
  <dimension ref="A1:M95"/>
  <sheetViews>
    <sheetView zoomScale="110" zoomScaleNormal="110" workbookViewId="0">
      <pane ySplit="4" topLeftCell="A5" activePane="bottomLeft" state="frozen"/>
      <selection pane="bottomLeft" activeCell="L13" sqref="L1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3" max="13" width="10.85546875" bestFit="1" customWidth="1"/>
    <col min="17" max="17" width="8.5703125" customWidth="1"/>
  </cols>
  <sheetData>
    <row r="1" spans="1:13" x14ac:dyDescent="0.25">
      <c r="A1" s="70" t="s">
        <v>36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4" t="s">
        <v>16</v>
      </c>
      <c r="B3" s="23">
        <v>44627</v>
      </c>
      <c r="C3" s="23">
        <f>B3+1</f>
        <v>44628</v>
      </c>
      <c r="D3" s="23">
        <f t="shared" ref="D3:H3" si="0">C3+1</f>
        <v>44629</v>
      </c>
      <c r="E3" s="23">
        <f t="shared" si="0"/>
        <v>44630</v>
      </c>
      <c r="F3" s="23">
        <f t="shared" si="0"/>
        <v>44631</v>
      </c>
      <c r="G3" s="23">
        <f t="shared" si="0"/>
        <v>44632</v>
      </c>
      <c r="H3" s="25">
        <f t="shared" si="0"/>
        <v>44633</v>
      </c>
      <c r="I3" s="3"/>
    </row>
    <row r="4" spans="1:13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</row>
    <row r="5" spans="1:13" x14ac:dyDescent="0.25">
      <c r="A5" s="4">
        <v>1</v>
      </c>
      <c r="B5" s="38"/>
      <c r="C5" s="38" t="s">
        <v>7</v>
      </c>
      <c r="D5" s="38" t="s">
        <v>2</v>
      </c>
      <c r="E5" s="38"/>
      <c r="F5" s="38" t="s">
        <v>2</v>
      </c>
      <c r="G5" s="38"/>
      <c r="H5" s="38"/>
      <c r="J5" s="48" t="s">
        <v>2</v>
      </c>
      <c r="K5" s="33">
        <f>COUNTIF($B$5:$H$95,J5)</f>
        <v>149</v>
      </c>
      <c r="L5" s="34">
        <f t="shared" ref="L5:L9" si="2">K5/$K$11</f>
        <v>0.80540540540540539</v>
      </c>
      <c r="M5" s="52">
        <v>44627</v>
      </c>
    </row>
    <row r="6" spans="1:13" x14ac:dyDescent="0.25">
      <c r="A6" s="4">
        <v>2</v>
      </c>
      <c r="B6" s="38" t="s">
        <v>2</v>
      </c>
      <c r="C6" s="38"/>
      <c r="D6" s="38" t="s">
        <v>2</v>
      </c>
      <c r="E6" s="38" t="s">
        <v>2</v>
      </c>
      <c r="F6" s="38"/>
      <c r="G6" s="38" t="s">
        <v>2</v>
      </c>
      <c r="H6" s="38"/>
      <c r="J6" s="42" t="s">
        <v>5</v>
      </c>
      <c r="K6" s="33">
        <f t="shared" ref="K6:K10" si="3">COUNTIF($B$5:$H$95,J6)</f>
        <v>10</v>
      </c>
      <c r="L6" s="35">
        <f t="shared" si="2"/>
        <v>5.4054054054054057E-2</v>
      </c>
    </row>
    <row r="7" spans="1:13" x14ac:dyDescent="0.25">
      <c r="A7" s="4">
        <v>3</v>
      </c>
      <c r="B7" s="38" t="s">
        <v>2</v>
      </c>
      <c r="C7" s="38"/>
      <c r="D7" s="38" t="s">
        <v>2</v>
      </c>
      <c r="E7" s="38"/>
      <c r="F7" s="38" t="s">
        <v>7</v>
      </c>
      <c r="G7" s="38" t="s">
        <v>2</v>
      </c>
      <c r="H7" s="38" t="s">
        <v>2</v>
      </c>
      <c r="J7" s="46" t="s">
        <v>6</v>
      </c>
      <c r="K7" s="33">
        <f t="shared" si="3"/>
        <v>7</v>
      </c>
      <c r="L7" s="35">
        <f t="shared" si="2"/>
        <v>3.783783783783784E-2</v>
      </c>
    </row>
    <row r="8" spans="1:13" x14ac:dyDescent="0.25">
      <c r="A8" s="4">
        <v>4</v>
      </c>
      <c r="B8" s="38" t="s">
        <v>2</v>
      </c>
      <c r="C8" s="38" t="s">
        <v>2</v>
      </c>
      <c r="D8" s="38" t="s">
        <v>7</v>
      </c>
      <c r="E8" s="38" t="s">
        <v>2</v>
      </c>
      <c r="F8" s="38" t="s">
        <v>2</v>
      </c>
      <c r="G8" s="38" t="s">
        <v>2</v>
      </c>
      <c r="H8" s="38" t="s">
        <v>2</v>
      </c>
      <c r="J8" s="47" t="s">
        <v>4</v>
      </c>
      <c r="K8" s="33">
        <f t="shared" si="3"/>
        <v>0</v>
      </c>
      <c r="L8" s="35">
        <f t="shared" si="2"/>
        <v>0</v>
      </c>
    </row>
    <row r="9" spans="1:13" x14ac:dyDescent="0.25">
      <c r="A9" s="4">
        <v>5</v>
      </c>
      <c r="B9" s="38"/>
      <c r="C9" s="38"/>
      <c r="D9" s="38"/>
      <c r="E9" s="38"/>
      <c r="F9" s="38"/>
      <c r="G9" s="38"/>
      <c r="H9" s="38"/>
      <c r="J9" s="45" t="s">
        <v>3</v>
      </c>
      <c r="K9" s="33">
        <f t="shared" si="3"/>
        <v>0</v>
      </c>
      <c r="L9" s="35">
        <f t="shared" si="2"/>
        <v>0</v>
      </c>
    </row>
    <row r="10" spans="1:13" x14ac:dyDescent="0.25">
      <c r="A10" s="4">
        <v>6</v>
      </c>
      <c r="B10" s="38"/>
      <c r="C10" s="38"/>
      <c r="D10" s="38"/>
      <c r="E10" s="38"/>
      <c r="F10" s="38"/>
      <c r="G10" s="38"/>
      <c r="H10" s="38"/>
      <c r="J10" s="43" t="s">
        <v>7</v>
      </c>
      <c r="K10" s="33">
        <f t="shared" si="3"/>
        <v>19</v>
      </c>
      <c r="L10" s="37">
        <f>K10/$K$11</f>
        <v>0.10270270270270271</v>
      </c>
    </row>
    <row r="11" spans="1:13" x14ac:dyDescent="0.25">
      <c r="A11" s="4">
        <v>7</v>
      </c>
      <c r="B11" s="38"/>
      <c r="C11" s="38"/>
      <c r="D11" s="38"/>
      <c r="E11" s="38"/>
      <c r="F11" s="38"/>
      <c r="G11" s="38"/>
      <c r="H11" s="38"/>
      <c r="J11" s="44" t="s">
        <v>17</v>
      </c>
      <c r="K11" s="11">
        <f>SUM(K5:K10)</f>
        <v>185</v>
      </c>
    </row>
    <row r="12" spans="1:13" x14ac:dyDescent="0.25">
      <c r="A12" s="4">
        <v>8</v>
      </c>
      <c r="B12" s="38"/>
      <c r="C12" s="38"/>
      <c r="D12" s="38"/>
      <c r="E12" s="38"/>
      <c r="F12" s="38"/>
      <c r="G12" s="38"/>
      <c r="H12" s="38"/>
    </row>
    <row r="13" spans="1:13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3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3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3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 t="s">
        <v>2</v>
      </c>
      <c r="C19" s="38"/>
      <c r="D19" s="38"/>
      <c r="E19" s="38" t="s">
        <v>2</v>
      </c>
      <c r="F19" s="38"/>
      <c r="G19" s="38"/>
      <c r="H19" s="38" t="s">
        <v>2</v>
      </c>
    </row>
    <row r="20" spans="1:8" x14ac:dyDescent="0.25">
      <c r="A20" s="4">
        <v>16</v>
      </c>
      <c r="B20" s="38"/>
      <c r="C20" s="38"/>
      <c r="D20" s="38" t="s">
        <v>2</v>
      </c>
      <c r="E20" s="38"/>
      <c r="F20" s="38" t="s">
        <v>2</v>
      </c>
      <c r="G20" s="38"/>
      <c r="H20" s="38"/>
    </row>
    <row r="21" spans="1:8" x14ac:dyDescent="0.25">
      <c r="A21" s="4">
        <v>17</v>
      </c>
      <c r="B21" s="38"/>
      <c r="C21" s="38"/>
      <c r="D21" s="38" t="s">
        <v>2</v>
      </c>
      <c r="E21" s="38"/>
      <c r="F21" s="38"/>
      <c r="G21" s="38" t="s">
        <v>2</v>
      </c>
      <c r="H21" s="38"/>
    </row>
    <row r="22" spans="1:8" x14ac:dyDescent="0.25">
      <c r="A22" s="4">
        <v>18</v>
      </c>
      <c r="B22" s="38" t="s">
        <v>5</v>
      </c>
      <c r="C22" s="38"/>
      <c r="D22" s="38"/>
      <c r="E22" s="38" t="s">
        <v>2</v>
      </c>
      <c r="F22" s="38"/>
      <c r="G22" s="38"/>
      <c r="H22" s="38" t="s">
        <v>2</v>
      </c>
    </row>
    <row r="23" spans="1:8" x14ac:dyDescent="0.25">
      <c r="A23" s="4">
        <v>19</v>
      </c>
      <c r="B23" s="38"/>
      <c r="C23" s="38"/>
      <c r="D23" s="38" t="s">
        <v>2</v>
      </c>
      <c r="E23" s="38"/>
      <c r="F23" s="38"/>
      <c r="G23" s="38" t="s">
        <v>2</v>
      </c>
      <c r="H23" s="38"/>
    </row>
    <row r="24" spans="1:8" x14ac:dyDescent="0.25">
      <c r="A24" s="4">
        <v>20</v>
      </c>
      <c r="B24" s="38" t="s">
        <v>2</v>
      </c>
      <c r="C24" s="38"/>
      <c r="D24" s="38"/>
      <c r="E24" s="38" t="s">
        <v>2</v>
      </c>
      <c r="F24" s="38"/>
      <c r="G24" s="38"/>
      <c r="H24" s="38" t="s">
        <v>2</v>
      </c>
    </row>
    <row r="25" spans="1:8" x14ac:dyDescent="0.25">
      <c r="A25" s="4">
        <v>21</v>
      </c>
      <c r="B25" s="38"/>
      <c r="C25" s="38"/>
      <c r="D25" s="38" t="s">
        <v>2</v>
      </c>
      <c r="E25" s="38"/>
      <c r="F25" s="38"/>
      <c r="G25" s="38" t="s">
        <v>2</v>
      </c>
      <c r="H25" s="38"/>
    </row>
    <row r="26" spans="1:8" x14ac:dyDescent="0.25">
      <c r="A26" s="4">
        <v>22</v>
      </c>
      <c r="B26" s="38"/>
      <c r="C26" s="38" t="s">
        <v>2</v>
      </c>
      <c r="D26" s="38"/>
      <c r="E26" s="38"/>
      <c r="F26" s="38" t="s">
        <v>5</v>
      </c>
      <c r="G26" s="38"/>
      <c r="H26" s="38" t="s">
        <v>2</v>
      </c>
    </row>
    <row r="27" spans="1:8" x14ac:dyDescent="0.25">
      <c r="A27" s="4">
        <v>23</v>
      </c>
      <c r="B27" s="38" t="s">
        <v>2</v>
      </c>
      <c r="C27" s="38"/>
      <c r="D27" s="38"/>
      <c r="E27" s="38" t="s">
        <v>2</v>
      </c>
      <c r="F27" s="38"/>
      <c r="G27" s="38" t="s">
        <v>7</v>
      </c>
      <c r="H27" s="38" t="s">
        <v>2</v>
      </c>
    </row>
    <row r="28" spans="1:8" x14ac:dyDescent="0.25">
      <c r="A28" s="4">
        <v>24</v>
      </c>
      <c r="B28" s="38"/>
      <c r="C28" s="38"/>
      <c r="D28" s="38"/>
      <c r="E28" s="38"/>
      <c r="F28" s="38" t="s">
        <v>2</v>
      </c>
      <c r="G28" s="38"/>
      <c r="H28" s="38"/>
    </row>
    <row r="29" spans="1:8" x14ac:dyDescent="0.25">
      <c r="A29" s="4">
        <v>25</v>
      </c>
      <c r="B29" s="38" t="s">
        <v>2</v>
      </c>
      <c r="C29" s="38" t="s">
        <v>2</v>
      </c>
      <c r="D29" s="38" t="s">
        <v>5</v>
      </c>
      <c r="E29" s="38" t="s">
        <v>5</v>
      </c>
      <c r="F29" s="38" t="s">
        <v>2</v>
      </c>
      <c r="G29" s="38" t="s">
        <v>6</v>
      </c>
      <c r="H29" s="38" t="s">
        <v>2</v>
      </c>
    </row>
    <row r="30" spans="1:8" x14ac:dyDescent="0.25">
      <c r="A30" s="4">
        <v>26</v>
      </c>
      <c r="B30" s="38"/>
      <c r="C30" s="38" t="s">
        <v>7</v>
      </c>
      <c r="D30" s="38" t="s">
        <v>7</v>
      </c>
      <c r="E30" s="38" t="s">
        <v>2</v>
      </c>
      <c r="F30" s="38"/>
      <c r="G30" s="38" t="s">
        <v>7</v>
      </c>
      <c r="H30" s="38"/>
    </row>
    <row r="31" spans="1:8" x14ac:dyDescent="0.25">
      <c r="A31" s="4">
        <v>27</v>
      </c>
      <c r="B31" s="38"/>
      <c r="C31" s="38" t="s">
        <v>7</v>
      </c>
      <c r="D31" s="38"/>
      <c r="E31" s="38"/>
      <c r="F31" s="38" t="s">
        <v>6</v>
      </c>
      <c r="G31" s="38" t="s">
        <v>2</v>
      </c>
      <c r="H31" s="38"/>
    </row>
    <row r="32" spans="1:8" x14ac:dyDescent="0.25">
      <c r="A32" s="4">
        <v>28</v>
      </c>
      <c r="B32" s="38" t="s">
        <v>2</v>
      </c>
      <c r="C32" s="38"/>
      <c r="D32" s="38"/>
      <c r="E32" s="38" t="s">
        <v>7</v>
      </c>
      <c r="F32" s="38"/>
      <c r="G32" s="38"/>
      <c r="H32" s="38"/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2</v>
      </c>
      <c r="F33" s="38" t="s">
        <v>2</v>
      </c>
      <c r="G33" s="38" t="s">
        <v>2</v>
      </c>
      <c r="H33" s="38" t="s">
        <v>2</v>
      </c>
    </row>
    <row r="34" spans="1:8" x14ac:dyDescent="0.25">
      <c r="A34" s="4">
        <v>30</v>
      </c>
      <c r="B34" s="38"/>
      <c r="C34" s="38"/>
      <c r="D34" s="38"/>
      <c r="E34" s="38"/>
      <c r="F34" s="38"/>
      <c r="G34" s="38"/>
      <c r="H34" s="38" t="s">
        <v>2</v>
      </c>
    </row>
    <row r="35" spans="1:8" x14ac:dyDescent="0.25">
      <c r="A35" s="4">
        <v>31</v>
      </c>
      <c r="B35" s="38"/>
      <c r="C35" s="38"/>
      <c r="D35" s="38"/>
      <c r="E35" s="38" t="s">
        <v>7</v>
      </c>
      <c r="F35" s="38" t="s">
        <v>2</v>
      </c>
      <c r="G35" s="38"/>
      <c r="H35" s="38" t="s">
        <v>2</v>
      </c>
    </row>
    <row r="36" spans="1:8" x14ac:dyDescent="0.25">
      <c r="A36" s="4">
        <v>32</v>
      </c>
      <c r="B36" s="38"/>
      <c r="C36" s="38" t="s">
        <v>2</v>
      </c>
      <c r="D36" s="38"/>
      <c r="E36" s="38"/>
      <c r="F36" s="38" t="s">
        <v>2</v>
      </c>
      <c r="G36" s="38"/>
      <c r="H36" s="38"/>
    </row>
    <row r="37" spans="1:8" x14ac:dyDescent="0.25">
      <c r="A37" s="4">
        <v>33</v>
      </c>
      <c r="B37" s="38" t="s">
        <v>7</v>
      </c>
      <c r="C37" s="38"/>
      <c r="D37" s="38"/>
      <c r="E37" s="38"/>
      <c r="F37" s="38"/>
      <c r="G37" s="38" t="s">
        <v>2</v>
      </c>
      <c r="H37" s="38"/>
    </row>
    <row r="38" spans="1:8" x14ac:dyDescent="0.25">
      <c r="A38" s="4">
        <v>34</v>
      </c>
      <c r="B38" s="38"/>
      <c r="C38" s="38" t="s">
        <v>2</v>
      </c>
      <c r="D38" s="38"/>
      <c r="E38" s="38"/>
      <c r="F38" s="38" t="s">
        <v>2</v>
      </c>
      <c r="G38" s="38"/>
      <c r="H38" s="38"/>
    </row>
    <row r="39" spans="1:8" x14ac:dyDescent="0.25">
      <c r="A39" s="4">
        <v>35</v>
      </c>
      <c r="B39" s="38"/>
      <c r="C39" s="38"/>
      <c r="D39" s="38" t="s">
        <v>2</v>
      </c>
      <c r="E39" s="38"/>
      <c r="F39" s="38"/>
      <c r="G39" s="38"/>
      <c r="H39" s="38"/>
    </row>
    <row r="40" spans="1:8" x14ac:dyDescent="0.25">
      <c r="A40" s="4">
        <v>36</v>
      </c>
      <c r="B40" s="38"/>
      <c r="C40" s="38"/>
      <c r="D40" s="38"/>
      <c r="E40" s="38"/>
      <c r="F40" s="38"/>
      <c r="G40" s="38"/>
      <c r="H40" s="38"/>
    </row>
    <row r="41" spans="1:8" x14ac:dyDescent="0.25">
      <c r="A41" s="4">
        <v>37</v>
      </c>
      <c r="B41" s="38" t="s">
        <v>2</v>
      </c>
      <c r="C41" s="38"/>
      <c r="D41" s="38"/>
      <c r="E41" s="38" t="s">
        <v>2</v>
      </c>
      <c r="F41" s="38" t="s">
        <v>2</v>
      </c>
      <c r="G41" s="38"/>
      <c r="H41" s="38" t="s">
        <v>2</v>
      </c>
    </row>
    <row r="42" spans="1:8" x14ac:dyDescent="0.25">
      <c r="A42" s="4">
        <v>38</v>
      </c>
      <c r="B42" s="38"/>
      <c r="C42" s="38"/>
      <c r="D42" s="38" t="s">
        <v>2</v>
      </c>
      <c r="E42" s="38"/>
      <c r="F42" s="38"/>
      <c r="G42" s="38" t="s">
        <v>2</v>
      </c>
      <c r="H42" s="38"/>
    </row>
    <row r="43" spans="1:8" x14ac:dyDescent="0.25">
      <c r="A43" s="4">
        <v>39</v>
      </c>
      <c r="B43" s="38" t="s">
        <v>2</v>
      </c>
      <c r="C43" s="38"/>
      <c r="D43" s="38"/>
      <c r="E43" s="38" t="s">
        <v>2</v>
      </c>
      <c r="F43" s="38"/>
      <c r="G43" s="38"/>
      <c r="H43" s="38" t="s">
        <v>2</v>
      </c>
    </row>
    <row r="44" spans="1:8" x14ac:dyDescent="0.25">
      <c r="A44" s="4">
        <v>40</v>
      </c>
      <c r="B44" s="38"/>
      <c r="C44" s="38" t="s">
        <v>2</v>
      </c>
      <c r="D44" s="38"/>
      <c r="E44" s="38"/>
      <c r="F44" s="38" t="s">
        <v>7</v>
      </c>
      <c r="G44" s="38"/>
      <c r="H44" s="38"/>
    </row>
    <row r="45" spans="1:8" x14ac:dyDescent="0.25">
      <c r="A45" s="4">
        <v>41</v>
      </c>
      <c r="B45" s="38"/>
      <c r="C45" s="38" t="s">
        <v>2</v>
      </c>
      <c r="D45" s="38"/>
      <c r="E45" s="38"/>
      <c r="F45" s="38" t="s">
        <v>7</v>
      </c>
      <c r="G45" s="38"/>
      <c r="H45" s="38"/>
    </row>
    <row r="46" spans="1:8" x14ac:dyDescent="0.25">
      <c r="A46" s="4">
        <v>42</v>
      </c>
      <c r="B46" s="38" t="s">
        <v>2</v>
      </c>
      <c r="C46" s="38"/>
      <c r="D46" s="38" t="s">
        <v>2</v>
      </c>
      <c r="E46" s="38" t="s">
        <v>2</v>
      </c>
      <c r="F46" s="38"/>
      <c r="G46" s="38"/>
      <c r="H46" s="38" t="s">
        <v>2</v>
      </c>
    </row>
    <row r="47" spans="1:8" x14ac:dyDescent="0.25">
      <c r="A47" s="4">
        <v>43</v>
      </c>
      <c r="B47" s="38"/>
      <c r="C47" s="38" t="s">
        <v>2</v>
      </c>
      <c r="D47" s="38"/>
      <c r="E47" s="38" t="s">
        <v>2</v>
      </c>
      <c r="F47" s="38"/>
      <c r="G47" s="38" t="s">
        <v>2</v>
      </c>
      <c r="H47" s="38"/>
    </row>
    <row r="48" spans="1:8" x14ac:dyDescent="0.25">
      <c r="A48" s="4">
        <v>44</v>
      </c>
      <c r="B48" s="38" t="s">
        <v>6</v>
      </c>
      <c r="C48" s="38"/>
      <c r="D48" s="38"/>
      <c r="E48" s="38" t="s">
        <v>2</v>
      </c>
      <c r="F48" s="38"/>
      <c r="G48" s="38"/>
      <c r="H48" s="38" t="s">
        <v>2</v>
      </c>
    </row>
    <row r="49" spans="1:8" x14ac:dyDescent="0.25">
      <c r="A49" s="4">
        <v>45</v>
      </c>
      <c r="B49" s="38"/>
      <c r="C49" s="38"/>
      <c r="D49" s="38" t="s">
        <v>2</v>
      </c>
      <c r="E49" s="38"/>
      <c r="F49" s="38"/>
      <c r="G49" s="38" t="s">
        <v>2</v>
      </c>
      <c r="H49" s="38"/>
    </row>
    <row r="50" spans="1:8" x14ac:dyDescent="0.25">
      <c r="A50" s="4">
        <v>46</v>
      </c>
      <c r="B50" s="38"/>
      <c r="C50" s="38" t="s">
        <v>2</v>
      </c>
      <c r="D50" s="38"/>
      <c r="E50" s="38" t="s">
        <v>5</v>
      </c>
      <c r="F50" s="38"/>
      <c r="G50" s="38" t="s">
        <v>2</v>
      </c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 t="s">
        <v>2</v>
      </c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 t="s">
        <v>7</v>
      </c>
      <c r="F53" s="38"/>
      <c r="G53" s="38"/>
      <c r="H53" s="38"/>
    </row>
    <row r="54" spans="1:8" x14ac:dyDescent="0.25">
      <c r="A54" s="4">
        <v>50</v>
      </c>
      <c r="B54" s="38"/>
      <c r="C54" s="38"/>
      <c r="D54" s="38" t="s">
        <v>2</v>
      </c>
      <c r="E54" s="38"/>
      <c r="F54" s="38"/>
      <c r="G54" s="38" t="s">
        <v>2</v>
      </c>
      <c r="H54" s="38"/>
    </row>
    <row r="55" spans="1:8" x14ac:dyDescent="0.25">
      <c r="A55" s="4">
        <v>51</v>
      </c>
      <c r="B55" s="38"/>
      <c r="C55" s="38" t="s">
        <v>2</v>
      </c>
      <c r="D55" s="38"/>
      <c r="E55" s="38"/>
      <c r="F55" s="38" t="s">
        <v>2</v>
      </c>
      <c r="G55" s="38"/>
      <c r="H55" s="38"/>
    </row>
    <row r="56" spans="1:8" x14ac:dyDescent="0.25">
      <c r="A56" s="4">
        <v>52</v>
      </c>
      <c r="B56" s="38" t="s">
        <v>2</v>
      </c>
      <c r="C56" s="38"/>
      <c r="D56" s="38" t="s">
        <v>2</v>
      </c>
      <c r="E56" s="38"/>
      <c r="F56" s="38" t="s">
        <v>2</v>
      </c>
      <c r="G56" s="38"/>
      <c r="H56" s="38" t="s">
        <v>2</v>
      </c>
    </row>
    <row r="57" spans="1:8" x14ac:dyDescent="0.25">
      <c r="A57" s="4">
        <v>53</v>
      </c>
      <c r="B57" s="38" t="s">
        <v>2</v>
      </c>
      <c r="C57" s="38"/>
      <c r="D57" s="38"/>
      <c r="E57" s="38" t="s">
        <v>2</v>
      </c>
      <c r="F57" s="38"/>
      <c r="G57" s="38"/>
      <c r="H57" s="38" t="s">
        <v>2</v>
      </c>
    </row>
    <row r="58" spans="1:8" x14ac:dyDescent="0.25">
      <c r="A58" s="4">
        <v>54</v>
      </c>
      <c r="B58" s="38"/>
      <c r="C58" s="38"/>
      <c r="D58" s="38" t="s">
        <v>2</v>
      </c>
      <c r="E58" s="38"/>
      <c r="F58" s="38"/>
      <c r="G58" s="38" t="s">
        <v>2</v>
      </c>
      <c r="H58" s="38"/>
    </row>
    <row r="59" spans="1:8" x14ac:dyDescent="0.25">
      <c r="A59" s="4">
        <v>55</v>
      </c>
      <c r="B59" s="38"/>
      <c r="C59" s="38" t="s">
        <v>2</v>
      </c>
      <c r="D59" s="38"/>
      <c r="E59" s="38"/>
      <c r="F59" s="38" t="s">
        <v>2</v>
      </c>
      <c r="G59" s="38"/>
      <c r="H59" s="38"/>
    </row>
    <row r="60" spans="1:8" x14ac:dyDescent="0.25">
      <c r="A60" s="4">
        <v>56</v>
      </c>
      <c r="B60" s="38" t="s">
        <v>2</v>
      </c>
      <c r="C60" s="38"/>
      <c r="D60" s="38"/>
      <c r="E60" s="38" t="s">
        <v>2</v>
      </c>
      <c r="F60" s="38"/>
      <c r="G60" s="38"/>
      <c r="H60" s="38" t="s">
        <v>2</v>
      </c>
    </row>
    <row r="61" spans="1:8" x14ac:dyDescent="0.25">
      <c r="A61" s="18">
        <v>73</v>
      </c>
      <c r="B61" s="38" t="s">
        <v>2</v>
      </c>
      <c r="C61" s="38"/>
      <c r="D61" s="38" t="s">
        <v>2</v>
      </c>
      <c r="E61" s="38"/>
      <c r="F61" s="38"/>
      <c r="G61" s="38"/>
      <c r="H61" s="38"/>
    </row>
    <row r="62" spans="1:8" x14ac:dyDescent="0.25">
      <c r="A62" s="18">
        <v>74</v>
      </c>
      <c r="B62" s="38"/>
      <c r="C62" s="38" t="s">
        <v>7</v>
      </c>
      <c r="D62" s="38"/>
      <c r="E62" s="38" t="s">
        <v>7</v>
      </c>
      <c r="F62" s="38"/>
      <c r="G62" s="38" t="s">
        <v>2</v>
      </c>
      <c r="H62" s="38"/>
    </row>
    <row r="63" spans="1:8" x14ac:dyDescent="0.25">
      <c r="A63" s="18">
        <v>101</v>
      </c>
      <c r="B63" s="39"/>
      <c r="C63" s="38" t="s">
        <v>2</v>
      </c>
      <c r="D63" s="38"/>
      <c r="E63" s="38"/>
      <c r="F63" s="38" t="s">
        <v>2</v>
      </c>
      <c r="G63" s="38"/>
      <c r="H63" s="38"/>
    </row>
    <row r="64" spans="1:8" x14ac:dyDescent="0.25">
      <c r="A64" s="18">
        <v>102</v>
      </c>
      <c r="B64" s="38"/>
      <c r="C64" s="38"/>
      <c r="D64" s="38" t="s">
        <v>7</v>
      </c>
      <c r="E64" s="38"/>
      <c r="F64" s="38"/>
      <c r="G64" s="38" t="s">
        <v>2</v>
      </c>
      <c r="H64" s="38"/>
    </row>
    <row r="65" spans="1:8" x14ac:dyDescent="0.25">
      <c r="A65" s="18">
        <v>103</v>
      </c>
      <c r="B65" s="38"/>
      <c r="C65" s="38"/>
      <c r="D65" s="38" t="s">
        <v>6</v>
      </c>
      <c r="E65" s="38"/>
      <c r="F65" s="38"/>
      <c r="G65" s="38" t="s">
        <v>2</v>
      </c>
      <c r="H65" s="38"/>
    </row>
    <row r="66" spans="1:8" x14ac:dyDescent="0.25">
      <c r="A66" s="18">
        <v>104</v>
      </c>
      <c r="B66" s="38"/>
      <c r="C66" s="38"/>
      <c r="D66" s="38" t="s">
        <v>2</v>
      </c>
      <c r="E66" s="38"/>
      <c r="F66" s="38"/>
      <c r="G66" s="38" t="s">
        <v>2</v>
      </c>
      <c r="H66" s="38"/>
    </row>
    <row r="67" spans="1:8" x14ac:dyDescent="0.25">
      <c r="A67" s="18">
        <v>105</v>
      </c>
      <c r="B67" s="38" t="s">
        <v>2</v>
      </c>
      <c r="C67" s="38"/>
      <c r="D67" s="38"/>
      <c r="E67" s="38" t="s">
        <v>2</v>
      </c>
      <c r="F67" s="38"/>
      <c r="G67" s="38"/>
      <c r="H67" s="38" t="s">
        <v>2</v>
      </c>
    </row>
    <row r="68" spans="1:8" x14ac:dyDescent="0.25">
      <c r="A68" s="18">
        <v>106</v>
      </c>
      <c r="B68" s="38"/>
      <c r="C68" s="38" t="s">
        <v>2</v>
      </c>
      <c r="D68" s="38"/>
      <c r="E68" s="38" t="s">
        <v>2</v>
      </c>
      <c r="F68" s="38" t="s">
        <v>2</v>
      </c>
      <c r="G68" s="38" t="s">
        <v>2</v>
      </c>
      <c r="H68" s="38"/>
    </row>
    <row r="69" spans="1:8" x14ac:dyDescent="0.25">
      <c r="A69" s="18">
        <v>107</v>
      </c>
      <c r="B69" s="38"/>
      <c r="C69" s="38" t="s">
        <v>2</v>
      </c>
      <c r="D69" s="38"/>
      <c r="E69" s="38" t="s">
        <v>2</v>
      </c>
      <c r="F69" s="38" t="s">
        <v>2</v>
      </c>
      <c r="G69" s="38"/>
      <c r="H69" s="38"/>
    </row>
    <row r="70" spans="1:8" x14ac:dyDescent="0.25">
      <c r="A70" s="18">
        <v>108</v>
      </c>
      <c r="B70" s="38" t="s">
        <v>2</v>
      </c>
      <c r="C70" s="38"/>
      <c r="D70" s="38"/>
      <c r="E70" s="38"/>
      <c r="F70" s="38"/>
      <c r="G70" s="38"/>
      <c r="H70" s="38" t="s">
        <v>2</v>
      </c>
    </row>
    <row r="71" spans="1:8" x14ac:dyDescent="0.25">
      <c r="A71" s="18">
        <v>109</v>
      </c>
      <c r="B71" s="38"/>
      <c r="C71" s="38" t="s">
        <v>6</v>
      </c>
      <c r="D71" s="38" t="s">
        <v>6</v>
      </c>
      <c r="E71" s="38"/>
      <c r="F71" s="38" t="s">
        <v>2</v>
      </c>
      <c r="G71" s="38"/>
      <c r="H71" s="38"/>
    </row>
    <row r="72" spans="1:8" x14ac:dyDescent="0.25">
      <c r="A72" s="18">
        <v>110</v>
      </c>
      <c r="B72" s="38" t="s">
        <v>2</v>
      </c>
      <c r="C72" s="38"/>
      <c r="D72" s="38"/>
      <c r="E72" s="38" t="s">
        <v>2</v>
      </c>
      <c r="F72" s="38"/>
      <c r="G72" s="38" t="s">
        <v>2</v>
      </c>
      <c r="H72" s="38" t="s">
        <v>2</v>
      </c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 t="s">
        <v>2</v>
      </c>
      <c r="C74" s="38"/>
      <c r="D74" s="38"/>
      <c r="E74" s="38"/>
      <c r="F74" s="38" t="s">
        <v>2</v>
      </c>
      <c r="G74" s="38"/>
      <c r="H74" s="38"/>
    </row>
    <row r="75" spans="1:8" x14ac:dyDescent="0.25">
      <c r="A75" s="18">
        <v>113</v>
      </c>
      <c r="B75" s="38"/>
      <c r="C75" s="38" t="s">
        <v>2</v>
      </c>
      <c r="D75" s="38" t="s">
        <v>7</v>
      </c>
      <c r="E75" s="38" t="s">
        <v>7</v>
      </c>
      <c r="F75" s="38"/>
      <c r="G75" s="38"/>
      <c r="H75" s="38" t="s">
        <v>2</v>
      </c>
    </row>
    <row r="76" spans="1:8" x14ac:dyDescent="0.25">
      <c r="A76" s="18">
        <v>114</v>
      </c>
      <c r="B76" s="38" t="s">
        <v>2</v>
      </c>
      <c r="C76" s="38"/>
      <c r="D76" s="38"/>
      <c r="E76" s="38" t="s">
        <v>2</v>
      </c>
      <c r="F76" s="38"/>
      <c r="G76" s="38"/>
      <c r="H76" s="38" t="s">
        <v>2</v>
      </c>
    </row>
    <row r="77" spans="1:8" x14ac:dyDescent="0.25">
      <c r="A77" s="18">
        <v>115</v>
      </c>
      <c r="B77" s="38"/>
      <c r="C77" s="38" t="s">
        <v>2</v>
      </c>
      <c r="D77" s="38"/>
      <c r="E77" s="38"/>
      <c r="F77" s="38" t="s">
        <v>2</v>
      </c>
      <c r="G77" s="38"/>
      <c r="H77" s="38"/>
    </row>
    <row r="78" spans="1:8" x14ac:dyDescent="0.25">
      <c r="A78" s="18">
        <v>116</v>
      </c>
      <c r="B78" s="38" t="s">
        <v>2</v>
      </c>
      <c r="C78" s="38"/>
      <c r="D78" s="38" t="s">
        <v>5</v>
      </c>
      <c r="E78" s="38"/>
      <c r="F78" s="38"/>
      <c r="G78" s="38"/>
      <c r="H78" s="38" t="s">
        <v>2</v>
      </c>
    </row>
    <row r="79" spans="1:8" x14ac:dyDescent="0.25">
      <c r="A79" s="18">
        <v>117</v>
      </c>
      <c r="B79" s="38"/>
      <c r="C79" s="38"/>
      <c r="D79" s="38" t="s">
        <v>2</v>
      </c>
      <c r="E79" s="38"/>
      <c r="F79" s="38"/>
      <c r="G79" s="38"/>
      <c r="H79" s="38"/>
    </row>
    <row r="80" spans="1:8" x14ac:dyDescent="0.25">
      <c r="A80" s="18">
        <v>118</v>
      </c>
      <c r="B80" s="38" t="s">
        <v>2</v>
      </c>
      <c r="C80" s="38"/>
      <c r="D80" s="38"/>
      <c r="E80" s="38" t="s">
        <v>2</v>
      </c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 t="s">
        <v>5</v>
      </c>
      <c r="F81" s="38" t="s">
        <v>2</v>
      </c>
      <c r="G81" s="38"/>
      <c r="H81" s="38" t="s">
        <v>2</v>
      </c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/>
      <c r="D90" s="38" t="s">
        <v>5</v>
      </c>
      <c r="E90" s="38"/>
      <c r="F90" s="38"/>
      <c r="G90" s="38"/>
      <c r="H90" s="38"/>
    </row>
    <row r="91" spans="1:8" x14ac:dyDescent="0.25">
      <c r="A91" s="18">
        <v>129</v>
      </c>
      <c r="B91" s="38"/>
      <c r="C91" s="38" t="s">
        <v>6</v>
      </c>
      <c r="D91" s="38" t="s">
        <v>2</v>
      </c>
      <c r="E91" s="38" t="s">
        <v>5</v>
      </c>
      <c r="F91" s="38"/>
      <c r="G91" s="38"/>
      <c r="H91" s="38"/>
    </row>
    <row r="92" spans="1:8" x14ac:dyDescent="0.25">
      <c r="A92" s="18">
        <v>130</v>
      </c>
      <c r="B92" s="38"/>
      <c r="C92" s="38" t="s">
        <v>2</v>
      </c>
      <c r="D92" s="38"/>
      <c r="E92" s="38"/>
      <c r="F92" s="38" t="s">
        <v>5</v>
      </c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1171" priority="18" operator="equal">
      <formula>"Energia"</formula>
    </cfRule>
    <cfRule type="cellIs" dxfId="1170" priority="20" operator="equal">
      <formula>"Operação"</formula>
    </cfRule>
    <cfRule type="cellIs" dxfId="1169" priority="21" operator="equal">
      <formula>"Chuva"</formula>
    </cfRule>
    <cfRule type="cellIs" dxfId="1168" priority="22" operator="equal">
      <formula>"Elétrico"</formula>
    </cfRule>
    <cfRule type="cellIs" dxfId="1167" priority="23" operator="equal">
      <formula>"Mecânico"</formula>
    </cfRule>
    <cfRule type="cellIs" dxfId="1166" priority="24" operator="equal">
      <formula>"Ok"</formula>
    </cfRule>
  </conditionalFormatting>
  <conditionalFormatting sqref="B61:I62 I5:I60 B63:H95">
    <cfRule type="cellIs" dxfId="1165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164" priority="16" operator="equal">
      <formula>"Energia"</formula>
    </cfRule>
  </conditionalFormatting>
  <conditionalFormatting sqref="B5:E60 G5:H60">
    <cfRule type="cellIs" dxfId="1163" priority="9" operator="equal">
      <formula>"Energia"</formula>
    </cfRule>
    <cfRule type="cellIs" dxfId="1162" priority="11" operator="equal">
      <formula>"Operação"</formula>
    </cfRule>
    <cfRule type="cellIs" dxfId="1161" priority="12" operator="equal">
      <formula>"Chuva"</formula>
    </cfRule>
    <cfRule type="cellIs" dxfId="1160" priority="13" operator="equal">
      <formula>"Elétrico"</formula>
    </cfRule>
    <cfRule type="cellIs" dxfId="1159" priority="14" operator="equal">
      <formula>"Mecânico"</formula>
    </cfRule>
    <cfRule type="cellIs" dxfId="1158" priority="15" operator="equal">
      <formula>"Ok"</formula>
    </cfRule>
  </conditionalFormatting>
  <conditionalFormatting sqref="B5:E60 G5:H60">
    <cfRule type="cellIs" dxfId="1157" priority="10" operator="equal">
      <formula>"Feito"</formula>
    </cfRule>
  </conditionalFormatting>
  <conditionalFormatting sqref="F5:F11">
    <cfRule type="cellIs" dxfId="1156" priority="8" operator="equal">
      <formula>"Energia"</formula>
    </cfRule>
  </conditionalFormatting>
  <conditionalFormatting sqref="F5:F60">
    <cfRule type="cellIs" dxfId="1155" priority="1" operator="equal">
      <formula>"Energia"</formula>
    </cfRule>
    <cfRule type="cellIs" dxfId="1154" priority="3" operator="equal">
      <formula>"Operação"</formula>
    </cfRule>
    <cfRule type="cellIs" dxfId="1153" priority="4" operator="equal">
      <formula>"Chuva"</formula>
    </cfRule>
    <cfRule type="cellIs" dxfId="1152" priority="5" operator="equal">
      <formula>"Elétrico"</formula>
    </cfRule>
    <cfRule type="cellIs" dxfId="1151" priority="6" operator="equal">
      <formula>"Mecânico"</formula>
    </cfRule>
    <cfRule type="cellIs" dxfId="1150" priority="7" operator="equal">
      <formula>"Ok"</formula>
    </cfRule>
  </conditionalFormatting>
  <conditionalFormatting sqref="F5:F60">
    <cfRule type="cellIs" dxfId="1149" priority="2" operator="equal">
      <formula>"Feito"</formula>
    </cfRule>
  </conditionalFormatting>
  <dataValidations count="1">
    <dataValidation type="list" allowBlank="1" showInputMessage="1" showErrorMessage="1" sqref="B61:I62 B5:I26 B27:J60 B63:H95" xr:uid="{D1B2DD36-9754-4EBE-9DCB-AF5F149430F4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DF3FF-A37F-4337-A25B-A3563F13F53C}">
  <dimension ref="A1:M95"/>
  <sheetViews>
    <sheetView zoomScale="110" zoomScaleNormal="110" workbookViewId="0">
      <pane ySplit="4" topLeftCell="A5" activePane="bottomLeft" state="frozen"/>
      <selection pane="bottomLeft" activeCell="M14" sqref="M1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3" max="13" width="10.85546875" bestFit="1" customWidth="1"/>
    <col min="17" max="17" width="8.5703125" customWidth="1"/>
  </cols>
  <sheetData>
    <row r="1" spans="1:13" x14ac:dyDescent="0.25">
      <c r="A1" s="70" t="s">
        <v>18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4" t="s">
        <v>16</v>
      </c>
      <c r="B3" s="23">
        <v>44634</v>
      </c>
      <c r="C3" s="23">
        <f>B3+1</f>
        <v>44635</v>
      </c>
      <c r="D3" s="23">
        <f t="shared" ref="D3:H3" si="0">C3+1</f>
        <v>44636</v>
      </c>
      <c r="E3" s="23">
        <f t="shared" si="0"/>
        <v>44637</v>
      </c>
      <c r="F3" s="23">
        <f t="shared" si="0"/>
        <v>44638</v>
      </c>
      <c r="G3" s="23">
        <f t="shared" si="0"/>
        <v>44639</v>
      </c>
      <c r="H3" s="25">
        <f t="shared" si="0"/>
        <v>44640</v>
      </c>
      <c r="I3" s="3"/>
    </row>
    <row r="4" spans="1:13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</row>
    <row r="5" spans="1:13" x14ac:dyDescent="0.25">
      <c r="A5" s="4">
        <v>1</v>
      </c>
      <c r="B5" s="38" t="s">
        <v>2</v>
      </c>
      <c r="C5" s="38"/>
      <c r="D5" s="38"/>
      <c r="E5" s="38"/>
      <c r="F5" s="38"/>
      <c r="G5" s="38" t="s">
        <v>2</v>
      </c>
      <c r="H5" s="38"/>
      <c r="J5" s="48" t="s">
        <v>2</v>
      </c>
      <c r="K5" s="33">
        <f>COUNTIF($B$5:$H$95,J5)</f>
        <v>105</v>
      </c>
      <c r="L5" s="34">
        <f t="shared" ref="L5:L8" si="2">K5/$K$11</f>
        <v>0.66878980891719741</v>
      </c>
      <c r="M5" s="52">
        <v>44634</v>
      </c>
    </row>
    <row r="6" spans="1:13" x14ac:dyDescent="0.25">
      <c r="A6" s="4">
        <v>2</v>
      </c>
      <c r="B6" s="38" t="s">
        <v>2</v>
      </c>
      <c r="C6" s="38" t="s">
        <v>2</v>
      </c>
      <c r="D6" s="38"/>
      <c r="E6" s="38"/>
      <c r="F6" s="38"/>
      <c r="G6" s="38"/>
      <c r="H6" s="38" t="s">
        <v>2</v>
      </c>
      <c r="J6" s="42" t="s">
        <v>5</v>
      </c>
      <c r="K6" s="33">
        <f t="shared" ref="K6:K10" si="3">COUNTIF($B$5:$H$95,J6)</f>
        <v>18</v>
      </c>
      <c r="L6" s="35">
        <f t="shared" si="2"/>
        <v>0.11464968152866242</v>
      </c>
    </row>
    <row r="7" spans="1:13" x14ac:dyDescent="0.25">
      <c r="A7" s="4">
        <v>3</v>
      </c>
      <c r="B7" s="38" t="s">
        <v>2</v>
      </c>
      <c r="C7" s="38" t="s">
        <v>2</v>
      </c>
      <c r="D7" s="38" t="s">
        <v>2</v>
      </c>
      <c r="E7" s="38"/>
      <c r="F7" s="38"/>
      <c r="G7" s="38" t="s">
        <v>7</v>
      </c>
      <c r="H7" s="38"/>
      <c r="J7" s="46" t="s">
        <v>6</v>
      </c>
      <c r="K7" s="33">
        <f t="shared" si="3"/>
        <v>13</v>
      </c>
      <c r="L7" s="35">
        <f t="shared" si="2"/>
        <v>8.2802547770700632E-2</v>
      </c>
    </row>
    <row r="8" spans="1:13" x14ac:dyDescent="0.25">
      <c r="A8" s="4">
        <v>4</v>
      </c>
      <c r="B8" s="38" t="s">
        <v>2</v>
      </c>
      <c r="C8" s="38" t="s">
        <v>2</v>
      </c>
      <c r="D8" s="38" t="s">
        <v>2</v>
      </c>
      <c r="E8" s="38"/>
      <c r="F8" s="38"/>
      <c r="G8" s="38" t="s">
        <v>2</v>
      </c>
      <c r="H8" s="38" t="s">
        <v>2</v>
      </c>
      <c r="J8" s="47" t="s">
        <v>4</v>
      </c>
      <c r="K8" s="33">
        <f t="shared" si="3"/>
        <v>5</v>
      </c>
      <c r="L8" s="35">
        <f t="shared" si="2"/>
        <v>3.1847133757961783E-2</v>
      </c>
    </row>
    <row r="9" spans="1:13" x14ac:dyDescent="0.25">
      <c r="A9" s="4">
        <v>5</v>
      </c>
      <c r="B9" s="38"/>
      <c r="C9" s="38"/>
      <c r="D9" s="38"/>
      <c r="E9" s="38"/>
      <c r="F9" s="38"/>
      <c r="G9" s="38"/>
      <c r="H9" s="38"/>
      <c r="J9" s="45" t="s">
        <v>3</v>
      </c>
      <c r="K9" s="33">
        <f t="shared" si="3"/>
        <v>5</v>
      </c>
      <c r="L9" s="35">
        <f>K9/$K$11</f>
        <v>3.1847133757961783E-2</v>
      </c>
    </row>
    <row r="10" spans="1:13" x14ac:dyDescent="0.25">
      <c r="A10" s="4">
        <v>6</v>
      </c>
      <c r="B10" s="38"/>
      <c r="C10" s="38" t="s">
        <v>6</v>
      </c>
      <c r="D10" s="38" t="s">
        <v>6</v>
      </c>
      <c r="E10" s="38"/>
      <c r="F10" s="38"/>
      <c r="G10" s="38"/>
      <c r="H10" s="38"/>
      <c r="J10" s="43" t="s">
        <v>7</v>
      </c>
      <c r="K10" s="33">
        <f t="shared" si="3"/>
        <v>11</v>
      </c>
      <c r="L10" s="37">
        <f>K10/$K$11</f>
        <v>7.0063694267515922E-2</v>
      </c>
    </row>
    <row r="11" spans="1:13" x14ac:dyDescent="0.25">
      <c r="A11" s="4">
        <v>7</v>
      </c>
      <c r="B11" s="38"/>
      <c r="C11" s="38"/>
      <c r="D11" s="38"/>
      <c r="E11" s="38"/>
      <c r="F11" s="38"/>
      <c r="G11" s="38"/>
      <c r="H11" s="38"/>
      <c r="J11" s="44" t="s">
        <v>17</v>
      </c>
      <c r="K11" s="11">
        <f>SUM(K5:K10)</f>
        <v>157</v>
      </c>
    </row>
    <row r="12" spans="1:13" x14ac:dyDescent="0.25">
      <c r="A12" s="4">
        <v>8</v>
      </c>
      <c r="B12" s="38"/>
      <c r="C12" s="38"/>
      <c r="D12" s="38"/>
      <c r="E12" s="38"/>
      <c r="F12" s="38"/>
      <c r="G12" s="38"/>
      <c r="H12" s="38"/>
    </row>
    <row r="13" spans="1:13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3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3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3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/>
      <c r="C19" s="38"/>
      <c r="D19" s="38" t="s">
        <v>2</v>
      </c>
      <c r="E19" s="38"/>
      <c r="F19" s="38"/>
      <c r="G19" s="38"/>
      <c r="H19" s="38" t="s">
        <v>2</v>
      </c>
    </row>
    <row r="20" spans="1:8" x14ac:dyDescent="0.25">
      <c r="A20" s="4">
        <v>16</v>
      </c>
      <c r="B20" s="38"/>
      <c r="C20" s="38" t="s">
        <v>2</v>
      </c>
      <c r="D20" s="38"/>
      <c r="E20" s="38"/>
      <c r="F20" s="38"/>
      <c r="G20" s="38"/>
      <c r="H20" s="38"/>
    </row>
    <row r="21" spans="1:8" x14ac:dyDescent="0.25">
      <c r="A21" s="4">
        <v>17</v>
      </c>
      <c r="B21" s="38"/>
      <c r="C21" s="38" t="s">
        <v>2</v>
      </c>
      <c r="D21" s="38"/>
      <c r="E21" s="38"/>
      <c r="F21" s="38"/>
      <c r="G21" s="38"/>
      <c r="H21" s="38" t="s">
        <v>2</v>
      </c>
    </row>
    <row r="22" spans="1:8" x14ac:dyDescent="0.25">
      <c r="A22" s="4">
        <v>18</v>
      </c>
      <c r="B22" s="38"/>
      <c r="C22" s="38"/>
      <c r="D22" s="38" t="s">
        <v>7</v>
      </c>
      <c r="E22" s="38"/>
      <c r="F22" s="38"/>
      <c r="G22" s="38" t="s">
        <v>2</v>
      </c>
      <c r="H22" s="38"/>
    </row>
    <row r="23" spans="1:8" x14ac:dyDescent="0.25">
      <c r="A23" s="4">
        <v>19</v>
      </c>
      <c r="B23" s="38"/>
      <c r="C23" s="38" t="s">
        <v>2</v>
      </c>
      <c r="D23" s="38"/>
      <c r="E23" s="38"/>
      <c r="F23" s="38"/>
      <c r="G23" s="38"/>
      <c r="H23" s="38"/>
    </row>
    <row r="24" spans="1:8" x14ac:dyDescent="0.25">
      <c r="A24" s="4">
        <v>20</v>
      </c>
      <c r="B24" s="38"/>
      <c r="C24" s="38"/>
      <c r="D24" s="38" t="s">
        <v>7</v>
      </c>
      <c r="E24" s="38"/>
      <c r="F24" s="38"/>
      <c r="G24" s="38" t="s">
        <v>2</v>
      </c>
      <c r="H24" s="38"/>
    </row>
    <row r="25" spans="1:8" x14ac:dyDescent="0.25">
      <c r="A25" s="4">
        <v>21</v>
      </c>
      <c r="B25" s="38"/>
      <c r="C25" s="38"/>
      <c r="D25" s="38"/>
      <c r="E25" s="38"/>
      <c r="F25" s="38"/>
      <c r="G25" s="38"/>
      <c r="H25" s="38" t="s">
        <v>6</v>
      </c>
    </row>
    <row r="26" spans="1:8" x14ac:dyDescent="0.25">
      <c r="A26" s="4">
        <v>22</v>
      </c>
      <c r="B26" s="38"/>
      <c r="C26" s="38"/>
      <c r="D26" s="38" t="s">
        <v>2</v>
      </c>
      <c r="E26" s="38" t="s">
        <v>7</v>
      </c>
      <c r="F26" s="38"/>
      <c r="G26" s="38"/>
      <c r="H26" s="38"/>
    </row>
    <row r="27" spans="1:8" x14ac:dyDescent="0.25">
      <c r="A27" s="4">
        <v>23</v>
      </c>
      <c r="B27" s="38"/>
      <c r="C27" s="38"/>
      <c r="D27" s="38" t="s">
        <v>3</v>
      </c>
      <c r="E27" s="38"/>
      <c r="F27" s="38"/>
      <c r="G27" s="38" t="s">
        <v>2</v>
      </c>
      <c r="H27" s="38"/>
    </row>
    <row r="28" spans="1:8" x14ac:dyDescent="0.25">
      <c r="A28" s="4">
        <v>24</v>
      </c>
      <c r="B28" s="38" t="s">
        <v>2</v>
      </c>
      <c r="C28" s="38"/>
      <c r="D28" s="38"/>
      <c r="E28" s="38"/>
      <c r="F28" s="38"/>
      <c r="G28" s="38"/>
      <c r="H28" s="38" t="s">
        <v>2</v>
      </c>
    </row>
    <row r="29" spans="1:8" x14ac:dyDescent="0.25">
      <c r="A29" s="4">
        <v>25</v>
      </c>
      <c r="B29" s="38" t="s">
        <v>2</v>
      </c>
      <c r="C29" s="38" t="s">
        <v>2</v>
      </c>
      <c r="D29" s="38" t="s">
        <v>6</v>
      </c>
      <c r="E29" s="38"/>
      <c r="F29" s="38"/>
      <c r="G29" s="38" t="s">
        <v>2</v>
      </c>
      <c r="H29" s="38" t="s">
        <v>2</v>
      </c>
    </row>
    <row r="30" spans="1:8" x14ac:dyDescent="0.25">
      <c r="A30" s="4">
        <v>26</v>
      </c>
      <c r="B30" s="38" t="s">
        <v>2</v>
      </c>
      <c r="C30" s="38"/>
      <c r="D30" s="38"/>
      <c r="E30" s="38"/>
      <c r="F30" s="38"/>
      <c r="G30" s="38"/>
      <c r="H30" s="38" t="s">
        <v>6</v>
      </c>
    </row>
    <row r="31" spans="1:8" x14ac:dyDescent="0.25">
      <c r="A31" s="4">
        <v>27</v>
      </c>
      <c r="B31" s="38"/>
      <c r="C31" s="38"/>
      <c r="D31" s="38"/>
      <c r="E31" s="38"/>
      <c r="F31" s="38"/>
      <c r="G31" s="38" t="s">
        <v>2</v>
      </c>
      <c r="H31" s="38"/>
    </row>
    <row r="32" spans="1:8" x14ac:dyDescent="0.25">
      <c r="A32" s="4">
        <v>28</v>
      </c>
      <c r="B32" s="38" t="s">
        <v>2</v>
      </c>
      <c r="C32" s="38"/>
      <c r="D32" s="38"/>
      <c r="E32" s="38"/>
      <c r="F32" s="38"/>
      <c r="G32" s="38"/>
      <c r="H32" s="38"/>
    </row>
    <row r="33" spans="1:8" x14ac:dyDescent="0.25">
      <c r="A33" s="4">
        <v>29</v>
      </c>
      <c r="B33" s="38" t="s">
        <v>5</v>
      </c>
      <c r="C33" s="38" t="s">
        <v>2</v>
      </c>
      <c r="D33" s="38" t="s">
        <v>3</v>
      </c>
      <c r="E33" s="38"/>
      <c r="F33" s="38"/>
      <c r="G33" s="38" t="s">
        <v>2</v>
      </c>
      <c r="H33" s="38" t="s">
        <v>2</v>
      </c>
    </row>
    <row r="34" spans="1:8" x14ac:dyDescent="0.25">
      <c r="A34" s="4">
        <v>30</v>
      </c>
      <c r="B34" s="38" t="s">
        <v>7</v>
      </c>
      <c r="C34" s="38" t="s">
        <v>2</v>
      </c>
      <c r="D34" s="38"/>
      <c r="E34" s="38"/>
      <c r="F34" s="38"/>
      <c r="G34" s="38" t="s">
        <v>2</v>
      </c>
      <c r="H34" s="38"/>
    </row>
    <row r="35" spans="1:8" x14ac:dyDescent="0.25">
      <c r="A35" s="4">
        <v>31</v>
      </c>
      <c r="B35" s="38"/>
      <c r="C35" s="38"/>
      <c r="D35" s="38" t="s">
        <v>3</v>
      </c>
      <c r="E35" s="38"/>
      <c r="F35" s="38"/>
      <c r="G35" s="38"/>
      <c r="H35" s="38"/>
    </row>
    <row r="36" spans="1:8" x14ac:dyDescent="0.25">
      <c r="A36" s="4">
        <v>32</v>
      </c>
      <c r="B36" s="38"/>
      <c r="C36" s="38" t="s">
        <v>2</v>
      </c>
      <c r="D36" s="38"/>
      <c r="E36" s="38" t="s">
        <v>2</v>
      </c>
      <c r="F36" s="38"/>
      <c r="G36" s="38"/>
      <c r="H36" s="38" t="s">
        <v>2</v>
      </c>
    </row>
    <row r="37" spans="1:8" x14ac:dyDescent="0.25">
      <c r="A37" s="4">
        <v>33</v>
      </c>
      <c r="B37" s="38" t="s">
        <v>2</v>
      </c>
      <c r="C37" s="38"/>
      <c r="D37" s="38" t="s">
        <v>2</v>
      </c>
      <c r="E37" s="38"/>
      <c r="F37" s="38"/>
      <c r="G37" s="38" t="s">
        <v>7</v>
      </c>
      <c r="H37" s="38"/>
    </row>
    <row r="38" spans="1:8" x14ac:dyDescent="0.25">
      <c r="A38" s="4">
        <v>34</v>
      </c>
      <c r="B38" s="38" t="s">
        <v>5</v>
      </c>
      <c r="C38" s="38"/>
      <c r="D38" s="38" t="s">
        <v>3</v>
      </c>
      <c r="E38" s="38"/>
      <c r="F38" s="38"/>
      <c r="G38" s="38"/>
      <c r="H38" s="38" t="s">
        <v>2</v>
      </c>
    </row>
    <row r="39" spans="1:8" x14ac:dyDescent="0.25">
      <c r="A39" s="4">
        <v>35</v>
      </c>
      <c r="B39" s="38" t="s">
        <v>6</v>
      </c>
      <c r="C39" s="38" t="s">
        <v>6</v>
      </c>
      <c r="D39" s="38" t="s">
        <v>6</v>
      </c>
      <c r="E39" s="38"/>
      <c r="F39" s="38"/>
      <c r="G39" s="38"/>
      <c r="H39" s="38" t="s">
        <v>5</v>
      </c>
    </row>
    <row r="40" spans="1:8" x14ac:dyDescent="0.25">
      <c r="A40" s="4">
        <v>36</v>
      </c>
      <c r="B40" s="38" t="s">
        <v>2</v>
      </c>
      <c r="C40" s="38"/>
      <c r="D40" s="38"/>
      <c r="E40" s="38"/>
      <c r="F40" s="38"/>
      <c r="G40" s="38"/>
      <c r="H40" s="38"/>
    </row>
    <row r="41" spans="1:8" x14ac:dyDescent="0.25">
      <c r="A41" s="4">
        <v>37</v>
      </c>
      <c r="B41" s="38" t="s">
        <v>2</v>
      </c>
      <c r="C41" s="38" t="s">
        <v>2</v>
      </c>
      <c r="D41" s="38" t="s">
        <v>2</v>
      </c>
      <c r="E41" s="38" t="s">
        <v>2</v>
      </c>
      <c r="F41" s="38"/>
      <c r="G41" s="38" t="s">
        <v>6</v>
      </c>
      <c r="H41" s="38" t="s">
        <v>2</v>
      </c>
    </row>
    <row r="42" spans="1:8" x14ac:dyDescent="0.25">
      <c r="A42" s="4">
        <v>38</v>
      </c>
      <c r="B42" s="38"/>
      <c r="C42" s="38" t="s">
        <v>2</v>
      </c>
      <c r="D42" s="38"/>
      <c r="E42" s="38"/>
      <c r="F42" s="38"/>
      <c r="G42" s="38"/>
      <c r="H42" s="38" t="s">
        <v>4</v>
      </c>
    </row>
    <row r="43" spans="1:8" x14ac:dyDescent="0.25">
      <c r="A43" s="4">
        <v>39</v>
      </c>
      <c r="B43" s="38"/>
      <c r="C43" s="38"/>
      <c r="D43" s="38" t="s">
        <v>3</v>
      </c>
      <c r="E43" s="38"/>
      <c r="F43" s="38"/>
      <c r="G43" s="38"/>
      <c r="H43" s="38"/>
    </row>
    <row r="44" spans="1:8" x14ac:dyDescent="0.25">
      <c r="A44" s="4">
        <v>40</v>
      </c>
      <c r="B44" s="38" t="s">
        <v>2</v>
      </c>
      <c r="C44" s="38"/>
      <c r="D44" s="38"/>
      <c r="E44" s="38"/>
      <c r="F44" s="38"/>
      <c r="G44" s="38"/>
      <c r="H44" s="38"/>
    </row>
    <row r="45" spans="1:8" x14ac:dyDescent="0.25">
      <c r="A45" s="4">
        <v>41</v>
      </c>
      <c r="B45" s="38" t="s">
        <v>2</v>
      </c>
      <c r="C45" s="38"/>
      <c r="D45" s="38"/>
      <c r="E45" s="38"/>
      <c r="F45" s="38"/>
      <c r="G45" s="38" t="s">
        <v>2</v>
      </c>
      <c r="H45" s="38"/>
    </row>
    <row r="46" spans="1:8" x14ac:dyDescent="0.25">
      <c r="A46" s="4">
        <v>42</v>
      </c>
      <c r="B46" s="38"/>
      <c r="C46" s="38"/>
      <c r="D46" s="38" t="s">
        <v>2</v>
      </c>
      <c r="E46" s="38"/>
      <c r="F46" s="38"/>
      <c r="G46" s="38"/>
      <c r="H46" s="38" t="s">
        <v>4</v>
      </c>
    </row>
    <row r="47" spans="1:8" x14ac:dyDescent="0.25">
      <c r="A47" s="4">
        <v>43</v>
      </c>
      <c r="B47" s="38"/>
      <c r="C47" s="38" t="s">
        <v>7</v>
      </c>
      <c r="D47" s="38"/>
      <c r="E47" s="38"/>
      <c r="F47" s="38"/>
      <c r="G47" s="38" t="s">
        <v>2</v>
      </c>
      <c r="H47" s="38"/>
    </row>
    <row r="48" spans="1:8" x14ac:dyDescent="0.25">
      <c r="A48" s="4">
        <v>44</v>
      </c>
      <c r="B48" s="38"/>
      <c r="C48" s="38"/>
      <c r="D48" s="38" t="s">
        <v>2</v>
      </c>
      <c r="E48" s="38"/>
      <c r="F48" s="38"/>
      <c r="G48" s="38"/>
      <c r="H48" s="38"/>
    </row>
    <row r="49" spans="1:8" x14ac:dyDescent="0.25">
      <c r="A49" s="4">
        <v>45</v>
      </c>
      <c r="B49" s="38" t="s">
        <v>2</v>
      </c>
      <c r="C49" s="38"/>
      <c r="D49" s="38" t="s">
        <v>5</v>
      </c>
      <c r="E49" s="38"/>
      <c r="F49" s="38"/>
      <c r="G49" s="38" t="s">
        <v>2</v>
      </c>
      <c r="H49" s="38"/>
    </row>
    <row r="50" spans="1:8" x14ac:dyDescent="0.25">
      <c r="A50" s="4">
        <v>46</v>
      </c>
      <c r="B50" s="38" t="s">
        <v>2</v>
      </c>
      <c r="C50" s="38"/>
      <c r="D50" s="38" t="s">
        <v>2</v>
      </c>
      <c r="E50" s="38"/>
      <c r="F50" s="38"/>
      <c r="G50" s="38"/>
      <c r="H50" s="38" t="s">
        <v>4</v>
      </c>
    </row>
    <row r="51" spans="1:8" x14ac:dyDescent="0.25">
      <c r="A51" s="4">
        <v>47</v>
      </c>
      <c r="B51" s="38"/>
      <c r="C51" s="38" t="s">
        <v>7</v>
      </c>
      <c r="D51" s="38" t="s">
        <v>5</v>
      </c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 t="s">
        <v>5</v>
      </c>
      <c r="D53" s="38"/>
      <c r="E53" s="38"/>
      <c r="F53" s="38"/>
      <c r="G53" s="38"/>
      <c r="H53" s="38" t="s">
        <v>5</v>
      </c>
    </row>
    <row r="54" spans="1:8" x14ac:dyDescent="0.25">
      <c r="A54" s="4">
        <v>50</v>
      </c>
      <c r="B54" s="38"/>
      <c r="C54" s="38" t="s">
        <v>2</v>
      </c>
      <c r="D54" s="38"/>
      <c r="E54" s="38"/>
      <c r="F54" s="38"/>
      <c r="G54" s="38"/>
      <c r="H54" s="38" t="s">
        <v>4</v>
      </c>
    </row>
    <row r="55" spans="1:8" x14ac:dyDescent="0.25">
      <c r="A55" s="4">
        <v>51</v>
      </c>
      <c r="B55" s="38" t="s">
        <v>2</v>
      </c>
      <c r="C55" s="38"/>
      <c r="D55" s="38"/>
      <c r="E55" s="38"/>
      <c r="F55" s="38"/>
      <c r="G55" s="38" t="s">
        <v>6</v>
      </c>
      <c r="H55" s="38"/>
    </row>
    <row r="56" spans="1:8" x14ac:dyDescent="0.25">
      <c r="A56" s="4">
        <v>52</v>
      </c>
      <c r="B56" s="38"/>
      <c r="C56" s="38" t="s">
        <v>2</v>
      </c>
      <c r="D56" s="38"/>
      <c r="E56" s="38"/>
      <c r="F56" s="38"/>
      <c r="G56" s="38" t="s">
        <v>2</v>
      </c>
      <c r="H56" s="38"/>
    </row>
    <row r="57" spans="1:8" x14ac:dyDescent="0.25">
      <c r="A57" s="4">
        <v>53</v>
      </c>
      <c r="B57" s="38"/>
      <c r="C57" s="38"/>
      <c r="D57" s="38" t="s">
        <v>2</v>
      </c>
      <c r="E57" s="38"/>
      <c r="F57" s="38"/>
      <c r="G57" s="38"/>
      <c r="H57" s="38" t="s">
        <v>4</v>
      </c>
    </row>
    <row r="58" spans="1:8" x14ac:dyDescent="0.25">
      <c r="A58" s="4">
        <v>54</v>
      </c>
      <c r="B58" s="38"/>
      <c r="C58" s="38" t="s">
        <v>2</v>
      </c>
      <c r="D58" s="38"/>
      <c r="E58" s="38"/>
      <c r="F58" s="38"/>
      <c r="G58" s="38" t="s">
        <v>7</v>
      </c>
      <c r="H58" s="38"/>
    </row>
    <row r="59" spans="1:8" x14ac:dyDescent="0.25">
      <c r="A59" s="4">
        <v>55</v>
      </c>
      <c r="B59" s="38" t="s">
        <v>5</v>
      </c>
      <c r="C59" s="38" t="s">
        <v>5</v>
      </c>
      <c r="D59" s="38"/>
      <c r="E59" s="38"/>
      <c r="F59" s="38"/>
      <c r="G59" s="38"/>
      <c r="H59" s="38"/>
    </row>
    <row r="60" spans="1:8" x14ac:dyDescent="0.25">
      <c r="A60" s="4">
        <v>56</v>
      </c>
      <c r="B60" s="38"/>
      <c r="C60" s="38"/>
      <c r="D60" s="38"/>
      <c r="E60" s="38"/>
      <c r="F60" s="38"/>
      <c r="G60" s="38"/>
      <c r="H60" s="38"/>
    </row>
    <row r="61" spans="1:8" x14ac:dyDescent="0.25">
      <c r="A61" s="18">
        <v>73</v>
      </c>
      <c r="B61" s="38"/>
      <c r="C61" s="38" t="s">
        <v>2</v>
      </c>
      <c r="D61" s="38"/>
      <c r="E61" s="38"/>
      <c r="F61" s="38"/>
      <c r="G61" s="38"/>
      <c r="H61" s="38"/>
    </row>
    <row r="62" spans="1:8" x14ac:dyDescent="0.25">
      <c r="A62" s="18">
        <v>74</v>
      </c>
      <c r="B62" s="38" t="s">
        <v>2</v>
      </c>
      <c r="C62" s="38"/>
      <c r="D62" s="38" t="s">
        <v>2</v>
      </c>
      <c r="E62" s="38"/>
      <c r="F62" s="38"/>
      <c r="G62" s="38" t="s">
        <v>7</v>
      </c>
      <c r="H62" s="38" t="s">
        <v>7</v>
      </c>
    </row>
    <row r="63" spans="1:8" x14ac:dyDescent="0.25">
      <c r="A63" s="18">
        <v>101</v>
      </c>
      <c r="B63" s="39" t="s">
        <v>2</v>
      </c>
      <c r="C63" s="38"/>
      <c r="D63" s="38" t="s">
        <v>2</v>
      </c>
      <c r="E63" s="38"/>
      <c r="F63" s="38"/>
      <c r="G63" s="38"/>
      <c r="H63" s="38" t="s">
        <v>2</v>
      </c>
    </row>
    <row r="64" spans="1:8" x14ac:dyDescent="0.25">
      <c r="A64" s="18">
        <v>102</v>
      </c>
      <c r="B64" s="38"/>
      <c r="C64" s="38" t="s">
        <v>2</v>
      </c>
      <c r="D64" s="38"/>
      <c r="E64" s="38"/>
      <c r="F64" s="38"/>
      <c r="G64" s="38" t="s">
        <v>2</v>
      </c>
      <c r="H64" s="38"/>
    </row>
    <row r="65" spans="1:8" x14ac:dyDescent="0.25">
      <c r="A65" s="18">
        <v>103</v>
      </c>
      <c r="B65" s="38"/>
      <c r="C65" s="38" t="s">
        <v>2</v>
      </c>
      <c r="D65" s="38"/>
      <c r="E65" s="38"/>
      <c r="F65" s="38"/>
      <c r="G65" s="38" t="s">
        <v>2</v>
      </c>
      <c r="H65" s="38"/>
    </row>
    <row r="66" spans="1:8" x14ac:dyDescent="0.25">
      <c r="A66" s="18">
        <v>104</v>
      </c>
      <c r="B66" s="38" t="s">
        <v>2</v>
      </c>
      <c r="C66" s="38"/>
      <c r="D66" s="38" t="s">
        <v>2</v>
      </c>
      <c r="E66" s="38"/>
      <c r="F66" s="38"/>
      <c r="G66" s="38"/>
      <c r="H66" s="38" t="s">
        <v>2</v>
      </c>
    </row>
    <row r="67" spans="1:8" x14ac:dyDescent="0.25">
      <c r="A67" s="18">
        <v>105</v>
      </c>
      <c r="B67" s="38"/>
      <c r="C67" s="38"/>
      <c r="D67" s="38" t="s">
        <v>2</v>
      </c>
      <c r="E67" s="38"/>
      <c r="F67" s="38"/>
      <c r="G67" s="38"/>
      <c r="H67" s="38"/>
    </row>
    <row r="68" spans="1:8" x14ac:dyDescent="0.25">
      <c r="A68" s="18">
        <v>106</v>
      </c>
      <c r="B68" s="38" t="s">
        <v>2</v>
      </c>
      <c r="C68" s="38" t="s">
        <v>2</v>
      </c>
      <c r="D68" s="38" t="s">
        <v>2</v>
      </c>
      <c r="E68" s="38"/>
      <c r="F68" s="38"/>
      <c r="G68" s="38" t="s">
        <v>2</v>
      </c>
      <c r="H68" s="38"/>
    </row>
    <row r="69" spans="1:8" x14ac:dyDescent="0.25">
      <c r="A69" s="18">
        <v>107</v>
      </c>
      <c r="B69" s="38" t="s">
        <v>2</v>
      </c>
      <c r="C69" s="38"/>
      <c r="D69" s="38"/>
      <c r="E69" s="38"/>
      <c r="F69" s="38"/>
      <c r="G69" s="38"/>
      <c r="H69" s="38" t="s">
        <v>2</v>
      </c>
    </row>
    <row r="70" spans="1:8" x14ac:dyDescent="0.25">
      <c r="A70" s="18">
        <v>108</v>
      </c>
      <c r="B70" s="38"/>
      <c r="C70" s="38"/>
      <c r="D70" s="38" t="s">
        <v>2</v>
      </c>
      <c r="E70" s="38"/>
      <c r="F70" s="38"/>
      <c r="G70" s="38" t="s">
        <v>2</v>
      </c>
      <c r="H70" s="38"/>
    </row>
    <row r="71" spans="1:8" x14ac:dyDescent="0.25">
      <c r="A71" s="18">
        <v>109</v>
      </c>
      <c r="B71" s="38" t="s">
        <v>2</v>
      </c>
      <c r="C71" s="38"/>
      <c r="D71" s="38"/>
      <c r="E71" s="38"/>
      <c r="F71" s="38"/>
      <c r="G71" s="38"/>
      <c r="H71" s="38" t="s">
        <v>2</v>
      </c>
    </row>
    <row r="72" spans="1:8" x14ac:dyDescent="0.25">
      <c r="A72" s="18">
        <v>110</v>
      </c>
      <c r="B72" s="38"/>
      <c r="C72" s="38"/>
      <c r="D72" s="38" t="s">
        <v>2</v>
      </c>
      <c r="E72" s="38"/>
      <c r="F72" s="38"/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 t="s">
        <v>2</v>
      </c>
      <c r="C74" s="38"/>
      <c r="D74" s="38" t="s">
        <v>5</v>
      </c>
      <c r="E74" s="38"/>
      <c r="F74" s="38"/>
      <c r="G74" s="38" t="s">
        <v>2</v>
      </c>
      <c r="H74" s="38"/>
    </row>
    <row r="75" spans="1:8" x14ac:dyDescent="0.25">
      <c r="A75" s="18">
        <v>113</v>
      </c>
      <c r="B75" s="38"/>
      <c r="C75" s="38" t="s">
        <v>2</v>
      </c>
      <c r="D75" s="38"/>
      <c r="E75" s="38" t="s">
        <v>2</v>
      </c>
      <c r="F75" s="38"/>
      <c r="G75" s="38" t="s">
        <v>2</v>
      </c>
      <c r="H75" s="38" t="s">
        <v>2</v>
      </c>
    </row>
    <row r="76" spans="1:8" x14ac:dyDescent="0.25">
      <c r="A76" s="18">
        <v>114</v>
      </c>
      <c r="B76" s="38"/>
      <c r="C76" s="38"/>
      <c r="D76" s="38" t="s">
        <v>2</v>
      </c>
      <c r="E76" s="38"/>
      <c r="F76" s="38"/>
      <c r="G76" s="38"/>
      <c r="H76" s="38"/>
    </row>
    <row r="77" spans="1:8" x14ac:dyDescent="0.25">
      <c r="A77" s="18">
        <v>115</v>
      </c>
      <c r="B77" s="38" t="s">
        <v>6</v>
      </c>
      <c r="C77" s="38"/>
      <c r="D77" s="38"/>
      <c r="E77" s="38" t="s">
        <v>2</v>
      </c>
      <c r="F77" s="38"/>
      <c r="G77" s="38"/>
      <c r="H77" s="38"/>
    </row>
    <row r="78" spans="1:8" x14ac:dyDescent="0.25">
      <c r="A78" s="18">
        <v>116</v>
      </c>
      <c r="B78" s="38"/>
      <c r="C78" s="38"/>
      <c r="D78" s="38" t="s">
        <v>2</v>
      </c>
      <c r="E78" s="38"/>
      <c r="F78" s="38"/>
      <c r="G78" s="38" t="s">
        <v>6</v>
      </c>
      <c r="H78" s="38"/>
    </row>
    <row r="79" spans="1:8" x14ac:dyDescent="0.25">
      <c r="A79" s="18">
        <v>117</v>
      </c>
      <c r="B79" s="38" t="s">
        <v>2</v>
      </c>
      <c r="C79" s="38"/>
      <c r="D79" s="38"/>
      <c r="E79" s="38"/>
      <c r="F79" s="38"/>
      <c r="G79" s="38" t="s">
        <v>6</v>
      </c>
      <c r="H79" s="38"/>
    </row>
    <row r="80" spans="1:8" x14ac:dyDescent="0.25">
      <c r="A80" s="18">
        <v>118</v>
      </c>
      <c r="B80" s="38"/>
      <c r="C80" s="38" t="s">
        <v>5</v>
      </c>
      <c r="D80" s="38" t="s">
        <v>5</v>
      </c>
      <c r="E80" s="38"/>
      <c r="F80" s="38"/>
      <c r="G80" s="38"/>
      <c r="H80" s="38" t="s">
        <v>5</v>
      </c>
    </row>
    <row r="81" spans="1:8" x14ac:dyDescent="0.25">
      <c r="A81" s="18">
        <v>119</v>
      </c>
      <c r="B81" s="38"/>
      <c r="C81" s="38"/>
      <c r="D81" s="38" t="s">
        <v>5</v>
      </c>
      <c r="E81" s="38" t="s">
        <v>2</v>
      </c>
      <c r="F81" s="38"/>
      <c r="G81" s="38"/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 t="s">
        <v>5</v>
      </c>
      <c r="D90" s="38" t="s">
        <v>5</v>
      </c>
      <c r="E90" s="38" t="s">
        <v>2</v>
      </c>
      <c r="F90" s="38"/>
      <c r="G90" s="38"/>
      <c r="H90" s="38" t="s">
        <v>5</v>
      </c>
    </row>
    <row r="91" spans="1:8" x14ac:dyDescent="0.25">
      <c r="A91" s="18">
        <v>129</v>
      </c>
      <c r="B91" s="38" t="s">
        <v>2</v>
      </c>
      <c r="C91" s="38"/>
      <c r="D91" s="38"/>
      <c r="E91" s="38"/>
      <c r="F91" s="38"/>
      <c r="G91" s="38"/>
      <c r="H91" s="38" t="s">
        <v>5</v>
      </c>
    </row>
    <row r="92" spans="1:8" x14ac:dyDescent="0.25">
      <c r="A92" s="18">
        <v>130</v>
      </c>
      <c r="B92" s="38" t="s">
        <v>2</v>
      </c>
      <c r="C92" s="38"/>
      <c r="D92" s="38"/>
      <c r="E92" s="38"/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1148" priority="18" operator="equal">
      <formula>"Energia"</formula>
    </cfRule>
    <cfRule type="cellIs" dxfId="1147" priority="20" operator="equal">
      <formula>"Operação"</formula>
    </cfRule>
    <cfRule type="cellIs" dxfId="1146" priority="21" operator="equal">
      <formula>"Chuva"</formula>
    </cfRule>
    <cfRule type="cellIs" dxfId="1145" priority="22" operator="equal">
      <formula>"Elétrico"</formula>
    </cfRule>
    <cfRule type="cellIs" dxfId="1144" priority="23" operator="equal">
      <formula>"Mecânico"</formula>
    </cfRule>
    <cfRule type="cellIs" dxfId="1143" priority="24" operator="equal">
      <formula>"Ok"</formula>
    </cfRule>
  </conditionalFormatting>
  <conditionalFormatting sqref="B61:I62 I5:I60 B63:H95">
    <cfRule type="cellIs" dxfId="1142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141" priority="16" operator="equal">
      <formula>"Energia"</formula>
    </cfRule>
  </conditionalFormatting>
  <conditionalFormatting sqref="B5:E60 G5:H60">
    <cfRule type="cellIs" dxfId="1140" priority="9" operator="equal">
      <formula>"Energia"</formula>
    </cfRule>
    <cfRule type="cellIs" dxfId="1139" priority="11" operator="equal">
      <formula>"Operação"</formula>
    </cfRule>
    <cfRule type="cellIs" dxfId="1138" priority="12" operator="equal">
      <formula>"Chuva"</formula>
    </cfRule>
    <cfRule type="cellIs" dxfId="1137" priority="13" operator="equal">
      <formula>"Elétrico"</formula>
    </cfRule>
    <cfRule type="cellIs" dxfId="1136" priority="14" operator="equal">
      <formula>"Mecânico"</formula>
    </cfRule>
    <cfRule type="cellIs" dxfId="1135" priority="15" operator="equal">
      <formula>"Ok"</formula>
    </cfRule>
  </conditionalFormatting>
  <conditionalFormatting sqref="B5:E60 G5:H60">
    <cfRule type="cellIs" dxfId="1134" priority="10" operator="equal">
      <formula>"Feito"</formula>
    </cfRule>
  </conditionalFormatting>
  <conditionalFormatting sqref="F5:F11">
    <cfRule type="cellIs" dxfId="1133" priority="8" operator="equal">
      <formula>"Energia"</formula>
    </cfRule>
  </conditionalFormatting>
  <conditionalFormatting sqref="F5:F60">
    <cfRule type="cellIs" dxfId="1132" priority="1" operator="equal">
      <formula>"Energia"</formula>
    </cfRule>
    <cfRule type="cellIs" dxfId="1131" priority="3" operator="equal">
      <formula>"Operação"</formula>
    </cfRule>
    <cfRule type="cellIs" dxfId="1130" priority="4" operator="equal">
      <formula>"Chuva"</formula>
    </cfRule>
    <cfRule type="cellIs" dxfId="1129" priority="5" operator="equal">
      <formula>"Elétrico"</formula>
    </cfRule>
    <cfRule type="cellIs" dxfId="1128" priority="6" operator="equal">
      <formula>"Mecânico"</formula>
    </cfRule>
    <cfRule type="cellIs" dxfId="1127" priority="7" operator="equal">
      <formula>"Ok"</formula>
    </cfRule>
  </conditionalFormatting>
  <conditionalFormatting sqref="F5:F60">
    <cfRule type="cellIs" dxfId="1126" priority="2" operator="equal">
      <formula>"Feito"</formula>
    </cfRule>
  </conditionalFormatting>
  <dataValidations count="1">
    <dataValidation type="list" allowBlank="1" showInputMessage="1" showErrorMessage="1" sqref="B61:I62 B5:I26 B27:J60 B63:H95" xr:uid="{B71ED705-B474-421E-A45E-F447420276AC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6754-3280-4468-AEAD-2A3A85D90FAE}">
  <dimension ref="A1:M95"/>
  <sheetViews>
    <sheetView zoomScale="110" zoomScaleNormal="110" workbookViewId="0">
      <pane ySplit="4" topLeftCell="A5" activePane="bottomLeft" state="frozen"/>
      <selection pane="bottomLeft" activeCell="M16" sqref="M1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3" max="13" width="10.85546875" bestFit="1" customWidth="1"/>
    <col min="17" max="17" width="8.5703125" customWidth="1"/>
  </cols>
  <sheetData>
    <row r="1" spans="1:13" x14ac:dyDescent="0.25">
      <c r="A1" s="70" t="s">
        <v>19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4" t="s">
        <v>16</v>
      </c>
      <c r="B3" s="23">
        <v>44641</v>
      </c>
      <c r="C3" s="23">
        <f>B3+1</f>
        <v>44642</v>
      </c>
      <c r="D3" s="23">
        <f t="shared" ref="D3:H3" si="0">C3+1</f>
        <v>44643</v>
      </c>
      <c r="E3" s="23">
        <f t="shared" si="0"/>
        <v>44644</v>
      </c>
      <c r="F3" s="23">
        <f t="shared" si="0"/>
        <v>44645</v>
      </c>
      <c r="G3" s="23">
        <f t="shared" si="0"/>
        <v>44646</v>
      </c>
      <c r="H3" s="25">
        <f t="shared" si="0"/>
        <v>44647</v>
      </c>
      <c r="I3" s="3"/>
    </row>
    <row r="4" spans="1:13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</row>
    <row r="5" spans="1:13" x14ac:dyDescent="0.25">
      <c r="A5" s="4">
        <v>1</v>
      </c>
      <c r="B5" s="38"/>
      <c r="C5" s="38" t="s">
        <v>2</v>
      </c>
      <c r="D5" s="38"/>
      <c r="E5" s="38" t="s">
        <v>2</v>
      </c>
      <c r="F5" s="38" t="s">
        <v>2</v>
      </c>
      <c r="G5" s="38"/>
      <c r="H5" s="38"/>
      <c r="J5" s="48" t="s">
        <v>2</v>
      </c>
      <c r="K5" s="33">
        <f>COUNTIF($B$5:$H$95,J5)</f>
        <v>161</v>
      </c>
      <c r="L5" s="34">
        <f t="shared" ref="L5:L10" si="2">K5/$K$11</f>
        <v>0.82564102564102559</v>
      </c>
      <c r="M5" s="52">
        <v>44641</v>
      </c>
    </row>
    <row r="6" spans="1:13" x14ac:dyDescent="0.25">
      <c r="A6" s="4">
        <v>2</v>
      </c>
      <c r="B6" s="38" t="s">
        <v>2</v>
      </c>
      <c r="C6" s="38" t="s">
        <v>2</v>
      </c>
      <c r="D6" s="38"/>
      <c r="E6" s="38" t="s">
        <v>2</v>
      </c>
      <c r="F6" s="38"/>
      <c r="G6" s="38" t="s">
        <v>2</v>
      </c>
      <c r="H6" s="38"/>
      <c r="J6" s="42" t="s">
        <v>5</v>
      </c>
      <c r="K6" s="33">
        <f t="shared" ref="K6:K9" si="3">COUNTIF($B$5:$H$95,J6)</f>
        <v>16</v>
      </c>
      <c r="L6" s="35">
        <f t="shared" si="2"/>
        <v>8.2051282051282051E-2</v>
      </c>
    </row>
    <row r="7" spans="1:13" x14ac:dyDescent="0.25">
      <c r="A7" s="4">
        <v>3</v>
      </c>
      <c r="B7" s="38" t="s">
        <v>2</v>
      </c>
      <c r="C7" s="38"/>
      <c r="D7" s="38" t="s">
        <v>2</v>
      </c>
      <c r="E7" s="38" t="s">
        <v>2</v>
      </c>
      <c r="F7" s="38"/>
      <c r="G7" s="38" t="s">
        <v>2</v>
      </c>
      <c r="H7" s="38"/>
      <c r="J7" s="46" t="s">
        <v>6</v>
      </c>
      <c r="K7" s="33">
        <f t="shared" si="3"/>
        <v>6</v>
      </c>
      <c r="L7" s="35">
        <f t="shared" si="2"/>
        <v>3.0769230769230771E-2</v>
      </c>
    </row>
    <row r="8" spans="1:13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 t="s">
        <v>2</v>
      </c>
      <c r="G8" s="38" t="s">
        <v>2</v>
      </c>
      <c r="H8" s="38"/>
      <c r="J8" s="47" t="s">
        <v>4</v>
      </c>
      <c r="K8" s="33">
        <f t="shared" si="3"/>
        <v>0</v>
      </c>
      <c r="L8" s="35">
        <f t="shared" si="2"/>
        <v>0</v>
      </c>
    </row>
    <row r="9" spans="1:13" x14ac:dyDescent="0.25">
      <c r="A9" s="4">
        <v>5</v>
      </c>
      <c r="B9" s="38" t="s">
        <v>5</v>
      </c>
      <c r="C9" s="38"/>
      <c r="D9" s="38" t="s">
        <v>2</v>
      </c>
      <c r="E9" s="38"/>
      <c r="F9" s="38"/>
      <c r="G9" s="38"/>
      <c r="H9" s="38" t="s">
        <v>2</v>
      </c>
      <c r="J9" s="45" t="s">
        <v>3</v>
      </c>
      <c r="K9" s="33">
        <f t="shared" si="3"/>
        <v>0</v>
      </c>
      <c r="L9" s="35">
        <f t="shared" si="2"/>
        <v>0</v>
      </c>
    </row>
    <row r="10" spans="1:13" x14ac:dyDescent="0.25">
      <c r="A10" s="4">
        <v>6</v>
      </c>
      <c r="B10" s="38"/>
      <c r="C10" s="38"/>
      <c r="D10" s="38"/>
      <c r="E10" s="38"/>
      <c r="F10" s="38" t="s">
        <v>2</v>
      </c>
      <c r="G10" s="38"/>
      <c r="H10" s="38" t="s">
        <v>2</v>
      </c>
      <c r="J10" s="43" t="s">
        <v>7</v>
      </c>
      <c r="K10" s="33">
        <f>COUNTIF($B$5:$H$95,J10)</f>
        <v>12</v>
      </c>
      <c r="L10" s="37">
        <f t="shared" si="2"/>
        <v>6.1538461538461542E-2</v>
      </c>
    </row>
    <row r="11" spans="1:13" x14ac:dyDescent="0.25">
      <c r="A11" s="4">
        <v>7</v>
      </c>
      <c r="B11" s="38"/>
      <c r="C11" s="38"/>
      <c r="D11" s="38"/>
      <c r="E11" s="38"/>
      <c r="F11" s="38"/>
      <c r="G11" s="38" t="s">
        <v>2</v>
      </c>
      <c r="H11" s="38"/>
      <c r="J11" s="44" t="s">
        <v>17</v>
      </c>
      <c r="K11" s="11">
        <f>SUM(K5:K10)</f>
        <v>195</v>
      </c>
    </row>
    <row r="12" spans="1:13" x14ac:dyDescent="0.25">
      <c r="A12" s="4">
        <v>8</v>
      </c>
      <c r="B12" s="38"/>
      <c r="C12" s="38"/>
      <c r="D12" s="38"/>
      <c r="E12" s="38"/>
      <c r="F12" s="38" t="s">
        <v>2</v>
      </c>
      <c r="G12" s="38"/>
      <c r="H12" s="38"/>
    </row>
    <row r="13" spans="1:13" x14ac:dyDescent="0.25">
      <c r="A13" s="4">
        <v>9</v>
      </c>
      <c r="B13" s="38"/>
      <c r="C13" s="38"/>
      <c r="D13" s="38"/>
      <c r="E13" s="38"/>
      <c r="F13" s="38"/>
      <c r="G13" s="38" t="s">
        <v>2</v>
      </c>
      <c r="H13" s="38"/>
    </row>
    <row r="14" spans="1:13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3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3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/>
      <c r="C19" s="38"/>
      <c r="D19" s="38" t="s">
        <v>2</v>
      </c>
      <c r="E19" s="38"/>
      <c r="F19" s="38"/>
      <c r="G19" s="38" t="s">
        <v>2</v>
      </c>
      <c r="H19" s="38"/>
    </row>
    <row r="20" spans="1:8" x14ac:dyDescent="0.25">
      <c r="A20" s="4">
        <v>16</v>
      </c>
      <c r="B20" s="38" t="s">
        <v>6</v>
      </c>
      <c r="C20" s="38"/>
      <c r="D20" s="38"/>
      <c r="E20" s="38" t="s">
        <v>5</v>
      </c>
      <c r="F20" s="38"/>
      <c r="G20" s="38"/>
      <c r="H20" s="38" t="s">
        <v>2</v>
      </c>
    </row>
    <row r="21" spans="1:8" x14ac:dyDescent="0.25">
      <c r="A21" s="4">
        <v>17</v>
      </c>
      <c r="B21" s="38"/>
      <c r="C21" s="38"/>
      <c r="D21" s="38"/>
      <c r="E21" s="38"/>
      <c r="F21" s="38" t="s">
        <v>2</v>
      </c>
      <c r="G21" s="38" t="s">
        <v>2</v>
      </c>
      <c r="H21" s="38"/>
    </row>
    <row r="22" spans="1:8" x14ac:dyDescent="0.25">
      <c r="A22" s="4">
        <v>18</v>
      </c>
      <c r="B22" s="38"/>
      <c r="C22" s="38" t="s">
        <v>2</v>
      </c>
      <c r="D22" s="38"/>
      <c r="E22" s="38"/>
      <c r="F22" s="38" t="s">
        <v>2</v>
      </c>
      <c r="G22" s="38"/>
      <c r="H22" s="38" t="s">
        <v>2</v>
      </c>
    </row>
    <row r="23" spans="1:8" x14ac:dyDescent="0.25">
      <c r="A23" s="4">
        <v>19</v>
      </c>
      <c r="B23" s="38" t="s">
        <v>2</v>
      </c>
      <c r="C23" s="38"/>
      <c r="D23" s="38"/>
      <c r="E23" s="38" t="s">
        <v>2</v>
      </c>
      <c r="F23" s="38"/>
      <c r="G23" s="38"/>
      <c r="H23" s="38"/>
    </row>
    <row r="24" spans="1:8" x14ac:dyDescent="0.25">
      <c r="A24" s="4">
        <v>20</v>
      </c>
      <c r="B24" s="38"/>
      <c r="C24" s="38" t="s">
        <v>2</v>
      </c>
      <c r="D24" s="38"/>
      <c r="E24" s="38"/>
      <c r="F24" s="38" t="s">
        <v>2</v>
      </c>
      <c r="G24" s="38"/>
      <c r="H24" s="38" t="s">
        <v>2</v>
      </c>
    </row>
    <row r="25" spans="1:8" x14ac:dyDescent="0.25">
      <c r="A25" s="4">
        <v>21</v>
      </c>
      <c r="B25" s="38"/>
      <c r="C25" s="38"/>
      <c r="D25" s="38" t="s">
        <v>5</v>
      </c>
      <c r="E25" s="38"/>
      <c r="F25" s="38" t="s">
        <v>2</v>
      </c>
      <c r="G25" s="38" t="s">
        <v>6</v>
      </c>
      <c r="H25" s="38"/>
    </row>
    <row r="26" spans="1:8" x14ac:dyDescent="0.25">
      <c r="A26" s="4">
        <v>22</v>
      </c>
      <c r="B26" s="38" t="s">
        <v>2</v>
      </c>
      <c r="C26" s="38"/>
      <c r="D26" s="38"/>
      <c r="E26" s="38" t="s">
        <v>2</v>
      </c>
      <c r="F26" s="38"/>
      <c r="G26" s="38"/>
      <c r="H26" s="38" t="s">
        <v>2</v>
      </c>
    </row>
    <row r="27" spans="1:8" x14ac:dyDescent="0.25">
      <c r="A27" s="4">
        <v>23</v>
      </c>
      <c r="B27" s="38"/>
      <c r="C27" s="38" t="s">
        <v>2</v>
      </c>
      <c r="D27" s="38"/>
      <c r="E27" s="38"/>
      <c r="F27" s="38" t="s">
        <v>2</v>
      </c>
      <c r="G27" s="38"/>
      <c r="H27" s="38"/>
    </row>
    <row r="28" spans="1:8" x14ac:dyDescent="0.25">
      <c r="A28" s="4">
        <v>24</v>
      </c>
      <c r="B28" s="38"/>
      <c r="C28" s="38"/>
      <c r="D28" s="38" t="s">
        <v>2</v>
      </c>
      <c r="E28" s="38"/>
      <c r="F28" s="38"/>
      <c r="G28" s="38" t="s">
        <v>2</v>
      </c>
      <c r="H28" s="38"/>
    </row>
    <row r="29" spans="1:8" x14ac:dyDescent="0.25">
      <c r="A29" s="4">
        <v>25</v>
      </c>
      <c r="B29" s="38" t="s">
        <v>2</v>
      </c>
      <c r="C29" s="38" t="s">
        <v>2</v>
      </c>
      <c r="D29" s="38" t="s">
        <v>2</v>
      </c>
      <c r="E29" s="38" t="s">
        <v>2</v>
      </c>
      <c r="F29" s="38" t="s">
        <v>2</v>
      </c>
      <c r="G29" s="38" t="s">
        <v>5</v>
      </c>
      <c r="H29" s="38" t="s">
        <v>2</v>
      </c>
    </row>
    <row r="30" spans="1:8" x14ac:dyDescent="0.25">
      <c r="A30" s="4">
        <v>26</v>
      </c>
      <c r="B30" s="38"/>
      <c r="C30" s="38"/>
      <c r="D30" s="38" t="s">
        <v>2</v>
      </c>
      <c r="E30" s="38"/>
      <c r="F30" s="38"/>
      <c r="G30" s="38" t="s">
        <v>2</v>
      </c>
      <c r="H30" s="38"/>
    </row>
    <row r="31" spans="1:8" x14ac:dyDescent="0.25">
      <c r="A31" s="4">
        <v>27</v>
      </c>
      <c r="B31" s="38"/>
      <c r="C31" s="38" t="s">
        <v>6</v>
      </c>
      <c r="D31" s="38"/>
      <c r="E31" s="38"/>
      <c r="F31" s="38" t="s">
        <v>7</v>
      </c>
      <c r="G31" s="38"/>
      <c r="H31" s="38" t="s">
        <v>2</v>
      </c>
    </row>
    <row r="32" spans="1:8" x14ac:dyDescent="0.25">
      <c r="A32" s="4">
        <v>28</v>
      </c>
      <c r="B32" s="38" t="s">
        <v>6</v>
      </c>
      <c r="C32" s="38"/>
      <c r="D32" s="38"/>
      <c r="E32" s="38" t="s">
        <v>5</v>
      </c>
      <c r="F32" s="38"/>
      <c r="G32" s="38"/>
      <c r="H32" s="38" t="s">
        <v>2</v>
      </c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2</v>
      </c>
      <c r="F33" s="38" t="s">
        <v>2</v>
      </c>
      <c r="G33" s="38" t="s">
        <v>2</v>
      </c>
      <c r="H33" s="38" t="s">
        <v>2</v>
      </c>
    </row>
    <row r="34" spans="1:8" x14ac:dyDescent="0.25">
      <c r="A34" s="4">
        <v>30</v>
      </c>
      <c r="B34" s="38"/>
      <c r="C34" s="38" t="s">
        <v>2</v>
      </c>
      <c r="D34" s="38"/>
      <c r="E34" s="38"/>
      <c r="F34" s="38" t="s">
        <v>2</v>
      </c>
      <c r="G34" s="38"/>
      <c r="H34" s="38"/>
    </row>
    <row r="35" spans="1:8" x14ac:dyDescent="0.25">
      <c r="A35" s="4">
        <v>31</v>
      </c>
      <c r="B35" s="38" t="s">
        <v>6</v>
      </c>
      <c r="C35" s="38"/>
      <c r="D35" s="38"/>
      <c r="E35" s="38" t="s">
        <v>2</v>
      </c>
      <c r="F35" s="38"/>
      <c r="G35" s="38"/>
      <c r="H35" s="38" t="s">
        <v>2</v>
      </c>
    </row>
    <row r="36" spans="1:8" x14ac:dyDescent="0.25">
      <c r="A36" s="4">
        <v>32</v>
      </c>
      <c r="B36" s="38"/>
      <c r="C36" s="38"/>
      <c r="D36" s="38" t="s">
        <v>2</v>
      </c>
      <c r="E36" s="38"/>
      <c r="F36" s="38"/>
      <c r="G36" s="38" t="s">
        <v>2</v>
      </c>
      <c r="H36" s="38"/>
    </row>
    <row r="37" spans="1:8" x14ac:dyDescent="0.25">
      <c r="A37" s="4">
        <v>33</v>
      </c>
      <c r="B37" s="38"/>
      <c r="C37" s="38" t="s">
        <v>2</v>
      </c>
      <c r="D37" s="38"/>
      <c r="E37" s="38"/>
      <c r="F37" s="38" t="s">
        <v>2</v>
      </c>
      <c r="G37" s="38"/>
      <c r="H37" s="38"/>
    </row>
    <row r="38" spans="1:8" x14ac:dyDescent="0.25">
      <c r="A38" s="4">
        <v>34</v>
      </c>
      <c r="B38" s="38"/>
      <c r="C38" s="38"/>
      <c r="D38" s="38" t="s">
        <v>2</v>
      </c>
      <c r="E38" s="38"/>
      <c r="F38" s="38" t="s">
        <v>2</v>
      </c>
      <c r="G38" s="38" t="s">
        <v>2</v>
      </c>
      <c r="H38" s="38"/>
    </row>
    <row r="39" spans="1:8" x14ac:dyDescent="0.25">
      <c r="A39" s="4">
        <v>35</v>
      </c>
      <c r="B39" s="38"/>
      <c r="C39" s="38" t="s">
        <v>2</v>
      </c>
      <c r="D39" s="38" t="s">
        <v>7</v>
      </c>
      <c r="E39" s="38" t="s">
        <v>2</v>
      </c>
      <c r="F39" s="38" t="s">
        <v>2</v>
      </c>
      <c r="G39" s="38" t="s">
        <v>2</v>
      </c>
      <c r="H39" s="38" t="s">
        <v>2</v>
      </c>
    </row>
    <row r="40" spans="1:8" x14ac:dyDescent="0.25">
      <c r="A40" s="4">
        <v>36</v>
      </c>
      <c r="B40" s="38"/>
      <c r="C40" s="38" t="s">
        <v>2</v>
      </c>
      <c r="D40" s="38"/>
      <c r="E40" s="38" t="s">
        <v>2</v>
      </c>
      <c r="F40" s="38"/>
      <c r="G40" s="38"/>
      <c r="H40" s="38" t="s">
        <v>2</v>
      </c>
    </row>
    <row r="41" spans="1:8" x14ac:dyDescent="0.25">
      <c r="A41" s="4">
        <v>37</v>
      </c>
      <c r="B41" s="38" t="s">
        <v>2</v>
      </c>
      <c r="C41" s="38" t="s">
        <v>2</v>
      </c>
      <c r="D41" s="38"/>
      <c r="E41" s="38" t="s">
        <v>2</v>
      </c>
      <c r="F41" s="38"/>
      <c r="G41" s="38"/>
      <c r="H41" s="38"/>
    </row>
    <row r="42" spans="1:8" x14ac:dyDescent="0.25">
      <c r="A42" s="4">
        <v>38</v>
      </c>
      <c r="B42" s="38"/>
      <c r="C42" s="38"/>
      <c r="D42" s="38" t="s">
        <v>2</v>
      </c>
      <c r="E42" s="38"/>
      <c r="F42" s="38"/>
      <c r="G42" s="38" t="s">
        <v>2</v>
      </c>
      <c r="H42" s="38"/>
    </row>
    <row r="43" spans="1:8" x14ac:dyDescent="0.25">
      <c r="A43" s="4">
        <v>39</v>
      </c>
      <c r="B43" s="38"/>
      <c r="C43" s="38" t="s">
        <v>2</v>
      </c>
      <c r="D43" s="38"/>
      <c r="E43" s="38"/>
      <c r="F43" s="38" t="s">
        <v>2</v>
      </c>
      <c r="G43" s="38"/>
      <c r="H43" s="38"/>
    </row>
    <row r="44" spans="1:8" x14ac:dyDescent="0.25">
      <c r="A44" s="4">
        <v>40</v>
      </c>
      <c r="B44" s="38" t="s">
        <v>2</v>
      </c>
      <c r="C44" s="38"/>
      <c r="D44" s="38"/>
      <c r="E44" s="38" t="s">
        <v>2</v>
      </c>
      <c r="F44" s="38"/>
      <c r="G44" s="38"/>
      <c r="H44" s="38" t="s">
        <v>2</v>
      </c>
    </row>
    <row r="45" spans="1:8" x14ac:dyDescent="0.25">
      <c r="A45" s="4">
        <v>41</v>
      </c>
      <c r="B45" s="38"/>
      <c r="C45" s="38" t="s">
        <v>2</v>
      </c>
      <c r="D45" s="38"/>
      <c r="E45" s="38"/>
      <c r="F45" s="38" t="s">
        <v>2</v>
      </c>
      <c r="G45" s="38"/>
      <c r="H45" s="38"/>
    </row>
    <row r="46" spans="1:8" x14ac:dyDescent="0.25">
      <c r="A46" s="4">
        <v>42</v>
      </c>
      <c r="B46" s="38"/>
      <c r="C46" s="38"/>
      <c r="D46" s="38" t="s">
        <v>2</v>
      </c>
      <c r="E46" s="38"/>
      <c r="F46" s="38"/>
      <c r="G46" s="38" t="s">
        <v>2</v>
      </c>
      <c r="H46" s="38"/>
    </row>
    <row r="47" spans="1:8" x14ac:dyDescent="0.25">
      <c r="A47" s="4">
        <v>43</v>
      </c>
      <c r="B47" s="38"/>
      <c r="C47" s="38" t="s">
        <v>2</v>
      </c>
      <c r="D47" s="38"/>
      <c r="E47" s="38"/>
      <c r="F47" s="38" t="s">
        <v>7</v>
      </c>
      <c r="G47" s="38"/>
      <c r="H47" s="38"/>
    </row>
    <row r="48" spans="1:8" x14ac:dyDescent="0.25">
      <c r="A48" s="4">
        <v>44</v>
      </c>
      <c r="B48" s="38"/>
      <c r="C48" s="38"/>
      <c r="D48" s="38" t="s">
        <v>2</v>
      </c>
      <c r="E48" s="38"/>
      <c r="F48" s="38"/>
      <c r="G48" s="38"/>
      <c r="H48" s="38" t="s">
        <v>2</v>
      </c>
    </row>
    <row r="49" spans="1:8" x14ac:dyDescent="0.25">
      <c r="A49" s="4">
        <v>45</v>
      </c>
      <c r="B49" s="38" t="s">
        <v>2</v>
      </c>
      <c r="C49" s="38"/>
      <c r="D49" s="38" t="s">
        <v>7</v>
      </c>
      <c r="E49" s="38"/>
      <c r="F49" s="38" t="s">
        <v>2</v>
      </c>
      <c r="G49" s="38"/>
      <c r="H49" s="38" t="s">
        <v>2</v>
      </c>
    </row>
    <row r="50" spans="1:8" x14ac:dyDescent="0.25">
      <c r="A50" s="4">
        <v>46</v>
      </c>
      <c r="B50" s="38"/>
      <c r="C50" s="38" t="s">
        <v>6</v>
      </c>
      <c r="D50" s="38"/>
      <c r="E50" s="38" t="s">
        <v>2</v>
      </c>
      <c r="F50" s="38"/>
      <c r="G50" s="38" t="s">
        <v>2</v>
      </c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 t="s">
        <v>2</v>
      </c>
      <c r="D53" s="38"/>
      <c r="E53" s="38" t="s">
        <v>2</v>
      </c>
      <c r="F53" s="38"/>
      <c r="G53" s="38" t="s">
        <v>2</v>
      </c>
      <c r="H53" s="38"/>
    </row>
    <row r="54" spans="1:8" x14ac:dyDescent="0.25">
      <c r="A54" s="4">
        <v>50</v>
      </c>
      <c r="B54" s="38"/>
      <c r="C54" s="38"/>
      <c r="D54" s="38" t="s">
        <v>7</v>
      </c>
      <c r="E54" s="38"/>
      <c r="F54" s="38"/>
      <c r="G54" s="38" t="s">
        <v>2</v>
      </c>
      <c r="H54" s="38"/>
    </row>
    <row r="55" spans="1:8" x14ac:dyDescent="0.25">
      <c r="A55" s="4">
        <v>51</v>
      </c>
      <c r="B55" s="38"/>
      <c r="C55" s="38" t="s">
        <v>2</v>
      </c>
      <c r="D55" s="38"/>
      <c r="E55" s="38"/>
      <c r="F55" s="38" t="s">
        <v>2</v>
      </c>
      <c r="G55" s="38"/>
      <c r="H55" s="38"/>
    </row>
    <row r="56" spans="1:8" x14ac:dyDescent="0.25">
      <c r="A56" s="4">
        <v>52</v>
      </c>
      <c r="B56" s="38" t="s">
        <v>2</v>
      </c>
      <c r="C56" s="38"/>
      <c r="D56" s="38" t="s">
        <v>2</v>
      </c>
      <c r="E56" s="38"/>
      <c r="F56" s="38" t="s">
        <v>2</v>
      </c>
      <c r="G56" s="38"/>
      <c r="H56" s="38" t="s">
        <v>2</v>
      </c>
    </row>
    <row r="57" spans="1:8" x14ac:dyDescent="0.25">
      <c r="A57" s="4">
        <v>53</v>
      </c>
      <c r="B57" s="38"/>
      <c r="C57" s="38"/>
      <c r="D57" s="38" t="s">
        <v>2</v>
      </c>
      <c r="E57" s="38"/>
      <c r="F57" s="38"/>
      <c r="G57" s="38" t="s">
        <v>2</v>
      </c>
      <c r="H57" s="38"/>
    </row>
    <row r="58" spans="1:8" x14ac:dyDescent="0.25">
      <c r="A58" s="4">
        <v>54</v>
      </c>
      <c r="B58" s="38" t="s">
        <v>7</v>
      </c>
      <c r="C58" s="38"/>
      <c r="D58" s="38"/>
      <c r="E58" s="38" t="s">
        <v>2</v>
      </c>
      <c r="F58" s="38"/>
      <c r="G58" s="38" t="s">
        <v>2</v>
      </c>
      <c r="H58" s="38" t="s">
        <v>2</v>
      </c>
    </row>
    <row r="59" spans="1:8" x14ac:dyDescent="0.25">
      <c r="A59" s="4">
        <v>55</v>
      </c>
      <c r="B59" s="38" t="s">
        <v>2</v>
      </c>
      <c r="C59" s="38" t="s">
        <v>7</v>
      </c>
      <c r="D59" s="38"/>
      <c r="E59" s="38"/>
      <c r="F59" s="38" t="s">
        <v>2</v>
      </c>
      <c r="G59" s="38"/>
      <c r="H59" s="38"/>
    </row>
    <row r="60" spans="1:8" x14ac:dyDescent="0.25">
      <c r="A60" s="4">
        <v>56</v>
      </c>
      <c r="B60" s="38" t="s">
        <v>2</v>
      </c>
      <c r="C60" s="38"/>
      <c r="D60" s="38"/>
      <c r="E60" s="38" t="s">
        <v>7</v>
      </c>
      <c r="F60" s="38"/>
      <c r="G60" s="38"/>
      <c r="H60" s="38" t="s">
        <v>2</v>
      </c>
    </row>
    <row r="61" spans="1:8" x14ac:dyDescent="0.25">
      <c r="A61" s="18">
        <v>73</v>
      </c>
      <c r="B61" s="38"/>
      <c r="C61" s="38"/>
      <c r="D61" s="38"/>
      <c r="E61" s="38"/>
      <c r="F61" s="38"/>
      <c r="G61" s="38"/>
      <c r="H61" s="38"/>
    </row>
    <row r="62" spans="1:8" x14ac:dyDescent="0.25">
      <c r="A62" s="18">
        <v>74</v>
      </c>
      <c r="B62" s="38" t="s">
        <v>7</v>
      </c>
      <c r="C62" s="38" t="s">
        <v>7</v>
      </c>
      <c r="D62" s="38"/>
      <c r="E62" s="38"/>
      <c r="F62" s="38" t="s">
        <v>2</v>
      </c>
      <c r="G62" s="38"/>
      <c r="H62" s="38" t="s">
        <v>2</v>
      </c>
    </row>
    <row r="63" spans="1:8" x14ac:dyDescent="0.25">
      <c r="A63" s="18">
        <v>101</v>
      </c>
      <c r="B63" s="39"/>
      <c r="C63" s="38"/>
      <c r="D63" s="38" t="s">
        <v>2</v>
      </c>
      <c r="E63" s="38"/>
      <c r="F63" s="38"/>
      <c r="G63" s="38" t="s">
        <v>2</v>
      </c>
      <c r="H63" s="38"/>
    </row>
    <row r="64" spans="1:8" x14ac:dyDescent="0.25">
      <c r="A64" s="18">
        <v>102</v>
      </c>
      <c r="B64" s="38"/>
      <c r="C64" s="38" t="s">
        <v>2</v>
      </c>
      <c r="D64" s="38"/>
      <c r="E64" s="38"/>
      <c r="F64" s="38" t="s">
        <v>2</v>
      </c>
      <c r="G64" s="38"/>
      <c r="H64" s="38"/>
    </row>
    <row r="65" spans="1:8" x14ac:dyDescent="0.25">
      <c r="A65" s="18">
        <v>103</v>
      </c>
      <c r="B65" s="38"/>
      <c r="C65" s="38" t="s">
        <v>2</v>
      </c>
      <c r="D65" s="38" t="s">
        <v>2</v>
      </c>
      <c r="E65" s="38"/>
      <c r="F65" s="38"/>
      <c r="G65" s="38" t="s">
        <v>2</v>
      </c>
      <c r="H65" s="38"/>
    </row>
    <row r="66" spans="1:8" x14ac:dyDescent="0.25">
      <c r="A66" s="18">
        <v>104</v>
      </c>
      <c r="B66" s="38"/>
      <c r="C66" s="38"/>
      <c r="D66" s="38" t="s">
        <v>2</v>
      </c>
      <c r="E66" s="38"/>
      <c r="F66" s="38"/>
      <c r="G66" s="38" t="s">
        <v>2</v>
      </c>
      <c r="H66" s="38"/>
    </row>
    <row r="67" spans="1:8" x14ac:dyDescent="0.25">
      <c r="A67" s="18">
        <v>105</v>
      </c>
      <c r="B67" s="38" t="s">
        <v>2</v>
      </c>
      <c r="C67" s="38"/>
      <c r="D67" s="38"/>
      <c r="E67" s="38" t="s">
        <v>2</v>
      </c>
      <c r="F67" s="38"/>
      <c r="G67" s="38"/>
      <c r="H67" s="38" t="s">
        <v>2</v>
      </c>
    </row>
    <row r="68" spans="1:8" x14ac:dyDescent="0.25">
      <c r="A68" s="18">
        <v>106</v>
      </c>
      <c r="B68" s="38" t="s">
        <v>2</v>
      </c>
      <c r="C68" s="38"/>
      <c r="D68" s="38"/>
      <c r="E68" s="38" t="s">
        <v>2</v>
      </c>
      <c r="F68" s="38" t="s">
        <v>2</v>
      </c>
      <c r="G68" s="38"/>
      <c r="H68" s="38" t="s">
        <v>2</v>
      </c>
    </row>
    <row r="69" spans="1:8" x14ac:dyDescent="0.25">
      <c r="A69" s="18">
        <v>107</v>
      </c>
      <c r="B69" s="38"/>
      <c r="C69" s="38"/>
      <c r="D69" s="38" t="s">
        <v>2</v>
      </c>
      <c r="E69" s="38"/>
      <c r="F69" s="38"/>
      <c r="G69" s="38" t="s">
        <v>2</v>
      </c>
      <c r="H69" s="38"/>
    </row>
    <row r="70" spans="1:8" x14ac:dyDescent="0.25">
      <c r="A70" s="18">
        <v>108</v>
      </c>
      <c r="B70" s="38"/>
      <c r="C70" s="38" t="s">
        <v>2</v>
      </c>
      <c r="D70" s="38"/>
      <c r="E70" s="38" t="s">
        <v>2</v>
      </c>
      <c r="F70" s="38" t="s">
        <v>2</v>
      </c>
      <c r="G70" s="38" t="s">
        <v>2</v>
      </c>
      <c r="H70" s="38"/>
    </row>
    <row r="71" spans="1:8" x14ac:dyDescent="0.25">
      <c r="A71" s="18">
        <v>109</v>
      </c>
      <c r="B71" s="38"/>
      <c r="C71" s="38"/>
      <c r="D71" s="38" t="s">
        <v>2</v>
      </c>
      <c r="E71" s="38"/>
      <c r="F71" s="38"/>
      <c r="G71" s="38" t="s">
        <v>2</v>
      </c>
      <c r="H71" s="38"/>
    </row>
    <row r="72" spans="1:8" x14ac:dyDescent="0.25">
      <c r="A72" s="18">
        <v>110</v>
      </c>
      <c r="B72" s="38" t="s">
        <v>2</v>
      </c>
      <c r="C72" s="38"/>
      <c r="D72" s="38"/>
      <c r="E72" s="38" t="s">
        <v>2</v>
      </c>
      <c r="F72" s="38"/>
      <c r="G72" s="38"/>
      <c r="H72" s="38" t="s">
        <v>2</v>
      </c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 t="s">
        <v>2</v>
      </c>
      <c r="D74" s="38"/>
      <c r="E74" s="38"/>
      <c r="F74" s="38" t="s">
        <v>2</v>
      </c>
      <c r="G74" s="38"/>
      <c r="H74" s="38"/>
    </row>
    <row r="75" spans="1:8" x14ac:dyDescent="0.25">
      <c r="A75" s="18">
        <v>113</v>
      </c>
      <c r="B75" s="38" t="s">
        <v>7</v>
      </c>
      <c r="C75" s="38"/>
      <c r="D75" s="38"/>
      <c r="E75" s="38" t="s">
        <v>2</v>
      </c>
      <c r="F75" s="38"/>
      <c r="G75" s="38" t="s">
        <v>2</v>
      </c>
      <c r="H75" s="38"/>
    </row>
    <row r="76" spans="1:8" x14ac:dyDescent="0.25">
      <c r="A76" s="18">
        <v>114</v>
      </c>
      <c r="B76" s="38"/>
      <c r="C76" s="38"/>
      <c r="D76" s="38" t="s">
        <v>2</v>
      </c>
      <c r="E76" s="38"/>
      <c r="F76" s="38"/>
      <c r="G76" s="38" t="s">
        <v>2</v>
      </c>
      <c r="H76" s="38"/>
    </row>
    <row r="77" spans="1:8" x14ac:dyDescent="0.25">
      <c r="A77" s="18">
        <v>115</v>
      </c>
      <c r="B77" s="38" t="s">
        <v>2</v>
      </c>
      <c r="C77" s="38" t="s">
        <v>7</v>
      </c>
      <c r="D77" s="38"/>
      <c r="E77" s="38"/>
      <c r="F77" s="38" t="s">
        <v>2</v>
      </c>
      <c r="G77" s="38"/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 t="s">
        <v>5</v>
      </c>
      <c r="F78" s="38"/>
      <c r="G78" s="38"/>
      <c r="H78" s="38"/>
    </row>
    <row r="79" spans="1:8" x14ac:dyDescent="0.25">
      <c r="A79" s="18">
        <v>117</v>
      </c>
      <c r="B79" s="38"/>
      <c r="C79" s="38" t="s">
        <v>5</v>
      </c>
      <c r="D79" s="38" t="s">
        <v>5</v>
      </c>
      <c r="E79" s="38"/>
      <c r="F79" s="38"/>
      <c r="G79" s="38" t="s">
        <v>5</v>
      </c>
      <c r="H79" s="38"/>
    </row>
    <row r="80" spans="1:8" x14ac:dyDescent="0.25">
      <c r="A80" s="18">
        <v>118</v>
      </c>
      <c r="B80" s="38"/>
      <c r="C80" s="38"/>
      <c r="D80" s="38"/>
      <c r="E80" s="38"/>
      <c r="F80" s="38" t="s">
        <v>5</v>
      </c>
      <c r="G80" s="38"/>
      <c r="H80" s="38"/>
    </row>
    <row r="81" spans="1:8" x14ac:dyDescent="0.25">
      <c r="A81" s="18">
        <v>119</v>
      </c>
      <c r="B81" s="38" t="s">
        <v>5</v>
      </c>
      <c r="C81" s="38"/>
      <c r="D81" s="38"/>
      <c r="E81" s="38"/>
      <c r="F81" s="38"/>
      <c r="G81" s="38" t="s">
        <v>5</v>
      </c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/>
      <c r="D90" s="38"/>
      <c r="E90" s="38" t="s">
        <v>5</v>
      </c>
      <c r="F90" s="38" t="s">
        <v>5</v>
      </c>
      <c r="G90" s="38"/>
      <c r="H90" s="38" t="s">
        <v>5</v>
      </c>
    </row>
    <row r="91" spans="1:8" x14ac:dyDescent="0.25">
      <c r="A91" s="18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18">
        <v>130</v>
      </c>
      <c r="B92" s="38"/>
      <c r="C92" s="38" t="s">
        <v>5</v>
      </c>
      <c r="D92" s="38" t="s">
        <v>2</v>
      </c>
      <c r="E92" s="38"/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1125" priority="18" operator="equal">
      <formula>"Energia"</formula>
    </cfRule>
    <cfRule type="cellIs" dxfId="1124" priority="20" operator="equal">
      <formula>"Operação"</formula>
    </cfRule>
    <cfRule type="cellIs" dxfId="1123" priority="21" operator="equal">
      <formula>"Chuva"</formula>
    </cfRule>
    <cfRule type="cellIs" dxfId="1122" priority="22" operator="equal">
      <formula>"Elétrico"</formula>
    </cfRule>
    <cfRule type="cellIs" dxfId="1121" priority="23" operator="equal">
      <formula>"Mecânico"</formula>
    </cfRule>
    <cfRule type="cellIs" dxfId="1120" priority="24" operator="equal">
      <formula>"Ok"</formula>
    </cfRule>
  </conditionalFormatting>
  <conditionalFormatting sqref="B61:I62 I5:I60 B63:H95">
    <cfRule type="cellIs" dxfId="1119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118" priority="16" operator="equal">
      <formula>"Energia"</formula>
    </cfRule>
  </conditionalFormatting>
  <conditionalFormatting sqref="B5:E60 G5:H60">
    <cfRule type="cellIs" dxfId="1117" priority="9" operator="equal">
      <formula>"Energia"</formula>
    </cfRule>
    <cfRule type="cellIs" dxfId="1116" priority="11" operator="equal">
      <formula>"Operação"</formula>
    </cfRule>
    <cfRule type="cellIs" dxfId="1115" priority="12" operator="equal">
      <formula>"Chuva"</formula>
    </cfRule>
    <cfRule type="cellIs" dxfId="1114" priority="13" operator="equal">
      <formula>"Elétrico"</formula>
    </cfRule>
    <cfRule type="cellIs" dxfId="1113" priority="14" operator="equal">
      <formula>"Mecânico"</formula>
    </cfRule>
    <cfRule type="cellIs" dxfId="1112" priority="15" operator="equal">
      <formula>"Ok"</formula>
    </cfRule>
  </conditionalFormatting>
  <conditionalFormatting sqref="B5:E60 G5:H60">
    <cfRule type="cellIs" dxfId="1111" priority="10" operator="equal">
      <formula>"Feito"</formula>
    </cfRule>
  </conditionalFormatting>
  <conditionalFormatting sqref="F5:F11">
    <cfRule type="cellIs" dxfId="1110" priority="8" operator="equal">
      <formula>"Energia"</formula>
    </cfRule>
  </conditionalFormatting>
  <conditionalFormatting sqref="F5:F60">
    <cfRule type="cellIs" dxfId="1109" priority="1" operator="equal">
      <formula>"Energia"</formula>
    </cfRule>
    <cfRule type="cellIs" dxfId="1108" priority="3" operator="equal">
      <formula>"Operação"</formula>
    </cfRule>
    <cfRule type="cellIs" dxfId="1107" priority="4" operator="equal">
      <formula>"Chuva"</formula>
    </cfRule>
    <cfRule type="cellIs" dxfId="1106" priority="5" operator="equal">
      <formula>"Elétrico"</formula>
    </cfRule>
    <cfRule type="cellIs" dxfId="1105" priority="6" operator="equal">
      <formula>"Mecânico"</formula>
    </cfRule>
    <cfRule type="cellIs" dxfId="1104" priority="7" operator="equal">
      <formula>"Ok"</formula>
    </cfRule>
  </conditionalFormatting>
  <conditionalFormatting sqref="F5:F60">
    <cfRule type="cellIs" dxfId="1103" priority="2" operator="equal">
      <formula>"Feito"</formula>
    </cfRule>
  </conditionalFormatting>
  <dataValidations count="1">
    <dataValidation type="list" allowBlank="1" showInputMessage="1" showErrorMessage="1" sqref="B61:I62 B5:I26 B27:J60 B63:H95" xr:uid="{02B77C1E-0A6F-48B7-92E9-813E4F5C59A0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3C22-A431-48B9-8069-3793B6C02A1C}">
  <dimension ref="A1:M95"/>
  <sheetViews>
    <sheetView zoomScale="110" zoomScaleNormal="11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3" max="13" width="10.85546875" bestFit="1" customWidth="1"/>
    <col min="17" max="17" width="8.5703125" customWidth="1"/>
  </cols>
  <sheetData>
    <row r="1" spans="1:13" x14ac:dyDescent="0.25">
      <c r="A1" s="70" t="s">
        <v>20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4" t="s">
        <v>16</v>
      </c>
      <c r="B3" s="23">
        <v>44648</v>
      </c>
      <c r="C3" s="23">
        <f>B3+1</f>
        <v>44649</v>
      </c>
      <c r="D3" s="23">
        <f t="shared" ref="D3:H3" si="0">C3+1</f>
        <v>44650</v>
      </c>
      <c r="E3" s="23">
        <f t="shared" si="0"/>
        <v>44651</v>
      </c>
      <c r="F3" s="23">
        <f t="shared" si="0"/>
        <v>44652</v>
      </c>
      <c r="G3" s="23">
        <f t="shared" si="0"/>
        <v>44653</v>
      </c>
      <c r="H3" s="25">
        <f t="shared" si="0"/>
        <v>44654</v>
      </c>
      <c r="I3" s="3"/>
    </row>
    <row r="4" spans="1:13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</row>
    <row r="5" spans="1:13" x14ac:dyDescent="0.25">
      <c r="A5" s="4">
        <v>1</v>
      </c>
      <c r="B5" s="38" t="s">
        <v>2</v>
      </c>
      <c r="C5" s="38"/>
      <c r="D5" s="38"/>
      <c r="E5" s="38" t="s">
        <v>2</v>
      </c>
      <c r="F5" s="38"/>
      <c r="G5" s="38"/>
      <c r="H5" s="38" t="s">
        <v>2</v>
      </c>
      <c r="J5" s="48" t="s">
        <v>2</v>
      </c>
      <c r="K5" s="33">
        <f>COUNTIF($B$5:$H$95,J5)</f>
        <v>173</v>
      </c>
      <c r="L5" s="34">
        <f t="shared" ref="L5:L10" si="2">K5/$K$11</f>
        <v>0.84390243902439022</v>
      </c>
      <c r="M5" s="52">
        <v>44648</v>
      </c>
    </row>
    <row r="6" spans="1:13" x14ac:dyDescent="0.25">
      <c r="A6" s="4">
        <v>2</v>
      </c>
      <c r="B6" s="38" t="s">
        <v>2</v>
      </c>
      <c r="C6" s="38"/>
      <c r="D6" s="38" t="s">
        <v>2</v>
      </c>
      <c r="E6" s="38"/>
      <c r="F6" s="38" t="s">
        <v>2</v>
      </c>
      <c r="G6" s="38"/>
      <c r="H6" s="38" t="s">
        <v>2</v>
      </c>
      <c r="J6" s="42" t="s">
        <v>5</v>
      </c>
      <c r="K6" s="33">
        <f t="shared" ref="K6:K10" si="3">COUNTIF($B$5:$H$95,J6)</f>
        <v>15</v>
      </c>
      <c r="L6" s="35">
        <f t="shared" si="2"/>
        <v>7.3170731707317069E-2</v>
      </c>
    </row>
    <row r="7" spans="1:13" x14ac:dyDescent="0.25">
      <c r="A7" s="4">
        <v>3</v>
      </c>
      <c r="B7" s="38"/>
      <c r="C7" s="38" t="s">
        <v>2</v>
      </c>
      <c r="D7" s="38" t="s">
        <v>2</v>
      </c>
      <c r="E7" s="38"/>
      <c r="F7" s="38" t="s">
        <v>2</v>
      </c>
      <c r="G7" s="38"/>
      <c r="H7" s="38"/>
      <c r="J7" s="46" t="s">
        <v>6</v>
      </c>
      <c r="K7" s="33">
        <f t="shared" si="3"/>
        <v>7</v>
      </c>
      <c r="L7" s="35">
        <f t="shared" si="2"/>
        <v>3.4146341463414637E-2</v>
      </c>
    </row>
    <row r="8" spans="1:13" x14ac:dyDescent="0.25">
      <c r="A8" s="4">
        <v>4</v>
      </c>
      <c r="B8" s="38" t="s">
        <v>2</v>
      </c>
      <c r="C8" s="38"/>
      <c r="D8" s="38" t="s">
        <v>2</v>
      </c>
      <c r="E8" s="38" t="s">
        <v>2</v>
      </c>
      <c r="F8" s="38"/>
      <c r="G8" s="38" t="s">
        <v>2</v>
      </c>
      <c r="H8" s="38"/>
      <c r="J8" s="47" t="s">
        <v>4</v>
      </c>
      <c r="K8" s="33">
        <f t="shared" si="3"/>
        <v>4</v>
      </c>
      <c r="L8" s="35">
        <f t="shared" si="2"/>
        <v>1.9512195121951219E-2</v>
      </c>
    </row>
    <row r="9" spans="1:13" x14ac:dyDescent="0.25">
      <c r="A9" s="4">
        <v>5</v>
      </c>
      <c r="B9" s="38" t="s">
        <v>6</v>
      </c>
      <c r="C9" s="38"/>
      <c r="D9" s="38" t="s">
        <v>2</v>
      </c>
      <c r="E9" s="38" t="s">
        <v>2</v>
      </c>
      <c r="F9" s="38"/>
      <c r="G9" s="38" t="s">
        <v>2</v>
      </c>
      <c r="H9" s="38" t="s">
        <v>2</v>
      </c>
      <c r="J9" s="45" t="s">
        <v>3</v>
      </c>
      <c r="K9" s="33">
        <f t="shared" si="3"/>
        <v>0</v>
      </c>
      <c r="L9" s="35">
        <f t="shared" si="2"/>
        <v>0</v>
      </c>
    </row>
    <row r="10" spans="1:13" x14ac:dyDescent="0.25">
      <c r="A10" s="4">
        <v>6</v>
      </c>
      <c r="B10" s="38"/>
      <c r="C10" s="38"/>
      <c r="D10" s="38"/>
      <c r="E10" s="38"/>
      <c r="F10" s="38" t="s">
        <v>6</v>
      </c>
      <c r="G10" s="38" t="s">
        <v>6</v>
      </c>
      <c r="H10" s="38" t="s">
        <v>5</v>
      </c>
      <c r="J10" s="43" t="s">
        <v>7</v>
      </c>
      <c r="K10" s="33">
        <f t="shared" si="3"/>
        <v>6</v>
      </c>
      <c r="L10" s="37">
        <f t="shared" si="2"/>
        <v>2.9268292682926831E-2</v>
      </c>
    </row>
    <row r="11" spans="1:13" x14ac:dyDescent="0.25">
      <c r="A11" s="4">
        <v>7</v>
      </c>
      <c r="B11" s="38"/>
      <c r="C11" s="38" t="s">
        <v>2</v>
      </c>
      <c r="D11" s="38"/>
      <c r="E11" s="38" t="s">
        <v>2</v>
      </c>
      <c r="F11" s="38"/>
      <c r="G11" s="38"/>
      <c r="H11" s="38" t="s">
        <v>5</v>
      </c>
      <c r="J11" s="44" t="s">
        <v>17</v>
      </c>
      <c r="K11" s="11">
        <f>SUM(K5:K10)</f>
        <v>205</v>
      </c>
    </row>
    <row r="12" spans="1:13" x14ac:dyDescent="0.25">
      <c r="A12" s="4">
        <v>8</v>
      </c>
      <c r="B12" s="38"/>
      <c r="C12" s="38"/>
      <c r="D12" s="38"/>
      <c r="E12" s="38"/>
      <c r="F12" s="38"/>
      <c r="G12" s="38"/>
      <c r="H12" s="38"/>
    </row>
    <row r="13" spans="1:13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3" x14ac:dyDescent="0.25">
      <c r="A14" s="4">
        <v>10</v>
      </c>
      <c r="B14" s="38"/>
      <c r="C14" s="38"/>
      <c r="D14" s="38"/>
      <c r="E14" s="38" t="s">
        <v>2</v>
      </c>
      <c r="F14" s="38"/>
      <c r="G14" s="38"/>
      <c r="H14" s="38"/>
    </row>
    <row r="15" spans="1:13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3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 t="s">
        <v>2</v>
      </c>
      <c r="C19" s="38" t="s">
        <v>7</v>
      </c>
      <c r="D19" s="38"/>
      <c r="E19" s="38"/>
      <c r="F19" s="38"/>
      <c r="G19" s="38" t="s">
        <v>2</v>
      </c>
      <c r="H19" s="38"/>
    </row>
    <row r="20" spans="1:8" x14ac:dyDescent="0.25">
      <c r="A20" s="4">
        <v>16</v>
      </c>
      <c r="B20" s="38"/>
      <c r="C20" s="38"/>
      <c r="D20" s="38" t="s">
        <v>7</v>
      </c>
      <c r="E20" s="38" t="s">
        <v>7</v>
      </c>
      <c r="F20" s="38"/>
      <c r="G20" s="38" t="s">
        <v>2</v>
      </c>
      <c r="H20" s="38"/>
    </row>
    <row r="21" spans="1:8" x14ac:dyDescent="0.25">
      <c r="A21" s="4">
        <v>17</v>
      </c>
      <c r="B21" s="38" t="s">
        <v>6</v>
      </c>
      <c r="C21" s="38"/>
      <c r="D21" s="38"/>
      <c r="E21" s="38"/>
      <c r="F21" s="38" t="s">
        <v>2</v>
      </c>
      <c r="G21" s="38"/>
      <c r="H21" s="38" t="s">
        <v>2</v>
      </c>
    </row>
    <row r="22" spans="1:8" x14ac:dyDescent="0.25">
      <c r="A22" s="4">
        <v>18</v>
      </c>
      <c r="B22" s="38"/>
      <c r="C22" s="38"/>
      <c r="D22" s="38" t="s">
        <v>2</v>
      </c>
      <c r="E22" s="38"/>
      <c r="F22" s="38"/>
      <c r="G22" s="38" t="s">
        <v>5</v>
      </c>
      <c r="H22" s="38"/>
    </row>
    <row r="23" spans="1:8" x14ac:dyDescent="0.25">
      <c r="A23" s="4">
        <v>19</v>
      </c>
      <c r="B23" s="38" t="s">
        <v>2</v>
      </c>
      <c r="C23" s="38"/>
      <c r="D23" s="38"/>
      <c r="E23" s="38" t="s">
        <v>2</v>
      </c>
      <c r="F23" s="38"/>
      <c r="G23" s="38"/>
      <c r="H23" s="38" t="s">
        <v>2</v>
      </c>
    </row>
    <row r="24" spans="1:8" x14ac:dyDescent="0.25">
      <c r="A24" s="4">
        <v>20</v>
      </c>
      <c r="B24" s="38"/>
      <c r="C24" s="38"/>
      <c r="D24" s="38" t="s">
        <v>2</v>
      </c>
      <c r="E24" s="38"/>
      <c r="F24" s="38"/>
      <c r="G24" s="38" t="s">
        <v>2</v>
      </c>
      <c r="H24" s="38"/>
    </row>
    <row r="25" spans="1:8" x14ac:dyDescent="0.25">
      <c r="A25" s="4">
        <v>21</v>
      </c>
      <c r="B25" s="38" t="s">
        <v>6</v>
      </c>
      <c r="C25" s="38"/>
      <c r="D25" s="38"/>
      <c r="E25" s="38" t="s">
        <v>6</v>
      </c>
      <c r="F25" s="38"/>
      <c r="G25" s="38"/>
      <c r="H25" s="38" t="s">
        <v>2</v>
      </c>
    </row>
    <row r="26" spans="1:8" x14ac:dyDescent="0.25">
      <c r="A26" s="4">
        <v>22</v>
      </c>
      <c r="B26" s="38"/>
      <c r="C26" s="38"/>
      <c r="D26" s="38" t="s">
        <v>2</v>
      </c>
      <c r="E26" s="38"/>
      <c r="F26" s="38"/>
      <c r="G26" s="38" t="s">
        <v>2</v>
      </c>
      <c r="H26" s="38"/>
    </row>
    <row r="27" spans="1:8" x14ac:dyDescent="0.25">
      <c r="A27" s="4">
        <v>23</v>
      </c>
      <c r="B27" s="38" t="s">
        <v>2</v>
      </c>
      <c r="C27" s="38"/>
      <c r="D27" s="38"/>
      <c r="E27" s="38" t="s">
        <v>2</v>
      </c>
      <c r="F27" s="38"/>
      <c r="G27" s="38"/>
      <c r="H27" s="38" t="s">
        <v>2</v>
      </c>
    </row>
    <row r="28" spans="1:8" x14ac:dyDescent="0.25">
      <c r="A28" s="4">
        <v>24</v>
      </c>
      <c r="B28" s="38"/>
      <c r="C28" s="38" t="s">
        <v>5</v>
      </c>
      <c r="D28" s="38"/>
      <c r="E28" s="38"/>
      <c r="F28" s="38" t="s">
        <v>2</v>
      </c>
      <c r="G28" s="38"/>
      <c r="H28" s="38"/>
    </row>
    <row r="29" spans="1:8" x14ac:dyDescent="0.25">
      <c r="A29" s="4">
        <v>25</v>
      </c>
      <c r="B29" s="38" t="s">
        <v>2</v>
      </c>
      <c r="C29" s="38" t="s">
        <v>2</v>
      </c>
      <c r="D29" s="38" t="s">
        <v>2</v>
      </c>
      <c r="E29" s="38" t="s">
        <v>2</v>
      </c>
      <c r="F29" s="38" t="s">
        <v>2</v>
      </c>
      <c r="G29" s="38" t="s">
        <v>2</v>
      </c>
      <c r="H29" s="38" t="s">
        <v>2</v>
      </c>
    </row>
    <row r="30" spans="1:8" x14ac:dyDescent="0.25">
      <c r="A30" s="4">
        <v>26</v>
      </c>
      <c r="B30" s="38"/>
      <c r="C30" s="38" t="s">
        <v>5</v>
      </c>
      <c r="D30" s="38" t="s">
        <v>2</v>
      </c>
      <c r="E30" s="38"/>
      <c r="F30" s="38" t="s">
        <v>2</v>
      </c>
      <c r="G30" s="38"/>
      <c r="H30" s="38"/>
    </row>
    <row r="31" spans="1:8" x14ac:dyDescent="0.25">
      <c r="A31" s="4">
        <v>27</v>
      </c>
      <c r="B31" s="38"/>
      <c r="C31" s="38"/>
      <c r="D31" s="38"/>
      <c r="E31" s="38" t="s">
        <v>2</v>
      </c>
      <c r="F31" s="38"/>
      <c r="G31" s="38" t="s">
        <v>2</v>
      </c>
      <c r="H31" s="38"/>
    </row>
    <row r="32" spans="1:8" x14ac:dyDescent="0.25">
      <c r="A32" s="4">
        <v>28</v>
      </c>
      <c r="B32" s="38"/>
      <c r="C32" s="38"/>
      <c r="D32" s="38"/>
      <c r="E32" s="38" t="s">
        <v>2</v>
      </c>
      <c r="F32" s="38"/>
      <c r="G32" s="38" t="s">
        <v>2</v>
      </c>
      <c r="H32" s="38"/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2</v>
      </c>
      <c r="F33" s="38" t="s">
        <v>2</v>
      </c>
      <c r="G33" s="38" t="s">
        <v>2</v>
      </c>
      <c r="H33" s="38" t="s">
        <v>2</v>
      </c>
    </row>
    <row r="34" spans="1:8" x14ac:dyDescent="0.25">
      <c r="A34" s="4">
        <v>30</v>
      </c>
      <c r="B34" s="38" t="s">
        <v>2</v>
      </c>
      <c r="C34" s="38"/>
      <c r="D34" s="38"/>
      <c r="E34" s="38" t="s">
        <v>2</v>
      </c>
      <c r="F34" s="38"/>
      <c r="G34" s="38"/>
      <c r="H34" s="38" t="s">
        <v>2</v>
      </c>
    </row>
    <row r="35" spans="1:8" x14ac:dyDescent="0.25">
      <c r="A35" s="4">
        <v>31</v>
      </c>
      <c r="B35" s="38"/>
      <c r="C35" s="38"/>
      <c r="D35" s="38"/>
      <c r="E35" s="38" t="s">
        <v>2</v>
      </c>
      <c r="F35" s="38"/>
      <c r="G35" s="38" t="s">
        <v>2</v>
      </c>
      <c r="H35" s="38"/>
    </row>
    <row r="36" spans="1:8" x14ac:dyDescent="0.25">
      <c r="A36" s="4">
        <v>32</v>
      </c>
      <c r="B36" s="38"/>
      <c r="C36" s="38" t="s">
        <v>5</v>
      </c>
      <c r="D36" s="38"/>
      <c r="E36" s="38"/>
      <c r="F36" s="38" t="s">
        <v>2</v>
      </c>
      <c r="G36" s="38"/>
      <c r="H36" s="38"/>
    </row>
    <row r="37" spans="1:8" x14ac:dyDescent="0.25">
      <c r="A37" s="4">
        <v>33</v>
      </c>
      <c r="B37" s="38" t="s">
        <v>2</v>
      </c>
      <c r="C37" s="38"/>
      <c r="D37" s="38"/>
      <c r="E37" s="38"/>
      <c r="F37" s="38" t="s">
        <v>2</v>
      </c>
      <c r="G37" s="38"/>
      <c r="H37" s="38" t="s">
        <v>2</v>
      </c>
    </row>
    <row r="38" spans="1:8" x14ac:dyDescent="0.25">
      <c r="A38" s="4">
        <v>34</v>
      </c>
      <c r="B38" s="38"/>
      <c r="C38" s="38" t="s">
        <v>5</v>
      </c>
      <c r="D38" s="38"/>
      <c r="E38" s="38"/>
      <c r="F38" s="38" t="s">
        <v>2</v>
      </c>
      <c r="G38" s="38"/>
      <c r="H38" s="38"/>
    </row>
    <row r="39" spans="1:8" x14ac:dyDescent="0.25">
      <c r="A39" s="4">
        <v>35</v>
      </c>
      <c r="B39" s="38" t="s">
        <v>2</v>
      </c>
      <c r="C39" s="38" t="s">
        <v>2</v>
      </c>
      <c r="D39" s="38"/>
      <c r="E39" s="38" t="s">
        <v>2</v>
      </c>
      <c r="F39" s="38" t="s">
        <v>2</v>
      </c>
      <c r="G39" s="38" t="s">
        <v>2</v>
      </c>
      <c r="H39" s="38"/>
    </row>
    <row r="40" spans="1:8" x14ac:dyDescent="0.25">
      <c r="A40" s="4">
        <v>36</v>
      </c>
      <c r="B40" s="38" t="s">
        <v>5</v>
      </c>
      <c r="C40" s="38" t="s">
        <v>2</v>
      </c>
      <c r="D40" s="38" t="s">
        <v>2</v>
      </c>
      <c r="E40" s="38" t="s">
        <v>2</v>
      </c>
      <c r="F40" s="38" t="s">
        <v>2</v>
      </c>
      <c r="G40" s="38" t="s">
        <v>2</v>
      </c>
      <c r="H40" s="38" t="s">
        <v>2</v>
      </c>
    </row>
    <row r="41" spans="1:8" x14ac:dyDescent="0.25">
      <c r="A41" s="4">
        <v>37</v>
      </c>
      <c r="B41" s="38" t="s">
        <v>2</v>
      </c>
      <c r="C41" s="38"/>
      <c r="D41" s="38"/>
      <c r="E41" s="38" t="s">
        <v>2</v>
      </c>
      <c r="F41" s="38"/>
      <c r="G41" s="38"/>
      <c r="H41" s="38" t="s">
        <v>2</v>
      </c>
    </row>
    <row r="42" spans="1:8" x14ac:dyDescent="0.25">
      <c r="A42" s="4">
        <v>38</v>
      </c>
      <c r="B42" s="38"/>
      <c r="C42" s="38" t="s">
        <v>2</v>
      </c>
      <c r="D42" s="38"/>
      <c r="E42" s="38"/>
      <c r="F42" s="38" t="s">
        <v>2</v>
      </c>
      <c r="G42" s="38"/>
      <c r="H42" s="38"/>
    </row>
    <row r="43" spans="1:8" x14ac:dyDescent="0.25">
      <c r="A43" s="4">
        <v>39</v>
      </c>
      <c r="B43" s="38" t="s">
        <v>2</v>
      </c>
      <c r="C43" s="38"/>
      <c r="D43" s="38"/>
      <c r="E43" s="38" t="s">
        <v>2</v>
      </c>
      <c r="F43" s="38"/>
      <c r="G43" s="38"/>
      <c r="H43" s="38" t="s">
        <v>2</v>
      </c>
    </row>
    <row r="44" spans="1:8" x14ac:dyDescent="0.25">
      <c r="A44" s="4">
        <v>40</v>
      </c>
      <c r="B44" s="38"/>
      <c r="C44" s="38"/>
      <c r="D44" s="38" t="s">
        <v>2</v>
      </c>
      <c r="E44" s="38"/>
      <c r="F44" s="38"/>
      <c r="G44" s="38" t="s">
        <v>2</v>
      </c>
      <c r="H44" s="38"/>
    </row>
    <row r="45" spans="1:8" x14ac:dyDescent="0.25">
      <c r="A45" s="4">
        <v>41</v>
      </c>
      <c r="B45" s="38" t="s">
        <v>2</v>
      </c>
      <c r="C45" s="38"/>
      <c r="D45" s="38"/>
      <c r="E45" s="38" t="s">
        <v>2</v>
      </c>
      <c r="F45" s="38"/>
      <c r="G45" s="38"/>
      <c r="H45" s="38" t="s">
        <v>2</v>
      </c>
    </row>
    <row r="46" spans="1:8" x14ac:dyDescent="0.25">
      <c r="A46" s="4">
        <v>42</v>
      </c>
      <c r="B46" s="38"/>
      <c r="C46" s="38" t="s">
        <v>2</v>
      </c>
      <c r="D46" s="38"/>
      <c r="E46" s="38"/>
      <c r="F46" s="38" t="s">
        <v>2</v>
      </c>
      <c r="G46" s="38"/>
      <c r="H46" s="38"/>
    </row>
    <row r="47" spans="1:8" x14ac:dyDescent="0.25">
      <c r="A47" s="4">
        <v>43</v>
      </c>
      <c r="B47" s="38"/>
      <c r="C47" s="38" t="s">
        <v>2</v>
      </c>
      <c r="D47" s="38"/>
      <c r="E47" s="38"/>
      <c r="F47" s="38" t="s">
        <v>2</v>
      </c>
      <c r="G47" s="38"/>
      <c r="H47" s="38"/>
    </row>
    <row r="48" spans="1:8" x14ac:dyDescent="0.25">
      <c r="A48" s="4">
        <v>44</v>
      </c>
      <c r="B48" s="38"/>
      <c r="C48" s="38"/>
      <c r="D48" s="38" t="s">
        <v>2</v>
      </c>
      <c r="E48" s="38"/>
      <c r="F48" s="38"/>
      <c r="G48" s="38" t="s">
        <v>4</v>
      </c>
      <c r="H48" s="38"/>
    </row>
    <row r="49" spans="1:8" x14ac:dyDescent="0.25">
      <c r="A49" s="4">
        <v>45</v>
      </c>
      <c r="B49" s="38"/>
      <c r="C49" s="38" t="s">
        <v>2</v>
      </c>
      <c r="D49" s="38"/>
      <c r="E49" s="38" t="s">
        <v>2</v>
      </c>
      <c r="F49" s="38"/>
      <c r="G49" s="38" t="s">
        <v>2</v>
      </c>
      <c r="H49" s="38"/>
    </row>
    <row r="50" spans="1:8" x14ac:dyDescent="0.25">
      <c r="A50" s="4">
        <v>46</v>
      </c>
      <c r="B50" s="38" t="s">
        <v>2</v>
      </c>
      <c r="C50" s="38"/>
      <c r="D50" s="38" t="s">
        <v>2</v>
      </c>
      <c r="E50" s="38"/>
      <c r="F50" s="38" t="s">
        <v>2</v>
      </c>
      <c r="G50" s="38"/>
      <c r="H50" s="38" t="s">
        <v>2</v>
      </c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 t="s">
        <v>2</v>
      </c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2</v>
      </c>
      <c r="D54" s="38"/>
      <c r="E54" s="38"/>
      <c r="F54" s="38" t="s">
        <v>7</v>
      </c>
      <c r="G54" s="38"/>
      <c r="H54" s="38"/>
    </row>
    <row r="55" spans="1:8" x14ac:dyDescent="0.25">
      <c r="A55" s="4">
        <v>51</v>
      </c>
      <c r="B55" s="38" t="s">
        <v>2</v>
      </c>
      <c r="C55" s="38"/>
      <c r="D55" s="38"/>
      <c r="E55" s="38" t="s">
        <v>2</v>
      </c>
      <c r="F55" s="38"/>
      <c r="G55" s="38"/>
      <c r="H55" s="38" t="s">
        <v>2</v>
      </c>
    </row>
    <row r="56" spans="1:8" x14ac:dyDescent="0.25">
      <c r="A56" s="4">
        <v>52</v>
      </c>
      <c r="B56" s="38"/>
      <c r="C56" s="38" t="s">
        <v>2</v>
      </c>
      <c r="D56" s="38"/>
      <c r="E56" s="38" t="s">
        <v>2</v>
      </c>
      <c r="F56" s="38"/>
      <c r="G56" s="38" t="s">
        <v>4</v>
      </c>
      <c r="H56" s="38"/>
    </row>
    <row r="57" spans="1:8" x14ac:dyDescent="0.25">
      <c r="A57" s="4">
        <v>53</v>
      </c>
      <c r="B57" s="38" t="s">
        <v>2</v>
      </c>
      <c r="C57" s="38"/>
      <c r="D57" s="38"/>
      <c r="E57" s="38" t="s">
        <v>7</v>
      </c>
      <c r="F57" s="38"/>
      <c r="G57" s="38"/>
      <c r="H57" s="38" t="s">
        <v>2</v>
      </c>
    </row>
    <row r="58" spans="1:8" x14ac:dyDescent="0.25">
      <c r="A58" s="4">
        <v>54</v>
      </c>
      <c r="B58" s="38"/>
      <c r="C58" s="38" t="s">
        <v>2</v>
      </c>
      <c r="D58" s="38" t="s">
        <v>2</v>
      </c>
      <c r="E58" s="38"/>
      <c r="F58" s="38"/>
      <c r="G58" s="38" t="s">
        <v>4</v>
      </c>
      <c r="H58" s="38"/>
    </row>
    <row r="59" spans="1:8" x14ac:dyDescent="0.25">
      <c r="A59" s="4">
        <v>55</v>
      </c>
      <c r="B59" s="38" t="s">
        <v>6</v>
      </c>
      <c r="C59" s="38"/>
      <c r="D59" s="38"/>
      <c r="E59" s="38" t="s">
        <v>2</v>
      </c>
      <c r="F59" s="38"/>
      <c r="G59" s="38"/>
      <c r="H59" s="38" t="s">
        <v>2</v>
      </c>
    </row>
    <row r="60" spans="1:8" x14ac:dyDescent="0.25">
      <c r="A60" s="4">
        <v>56</v>
      </c>
      <c r="B60" s="38"/>
      <c r="C60" s="38"/>
      <c r="D60" s="38" t="s">
        <v>2</v>
      </c>
      <c r="E60" s="38"/>
      <c r="F60" s="38"/>
      <c r="G60" s="38" t="s">
        <v>4</v>
      </c>
      <c r="H60" s="38"/>
    </row>
    <row r="61" spans="1:8" x14ac:dyDescent="0.25">
      <c r="A61" s="18">
        <v>73</v>
      </c>
      <c r="B61" s="38"/>
      <c r="C61" s="38"/>
      <c r="D61" s="38"/>
      <c r="E61" s="38"/>
      <c r="F61" s="38"/>
      <c r="G61" s="38"/>
      <c r="H61" s="38"/>
    </row>
    <row r="62" spans="1:8" x14ac:dyDescent="0.25">
      <c r="A62" s="18">
        <v>74</v>
      </c>
      <c r="B62" s="38"/>
      <c r="C62" s="38"/>
      <c r="D62" s="38"/>
      <c r="E62" s="38"/>
      <c r="F62" s="38"/>
      <c r="G62" s="38"/>
      <c r="H62" s="38"/>
    </row>
    <row r="63" spans="1:8" x14ac:dyDescent="0.25">
      <c r="A63" s="18">
        <v>101</v>
      </c>
      <c r="B63" s="39" t="s">
        <v>2</v>
      </c>
      <c r="C63" s="38"/>
      <c r="D63" s="38"/>
      <c r="E63" s="38" t="s">
        <v>2</v>
      </c>
      <c r="F63" s="38"/>
      <c r="G63" s="38" t="s">
        <v>2</v>
      </c>
      <c r="H63" s="38" t="s">
        <v>2</v>
      </c>
    </row>
    <row r="64" spans="1:8" x14ac:dyDescent="0.25">
      <c r="A64" s="18">
        <v>102</v>
      </c>
      <c r="B64" s="38" t="s">
        <v>2</v>
      </c>
      <c r="C64" s="38"/>
      <c r="D64" s="38"/>
      <c r="E64" s="38" t="s">
        <v>2</v>
      </c>
      <c r="F64" s="38"/>
      <c r="G64" s="38"/>
      <c r="H64" s="38" t="s">
        <v>2</v>
      </c>
    </row>
    <row r="65" spans="1:8" x14ac:dyDescent="0.25">
      <c r="A65" s="18">
        <v>103</v>
      </c>
      <c r="B65" s="38"/>
      <c r="C65" s="38" t="s">
        <v>2</v>
      </c>
      <c r="D65" s="38"/>
      <c r="E65" s="38"/>
      <c r="F65" s="38" t="s">
        <v>2</v>
      </c>
      <c r="G65" s="38"/>
      <c r="H65" s="38" t="s">
        <v>2</v>
      </c>
    </row>
    <row r="66" spans="1:8" x14ac:dyDescent="0.25">
      <c r="A66" s="18">
        <v>104</v>
      </c>
      <c r="B66" s="38"/>
      <c r="C66" s="38" t="s">
        <v>2</v>
      </c>
      <c r="D66" s="38"/>
      <c r="E66" s="38"/>
      <c r="F66" s="38" t="s">
        <v>2</v>
      </c>
      <c r="G66" s="38"/>
      <c r="H66" s="38"/>
    </row>
    <row r="67" spans="1:8" x14ac:dyDescent="0.25">
      <c r="A67" s="18">
        <v>105</v>
      </c>
      <c r="B67" s="38"/>
      <c r="C67" s="38"/>
      <c r="D67" s="38" t="s">
        <v>2</v>
      </c>
      <c r="E67" s="38"/>
      <c r="F67" s="38"/>
      <c r="G67" s="38" t="s">
        <v>2</v>
      </c>
      <c r="H67" s="38" t="s">
        <v>2</v>
      </c>
    </row>
    <row r="68" spans="1:8" x14ac:dyDescent="0.25">
      <c r="A68" s="18">
        <v>106</v>
      </c>
      <c r="B68" s="38"/>
      <c r="C68" s="38"/>
      <c r="D68" s="38" t="s">
        <v>2</v>
      </c>
      <c r="E68" s="38" t="s">
        <v>2</v>
      </c>
      <c r="F68" s="38" t="s">
        <v>2</v>
      </c>
      <c r="G68" s="38" t="s">
        <v>2</v>
      </c>
      <c r="H68" s="38" t="s">
        <v>2</v>
      </c>
    </row>
    <row r="69" spans="1:8" x14ac:dyDescent="0.25">
      <c r="A69" s="18">
        <v>107</v>
      </c>
      <c r="B69" s="38"/>
      <c r="C69" s="38" t="s">
        <v>2</v>
      </c>
      <c r="D69" s="38"/>
      <c r="E69" s="38"/>
      <c r="F69" s="38" t="s">
        <v>2</v>
      </c>
      <c r="G69" s="38"/>
      <c r="H69" s="38"/>
    </row>
    <row r="70" spans="1:8" x14ac:dyDescent="0.25">
      <c r="A70" s="18">
        <v>108</v>
      </c>
      <c r="B70" s="38" t="s">
        <v>2</v>
      </c>
      <c r="C70" s="38"/>
      <c r="D70" s="38" t="s">
        <v>2</v>
      </c>
      <c r="E70" s="38" t="s">
        <v>2</v>
      </c>
      <c r="F70" s="38"/>
      <c r="G70" s="38"/>
      <c r="H70" s="38" t="s">
        <v>2</v>
      </c>
    </row>
    <row r="71" spans="1:8" x14ac:dyDescent="0.25">
      <c r="A71" s="18">
        <v>109</v>
      </c>
      <c r="B71" s="38"/>
      <c r="C71" s="38" t="s">
        <v>2</v>
      </c>
      <c r="D71" s="38"/>
      <c r="E71" s="38"/>
      <c r="F71" s="38" t="s">
        <v>2</v>
      </c>
      <c r="G71" s="38"/>
      <c r="H71" s="38" t="s">
        <v>2</v>
      </c>
    </row>
    <row r="72" spans="1:8" x14ac:dyDescent="0.25">
      <c r="A72" s="18">
        <v>110</v>
      </c>
      <c r="B72" s="38"/>
      <c r="C72" s="38"/>
      <c r="D72" s="38" t="s">
        <v>2</v>
      </c>
      <c r="E72" s="38"/>
      <c r="F72" s="38"/>
      <c r="G72" s="38" t="s">
        <v>2</v>
      </c>
      <c r="H72" s="38" t="s">
        <v>2</v>
      </c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 t="s">
        <v>2</v>
      </c>
      <c r="E74" s="38"/>
      <c r="F74" s="38"/>
      <c r="G74" s="38"/>
      <c r="H74" s="38"/>
    </row>
    <row r="75" spans="1:8" x14ac:dyDescent="0.25">
      <c r="A75" s="18">
        <v>113</v>
      </c>
      <c r="B75" s="38" t="s">
        <v>2</v>
      </c>
      <c r="C75" s="38" t="s">
        <v>2</v>
      </c>
      <c r="D75" s="38" t="s">
        <v>2</v>
      </c>
      <c r="E75" s="38"/>
      <c r="F75" s="38" t="s">
        <v>7</v>
      </c>
      <c r="G75" s="38"/>
      <c r="H75" s="38" t="s">
        <v>2</v>
      </c>
    </row>
    <row r="76" spans="1:8" x14ac:dyDescent="0.25">
      <c r="A76" s="18">
        <v>114</v>
      </c>
      <c r="B76" s="38" t="s">
        <v>5</v>
      </c>
      <c r="C76" s="38"/>
      <c r="D76" s="38"/>
      <c r="E76" s="38" t="s">
        <v>2</v>
      </c>
      <c r="F76" s="38"/>
      <c r="G76" s="38" t="s">
        <v>2</v>
      </c>
      <c r="H76" s="38"/>
    </row>
    <row r="77" spans="1:8" x14ac:dyDescent="0.25">
      <c r="A77" s="18">
        <v>115</v>
      </c>
      <c r="B77" s="38"/>
      <c r="C77" s="38" t="s">
        <v>2</v>
      </c>
      <c r="D77" s="38"/>
      <c r="E77" s="38" t="s">
        <v>2</v>
      </c>
      <c r="F77" s="38" t="s">
        <v>2</v>
      </c>
      <c r="G77" s="38" t="s">
        <v>2</v>
      </c>
      <c r="H77" s="38"/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 t="s">
        <v>5</v>
      </c>
      <c r="D79" s="38"/>
      <c r="E79" s="38"/>
      <c r="F79" s="38"/>
      <c r="G79" s="38" t="s">
        <v>5</v>
      </c>
      <c r="H79" s="38"/>
    </row>
    <row r="80" spans="1:8" x14ac:dyDescent="0.25">
      <c r="A80" s="18">
        <v>118</v>
      </c>
      <c r="B80" s="38" t="s">
        <v>5</v>
      </c>
      <c r="C80" s="38"/>
      <c r="D80" s="38"/>
      <c r="E80" s="38"/>
      <c r="F80" s="38" t="s">
        <v>2</v>
      </c>
      <c r="G80" s="38"/>
      <c r="H80" s="38"/>
    </row>
    <row r="81" spans="1:8" x14ac:dyDescent="0.25">
      <c r="A81" s="18">
        <v>119</v>
      </c>
      <c r="B81" s="38"/>
      <c r="C81" s="38"/>
      <c r="D81" s="38" t="s">
        <v>5</v>
      </c>
      <c r="E81" s="38"/>
      <c r="F81" s="38"/>
      <c r="G81" s="38"/>
      <c r="H81" s="38" t="s">
        <v>2</v>
      </c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 t="s">
        <v>2</v>
      </c>
      <c r="H88" s="38" t="s">
        <v>2</v>
      </c>
    </row>
    <row r="89" spans="1:8" x14ac:dyDescent="0.25">
      <c r="A89" s="18">
        <v>127</v>
      </c>
      <c r="B89" s="38"/>
      <c r="C89" s="38"/>
      <c r="D89" s="38"/>
      <c r="E89" s="38"/>
      <c r="F89" s="38"/>
      <c r="G89" s="38" t="s">
        <v>2</v>
      </c>
      <c r="H89" s="38" t="s">
        <v>2</v>
      </c>
    </row>
    <row r="90" spans="1:8" x14ac:dyDescent="0.25">
      <c r="A90" s="18">
        <v>128</v>
      </c>
      <c r="B90" s="38"/>
      <c r="C90" s="38"/>
      <c r="D90" s="38"/>
      <c r="E90" s="38" t="s">
        <v>5</v>
      </c>
      <c r="F90" s="38"/>
      <c r="G90" s="38"/>
      <c r="H90" s="38" t="s">
        <v>2</v>
      </c>
    </row>
    <row r="91" spans="1:8" x14ac:dyDescent="0.25">
      <c r="A91" s="18">
        <v>129</v>
      </c>
      <c r="B91" s="38"/>
      <c r="C91" s="38"/>
      <c r="D91" s="38" t="s">
        <v>2</v>
      </c>
      <c r="E91" s="38"/>
      <c r="F91" s="38"/>
      <c r="G91" s="38" t="s">
        <v>2</v>
      </c>
      <c r="H91" s="38" t="s">
        <v>2</v>
      </c>
    </row>
    <row r="92" spans="1:8" x14ac:dyDescent="0.25">
      <c r="A92" s="18">
        <v>130</v>
      </c>
      <c r="B92" s="38" t="s">
        <v>2</v>
      </c>
      <c r="C92" s="38"/>
      <c r="D92" s="38"/>
      <c r="E92" s="38" t="s">
        <v>5</v>
      </c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1102" priority="18" operator="equal">
      <formula>"Energia"</formula>
    </cfRule>
    <cfRule type="cellIs" dxfId="1101" priority="20" operator="equal">
      <formula>"Operação"</formula>
    </cfRule>
    <cfRule type="cellIs" dxfId="1100" priority="21" operator="equal">
      <formula>"Chuva"</formula>
    </cfRule>
    <cfRule type="cellIs" dxfId="1099" priority="22" operator="equal">
      <formula>"Elétrico"</formula>
    </cfRule>
    <cfRule type="cellIs" dxfId="1098" priority="23" operator="equal">
      <formula>"Mecânico"</formula>
    </cfRule>
    <cfRule type="cellIs" dxfId="1097" priority="24" operator="equal">
      <formula>"Ok"</formula>
    </cfRule>
  </conditionalFormatting>
  <conditionalFormatting sqref="B61:I62 I5:I60 B63:H95">
    <cfRule type="cellIs" dxfId="1096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095" priority="16" operator="equal">
      <formula>"Energia"</formula>
    </cfRule>
  </conditionalFormatting>
  <conditionalFormatting sqref="B5:E60 G5:H60">
    <cfRule type="cellIs" dxfId="1094" priority="9" operator="equal">
      <formula>"Energia"</formula>
    </cfRule>
    <cfRule type="cellIs" dxfId="1093" priority="11" operator="equal">
      <formula>"Operação"</formula>
    </cfRule>
    <cfRule type="cellIs" dxfId="1092" priority="12" operator="equal">
      <formula>"Chuva"</formula>
    </cfRule>
    <cfRule type="cellIs" dxfId="1091" priority="13" operator="equal">
      <formula>"Elétrico"</formula>
    </cfRule>
    <cfRule type="cellIs" dxfId="1090" priority="14" operator="equal">
      <formula>"Mecânico"</formula>
    </cfRule>
    <cfRule type="cellIs" dxfId="1089" priority="15" operator="equal">
      <formula>"Ok"</formula>
    </cfRule>
  </conditionalFormatting>
  <conditionalFormatting sqref="B5:E60 G5:H60">
    <cfRule type="cellIs" dxfId="1088" priority="10" operator="equal">
      <formula>"Feito"</formula>
    </cfRule>
  </conditionalFormatting>
  <conditionalFormatting sqref="F5:F11">
    <cfRule type="cellIs" dxfId="1087" priority="8" operator="equal">
      <formula>"Energia"</formula>
    </cfRule>
  </conditionalFormatting>
  <conditionalFormatting sqref="F5:F60">
    <cfRule type="cellIs" dxfId="1086" priority="1" operator="equal">
      <formula>"Energia"</formula>
    </cfRule>
    <cfRule type="cellIs" dxfId="1085" priority="3" operator="equal">
      <formula>"Operação"</formula>
    </cfRule>
    <cfRule type="cellIs" dxfId="1084" priority="4" operator="equal">
      <formula>"Chuva"</formula>
    </cfRule>
    <cfRule type="cellIs" dxfId="1083" priority="5" operator="equal">
      <formula>"Elétrico"</formula>
    </cfRule>
    <cfRule type="cellIs" dxfId="1082" priority="6" operator="equal">
      <formula>"Mecânico"</formula>
    </cfRule>
    <cfRule type="cellIs" dxfId="1081" priority="7" operator="equal">
      <formula>"Ok"</formula>
    </cfRule>
  </conditionalFormatting>
  <conditionalFormatting sqref="F5:F60">
    <cfRule type="cellIs" dxfId="1080" priority="2" operator="equal">
      <formula>"Feito"</formula>
    </cfRule>
  </conditionalFormatting>
  <dataValidations count="1">
    <dataValidation type="list" allowBlank="1" showInputMessage="1" showErrorMessage="1" sqref="B61:I62 B5:I26 B27:J60 B63:H95" xr:uid="{DF050632-4731-4C88-AFE5-9A7497E78D43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7927-C817-46C9-AAFD-05192E0B5BA8}">
  <dimension ref="A1:M95"/>
  <sheetViews>
    <sheetView zoomScale="110" zoomScaleNormal="11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3" max="13" width="10.85546875" bestFit="1" customWidth="1"/>
    <col min="17" max="17" width="8.5703125" customWidth="1"/>
  </cols>
  <sheetData>
    <row r="1" spans="1:13" x14ac:dyDescent="0.25">
      <c r="A1" s="70" t="s">
        <v>21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4" t="s">
        <v>16</v>
      </c>
      <c r="B3" s="23">
        <v>44655</v>
      </c>
      <c r="C3" s="23">
        <f>B3+1</f>
        <v>44656</v>
      </c>
      <c r="D3" s="23">
        <f t="shared" ref="D3:H3" si="0">C3+1</f>
        <v>44657</v>
      </c>
      <c r="E3" s="23">
        <f t="shared" si="0"/>
        <v>44658</v>
      </c>
      <c r="F3" s="23">
        <f t="shared" si="0"/>
        <v>44659</v>
      </c>
      <c r="G3" s="23">
        <f t="shared" si="0"/>
        <v>44660</v>
      </c>
      <c r="H3" s="25">
        <f t="shared" si="0"/>
        <v>44661</v>
      </c>
      <c r="I3" s="3"/>
    </row>
    <row r="4" spans="1:13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</row>
    <row r="5" spans="1:13" x14ac:dyDescent="0.25">
      <c r="A5" s="4">
        <v>1</v>
      </c>
      <c r="B5" s="38"/>
      <c r="C5" s="38" t="s">
        <v>2</v>
      </c>
      <c r="D5" s="38"/>
      <c r="E5" s="38" t="s">
        <v>2</v>
      </c>
      <c r="F5" s="38"/>
      <c r="G5" s="38" t="s">
        <v>2</v>
      </c>
      <c r="H5" s="38"/>
      <c r="J5" s="48" t="s">
        <v>2</v>
      </c>
      <c r="K5" s="33">
        <f>COUNTIF($B$5:$H$95,J5)</f>
        <v>209</v>
      </c>
      <c r="L5" s="34">
        <f t="shared" ref="L5:L10" si="2">K5/$K$11</f>
        <v>0.87447698744769875</v>
      </c>
      <c r="M5" s="52">
        <v>44655</v>
      </c>
    </row>
    <row r="6" spans="1:13" x14ac:dyDescent="0.25">
      <c r="A6" s="4">
        <v>2</v>
      </c>
      <c r="B6" s="38" t="s">
        <v>2</v>
      </c>
      <c r="C6" s="38"/>
      <c r="D6" s="38" t="s">
        <v>2</v>
      </c>
      <c r="E6" s="38" t="s">
        <v>2</v>
      </c>
      <c r="F6" s="38"/>
      <c r="G6" s="38" t="s">
        <v>2</v>
      </c>
      <c r="H6" s="38"/>
      <c r="J6" s="42" t="s">
        <v>5</v>
      </c>
      <c r="K6" s="33">
        <f t="shared" ref="K6:K10" si="3">COUNTIF($B$5:$H$95,J6)</f>
        <v>17</v>
      </c>
      <c r="L6" s="35">
        <f t="shared" si="2"/>
        <v>7.1129707112970716E-2</v>
      </c>
    </row>
    <row r="7" spans="1:13" x14ac:dyDescent="0.25">
      <c r="A7" s="4">
        <v>3</v>
      </c>
      <c r="B7" s="38" t="s">
        <v>2</v>
      </c>
      <c r="C7" s="38"/>
      <c r="D7" s="38"/>
      <c r="E7" s="38" t="s">
        <v>2</v>
      </c>
      <c r="F7" s="38"/>
      <c r="G7" s="38"/>
      <c r="H7" s="38" t="s">
        <v>2</v>
      </c>
      <c r="J7" s="46" t="s">
        <v>6</v>
      </c>
      <c r="K7" s="33">
        <f t="shared" si="3"/>
        <v>7</v>
      </c>
      <c r="L7" s="35">
        <f t="shared" si="2"/>
        <v>2.9288702928870293E-2</v>
      </c>
    </row>
    <row r="8" spans="1:13" x14ac:dyDescent="0.25">
      <c r="A8" s="4">
        <v>4</v>
      </c>
      <c r="B8" s="38" t="s">
        <v>2</v>
      </c>
      <c r="C8" s="38"/>
      <c r="D8" s="38" t="s">
        <v>2</v>
      </c>
      <c r="E8" s="38"/>
      <c r="F8" s="38" t="s">
        <v>2</v>
      </c>
      <c r="G8" s="38"/>
      <c r="H8" s="38" t="s">
        <v>2</v>
      </c>
      <c r="J8" s="47" t="s">
        <v>4</v>
      </c>
      <c r="K8" s="33">
        <f t="shared" si="3"/>
        <v>0</v>
      </c>
      <c r="L8" s="35">
        <f t="shared" si="2"/>
        <v>0</v>
      </c>
    </row>
    <row r="9" spans="1:13" x14ac:dyDescent="0.25">
      <c r="A9" s="4">
        <v>5</v>
      </c>
      <c r="B9" s="38" t="s">
        <v>2</v>
      </c>
      <c r="C9" s="38" t="s">
        <v>2</v>
      </c>
      <c r="D9" s="38" t="s">
        <v>2</v>
      </c>
      <c r="E9" s="38" t="s">
        <v>2</v>
      </c>
      <c r="F9" s="38" t="s">
        <v>2</v>
      </c>
      <c r="G9" s="38" t="s">
        <v>2</v>
      </c>
      <c r="H9" s="38" t="s">
        <v>2</v>
      </c>
      <c r="J9" s="45" t="s">
        <v>3</v>
      </c>
      <c r="K9" s="33">
        <f t="shared" si="3"/>
        <v>0</v>
      </c>
      <c r="L9" s="35">
        <f t="shared" si="2"/>
        <v>0</v>
      </c>
    </row>
    <row r="10" spans="1:13" x14ac:dyDescent="0.25">
      <c r="A10" s="4">
        <v>6</v>
      </c>
      <c r="B10" s="38" t="s">
        <v>5</v>
      </c>
      <c r="C10" s="38" t="s">
        <v>5</v>
      </c>
      <c r="D10" s="38"/>
      <c r="E10" s="38" t="s">
        <v>2</v>
      </c>
      <c r="F10" s="38" t="s">
        <v>2</v>
      </c>
      <c r="G10" s="38" t="s">
        <v>2</v>
      </c>
      <c r="H10" s="38" t="s">
        <v>2</v>
      </c>
      <c r="J10" s="43" t="s">
        <v>7</v>
      </c>
      <c r="K10" s="33">
        <f t="shared" si="3"/>
        <v>6</v>
      </c>
      <c r="L10" s="37">
        <f t="shared" si="2"/>
        <v>2.5104602510460251E-2</v>
      </c>
    </row>
    <row r="11" spans="1:13" x14ac:dyDescent="0.25">
      <c r="A11" s="4">
        <v>7</v>
      </c>
      <c r="B11" s="38"/>
      <c r="C11" s="38"/>
      <c r="D11" s="38"/>
      <c r="E11" s="38"/>
      <c r="F11" s="38"/>
      <c r="G11" s="38"/>
      <c r="H11" s="38"/>
      <c r="J11" s="44" t="s">
        <v>17</v>
      </c>
      <c r="K11" s="11">
        <f>SUM(K5:K10)</f>
        <v>239</v>
      </c>
    </row>
    <row r="12" spans="1:13" x14ac:dyDescent="0.25">
      <c r="A12" s="4">
        <v>8</v>
      </c>
      <c r="B12" s="38"/>
      <c r="C12" s="38"/>
      <c r="D12" s="38"/>
      <c r="E12" s="38" t="s">
        <v>2</v>
      </c>
      <c r="F12" s="38"/>
      <c r="G12" s="38"/>
      <c r="H12" s="38"/>
    </row>
    <row r="13" spans="1:13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3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3" x14ac:dyDescent="0.25">
      <c r="A15" s="4">
        <v>11</v>
      </c>
      <c r="B15" s="38"/>
      <c r="C15" s="38" t="s">
        <v>6</v>
      </c>
      <c r="D15" s="38"/>
      <c r="E15" s="38"/>
      <c r="F15" s="38"/>
      <c r="G15" s="38"/>
      <c r="H15" s="38"/>
    </row>
    <row r="16" spans="1:13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 t="s">
        <v>2</v>
      </c>
      <c r="C19" s="38"/>
      <c r="D19" s="38" t="s">
        <v>2</v>
      </c>
      <c r="E19" s="38"/>
      <c r="F19" s="38" t="s">
        <v>2</v>
      </c>
      <c r="G19" s="38"/>
      <c r="H19" s="38" t="s">
        <v>2</v>
      </c>
    </row>
    <row r="20" spans="1:8" x14ac:dyDescent="0.25">
      <c r="A20" s="4">
        <v>16</v>
      </c>
      <c r="B20" s="38"/>
      <c r="C20" s="38" t="s">
        <v>2</v>
      </c>
      <c r="D20" s="38"/>
      <c r="E20" s="38" t="s">
        <v>2</v>
      </c>
      <c r="F20" s="38"/>
      <c r="G20" s="38" t="s">
        <v>7</v>
      </c>
      <c r="H20" s="38"/>
    </row>
    <row r="21" spans="1:8" x14ac:dyDescent="0.25">
      <c r="A21" s="4">
        <v>17</v>
      </c>
      <c r="B21" s="38" t="s">
        <v>2</v>
      </c>
      <c r="C21" s="38" t="s">
        <v>2</v>
      </c>
      <c r="D21" s="38" t="s">
        <v>2</v>
      </c>
      <c r="E21" s="38"/>
      <c r="F21" s="38" t="s">
        <v>2</v>
      </c>
      <c r="G21" s="38"/>
      <c r="H21" s="38" t="s">
        <v>6</v>
      </c>
    </row>
    <row r="22" spans="1:8" x14ac:dyDescent="0.25">
      <c r="A22" s="4">
        <v>18</v>
      </c>
      <c r="B22" s="38"/>
      <c r="C22" s="38" t="s">
        <v>2</v>
      </c>
      <c r="D22" s="38"/>
      <c r="E22" s="38" t="s">
        <v>5</v>
      </c>
      <c r="F22" s="38"/>
      <c r="G22" s="38" t="s">
        <v>2</v>
      </c>
      <c r="H22" s="38"/>
    </row>
    <row r="23" spans="1:8" x14ac:dyDescent="0.25">
      <c r="A23" s="4">
        <v>19</v>
      </c>
      <c r="B23" s="38" t="s">
        <v>2</v>
      </c>
      <c r="C23" s="38"/>
      <c r="D23" s="38" t="s">
        <v>2</v>
      </c>
      <c r="E23" s="38"/>
      <c r="F23" s="38" t="s">
        <v>2</v>
      </c>
      <c r="G23" s="38"/>
      <c r="H23" s="38" t="s">
        <v>2</v>
      </c>
    </row>
    <row r="24" spans="1:8" x14ac:dyDescent="0.25">
      <c r="A24" s="4">
        <v>20</v>
      </c>
      <c r="B24" s="38"/>
      <c r="C24" s="38" t="s">
        <v>2</v>
      </c>
      <c r="D24" s="38"/>
      <c r="E24" s="38" t="s">
        <v>2</v>
      </c>
      <c r="F24" s="38"/>
      <c r="G24" s="38" t="s">
        <v>2</v>
      </c>
      <c r="H24" s="38"/>
    </row>
    <row r="25" spans="1:8" x14ac:dyDescent="0.25">
      <c r="A25" s="4">
        <v>21</v>
      </c>
      <c r="B25" s="38" t="s">
        <v>6</v>
      </c>
      <c r="C25" s="38"/>
      <c r="D25" s="38" t="s">
        <v>6</v>
      </c>
      <c r="E25" s="38"/>
      <c r="F25" s="38" t="s">
        <v>6</v>
      </c>
      <c r="G25" s="38"/>
      <c r="H25" s="38" t="s">
        <v>6</v>
      </c>
    </row>
    <row r="26" spans="1:8" x14ac:dyDescent="0.25">
      <c r="A26" s="4">
        <v>22</v>
      </c>
      <c r="B26" s="38"/>
      <c r="C26" s="38" t="s">
        <v>2</v>
      </c>
      <c r="D26" s="38"/>
      <c r="E26" s="38" t="s">
        <v>2</v>
      </c>
      <c r="F26" s="38"/>
      <c r="G26" s="38" t="s">
        <v>2</v>
      </c>
      <c r="H26" s="38"/>
    </row>
    <row r="27" spans="1:8" x14ac:dyDescent="0.25">
      <c r="A27" s="4">
        <v>23</v>
      </c>
      <c r="B27" s="38" t="s">
        <v>2</v>
      </c>
      <c r="C27" s="38"/>
      <c r="D27" s="38" t="s">
        <v>2</v>
      </c>
      <c r="E27" s="38"/>
      <c r="F27" s="38" t="s">
        <v>5</v>
      </c>
      <c r="G27" s="38"/>
      <c r="H27" s="38" t="s">
        <v>2</v>
      </c>
    </row>
    <row r="28" spans="1:8" x14ac:dyDescent="0.25">
      <c r="A28" s="4">
        <v>24</v>
      </c>
      <c r="B28" s="38"/>
      <c r="C28" s="38" t="s">
        <v>2</v>
      </c>
      <c r="D28" s="38" t="s">
        <v>2</v>
      </c>
      <c r="E28" s="38" t="s">
        <v>5</v>
      </c>
      <c r="F28" s="38"/>
      <c r="G28" s="38" t="s">
        <v>2</v>
      </c>
      <c r="H28" s="38"/>
    </row>
    <row r="29" spans="1:8" x14ac:dyDescent="0.25">
      <c r="A29" s="4">
        <v>25</v>
      </c>
      <c r="B29" s="38" t="s">
        <v>2</v>
      </c>
      <c r="C29" s="38" t="s">
        <v>2</v>
      </c>
      <c r="D29" s="38" t="s">
        <v>2</v>
      </c>
      <c r="E29" s="38" t="s">
        <v>2</v>
      </c>
      <c r="F29" s="38" t="s">
        <v>5</v>
      </c>
      <c r="G29" s="38" t="s">
        <v>2</v>
      </c>
      <c r="H29" s="38" t="s">
        <v>2</v>
      </c>
    </row>
    <row r="30" spans="1:8" x14ac:dyDescent="0.25">
      <c r="A30" s="4">
        <v>26</v>
      </c>
      <c r="B30" s="38" t="s">
        <v>2</v>
      </c>
      <c r="C30" s="38"/>
      <c r="D30" s="38" t="s">
        <v>2</v>
      </c>
      <c r="E30" s="38"/>
      <c r="F30" s="38"/>
      <c r="G30" s="38" t="s">
        <v>2</v>
      </c>
      <c r="H30" s="38"/>
    </row>
    <row r="31" spans="1:8" x14ac:dyDescent="0.25">
      <c r="A31" s="4">
        <v>27</v>
      </c>
      <c r="B31" s="38"/>
      <c r="C31" s="38" t="s">
        <v>2</v>
      </c>
      <c r="D31" s="38"/>
      <c r="E31" s="38" t="s">
        <v>2</v>
      </c>
      <c r="F31" s="38"/>
      <c r="G31" s="38"/>
      <c r="H31" s="38" t="s">
        <v>2</v>
      </c>
    </row>
    <row r="32" spans="1:8" x14ac:dyDescent="0.25">
      <c r="A32" s="4">
        <v>28</v>
      </c>
      <c r="B32" s="38"/>
      <c r="C32" s="38" t="s">
        <v>5</v>
      </c>
      <c r="D32" s="38"/>
      <c r="E32" s="38" t="s">
        <v>2</v>
      </c>
      <c r="F32" s="38" t="s">
        <v>2</v>
      </c>
      <c r="G32" s="38"/>
      <c r="H32" s="38"/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2</v>
      </c>
      <c r="F33" s="38" t="s">
        <v>2</v>
      </c>
      <c r="G33" s="38" t="s">
        <v>2</v>
      </c>
      <c r="H33" s="38" t="s">
        <v>2</v>
      </c>
    </row>
    <row r="34" spans="1:8" x14ac:dyDescent="0.25">
      <c r="A34" s="4">
        <v>30</v>
      </c>
      <c r="B34" s="38"/>
      <c r="C34" s="38" t="s">
        <v>2</v>
      </c>
      <c r="D34" s="38"/>
      <c r="E34" s="38" t="s">
        <v>5</v>
      </c>
      <c r="F34" s="38"/>
      <c r="G34" s="38"/>
      <c r="H34" s="38" t="s">
        <v>2</v>
      </c>
    </row>
    <row r="35" spans="1:8" x14ac:dyDescent="0.25">
      <c r="A35" s="4">
        <v>31</v>
      </c>
      <c r="B35" s="38" t="s">
        <v>2</v>
      </c>
      <c r="C35" s="38"/>
      <c r="D35" s="38" t="s">
        <v>2</v>
      </c>
      <c r="E35" s="38" t="s">
        <v>5</v>
      </c>
      <c r="F35" s="38"/>
      <c r="G35" s="38" t="s">
        <v>6</v>
      </c>
      <c r="H35" s="38"/>
    </row>
    <row r="36" spans="1:8" x14ac:dyDescent="0.25">
      <c r="A36" s="4">
        <v>32</v>
      </c>
      <c r="B36" s="38" t="s">
        <v>2</v>
      </c>
      <c r="C36" s="38"/>
      <c r="D36" s="38" t="s">
        <v>2</v>
      </c>
      <c r="E36" s="38"/>
      <c r="F36" s="38"/>
      <c r="G36" s="38" t="s">
        <v>2</v>
      </c>
      <c r="H36" s="38"/>
    </row>
    <row r="37" spans="1:8" x14ac:dyDescent="0.25">
      <c r="A37" s="4">
        <v>33</v>
      </c>
      <c r="B37" s="38"/>
      <c r="C37" s="38" t="s">
        <v>5</v>
      </c>
      <c r="D37" s="38"/>
      <c r="E37" s="38"/>
      <c r="F37" s="38"/>
      <c r="G37" s="38"/>
      <c r="H37" s="38" t="s">
        <v>2</v>
      </c>
    </row>
    <row r="38" spans="1:8" x14ac:dyDescent="0.25">
      <c r="A38" s="4">
        <v>34</v>
      </c>
      <c r="B38" s="38" t="s">
        <v>2</v>
      </c>
      <c r="C38" s="38"/>
      <c r="D38" s="38" t="s">
        <v>2</v>
      </c>
      <c r="E38" s="38"/>
      <c r="F38" s="38"/>
      <c r="G38" s="38" t="s">
        <v>2</v>
      </c>
      <c r="H38" s="38"/>
    </row>
    <row r="39" spans="1:8" x14ac:dyDescent="0.25">
      <c r="A39" s="4">
        <v>35</v>
      </c>
      <c r="B39" s="38"/>
      <c r="C39" s="38" t="s">
        <v>2</v>
      </c>
      <c r="D39" s="38" t="s">
        <v>2</v>
      </c>
      <c r="E39" s="38"/>
      <c r="F39" s="38" t="s">
        <v>2</v>
      </c>
      <c r="G39" s="38"/>
      <c r="H39" s="38" t="s">
        <v>2</v>
      </c>
    </row>
    <row r="40" spans="1:8" x14ac:dyDescent="0.25">
      <c r="A40" s="4">
        <v>36</v>
      </c>
      <c r="B40" s="38" t="s">
        <v>2</v>
      </c>
      <c r="C40" s="38" t="s">
        <v>2</v>
      </c>
      <c r="D40" s="38" t="s">
        <v>2</v>
      </c>
      <c r="E40" s="38" t="s">
        <v>2</v>
      </c>
      <c r="F40" s="38" t="s">
        <v>2</v>
      </c>
      <c r="G40" s="38"/>
      <c r="H40" s="38" t="s">
        <v>2</v>
      </c>
    </row>
    <row r="41" spans="1:8" x14ac:dyDescent="0.25">
      <c r="A41" s="4">
        <v>37</v>
      </c>
      <c r="B41" s="38"/>
      <c r="C41" s="38"/>
      <c r="D41" s="38" t="s">
        <v>2</v>
      </c>
      <c r="E41" s="38"/>
      <c r="F41" s="38" t="s">
        <v>2</v>
      </c>
      <c r="G41" s="38"/>
      <c r="H41" s="38"/>
    </row>
    <row r="42" spans="1:8" x14ac:dyDescent="0.25">
      <c r="A42" s="4">
        <v>38</v>
      </c>
      <c r="B42" s="38" t="s">
        <v>2</v>
      </c>
      <c r="C42" s="38"/>
      <c r="D42" s="38" t="s">
        <v>2</v>
      </c>
      <c r="E42" s="38"/>
      <c r="F42" s="38" t="s">
        <v>2</v>
      </c>
      <c r="G42" s="38"/>
      <c r="H42" s="38" t="s">
        <v>2</v>
      </c>
    </row>
    <row r="43" spans="1:8" x14ac:dyDescent="0.25">
      <c r="A43" s="4">
        <v>39</v>
      </c>
      <c r="B43" s="38"/>
      <c r="C43" s="38" t="s">
        <v>2</v>
      </c>
      <c r="D43" s="38"/>
      <c r="E43" s="38" t="s">
        <v>2</v>
      </c>
      <c r="F43" s="38"/>
      <c r="G43" s="38" t="s">
        <v>2</v>
      </c>
      <c r="H43" s="38"/>
    </row>
    <row r="44" spans="1:8" x14ac:dyDescent="0.25">
      <c r="A44" s="4">
        <v>40</v>
      </c>
      <c r="B44" s="38" t="s">
        <v>2</v>
      </c>
      <c r="C44" s="38"/>
      <c r="D44" s="38" t="s">
        <v>2</v>
      </c>
      <c r="E44" s="38"/>
      <c r="F44" s="38" t="s">
        <v>2</v>
      </c>
      <c r="G44" s="38"/>
      <c r="H44" s="38" t="s">
        <v>2</v>
      </c>
    </row>
    <row r="45" spans="1:8" x14ac:dyDescent="0.25">
      <c r="A45" s="4">
        <v>41</v>
      </c>
      <c r="B45" s="38"/>
      <c r="C45" s="38" t="s">
        <v>2</v>
      </c>
      <c r="D45" s="38"/>
      <c r="E45" s="38" t="s">
        <v>2</v>
      </c>
      <c r="F45" s="38"/>
      <c r="G45" s="38" t="s">
        <v>2</v>
      </c>
      <c r="H45" s="38"/>
    </row>
    <row r="46" spans="1:8" x14ac:dyDescent="0.25">
      <c r="A46" s="4">
        <v>42</v>
      </c>
      <c r="B46" s="38" t="s">
        <v>2</v>
      </c>
      <c r="C46" s="38"/>
      <c r="D46" s="38" t="s">
        <v>2</v>
      </c>
      <c r="E46" s="38"/>
      <c r="F46" s="38" t="s">
        <v>2</v>
      </c>
      <c r="G46" s="38"/>
      <c r="H46" s="38" t="s">
        <v>2</v>
      </c>
    </row>
    <row r="47" spans="1:8" x14ac:dyDescent="0.25">
      <c r="A47" s="4">
        <v>43</v>
      </c>
      <c r="B47" s="38" t="s">
        <v>2</v>
      </c>
      <c r="C47" s="38"/>
      <c r="D47" s="38" t="s">
        <v>2</v>
      </c>
      <c r="E47" s="38"/>
      <c r="F47" s="38" t="s">
        <v>2</v>
      </c>
      <c r="G47" s="38"/>
      <c r="H47" s="38" t="s">
        <v>2</v>
      </c>
    </row>
    <row r="48" spans="1:8" x14ac:dyDescent="0.25">
      <c r="A48" s="4">
        <v>44</v>
      </c>
      <c r="B48" s="38" t="s">
        <v>2</v>
      </c>
      <c r="C48" s="38"/>
      <c r="D48" s="38" t="s">
        <v>2</v>
      </c>
      <c r="E48" s="38"/>
      <c r="F48" s="38" t="s">
        <v>2</v>
      </c>
      <c r="G48" s="38"/>
      <c r="H48" s="38" t="s">
        <v>2</v>
      </c>
    </row>
    <row r="49" spans="1:8" x14ac:dyDescent="0.25">
      <c r="A49" s="4">
        <v>45</v>
      </c>
      <c r="B49" s="38" t="s">
        <v>2</v>
      </c>
      <c r="C49" s="38"/>
      <c r="D49" s="38" t="s">
        <v>2</v>
      </c>
      <c r="E49" s="38"/>
      <c r="F49" s="38" t="s">
        <v>2</v>
      </c>
      <c r="G49" s="38"/>
      <c r="H49" s="38"/>
    </row>
    <row r="50" spans="1:8" x14ac:dyDescent="0.25">
      <c r="A50" s="4">
        <v>46</v>
      </c>
      <c r="B50" s="38"/>
      <c r="C50" s="38" t="s">
        <v>2</v>
      </c>
      <c r="D50" s="38"/>
      <c r="E50" s="38" t="s">
        <v>2</v>
      </c>
      <c r="F50" s="38"/>
      <c r="G50" s="38" t="s">
        <v>2</v>
      </c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 t="s">
        <v>2</v>
      </c>
      <c r="C54" s="38"/>
      <c r="D54" s="38" t="s">
        <v>2</v>
      </c>
      <c r="E54" s="38"/>
      <c r="F54" s="38" t="s">
        <v>2</v>
      </c>
      <c r="G54" s="38"/>
      <c r="H54" s="38" t="s">
        <v>2</v>
      </c>
    </row>
    <row r="55" spans="1:8" x14ac:dyDescent="0.25">
      <c r="A55" s="4">
        <v>51</v>
      </c>
      <c r="B55" s="38"/>
      <c r="C55" s="38" t="s">
        <v>2</v>
      </c>
      <c r="D55" s="38"/>
      <c r="E55" s="38" t="s">
        <v>2</v>
      </c>
      <c r="F55" s="38"/>
      <c r="G55" s="38" t="s">
        <v>2</v>
      </c>
      <c r="H55" s="38"/>
    </row>
    <row r="56" spans="1:8" x14ac:dyDescent="0.25">
      <c r="A56" s="4">
        <v>52</v>
      </c>
      <c r="B56" s="38" t="s">
        <v>2</v>
      </c>
      <c r="C56" s="38"/>
      <c r="D56" s="38" t="s">
        <v>2</v>
      </c>
      <c r="E56" s="38"/>
      <c r="F56" s="38" t="s">
        <v>2</v>
      </c>
      <c r="G56" s="38"/>
      <c r="H56" s="38" t="s">
        <v>2</v>
      </c>
    </row>
    <row r="57" spans="1:8" x14ac:dyDescent="0.25">
      <c r="A57" s="4">
        <v>53</v>
      </c>
      <c r="B57" s="38"/>
      <c r="C57" s="38" t="s">
        <v>2</v>
      </c>
      <c r="D57" s="38"/>
      <c r="E57" s="38" t="s">
        <v>2</v>
      </c>
      <c r="F57" s="38"/>
      <c r="G57" s="38" t="s">
        <v>2</v>
      </c>
      <c r="H57" s="38"/>
    </row>
    <row r="58" spans="1:8" x14ac:dyDescent="0.25">
      <c r="A58" s="4">
        <v>54</v>
      </c>
      <c r="B58" s="38" t="s">
        <v>2</v>
      </c>
      <c r="C58" s="38"/>
      <c r="D58" s="38" t="s">
        <v>2</v>
      </c>
      <c r="E58" s="38"/>
      <c r="F58" s="38" t="s">
        <v>2</v>
      </c>
      <c r="G58" s="38"/>
      <c r="H58" s="38" t="s">
        <v>7</v>
      </c>
    </row>
    <row r="59" spans="1:8" x14ac:dyDescent="0.25">
      <c r="A59" s="4">
        <v>55</v>
      </c>
      <c r="B59" s="38"/>
      <c r="C59" s="38" t="s">
        <v>2</v>
      </c>
      <c r="D59" s="38"/>
      <c r="E59" s="38" t="s">
        <v>2</v>
      </c>
      <c r="F59" s="38"/>
      <c r="G59" s="38" t="s">
        <v>5</v>
      </c>
      <c r="H59" s="38"/>
    </row>
    <row r="60" spans="1:8" x14ac:dyDescent="0.25">
      <c r="A60" s="4">
        <v>56</v>
      </c>
      <c r="B60" s="38" t="s">
        <v>2</v>
      </c>
      <c r="C60" s="38"/>
      <c r="D60" s="38" t="s">
        <v>2</v>
      </c>
      <c r="E60" s="38"/>
      <c r="F60" s="38" t="s">
        <v>2</v>
      </c>
      <c r="G60" s="38"/>
      <c r="H60" s="38" t="s">
        <v>2</v>
      </c>
    </row>
    <row r="61" spans="1:8" x14ac:dyDescent="0.25">
      <c r="A61" s="18">
        <v>73</v>
      </c>
      <c r="B61" s="38"/>
      <c r="C61" s="38"/>
      <c r="D61" s="38"/>
      <c r="E61" s="38"/>
      <c r="F61" s="38"/>
      <c r="G61" s="38"/>
      <c r="H61" s="38"/>
    </row>
    <row r="62" spans="1:8" x14ac:dyDescent="0.25">
      <c r="A62" s="18">
        <v>74</v>
      </c>
      <c r="B62" s="38"/>
      <c r="C62" s="38"/>
      <c r="D62" s="38"/>
      <c r="E62" s="38"/>
      <c r="F62" s="38"/>
      <c r="G62" s="38"/>
      <c r="H62" s="38"/>
    </row>
    <row r="63" spans="1:8" x14ac:dyDescent="0.25">
      <c r="A63" s="18">
        <v>101</v>
      </c>
      <c r="B63" s="39"/>
      <c r="C63" s="38" t="s">
        <v>2</v>
      </c>
      <c r="D63" s="38" t="s">
        <v>2</v>
      </c>
      <c r="E63" s="38"/>
      <c r="F63" s="38" t="s">
        <v>5</v>
      </c>
      <c r="G63" s="38" t="s">
        <v>2</v>
      </c>
      <c r="H63" s="38"/>
    </row>
    <row r="64" spans="1:8" x14ac:dyDescent="0.25">
      <c r="A64" s="18">
        <v>102</v>
      </c>
      <c r="B64" s="38" t="s">
        <v>2</v>
      </c>
      <c r="C64" s="38"/>
      <c r="D64" s="38" t="s">
        <v>2</v>
      </c>
      <c r="E64" s="38"/>
      <c r="F64" s="38"/>
      <c r="G64" s="38" t="s">
        <v>2</v>
      </c>
      <c r="H64" s="38"/>
    </row>
    <row r="65" spans="1:8" x14ac:dyDescent="0.25">
      <c r="A65" s="18">
        <v>103</v>
      </c>
      <c r="B65" s="38" t="s">
        <v>2</v>
      </c>
      <c r="C65" s="38"/>
      <c r="D65" s="38" t="s">
        <v>2</v>
      </c>
      <c r="E65" s="38"/>
      <c r="F65" s="38"/>
      <c r="G65" s="38" t="s">
        <v>2</v>
      </c>
      <c r="H65" s="38"/>
    </row>
    <row r="66" spans="1:8" x14ac:dyDescent="0.25">
      <c r="A66" s="18">
        <v>104</v>
      </c>
      <c r="B66" s="38" t="s">
        <v>2</v>
      </c>
      <c r="C66" s="38" t="s">
        <v>2</v>
      </c>
      <c r="D66" s="38"/>
      <c r="E66" s="38"/>
      <c r="F66" s="38" t="s">
        <v>2</v>
      </c>
      <c r="G66" s="38"/>
      <c r="H66" s="38"/>
    </row>
    <row r="67" spans="1:8" x14ac:dyDescent="0.25">
      <c r="A67" s="18">
        <v>105</v>
      </c>
      <c r="B67" s="38"/>
      <c r="C67" s="38"/>
      <c r="D67" s="38" t="s">
        <v>2</v>
      </c>
      <c r="E67" s="38"/>
      <c r="F67" s="38" t="s">
        <v>2</v>
      </c>
      <c r="G67" s="38"/>
      <c r="H67" s="38"/>
    </row>
    <row r="68" spans="1:8" x14ac:dyDescent="0.25">
      <c r="A68" s="18">
        <v>106</v>
      </c>
      <c r="B68" s="38"/>
      <c r="C68" s="38" t="s">
        <v>2</v>
      </c>
      <c r="D68" s="38" t="s">
        <v>7</v>
      </c>
      <c r="E68" s="38"/>
      <c r="F68" s="38" t="s">
        <v>5</v>
      </c>
      <c r="G68" s="38" t="s">
        <v>2</v>
      </c>
      <c r="H68" s="38"/>
    </row>
    <row r="69" spans="1:8" x14ac:dyDescent="0.25">
      <c r="A69" s="18">
        <v>107</v>
      </c>
      <c r="B69" s="38" t="s">
        <v>2</v>
      </c>
      <c r="C69" s="38" t="s">
        <v>2</v>
      </c>
      <c r="D69" s="38"/>
      <c r="E69" s="38"/>
      <c r="F69" s="38" t="s">
        <v>5</v>
      </c>
      <c r="G69" s="38" t="s">
        <v>2</v>
      </c>
      <c r="H69" s="38"/>
    </row>
    <row r="70" spans="1:8" x14ac:dyDescent="0.25">
      <c r="A70" s="18">
        <v>108</v>
      </c>
      <c r="B70" s="38" t="s">
        <v>2</v>
      </c>
      <c r="C70" s="38"/>
      <c r="D70" s="38" t="s">
        <v>2</v>
      </c>
      <c r="E70" s="38"/>
      <c r="F70" s="38"/>
      <c r="G70" s="38" t="s">
        <v>2</v>
      </c>
      <c r="H70" s="38" t="s">
        <v>2</v>
      </c>
    </row>
    <row r="71" spans="1:8" x14ac:dyDescent="0.25">
      <c r="A71" s="18">
        <v>109</v>
      </c>
      <c r="B71" s="38" t="s">
        <v>2</v>
      </c>
      <c r="C71" s="38"/>
      <c r="D71" s="38" t="s">
        <v>2</v>
      </c>
      <c r="E71" s="38"/>
      <c r="F71" s="38" t="s">
        <v>2</v>
      </c>
      <c r="G71" s="38"/>
      <c r="H71" s="38" t="s">
        <v>2</v>
      </c>
    </row>
    <row r="72" spans="1:8" x14ac:dyDescent="0.25">
      <c r="A72" s="18">
        <v>110</v>
      </c>
      <c r="B72" s="38"/>
      <c r="C72" s="38" t="s">
        <v>2</v>
      </c>
      <c r="D72" s="38" t="s">
        <v>2</v>
      </c>
      <c r="E72" s="38"/>
      <c r="F72" s="38" t="s">
        <v>2</v>
      </c>
      <c r="G72" s="38" t="s">
        <v>2</v>
      </c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 t="s">
        <v>2</v>
      </c>
      <c r="C74" s="38"/>
      <c r="D74" s="38"/>
      <c r="E74" s="38"/>
      <c r="F74" s="38"/>
      <c r="G74" s="38"/>
      <c r="H74" s="38"/>
    </row>
    <row r="75" spans="1:8" x14ac:dyDescent="0.25">
      <c r="A75" s="18">
        <v>113</v>
      </c>
      <c r="B75" s="38"/>
      <c r="C75" s="38" t="s">
        <v>2</v>
      </c>
      <c r="D75" s="38"/>
      <c r="E75" s="38"/>
      <c r="F75" s="38"/>
      <c r="G75" s="38" t="s">
        <v>2</v>
      </c>
      <c r="H75" s="38"/>
    </row>
    <row r="76" spans="1:8" x14ac:dyDescent="0.25">
      <c r="A76" s="18">
        <v>114</v>
      </c>
      <c r="B76" s="38"/>
      <c r="C76" s="38" t="s">
        <v>2</v>
      </c>
      <c r="D76" s="38"/>
      <c r="E76" s="38"/>
      <c r="F76" s="38" t="s">
        <v>7</v>
      </c>
      <c r="G76" s="38"/>
      <c r="H76" s="38"/>
    </row>
    <row r="77" spans="1:8" x14ac:dyDescent="0.25">
      <c r="A77" s="18">
        <v>115</v>
      </c>
      <c r="B77" s="38" t="s">
        <v>2</v>
      </c>
      <c r="C77" s="38" t="s">
        <v>2</v>
      </c>
      <c r="D77" s="38" t="s">
        <v>2</v>
      </c>
      <c r="E77" s="38"/>
      <c r="F77" s="38" t="s">
        <v>2</v>
      </c>
      <c r="G77" s="38"/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 t="s">
        <v>2</v>
      </c>
      <c r="D79" s="38"/>
      <c r="E79" s="38"/>
      <c r="F79" s="38"/>
      <c r="G79" s="38" t="s">
        <v>2</v>
      </c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/>
      <c r="F81" s="38"/>
      <c r="G81" s="38" t="s">
        <v>2</v>
      </c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 t="s">
        <v>7</v>
      </c>
      <c r="E87" s="38"/>
      <c r="F87" s="38" t="s">
        <v>2</v>
      </c>
      <c r="G87" s="38" t="s">
        <v>2</v>
      </c>
      <c r="H87" s="38" t="s">
        <v>2</v>
      </c>
    </row>
    <row r="88" spans="1:8" x14ac:dyDescent="0.25">
      <c r="A88" s="18">
        <v>126</v>
      </c>
      <c r="B88" s="38" t="s">
        <v>2</v>
      </c>
      <c r="C88" s="38" t="s">
        <v>2</v>
      </c>
      <c r="D88" s="38" t="s">
        <v>2</v>
      </c>
      <c r="E88" s="38"/>
      <c r="F88" s="38"/>
      <c r="G88" s="38" t="s">
        <v>5</v>
      </c>
      <c r="H88" s="38" t="s">
        <v>2</v>
      </c>
    </row>
    <row r="89" spans="1:8" x14ac:dyDescent="0.25">
      <c r="A89" s="18">
        <v>127</v>
      </c>
      <c r="B89" s="38"/>
      <c r="C89" s="38"/>
      <c r="D89" s="38" t="s">
        <v>7</v>
      </c>
      <c r="E89" s="38"/>
      <c r="F89" s="38" t="s">
        <v>2</v>
      </c>
      <c r="G89" s="38" t="s">
        <v>2</v>
      </c>
      <c r="H89" s="38" t="s">
        <v>2</v>
      </c>
    </row>
    <row r="90" spans="1:8" x14ac:dyDescent="0.25">
      <c r="A90" s="18">
        <v>128</v>
      </c>
      <c r="B90" s="38" t="s">
        <v>2</v>
      </c>
      <c r="C90" s="38"/>
      <c r="D90" s="38"/>
      <c r="E90" s="38"/>
      <c r="F90" s="38"/>
      <c r="G90" s="38"/>
      <c r="H90" s="38"/>
    </row>
    <row r="91" spans="1:8" x14ac:dyDescent="0.25">
      <c r="A91" s="18">
        <v>129</v>
      </c>
      <c r="B91" s="38"/>
      <c r="C91" s="38"/>
      <c r="D91" s="38"/>
      <c r="E91" s="38"/>
      <c r="F91" s="38" t="s">
        <v>5</v>
      </c>
      <c r="G91" s="38"/>
      <c r="H91" s="38"/>
    </row>
    <row r="92" spans="1:8" x14ac:dyDescent="0.25">
      <c r="A92" s="18">
        <v>130</v>
      </c>
      <c r="B92" s="38"/>
      <c r="C92" s="38" t="s">
        <v>5</v>
      </c>
      <c r="D92" s="38" t="s">
        <v>2</v>
      </c>
      <c r="E92" s="38"/>
      <c r="F92" s="38"/>
      <c r="G92" s="38"/>
      <c r="H92" s="38" t="s">
        <v>2</v>
      </c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1079" priority="18" operator="equal">
      <formula>"Energia"</formula>
    </cfRule>
    <cfRule type="cellIs" dxfId="1078" priority="20" operator="equal">
      <formula>"Operação"</formula>
    </cfRule>
    <cfRule type="cellIs" dxfId="1077" priority="21" operator="equal">
      <formula>"Chuva"</formula>
    </cfRule>
    <cfRule type="cellIs" dxfId="1076" priority="22" operator="equal">
      <formula>"Elétrico"</formula>
    </cfRule>
    <cfRule type="cellIs" dxfId="1075" priority="23" operator="equal">
      <formula>"Mecânico"</formula>
    </cfRule>
    <cfRule type="cellIs" dxfId="1074" priority="24" operator="equal">
      <formula>"Ok"</formula>
    </cfRule>
  </conditionalFormatting>
  <conditionalFormatting sqref="B61:I62 I5:I60 B63:H95">
    <cfRule type="cellIs" dxfId="1073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072" priority="16" operator="equal">
      <formula>"Energia"</formula>
    </cfRule>
  </conditionalFormatting>
  <conditionalFormatting sqref="B5:E60 G5:H60">
    <cfRule type="cellIs" dxfId="1071" priority="9" operator="equal">
      <formula>"Energia"</formula>
    </cfRule>
    <cfRule type="cellIs" dxfId="1070" priority="11" operator="equal">
      <formula>"Operação"</formula>
    </cfRule>
    <cfRule type="cellIs" dxfId="1069" priority="12" operator="equal">
      <formula>"Chuva"</formula>
    </cfRule>
    <cfRule type="cellIs" dxfId="1068" priority="13" operator="equal">
      <formula>"Elétrico"</formula>
    </cfRule>
    <cfRule type="cellIs" dxfId="1067" priority="14" operator="equal">
      <formula>"Mecânico"</formula>
    </cfRule>
    <cfRule type="cellIs" dxfId="1066" priority="15" operator="equal">
      <formula>"Ok"</formula>
    </cfRule>
  </conditionalFormatting>
  <conditionalFormatting sqref="B5:E60 G5:H60">
    <cfRule type="cellIs" dxfId="1065" priority="10" operator="equal">
      <formula>"Feito"</formula>
    </cfRule>
  </conditionalFormatting>
  <conditionalFormatting sqref="F5:F11">
    <cfRule type="cellIs" dxfId="1064" priority="8" operator="equal">
      <formula>"Energia"</formula>
    </cfRule>
  </conditionalFormatting>
  <conditionalFormatting sqref="F5:F60">
    <cfRule type="cellIs" dxfId="1063" priority="1" operator="equal">
      <formula>"Energia"</formula>
    </cfRule>
    <cfRule type="cellIs" dxfId="1062" priority="3" operator="equal">
      <formula>"Operação"</formula>
    </cfRule>
    <cfRule type="cellIs" dxfId="1061" priority="4" operator="equal">
      <formula>"Chuva"</formula>
    </cfRule>
    <cfRule type="cellIs" dxfId="1060" priority="5" operator="equal">
      <formula>"Elétrico"</formula>
    </cfRule>
    <cfRule type="cellIs" dxfId="1059" priority="6" operator="equal">
      <formula>"Mecânico"</formula>
    </cfRule>
    <cfRule type="cellIs" dxfId="1058" priority="7" operator="equal">
      <formula>"Ok"</formula>
    </cfRule>
  </conditionalFormatting>
  <conditionalFormatting sqref="F5:F60">
    <cfRule type="cellIs" dxfId="1057" priority="2" operator="equal">
      <formula>"Feito"</formula>
    </cfRule>
  </conditionalFormatting>
  <dataValidations count="1">
    <dataValidation type="list" allowBlank="1" showInputMessage="1" showErrorMessage="1" sqref="B61:I62 B5:I26 B27:J60 B63:H95" xr:uid="{6C0D45C4-E89D-4525-8678-833780C5B5C5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FCABF-BED8-4172-BD4B-4487C5F1E0C5}">
  <dimension ref="A1:M95"/>
  <sheetViews>
    <sheetView zoomScale="110" zoomScaleNormal="11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3" max="13" width="10.85546875" bestFit="1" customWidth="1"/>
    <col min="17" max="17" width="8.5703125" customWidth="1"/>
  </cols>
  <sheetData>
    <row r="1" spans="1:13" x14ac:dyDescent="0.25">
      <c r="A1" s="70" t="s">
        <v>37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4" t="s">
        <v>16</v>
      </c>
      <c r="B3" s="23">
        <v>44662</v>
      </c>
      <c r="C3" s="23">
        <f>B3+1</f>
        <v>44663</v>
      </c>
      <c r="D3" s="23">
        <f t="shared" ref="D3:H3" si="0">C3+1</f>
        <v>44664</v>
      </c>
      <c r="E3" s="23">
        <f t="shared" si="0"/>
        <v>44665</v>
      </c>
      <c r="F3" s="23">
        <f t="shared" si="0"/>
        <v>44666</v>
      </c>
      <c r="G3" s="23">
        <f t="shared" si="0"/>
        <v>44667</v>
      </c>
      <c r="H3" s="25">
        <f t="shared" si="0"/>
        <v>44668</v>
      </c>
      <c r="I3" s="3"/>
    </row>
    <row r="4" spans="1:13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</row>
    <row r="5" spans="1:13" x14ac:dyDescent="0.25">
      <c r="A5" s="4">
        <v>1</v>
      </c>
      <c r="B5" s="38" t="s">
        <v>2</v>
      </c>
      <c r="C5" s="38"/>
      <c r="D5" s="38" t="s">
        <v>3</v>
      </c>
      <c r="E5" s="38"/>
      <c r="F5" s="38" t="s">
        <v>5</v>
      </c>
      <c r="G5" s="38"/>
      <c r="H5" s="38" t="s">
        <v>5</v>
      </c>
      <c r="J5" s="48" t="s">
        <v>2</v>
      </c>
      <c r="K5" s="33">
        <f>COUNTIF($B$5:$H$95,J5)</f>
        <v>205</v>
      </c>
      <c r="L5" s="34">
        <f t="shared" ref="L5:L10" si="2">K5/$K$11</f>
        <v>0.78244274809160308</v>
      </c>
      <c r="M5" s="52">
        <v>44662</v>
      </c>
    </row>
    <row r="6" spans="1:13" x14ac:dyDescent="0.25">
      <c r="A6" s="4">
        <v>2</v>
      </c>
      <c r="B6" s="38" t="s">
        <v>2</v>
      </c>
      <c r="C6" s="38" t="s">
        <v>2</v>
      </c>
      <c r="D6" s="38" t="s">
        <v>3</v>
      </c>
      <c r="E6" s="38"/>
      <c r="F6" s="38" t="s">
        <v>2</v>
      </c>
      <c r="G6" s="38"/>
      <c r="H6" s="38" t="s">
        <v>6</v>
      </c>
      <c r="J6" s="42" t="s">
        <v>5</v>
      </c>
      <c r="K6" s="33">
        <f t="shared" ref="K6:K10" si="3">COUNTIF($B$5:$H$95,J6)</f>
        <v>25</v>
      </c>
      <c r="L6" s="35">
        <f t="shared" si="2"/>
        <v>9.5419847328244281E-2</v>
      </c>
    </row>
    <row r="7" spans="1:13" x14ac:dyDescent="0.25">
      <c r="A7" s="4">
        <v>3</v>
      </c>
      <c r="B7" s="38"/>
      <c r="C7" s="38"/>
      <c r="D7" s="38" t="s">
        <v>3</v>
      </c>
      <c r="E7" s="38"/>
      <c r="F7" s="38" t="s">
        <v>2</v>
      </c>
      <c r="G7" s="38" t="s">
        <v>2</v>
      </c>
      <c r="H7" s="38"/>
      <c r="J7" s="46" t="s">
        <v>6</v>
      </c>
      <c r="K7" s="33">
        <f t="shared" si="3"/>
        <v>19</v>
      </c>
      <c r="L7" s="35">
        <f t="shared" si="2"/>
        <v>7.2519083969465645E-2</v>
      </c>
    </row>
    <row r="8" spans="1:13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 t="s">
        <v>2</v>
      </c>
      <c r="G8" s="38" t="s">
        <v>2</v>
      </c>
      <c r="H8" s="38" t="s">
        <v>2</v>
      </c>
      <c r="J8" s="47" t="s">
        <v>4</v>
      </c>
      <c r="K8" s="33">
        <f t="shared" si="3"/>
        <v>0</v>
      </c>
      <c r="L8" s="35">
        <f t="shared" si="2"/>
        <v>0</v>
      </c>
    </row>
    <row r="9" spans="1:13" x14ac:dyDescent="0.25">
      <c r="A9" s="4">
        <v>5</v>
      </c>
      <c r="B9" s="38" t="s">
        <v>2</v>
      </c>
      <c r="C9" s="38"/>
      <c r="D9" s="38" t="s">
        <v>3</v>
      </c>
      <c r="E9" s="38"/>
      <c r="F9" s="38" t="s">
        <v>2</v>
      </c>
      <c r="G9" s="38"/>
      <c r="H9" s="38" t="s">
        <v>6</v>
      </c>
      <c r="J9" s="45" t="s">
        <v>3</v>
      </c>
      <c r="K9" s="33">
        <f t="shared" si="3"/>
        <v>11</v>
      </c>
      <c r="L9" s="35">
        <f t="shared" si="2"/>
        <v>4.1984732824427481E-2</v>
      </c>
    </row>
    <row r="10" spans="1:13" x14ac:dyDescent="0.25">
      <c r="A10" s="4">
        <v>6</v>
      </c>
      <c r="B10" s="38" t="s">
        <v>2</v>
      </c>
      <c r="C10" s="38" t="s">
        <v>2</v>
      </c>
      <c r="D10" s="38" t="s">
        <v>2</v>
      </c>
      <c r="E10" s="38" t="s">
        <v>2</v>
      </c>
      <c r="F10" s="38" t="s">
        <v>2</v>
      </c>
      <c r="G10" s="38" t="s">
        <v>3</v>
      </c>
      <c r="H10" s="38" t="s">
        <v>6</v>
      </c>
      <c r="J10" s="43" t="s">
        <v>7</v>
      </c>
      <c r="K10" s="33">
        <f t="shared" si="3"/>
        <v>2</v>
      </c>
      <c r="L10" s="37">
        <f t="shared" si="2"/>
        <v>7.6335877862595417E-3</v>
      </c>
    </row>
    <row r="11" spans="1:13" x14ac:dyDescent="0.25">
      <c r="A11" s="4">
        <v>7</v>
      </c>
      <c r="B11" s="38"/>
      <c r="C11" s="38"/>
      <c r="D11" s="38" t="s">
        <v>3</v>
      </c>
      <c r="E11" s="38" t="s">
        <v>5</v>
      </c>
      <c r="F11" s="38"/>
      <c r="G11" s="38" t="s">
        <v>3</v>
      </c>
      <c r="H11" s="38" t="s">
        <v>2</v>
      </c>
      <c r="J11" s="44" t="s">
        <v>17</v>
      </c>
      <c r="K11" s="11">
        <f>SUM(K5:K10)</f>
        <v>262</v>
      </c>
    </row>
    <row r="12" spans="1:13" x14ac:dyDescent="0.25">
      <c r="A12" s="4">
        <v>8</v>
      </c>
      <c r="B12" s="38" t="s">
        <v>5</v>
      </c>
      <c r="C12" s="38"/>
      <c r="D12" s="38"/>
      <c r="E12" s="38"/>
      <c r="F12" s="38"/>
      <c r="G12" s="38" t="s">
        <v>3</v>
      </c>
      <c r="H12" s="38"/>
    </row>
    <row r="13" spans="1:13" x14ac:dyDescent="0.25">
      <c r="A13" s="4">
        <v>9</v>
      </c>
      <c r="B13" s="38" t="s">
        <v>5</v>
      </c>
      <c r="C13" s="38"/>
      <c r="D13" s="38"/>
      <c r="E13" s="38"/>
      <c r="F13" s="38"/>
      <c r="G13" s="38"/>
      <c r="H13" s="38"/>
    </row>
    <row r="14" spans="1:13" x14ac:dyDescent="0.25">
      <c r="A14" s="4">
        <v>10</v>
      </c>
      <c r="B14" s="38"/>
      <c r="C14" s="38"/>
      <c r="D14" s="38"/>
      <c r="E14" s="38"/>
      <c r="F14" s="38"/>
      <c r="G14" s="38" t="s">
        <v>2</v>
      </c>
      <c r="H14" s="38" t="s">
        <v>6</v>
      </c>
    </row>
    <row r="15" spans="1:13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3" x14ac:dyDescent="0.25">
      <c r="A16" s="4">
        <v>12</v>
      </c>
      <c r="B16" s="38"/>
      <c r="C16" s="38"/>
      <c r="D16" s="38" t="s">
        <v>6</v>
      </c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/>
      <c r="C19" s="38" t="s">
        <v>2</v>
      </c>
      <c r="D19" s="38"/>
      <c r="E19" s="38" t="s">
        <v>2</v>
      </c>
      <c r="F19" s="38"/>
      <c r="G19" s="38" t="s">
        <v>2</v>
      </c>
      <c r="H19" s="38"/>
    </row>
    <row r="20" spans="1:8" x14ac:dyDescent="0.25">
      <c r="A20" s="4">
        <v>16</v>
      </c>
      <c r="B20" s="38" t="s">
        <v>7</v>
      </c>
      <c r="C20" s="38"/>
      <c r="D20" s="38" t="s">
        <v>3</v>
      </c>
      <c r="E20" s="38"/>
      <c r="F20" s="38" t="s">
        <v>2</v>
      </c>
      <c r="G20" s="38"/>
      <c r="H20" s="38" t="s">
        <v>6</v>
      </c>
    </row>
    <row r="21" spans="1:8" x14ac:dyDescent="0.25">
      <c r="A21" s="4">
        <v>17</v>
      </c>
      <c r="B21" s="38"/>
      <c r="C21" s="38" t="s">
        <v>2</v>
      </c>
      <c r="D21" s="38"/>
      <c r="E21" s="38" t="s">
        <v>2</v>
      </c>
      <c r="F21" s="38"/>
      <c r="G21" s="38" t="s">
        <v>2</v>
      </c>
      <c r="H21" s="38"/>
    </row>
    <row r="22" spans="1:8" x14ac:dyDescent="0.25">
      <c r="A22" s="4">
        <v>18</v>
      </c>
      <c r="B22" s="38" t="s">
        <v>2</v>
      </c>
      <c r="C22" s="38"/>
      <c r="D22" s="38" t="s">
        <v>2</v>
      </c>
      <c r="E22" s="38"/>
      <c r="F22" s="38" t="s">
        <v>2</v>
      </c>
      <c r="G22" s="38"/>
      <c r="H22" s="38" t="s">
        <v>6</v>
      </c>
    </row>
    <row r="23" spans="1:8" x14ac:dyDescent="0.25">
      <c r="A23" s="4">
        <v>19</v>
      </c>
      <c r="B23" s="38"/>
      <c r="C23" s="38" t="s">
        <v>2</v>
      </c>
      <c r="D23" s="38"/>
      <c r="E23" s="38" t="s">
        <v>2</v>
      </c>
      <c r="F23" s="38"/>
      <c r="G23" s="38" t="s">
        <v>2</v>
      </c>
      <c r="H23" s="38"/>
    </row>
    <row r="24" spans="1:8" x14ac:dyDescent="0.25">
      <c r="A24" s="4">
        <v>20</v>
      </c>
      <c r="B24" s="38" t="s">
        <v>2</v>
      </c>
      <c r="C24" s="38"/>
      <c r="D24" s="38" t="s">
        <v>2</v>
      </c>
      <c r="E24" s="38"/>
      <c r="F24" s="38" t="s">
        <v>2</v>
      </c>
      <c r="G24" s="38"/>
      <c r="H24" s="38" t="s">
        <v>6</v>
      </c>
    </row>
    <row r="25" spans="1:8" x14ac:dyDescent="0.25">
      <c r="A25" s="4">
        <v>21</v>
      </c>
      <c r="B25" s="38"/>
      <c r="C25" s="38" t="s">
        <v>2</v>
      </c>
      <c r="D25" s="38"/>
      <c r="E25" s="38" t="s">
        <v>2</v>
      </c>
      <c r="F25" s="38"/>
      <c r="G25" s="38" t="s">
        <v>2</v>
      </c>
      <c r="H25" s="38"/>
    </row>
    <row r="26" spans="1:8" x14ac:dyDescent="0.25">
      <c r="A26" s="4">
        <v>22</v>
      </c>
      <c r="B26" s="38" t="s">
        <v>5</v>
      </c>
      <c r="C26" s="38"/>
      <c r="D26" s="38" t="s">
        <v>2</v>
      </c>
      <c r="E26" s="38"/>
      <c r="F26" s="38" t="s">
        <v>2</v>
      </c>
      <c r="G26" s="38"/>
      <c r="H26" s="38" t="s">
        <v>6</v>
      </c>
    </row>
    <row r="27" spans="1:8" x14ac:dyDescent="0.25">
      <c r="A27" s="4">
        <v>23</v>
      </c>
      <c r="B27" s="38"/>
      <c r="C27" s="38" t="s">
        <v>5</v>
      </c>
      <c r="D27" s="38"/>
      <c r="E27" s="38" t="s">
        <v>2</v>
      </c>
      <c r="F27" s="38"/>
      <c r="G27" s="38" t="s">
        <v>2</v>
      </c>
      <c r="H27" s="38"/>
    </row>
    <row r="28" spans="1:8" x14ac:dyDescent="0.25">
      <c r="A28" s="4">
        <v>24</v>
      </c>
      <c r="B28" s="38" t="s">
        <v>2</v>
      </c>
      <c r="C28" s="38"/>
      <c r="D28" s="38" t="s">
        <v>5</v>
      </c>
      <c r="E28" s="38"/>
      <c r="F28" s="38" t="s">
        <v>2</v>
      </c>
      <c r="G28" s="38"/>
      <c r="H28" s="38" t="s">
        <v>6</v>
      </c>
    </row>
    <row r="29" spans="1:8" x14ac:dyDescent="0.25">
      <c r="A29" s="4">
        <v>25</v>
      </c>
      <c r="B29" s="38" t="s">
        <v>2</v>
      </c>
      <c r="C29" s="38" t="s">
        <v>2</v>
      </c>
      <c r="D29" s="38" t="s">
        <v>2</v>
      </c>
      <c r="E29" s="38" t="s">
        <v>2</v>
      </c>
      <c r="F29" s="38" t="s">
        <v>2</v>
      </c>
      <c r="G29" s="38" t="s">
        <v>2</v>
      </c>
      <c r="H29" s="38" t="s">
        <v>2</v>
      </c>
    </row>
    <row r="30" spans="1:8" x14ac:dyDescent="0.25">
      <c r="A30" s="4">
        <v>26</v>
      </c>
      <c r="B30" s="38" t="s">
        <v>2</v>
      </c>
      <c r="C30" s="38"/>
      <c r="D30" s="38" t="s">
        <v>5</v>
      </c>
      <c r="E30" s="38"/>
      <c r="F30" s="38"/>
      <c r="G30" s="38"/>
      <c r="H30" s="38" t="s">
        <v>6</v>
      </c>
    </row>
    <row r="31" spans="1:8" x14ac:dyDescent="0.25">
      <c r="A31" s="4">
        <v>27</v>
      </c>
      <c r="B31" s="38"/>
      <c r="C31" s="38" t="s">
        <v>2</v>
      </c>
      <c r="D31" s="38"/>
      <c r="E31" s="38" t="s">
        <v>2</v>
      </c>
      <c r="F31" s="38"/>
      <c r="G31" s="38" t="s">
        <v>2</v>
      </c>
      <c r="H31" s="38"/>
    </row>
    <row r="32" spans="1:8" x14ac:dyDescent="0.25">
      <c r="A32" s="4">
        <v>28</v>
      </c>
      <c r="B32" s="38" t="s">
        <v>2</v>
      </c>
      <c r="C32" s="38"/>
      <c r="D32" s="38" t="s">
        <v>5</v>
      </c>
      <c r="E32" s="38"/>
      <c r="F32" s="38"/>
      <c r="G32" s="38" t="s">
        <v>2</v>
      </c>
      <c r="H32" s="38"/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2</v>
      </c>
      <c r="F33" s="38" t="s">
        <v>2</v>
      </c>
      <c r="G33" s="38"/>
      <c r="H33" s="38" t="s">
        <v>6</v>
      </c>
    </row>
    <row r="34" spans="1:8" x14ac:dyDescent="0.25">
      <c r="A34" s="4">
        <v>30</v>
      </c>
      <c r="B34" s="38"/>
      <c r="C34" s="38" t="s">
        <v>2</v>
      </c>
      <c r="D34" s="38"/>
      <c r="E34" s="38" t="s">
        <v>5</v>
      </c>
      <c r="F34" s="38" t="s">
        <v>5</v>
      </c>
      <c r="G34" s="38" t="s">
        <v>5</v>
      </c>
      <c r="H34" s="38" t="s">
        <v>5</v>
      </c>
    </row>
    <row r="35" spans="1:8" x14ac:dyDescent="0.25">
      <c r="A35" s="4">
        <v>31</v>
      </c>
      <c r="B35" s="38" t="s">
        <v>2</v>
      </c>
      <c r="C35" s="38"/>
      <c r="D35" s="38" t="s">
        <v>5</v>
      </c>
      <c r="E35" s="38"/>
      <c r="F35" s="38"/>
      <c r="G35" s="38" t="s">
        <v>2</v>
      </c>
      <c r="H35" s="38"/>
    </row>
    <row r="36" spans="1:8" x14ac:dyDescent="0.25">
      <c r="A36" s="4">
        <v>32</v>
      </c>
      <c r="B36" s="38"/>
      <c r="C36" s="38" t="s">
        <v>5</v>
      </c>
      <c r="D36" s="38"/>
      <c r="E36" s="38" t="s">
        <v>5</v>
      </c>
      <c r="F36" s="38"/>
      <c r="G36" s="38"/>
      <c r="H36" s="38" t="s">
        <v>6</v>
      </c>
    </row>
    <row r="37" spans="1:8" x14ac:dyDescent="0.25">
      <c r="A37" s="4">
        <v>33</v>
      </c>
      <c r="B37" s="38"/>
      <c r="C37" s="38" t="s">
        <v>5</v>
      </c>
      <c r="D37" s="38"/>
      <c r="E37" s="38" t="s">
        <v>5</v>
      </c>
      <c r="F37" s="38"/>
      <c r="G37" s="38"/>
      <c r="H37" s="38" t="s">
        <v>6</v>
      </c>
    </row>
    <row r="38" spans="1:8" x14ac:dyDescent="0.25">
      <c r="A38" s="4">
        <v>34</v>
      </c>
      <c r="B38" s="38" t="s">
        <v>2</v>
      </c>
      <c r="C38" s="38"/>
      <c r="D38" s="38" t="s">
        <v>5</v>
      </c>
      <c r="E38" s="38"/>
      <c r="F38" s="38"/>
      <c r="G38" s="38" t="s">
        <v>2</v>
      </c>
      <c r="H38" s="38"/>
    </row>
    <row r="39" spans="1:8" x14ac:dyDescent="0.25">
      <c r="A39" s="4">
        <v>35</v>
      </c>
      <c r="B39" s="38"/>
      <c r="C39" s="38" t="s">
        <v>2</v>
      </c>
      <c r="D39" s="38"/>
      <c r="E39" s="38"/>
      <c r="F39" s="38" t="s">
        <v>2</v>
      </c>
      <c r="G39" s="38"/>
      <c r="H39" s="38"/>
    </row>
    <row r="40" spans="1:8" x14ac:dyDescent="0.25">
      <c r="A40" s="4">
        <v>36</v>
      </c>
      <c r="B40" s="38"/>
      <c r="C40" s="38" t="s">
        <v>2</v>
      </c>
      <c r="D40" s="38" t="s">
        <v>2</v>
      </c>
      <c r="E40" s="38" t="s">
        <v>2</v>
      </c>
      <c r="F40" s="38" t="s">
        <v>2</v>
      </c>
      <c r="G40" s="38"/>
      <c r="H40" s="38"/>
    </row>
    <row r="41" spans="1:8" x14ac:dyDescent="0.25">
      <c r="A41" s="4">
        <v>37</v>
      </c>
      <c r="B41" s="38" t="s">
        <v>2</v>
      </c>
      <c r="C41" s="38"/>
      <c r="D41" s="38"/>
      <c r="E41" s="38" t="s">
        <v>2</v>
      </c>
      <c r="F41" s="38"/>
      <c r="G41" s="38"/>
      <c r="H41" s="38"/>
    </row>
    <row r="42" spans="1:8" x14ac:dyDescent="0.25">
      <c r="A42" s="4">
        <v>38</v>
      </c>
      <c r="B42" s="38"/>
      <c r="C42" s="38" t="s">
        <v>2</v>
      </c>
      <c r="D42" s="38" t="s">
        <v>2</v>
      </c>
      <c r="E42" s="38"/>
      <c r="F42" s="38" t="s">
        <v>2</v>
      </c>
      <c r="G42" s="38"/>
      <c r="H42" s="38" t="s">
        <v>2</v>
      </c>
    </row>
    <row r="43" spans="1:8" x14ac:dyDescent="0.25">
      <c r="A43" s="4">
        <v>39</v>
      </c>
      <c r="B43" s="38" t="s">
        <v>2</v>
      </c>
      <c r="C43" s="38"/>
      <c r="D43" s="38" t="s">
        <v>2</v>
      </c>
      <c r="E43" s="38"/>
      <c r="F43" s="38" t="s">
        <v>2</v>
      </c>
      <c r="G43" s="38"/>
      <c r="H43" s="38" t="s">
        <v>2</v>
      </c>
    </row>
    <row r="44" spans="1:8" x14ac:dyDescent="0.25">
      <c r="A44" s="4">
        <v>40</v>
      </c>
      <c r="B44" s="38"/>
      <c r="C44" s="38" t="s">
        <v>2</v>
      </c>
      <c r="D44" s="38" t="s">
        <v>2</v>
      </c>
      <c r="E44" s="38" t="s">
        <v>2</v>
      </c>
      <c r="F44" s="38"/>
      <c r="G44" s="38" t="s">
        <v>2</v>
      </c>
      <c r="H44" s="38"/>
    </row>
    <row r="45" spans="1:8" x14ac:dyDescent="0.25">
      <c r="A45" s="4">
        <v>41</v>
      </c>
      <c r="B45" s="38" t="s">
        <v>2</v>
      </c>
      <c r="C45" s="38"/>
      <c r="D45" s="38" t="s">
        <v>2</v>
      </c>
      <c r="E45" s="38" t="s">
        <v>2</v>
      </c>
      <c r="F45" s="38" t="s">
        <v>2</v>
      </c>
      <c r="G45" s="38"/>
      <c r="H45" s="38" t="s">
        <v>2</v>
      </c>
    </row>
    <row r="46" spans="1:8" x14ac:dyDescent="0.25">
      <c r="A46" s="4">
        <v>42</v>
      </c>
      <c r="B46" s="38"/>
      <c r="C46" s="38" t="s">
        <v>2</v>
      </c>
      <c r="D46" s="38"/>
      <c r="E46" s="38" t="s">
        <v>2</v>
      </c>
      <c r="F46" s="38"/>
      <c r="G46" s="38" t="s">
        <v>2</v>
      </c>
      <c r="H46" s="38"/>
    </row>
    <row r="47" spans="1:8" x14ac:dyDescent="0.25">
      <c r="A47" s="4">
        <v>43</v>
      </c>
      <c r="B47" s="38"/>
      <c r="C47" s="38" t="s">
        <v>2</v>
      </c>
      <c r="D47" s="38"/>
      <c r="E47" s="38" t="s">
        <v>2</v>
      </c>
      <c r="F47" s="38"/>
      <c r="G47" s="38" t="s">
        <v>2</v>
      </c>
      <c r="H47" s="38"/>
    </row>
    <row r="48" spans="1:8" x14ac:dyDescent="0.25">
      <c r="A48" s="4">
        <v>44</v>
      </c>
      <c r="B48" s="38" t="s">
        <v>2</v>
      </c>
      <c r="C48" s="38"/>
      <c r="D48" s="38" t="s">
        <v>5</v>
      </c>
      <c r="E48" s="38"/>
      <c r="F48" s="38" t="s">
        <v>2</v>
      </c>
      <c r="G48" s="38"/>
      <c r="H48" s="38" t="s">
        <v>2</v>
      </c>
    </row>
    <row r="49" spans="1:8" x14ac:dyDescent="0.25">
      <c r="A49" s="4">
        <v>45</v>
      </c>
      <c r="B49" s="38"/>
      <c r="C49" s="38" t="s">
        <v>2</v>
      </c>
      <c r="D49" s="38" t="s">
        <v>2</v>
      </c>
      <c r="E49" s="38" t="s">
        <v>2</v>
      </c>
      <c r="F49" s="38" t="s">
        <v>2</v>
      </c>
      <c r="G49" s="38" t="s">
        <v>2</v>
      </c>
      <c r="H49" s="38" t="s">
        <v>2</v>
      </c>
    </row>
    <row r="50" spans="1:8" x14ac:dyDescent="0.25">
      <c r="A50" s="4">
        <v>46</v>
      </c>
      <c r="B50" s="38" t="s">
        <v>2</v>
      </c>
      <c r="C50" s="38"/>
      <c r="D50" s="38" t="s">
        <v>2</v>
      </c>
      <c r="E50" s="38" t="s">
        <v>2</v>
      </c>
      <c r="F50" s="38" t="s">
        <v>2</v>
      </c>
      <c r="G50" s="38" t="s">
        <v>6</v>
      </c>
      <c r="H50" s="38" t="s">
        <v>6</v>
      </c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2</v>
      </c>
      <c r="D54" s="38"/>
      <c r="E54" s="38" t="s">
        <v>2</v>
      </c>
      <c r="F54" s="38"/>
      <c r="G54" s="38" t="s">
        <v>2</v>
      </c>
      <c r="H54" s="38"/>
    </row>
    <row r="55" spans="1:8" x14ac:dyDescent="0.25">
      <c r="A55" s="4">
        <v>51</v>
      </c>
      <c r="B55" s="38" t="s">
        <v>2</v>
      </c>
      <c r="C55" s="38"/>
      <c r="D55" s="38" t="s">
        <v>2</v>
      </c>
      <c r="E55" s="38"/>
      <c r="F55" s="38" t="s">
        <v>2</v>
      </c>
      <c r="G55" s="38"/>
      <c r="H55" s="38" t="s">
        <v>2</v>
      </c>
    </row>
    <row r="56" spans="1:8" x14ac:dyDescent="0.25">
      <c r="A56" s="4">
        <v>52</v>
      </c>
      <c r="B56" s="38"/>
      <c r="C56" s="38" t="s">
        <v>2</v>
      </c>
      <c r="D56" s="38"/>
      <c r="E56" s="38" t="s">
        <v>2</v>
      </c>
      <c r="F56" s="38"/>
      <c r="G56" s="38"/>
      <c r="H56" s="38"/>
    </row>
    <row r="57" spans="1:8" x14ac:dyDescent="0.25">
      <c r="A57" s="4">
        <v>53</v>
      </c>
      <c r="B57" s="38" t="s">
        <v>2</v>
      </c>
      <c r="C57" s="38"/>
      <c r="D57" s="38" t="s">
        <v>3</v>
      </c>
      <c r="E57" s="38"/>
      <c r="F57" s="38" t="s">
        <v>2</v>
      </c>
      <c r="G57" s="38"/>
      <c r="H57" s="38" t="s">
        <v>2</v>
      </c>
    </row>
    <row r="58" spans="1:8" x14ac:dyDescent="0.25">
      <c r="A58" s="4">
        <v>54</v>
      </c>
      <c r="B58" s="38"/>
      <c r="C58" s="38" t="s">
        <v>2</v>
      </c>
      <c r="D58" s="38"/>
      <c r="E58" s="38" t="s">
        <v>2</v>
      </c>
      <c r="F58" s="38"/>
      <c r="G58" s="38" t="s">
        <v>2</v>
      </c>
      <c r="H58" s="38"/>
    </row>
    <row r="59" spans="1:8" x14ac:dyDescent="0.25">
      <c r="A59" s="4">
        <v>55</v>
      </c>
      <c r="B59" s="38" t="s">
        <v>2</v>
      </c>
      <c r="C59" s="38"/>
      <c r="D59" s="38" t="s">
        <v>3</v>
      </c>
      <c r="E59" s="38"/>
      <c r="F59" s="38" t="s">
        <v>2</v>
      </c>
      <c r="G59" s="38"/>
      <c r="H59" s="38" t="s">
        <v>2</v>
      </c>
    </row>
    <row r="60" spans="1:8" x14ac:dyDescent="0.25">
      <c r="A60" s="4">
        <v>56</v>
      </c>
      <c r="B60" s="38"/>
      <c r="C60" s="38"/>
      <c r="D60" s="38"/>
      <c r="E60" s="38" t="s">
        <v>2</v>
      </c>
      <c r="F60" s="38"/>
      <c r="G60" s="38" t="s">
        <v>2</v>
      </c>
      <c r="H60" s="38"/>
    </row>
    <row r="61" spans="1:8" x14ac:dyDescent="0.25">
      <c r="A61" s="18">
        <v>73</v>
      </c>
      <c r="B61" s="38"/>
      <c r="C61" s="38"/>
      <c r="D61" s="38"/>
      <c r="E61" s="38"/>
      <c r="F61" s="38"/>
      <c r="G61" s="38"/>
      <c r="H61" s="38"/>
    </row>
    <row r="62" spans="1:8" x14ac:dyDescent="0.25">
      <c r="A62" s="18">
        <v>74</v>
      </c>
      <c r="B62" s="38"/>
      <c r="C62" s="38"/>
      <c r="D62" s="38"/>
      <c r="E62" s="38"/>
      <c r="F62" s="38"/>
      <c r="G62" s="38"/>
      <c r="H62" s="38"/>
    </row>
    <row r="63" spans="1:8" x14ac:dyDescent="0.25">
      <c r="A63" s="18">
        <v>101</v>
      </c>
      <c r="B63" s="39"/>
      <c r="C63" s="38"/>
      <c r="D63" s="38" t="s">
        <v>2</v>
      </c>
      <c r="E63" s="38" t="s">
        <v>2</v>
      </c>
      <c r="F63" s="38"/>
      <c r="G63" s="38" t="s">
        <v>2</v>
      </c>
      <c r="H63" s="38" t="s">
        <v>2</v>
      </c>
    </row>
    <row r="64" spans="1:8" x14ac:dyDescent="0.25">
      <c r="A64" s="18">
        <v>102</v>
      </c>
      <c r="B64" s="38" t="s">
        <v>2</v>
      </c>
      <c r="C64" s="38"/>
      <c r="D64" s="38" t="s">
        <v>2</v>
      </c>
      <c r="E64" s="38" t="s">
        <v>2</v>
      </c>
      <c r="F64" s="38" t="s">
        <v>2</v>
      </c>
      <c r="G64" s="38"/>
      <c r="H64" s="38" t="s">
        <v>2</v>
      </c>
    </row>
    <row r="65" spans="1:8" x14ac:dyDescent="0.25">
      <c r="A65" s="18">
        <v>103</v>
      </c>
      <c r="B65" s="38"/>
      <c r="C65" s="38" t="s">
        <v>2</v>
      </c>
      <c r="D65" s="38" t="s">
        <v>2</v>
      </c>
      <c r="E65" s="38"/>
      <c r="F65" s="38"/>
      <c r="G65" s="38" t="s">
        <v>2</v>
      </c>
      <c r="H65" s="38" t="s">
        <v>2</v>
      </c>
    </row>
    <row r="66" spans="1:8" x14ac:dyDescent="0.25">
      <c r="A66" s="18">
        <v>104</v>
      </c>
      <c r="B66" s="38" t="s">
        <v>2</v>
      </c>
      <c r="C66" s="38" t="s">
        <v>2</v>
      </c>
      <c r="D66" s="38"/>
      <c r="E66" s="38" t="s">
        <v>2</v>
      </c>
      <c r="F66" s="38" t="s">
        <v>2</v>
      </c>
      <c r="G66" s="38"/>
      <c r="H66" s="38" t="s">
        <v>2</v>
      </c>
    </row>
    <row r="67" spans="1:8" x14ac:dyDescent="0.25">
      <c r="A67" s="18">
        <v>105</v>
      </c>
      <c r="B67" s="38" t="s">
        <v>2</v>
      </c>
      <c r="C67" s="38" t="s">
        <v>2</v>
      </c>
      <c r="D67" s="38"/>
      <c r="E67" s="38"/>
      <c r="F67" s="38"/>
      <c r="G67" s="38" t="s">
        <v>2</v>
      </c>
      <c r="H67" s="38" t="s">
        <v>2</v>
      </c>
    </row>
    <row r="68" spans="1:8" x14ac:dyDescent="0.25">
      <c r="A68" s="18">
        <v>106</v>
      </c>
      <c r="B68" s="38" t="s">
        <v>2</v>
      </c>
      <c r="C68" s="38" t="s">
        <v>2</v>
      </c>
      <c r="D68" s="38" t="s">
        <v>2</v>
      </c>
      <c r="E68" s="38" t="s">
        <v>2</v>
      </c>
      <c r="F68" s="38" t="s">
        <v>2</v>
      </c>
      <c r="G68" s="38" t="s">
        <v>2</v>
      </c>
      <c r="H68" s="38" t="s">
        <v>2</v>
      </c>
    </row>
    <row r="69" spans="1:8" x14ac:dyDescent="0.25">
      <c r="A69" s="18">
        <v>107</v>
      </c>
      <c r="B69" s="38"/>
      <c r="C69" s="38"/>
      <c r="D69" s="38" t="s">
        <v>2</v>
      </c>
      <c r="E69" s="38" t="s">
        <v>2</v>
      </c>
      <c r="F69" s="38"/>
      <c r="G69" s="38" t="s">
        <v>2</v>
      </c>
      <c r="H69" s="38" t="s">
        <v>2</v>
      </c>
    </row>
    <row r="70" spans="1:8" x14ac:dyDescent="0.25">
      <c r="A70" s="18">
        <v>108</v>
      </c>
      <c r="B70" s="38"/>
      <c r="C70" s="38" t="s">
        <v>2</v>
      </c>
      <c r="D70" s="38" t="s">
        <v>5</v>
      </c>
      <c r="E70" s="38"/>
      <c r="F70" s="38" t="s">
        <v>2</v>
      </c>
      <c r="G70" s="38" t="s">
        <v>2</v>
      </c>
      <c r="H70" s="38"/>
    </row>
    <row r="71" spans="1:8" x14ac:dyDescent="0.25">
      <c r="A71" s="18">
        <v>109</v>
      </c>
      <c r="B71" s="38"/>
      <c r="C71" s="38"/>
      <c r="D71" s="38" t="s">
        <v>5</v>
      </c>
      <c r="E71" s="38" t="s">
        <v>2</v>
      </c>
      <c r="F71" s="38" t="s">
        <v>2</v>
      </c>
      <c r="G71" s="38"/>
      <c r="H71" s="38"/>
    </row>
    <row r="72" spans="1:8" x14ac:dyDescent="0.25">
      <c r="A72" s="18">
        <v>110</v>
      </c>
      <c r="B72" s="38"/>
      <c r="C72" s="38"/>
      <c r="D72" s="38" t="s">
        <v>2</v>
      </c>
      <c r="E72" s="38" t="s">
        <v>2</v>
      </c>
      <c r="F72" s="38" t="s">
        <v>2</v>
      </c>
      <c r="G72" s="38"/>
      <c r="H72" s="38" t="s">
        <v>2</v>
      </c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 t="s">
        <v>2</v>
      </c>
      <c r="C74" s="38" t="s">
        <v>6</v>
      </c>
      <c r="D74" s="38" t="s">
        <v>6</v>
      </c>
      <c r="E74" s="38" t="s">
        <v>6</v>
      </c>
      <c r="F74" s="38"/>
      <c r="G74" s="38"/>
      <c r="H74" s="38" t="s">
        <v>2</v>
      </c>
    </row>
    <row r="75" spans="1:8" x14ac:dyDescent="0.25">
      <c r="A75" s="18">
        <v>113</v>
      </c>
      <c r="B75" s="38" t="s">
        <v>2</v>
      </c>
      <c r="C75" s="38" t="s">
        <v>2</v>
      </c>
      <c r="D75" s="38" t="s">
        <v>2</v>
      </c>
      <c r="E75" s="38" t="s">
        <v>2</v>
      </c>
      <c r="F75" s="38"/>
      <c r="G75" s="38"/>
      <c r="H75" s="38" t="s">
        <v>2</v>
      </c>
    </row>
    <row r="76" spans="1:8" x14ac:dyDescent="0.25">
      <c r="A76" s="18">
        <v>114</v>
      </c>
      <c r="B76" s="38"/>
      <c r="C76" s="38"/>
      <c r="D76" s="38"/>
      <c r="E76" s="38"/>
      <c r="F76" s="38" t="s">
        <v>2</v>
      </c>
      <c r="G76" s="38"/>
      <c r="H76" s="38"/>
    </row>
    <row r="77" spans="1:8" x14ac:dyDescent="0.25">
      <c r="A77" s="18">
        <v>115</v>
      </c>
      <c r="B77" s="38"/>
      <c r="C77" s="38" t="s">
        <v>2</v>
      </c>
      <c r="D77" s="38" t="s">
        <v>2</v>
      </c>
      <c r="E77" s="38" t="s">
        <v>2</v>
      </c>
      <c r="F77" s="38" t="s">
        <v>2</v>
      </c>
      <c r="G77" s="38"/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 t="s">
        <v>2</v>
      </c>
      <c r="G79" s="38"/>
      <c r="H79" s="38" t="s">
        <v>2</v>
      </c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 t="s">
        <v>5</v>
      </c>
      <c r="E81" s="38"/>
      <c r="F81" s="38"/>
      <c r="G81" s="38" t="s">
        <v>2</v>
      </c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 t="s">
        <v>2</v>
      </c>
      <c r="C87" s="38" t="s">
        <v>2</v>
      </c>
      <c r="D87" s="38"/>
      <c r="E87" s="38"/>
      <c r="F87" s="38"/>
      <c r="G87" s="38"/>
      <c r="H87" s="38"/>
    </row>
    <row r="88" spans="1:8" x14ac:dyDescent="0.25">
      <c r="A88" s="18">
        <v>126</v>
      </c>
      <c r="B88" s="38" t="s">
        <v>2</v>
      </c>
      <c r="C88" s="38" t="s">
        <v>2</v>
      </c>
      <c r="D88" s="38" t="s">
        <v>5</v>
      </c>
      <c r="E88" s="38" t="s">
        <v>2</v>
      </c>
      <c r="F88" s="38"/>
      <c r="G88" s="38"/>
      <c r="H88" s="38"/>
    </row>
    <row r="89" spans="1:8" x14ac:dyDescent="0.25">
      <c r="A89" s="18">
        <v>127</v>
      </c>
      <c r="B89" s="38" t="s">
        <v>2</v>
      </c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 t="s">
        <v>2</v>
      </c>
      <c r="D90" s="38"/>
      <c r="E90" s="38"/>
      <c r="F90" s="38"/>
      <c r="G90" s="38"/>
      <c r="H90" s="38" t="s">
        <v>2</v>
      </c>
    </row>
    <row r="91" spans="1:8" x14ac:dyDescent="0.25">
      <c r="A91" s="18">
        <v>129</v>
      </c>
      <c r="B91" s="38"/>
      <c r="C91" s="38" t="s">
        <v>2</v>
      </c>
      <c r="D91" s="38"/>
      <c r="E91" s="38"/>
      <c r="F91" s="38" t="s">
        <v>2</v>
      </c>
      <c r="G91" s="38" t="s">
        <v>2</v>
      </c>
      <c r="H91" s="38"/>
    </row>
    <row r="92" spans="1:8" x14ac:dyDescent="0.25">
      <c r="A92" s="18">
        <v>130</v>
      </c>
      <c r="B92" s="38" t="s">
        <v>2</v>
      </c>
      <c r="C92" s="38"/>
      <c r="D92" s="38" t="s">
        <v>7</v>
      </c>
      <c r="E92" s="38"/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1056" priority="18" operator="equal">
      <formula>"Energia"</formula>
    </cfRule>
    <cfRule type="cellIs" dxfId="1055" priority="20" operator="equal">
      <formula>"Operação"</formula>
    </cfRule>
    <cfRule type="cellIs" dxfId="1054" priority="21" operator="equal">
      <formula>"Chuva"</formula>
    </cfRule>
    <cfRule type="cellIs" dxfId="1053" priority="22" operator="equal">
      <formula>"Elétrico"</formula>
    </cfRule>
    <cfRule type="cellIs" dxfId="1052" priority="23" operator="equal">
      <formula>"Mecânico"</formula>
    </cfRule>
    <cfRule type="cellIs" dxfId="1051" priority="24" operator="equal">
      <formula>"Ok"</formula>
    </cfRule>
  </conditionalFormatting>
  <conditionalFormatting sqref="B61:I62 I5:I60 B63:H95">
    <cfRule type="cellIs" dxfId="1050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049" priority="16" operator="equal">
      <formula>"Energia"</formula>
    </cfRule>
  </conditionalFormatting>
  <conditionalFormatting sqref="B5:E60 G5:H60">
    <cfRule type="cellIs" dxfId="1048" priority="9" operator="equal">
      <formula>"Energia"</formula>
    </cfRule>
    <cfRule type="cellIs" dxfId="1047" priority="11" operator="equal">
      <formula>"Operação"</formula>
    </cfRule>
    <cfRule type="cellIs" dxfId="1046" priority="12" operator="equal">
      <formula>"Chuva"</formula>
    </cfRule>
    <cfRule type="cellIs" dxfId="1045" priority="13" operator="equal">
      <formula>"Elétrico"</formula>
    </cfRule>
    <cfRule type="cellIs" dxfId="1044" priority="14" operator="equal">
      <formula>"Mecânico"</formula>
    </cfRule>
    <cfRule type="cellIs" dxfId="1043" priority="15" operator="equal">
      <formula>"Ok"</formula>
    </cfRule>
  </conditionalFormatting>
  <conditionalFormatting sqref="B5:E60 G5:H60">
    <cfRule type="cellIs" dxfId="1042" priority="10" operator="equal">
      <formula>"Feito"</formula>
    </cfRule>
  </conditionalFormatting>
  <conditionalFormatting sqref="F5:F11">
    <cfRule type="cellIs" dxfId="1041" priority="8" operator="equal">
      <formula>"Energia"</formula>
    </cfRule>
  </conditionalFormatting>
  <conditionalFormatting sqref="F5:F60">
    <cfRule type="cellIs" dxfId="1040" priority="1" operator="equal">
      <formula>"Energia"</formula>
    </cfRule>
    <cfRule type="cellIs" dxfId="1039" priority="3" operator="equal">
      <formula>"Operação"</formula>
    </cfRule>
    <cfRule type="cellIs" dxfId="1038" priority="4" operator="equal">
      <formula>"Chuva"</formula>
    </cfRule>
    <cfRule type="cellIs" dxfId="1037" priority="5" operator="equal">
      <formula>"Elétrico"</formula>
    </cfRule>
    <cfRule type="cellIs" dxfId="1036" priority="6" operator="equal">
      <formula>"Mecânico"</formula>
    </cfRule>
    <cfRule type="cellIs" dxfId="1035" priority="7" operator="equal">
      <formula>"Ok"</formula>
    </cfRule>
  </conditionalFormatting>
  <conditionalFormatting sqref="F5:F60">
    <cfRule type="cellIs" dxfId="1034" priority="2" operator="equal">
      <formula>"Feito"</formula>
    </cfRule>
  </conditionalFormatting>
  <dataValidations count="1">
    <dataValidation type="list" allowBlank="1" showInputMessage="1" showErrorMessage="1" sqref="B61:I62 B5:I26 B27:J60 B63:H95" xr:uid="{1CF93FF4-3292-4DD4-91D7-7D58D6FD4711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D6FD-B097-44D8-8DB3-34264EF15FDE}">
  <dimension ref="A1:M95"/>
  <sheetViews>
    <sheetView zoomScale="110" zoomScaleNormal="11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3" max="13" width="10.85546875" bestFit="1" customWidth="1"/>
    <col min="17" max="17" width="8.5703125" customWidth="1"/>
  </cols>
  <sheetData>
    <row r="1" spans="1:13" x14ac:dyDescent="0.25">
      <c r="A1" s="70" t="s">
        <v>38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4" t="s">
        <v>16</v>
      </c>
      <c r="B3" s="23">
        <v>44669</v>
      </c>
      <c r="C3" s="23">
        <f>B3+1</f>
        <v>44670</v>
      </c>
      <c r="D3" s="23">
        <f t="shared" ref="D3:H3" si="0">C3+1</f>
        <v>44671</v>
      </c>
      <c r="E3" s="23">
        <f t="shared" si="0"/>
        <v>44672</v>
      </c>
      <c r="F3" s="23">
        <f t="shared" si="0"/>
        <v>44673</v>
      </c>
      <c r="G3" s="23">
        <f t="shared" si="0"/>
        <v>44674</v>
      </c>
      <c r="H3" s="25">
        <f t="shared" si="0"/>
        <v>44675</v>
      </c>
      <c r="I3" s="3"/>
    </row>
    <row r="4" spans="1:13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</row>
    <row r="5" spans="1:13" x14ac:dyDescent="0.25">
      <c r="A5" s="4">
        <v>1</v>
      </c>
      <c r="B5" s="38"/>
      <c r="C5" s="38" t="s">
        <v>5</v>
      </c>
      <c r="D5" s="38" t="s">
        <v>2</v>
      </c>
      <c r="E5" s="38"/>
      <c r="F5" s="38" t="s">
        <v>2</v>
      </c>
      <c r="G5" s="38"/>
      <c r="H5" s="38" t="s">
        <v>2</v>
      </c>
      <c r="J5" s="48" t="s">
        <v>2</v>
      </c>
      <c r="K5" s="33">
        <f>COUNTIF($B$5:$H$95,J5)</f>
        <v>178</v>
      </c>
      <c r="L5" s="34">
        <f t="shared" ref="L5:L10" si="2">K5/$K$11</f>
        <v>0.84360189573459721</v>
      </c>
      <c r="M5" s="52">
        <v>44669</v>
      </c>
    </row>
    <row r="6" spans="1:13" x14ac:dyDescent="0.25">
      <c r="A6" s="4">
        <v>2</v>
      </c>
      <c r="B6" s="38" t="s">
        <v>2</v>
      </c>
      <c r="C6" s="38" t="s">
        <v>2</v>
      </c>
      <c r="D6" s="38" t="s">
        <v>2</v>
      </c>
      <c r="E6" s="38"/>
      <c r="F6" s="38" t="s">
        <v>2</v>
      </c>
      <c r="G6" s="38"/>
      <c r="H6" s="38" t="s">
        <v>2</v>
      </c>
      <c r="J6" s="42" t="s">
        <v>5</v>
      </c>
      <c r="K6" s="33">
        <f t="shared" ref="K6:K10" si="3">COUNTIF($B$5:$H$95,J6)</f>
        <v>26</v>
      </c>
      <c r="L6" s="35">
        <f t="shared" si="2"/>
        <v>0.12322274881516587</v>
      </c>
    </row>
    <row r="7" spans="1:13" x14ac:dyDescent="0.25">
      <c r="A7" s="4">
        <v>3</v>
      </c>
      <c r="B7" s="38"/>
      <c r="C7" s="38" t="s">
        <v>2</v>
      </c>
      <c r="D7" s="38"/>
      <c r="E7" s="38" t="s">
        <v>2</v>
      </c>
      <c r="F7" s="38"/>
      <c r="G7" s="38" t="s">
        <v>2</v>
      </c>
      <c r="H7" s="38"/>
      <c r="J7" s="46" t="s">
        <v>6</v>
      </c>
      <c r="K7" s="33">
        <f t="shared" si="3"/>
        <v>5</v>
      </c>
      <c r="L7" s="35">
        <f t="shared" si="2"/>
        <v>2.3696682464454975E-2</v>
      </c>
    </row>
    <row r="8" spans="1:13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 t="s">
        <v>2</v>
      </c>
      <c r="G8" s="38" t="s">
        <v>2</v>
      </c>
      <c r="H8" s="38" t="s">
        <v>2</v>
      </c>
      <c r="J8" s="47" t="s">
        <v>4</v>
      </c>
      <c r="K8" s="33">
        <f t="shared" si="3"/>
        <v>0</v>
      </c>
      <c r="L8" s="35">
        <f t="shared" si="2"/>
        <v>0</v>
      </c>
    </row>
    <row r="9" spans="1:13" x14ac:dyDescent="0.25">
      <c r="A9" s="4">
        <v>5</v>
      </c>
      <c r="B9" s="38" t="s">
        <v>2</v>
      </c>
      <c r="C9" s="38"/>
      <c r="D9" s="38" t="s">
        <v>2</v>
      </c>
      <c r="E9" s="38"/>
      <c r="F9" s="38" t="s">
        <v>7</v>
      </c>
      <c r="G9" s="38" t="s">
        <v>6</v>
      </c>
      <c r="H9" s="38" t="s">
        <v>6</v>
      </c>
      <c r="J9" s="45" t="s">
        <v>3</v>
      </c>
      <c r="K9" s="33">
        <f t="shared" si="3"/>
        <v>0</v>
      </c>
      <c r="L9" s="35">
        <f t="shared" si="2"/>
        <v>0</v>
      </c>
    </row>
    <row r="10" spans="1:13" x14ac:dyDescent="0.25">
      <c r="A10" s="4">
        <v>6</v>
      </c>
      <c r="B10" s="38"/>
      <c r="C10" s="38"/>
      <c r="D10" s="38" t="s">
        <v>2</v>
      </c>
      <c r="E10" s="38"/>
      <c r="F10" s="38"/>
      <c r="G10" s="38" t="s">
        <v>2</v>
      </c>
      <c r="H10" s="38"/>
      <c r="J10" s="43" t="s">
        <v>7</v>
      </c>
      <c r="K10" s="33">
        <f t="shared" si="3"/>
        <v>2</v>
      </c>
      <c r="L10" s="37">
        <f t="shared" si="2"/>
        <v>9.4786729857819912E-3</v>
      </c>
    </row>
    <row r="11" spans="1:13" x14ac:dyDescent="0.25">
      <c r="A11" s="4">
        <v>7</v>
      </c>
      <c r="B11" s="38" t="s">
        <v>2</v>
      </c>
      <c r="C11" s="38" t="s">
        <v>5</v>
      </c>
      <c r="D11" s="38" t="s">
        <v>5</v>
      </c>
      <c r="E11" s="38" t="s">
        <v>2</v>
      </c>
      <c r="F11" s="38" t="s">
        <v>5</v>
      </c>
      <c r="G11" s="38" t="s">
        <v>2</v>
      </c>
      <c r="H11" s="38" t="s">
        <v>2</v>
      </c>
      <c r="J11" s="44" t="s">
        <v>17</v>
      </c>
      <c r="K11" s="11">
        <f>SUM(K5:K10)</f>
        <v>211</v>
      </c>
    </row>
    <row r="12" spans="1:13" x14ac:dyDescent="0.25">
      <c r="A12" s="4">
        <v>8</v>
      </c>
      <c r="B12" s="38"/>
      <c r="C12" s="38" t="s">
        <v>2</v>
      </c>
      <c r="D12" s="38"/>
      <c r="E12" s="38"/>
      <c r="F12" s="38" t="s">
        <v>2</v>
      </c>
      <c r="G12" s="38" t="s">
        <v>5</v>
      </c>
      <c r="H12" s="38" t="s">
        <v>2</v>
      </c>
    </row>
    <row r="13" spans="1:13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3" x14ac:dyDescent="0.25">
      <c r="A14" s="4">
        <v>10</v>
      </c>
      <c r="B14" s="38"/>
      <c r="C14" s="38"/>
      <c r="D14" s="38"/>
      <c r="E14" s="38"/>
      <c r="F14" s="38" t="s">
        <v>5</v>
      </c>
      <c r="G14" s="38" t="s">
        <v>5</v>
      </c>
      <c r="H14" s="38" t="s">
        <v>5</v>
      </c>
    </row>
    <row r="15" spans="1:13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3" x14ac:dyDescent="0.25">
      <c r="A16" s="4">
        <v>12</v>
      </c>
      <c r="B16" s="38"/>
      <c r="C16" s="38"/>
      <c r="D16" s="38"/>
      <c r="E16" s="38"/>
      <c r="F16" s="38"/>
      <c r="G16" s="38"/>
      <c r="H16" s="38" t="s">
        <v>2</v>
      </c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 t="s">
        <v>2</v>
      </c>
      <c r="C19" s="38"/>
      <c r="D19" s="38" t="s">
        <v>2</v>
      </c>
      <c r="E19" s="38"/>
      <c r="F19" s="38" t="s">
        <v>2</v>
      </c>
      <c r="G19" s="38"/>
      <c r="H19" s="38" t="s">
        <v>2</v>
      </c>
    </row>
    <row r="20" spans="1:8" x14ac:dyDescent="0.25">
      <c r="A20" s="4">
        <v>16</v>
      </c>
      <c r="B20" s="38"/>
      <c r="C20" s="38" t="s">
        <v>2</v>
      </c>
      <c r="D20" s="38"/>
      <c r="E20" s="38" t="s">
        <v>2</v>
      </c>
      <c r="F20" s="38"/>
      <c r="G20" s="38" t="s">
        <v>2</v>
      </c>
      <c r="H20" s="38"/>
    </row>
    <row r="21" spans="1:8" x14ac:dyDescent="0.25">
      <c r="A21" s="4">
        <v>17</v>
      </c>
      <c r="B21" s="38" t="s">
        <v>5</v>
      </c>
      <c r="C21" s="38"/>
      <c r="D21" s="38" t="s">
        <v>2</v>
      </c>
      <c r="E21" s="38"/>
      <c r="F21" s="38" t="s">
        <v>2</v>
      </c>
      <c r="G21" s="38"/>
      <c r="H21" s="38" t="s">
        <v>2</v>
      </c>
    </row>
    <row r="22" spans="1:8" x14ac:dyDescent="0.25">
      <c r="A22" s="4">
        <v>18</v>
      </c>
      <c r="B22" s="38"/>
      <c r="C22" s="38" t="s">
        <v>5</v>
      </c>
      <c r="D22" s="38"/>
      <c r="E22" s="38" t="s">
        <v>2</v>
      </c>
      <c r="F22" s="38"/>
      <c r="G22" s="38" t="s">
        <v>2</v>
      </c>
      <c r="H22" s="38"/>
    </row>
    <row r="23" spans="1:8" x14ac:dyDescent="0.25">
      <c r="A23" s="4">
        <v>19</v>
      </c>
      <c r="B23" s="38" t="s">
        <v>2</v>
      </c>
      <c r="C23" s="38"/>
      <c r="D23" s="38" t="s">
        <v>2</v>
      </c>
      <c r="E23" s="38"/>
      <c r="F23" s="38" t="s">
        <v>2</v>
      </c>
      <c r="G23" s="38"/>
      <c r="H23" s="38" t="s">
        <v>2</v>
      </c>
    </row>
    <row r="24" spans="1:8" x14ac:dyDescent="0.25">
      <c r="A24" s="4">
        <v>20</v>
      </c>
      <c r="B24" s="38"/>
      <c r="C24" s="38" t="s">
        <v>2</v>
      </c>
      <c r="D24" s="38"/>
      <c r="E24" s="38" t="s">
        <v>2</v>
      </c>
      <c r="F24" s="38"/>
      <c r="G24" s="38" t="s">
        <v>2</v>
      </c>
      <c r="H24" s="38"/>
    </row>
    <row r="25" spans="1:8" x14ac:dyDescent="0.25">
      <c r="A25" s="4">
        <v>21</v>
      </c>
      <c r="B25" s="38" t="s">
        <v>2</v>
      </c>
      <c r="C25" s="38"/>
      <c r="D25" s="38" t="s">
        <v>2</v>
      </c>
      <c r="E25" s="38"/>
      <c r="F25" s="38" t="s">
        <v>2</v>
      </c>
      <c r="G25" s="38"/>
      <c r="H25" s="38" t="s">
        <v>6</v>
      </c>
    </row>
    <row r="26" spans="1:8" x14ac:dyDescent="0.25">
      <c r="A26" s="4">
        <v>22</v>
      </c>
      <c r="B26" s="38"/>
      <c r="C26" s="38" t="s">
        <v>2</v>
      </c>
      <c r="D26" s="38"/>
      <c r="E26" s="38" t="s">
        <v>2</v>
      </c>
      <c r="F26" s="38"/>
      <c r="G26" s="38" t="s">
        <v>2</v>
      </c>
      <c r="H26" s="38"/>
    </row>
    <row r="27" spans="1:8" x14ac:dyDescent="0.25">
      <c r="A27" s="4">
        <v>23</v>
      </c>
      <c r="B27" s="38" t="s">
        <v>2</v>
      </c>
      <c r="C27" s="38"/>
      <c r="D27" s="38" t="s">
        <v>2</v>
      </c>
      <c r="E27" s="38"/>
      <c r="F27" s="38" t="s">
        <v>2</v>
      </c>
      <c r="G27" s="38"/>
      <c r="H27" s="38" t="s">
        <v>5</v>
      </c>
    </row>
    <row r="28" spans="1:8" x14ac:dyDescent="0.25">
      <c r="A28" s="4">
        <v>24</v>
      </c>
      <c r="B28" s="38"/>
      <c r="C28" s="38" t="s">
        <v>2</v>
      </c>
      <c r="D28" s="38"/>
      <c r="E28" s="38" t="s">
        <v>5</v>
      </c>
      <c r="F28" s="38" t="s">
        <v>5</v>
      </c>
      <c r="G28" s="38" t="s">
        <v>5</v>
      </c>
      <c r="H28" s="38"/>
    </row>
    <row r="29" spans="1:8" x14ac:dyDescent="0.25">
      <c r="A29" s="4">
        <v>25</v>
      </c>
      <c r="B29" s="38" t="s">
        <v>2</v>
      </c>
      <c r="C29" s="38" t="s">
        <v>5</v>
      </c>
      <c r="D29" s="38" t="s">
        <v>2</v>
      </c>
      <c r="E29" s="38" t="s">
        <v>2</v>
      </c>
      <c r="F29" s="38" t="s">
        <v>2</v>
      </c>
      <c r="G29" s="38" t="s">
        <v>2</v>
      </c>
      <c r="H29" s="38" t="s">
        <v>2</v>
      </c>
    </row>
    <row r="30" spans="1:8" x14ac:dyDescent="0.25">
      <c r="A30" s="4">
        <v>26</v>
      </c>
      <c r="B30" s="38"/>
      <c r="C30" s="38" t="s">
        <v>2</v>
      </c>
      <c r="D30" s="38"/>
      <c r="E30" s="38" t="s">
        <v>5</v>
      </c>
      <c r="F30" s="38"/>
      <c r="G30" s="38" t="s">
        <v>2</v>
      </c>
      <c r="H30" s="38"/>
    </row>
    <row r="31" spans="1:8" x14ac:dyDescent="0.25">
      <c r="A31" s="4">
        <v>27</v>
      </c>
      <c r="B31" s="38" t="s">
        <v>2</v>
      </c>
      <c r="C31" s="38"/>
      <c r="D31" s="38" t="s">
        <v>5</v>
      </c>
      <c r="E31" s="38"/>
      <c r="F31" s="38" t="s">
        <v>2</v>
      </c>
      <c r="G31" s="38"/>
      <c r="H31" s="38" t="s">
        <v>2</v>
      </c>
    </row>
    <row r="32" spans="1:8" x14ac:dyDescent="0.25">
      <c r="A32" s="4">
        <v>28</v>
      </c>
      <c r="B32" s="38" t="s">
        <v>5</v>
      </c>
      <c r="C32" s="38"/>
      <c r="D32" s="38" t="s">
        <v>2</v>
      </c>
      <c r="E32" s="38"/>
      <c r="F32" s="38" t="s">
        <v>2</v>
      </c>
      <c r="G32" s="38"/>
      <c r="H32" s="38" t="s">
        <v>2</v>
      </c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5</v>
      </c>
      <c r="F33" s="38" t="s">
        <v>2</v>
      </c>
      <c r="G33" s="38" t="s">
        <v>2</v>
      </c>
      <c r="H33" s="38" t="s">
        <v>2</v>
      </c>
    </row>
    <row r="34" spans="1:8" x14ac:dyDescent="0.25">
      <c r="A34" s="4">
        <v>30</v>
      </c>
      <c r="B34" s="38" t="s">
        <v>5</v>
      </c>
      <c r="C34" s="38"/>
      <c r="D34" s="38" t="s">
        <v>2</v>
      </c>
      <c r="E34" s="38"/>
      <c r="F34" s="38" t="s">
        <v>5</v>
      </c>
      <c r="G34" s="38"/>
      <c r="H34" s="38" t="s">
        <v>2</v>
      </c>
    </row>
    <row r="35" spans="1:8" x14ac:dyDescent="0.25">
      <c r="A35" s="4">
        <v>31</v>
      </c>
      <c r="B35" s="38" t="s">
        <v>2</v>
      </c>
      <c r="C35" s="38"/>
      <c r="D35" s="38" t="s">
        <v>2</v>
      </c>
      <c r="E35" s="38"/>
      <c r="F35" s="38" t="s">
        <v>2</v>
      </c>
      <c r="G35" s="38"/>
      <c r="H35" s="38" t="s">
        <v>2</v>
      </c>
    </row>
    <row r="36" spans="1:8" x14ac:dyDescent="0.25">
      <c r="A36" s="4">
        <v>32</v>
      </c>
      <c r="B36" s="38"/>
      <c r="C36" s="38" t="s">
        <v>2</v>
      </c>
      <c r="D36" s="38"/>
      <c r="E36" s="38" t="s">
        <v>5</v>
      </c>
      <c r="F36" s="38"/>
      <c r="G36" s="38" t="s">
        <v>2</v>
      </c>
      <c r="H36" s="38"/>
    </row>
    <row r="37" spans="1:8" x14ac:dyDescent="0.25">
      <c r="A37" s="4">
        <v>33</v>
      </c>
      <c r="B37" s="38"/>
      <c r="C37" s="38" t="s">
        <v>5</v>
      </c>
      <c r="D37" s="38"/>
      <c r="E37" s="38" t="s">
        <v>2</v>
      </c>
      <c r="F37" s="38"/>
      <c r="G37" s="38" t="s">
        <v>2</v>
      </c>
      <c r="H37" s="38"/>
    </row>
    <row r="38" spans="1:8" x14ac:dyDescent="0.25">
      <c r="A38" s="4">
        <v>34</v>
      </c>
      <c r="B38" s="38" t="s">
        <v>5</v>
      </c>
      <c r="C38" s="38"/>
      <c r="D38" s="38" t="s">
        <v>2</v>
      </c>
      <c r="E38" s="38"/>
      <c r="F38" s="38" t="s">
        <v>2</v>
      </c>
      <c r="G38" s="38"/>
      <c r="H38" s="38" t="s">
        <v>2</v>
      </c>
    </row>
    <row r="39" spans="1:8" x14ac:dyDescent="0.25">
      <c r="A39" s="4">
        <v>35</v>
      </c>
      <c r="B39" s="38" t="s">
        <v>2</v>
      </c>
      <c r="C39" s="38"/>
      <c r="D39" s="38"/>
      <c r="E39" s="38" t="s">
        <v>2</v>
      </c>
      <c r="F39" s="38"/>
      <c r="G39" s="38" t="s">
        <v>2</v>
      </c>
      <c r="H39" s="38"/>
    </row>
    <row r="40" spans="1:8" x14ac:dyDescent="0.25">
      <c r="A40" s="4">
        <v>36</v>
      </c>
      <c r="B40" s="38"/>
      <c r="C40" s="38"/>
      <c r="D40" s="38" t="s">
        <v>2</v>
      </c>
      <c r="E40" s="38"/>
      <c r="F40" s="38" t="s">
        <v>2</v>
      </c>
      <c r="G40" s="38"/>
      <c r="H40" s="38"/>
    </row>
    <row r="41" spans="1:8" x14ac:dyDescent="0.25">
      <c r="A41" s="4">
        <v>37</v>
      </c>
      <c r="B41" s="38"/>
      <c r="C41" s="38"/>
      <c r="D41" s="38" t="s">
        <v>2</v>
      </c>
      <c r="E41" s="38"/>
      <c r="F41" s="38"/>
      <c r="G41" s="38" t="s">
        <v>2</v>
      </c>
      <c r="H41" s="38"/>
    </row>
    <row r="42" spans="1:8" x14ac:dyDescent="0.25">
      <c r="A42" s="4">
        <v>38</v>
      </c>
      <c r="B42" s="38"/>
      <c r="C42" s="38" t="s">
        <v>2</v>
      </c>
      <c r="D42" s="38"/>
      <c r="E42" s="38" t="s">
        <v>2</v>
      </c>
      <c r="F42" s="38"/>
      <c r="G42" s="38" t="s">
        <v>2</v>
      </c>
      <c r="H42" s="38"/>
    </row>
    <row r="43" spans="1:8" x14ac:dyDescent="0.25">
      <c r="A43" s="4">
        <v>39</v>
      </c>
      <c r="B43" s="38"/>
      <c r="C43" s="38" t="s">
        <v>2</v>
      </c>
      <c r="D43" s="38" t="s">
        <v>2</v>
      </c>
      <c r="E43" s="38"/>
      <c r="F43" s="38" t="s">
        <v>2</v>
      </c>
      <c r="G43" s="38"/>
      <c r="H43" s="38" t="s">
        <v>2</v>
      </c>
    </row>
    <row r="44" spans="1:8" x14ac:dyDescent="0.25">
      <c r="A44" s="4">
        <v>40</v>
      </c>
      <c r="B44" s="38" t="s">
        <v>5</v>
      </c>
      <c r="C44" s="38"/>
      <c r="D44" s="38" t="s">
        <v>2</v>
      </c>
      <c r="E44" s="38"/>
      <c r="F44" s="38" t="s">
        <v>2</v>
      </c>
      <c r="G44" s="38"/>
      <c r="H44" s="38" t="s">
        <v>2</v>
      </c>
    </row>
    <row r="45" spans="1:8" x14ac:dyDescent="0.25">
      <c r="A45" s="4">
        <v>41</v>
      </c>
      <c r="B45" s="38"/>
      <c r="C45" s="38" t="s">
        <v>6</v>
      </c>
      <c r="D45" s="38"/>
      <c r="E45" s="38" t="s">
        <v>6</v>
      </c>
      <c r="F45" s="38"/>
      <c r="G45" s="38" t="s">
        <v>5</v>
      </c>
      <c r="H45" s="38"/>
    </row>
    <row r="46" spans="1:8" x14ac:dyDescent="0.25">
      <c r="A46" s="4">
        <v>42</v>
      </c>
      <c r="B46" s="38" t="s">
        <v>2</v>
      </c>
      <c r="C46" s="38"/>
      <c r="D46" s="38" t="s">
        <v>2</v>
      </c>
      <c r="E46" s="38" t="s">
        <v>2</v>
      </c>
      <c r="F46" s="38"/>
      <c r="G46" s="38" t="s">
        <v>2</v>
      </c>
      <c r="H46" s="38"/>
    </row>
    <row r="47" spans="1:8" x14ac:dyDescent="0.25">
      <c r="A47" s="4">
        <v>43</v>
      </c>
      <c r="B47" s="38" t="s">
        <v>2</v>
      </c>
      <c r="C47" s="38"/>
      <c r="D47" s="38" t="s">
        <v>2</v>
      </c>
      <c r="E47" s="38"/>
      <c r="F47" s="38" t="s">
        <v>2</v>
      </c>
      <c r="G47" s="38"/>
      <c r="H47" s="38" t="s">
        <v>2</v>
      </c>
    </row>
    <row r="48" spans="1:8" x14ac:dyDescent="0.25">
      <c r="A48" s="4">
        <v>44</v>
      </c>
      <c r="B48" s="38"/>
      <c r="C48" s="38" t="s">
        <v>2</v>
      </c>
      <c r="D48" s="38"/>
      <c r="E48" s="38" t="s">
        <v>2</v>
      </c>
      <c r="F48" s="38"/>
      <c r="G48" s="38" t="s">
        <v>2</v>
      </c>
      <c r="H48" s="38"/>
    </row>
    <row r="49" spans="1:8" x14ac:dyDescent="0.25">
      <c r="A49" s="4">
        <v>45</v>
      </c>
      <c r="B49" s="38" t="s">
        <v>2</v>
      </c>
      <c r="C49" s="38" t="s">
        <v>2</v>
      </c>
      <c r="D49" s="38" t="s">
        <v>2</v>
      </c>
      <c r="E49" s="38" t="s">
        <v>2</v>
      </c>
      <c r="F49" s="38" t="s">
        <v>2</v>
      </c>
      <c r="G49" s="38" t="s">
        <v>2</v>
      </c>
      <c r="H49" s="38" t="s">
        <v>2</v>
      </c>
    </row>
    <row r="50" spans="1:8" x14ac:dyDescent="0.25">
      <c r="A50" s="4">
        <v>46</v>
      </c>
      <c r="B50" s="38" t="s">
        <v>7</v>
      </c>
      <c r="C50" s="38" t="s">
        <v>2</v>
      </c>
      <c r="D50" s="38" t="s">
        <v>2</v>
      </c>
      <c r="E50" s="38" t="s">
        <v>2</v>
      </c>
      <c r="F50" s="38" t="s">
        <v>2</v>
      </c>
      <c r="G50" s="38" t="s">
        <v>2</v>
      </c>
      <c r="H50" s="38" t="s">
        <v>2</v>
      </c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 t="s">
        <v>2</v>
      </c>
      <c r="C54" s="38"/>
      <c r="D54" s="38" t="s">
        <v>2</v>
      </c>
      <c r="E54" s="38"/>
      <c r="F54" s="38" t="s">
        <v>2</v>
      </c>
      <c r="G54" s="38"/>
      <c r="H54" s="38" t="s">
        <v>2</v>
      </c>
    </row>
    <row r="55" spans="1:8" x14ac:dyDescent="0.25">
      <c r="A55" s="4">
        <v>51</v>
      </c>
      <c r="B55" s="38"/>
      <c r="C55" s="38" t="s">
        <v>2</v>
      </c>
      <c r="D55" s="38"/>
      <c r="E55" s="38" t="s">
        <v>2</v>
      </c>
      <c r="F55" s="38"/>
      <c r="G55" s="38" t="s">
        <v>2</v>
      </c>
      <c r="H55" s="38"/>
    </row>
    <row r="56" spans="1:8" x14ac:dyDescent="0.25">
      <c r="A56" s="4">
        <v>52</v>
      </c>
      <c r="B56" s="38" t="s">
        <v>2</v>
      </c>
      <c r="C56" s="38"/>
      <c r="D56" s="38" t="s">
        <v>2</v>
      </c>
      <c r="E56" s="38"/>
      <c r="F56" s="38" t="s">
        <v>2</v>
      </c>
      <c r="G56" s="38"/>
      <c r="H56" s="38" t="s">
        <v>2</v>
      </c>
    </row>
    <row r="57" spans="1:8" x14ac:dyDescent="0.25">
      <c r="A57" s="4">
        <v>53</v>
      </c>
      <c r="B57" s="38"/>
      <c r="C57" s="38"/>
      <c r="D57" s="38" t="s">
        <v>2</v>
      </c>
      <c r="E57" s="38"/>
      <c r="F57" s="38" t="s">
        <v>2</v>
      </c>
      <c r="G57" s="38"/>
      <c r="H57" s="38" t="s">
        <v>2</v>
      </c>
    </row>
    <row r="58" spans="1:8" x14ac:dyDescent="0.25">
      <c r="A58" s="4">
        <v>54</v>
      </c>
      <c r="B58" s="38" t="s">
        <v>2</v>
      </c>
      <c r="C58" s="38"/>
      <c r="D58" s="38" t="s">
        <v>2</v>
      </c>
      <c r="E58" s="38"/>
      <c r="F58" s="38" t="s">
        <v>2</v>
      </c>
      <c r="G58" s="38"/>
      <c r="H58" s="38" t="s">
        <v>2</v>
      </c>
    </row>
    <row r="59" spans="1:8" x14ac:dyDescent="0.25">
      <c r="A59" s="4">
        <v>55</v>
      </c>
      <c r="B59" s="38"/>
      <c r="C59" s="38" t="s">
        <v>2</v>
      </c>
      <c r="D59" s="38"/>
      <c r="E59" s="38" t="s">
        <v>2</v>
      </c>
      <c r="F59" s="38"/>
      <c r="G59" s="38" t="s">
        <v>2</v>
      </c>
      <c r="H59" s="38"/>
    </row>
    <row r="60" spans="1:8" x14ac:dyDescent="0.25">
      <c r="A60" s="4">
        <v>56</v>
      </c>
      <c r="B60" s="38" t="s">
        <v>2</v>
      </c>
      <c r="C60" s="38"/>
      <c r="D60" s="38"/>
      <c r="E60" s="38" t="s">
        <v>2</v>
      </c>
      <c r="F60" s="38"/>
      <c r="G60" s="38" t="s">
        <v>2</v>
      </c>
      <c r="H60" s="38"/>
    </row>
    <row r="61" spans="1:8" x14ac:dyDescent="0.25">
      <c r="A61" s="18">
        <v>73</v>
      </c>
      <c r="B61" s="38"/>
      <c r="C61" s="38"/>
      <c r="D61" s="38"/>
      <c r="E61" s="38"/>
      <c r="F61" s="38"/>
      <c r="G61" s="38"/>
      <c r="H61" s="38"/>
    </row>
    <row r="62" spans="1:8" x14ac:dyDescent="0.25">
      <c r="A62" s="18">
        <v>74</v>
      </c>
      <c r="B62" s="38"/>
      <c r="C62" s="38"/>
      <c r="D62" s="38"/>
      <c r="E62" s="38"/>
      <c r="F62" s="38"/>
      <c r="G62" s="38"/>
      <c r="H62" s="38"/>
    </row>
    <row r="63" spans="1:8" x14ac:dyDescent="0.25">
      <c r="A63" s="18">
        <v>101</v>
      </c>
      <c r="B63" s="39"/>
      <c r="C63" s="38" t="s">
        <v>2</v>
      </c>
      <c r="D63" s="38"/>
      <c r="E63" s="38"/>
      <c r="F63" s="38"/>
      <c r="G63" s="38"/>
      <c r="H63" s="38"/>
    </row>
    <row r="64" spans="1:8" x14ac:dyDescent="0.25">
      <c r="A64" s="18">
        <v>102</v>
      </c>
      <c r="B64" s="38" t="s">
        <v>2</v>
      </c>
      <c r="C64" s="38"/>
      <c r="D64" s="38"/>
      <c r="E64" s="38"/>
      <c r="F64" s="38"/>
      <c r="G64" s="38"/>
      <c r="H64" s="38"/>
    </row>
    <row r="65" spans="1:8" x14ac:dyDescent="0.25">
      <c r="A65" s="18">
        <v>103</v>
      </c>
      <c r="B65" s="38"/>
      <c r="C65" s="38" t="s">
        <v>2</v>
      </c>
      <c r="D65" s="38"/>
      <c r="E65" s="38"/>
      <c r="F65" s="38"/>
      <c r="G65" s="38"/>
      <c r="H65" s="38"/>
    </row>
    <row r="66" spans="1:8" x14ac:dyDescent="0.25">
      <c r="A66" s="18">
        <v>104</v>
      </c>
      <c r="B66" s="38" t="s">
        <v>2</v>
      </c>
      <c r="C66" s="38"/>
      <c r="D66" s="38"/>
      <c r="E66" s="38"/>
      <c r="F66" s="38"/>
      <c r="G66" s="38"/>
      <c r="H66" s="38"/>
    </row>
    <row r="67" spans="1:8" x14ac:dyDescent="0.25">
      <c r="A67" s="18">
        <v>105</v>
      </c>
      <c r="B67" s="38"/>
      <c r="C67" s="38" t="s">
        <v>2</v>
      </c>
      <c r="D67" s="38"/>
      <c r="E67" s="38"/>
      <c r="F67" s="38"/>
      <c r="G67" s="38"/>
      <c r="H67" s="38"/>
    </row>
    <row r="68" spans="1:8" x14ac:dyDescent="0.25">
      <c r="A68" s="18">
        <v>106</v>
      </c>
      <c r="B68" s="38" t="s">
        <v>2</v>
      </c>
      <c r="C68" s="38"/>
      <c r="D68" s="38"/>
      <c r="E68" s="38"/>
      <c r="F68" s="38"/>
      <c r="G68" s="38"/>
      <c r="H68" s="38"/>
    </row>
    <row r="69" spans="1:8" x14ac:dyDescent="0.25">
      <c r="A69" s="18">
        <v>107</v>
      </c>
      <c r="B69" s="38"/>
      <c r="C69" s="38" t="s">
        <v>2</v>
      </c>
      <c r="D69" s="38"/>
      <c r="E69" s="38"/>
      <c r="F69" s="38"/>
      <c r="G69" s="38"/>
      <c r="H69" s="38"/>
    </row>
    <row r="70" spans="1:8" x14ac:dyDescent="0.25">
      <c r="A70" s="18">
        <v>108</v>
      </c>
      <c r="B70" s="38" t="s">
        <v>2</v>
      </c>
      <c r="C70" s="38" t="s">
        <v>2</v>
      </c>
      <c r="D70" s="38"/>
      <c r="E70" s="38"/>
      <c r="F70" s="38"/>
      <c r="G70" s="38"/>
      <c r="H70" s="38"/>
    </row>
    <row r="71" spans="1:8" x14ac:dyDescent="0.25">
      <c r="A71" s="18">
        <v>109</v>
      </c>
      <c r="B71" s="38" t="s">
        <v>2</v>
      </c>
      <c r="C71" s="38" t="s">
        <v>2</v>
      </c>
      <c r="D71" s="38"/>
      <c r="E71" s="38"/>
      <c r="F71" s="38"/>
      <c r="G71" s="38"/>
      <c r="H71" s="38"/>
    </row>
    <row r="72" spans="1:8" x14ac:dyDescent="0.25">
      <c r="A72" s="18">
        <v>110</v>
      </c>
      <c r="B72" s="38" t="s">
        <v>2</v>
      </c>
      <c r="C72" s="38"/>
      <c r="D72" s="38"/>
      <c r="E72" s="38"/>
      <c r="F72" s="38"/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/>
      <c r="E74" s="38"/>
      <c r="F74" s="38"/>
      <c r="G74" s="38"/>
      <c r="H74" s="38"/>
    </row>
    <row r="75" spans="1:8" x14ac:dyDescent="0.25">
      <c r="A75" s="18">
        <v>113</v>
      </c>
      <c r="B75" s="38" t="s">
        <v>2</v>
      </c>
      <c r="C75" s="38" t="s">
        <v>2</v>
      </c>
      <c r="D75" s="38"/>
      <c r="E75" s="38"/>
      <c r="F75" s="38"/>
      <c r="G75" s="38"/>
      <c r="H75" s="38"/>
    </row>
    <row r="76" spans="1:8" x14ac:dyDescent="0.25">
      <c r="A76" s="18">
        <v>114</v>
      </c>
      <c r="B76" s="38"/>
      <c r="C76" s="38" t="s">
        <v>2</v>
      </c>
      <c r="D76" s="38"/>
      <c r="E76" s="38"/>
      <c r="F76" s="38"/>
      <c r="G76" s="38"/>
      <c r="H76" s="38"/>
    </row>
    <row r="77" spans="1:8" x14ac:dyDescent="0.25">
      <c r="A77" s="18">
        <v>115</v>
      </c>
      <c r="B77" s="38" t="s">
        <v>2</v>
      </c>
      <c r="C77" s="38" t="s">
        <v>2</v>
      </c>
      <c r="D77" s="38"/>
      <c r="E77" s="38"/>
      <c r="F77" s="38"/>
      <c r="G77" s="38"/>
      <c r="H77" s="38"/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 t="s">
        <v>2</v>
      </c>
      <c r="D81" s="38"/>
      <c r="E81" s="38"/>
      <c r="F81" s="38"/>
      <c r="G81" s="38"/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/>
      <c r="D90" s="38"/>
      <c r="E90" s="38"/>
      <c r="F90" s="38"/>
      <c r="G90" s="38"/>
      <c r="H90" s="38"/>
    </row>
    <row r="91" spans="1:8" x14ac:dyDescent="0.25">
      <c r="A91" s="18">
        <v>129</v>
      </c>
      <c r="B91" s="38"/>
      <c r="C91" s="38" t="s">
        <v>2</v>
      </c>
      <c r="D91" s="38"/>
      <c r="E91" s="38"/>
      <c r="F91" s="38"/>
      <c r="G91" s="38"/>
      <c r="H91" s="38"/>
    </row>
    <row r="92" spans="1:8" x14ac:dyDescent="0.25">
      <c r="A92" s="18">
        <v>130</v>
      </c>
      <c r="B92" s="38" t="s">
        <v>2</v>
      </c>
      <c r="C92" s="38"/>
      <c r="D92" s="38"/>
      <c r="E92" s="38"/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1033" priority="18" operator="equal">
      <formula>"Energia"</formula>
    </cfRule>
    <cfRule type="cellIs" dxfId="1032" priority="20" operator="equal">
      <formula>"Operação"</formula>
    </cfRule>
    <cfRule type="cellIs" dxfId="1031" priority="21" operator="equal">
      <formula>"Chuva"</formula>
    </cfRule>
    <cfRule type="cellIs" dxfId="1030" priority="22" operator="equal">
      <formula>"Elétrico"</formula>
    </cfRule>
    <cfRule type="cellIs" dxfId="1029" priority="23" operator="equal">
      <formula>"Mecânico"</formula>
    </cfRule>
    <cfRule type="cellIs" dxfId="1028" priority="24" operator="equal">
      <formula>"Ok"</formula>
    </cfRule>
  </conditionalFormatting>
  <conditionalFormatting sqref="B61:I62 I5:I60 B63:H95">
    <cfRule type="cellIs" dxfId="1027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026" priority="16" operator="equal">
      <formula>"Energia"</formula>
    </cfRule>
  </conditionalFormatting>
  <conditionalFormatting sqref="B5:E60 G5:H60">
    <cfRule type="cellIs" dxfId="1025" priority="9" operator="equal">
      <formula>"Energia"</formula>
    </cfRule>
    <cfRule type="cellIs" dxfId="1024" priority="11" operator="equal">
      <formula>"Operação"</formula>
    </cfRule>
    <cfRule type="cellIs" dxfId="1023" priority="12" operator="equal">
      <formula>"Chuva"</formula>
    </cfRule>
    <cfRule type="cellIs" dxfId="1022" priority="13" operator="equal">
      <formula>"Elétrico"</formula>
    </cfRule>
    <cfRule type="cellIs" dxfId="1021" priority="14" operator="equal">
      <formula>"Mecânico"</formula>
    </cfRule>
    <cfRule type="cellIs" dxfId="1020" priority="15" operator="equal">
      <formula>"Ok"</formula>
    </cfRule>
  </conditionalFormatting>
  <conditionalFormatting sqref="B5:E60 G5:H60">
    <cfRule type="cellIs" dxfId="1019" priority="10" operator="equal">
      <formula>"Feito"</formula>
    </cfRule>
  </conditionalFormatting>
  <conditionalFormatting sqref="F5:F11">
    <cfRule type="cellIs" dxfId="1018" priority="8" operator="equal">
      <formula>"Energia"</formula>
    </cfRule>
  </conditionalFormatting>
  <conditionalFormatting sqref="F5:F60">
    <cfRule type="cellIs" dxfId="1017" priority="1" operator="equal">
      <formula>"Energia"</formula>
    </cfRule>
    <cfRule type="cellIs" dxfId="1016" priority="3" operator="equal">
      <formula>"Operação"</formula>
    </cfRule>
    <cfRule type="cellIs" dxfId="1015" priority="4" operator="equal">
      <formula>"Chuva"</formula>
    </cfRule>
    <cfRule type="cellIs" dxfId="1014" priority="5" operator="equal">
      <formula>"Elétrico"</formula>
    </cfRule>
    <cfRule type="cellIs" dxfId="1013" priority="6" operator="equal">
      <formula>"Mecânico"</formula>
    </cfRule>
    <cfRule type="cellIs" dxfId="1012" priority="7" operator="equal">
      <formula>"Ok"</formula>
    </cfRule>
  </conditionalFormatting>
  <conditionalFormatting sqref="F5:F60">
    <cfRule type="cellIs" dxfId="1011" priority="2" operator="equal">
      <formula>"Feito"</formula>
    </cfRule>
  </conditionalFormatting>
  <dataValidations count="1">
    <dataValidation type="list" allowBlank="1" showInputMessage="1" showErrorMessage="1" sqref="B61:I62 B5:I26 B27:J60 B63:H95" xr:uid="{B5D290BB-FBAB-4B02-8CB4-B0277AE56989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DA78-45A4-416E-B309-9E5EC4675019}">
  <dimension ref="A1:M95"/>
  <sheetViews>
    <sheetView zoomScale="130" zoomScaleNormal="13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3" max="13" width="11.28515625" bestFit="1" customWidth="1"/>
    <col min="17" max="17" width="8.5703125" customWidth="1"/>
  </cols>
  <sheetData>
    <row r="1" spans="1:13" x14ac:dyDescent="0.25">
      <c r="A1" s="70" t="s">
        <v>22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4" t="s">
        <v>16</v>
      </c>
      <c r="B3" s="23">
        <v>44676</v>
      </c>
      <c r="C3" s="23">
        <f>B3+1</f>
        <v>44677</v>
      </c>
      <c r="D3" s="23">
        <f t="shared" ref="D3:H3" si="0">C3+1</f>
        <v>44678</v>
      </c>
      <c r="E3" s="23">
        <f t="shared" si="0"/>
        <v>44679</v>
      </c>
      <c r="F3" s="23">
        <f t="shared" si="0"/>
        <v>44680</v>
      </c>
      <c r="G3" s="23">
        <f t="shared" si="0"/>
        <v>44681</v>
      </c>
      <c r="H3" s="25">
        <f t="shared" si="0"/>
        <v>44682</v>
      </c>
      <c r="I3" s="3"/>
    </row>
    <row r="4" spans="1:13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</row>
    <row r="5" spans="1:13" x14ac:dyDescent="0.25">
      <c r="A5" s="4">
        <v>1</v>
      </c>
      <c r="B5" s="38"/>
      <c r="C5" s="38" t="s">
        <v>2</v>
      </c>
      <c r="D5" s="38"/>
      <c r="E5" s="38" t="s">
        <v>6</v>
      </c>
      <c r="F5" s="38" t="s">
        <v>6</v>
      </c>
      <c r="G5" s="38" t="s">
        <v>2</v>
      </c>
      <c r="H5" s="38"/>
      <c r="J5" s="48" t="s">
        <v>2</v>
      </c>
      <c r="K5">
        <f>COUNTIF($B$5:$H$95,J5)</f>
        <v>227</v>
      </c>
      <c r="L5" s="34">
        <f t="shared" ref="L5:L10" si="2">K5/$K$11</f>
        <v>0.82846715328467158</v>
      </c>
      <c r="M5" s="52">
        <v>44676</v>
      </c>
    </row>
    <row r="6" spans="1:13" x14ac:dyDescent="0.25">
      <c r="A6" s="4">
        <v>2</v>
      </c>
      <c r="B6" s="38"/>
      <c r="C6" s="38" t="s">
        <v>2</v>
      </c>
      <c r="D6" s="38"/>
      <c r="E6" s="38" t="s">
        <v>5</v>
      </c>
      <c r="F6" s="38"/>
      <c r="G6" s="38" t="s">
        <v>5</v>
      </c>
      <c r="H6" s="38"/>
      <c r="J6" s="42" t="s">
        <v>5</v>
      </c>
      <c r="K6">
        <f>COUNTIF($B$5:$H$95,J6)</f>
        <v>30</v>
      </c>
      <c r="L6" s="35">
        <f t="shared" si="2"/>
        <v>0.10948905109489052</v>
      </c>
    </row>
    <row r="7" spans="1:13" x14ac:dyDescent="0.25">
      <c r="A7" s="4">
        <v>3</v>
      </c>
      <c r="B7" s="38" t="s">
        <v>2</v>
      </c>
      <c r="C7" s="38" t="s">
        <v>2</v>
      </c>
      <c r="D7" s="38" t="s">
        <v>2</v>
      </c>
      <c r="E7" s="38" t="s">
        <v>2</v>
      </c>
      <c r="F7" s="38"/>
      <c r="G7" s="38" t="s">
        <v>2</v>
      </c>
      <c r="H7" s="38"/>
      <c r="J7" s="46" t="s">
        <v>6</v>
      </c>
      <c r="K7">
        <f t="shared" ref="K7:K10" si="3">COUNTIF($B$5:$H$95,J7)</f>
        <v>9</v>
      </c>
      <c r="L7" s="35">
        <f t="shared" si="2"/>
        <v>3.2846715328467155E-2</v>
      </c>
      <c r="M7" s="52"/>
    </row>
    <row r="8" spans="1:13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/>
      <c r="G8" s="38" t="s">
        <v>2</v>
      </c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</row>
    <row r="9" spans="1:13" x14ac:dyDescent="0.25">
      <c r="A9" s="4">
        <v>5</v>
      </c>
      <c r="B9" s="38"/>
      <c r="C9" s="38"/>
      <c r="D9" s="38"/>
      <c r="E9" s="38"/>
      <c r="F9" s="38"/>
      <c r="G9" s="38" t="s">
        <v>2</v>
      </c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3" x14ac:dyDescent="0.25">
      <c r="A10" s="4">
        <v>6</v>
      </c>
      <c r="B10" s="38"/>
      <c r="C10" s="38" t="s">
        <v>2</v>
      </c>
      <c r="D10" s="38" t="s">
        <v>2</v>
      </c>
      <c r="E10" s="38" t="s">
        <v>2</v>
      </c>
      <c r="F10" s="38"/>
      <c r="G10" s="38"/>
      <c r="H10" s="38" t="s">
        <v>2</v>
      </c>
      <c r="J10" s="43" t="s">
        <v>7</v>
      </c>
      <c r="K10">
        <f t="shared" si="3"/>
        <v>8</v>
      </c>
      <c r="L10" s="37">
        <f t="shared" si="2"/>
        <v>2.9197080291970802E-2</v>
      </c>
    </row>
    <row r="11" spans="1:13" x14ac:dyDescent="0.25">
      <c r="A11" s="4">
        <v>7</v>
      </c>
      <c r="B11" s="38" t="s">
        <v>2</v>
      </c>
      <c r="C11" s="38" t="s">
        <v>2</v>
      </c>
      <c r="D11" s="38" t="s">
        <v>2</v>
      </c>
      <c r="E11" s="38" t="s">
        <v>2</v>
      </c>
      <c r="F11" s="38"/>
      <c r="G11" s="38" t="s">
        <v>2</v>
      </c>
      <c r="H11" s="38"/>
      <c r="J11" s="44" t="s">
        <v>17</v>
      </c>
      <c r="K11">
        <f>SUM(K5:K10)</f>
        <v>274</v>
      </c>
    </row>
    <row r="12" spans="1:13" x14ac:dyDescent="0.25">
      <c r="A12" s="4">
        <v>8</v>
      </c>
      <c r="B12" s="38" t="s">
        <v>2</v>
      </c>
      <c r="C12" s="38" t="s">
        <v>2</v>
      </c>
      <c r="D12" s="38" t="s">
        <v>2</v>
      </c>
      <c r="E12" s="38"/>
      <c r="F12" s="38" t="s">
        <v>2</v>
      </c>
      <c r="G12" s="38" t="s">
        <v>2</v>
      </c>
      <c r="H12" s="38" t="s">
        <v>2</v>
      </c>
    </row>
    <row r="13" spans="1:13" x14ac:dyDescent="0.25">
      <c r="A13" s="4">
        <v>9</v>
      </c>
      <c r="B13" s="38" t="s">
        <v>2</v>
      </c>
      <c r="C13" s="38"/>
      <c r="D13" s="38"/>
      <c r="E13" s="38" t="s">
        <v>2</v>
      </c>
      <c r="F13" s="38"/>
      <c r="G13" s="38" t="s">
        <v>2</v>
      </c>
      <c r="H13" s="38"/>
    </row>
    <row r="14" spans="1:13" x14ac:dyDescent="0.25">
      <c r="A14" s="4">
        <v>10</v>
      </c>
      <c r="B14" s="38"/>
      <c r="C14" s="38" t="s">
        <v>5</v>
      </c>
      <c r="D14" s="38" t="s">
        <v>5</v>
      </c>
      <c r="E14" s="38" t="s">
        <v>5</v>
      </c>
      <c r="F14" s="38" t="s">
        <v>5</v>
      </c>
      <c r="G14" s="38"/>
      <c r="H14" s="38"/>
    </row>
    <row r="15" spans="1:13" x14ac:dyDescent="0.25">
      <c r="A15" s="4">
        <v>11</v>
      </c>
      <c r="B15" s="38" t="s">
        <v>5</v>
      </c>
      <c r="C15" s="38"/>
      <c r="D15" s="38"/>
      <c r="E15" s="38"/>
      <c r="F15" s="38" t="s">
        <v>2</v>
      </c>
      <c r="G15" s="38"/>
      <c r="H15" s="38"/>
    </row>
    <row r="16" spans="1:13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/>
      <c r="C19" s="38" t="s">
        <v>2</v>
      </c>
      <c r="D19" s="38"/>
      <c r="E19" s="38" t="s">
        <v>5</v>
      </c>
      <c r="F19" s="38" t="s">
        <v>5</v>
      </c>
      <c r="G19" s="38"/>
      <c r="H19" s="38"/>
    </row>
    <row r="20" spans="1:8" x14ac:dyDescent="0.25">
      <c r="A20" s="4">
        <v>16</v>
      </c>
      <c r="B20" s="38"/>
      <c r="C20" s="38"/>
      <c r="D20" s="38" t="s">
        <v>5</v>
      </c>
      <c r="E20" s="38"/>
      <c r="F20" s="38" t="s">
        <v>2</v>
      </c>
      <c r="G20" s="38"/>
      <c r="H20" s="38" t="s">
        <v>2</v>
      </c>
    </row>
    <row r="21" spans="1:8" x14ac:dyDescent="0.25">
      <c r="A21" s="4">
        <v>17</v>
      </c>
      <c r="B21" s="38"/>
      <c r="C21" s="38" t="s">
        <v>2</v>
      </c>
      <c r="D21" s="38"/>
      <c r="E21" s="38" t="s">
        <v>2</v>
      </c>
      <c r="F21" s="38"/>
      <c r="G21" s="38" t="s">
        <v>2</v>
      </c>
      <c r="H21" s="38"/>
    </row>
    <row r="22" spans="1:8" x14ac:dyDescent="0.25">
      <c r="A22" s="4">
        <v>18</v>
      </c>
      <c r="B22" s="38" t="s">
        <v>2</v>
      </c>
      <c r="C22" s="38"/>
      <c r="D22" s="38" t="s">
        <v>2</v>
      </c>
      <c r="E22" s="38"/>
      <c r="F22" s="38" t="s">
        <v>2</v>
      </c>
      <c r="G22" s="38"/>
      <c r="H22" s="38" t="s">
        <v>2</v>
      </c>
    </row>
    <row r="23" spans="1:8" x14ac:dyDescent="0.25">
      <c r="A23" s="4">
        <v>19</v>
      </c>
      <c r="B23" s="38"/>
      <c r="C23" s="38" t="s">
        <v>2</v>
      </c>
      <c r="D23" s="38"/>
      <c r="E23" s="38" t="s">
        <v>2</v>
      </c>
      <c r="F23" s="38"/>
      <c r="G23" s="38" t="s">
        <v>2</v>
      </c>
      <c r="H23" s="38"/>
    </row>
    <row r="24" spans="1:8" x14ac:dyDescent="0.25">
      <c r="A24" s="4">
        <v>20</v>
      </c>
      <c r="B24" s="38"/>
      <c r="C24" s="38"/>
      <c r="D24" s="38" t="s">
        <v>2</v>
      </c>
      <c r="E24" s="38"/>
      <c r="F24" s="38" t="s">
        <v>2</v>
      </c>
      <c r="G24" s="38"/>
      <c r="H24" s="38" t="s">
        <v>2</v>
      </c>
    </row>
    <row r="25" spans="1:8" x14ac:dyDescent="0.25">
      <c r="A25" s="4">
        <v>21</v>
      </c>
      <c r="B25" s="38"/>
      <c r="C25" s="38" t="s">
        <v>6</v>
      </c>
      <c r="D25" s="38"/>
      <c r="E25" s="38"/>
      <c r="F25" s="38" t="s">
        <v>7</v>
      </c>
      <c r="G25" s="38"/>
      <c r="H25" s="38" t="s">
        <v>6</v>
      </c>
    </row>
    <row r="26" spans="1:8" x14ac:dyDescent="0.25">
      <c r="A26" s="4">
        <v>22</v>
      </c>
      <c r="B26" s="38" t="s">
        <v>2</v>
      </c>
      <c r="C26" s="38"/>
      <c r="D26" s="38" t="s">
        <v>2</v>
      </c>
      <c r="E26" s="38"/>
      <c r="F26" s="38"/>
      <c r="G26" s="38" t="s">
        <v>2</v>
      </c>
      <c r="H26" s="38"/>
    </row>
    <row r="27" spans="1:8" x14ac:dyDescent="0.25">
      <c r="A27" s="4">
        <v>23</v>
      </c>
      <c r="B27" s="38"/>
      <c r="C27" s="38" t="s">
        <v>5</v>
      </c>
      <c r="D27" s="38" t="s">
        <v>5</v>
      </c>
      <c r="E27" s="38" t="s">
        <v>5</v>
      </c>
      <c r="F27" s="38"/>
      <c r="G27" s="38" t="s">
        <v>6</v>
      </c>
      <c r="H27" s="38" t="s">
        <v>5</v>
      </c>
    </row>
    <row r="28" spans="1:8" x14ac:dyDescent="0.25">
      <c r="A28" s="4">
        <v>24</v>
      </c>
      <c r="B28" s="38"/>
      <c r="C28" s="38"/>
      <c r="D28" s="38" t="s">
        <v>5</v>
      </c>
      <c r="E28" s="38" t="s">
        <v>5</v>
      </c>
      <c r="F28" s="38"/>
      <c r="G28" s="38" t="s">
        <v>6</v>
      </c>
      <c r="H28" s="38" t="s">
        <v>5</v>
      </c>
    </row>
    <row r="29" spans="1:8" x14ac:dyDescent="0.25">
      <c r="A29" s="4">
        <v>25</v>
      </c>
      <c r="B29" s="38" t="s">
        <v>2</v>
      </c>
      <c r="C29" s="38" t="s">
        <v>2</v>
      </c>
      <c r="D29" s="38" t="s">
        <v>5</v>
      </c>
      <c r="E29" s="38" t="s">
        <v>2</v>
      </c>
      <c r="F29" s="38" t="s">
        <v>2</v>
      </c>
      <c r="G29" s="38" t="s">
        <v>2</v>
      </c>
      <c r="H29" s="38" t="s">
        <v>5</v>
      </c>
    </row>
    <row r="30" spans="1:8" x14ac:dyDescent="0.25">
      <c r="A30" s="4">
        <v>26</v>
      </c>
      <c r="B30" s="38" t="s">
        <v>2</v>
      </c>
      <c r="C30" s="38"/>
      <c r="D30" s="38" t="s">
        <v>2</v>
      </c>
      <c r="E30" s="38"/>
      <c r="F30" s="38"/>
      <c r="G30" s="38" t="s">
        <v>2</v>
      </c>
      <c r="H30" s="38"/>
    </row>
    <row r="31" spans="1:8" x14ac:dyDescent="0.25">
      <c r="A31" s="4">
        <v>27</v>
      </c>
      <c r="B31" s="38"/>
      <c r="C31" s="38" t="s">
        <v>2</v>
      </c>
      <c r="D31" s="38"/>
      <c r="E31" s="38" t="s">
        <v>2</v>
      </c>
      <c r="F31" s="38"/>
      <c r="G31" s="38"/>
      <c r="H31" s="38" t="s">
        <v>7</v>
      </c>
    </row>
    <row r="32" spans="1:8" x14ac:dyDescent="0.25">
      <c r="A32" s="4">
        <v>28</v>
      </c>
      <c r="B32" s="38"/>
      <c r="C32" s="38" t="s">
        <v>2</v>
      </c>
      <c r="D32" s="38"/>
      <c r="E32" s="38" t="s">
        <v>2</v>
      </c>
      <c r="F32" s="38"/>
      <c r="G32" s="38" t="s">
        <v>2</v>
      </c>
      <c r="H32" s="38"/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2</v>
      </c>
      <c r="F33" s="38" t="s">
        <v>2</v>
      </c>
      <c r="G33" s="38"/>
      <c r="H33" s="38" t="s">
        <v>2</v>
      </c>
    </row>
    <row r="34" spans="1:8" x14ac:dyDescent="0.25">
      <c r="A34" s="4">
        <v>30</v>
      </c>
      <c r="B34" s="38"/>
      <c r="C34" s="38" t="s">
        <v>2</v>
      </c>
      <c r="D34" s="38"/>
      <c r="E34" s="38" t="s">
        <v>2</v>
      </c>
      <c r="F34" s="38"/>
      <c r="G34" s="38" t="s">
        <v>2</v>
      </c>
      <c r="H34" s="38"/>
    </row>
    <row r="35" spans="1:8" x14ac:dyDescent="0.25">
      <c r="A35" s="4">
        <v>31</v>
      </c>
      <c r="B35" s="38"/>
      <c r="C35" s="38" t="s">
        <v>2</v>
      </c>
      <c r="D35" s="38"/>
      <c r="E35" s="38" t="s">
        <v>2</v>
      </c>
      <c r="F35" s="38"/>
      <c r="G35" s="38" t="s">
        <v>6</v>
      </c>
      <c r="H35" s="38"/>
    </row>
    <row r="36" spans="1:8" x14ac:dyDescent="0.25">
      <c r="A36" s="4">
        <v>32</v>
      </c>
      <c r="B36" s="38" t="s">
        <v>2</v>
      </c>
      <c r="C36" s="38"/>
      <c r="D36" s="38" t="s">
        <v>2</v>
      </c>
      <c r="E36" s="38"/>
      <c r="F36" s="38" t="s">
        <v>5</v>
      </c>
      <c r="G36" s="38"/>
      <c r="H36" s="38" t="s">
        <v>7</v>
      </c>
    </row>
    <row r="37" spans="1:8" x14ac:dyDescent="0.25">
      <c r="A37" s="4">
        <v>33</v>
      </c>
      <c r="B37" s="38" t="s">
        <v>2</v>
      </c>
      <c r="C37" s="38"/>
      <c r="D37" s="38" t="s">
        <v>2</v>
      </c>
      <c r="E37" s="38"/>
      <c r="F37" s="38" t="s">
        <v>5</v>
      </c>
      <c r="G37" s="38"/>
      <c r="H37" s="38" t="s">
        <v>7</v>
      </c>
    </row>
    <row r="38" spans="1:8" x14ac:dyDescent="0.25">
      <c r="A38" s="4">
        <v>34</v>
      </c>
      <c r="B38" s="38"/>
      <c r="C38" s="38" t="s">
        <v>2</v>
      </c>
      <c r="D38" s="38"/>
      <c r="E38" s="38" t="s">
        <v>2</v>
      </c>
      <c r="F38" s="38"/>
      <c r="G38" s="38" t="s">
        <v>6</v>
      </c>
      <c r="H38" s="38"/>
    </row>
    <row r="39" spans="1:8" x14ac:dyDescent="0.25">
      <c r="A39" s="4">
        <v>35</v>
      </c>
      <c r="B39" s="38"/>
      <c r="C39" s="38" t="s">
        <v>2</v>
      </c>
      <c r="D39" s="38"/>
      <c r="E39" s="38" t="s">
        <v>7</v>
      </c>
      <c r="F39" s="38" t="s">
        <v>7</v>
      </c>
      <c r="G39" s="38"/>
      <c r="H39" s="38" t="s">
        <v>2</v>
      </c>
    </row>
    <row r="40" spans="1:8" x14ac:dyDescent="0.25">
      <c r="A40" s="4">
        <v>36</v>
      </c>
      <c r="B40" s="38" t="s">
        <v>5</v>
      </c>
      <c r="C40" s="38" t="s">
        <v>2</v>
      </c>
      <c r="D40" s="38"/>
      <c r="E40" s="38" t="s">
        <v>2</v>
      </c>
      <c r="F40" s="38"/>
      <c r="G40" s="38" t="s">
        <v>2</v>
      </c>
      <c r="H40" s="38"/>
    </row>
    <row r="41" spans="1:8" x14ac:dyDescent="0.25">
      <c r="A41" s="4">
        <v>37</v>
      </c>
      <c r="B41" s="38" t="s">
        <v>2</v>
      </c>
      <c r="C41" s="38"/>
      <c r="D41" s="38"/>
      <c r="E41" s="38" t="s">
        <v>2</v>
      </c>
      <c r="F41" s="38" t="s">
        <v>2</v>
      </c>
      <c r="G41" s="38"/>
      <c r="H41" s="38" t="s">
        <v>2</v>
      </c>
    </row>
    <row r="42" spans="1:8" x14ac:dyDescent="0.25">
      <c r="A42" s="4">
        <v>38</v>
      </c>
      <c r="B42" s="38" t="s">
        <v>6</v>
      </c>
      <c r="C42" s="38"/>
      <c r="D42" s="38" t="s">
        <v>2</v>
      </c>
      <c r="E42" s="38"/>
      <c r="F42" s="38"/>
      <c r="G42" s="38" t="s">
        <v>2</v>
      </c>
      <c r="H42" s="38"/>
    </row>
    <row r="43" spans="1:8" x14ac:dyDescent="0.25">
      <c r="A43" s="4">
        <v>39</v>
      </c>
      <c r="B43" s="38"/>
      <c r="C43" s="38" t="s">
        <v>2</v>
      </c>
      <c r="D43" s="38"/>
      <c r="E43" s="38" t="s">
        <v>7</v>
      </c>
      <c r="F43" s="38"/>
      <c r="G43" s="38"/>
      <c r="H43" s="38" t="s">
        <v>2</v>
      </c>
    </row>
    <row r="44" spans="1:8" x14ac:dyDescent="0.25">
      <c r="A44" s="4">
        <v>40</v>
      </c>
      <c r="B44" s="38"/>
      <c r="C44" s="38" t="s">
        <v>2</v>
      </c>
      <c r="D44" s="38"/>
      <c r="E44" s="38" t="s">
        <v>2</v>
      </c>
      <c r="F44" s="38"/>
      <c r="G44" s="38" t="s">
        <v>2</v>
      </c>
      <c r="H44" s="38"/>
    </row>
    <row r="45" spans="1:8" x14ac:dyDescent="0.25">
      <c r="A45" s="4">
        <v>41</v>
      </c>
      <c r="B45" s="38" t="s">
        <v>2</v>
      </c>
      <c r="C45" s="38"/>
      <c r="D45" s="38" t="s">
        <v>2</v>
      </c>
      <c r="E45" s="38"/>
      <c r="F45" s="38" t="s">
        <v>2</v>
      </c>
      <c r="G45" s="38"/>
      <c r="H45" s="38" t="s">
        <v>2</v>
      </c>
    </row>
    <row r="46" spans="1:8" x14ac:dyDescent="0.25">
      <c r="A46" s="4">
        <v>42</v>
      </c>
      <c r="B46" s="38" t="s">
        <v>2</v>
      </c>
      <c r="C46" s="38"/>
      <c r="D46" s="38" t="s">
        <v>2</v>
      </c>
      <c r="E46" s="38"/>
      <c r="F46" s="38" t="s">
        <v>2</v>
      </c>
      <c r="G46" s="38"/>
      <c r="H46" s="38" t="s">
        <v>2</v>
      </c>
    </row>
    <row r="47" spans="1:8" x14ac:dyDescent="0.25">
      <c r="A47" s="4">
        <v>43</v>
      </c>
      <c r="B47" s="38"/>
      <c r="C47" s="38" t="s">
        <v>2</v>
      </c>
      <c r="D47" s="38"/>
      <c r="E47" s="38" t="s">
        <v>2</v>
      </c>
      <c r="F47" s="38"/>
      <c r="G47" s="38" t="s">
        <v>2</v>
      </c>
      <c r="H47" s="38"/>
    </row>
    <row r="48" spans="1:8" x14ac:dyDescent="0.25">
      <c r="A48" s="4">
        <v>44</v>
      </c>
      <c r="B48" s="38" t="s">
        <v>2</v>
      </c>
      <c r="C48" s="38"/>
      <c r="D48" s="38" t="s">
        <v>2</v>
      </c>
      <c r="E48" s="38"/>
      <c r="F48" s="38" t="s">
        <v>2</v>
      </c>
      <c r="G48" s="38" t="s">
        <v>2</v>
      </c>
      <c r="H48" s="38"/>
    </row>
    <row r="49" spans="1:8" x14ac:dyDescent="0.25">
      <c r="A49" s="4">
        <v>45</v>
      </c>
      <c r="B49" s="38" t="s">
        <v>2</v>
      </c>
      <c r="C49" s="38" t="s">
        <v>2</v>
      </c>
      <c r="D49" s="38" t="s">
        <v>2</v>
      </c>
      <c r="E49" s="38" t="s">
        <v>2</v>
      </c>
      <c r="F49" s="38" t="s">
        <v>2</v>
      </c>
      <c r="G49" s="38" t="s">
        <v>2</v>
      </c>
      <c r="H49" s="38" t="s">
        <v>2</v>
      </c>
    </row>
    <row r="50" spans="1:8" x14ac:dyDescent="0.25">
      <c r="A50" s="4">
        <v>46</v>
      </c>
      <c r="B50" s="38" t="s">
        <v>2</v>
      </c>
      <c r="C50" s="38" t="s">
        <v>2</v>
      </c>
      <c r="D50" s="38" t="s">
        <v>2</v>
      </c>
      <c r="E50" s="38" t="s">
        <v>2</v>
      </c>
      <c r="F50" s="38" t="s">
        <v>2</v>
      </c>
      <c r="G50" s="38" t="s">
        <v>5</v>
      </c>
      <c r="H50" s="38" t="s">
        <v>2</v>
      </c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2</v>
      </c>
      <c r="D54" s="38"/>
      <c r="E54" s="38" t="s">
        <v>2</v>
      </c>
      <c r="F54" s="38"/>
      <c r="G54" s="38" t="s">
        <v>2</v>
      </c>
      <c r="H54" s="38"/>
    </row>
    <row r="55" spans="1:8" x14ac:dyDescent="0.25">
      <c r="A55" s="4">
        <v>51</v>
      </c>
      <c r="B55" s="38" t="s">
        <v>2</v>
      </c>
      <c r="C55" s="38"/>
      <c r="D55" s="38" t="s">
        <v>2</v>
      </c>
      <c r="E55" s="38"/>
      <c r="F55" s="38" t="s">
        <v>2</v>
      </c>
      <c r="G55" s="38"/>
      <c r="H55" s="38" t="s">
        <v>2</v>
      </c>
    </row>
    <row r="56" spans="1:8" x14ac:dyDescent="0.25">
      <c r="A56" s="4">
        <v>52</v>
      </c>
      <c r="B56" s="38"/>
      <c r="C56" s="38" t="s">
        <v>2</v>
      </c>
      <c r="D56" s="38"/>
      <c r="E56" s="38" t="s">
        <v>2</v>
      </c>
      <c r="F56" s="38"/>
      <c r="G56" s="38" t="s">
        <v>7</v>
      </c>
      <c r="H56" s="38"/>
    </row>
    <row r="57" spans="1:8" x14ac:dyDescent="0.25">
      <c r="A57" s="4">
        <v>53</v>
      </c>
      <c r="B57" s="38"/>
      <c r="C57" s="38" t="s">
        <v>2</v>
      </c>
      <c r="D57" s="38"/>
      <c r="E57" s="38" t="s">
        <v>2</v>
      </c>
      <c r="F57" s="38"/>
      <c r="G57" s="38" t="s">
        <v>2</v>
      </c>
      <c r="H57" s="38"/>
    </row>
    <row r="58" spans="1:8" x14ac:dyDescent="0.25">
      <c r="A58" s="4">
        <v>54</v>
      </c>
      <c r="B58" s="38"/>
      <c r="C58" s="38" t="s">
        <v>2</v>
      </c>
      <c r="D58" s="38" t="s">
        <v>2</v>
      </c>
      <c r="E58" s="38" t="s">
        <v>2</v>
      </c>
      <c r="F58" s="38"/>
      <c r="G58" s="38" t="s">
        <v>2</v>
      </c>
      <c r="H58" s="38"/>
    </row>
    <row r="59" spans="1:8" x14ac:dyDescent="0.25">
      <c r="A59" s="4">
        <v>55</v>
      </c>
      <c r="B59" s="38" t="s">
        <v>2</v>
      </c>
      <c r="C59" s="38"/>
      <c r="D59" s="38" t="s">
        <v>2</v>
      </c>
      <c r="E59" s="38"/>
      <c r="F59" s="38" t="s">
        <v>2</v>
      </c>
      <c r="G59" s="38"/>
      <c r="H59" s="38" t="s">
        <v>2</v>
      </c>
    </row>
    <row r="60" spans="1:8" x14ac:dyDescent="0.25">
      <c r="A60" s="4">
        <v>56</v>
      </c>
      <c r="B60" s="38" t="s">
        <v>2</v>
      </c>
      <c r="C60" s="38"/>
      <c r="D60" s="38" t="s">
        <v>2</v>
      </c>
      <c r="E60" s="38"/>
      <c r="F60" s="38" t="s">
        <v>5</v>
      </c>
      <c r="G60" s="38"/>
      <c r="H60" s="38" t="s">
        <v>2</v>
      </c>
    </row>
    <row r="61" spans="1:8" x14ac:dyDescent="0.25">
      <c r="A61" s="18">
        <v>73</v>
      </c>
      <c r="B61" s="38"/>
      <c r="C61" s="38"/>
      <c r="D61" s="38"/>
      <c r="E61" s="38"/>
      <c r="F61" s="38"/>
      <c r="G61" s="38"/>
      <c r="H61" s="38"/>
    </row>
    <row r="62" spans="1:8" x14ac:dyDescent="0.25">
      <c r="A62" s="18">
        <v>74</v>
      </c>
      <c r="B62" s="38"/>
      <c r="C62" s="38"/>
      <c r="D62" s="38"/>
      <c r="E62" s="38"/>
      <c r="F62" s="38"/>
      <c r="G62" s="38"/>
      <c r="H62" s="38"/>
    </row>
    <row r="63" spans="1:8" x14ac:dyDescent="0.25">
      <c r="A63" s="18">
        <v>101</v>
      </c>
      <c r="B63" s="39" t="s">
        <v>2</v>
      </c>
      <c r="C63" s="38" t="s">
        <v>2</v>
      </c>
      <c r="D63" s="38" t="s">
        <v>2</v>
      </c>
      <c r="E63" s="38" t="s">
        <v>2</v>
      </c>
      <c r="F63" s="38" t="s">
        <v>2</v>
      </c>
      <c r="G63" s="38"/>
      <c r="H63" s="38" t="s">
        <v>2</v>
      </c>
    </row>
    <row r="64" spans="1:8" x14ac:dyDescent="0.25">
      <c r="A64" s="18">
        <v>102</v>
      </c>
      <c r="B64" s="38"/>
      <c r="C64" s="38" t="s">
        <v>2</v>
      </c>
      <c r="D64" s="38"/>
      <c r="E64" s="38"/>
      <c r="F64" s="38" t="s">
        <v>2</v>
      </c>
      <c r="G64" s="38" t="s">
        <v>2</v>
      </c>
      <c r="H64" s="38"/>
    </row>
    <row r="65" spans="1:8" x14ac:dyDescent="0.25">
      <c r="A65" s="18">
        <v>103</v>
      </c>
      <c r="B65" s="38" t="s">
        <v>2</v>
      </c>
      <c r="C65" s="38" t="s">
        <v>2</v>
      </c>
      <c r="D65" s="38"/>
      <c r="E65" s="38" t="s">
        <v>2</v>
      </c>
      <c r="F65" s="38" t="s">
        <v>2</v>
      </c>
      <c r="G65" s="38"/>
      <c r="H65" s="38" t="s">
        <v>2</v>
      </c>
    </row>
    <row r="66" spans="1:8" x14ac:dyDescent="0.25">
      <c r="A66" s="18">
        <v>104</v>
      </c>
      <c r="B66" s="38" t="s">
        <v>5</v>
      </c>
      <c r="C66" s="38" t="s">
        <v>5</v>
      </c>
      <c r="D66" s="38" t="s">
        <v>5</v>
      </c>
      <c r="E66" s="38" t="s">
        <v>5</v>
      </c>
      <c r="F66" s="38" t="s">
        <v>5</v>
      </c>
      <c r="G66" s="38" t="s">
        <v>5</v>
      </c>
      <c r="H66" s="38" t="s">
        <v>2</v>
      </c>
    </row>
    <row r="67" spans="1:8" x14ac:dyDescent="0.25">
      <c r="A67" s="18">
        <v>105</v>
      </c>
      <c r="B67" s="38"/>
      <c r="C67" s="38" t="s">
        <v>2</v>
      </c>
      <c r="D67" s="38"/>
      <c r="E67" s="38" t="s">
        <v>2</v>
      </c>
      <c r="F67" s="38" t="s">
        <v>2</v>
      </c>
      <c r="G67" s="38"/>
      <c r="H67" s="38" t="s">
        <v>2</v>
      </c>
    </row>
    <row r="68" spans="1:8" x14ac:dyDescent="0.25">
      <c r="A68" s="18">
        <v>106</v>
      </c>
      <c r="B68" s="38" t="s">
        <v>2</v>
      </c>
      <c r="C68" s="38" t="s">
        <v>2</v>
      </c>
      <c r="D68" s="38"/>
      <c r="E68" s="38" t="s">
        <v>2</v>
      </c>
      <c r="F68" s="38" t="s">
        <v>2</v>
      </c>
      <c r="G68" s="38"/>
      <c r="H68" s="38" t="s">
        <v>2</v>
      </c>
    </row>
    <row r="69" spans="1:8" x14ac:dyDescent="0.25">
      <c r="A69" s="18">
        <v>107</v>
      </c>
      <c r="B69" s="38" t="s">
        <v>2</v>
      </c>
      <c r="C69" s="38" t="s">
        <v>2</v>
      </c>
      <c r="D69" s="38"/>
      <c r="E69" s="38" t="s">
        <v>2</v>
      </c>
      <c r="F69" s="38" t="s">
        <v>2</v>
      </c>
      <c r="G69" s="38"/>
      <c r="H69" s="38" t="s">
        <v>2</v>
      </c>
    </row>
    <row r="70" spans="1:8" x14ac:dyDescent="0.25">
      <c r="A70" s="18">
        <v>108</v>
      </c>
      <c r="B70" s="38" t="s">
        <v>2</v>
      </c>
      <c r="C70" s="38"/>
      <c r="D70" s="38" t="s">
        <v>2</v>
      </c>
      <c r="E70" s="38"/>
      <c r="F70" s="38"/>
      <c r="G70" s="38" t="s">
        <v>2</v>
      </c>
      <c r="H70" s="38" t="s">
        <v>2</v>
      </c>
    </row>
    <row r="71" spans="1:8" x14ac:dyDescent="0.25">
      <c r="A71" s="18">
        <v>109</v>
      </c>
      <c r="B71" s="38" t="s">
        <v>2</v>
      </c>
      <c r="C71" s="38"/>
      <c r="D71" s="38" t="s">
        <v>2</v>
      </c>
      <c r="E71" s="38"/>
      <c r="F71" s="38"/>
      <c r="G71" s="38" t="s">
        <v>2</v>
      </c>
      <c r="H71" s="38" t="s">
        <v>2</v>
      </c>
    </row>
    <row r="72" spans="1:8" x14ac:dyDescent="0.25">
      <c r="A72" s="18">
        <v>110</v>
      </c>
      <c r="B72" s="38"/>
      <c r="C72" s="38" t="s">
        <v>2</v>
      </c>
      <c r="D72" s="38" t="s">
        <v>2</v>
      </c>
      <c r="E72" s="38"/>
      <c r="F72" s="38" t="s">
        <v>2</v>
      </c>
      <c r="G72" s="38" t="s">
        <v>2</v>
      </c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 t="s">
        <v>2</v>
      </c>
      <c r="D74" s="38" t="s">
        <v>2</v>
      </c>
      <c r="E74" s="38" t="s">
        <v>2</v>
      </c>
      <c r="F74" s="38"/>
      <c r="G74" s="38" t="s">
        <v>2</v>
      </c>
      <c r="H74" s="38" t="s">
        <v>2</v>
      </c>
    </row>
    <row r="75" spans="1:8" x14ac:dyDescent="0.25">
      <c r="A75" s="18">
        <v>113</v>
      </c>
      <c r="B75" s="38" t="s">
        <v>2</v>
      </c>
      <c r="C75" s="38" t="s">
        <v>2</v>
      </c>
      <c r="D75" s="38" t="s">
        <v>2</v>
      </c>
      <c r="E75" s="38"/>
      <c r="F75" s="38" t="s">
        <v>2</v>
      </c>
      <c r="G75" s="38" t="s">
        <v>2</v>
      </c>
      <c r="H75" s="38" t="s">
        <v>2</v>
      </c>
    </row>
    <row r="76" spans="1:8" x14ac:dyDescent="0.25">
      <c r="A76" s="18">
        <v>114</v>
      </c>
      <c r="B76" s="38"/>
      <c r="C76" s="38" t="s">
        <v>2</v>
      </c>
      <c r="D76" s="38"/>
      <c r="E76" s="38"/>
      <c r="F76" s="38" t="s">
        <v>2</v>
      </c>
      <c r="G76" s="38"/>
      <c r="H76" s="38"/>
    </row>
    <row r="77" spans="1:8" x14ac:dyDescent="0.25">
      <c r="A77" s="18">
        <v>115</v>
      </c>
      <c r="B77" s="38" t="s">
        <v>2</v>
      </c>
      <c r="C77" s="38" t="s">
        <v>2</v>
      </c>
      <c r="D77" s="38" t="s">
        <v>2</v>
      </c>
      <c r="E77" s="38"/>
      <c r="F77" s="38" t="s">
        <v>2</v>
      </c>
      <c r="G77" s="38" t="s">
        <v>2</v>
      </c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 t="s">
        <v>2</v>
      </c>
      <c r="D79" s="38"/>
      <c r="E79" s="38"/>
      <c r="F79" s="38" t="s">
        <v>2</v>
      </c>
      <c r="G79" s="38" t="s">
        <v>2</v>
      </c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 t="s">
        <v>2</v>
      </c>
      <c r="C81" s="38"/>
      <c r="D81" s="38"/>
      <c r="E81" s="38" t="s">
        <v>2</v>
      </c>
      <c r="F81" s="38"/>
      <c r="G81" s="38" t="s">
        <v>2</v>
      </c>
      <c r="H81" s="38" t="s">
        <v>2</v>
      </c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 t="s">
        <v>2</v>
      </c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/>
      <c r="D90" s="38"/>
      <c r="E90" s="38" t="s">
        <v>2</v>
      </c>
      <c r="F90" s="38"/>
      <c r="G90" s="38" t="s">
        <v>2</v>
      </c>
      <c r="H90" s="38" t="s">
        <v>2</v>
      </c>
    </row>
    <row r="91" spans="1:8" x14ac:dyDescent="0.25">
      <c r="A91" s="18">
        <v>129</v>
      </c>
      <c r="B91" s="38"/>
      <c r="C91" s="38"/>
      <c r="D91" s="38" t="s">
        <v>2</v>
      </c>
      <c r="E91" s="38"/>
      <c r="F91" s="38" t="s">
        <v>2</v>
      </c>
      <c r="G91" s="38"/>
      <c r="H91" s="38"/>
    </row>
    <row r="92" spans="1:8" x14ac:dyDescent="0.25">
      <c r="A92" s="18">
        <v>130</v>
      </c>
      <c r="B92" s="38"/>
      <c r="C92" s="38" t="s">
        <v>2</v>
      </c>
      <c r="D92" s="38"/>
      <c r="E92" s="38"/>
      <c r="F92" s="38" t="s">
        <v>2</v>
      </c>
      <c r="G92" s="38" t="s">
        <v>2</v>
      </c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1010" priority="18" operator="equal">
      <formula>"Energia"</formula>
    </cfRule>
    <cfRule type="cellIs" dxfId="1009" priority="20" operator="equal">
      <formula>"Operação"</formula>
    </cfRule>
    <cfRule type="cellIs" dxfId="1008" priority="21" operator="equal">
      <formula>"Chuva"</formula>
    </cfRule>
    <cfRule type="cellIs" dxfId="1007" priority="22" operator="equal">
      <formula>"Elétrico"</formula>
    </cfRule>
    <cfRule type="cellIs" dxfId="1006" priority="23" operator="equal">
      <formula>"Mecânico"</formula>
    </cfRule>
    <cfRule type="cellIs" dxfId="1005" priority="24" operator="equal">
      <formula>"Ok"</formula>
    </cfRule>
  </conditionalFormatting>
  <conditionalFormatting sqref="B61:I62 I5:I60 B63:H95">
    <cfRule type="cellIs" dxfId="1004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003" priority="16" operator="equal">
      <formula>"Energia"</formula>
    </cfRule>
  </conditionalFormatting>
  <conditionalFormatting sqref="B5:E60 G5:H60">
    <cfRule type="cellIs" dxfId="1002" priority="9" operator="equal">
      <formula>"Energia"</formula>
    </cfRule>
    <cfRule type="cellIs" dxfId="1001" priority="11" operator="equal">
      <formula>"Operação"</formula>
    </cfRule>
    <cfRule type="cellIs" dxfId="1000" priority="12" operator="equal">
      <formula>"Chuva"</formula>
    </cfRule>
    <cfRule type="cellIs" dxfId="999" priority="13" operator="equal">
      <formula>"Elétrico"</formula>
    </cfRule>
    <cfRule type="cellIs" dxfId="998" priority="14" operator="equal">
      <formula>"Mecânico"</formula>
    </cfRule>
    <cfRule type="cellIs" dxfId="997" priority="15" operator="equal">
      <formula>"Ok"</formula>
    </cfRule>
  </conditionalFormatting>
  <conditionalFormatting sqref="B5:E60 G5:H60">
    <cfRule type="cellIs" dxfId="996" priority="10" operator="equal">
      <formula>"Feito"</formula>
    </cfRule>
  </conditionalFormatting>
  <conditionalFormatting sqref="F5:F11">
    <cfRule type="cellIs" dxfId="995" priority="8" operator="equal">
      <formula>"Energia"</formula>
    </cfRule>
  </conditionalFormatting>
  <conditionalFormatting sqref="F5:F60">
    <cfRule type="cellIs" dxfId="994" priority="1" operator="equal">
      <formula>"Energia"</formula>
    </cfRule>
    <cfRule type="cellIs" dxfId="993" priority="3" operator="equal">
      <formula>"Operação"</formula>
    </cfRule>
    <cfRule type="cellIs" dxfId="992" priority="4" operator="equal">
      <formula>"Chuva"</formula>
    </cfRule>
    <cfRule type="cellIs" dxfId="991" priority="5" operator="equal">
      <formula>"Elétrico"</formula>
    </cfRule>
    <cfRule type="cellIs" dxfId="990" priority="6" operator="equal">
      <formula>"Mecânico"</formula>
    </cfRule>
    <cfRule type="cellIs" dxfId="989" priority="7" operator="equal">
      <formula>"Ok"</formula>
    </cfRule>
  </conditionalFormatting>
  <conditionalFormatting sqref="F5:F60">
    <cfRule type="cellIs" dxfId="988" priority="2" operator="equal">
      <formula>"Feito"</formula>
    </cfRule>
  </conditionalFormatting>
  <dataValidations count="1">
    <dataValidation type="list" allowBlank="1" showInputMessage="1" showErrorMessage="1" sqref="B61:I62 B5:I26 B27:J60 B63:H95" xr:uid="{5194D348-D118-48E4-8C1B-D2F0EB2488EF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3153E-91C5-41C8-90C6-8C01BE1E0E63}">
  <dimension ref="A1:M95"/>
  <sheetViews>
    <sheetView zoomScale="130" zoomScaleNormal="13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3" max="13" width="11.28515625" bestFit="1" customWidth="1"/>
    <col min="17" max="17" width="8.5703125" customWidth="1"/>
  </cols>
  <sheetData>
    <row r="1" spans="1:13" x14ac:dyDescent="0.25">
      <c r="A1" s="70" t="s">
        <v>23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4" t="s">
        <v>16</v>
      </c>
      <c r="B3" s="23">
        <v>44683</v>
      </c>
      <c r="C3" s="23">
        <f>B3+1</f>
        <v>44684</v>
      </c>
      <c r="D3" s="23">
        <f t="shared" ref="D3:H3" si="0">C3+1</f>
        <v>44685</v>
      </c>
      <c r="E3" s="23">
        <f t="shared" si="0"/>
        <v>44686</v>
      </c>
      <c r="F3" s="23">
        <f t="shared" si="0"/>
        <v>44687</v>
      </c>
      <c r="G3" s="23">
        <f t="shared" si="0"/>
        <v>44688</v>
      </c>
      <c r="H3" s="25">
        <f t="shared" si="0"/>
        <v>44689</v>
      </c>
      <c r="I3" s="3"/>
    </row>
    <row r="4" spans="1:13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</row>
    <row r="5" spans="1:13" x14ac:dyDescent="0.25">
      <c r="A5" s="4">
        <v>1</v>
      </c>
      <c r="B5" s="38" t="s">
        <v>2</v>
      </c>
      <c r="C5" s="38"/>
      <c r="D5" s="38" t="s">
        <v>7</v>
      </c>
      <c r="E5" s="38"/>
      <c r="F5" s="38" t="s">
        <v>5</v>
      </c>
      <c r="G5" s="38"/>
      <c r="H5" s="38" t="s">
        <v>2</v>
      </c>
      <c r="J5" s="48" t="s">
        <v>2</v>
      </c>
      <c r="K5">
        <f>COUNTIF($B$5:$H$95,J5)</f>
        <v>215</v>
      </c>
      <c r="L5" s="34">
        <f t="shared" ref="L5:L10" si="2">K5/$K$11</f>
        <v>0.85317460317460314</v>
      </c>
      <c r="M5" s="52">
        <v>44683</v>
      </c>
    </row>
    <row r="6" spans="1:13" x14ac:dyDescent="0.25">
      <c r="A6" s="4">
        <v>2</v>
      </c>
      <c r="B6" s="38" t="s">
        <v>7</v>
      </c>
      <c r="C6" s="38"/>
      <c r="D6" s="38" t="s">
        <v>7</v>
      </c>
      <c r="E6" s="38" t="s">
        <v>2</v>
      </c>
      <c r="F6" s="38"/>
      <c r="G6" s="38" t="s">
        <v>2</v>
      </c>
      <c r="H6" s="38" t="s">
        <v>2</v>
      </c>
      <c r="J6" s="42" t="s">
        <v>5</v>
      </c>
      <c r="K6">
        <f>COUNTIF($B$5:$H$95,J6)</f>
        <v>17</v>
      </c>
      <c r="L6" s="35">
        <f t="shared" si="2"/>
        <v>6.7460317460317457E-2</v>
      </c>
    </row>
    <row r="7" spans="1:13" x14ac:dyDescent="0.25">
      <c r="A7" s="4">
        <v>3</v>
      </c>
      <c r="B7" s="38" t="s">
        <v>7</v>
      </c>
      <c r="C7" s="38" t="s">
        <v>2</v>
      </c>
      <c r="D7" s="38" t="s">
        <v>7</v>
      </c>
      <c r="E7" s="38"/>
      <c r="F7" s="38" t="s">
        <v>5</v>
      </c>
      <c r="G7" s="38"/>
      <c r="H7" s="38"/>
      <c r="J7" s="46" t="s">
        <v>6</v>
      </c>
      <c r="K7">
        <f t="shared" ref="K7:K10" si="3">COUNTIF($B$5:$H$95,J7)</f>
        <v>3</v>
      </c>
      <c r="L7" s="35">
        <f t="shared" si="2"/>
        <v>1.1904761904761904E-2</v>
      </c>
    </row>
    <row r="8" spans="1:13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/>
      <c r="G8" s="38" t="s">
        <v>2</v>
      </c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</row>
    <row r="9" spans="1:13" x14ac:dyDescent="0.25">
      <c r="A9" s="4">
        <v>5</v>
      </c>
      <c r="B9" s="38" t="s">
        <v>2</v>
      </c>
      <c r="C9" s="38"/>
      <c r="D9" s="38" t="s">
        <v>2</v>
      </c>
      <c r="E9" s="38" t="s">
        <v>2</v>
      </c>
      <c r="F9" s="38"/>
      <c r="G9" s="38" t="s">
        <v>2</v>
      </c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3" x14ac:dyDescent="0.25">
      <c r="A10" s="4">
        <v>6</v>
      </c>
      <c r="B10" s="38"/>
      <c r="C10" s="38"/>
      <c r="D10" s="38" t="s">
        <v>2</v>
      </c>
      <c r="E10" s="38"/>
      <c r="F10" s="38"/>
      <c r="G10" s="38" t="s">
        <v>5</v>
      </c>
      <c r="H10" s="38"/>
      <c r="J10" s="43" t="s">
        <v>7</v>
      </c>
      <c r="K10">
        <f t="shared" si="3"/>
        <v>17</v>
      </c>
      <c r="L10" s="37">
        <f t="shared" si="2"/>
        <v>6.7460317460317457E-2</v>
      </c>
    </row>
    <row r="11" spans="1:13" x14ac:dyDescent="0.25">
      <c r="A11" s="4">
        <v>7</v>
      </c>
      <c r="B11" s="38" t="s">
        <v>2</v>
      </c>
      <c r="C11" s="38" t="s">
        <v>2</v>
      </c>
      <c r="D11" s="38" t="s">
        <v>2</v>
      </c>
      <c r="E11" s="38"/>
      <c r="F11" s="38" t="s">
        <v>5</v>
      </c>
      <c r="G11" s="38"/>
      <c r="H11" s="38" t="s">
        <v>2</v>
      </c>
      <c r="J11" s="44" t="s">
        <v>17</v>
      </c>
      <c r="K11">
        <f>SUM(K5:K10)</f>
        <v>252</v>
      </c>
    </row>
    <row r="12" spans="1:13" x14ac:dyDescent="0.25">
      <c r="A12" s="4">
        <v>8</v>
      </c>
      <c r="B12" s="38"/>
      <c r="C12" s="38" t="s">
        <v>2</v>
      </c>
      <c r="D12" s="38"/>
      <c r="E12" s="38" t="s">
        <v>2</v>
      </c>
      <c r="F12" s="38"/>
      <c r="G12" s="38" t="s">
        <v>2</v>
      </c>
      <c r="H12" s="38"/>
    </row>
    <row r="13" spans="1:13" x14ac:dyDescent="0.25">
      <c r="A13" s="4">
        <v>9</v>
      </c>
      <c r="B13" s="38" t="s">
        <v>7</v>
      </c>
      <c r="C13" s="38" t="s">
        <v>2</v>
      </c>
      <c r="D13" s="38" t="s">
        <v>2</v>
      </c>
      <c r="E13" s="38"/>
      <c r="F13" s="38" t="s">
        <v>2</v>
      </c>
      <c r="G13" s="38" t="s">
        <v>2</v>
      </c>
      <c r="H13" s="38" t="s">
        <v>2</v>
      </c>
    </row>
    <row r="14" spans="1:13" x14ac:dyDescent="0.25">
      <c r="A14" s="4">
        <v>10</v>
      </c>
      <c r="B14" s="38"/>
      <c r="C14" s="38"/>
      <c r="D14" s="38"/>
      <c r="E14" s="38" t="s">
        <v>2</v>
      </c>
      <c r="F14" s="38"/>
      <c r="G14" s="38"/>
      <c r="H14" s="38" t="s">
        <v>2</v>
      </c>
    </row>
    <row r="15" spans="1:13" x14ac:dyDescent="0.25">
      <c r="A15" s="4">
        <v>11</v>
      </c>
      <c r="B15" s="38"/>
      <c r="C15" s="38"/>
      <c r="D15" s="38" t="s">
        <v>2</v>
      </c>
      <c r="E15" s="38"/>
      <c r="F15" s="38"/>
      <c r="G15" s="38"/>
      <c r="H15" s="38"/>
    </row>
    <row r="16" spans="1:13" x14ac:dyDescent="0.25">
      <c r="A16" s="4">
        <v>12</v>
      </c>
      <c r="B16" s="38" t="s">
        <v>2</v>
      </c>
      <c r="C16" s="38"/>
      <c r="D16" s="38" t="s">
        <v>2</v>
      </c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 t="s">
        <v>2</v>
      </c>
    </row>
    <row r="18" spans="1:8" x14ac:dyDescent="0.25">
      <c r="A18" s="4">
        <v>14</v>
      </c>
      <c r="B18" s="38" t="s">
        <v>5</v>
      </c>
      <c r="C18" s="38" t="s">
        <v>5</v>
      </c>
      <c r="D18" s="38" t="s">
        <v>5</v>
      </c>
      <c r="E18" s="38" t="s">
        <v>2</v>
      </c>
      <c r="F18" s="38"/>
      <c r="G18" s="38"/>
      <c r="H18" s="38"/>
    </row>
    <row r="19" spans="1:8" x14ac:dyDescent="0.25">
      <c r="A19" s="4">
        <v>15</v>
      </c>
      <c r="B19" s="38" t="s">
        <v>2</v>
      </c>
      <c r="C19" s="38"/>
      <c r="D19" s="38" t="s">
        <v>2</v>
      </c>
      <c r="E19" s="38"/>
      <c r="F19" s="38" t="s">
        <v>2</v>
      </c>
      <c r="G19" s="38"/>
      <c r="H19" s="38" t="s">
        <v>2</v>
      </c>
    </row>
    <row r="20" spans="1:8" x14ac:dyDescent="0.25">
      <c r="A20" s="4">
        <v>16</v>
      </c>
      <c r="B20" s="38"/>
      <c r="C20" s="38" t="s">
        <v>2</v>
      </c>
      <c r="D20" s="38"/>
      <c r="E20" s="38" t="s">
        <v>2</v>
      </c>
      <c r="F20" s="38"/>
      <c r="G20" s="38" t="s">
        <v>2</v>
      </c>
      <c r="H20" s="38"/>
    </row>
    <row r="21" spans="1:8" x14ac:dyDescent="0.25">
      <c r="A21" s="4">
        <v>17</v>
      </c>
      <c r="B21" s="38" t="s">
        <v>2</v>
      </c>
      <c r="C21" s="38"/>
      <c r="D21" s="38" t="s">
        <v>2</v>
      </c>
      <c r="E21" s="38"/>
      <c r="F21" s="38" t="s">
        <v>2</v>
      </c>
      <c r="G21" s="38"/>
      <c r="H21" s="38" t="s">
        <v>2</v>
      </c>
    </row>
    <row r="22" spans="1:8" x14ac:dyDescent="0.25">
      <c r="A22" s="4">
        <v>18</v>
      </c>
      <c r="B22" s="38"/>
      <c r="C22" s="38" t="s">
        <v>2</v>
      </c>
      <c r="D22" s="38"/>
      <c r="E22" s="38" t="s">
        <v>2</v>
      </c>
      <c r="F22" s="38"/>
      <c r="G22" s="38" t="s">
        <v>2</v>
      </c>
      <c r="H22" s="38"/>
    </row>
    <row r="23" spans="1:8" x14ac:dyDescent="0.25">
      <c r="A23" s="4">
        <v>19</v>
      </c>
      <c r="B23" s="38"/>
      <c r="C23" s="38" t="s">
        <v>2</v>
      </c>
      <c r="D23" s="38"/>
      <c r="E23" s="38" t="s">
        <v>2</v>
      </c>
      <c r="F23" s="38"/>
      <c r="G23" s="38"/>
      <c r="H23" s="38" t="s">
        <v>2</v>
      </c>
    </row>
    <row r="24" spans="1:8" x14ac:dyDescent="0.25">
      <c r="A24" s="4">
        <v>20</v>
      </c>
      <c r="B24" s="38"/>
      <c r="C24" s="38" t="s">
        <v>2</v>
      </c>
      <c r="D24" s="38"/>
      <c r="E24" s="38" t="s">
        <v>2</v>
      </c>
      <c r="F24" s="38"/>
      <c r="G24" s="38" t="s">
        <v>2</v>
      </c>
      <c r="H24" s="38"/>
    </row>
    <row r="25" spans="1:8" x14ac:dyDescent="0.25">
      <c r="A25" s="4">
        <v>21</v>
      </c>
      <c r="B25" s="38"/>
      <c r="C25" s="38" t="s">
        <v>2</v>
      </c>
      <c r="D25" s="38"/>
      <c r="E25" s="38" t="s">
        <v>6</v>
      </c>
      <c r="F25" s="38"/>
      <c r="G25" s="38" t="s">
        <v>6</v>
      </c>
      <c r="H25" s="38"/>
    </row>
    <row r="26" spans="1:8" x14ac:dyDescent="0.25">
      <c r="A26" s="4">
        <v>22</v>
      </c>
      <c r="B26" s="38" t="s">
        <v>2</v>
      </c>
      <c r="C26" s="38"/>
      <c r="D26" s="38" t="s">
        <v>2</v>
      </c>
      <c r="E26" s="38"/>
      <c r="F26" s="38" t="s">
        <v>5</v>
      </c>
      <c r="G26" s="38"/>
      <c r="H26" s="38"/>
    </row>
    <row r="27" spans="1:8" x14ac:dyDescent="0.25">
      <c r="A27" s="4">
        <v>23</v>
      </c>
      <c r="B27" s="38" t="s">
        <v>5</v>
      </c>
      <c r="C27" s="38"/>
      <c r="D27" s="38"/>
      <c r="E27" s="38"/>
      <c r="F27" s="38" t="s">
        <v>2</v>
      </c>
      <c r="G27" s="38"/>
      <c r="H27" s="38"/>
    </row>
    <row r="28" spans="1:8" x14ac:dyDescent="0.25">
      <c r="A28" s="4">
        <v>24</v>
      </c>
      <c r="B28" s="38" t="s">
        <v>5</v>
      </c>
      <c r="C28" s="38"/>
      <c r="D28" s="38"/>
      <c r="E28" s="38"/>
      <c r="F28" s="38"/>
      <c r="G28" s="38" t="s">
        <v>2</v>
      </c>
      <c r="H28" s="38"/>
    </row>
    <row r="29" spans="1:8" x14ac:dyDescent="0.25">
      <c r="A29" s="4">
        <v>25</v>
      </c>
      <c r="B29" s="38" t="s">
        <v>2</v>
      </c>
      <c r="C29" s="38" t="s">
        <v>2</v>
      </c>
      <c r="D29" s="38"/>
      <c r="E29" s="38" t="s">
        <v>2</v>
      </c>
      <c r="F29" s="38"/>
      <c r="G29" s="38" t="s">
        <v>2</v>
      </c>
      <c r="H29" s="38" t="s">
        <v>2</v>
      </c>
    </row>
    <row r="30" spans="1:8" x14ac:dyDescent="0.25">
      <c r="A30" s="4">
        <v>26</v>
      </c>
      <c r="B30" s="38" t="s">
        <v>2</v>
      </c>
      <c r="C30" s="38"/>
      <c r="D30" s="38" t="s">
        <v>2</v>
      </c>
      <c r="E30" s="38"/>
      <c r="F30" s="38" t="s">
        <v>2</v>
      </c>
      <c r="G30" s="38"/>
      <c r="H30" s="38"/>
    </row>
    <row r="31" spans="1:8" x14ac:dyDescent="0.25">
      <c r="A31" s="4">
        <v>27</v>
      </c>
      <c r="B31" s="38"/>
      <c r="C31" s="38"/>
      <c r="D31" s="38" t="s">
        <v>2</v>
      </c>
      <c r="E31" s="38"/>
      <c r="F31" s="38" t="s">
        <v>2</v>
      </c>
      <c r="G31" s="38"/>
      <c r="H31" s="38"/>
    </row>
    <row r="32" spans="1:8" x14ac:dyDescent="0.25">
      <c r="A32" s="4">
        <v>28</v>
      </c>
      <c r="B32" s="38" t="s">
        <v>2</v>
      </c>
      <c r="C32" s="38"/>
      <c r="D32" s="38" t="s">
        <v>5</v>
      </c>
      <c r="E32" s="38"/>
      <c r="F32" s="38" t="s">
        <v>7</v>
      </c>
      <c r="G32" s="38"/>
      <c r="H32" s="38"/>
    </row>
    <row r="33" spans="1:8" x14ac:dyDescent="0.25">
      <c r="A33" s="4">
        <v>29</v>
      </c>
      <c r="B33" s="38"/>
      <c r="C33" s="38" t="s">
        <v>2</v>
      </c>
      <c r="D33" s="38"/>
      <c r="E33" s="38" t="s">
        <v>2</v>
      </c>
      <c r="F33" s="38"/>
      <c r="G33" s="38" t="s">
        <v>2</v>
      </c>
      <c r="H33" s="38" t="s">
        <v>2</v>
      </c>
    </row>
    <row r="34" spans="1:8" x14ac:dyDescent="0.25">
      <c r="A34" s="4">
        <v>30</v>
      </c>
      <c r="B34" s="38"/>
      <c r="C34" s="38" t="s">
        <v>2</v>
      </c>
      <c r="D34" s="38"/>
      <c r="E34" s="38" t="s">
        <v>7</v>
      </c>
      <c r="F34" s="38"/>
      <c r="G34" s="38"/>
      <c r="H34" s="38"/>
    </row>
    <row r="35" spans="1:8" x14ac:dyDescent="0.25">
      <c r="A35" s="4">
        <v>31</v>
      </c>
      <c r="B35" s="38"/>
      <c r="C35" s="38" t="s">
        <v>2</v>
      </c>
      <c r="D35" s="38"/>
      <c r="E35" s="38" t="s">
        <v>7</v>
      </c>
      <c r="F35" s="38"/>
      <c r="G35" s="38" t="s">
        <v>2</v>
      </c>
      <c r="H35" s="38"/>
    </row>
    <row r="36" spans="1:8" x14ac:dyDescent="0.25">
      <c r="A36" s="4">
        <v>32</v>
      </c>
      <c r="B36" s="38" t="s">
        <v>5</v>
      </c>
      <c r="C36" s="38"/>
      <c r="D36" s="38" t="s">
        <v>2</v>
      </c>
      <c r="E36" s="38"/>
      <c r="F36" s="38" t="s">
        <v>7</v>
      </c>
      <c r="G36" s="38"/>
      <c r="H36" s="38" t="s">
        <v>2</v>
      </c>
    </row>
    <row r="37" spans="1:8" x14ac:dyDescent="0.25">
      <c r="A37" s="4">
        <v>33</v>
      </c>
      <c r="B37" s="38" t="s">
        <v>2</v>
      </c>
      <c r="C37" s="38"/>
      <c r="D37" s="38" t="s">
        <v>2</v>
      </c>
      <c r="E37" s="38"/>
      <c r="F37" s="38" t="s">
        <v>7</v>
      </c>
      <c r="G37" s="38"/>
      <c r="H37" s="38" t="s">
        <v>2</v>
      </c>
    </row>
    <row r="38" spans="1:8" x14ac:dyDescent="0.25">
      <c r="A38" s="4">
        <v>34</v>
      </c>
      <c r="B38" s="38"/>
      <c r="C38" s="38" t="s">
        <v>7</v>
      </c>
      <c r="D38" s="38"/>
      <c r="E38" s="38" t="s">
        <v>7</v>
      </c>
      <c r="F38" s="38"/>
      <c r="G38" s="38" t="s">
        <v>2</v>
      </c>
      <c r="H38" s="38"/>
    </row>
    <row r="39" spans="1:8" x14ac:dyDescent="0.25">
      <c r="A39" s="4">
        <v>35</v>
      </c>
      <c r="B39" s="38"/>
      <c r="C39" s="38" t="s">
        <v>2</v>
      </c>
      <c r="D39" s="38"/>
      <c r="E39" s="38" t="s">
        <v>2</v>
      </c>
      <c r="F39" s="38"/>
      <c r="G39" s="38" t="s">
        <v>2</v>
      </c>
      <c r="H39" s="38"/>
    </row>
    <row r="40" spans="1:8" x14ac:dyDescent="0.25">
      <c r="A40" s="4">
        <v>36</v>
      </c>
      <c r="B40" s="38" t="s">
        <v>7</v>
      </c>
      <c r="C40" s="38"/>
      <c r="D40" s="38" t="s">
        <v>2</v>
      </c>
      <c r="E40" s="38"/>
      <c r="F40" s="38" t="s">
        <v>2</v>
      </c>
      <c r="G40" s="38"/>
      <c r="H40" s="38" t="s">
        <v>2</v>
      </c>
    </row>
    <row r="41" spans="1:8" x14ac:dyDescent="0.25">
      <c r="A41" s="4">
        <v>37</v>
      </c>
      <c r="B41" s="38"/>
      <c r="C41" s="38" t="s">
        <v>5</v>
      </c>
      <c r="D41" s="38"/>
      <c r="E41" s="38" t="s">
        <v>2</v>
      </c>
      <c r="F41" s="38" t="s">
        <v>2</v>
      </c>
      <c r="G41" s="38" t="s">
        <v>2</v>
      </c>
      <c r="H41" s="38"/>
    </row>
    <row r="42" spans="1:8" x14ac:dyDescent="0.25">
      <c r="A42" s="4">
        <v>38</v>
      </c>
      <c r="B42" s="38" t="s">
        <v>2</v>
      </c>
      <c r="C42" s="38"/>
      <c r="D42" s="38" t="s">
        <v>2</v>
      </c>
      <c r="E42" s="38"/>
      <c r="F42" s="38" t="s">
        <v>2</v>
      </c>
      <c r="G42" s="38"/>
      <c r="H42" s="38" t="s">
        <v>2</v>
      </c>
    </row>
    <row r="43" spans="1:8" x14ac:dyDescent="0.25">
      <c r="A43" s="4">
        <v>39</v>
      </c>
      <c r="B43" s="38"/>
      <c r="C43" s="38" t="s">
        <v>2</v>
      </c>
      <c r="D43" s="38"/>
      <c r="E43" s="38" t="s">
        <v>2</v>
      </c>
      <c r="F43" s="38"/>
      <c r="G43" s="38" t="s">
        <v>2</v>
      </c>
      <c r="H43" s="38"/>
    </row>
    <row r="44" spans="1:8" x14ac:dyDescent="0.25">
      <c r="A44" s="4">
        <v>40</v>
      </c>
      <c r="B44" s="38" t="s">
        <v>2</v>
      </c>
      <c r="C44" s="38"/>
      <c r="D44" s="38" t="s">
        <v>2</v>
      </c>
      <c r="E44" s="38"/>
      <c r="F44" s="38" t="s">
        <v>2</v>
      </c>
      <c r="G44" s="38"/>
      <c r="H44" s="38" t="s">
        <v>2</v>
      </c>
    </row>
    <row r="45" spans="1:8" x14ac:dyDescent="0.25">
      <c r="A45" s="4">
        <v>41</v>
      </c>
      <c r="B45" s="38"/>
      <c r="C45" s="38" t="s">
        <v>2</v>
      </c>
      <c r="D45" s="38"/>
      <c r="E45" s="38" t="s">
        <v>2</v>
      </c>
      <c r="F45" s="38"/>
      <c r="G45" s="38" t="s">
        <v>2</v>
      </c>
      <c r="H45" s="38"/>
    </row>
    <row r="46" spans="1:8" x14ac:dyDescent="0.25">
      <c r="A46" s="4">
        <v>42</v>
      </c>
      <c r="B46" s="38"/>
      <c r="C46" s="38" t="s">
        <v>2</v>
      </c>
      <c r="D46" s="38"/>
      <c r="E46" s="38" t="s">
        <v>2</v>
      </c>
      <c r="F46" s="38"/>
      <c r="G46" s="38" t="s">
        <v>2</v>
      </c>
      <c r="H46" s="38"/>
    </row>
    <row r="47" spans="1:8" x14ac:dyDescent="0.25">
      <c r="A47" s="4">
        <v>43</v>
      </c>
      <c r="B47" s="38"/>
      <c r="C47" s="38"/>
      <c r="D47" s="38"/>
      <c r="E47" s="38"/>
      <c r="F47" s="38" t="s">
        <v>2</v>
      </c>
      <c r="G47" s="38"/>
      <c r="H47" s="38" t="s">
        <v>2</v>
      </c>
    </row>
    <row r="48" spans="1:8" x14ac:dyDescent="0.25">
      <c r="A48" s="4">
        <v>44</v>
      </c>
      <c r="B48" s="38"/>
      <c r="C48" s="38"/>
      <c r="D48" s="38"/>
      <c r="E48" s="38" t="s">
        <v>2</v>
      </c>
      <c r="F48" s="38"/>
      <c r="G48" s="38"/>
      <c r="H48" s="38" t="s">
        <v>2</v>
      </c>
    </row>
    <row r="49" spans="1:8" x14ac:dyDescent="0.25">
      <c r="A49" s="4">
        <v>45</v>
      </c>
      <c r="B49" s="38" t="s">
        <v>2</v>
      </c>
      <c r="C49" s="38" t="s">
        <v>2</v>
      </c>
      <c r="D49" s="38" t="s">
        <v>2</v>
      </c>
      <c r="E49" s="38" t="s">
        <v>2</v>
      </c>
      <c r="F49" s="38" t="s">
        <v>5</v>
      </c>
      <c r="G49" s="38" t="s">
        <v>5</v>
      </c>
      <c r="H49" s="38"/>
    </row>
    <row r="50" spans="1:8" x14ac:dyDescent="0.25">
      <c r="A50" s="4">
        <v>46</v>
      </c>
      <c r="B50" s="38" t="s">
        <v>2</v>
      </c>
      <c r="C50" s="38" t="s">
        <v>2</v>
      </c>
      <c r="D50" s="38"/>
      <c r="E50" s="38"/>
      <c r="F50" s="38"/>
      <c r="G50" s="38"/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 t="s">
        <v>6</v>
      </c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7</v>
      </c>
      <c r="D54" s="38" t="s">
        <v>7</v>
      </c>
      <c r="E54" s="38" t="s">
        <v>7</v>
      </c>
      <c r="F54" s="38" t="s">
        <v>2</v>
      </c>
      <c r="G54" s="38"/>
      <c r="H54" s="38" t="s">
        <v>2</v>
      </c>
    </row>
    <row r="55" spans="1:8" x14ac:dyDescent="0.25">
      <c r="A55" s="4">
        <v>51</v>
      </c>
      <c r="B55" s="38"/>
      <c r="C55" s="38"/>
      <c r="D55" s="38"/>
      <c r="E55" s="38" t="s">
        <v>2</v>
      </c>
      <c r="F55" s="38"/>
      <c r="G55" s="38"/>
      <c r="H55" s="38"/>
    </row>
    <row r="56" spans="1:8" x14ac:dyDescent="0.25">
      <c r="A56" s="4">
        <v>52</v>
      </c>
      <c r="B56" s="38" t="s">
        <v>2</v>
      </c>
      <c r="C56" s="38"/>
      <c r="D56" s="38" t="s">
        <v>2</v>
      </c>
      <c r="E56" s="38"/>
      <c r="F56" s="38" t="s">
        <v>2</v>
      </c>
      <c r="G56" s="38"/>
      <c r="H56" s="38" t="s">
        <v>2</v>
      </c>
    </row>
    <row r="57" spans="1:8" x14ac:dyDescent="0.25">
      <c r="A57" s="4">
        <v>53</v>
      </c>
      <c r="B57" s="38"/>
      <c r="C57" s="38" t="s">
        <v>2</v>
      </c>
      <c r="D57" s="38"/>
      <c r="E57" s="38"/>
      <c r="F57" s="38" t="s">
        <v>2</v>
      </c>
      <c r="G57" s="38"/>
      <c r="H57" s="38" t="s">
        <v>2</v>
      </c>
    </row>
    <row r="58" spans="1:8" x14ac:dyDescent="0.25">
      <c r="A58" s="4">
        <v>54</v>
      </c>
      <c r="B58" s="38"/>
      <c r="C58" s="38" t="s">
        <v>2</v>
      </c>
      <c r="D58" s="38"/>
      <c r="E58" s="38"/>
      <c r="F58" s="38" t="s">
        <v>2</v>
      </c>
      <c r="G58" s="38"/>
      <c r="H58" s="38" t="s">
        <v>2</v>
      </c>
    </row>
    <row r="59" spans="1:8" x14ac:dyDescent="0.25">
      <c r="A59" s="4">
        <v>55</v>
      </c>
      <c r="B59" s="38"/>
      <c r="C59" s="38"/>
      <c r="D59" s="38" t="s">
        <v>2</v>
      </c>
      <c r="E59" s="38"/>
      <c r="F59" s="38" t="s">
        <v>2</v>
      </c>
      <c r="G59" s="38"/>
      <c r="H59" s="38"/>
    </row>
    <row r="60" spans="1:8" x14ac:dyDescent="0.25">
      <c r="A60" s="4">
        <v>56</v>
      </c>
      <c r="B60" s="38"/>
      <c r="C60" s="38"/>
      <c r="D60" s="38" t="s">
        <v>2</v>
      </c>
      <c r="E60" s="38"/>
      <c r="F60" s="38"/>
      <c r="G60" s="38" t="s">
        <v>2</v>
      </c>
      <c r="H60" s="38"/>
    </row>
    <row r="61" spans="1:8" x14ac:dyDescent="0.25">
      <c r="A61" s="18">
        <v>73</v>
      </c>
      <c r="B61" s="38"/>
      <c r="C61" s="38"/>
      <c r="D61" s="38"/>
      <c r="E61" s="38" t="s">
        <v>2</v>
      </c>
      <c r="F61" s="38" t="s">
        <v>2</v>
      </c>
      <c r="G61" s="38" t="s">
        <v>2</v>
      </c>
      <c r="H61" s="38" t="s">
        <v>2</v>
      </c>
    </row>
    <row r="62" spans="1:8" x14ac:dyDescent="0.25">
      <c r="A62" s="18">
        <v>74</v>
      </c>
      <c r="B62" s="38"/>
      <c r="C62" s="38"/>
      <c r="D62" s="38"/>
      <c r="E62" s="38"/>
      <c r="F62" s="38"/>
      <c r="G62" s="38" t="s">
        <v>2</v>
      </c>
      <c r="H62" s="38"/>
    </row>
    <row r="63" spans="1:8" x14ac:dyDescent="0.25">
      <c r="A63" s="18">
        <v>101</v>
      </c>
      <c r="B63" s="39" t="s">
        <v>2</v>
      </c>
      <c r="C63" s="38"/>
      <c r="D63" s="38" t="s">
        <v>2</v>
      </c>
      <c r="E63" s="38" t="s">
        <v>2</v>
      </c>
      <c r="F63" s="38"/>
      <c r="G63" s="38" t="s">
        <v>2</v>
      </c>
      <c r="H63" s="38"/>
    </row>
    <row r="64" spans="1:8" x14ac:dyDescent="0.25">
      <c r="A64" s="18">
        <v>102</v>
      </c>
      <c r="B64" s="38" t="s">
        <v>2</v>
      </c>
      <c r="C64" s="38" t="s">
        <v>2</v>
      </c>
      <c r="D64" s="38"/>
      <c r="E64" s="38" t="s">
        <v>2</v>
      </c>
      <c r="F64" s="38" t="s">
        <v>2</v>
      </c>
      <c r="G64" s="38"/>
      <c r="H64" s="38"/>
    </row>
    <row r="65" spans="1:8" x14ac:dyDescent="0.25">
      <c r="A65" s="18">
        <v>103</v>
      </c>
      <c r="B65" s="38" t="s">
        <v>2</v>
      </c>
      <c r="C65" s="38"/>
      <c r="D65" s="38" t="s">
        <v>2</v>
      </c>
      <c r="E65" s="38" t="s">
        <v>2</v>
      </c>
      <c r="F65" s="38"/>
      <c r="G65" s="38" t="s">
        <v>5</v>
      </c>
      <c r="H65" s="38" t="s">
        <v>5</v>
      </c>
    </row>
    <row r="66" spans="1:8" x14ac:dyDescent="0.25">
      <c r="A66" s="18">
        <v>104</v>
      </c>
      <c r="B66" s="38" t="s">
        <v>2</v>
      </c>
      <c r="C66" s="38" t="s">
        <v>2</v>
      </c>
      <c r="D66" s="38"/>
      <c r="E66" s="38" t="s">
        <v>2</v>
      </c>
      <c r="F66" s="38" t="s">
        <v>2</v>
      </c>
      <c r="G66" s="38"/>
      <c r="H66" s="38"/>
    </row>
    <row r="67" spans="1:8" x14ac:dyDescent="0.25">
      <c r="A67" s="18">
        <v>105</v>
      </c>
      <c r="B67" s="38" t="s">
        <v>2</v>
      </c>
      <c r="C67" s="38"/>
      <c r="D67" s="38" t="s">
        <v>2</v>
      </c>
      <c r="E67" s="38" t="s">
        <v>2</v>
      </c>
      <c r="F67" s="38" t="s">
        <v>2</v>
      </c>
      <c r="G67" s="38"/>
      <c r="H67" s="38"/>
    </row>
    <row r="68" spans="1:8" x14ac:dyDescent="0.25">
      <c r="A68" s="18">
        <v>106</v>
      </c>
      <c r="B68" s="38" t="s">
        <v>2</v>
      </c>
      <c r="C68" s="38"/>
      <c r="D68" s="38" t="s">
        <v>2</v>
      </c>
      <c r="E68" s="38" t="s">
        <v>2</v>
      </c>
      <c r="F68" s="38"/>
      <c r="G68" s="38" t="s">
        <v>2</v>
      </c>
      <c r="H68" s="38"/>
    </row>
    <row r="69" spans="1:8" x14ac:dyDescent="0.25">
      <c r="A69" s="18">
        <v>107</v>
      </c>
      <c r="B69" s="38" t="s">
        <v>2</v>
      </c>
      <c r="C69" s="38"/>
      <c r="D69" s="38" t="s">
        <v>2</v>
      </c>
      <c r="E69" s="38" t="s">
        <v>2</v>
      </c>
      <c r="F69" s="38"/>
      <c r="G69" s="38" t="s">
        <v>2</v>
      </c>
      <c r="H69" s="38"/>
    </row>
    <row r="70" spans="1:8" x14ac:dyDescent="0.25">
      <c r="A70" s="18">
        <v>108</v>
      </c>
      <c r="B70" s="38"/>
      <c r="C70" s="38" t="s">
        <v>2</v>
      </c>
      <c r="D70" s="38" t="s">
        <v>2</v>
      </c>
      <c r="E70" s="38"/>
      <c r="F70" s="38" t="s">
        <v>2</v>
      </c>
      <c r="G70" s="38" t="s">
        <v>2</v>
      </c>
      <c r="H70" s="38"/>
    </row>
    <row r="71" spans="1:8" x14ac:dyDescent="0.25">
      <c r="A71" s="18">
        <v>109</v>
      </c>
      <c r="B71" s="38"/>
      <c r="C71" s="38" t="s">
        <v>2</v>
      </c>
      <c r="D71" s="38" t="s">
        <v>2</v>
      </c>
      <c r="E71" s="38"/>
      <c r="F71" s="38" t="s">
        <v>2</v>
      </c>
      <c r="G71" s="38" t="s">
        <v>2</v>
      </c>
      <c r="H71" s="38"/>
    </row>
    <row r="72" spans="1:8" x14ac:dyDescent="0.25">
      <c r="A72" s="18">
        <v>110</v>
      </c>
      <c r="B72" s="38" t="s">
        <v>2</v>
      </c>
      <c r="C72" s="38" t="s">
        <v>2</v>
      </c>
      <c r="D72" s="38"/>
      <c r="E72" s="38" t="s">
        <v>2</v>
      </c>
      <c r="F72" s="38" t="s">
        <v>2</v>
      </c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 t="s">
        <v>2</v>
      </c>
      <c r="D74" s="38" t="s">
        <v>2</v>
      </c>
      <c r="E74" s="38"/>
      <c r="F74" s="38" t="s">
        <v>2</v>
      </c>
      <c r="G74" s="38" t="s">
        <v>2</v>
      </c>
      <c r="H74" s="38"/>
    </row>
    <row r="75" spans="1:8" x14ac:dyDescent="0.25">
      <c r="A75" s="18">
        <v>113</v>
      </c>
      <c r="B75" s="38"/>
      <c r="C75" s="38"/>
      <c r="D75" s="38" t="s">
        <v>2</v>
      </c>
      <c r="E75" s="38" t="s">
        <v>2</v>
      </c>
      <c r="F75" s="38" t="s">
        <v>2</v>
      </c>
      <c r="G75" s="38" t="s">
        <v>2</v>
      </c>
      <c r="H75" s="38" t="s">
        <v>2</v>
      </c>
    </row>
    <row r="76" spans="1:8" x14ac:dyDescent="0.25">
      <c r="A76" s="18">
        <v>114</v>
      </c>
      <c r="B76" s="38" t="s">
        <v>2</v>
      </c>
      <c r="C76" s="38"/>
      <c r="D76" s="38"/>
      <c r="E76" s="38" t="s">
        <v>2</v>
      </c>
      <c r="F76" s="38"/>
      <c r="G76" s="38"/>
      <c r="H76" s="38"/>
    </row>
    <row r="77" spans="1:8" x14ac:dyDescent="0.25">
      <c r="A77" s="18">
        <v>115</v>
      </c>
      <c r="B77" s="38"/>
      <c r="C77" s="38" t="s">
        <v>2</v>
      </c>
      <c r="D77" s="38" t="s">
        <v>2</v>
      </c>
      <c r="E77" s="38"/>
      <c r="F77" s="38" t="s">
        <v>2</v>
      </c>
      <c r="G77" s="38" t="s">
        <v>2</v>
      </c>
      <c r="H77" s="38"/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 t="s">
        <v>2</v>
      </c>
      <c r="C79" s="38" t="s">
        <v>2</v>
      </c>
      <c r="D79" s="38"/>
      <c r="E79" s="38" t="s">
        <v>2</v>
      </c>
      <c r="F79" s="38" t="s">
        <v>2</v>
      </c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 t="s">
        <v>2</v>
      </c>
      <c r="D81" s="38" t="s">
        <v>2</v>
      </c>
      <c r="E81" s="38"/>
      <c r="F81" s="38" t="s">
        <v>2</v>
      </c>
      <c r="G81" s="38" t="s">
        <v>2</v>
      </c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 t="s">
        <v>2</v>
      </c>
      <c r="D90" s="38" t="s">
        <v>2</v>
      </c>
      <c r="E90" s="38"/>
      <c r="F90" s="38" t="s">
        <v>2</v>
      </c>
      <c r="G90" s="38" t="s">
        <v>2</v>
      </c>
      <c r="H90" s="38"/>
    </row>
    <row r="91" spans="1:8" x14ac:dyDescent="0.25">
      <c r="A91" s="18">
        <v>129</v>
      </c>
      <c r="B91" s="38" t="s">
        <v>2</v>
      </c>
      <c r="C91" s="38"/>
      <c r="D91" s="38"/>
      <c r="E91" s="38" t="s">
        <v>2</v>
      </c>
      <c r="F91" s="38"/>
      <c r="G91" s="38"/>
      <c r="H91" s="38"/>
    </row>
    <row r="92" spans="1:8" x14ac:dyDescent="0.25">
      <c r="A92" s="18">
        <v>130</v>
      </c>
      <c r="B92" s="38" t="s">
        <v>2</v>
      </c>
      <c r="C92" s="38" t="s">
        <v>2</v>
      </c>
      <c r="D92" s="38"/>
      <c r="E92" s="38" t="s">
        <v>2</v>
      </c>
      <c r="F92" s="38" t="s">
        <v>2</v>
      </c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987" priority="18" operator="equal">
      <formula>"Energia"</formula>
    </cfRule>
    <cfRule type="cellIs" dxfId="986" priority="20" operator="equal">
      <formula>"Operação"</formula>
    </cfRule>
    <cfRule type="cellIs" dxfId="985" priority="21" operator="equal">
      <formula>"Chuva"</formula>
    </cfRule>
    <cfRule type="cellIs" dxfId="984" priority="22" operator="equal">
      <formula>"Elétrico"</formula>
    </cfRule>
    <cfRule type="cellIs" dxfId="983" priority="23" operator="equal">
      <formula>"Mecânico"</formula>
    </cfRule>
    <cfRule type="cellIs" dxfId="982" priority="24" operator="equal">
      <formula>"Ok"</formula>
    </cfRule>
  </conditionalFormatting>
  <conditionalFormatting sqref="B61:I62 I5:I60 B63:H95">
    <cfRule type="cellIs" dxfId="981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980" priority="16" operator="equal">
      <formula>"Energia"</formula>
    </cfRule>
  </conditionalFormatting>
  <conditionalFormatting sqref="B5:E60 G5:H60">
    <cfRule type="cellIs" dxfId="979" priority="9" operator="equal">
      <formula>"Energia"</formula>
    </cfRule>
    <cfRule type="cellIs" dxfId="978" priority="11" operator="equal">
      <formula>"Operação"</formula>
    </cfRule>
    <cfRule type="cellIs" dxfId="977" priority="12" operator="equal">
      <formula>"Chuva"</formula>
    </cfRule>
    <cfRule type="cellIs" dxfId="976" priority="13" operator="equal">
      <formula>"Elétrico"</formula>
    </cfRule>
    <cfRule type="cellIs" dxfId="975" priority="14" operator="equal">
      <formula>"Mecânico"</formula>
    </cfRule>
    <cfRule type="cellIs" dxfId="974" priority="15" operator="equal">
      <formula>"Ok"</formula>
    </cfRule>
  </conditionalFormatting>
  <conditionalFormatting sqref="B5:E60 G5:H60">
    <cfRule type="cellIs" dxfId="973" priority="10" operator="equal">
      <formula>"Feito"</formula>
    </cfRule>
  </conditionalFormatting>
  <conditionalFormatting sqref="F5:F11">
    <cfRule type="cellIs" dxfId="972" priority="8" operator="equal">
      <formula>"Energia"</formula>
    </cfRule>
  </conditionalFormatting>
  <conditionalFormatting sqref="F5:F60">
    <cfRule type="cellIs" dxfId="971" priority="1" operator="equal">
      <formula>"Energia"</formula>
    </cfRule>
    <cfRule type="cellIs" dxfId="970" priority="3" operator="equal">
      <formula>"Operação"</formula>
    </cfRule>
    <cfRule type="cellIs" dxfId="969" priority="4" operator="equal">
      <formula>"Chuva"</formula>
    </cfRule>
    <cfRule type="cellIs" dxfId="968" priority="5" operator="equal">
      <formula>"Elétrico"</formula>
    </cfRule>
    <cfRule type="cellIs" dxfId="967" priority="6" operator="equal">
      <formula>"Mecânico"</formula>
    </cfRule>
    <cfRule type="cellIs" dxfId="966" priority="7" operator="equal">
      <formula>"Ok"</formula>
    </cfRule>
  </conditionalFormatting>
  <conditionalFormatting sqref="F5:F60">
    <cfRule type="cellIs" dxfId="965" priority="2" operator="equal">
      <formula>"Feito"</formula>
    </cfRule>
  </conditionalFormatting>
  <dataValidations count="1">
    <dataValidation type="list" allowBlank="1" showInputMessage="1" showErrorMessage="1" sqref="B61:I62 B5:I26 B27:J60 B63:H95" xr:uid="{76EDEA77-54BD-4BE1-9DB8-B22CB00666FE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5CAB-6923-4CF3-9F32-11EF48D7FD5C}">
  <dimension ref="A1:M95"/>
  <sheetViews>
    <sheetView zoomScale="115" zoomScaleNormal="115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3" max="13" width="11.85546875" bestFit="1" customWidth="1"/>
    <col min="17" max="17" width="8.5703125" customWidth="1"/>
  </cols>
  <sheetData>
    <row r="1" spans="1:13" x14ac:dyDescent="0.25">
      <c r="A1" s="70" t="s">
        <v>24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4" t="s">
        <v>16</v>
      </c>
      <c r="B3" s="23">
        <v>44690</v>
      </c>
      <c r="C3" s="23">
        <f>B3+1</f>
        <v>44691</v>
      </c>
      <c r="D3" s="23">
        <f t="shared" ref="D3:H3" si="0">C3+1</f>
        <v>44692</v>
      </c>
      <c r="E3" s="23">
        <f t="shared" si="0"/>
        <v>44693</v>
      </c>
      <c r="F3" s="23">
        <f t="shared" si="0"/>
        <v>44694</v>
      </c>
      <c r="G3" s="23">
        <f t="shared" si="0"/>
        <v>44695</v>
      </c>
      <c r="H3" s="25">
        <f t="shared" si="0"/>
        <v>44696</v>
      </c>
      <c r="I3" s="3"/>
    </row>
    <row r="4" spans="1:13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</row>
    <row r="5" spans="1:13" x14ac:dyDescent="0.25">
      <c r="A5" s="4">
        <v>1</v>
      </c>
      <c r="B5" s="38"/>
      <c r="C5" s="38" t="s">
        <v>7</v>
      </c>
      <c r="D5" s="38"/>
      <c r="E5" s="38"/>
      <c r="F5" s="38" t="s">
        <v>5</v>
      </c>
      <c r="G5" s="38"/>
      <c r="H5" s="38"/>
      <c r="J5" s="48" t="s">
        <v>2</v>
      </c>
      <c r="K5">
        <f>COUNTIF($B$5:$H$95,J5)</f>
        <v>227</v>
      </c>
      <c r="L5" s="34">
        <f t="shared" ref="L5:L10" si="2">K5/$K$11</f>
        <v>0.91532258064516125</v>
      </c>
      <c r="M5" s="52">
        <v>44689</v>
      </c>
    </row>
    <row r="6" spans="1:13" x14ac:dyDescent="0.25">
      <c r="A6" s="4">
        <v>2</v>
      </c>
      <c r="B6" s="38"/>
      <c r="C6" s="38" t="s">
        <v>7</v>
      </c>
      <c r="D6" s="38"/>
      <c r="E6" s="38" t="s">
        <v>5</v>
      </c>
      <c r="F6" s="38"/>
      <c r="G6" s="38" t="s">
        <v>2</v>
      </c>
      <c r="H6" s="38"/>
      <c r="J6" s="42" t="s">
        <v>5</v>
      </c>
      <c r="K6">
        <f>COUNTIF($B$5:$H$95,J6)</f>
        <v>7</v>
      </c>
      <c r="L6" s="35">
        <f t="shared" si="2"/>
        <v>2.8225806451612902E-2</v>
      </c>
    </row>
    <row r="7" spans="1:13" x14ac:dyDescent="0.25">
      <c r="A7" s="4">
        <v>3</v>
      </c>
      <c r="B7" s="38"/>
      <c r="C7" s="38" t="s">
        <v>7</v>
      </c>
      <c r="D7" s="38"/>
      <c r="E7" s="38"/>
      <c r="F7" s="38" t="s">
        <v>5</v>
      </c>
      <c r="G7" s="38" t="s">
        <v>2</v>
      </c>
      <c r="H7" s="38"/>
      <c r="J7" s="46" t="s">
        <v>6</v>
      </c>
      <c r="K7">
        <f t="shared" ref="K7:K10" si="3">COUNTIF($B$5:$H$95,J7)</f>
        <v>3</v>
      </c>
      <c r="L7" s="35">
        <f t="shared" si="2"/>
        <v>1.2096774193548387E-2</v>
      </c>
    </row>
    <row r="8" spans="1:13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 t="s">
        <v>2</v>
      </c>
      <c r="G8" s="38" t="s">
        <v>2</v>
      </c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</row>
    <row r="9" spans="1:13" x14ac:dyDescent="0.25">
      <c r="A9" s="4">
        <v>5</v>
      </c>
      <c r="B9" s="38" t="s">
        <v>2</v>
      </c>
      <c r="C9" s="38"/>
      <c r="D9" s="38" t="s">
        <v>2</v>
      </c>
      <c r="E9" s="38"/>
      <c r="F9" s="38" t="s">
        <v>2</v>
      </c>
      <c r="G9" s="38"/>
      <c r="H9" s="38" t="s">
        <v>2</v>
      </c>
      <c r="J9" s="45" t="s">
        <v>3</v>
      </c>
      <c r="K9">
        <f t="shared" si="3"/>
        <v>0</v>
      </c>
      <c r="L9" s="35">
        <f t="shared" si="2"/>
        <v>0</v>
      </c>
    </row>
    <row r="10" spans="1:13" x14ac:dyDescent="0.25">
      <c r="A10" s="4">
        <v>6</v>
      </c>
      <c r="B10" s="38"/>
      <c r="C10" s="38" t="s">
        <v>2</v>
      </c>
      <c r="D10" s="38"/>
      <c r="E10" s="38" t="s">
        <v>2</v>
      </c>
      <c r="F10" s="38"/>
      <c r="G10" s="38"/>
      <c r="H10" s="38" t="s">
        <v>2</v>
      </c>
      <c r="J10" s="43" t="s">
        <v>7</v>
      </c>
      <c r="K10">
        <f t="shared" si="3"/>
        <v>11</v>
      </c>
      <c r="L10" s="37">
        <f t="shared" si="2"/>
        <v>4.4354838709677422E-2</v>
      </c>
    </row>
    <row r="11" spans="1:13" x14ac:dyDescent="0.25">
      <c r="A11" s="4">
        <v>7</v>
      </c>
      <c r="B11" s="38"/>
      <c r="C11" s="38"/>
      <c r="D11" s="38" t="s">
        <v>2</v>
      </c>
      <c r="E11" s="38" t="s">
        <v>2</v>
      </c>
      <c r="F11" s="38" t="s">
        <v>2</v>
      </c>
      <c r="G11" s="38"/>
      <c r="H11" s="38" t="s">
        <v>2</v>
      </c>
      <c r="J11" s="44" t="s">
        <v>17</v>
      </c>
      <c r="K11">
        <f>SUM(K5:K10)</f>
        <v>248</v>
      </c>
    </row>
    <row r="12" spans="1:13" x14ac:dyDescent="0.25">
      <c r="A12" s="4">
        <v>8</v>
      </c>
      <c r="B12" s="38" t="s">
        <v>2</v>
      </c>
      <c r="C12" s="38" t="s">
        <v>2</v>
      </c>
      <c r="D12" s="38" t="s">
        <v>2</v>
      </c>
      <c r="E12" s="38"/>
      <c r="F12" s="38"/>
      <c r="G12" s="38" t="s">
        <v>2</v>
      </c>
      <c r="H12" s="38"/>
    </row>
    <row r="13" spans="1:13" x14ac:dyDescent="0.25">
      <c r="A13" s="4">
        <v>9</v>
      </c>
      <c r="B13" s="38" t="s">
        <v>2</v>
      </c>
      <c r="C13" s="38"/>
      <c r="D13" s="38" t="s">
        <v>2</v>
      </c>
      <c r="E13" s="38"/>
      <c r="F13" s="38" t="s">
        <v>2</v>
      </c>
      <c r="G13" s="38"/>
      <c r="H13" s="38" t="s">
        <v>2</v>
      </c>
    </row>
    <row r="14" spans="1:13" x14ac:dyDescent="0.25">
      <c r="A14" s="4">
        <v>10</v>
      </c>
      <c r="B14" s="38" t="s">
        <v>2</v>
      </c>
      <c r="C14" s="38" t="s">
        <v>2</v>
      </c>
      <c r="D14" s="38" t="s">
        <v>2</v>
      </c>
      <c r="E14" s="38" t="s">
        <v>2</v>
      </c>
      <c r="F14" s="38" t="s">
        <v>2</v>
      </c>
      <c r="G14" s="38" t="s">
        <v>2</v>
      </c>
      <c r="H14" s="38" t="s">
        <v>2</v>
      </c>
    </row>
    <row r="15" spans="1:13" x14ac:dyDescent="0.25">
      <c r="A15" s="4">
        <v>11</v>
      </c>
      <c r="B15" s="38"/>
      <c r="C15" s="38"/>
      <c r="D15" s="38"/>
      <c r="E15" s="38" t="s">
        <v>2</v>
      </c>
      <c r="F15" s="38" t="s">
        <v>2</v>
      </c>
      <c r="G15" s="38" t="s">
        <v>2</v>
      </c>
      <c r="H15" s="38" t="s">
        <v>2</v>
      </c>
    </row>
    <row r="16" spans="1:13" x14ac:dyDescent="0.25">
      <c r="A16" s="4">
        <v>12</v>
      </c>
      <c r="B16" s="38"/>
      <c r="C16" s="38"/>
      <c r="D16" s="38" t="s">
        <v>2</v>
      </c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 t="s">
        <v>2</v>
      </c>
      <c r="H17" s="38"/>
    </row>
    <row r="18" spans="1:8" x14ac:dyDescent="0.25">
      <c r="A18" s="4">
        <v>14</v>
      </c>
      <c r="B18" s="38"/>
      <c r="C18" s="38" t="s">
        <v>2</v>
      </c>
      <c r="D18" s="38"/>
      <c r="E18" s="38" t="s">
        <v>2</v>
      </c>
      <c r="F18" s="38" t="s">
        <v>2</v>
      </c>
      <c r="G18" s="38" t="s">
        <v>2</v>
      </c>
      <c r="H18" s="38"/>
    </row>
    <row r="19" spans="1:8" x14ac:dyDescent="0.25">
      <c r="A19" s="4">
        <v>15</v>
      </c>
      <c r="B19" s="38"/>
      <c r="C19" s="38" t="s">
        <v>2</v>
      </c>
      <c r="D19" s="38"/>
      <c r="E19" s="38"/>
      <c r="F19" s="38" t="s">
        <v>2</v>
      </c>
      <c r="G19" s="38"/>
      <c r="H19" s="38"/>
    </row>
    <row r="20" spans="1:8" x14ac:dyDescent="0.25">
      <c r="A20" s="4">
        <v>16</v>
      </c>
      <c r="B20" s="38" t="s">
        <v>7</v>
      </c>
      <c r="C20" s="38"/>
      <c r="D20" s="38"/>
      <c r="E20" s="38" t="s">
        <v>2</v>
      </c>
      <c r="F20" s="38"/>
      <c r="G20" s="38"/>
      <c r="H20" s="38" t="s">
        <v>2</v>
      </c>
    </row>
    <row r="21" spans="1:8" x14ac:dyDescent="0.25">
      <c r="A21" s="4">
        <v>17</v>
      </c>
      <c r="B21" s="38"/>
      <c r="C21" s="38" t="s">
        <v>2</v>
      </c>
      <c r="D21" s="38"/>
      <c r="E21" s="38"/>
      <c r="F21" s="38" t="s">
        <v>2</v>
      </c>
      <c r="G21" s="38"/>
      <c r="H21" s="38"/>
    </row>
    <row r="22" spans="1:8" x14ac:dyDescent="0.25">
      <c r="A22" s="4">
        <v>18</v>
      </c>
      <c r="B22" s="38" t="s">
        <v>2</v>
      </c>
      <c r="C22" s="38"/>
      <c r="D22" s="38"/>
      <c r="E22" s="38" t="s">
        <v>2</v>
      </c>
      <c r="F22" s="38"/>
      <c r="G22" s="38"/>
      <c r="H22" s="38" t="s">
        <v>2</v>
      </c>
    </row>
    <row r="23" spans="1:8" x14ac:dyDescent="0.25">
      <c r="A23" s="4">
        <v>19</v>
      </c>
      <c r="B23" s="38"/>
      <c r="C23" s="38" t="s">
        <v>2</v>
      </c>
      <c r="D23" s="38"/>
      <c r="E23" s="38"/>
      <c r="F23" s="38" t="s">
        <v>2</v>
      </c>
      <c r="G23" s="38"/>
      <c r="H23" s="38"/>
    </row>
    <row r="24" spans="1:8" x14ac:dyDescent="0.25">
      <c r="A24" s="4">
        <v>20</v>
      </c>
      <c r="B24" s="38" t="s">
        <v>2</v>
      </c>
      <c r="C24" s="38"/>
      <c r="D24" s="38"/>
      <c r="E24" s="38" t="s">
        <v>2</v>
      </c>
      <c r="F24" s="38"/>
      <c r="G24" s="38"/>
      <c r="H24" s="38" t="s">
        <v>2</v>
      </c>
    </row>
    <row r="25" spans="1:8" x14ac:dyDescent="0.25">
      <c r="A25" s="4">
        <v>21</v>
      </c>
      <c r="B25" s="38" t="s">
        <v>6</v>
      </c>
      <c r="C25" s="38"/>
      <c r="D25" s="38"/>
      <c r="E25" s="38" t="s">
        <v>6</v>
      </c>
      <c r="F25" s="38"/>
      <c r="G25" s="38"/>
      <c r="H25" s="38" t="s">
        <v>2</v>
      </c>
    </row>
    <row r="26" spans="1:8" x14ac:dyDescent="0.25">
      <c r="A26" s="4">
        <v>22</v>
      </c>
      <c r="B26" s="38"/>
      <c r="C26" s="38" t="s">
        <v>2</v>
      </c>
      <c r="D26" s="38"/>
      <c r="E26" s="38"/>
      <c r="F26" s="38" t="s">
        <v>2</v>
      </c>
      <c r="G26" s="38"/>
      <c r="H26" s="38"/>
    </row>
    <row r="27" spans="1:8" x14ac:dyDescent="0.25">
      <c r="A27" s="4">
        <v>23</v>
      </c>
      <c r="B27" s="38" t="s">
        <v>5</v>
      </c>
      <c r="C27" s="38"/>
      <c r="D27" s="38"/>
      <c r="E27" s="38" t="s">
        <v>2</v>
      </c>
      <c r="F27" s="38"/>
      <c r="G27" s="38"/>
      <c r="H27" s="38" t="s">
        <v>2</v>
      </c>
    </row>
    <row r="28" spans="1:8" x14ac:dyDescent="0.25">
      <c r="A28" s="4">
        <v>24</v>
      </c>
      <c r="B28" s="38"/>
      <c r="C28" s="38" t="s">
        <v>2</v>
      </c>
      <c r="D28" s="38" t="s">
        <v>2</v>
      </c>
      <c r="E28" s="38"/>
      <c r="F28" s="38" t="s">
        <v>2</v>
      </c>
      <c r="G28" s="38"/>
      <c r="H28" s="38"/>
    </row>
    <row r="29" spans="1:8" x14ac:dyDescent="0.25">
      <c r="A29" s="4">
        <v>25</v>
      </c>
      <c r="B29" s="38"/>
      <c r="C29" s="38" t="s">
        <v>2</v>
      </c>
      <c r="D29" s="38" t="s">
        <v>2</v>
      </c>
      <c r="E29" s="38"/>
      <c r="F29" s="38" t="s">
        <v>2</v>
      </c>
      <c r="G29" s="38"/>
      <c r="H29" s="38" t="s">
        <v>2</v>
      </c>
    </row>
    <row r="30" spans="1:8" x14ac:dyDescent="0.25">
      <c r="A30" s="4">
        <v>26</v>
      </c>
      <c r="B30" s="38"/>
      <c r="C30" s="38" t="s">
        <v>7</v>
      </c>
      <c r="D30" s="38"/>
      <c r="E30" s="38"/>
      <c r="F30" s="38" t="s">
        <v>2</v>
      </c>
      <c r="G30" s="38"/>
      <c r="H30" s="38"/>
    </row>
    <row r="31" spans="1:8" x14ac:dyDescent="0.25">
      <c r="A31" s="4">
        <v>27</v>
      </c>
      <c r="B31" s="38" t="s">
        <v>2</v>
      </c>
      <c r="C31" s="38"/>
      <c r="D31" s="38"/>
      <c r="E31" s="38" t="s">
        <v>2</v>
      </c>
      <c r="F31" s="38"/>
      <c r="G31" s="38"/>
      <c r="H31" s="38" t="s">
        <v>2</v>
      </c>
    </row>
    <row r="32" spans="1:8" x14ac:dyDescent="0.25">
      <c r="A32" s="4">
        <v>28</v>
      </c>
      <c r="B32" s="38"/>
      <c r="C32" s="38" t="s">
        <v>7</v>
      </c>
      <c r="D32" s="38"/>
      <c r="E32" s="38"/>
      <c r="F32" s="38" t="s">
        <v>7</v>
      </c>
      <c r="G32" s="38"/>
      <c r="H32" s="38"/>
    </row>
    <row r="33" spans="1:8" x14ac:dyDescent="0.25">
      <c r="A33" s="4">
        <v>29</v>
      </c>
      <c r="B33" s="38"/>
      <c r="C33" s="38" t="s">
        <v>2</v>
      </c>
      <c r="D33" s="38" t="s">
        <v>2</v>
      </c>
      <c r="E33" s="38"/>
      <c r="F33" s="38" t="s">
        <v>2</v>
      </c>
      <c r="G33" s="38"/>
      <c r="H33" s="38" t="s">
        <v>2</v>
      </c>
    </row>
    <row r="34" spans="1:8" x14ac:dyDescent="0.25">
      <c r="A34" s="4">
        <v>30</v>
      </c>
      <c r="B34" s="38" t="s">
        <v>2</v>
      </c>
      <c r="C34" s="38"/>
      <c r="D34" s="38"/>
      <c r="E34" s="38" t="s">
        <v>5</v>
      </c>
      <c r="F34" s="38" t="s">
        <v>5</v>
      </c>
      <c r="G34" s="38" t="s">
        <v>5</v>
      </c>
      <c r="H34" s="38" t="s">
        <v>2</v>
      </c>
    </row>
    <row r="35" spans="1:8" x14ac:dyDescent="0.25">
      <c r="A35" s="4">
        <v>31</v>
      </c>
      <c r="B35" s="38" t="s">
        <v>2</v>
      </c>
      <c r="C35" s="38"/>
      <c r="D35" s="38"/>
      <c r="E35" s="38" t="s">
        <v>2</v>
      </c>
      <c r="F35" s="38"/>
      <c r="G35" s="38"/>
      <c r="H35" s="38" t="s">
        <v>2</v>
      </c>
    </row>
    <row r="36" spans="1:8" x14ac:dyDescent="0.25">
      <c r="A36" s="4">
        <v>32</v>
      </c>
      <c r="B36" s="38"/>
      <c r="C36" s="38" t="s">
        <v>7</v>
      </c>
      <c r="D36" s="38"/>
      <c r="E36" s="38"/>
      <c r="F36" s="38" t="s">
        <v>2</v>
      </c>
      <c r="G36" s="38"/>
      <c r="H36" s="38"/>
    </row>
    <row r="37" spans="1:8" x14ac:dyDescent="0.25">
      <c r="A37" s="4">
        <v>33</v>
      </c>
      <c r="B37" s="38"/>
      <c r="C37" s="38" t="s">
        <v>7</v>
      </c>
      <c r="D37" s="38"/>
      <c r="E37" s="38"/>
      <c r="F37" s="38" t="s">
        <v>2</v>
      </c>
      <c r="G37" s="38"/>
      <c r="H37" s="38"/>
    </row>
    <row r="38" spans="1:8" x14ac:dyDescent="0.25">
      <c r="A38" s="4">
        <v>34</v>
      </c>
      <c r="B38" s="38" t="s">
        <v>2</v>
      </c>
      <c r="C38" s="38"/>
      <c r="D38" s="38"/>
      <c r="E38" s="38" t="s">
        <v>2</v>
      </c>
      <c r="F38" s="38"/>
      <c r="G38" s="38"/>
      <c r="H38" s="38" t="s">
        <v>2</v>
      </c>
    </row>
    <row r="39" spans="1:8" x14ac:dyDescent="0.25">
      <c r="A39" s="4">
        <v>35</v>
      </c>
      <c r="B39" s="38" t="s">
        <v>2</v>
      </c>
      <c r="C39" s="38" t="s">
        <v>2</v>
      </c>
      <c r="D39" s="38" t="s">
        <v>2</v>
      </c>
      <c r="E39" s="38"/>
      <c r="F39" s="38" t="s">
        <v>2</v>
      </c>
      <c r="G39" s="38"/>
      <c r="H39" s="38" t="s">
        <v>2</v>
      </c>
    </row>
    <row r="40" spans="1:8" x14ac:dyDescent="0.25">
      <c r="A40" s="4">
        <v>36</v>
      </c>
      <c r="B40" s="38"/>
      <c r="C40" s="38" t="s">
        <v>2</v>
      </c>
      <c r="D40" s="38"/>
      <c r="E40" s="38" t="s">
        <v>2</v>
      </c>
      <c r="F40" s="38"/>
      <c r="G40" s="38"/>
      <c r="H40" s="38" t="s">
        <v>2</v>
      </c>
    </row>
    <row r="41" spans="1:8" x14ac:dyDescent="0.25">
      <c r="A41" s="4">
        <v>37</v>
      </c>
      <c r="B41" s="38" t="s">
        <v>2</v>
      </c>
      <c r="C41" s="38"/>
      <c r="D41" s="38" t="s">
        <v>2</v>
      </c>
      <c r="E41" s="38"/>
      <c r="F41" s="38" t="s">
        <v>2</v>
      </c>
      <c r="G41" s="38"/>
      <c r="H41" s="38" t="s">
        <v>2</v>
      </c>
    </row>
    <row r="42" spans="1:8" x14ac:dyDescent="0.25">
      <c r="A42" s="4">
        <v>38</v>
      </c>
      <c r="B42" s="38"/>
      <c r="C42" s="38"/>
      <c r="D42" s="38" t="s">
        <v>2</v>
      </c>
      <c r="E42" s="38"/>
      <c r="F42" s="38"/>
      <c r="G42" s="38"/>
      <c r="H42" s="38"/>
    </row>
    <row r="43" spans="1:8" x14ac:dyDescent="0.25">
      <c r="A43" s="4">
        <v>39</v>
      </c>
      <c r="B43" s="38" t="s">
        <v>2</v>
      </c>
      <c r="C43" s="38"/>
      <c r="D43" s="38"/>
      <c r="E43" s="38" t="s">
        <v>2</v>
      </c>
      <c r="F43" s="38"/>
      <c r="G43" s="38"/>
      <c r="H43" s="38" t="s">
        <v>2</v>
      </c>
    </row>
    <row r="44" spans="1:8" x14ac:dyDescent="0.25">
      <c r="A44" s="4">
        <v>40</v>
      </c>
      <c r="B44" s="38"/>
      <c r="C44" s="38" t="s">
        <v>2</v>
      </c>
      <c r="D44" s="38"/>
      <c r="E44" s="38"/>
      <c r="F44" s="38" t="s">
        <v>2</v>
      </c>
      <c r="G44" s="38"/>
      <c r="H44" s="38"/>
    </row>
    <row r="45" spans="1:8" x14ac:dyDescent="0.25">
      <c r="A45" s="4">
        <v>41</v>
      </c>
      <c r="B45" s="38" t="s">
        <v>7</v>
      </c>
      <c r="C45" s="38"/>
      <c r="D45" s="38" t="s">
        <v>2</v>
      </c>
      <c r="E45" s="38"/>
      <c r="F45" s="38"/>
      <c r="G45" s="38" t="s">
        <v>2</v>
      </c>
      <c r="H45" s="38" t="s">
        <v>2</v>
      </c>
    </row>
    <row r="46" spans="1:8" x14ac:dyDescent="0.25">
      <c r="A46" s="4">
        <v>42</v>
      </c>
      <c r="B46" s="38"/>
      <c r="C46" s="38"/>
      <c r="D46" s="38" t="s">
        <v>2</v>
      </c>
      <c r="E46" s="38"/>
      <c r="F46" s="38" t="s">
        <v>2</v>
      </c>
      <c r="G46" s="38"/>
      <c r="H46" s="38" t="s">
        <v>2</v>
      </c>
    </row>
    <row r="47" spans="1:8" x14ac:dyDescent="0.25">
      <c r="A47" s="4">
        <v>43</v>
      </c>
      <c r="B47" s="38"/>
      <c r="C47" s="38" t="s">
        <v>2</v>
      </c>
      <c r="D47" s="38"/>
      <c r="E47" s="38" t="s">
        <v>2</v>
      </c>
      <c r="F47" s="38"/>
      <c r="G47" s="38" t="s">
        <v>2</v>
      </c>
      <c r="H47" s="38"/>
    </row>
    <row r="48" spans="1:8" x14ac:dyDescent="0.25">
      <c r="A48" s="4">
        <v>44</v>
      </c>
      <c r="B48" s="38"/>
      <c r="C48" s="38" t="s">
        <v>2</v>
      </c>
      <c r="D48" s="38"/>
      <c r="E48" s="38" t="s">
        <v>2</v>
      </c>
      <c r="F48" s="38"/>
      <c r="G48" s="38" t="s">
        <v>2</v>
      </c>
      <c r="H48" s="38"/>
    </row>
    <row r="49" spans="1:8" x14ac:dyDescent="0.25">
      <c r="A49" s="4">
        <v>45</v>
      </c>
      <c r="B49" s="38"/>
      <c r="C49" s="38" t="s">
        <v>2</v>
      </c>
      <c r="D49" s="38" t="s">
        <v>2</v>
      </c>
      <c r="E49" s="38"/>
      <c r="F49" s="38" t="s">
        <v>2</v>
      </c>
      <c r="G49" s="38"/>
      <c r="H49" s="38" t="s">
        <v>2</v>
      </c>
    </row>
    <row r="50" spans="1:8" x14ac:dyDescent="0.25">
      <c r="A50" s="4">
        <v>46</v>
      </c>
      <c r="B50" s="38"/>
      <c r="C50" s="38"/>
      <c r="D50" s="38"/>
      <c r="E50" s="38"/>
      <c r="F50" s="38"/>
      <c r="G50" s="38"/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 t="s">
        <v>2</v>
      </c>
      <c r="F52" s="38"/>
      <c r="G52" s="38"/>
      <c r="H52" s="38" t="s">
        <v>2</v>
      </c>
    </row>
    <row r="53" spans="1:8" x14ac:dyDescent="0.25">
      <c r="A53" s="4">
        <v>49</v>
      </c>
      <c r="B53" s="38"/>
      <c r="C53" s="38"/>
      <c r="D53" s="38"/>
      <c r="E53" s="38"/>
      <c r="F53" s="38" t="s">
        <v>2</v>
      </c>
      <c r="G53" s="38"/>
      <c r="H53" s="38"/>
    </row>
    <row r="54" spans="1:8" x14ac:dyDescent="0.25">
      <c r="A54" s="4">
        <v>50</v>
      </c>
      <c r="B54" s="38"/>
      <c r="C54" s="38"/>
      <c r="D54" s="38" t="s">
        <v>6</v>
      </c>
      <c r="E54" s="38"/>
      <c r="F54" s="38"/>
      <c r="G54" s="38" t="s">
        <v>2</v>
      </c>
      <c r="H54" s="38"/>
    </row>
    <row r="55" spans="1:8" x14ac:dyDescent="0.25">
      <c r="A55" s="4">
        <v>51</v>
      </c>
      <c r="B55" s="38" t="s">
        <v>2</v>
      </c>
      <c r="C55" s="38"/>
      <c r="D55" s="38"/>
      <c r="E55" s="38" t="s">
        <v>2</v>
      </c>
      <c r="F55" s="38"/>
      <c r="G55" s="38"/>
      <c r="H55" s="38" t="s">
        <v>2</v>
      </c>
    </row>
    <row r="56" spans="1:8" x14ac:dyDescent="0.25">
      <c r="A56" s="4">
        <v>52</v>
      </c>
      <c r="B56" s="38"/>
      <c r="C56" s="38" t="s">
        <v>7</v>
      </c>
      <c r="D56" s="38"/>
      <c r="E56" s="38"/>
      <c r="F56" s="38"/>
      <c r="G56" s="38"/>
      <c r="H56" s="38"/>
    </row>
    <row r="57" spans="1:8" x14ac:dyDescent="0.25">
      <c r="A57" s="4">
        <v>53</v>
      </c>
      <c r="B57" s="38"/>
      <c r="C57" s="38"/>
      <c r="D57" s="38" t="s">
        <v>2</v>
      </c>
      <c r="E57" s="38"/>
      <c r="F57" s="38"/>
      <c r="G57" s="38" t="s">
        <v>2</v>
      </c>
      <c r="H57" s="38"/>
    </row>
    <row r="58" spans="1:8" x14ac:dyDescent="0.25">
      <c r="A58" s="4">
        <v>54</v>
      </c>
      <c r="B58" s="38"/>
      <c r="C58" s="38"/>
      <c r="D58" s="38" t="s">
        <v>2</v>
      </c>
      <c r="E58" s="38"/>
      <c r="F58" s="38"/>
      <c r="G58" s="38" t="s">
        <v>2</v>
      </c>
      <c r="H58" s="38"/>
    </row>
    <row r="59" spans="1:8" x14ac:dyDescent="0.25">
      <c r="A59" s="4">
        <v>55</v>
      </c>
      <c r="B59" s="38" t="s">
        <v>2</v>
      </c>
      <c r="C59" s="38"/>
      <c r="D59" s="38"/>
      <c r="E59" s="38" t="s">
        <v>2</v>
      </c>
      <c r="F59" s="38"/>
      <c r="G59" s="38"/>
      <c r="H59" s="38" t="s">
        <v>2</v>
      </c>
    </row>
    <row r="60" spans="1:8" x14ac:dyDescent="0.25">
      <c r="A60" s="4">
        <v>56</v>
      </c>
      <c r="B60" s="38" t="s">
        <v>2</v>
      </c>
      <c r="C60" s="38"/>
      <c r="D60" s="38"/>
      <c r="E60" s="38" t="s">
        <v>2</v>
      </c>
      <c r="F60" s="38"/>
      <c r="G60" s="38"/>
      <c r="H60" s="38" t="s">
        <v>2</v>
      </c>
    </row>
    <row r="61" spans="1:8" x14ac:dyDescent="0.25">
      <c r="A61" s="18">
        <v>73</v>
      </c>
      <c r="B61" s="38" t="s">
        <v>2</v>
      </c>
      <c r="C61" s="38" t="s">
        <v>2</v>
      </c>
      <c r="D61" s="38"/>
      <c r="E61" s="38" t="s">
        <v>2</v>
      </c>
      <c r="F61" s="38"/>
      <c r="G61" s="38" t="s">
        <v>2</v>
      </c>
      <c r="H61" s="38"/>
    </row>
    <row r="62" spans="1:8" x14ac:dyDescent="0.25">
      <c r="A62" s="18">
        <v>74</v>
      </c>
      <c r="B62" s="38"/>
      <c r="C62" s="38" t="s">
        <v>2</v>
      </c>
      <c r="D62" s="38"/>
      <c r="E62" s="38" t="s">
        <v>2</v>
      </c>
      <c r="F62" s="38" t="s">
        <v>2</v>
      </c>
      <c r="G62" s="38" t="s">
        <v>2</v>
      </c>
      <c r="H62" s="38" t="s">
        <v>2</v>
      </c>
    </row>
    <row r="63" spans="1:8" x14ac:dyDescent="0.25">
      <c r="A63" s="18">
        <v>101</v>
      </c>
      <c r="B63" s="39" t="s">
        <v>2</v>
      </c>
      <c r="C63" s="38"/>
      <c r="D63" s="38" t="s">
        <v>2</v>
      </c>
      <c r="E63" s="38"/>
      <c r="F63" s="38"/>
      <c r="G63" s="38" t="s">
        <v>2</v>
      </c>
      <c r="H63" s="38"/>
    </row>
    <row r="64" spans="1:8" x14ac:dyDescent="0.25">
      <c r="A64" s="18">
        <v>102</v>
      </c>
      <c r="B64" s="38" t="s">
        <v>2</v>
      </c>
      <c r="C64" s="38" t="s">
        <v>2</v>
      </c>
      <c r="D64" s="38"/>
      <c r="E64" s="38" t="s">
        <v>2</v>
      </c>
      <c r="F64" s="38" t="s">
        <v>2</v>
      </c>
      <c r="G64" s="38"/>
      <c r="H64" s="38" t="s">
        <v>2</v>
      </c>
    </row>
    <row r="65" spans="1:8" x14ac:dyDescent="0.25">
      <c r="A65" s="18">
        <v>103</v>
      </c>
      <c r="B65" s="38" t="s">
        <v>2</v>
      </c>
      <c r="C65" s="38"/>
      <c r="D65" s="38" t="s">
        <v>2</v>
      </c>
      <c r="E65" s="38"/>
      <c r="F65" s="38"/>
      <c r="G65" s="38" t="s">
        <v>2</v>
      </c>
      <c r="H65" s="38"/>
    </row>
    <row r="66" spans="1:8" x14ac:dyDescent="0.25">
      <c r="A66" s="18">
        <v>104</v>
      </c>
      <c r="B66" s="38" t="s">
        <v>2</v>
      </c>
      <c r="C66" s="38" t="s">
        <v>2</v>
      </c>
      <c r="D66" s="38"/>
      <c r="E66" s="38" t="s">
        <v>2</v>
      </c>
      <c r="F66" s="38" t="s">
        <v>2</v>
      </c>
      <c r="G66" s="38"/>
      <c r="H66" s="38" t="s">
        <v>2</v>
      </c>
    </row>
    <row r="67" spans="1:8" x14ac:dyDescent="0.25">
      <c r="A67" s="18">
        <v>105</v>
      </c>
      <c r="B67" s="38" t="s">
        <v>2</v>
      </c>
      <c r="C67" s="38" t="s">
        <v>2</v>
      </c>
      <c r="D67" s="38"/>
      <c r="E67" s="38" t="s">
        <v>2</v>
      </c>
      <c r="F67" s="38" t="s">
        <v>2</v>
      </c>
      <c r="G67" s="38"/>
      <c r="H67" s="38" t="s">
        <v>2</v>
      </c>
    </row>
    <row r="68" spans="1:8" x14ac:dyDescent="0.25">
      <c r="A68" s="18">
        <v>106</v>
      </c>
      <c r="B68" s="38" t="s">
        <v>2</v>
      </c>
      <c r="C68" s="38" t="s">
        <v>2</v>
      </c>
      <c r="D68" s="38"/>
      <c r="E68" s="38" t="s">
        <v>2</v>
      </c>
      <c r="F68" s="38" t="s">
        <v>2</v>
      </c>
      <c r="G68" s="38"/>
      <c r="H68" s="38" t="s">
        <v>2</v>
      </c>
    </row>
    <row r="69" spans="1:8" x14ac:dyDescent="0.25">
      <c r="A69" s="18">
        <v>107</v>
      </c>
      <c r="B69" s="38" t="s">
        <v>2</v>
      </c>
      <c r="C69" s="38"/>
      <c r="D69" s="38" t="s">
        <v>2</v>
      </c>
      <c r="E69" s="38" t="s">
        <v>2</v>
      </c>
      <c r="F69" s="38"/>
      <c r="G69" s="38" t="s">
        <v>2</v>
      </c>
      <c r="H69" s="38"/>
    </row>
    <row r="70" spans="1:8" x14ac:dyDescent="0.25">
      <c r="A70" s="18">
        <v>108</v>
      </c>
      <c r="B70" s="38"/>
      <c r="C70" s="38" t="s">
        <v>2</v>
      </c>
      <c r="D70" s="38" t="s">
        <v>2</v>
      </c>
      <c r="E70" s="38"/>
      <c r="F70" s="38" t="s">
        <v>2</v>
      </c>
      <c r="G70" s="38" t="s">
        <v>2</v>
      </c>
      <c r="H70" s="38"/>
    </row>
    <row r="71" spans="1:8" x14ac:dyDescent="0.25">
      <c r="A71" s="18">
        <v>109</v>
      </c>
      <c r="B71" s="38"/>
      <c r="C71" s="38" t="s">
        <v>2</v>
      </c>
      <c r="D71" s="38" t="s">
        <v>2</v>
      </c>
      <c r="E71" s="38"/>
      <c r="F71" s="38" t="s">
        <v>2</v>
      </c>
      <c r="G71" s="38"/>
      <c r="H71" s="38" t="s">
        <v>2</v>
      </c>
    </row>
    <row r="72" spans="1:8" x14ac:dyDescent="0.25">
      <c r="A72" s="18">
        <v>110</v>
      </c>
      <c r="B72" s="38" t="s">
        <v>2</v>
      </c>
      <c r="C72" s="38" t="s">
        <v>2</v>
      </c>
      <c r="D72" s="38"/>
      <c r="E72" s="38" t="s">
        <v>2</v>
      </c>
      <c r="F72" s="38" t="s">
        <v>2</v>
      </c>
      <c r="G72" s="38"/>
      <c r="H72" s="38" t="s">
        <v>2</v>
      </c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 t="s">
        <v>2</v>
      </c>
      <c r="D74" s="38" t="s">
        <v>2</v>
      </c>
      <c r="E74" s="38"/>
      <c r="F74" s="38" t="s">
        <v>2</v>
      </c>
      <c r="G74" s="38" t="s">
        <v>2</v>
      </c>
      <c r="H74" s="38"/>
    </row>
    <row r="75" spans="1:8" x14ac:dyDescent="0.25">
      <c r="A75" s="18">
        <v>113</v>
      </c>
      <c r="B75" s="38"/>
      <c r="C75" s="38" t="s">
        <v>2</v>
      </c>
      <c r="D75" s="38"/>
      <c r="E75" s="38" t="s">
        <v>2</v>
      </c>
      <c r="F75" s="38" t="s">
        <v>2</v>
      </c>
      <c r="G75" s="38" t="s">
        <v>2</v>
      </c>
      <c r="H75" s="38"/>
    </row>
    <row r="76" spans="1:8" x14ac:dyDescent="0.25">
      <c r="A76" s="18">
        <v>114</v>
      </c>
      <c r="B76" s="38" t="s">
        <v>2</v>
      </c>
      <c r="C76" s="38"/>
      <c r="D76" s="38"/>
      <c r="E76" s="38" t="s">
        <v>2</v>
      </c>
      <c r="F76" s="38"/>
      <c r="G76" s="38"/>
      <c r="H76" s="38"/>
    </row>
    <row r="77" spans="1:8" x14ac:dyDescent="0.25">
      <c r="A77" s="18">
        <v>115</v>
      </c>
      <c r="B77" s="38" t="s">
        <v>2</v>
      </c>
      <c r="C77" s="38" t="s">
        <v>2</v>
      </c>
      <c r="D77" s="38"/>
      <c r="E77" s="38" t="s">
        <v>2</v>
      </c>
      <c r="F77" s="38"/>
      <c r="G77" s="38" t="s">
        <v>2</v>
      </c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 t="s">
        <v>2</v>
      </c>
      <c r="C79" s="38" t="s">
        <v>2</v>
      </c>
      <c r="D79" s="38"/>
      <c r="E79" s="38" t="s">
        <v>2</v>
      </c>
      <c r="F79" s="38" t="s">
        <v>2</v>
      </c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 t="s">
        <v>2</v>
      </c>
      <c r="D81" s="38" t="s">
        <v>2</v>
      </c>
      <c r="E81" s="38"/>
      <c r="F81" s="38" t="s">
        <v>2</v>
      </c>
      <c r="G81" s="38" t="s">
        <v>2</v>
      </c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 t="s">
        <v>2</v>
      </c>
      <c r="D90" s="38" t="s">
        <v>2</v>
      </c>
      <c r="E90" s="38"/>
      <c r="F90" s="38" t="s">
        <v>2</v>
      </c>
      <c r="G90" s="38" t="s">
        <v>2</v>
      </c>
      <c r="H90" s="38"/>
    </row>
    <row r="91" spans="1:8" x14ac:dyDescent="0.25">
      <c r="A91" s="18">
        <v>129</v>
      </c>
      <c r="B91" s="38" t="s">
        <v>2</v>
      </c>
      <c r="C91" s="38"/>
      <c r="D91" s="38"/>
      <c r="E91" s="38" t="s">
        <v>2</v>
      </c>
      <c r="F91" s="38"/>
      <c r="G91" s="38"/>
      <c r="H91" s="38" t="s">
        <v>2</v>
      </c>
    </row>
    <row r="92" spans="1:8" x14ac:dyDescent="0.25">
      <c r="A92" s="18">
        <v>130</v>
      </c>
      <c r="B92" s="38" t="s">
        <v>2</v>
      </c>
      <c r="C92" s="38" t="s">
        <v>2</v>
      </c>
      <c r="D92" s="38"/>
      <c r="E92" s="38" t="s">
        <v>2</v>
      </c>
      <c r="F92" s="38" t="s">
        <v>2</v>
      </c>
      <c r="G92" s="38"/>
      <c r="H92" s="38" t="s">
        <v>2</v>
      </c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964" priority="18" operator="equal">
      <formula>"Energia"</formula>
    </cfRule>
    <cfRule type="cellIs" dxfId="963" priority="20" operator="equal">
      <formula>"Operação"</formula>
    </cfRule>
    <cfRule type="cellIs" dxfId="962" priority="21" operator="equal">
      <formula>"Chuva"</formula>
    </cfRule>
    <cfRule type="cellIs" dxfId="961" priority="22" operator="equal">
      <formula>"Elétrico"</formula>
    </cfRule>
    <cfRule type="cellIs" dxfId="960" priority="23" operator="equal">
      <formula>"Mecânico"</formula>
    </cfRule>
    <cfRule type="cellIs" dxfId="959" priority="24" operator="equal">
      <formula>"Ok"</formula>
    </cfRule>
  </conditionalFormatting>
  <conditionalFormatting sqref="B61:I62 I5:I60 B63:H95">
    <cfRule type="cellIs" dxfId="958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957" priority="16" operator="equal">
      <formula>"Energia"</formula>
    </cfRule>
  </conditionalFormatting>
  <conditionalFormatting sqref="B5:E60 G5:H60">
    <cfRule type="cellIs" dxfId="956" priority="9" operator="equal">
      <formula>"Energia"</formula>
    </cfRule>
    <cfRule type="cellIs" dxfId="955" priority="11" operator="equal">
      <formula>"Operação"</formula>
    </cfRule>
    <cfRule type="cellIs" dxfId="954" priority="12" operator="equal">
      <formula>"Chuva"</formula>
    </cfRule>
    <cfRule type="cellIs" dxfId="953" priority="13" operator="equal">
      <formula>"Elétrico"</formula>
    </cfRule>
    <cfRule type="cellIs" dxfId="952" priority="14" operator="equal">
      <formula>"Mecânico"</formula>
    </cfRule>
    <cfRule type="cellIs" dxfId="951" priority="15" operator="equal">
      <formula>"Ok"</formula>
    </cfRule>
  </conditionalFormatting>
  <conditionalFormatting sqref="B5:E60 G5:H60">
    <cfRule type="cellIs" dxfId="950" priority="10" operator="equal">
      <formula>"Feito"</formula>
    </cfRule>
  </conditionalFormatting>
  <conditionalFormatting sqref="F5:F11">
    <cfRule type="cellIs" dxfId="949" priority="8" operator="equal">
      <formula>"Energia"</formula>
    </cfRule>
  </conditionalFormatting>
  <conditionalFormatting sqref="F5:F60">
    <cfRule type="cellIs" dxfId="948" priority="1" operator="equal">
      <formula>"Energia"</formula>
    </cfRule>
    <cfRule type="cellIs" dxfId="947" priority="3" operator="equal">
      <formula>"Operação"</formula>
    </cfRule>
    <cfRule type="cellIs" dxfId="946" priority="4" operator="equal">
      <formula>"Chuva"</formula>
    </cfRule>
    <cfRule type="cellIs" dxfId="945" priority="5" operator="equal">
      <formula>"Elétrico"</formula>
    </cfRule>
    <cfRule type="cellIs" dxfId="944" priority="6" operator="equal">
      <formula>"Mecânico"</formula>
    </cfRule>
    <cfRule type="cellIs" dxfId="943" priority="7" operator="equal">
      <formula>"Ok"</formula>
    </cfRule>
  </conditionalFormatting>
  <conditionalFormatting sqref="F5:F60">
    <cfRule type="cellIs" dxfId="942" priority="2" operator="equal">
      <formula>"Feito"</formula>
    </cfRule>
  </conditionalFormatting>
  <dataValidations count="1">
    <dataValidation type="list" allowBlank="1" showInputMessage="1" showErrorMessage="1" sqref="B61:I62 B5:I26 B27:J60 B63:H95" xr:uid="{094840D5-7491-488A-9386-AE9B7E9EAA08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BABA-7D29-4AFF-8A8A-D55AD8BC959B}">
  <dimension ref="A1:M95"/>
  <sheetViews>
    <sheetView zoomScale="115" zoomScaleNormal="115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3" max="13" width="11.85546875" bestFit="1" customWidth="1"/>
    <col min="17" max="17" width="8.5703125" customWidth="1"/>
  </cols>
  <sheetData>
    <row r="1" spans="1:13" x14ac:dyDescent="0.25">
      <c r="A1" s="70" t="s">
        <v>25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4" t="s">
        <v>16</v>
      </c>
      <c r="B3" s="23">
        <v>44697</v>
      </c>
      <c r="C3" s="23">
        <f>B3+1</f>
        <v>44698</v>
      </c>
      <c r="D3" s="23">
        <f t="shared" ref="D3:H3" si="0">C3+1</f>
        <v>44699</v>
      </c>
      <c r="E3" s="23">
        <f t="shared" si="0"/>
        <v>44700</v>
      </c>
      <c r="F3" s="23">
        <f t="shared" si="0"/>
        <v>44701</v>
      </c>
      <c r="G3" s="23">
        <f t="shared" si="0"/>
        <v>44702</v>
      </c>
      <c r="H3" s="25">
        <f t="shared" si="0"/>
        <v>44703</v>
      </c>
      <c r="I3" s="3"/>
    </row>
    <row r="4" spans="1:13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</row>
    <row r="5" spans="1:13" x14ac:dyDescent="0.25">
      <c r="A5" s="4">
        <v>1</v>
      </c>
      <c r="B5" s="38" t="s">
        <v>2</v>
      </c>
      <c r="C5" s="38"/>
      <c r="D5" s="38"/>
      <c r="E5" s="38" t="s">
        <v>2</v>
      </c>
      <c r="F5" s="38"/>
      <c r="G5" s="38"/>
      <c r="H5" s="38" t="s">
        <v>2</v>
      </c>
      <c r="J5" s="48" t="s">
        <v>2</v>
      </c>
      <c r="K5">
        <f>COUNTIF($B$5:$H$95,J5)</f>
        <v>199</v>
      </c>
      <c r="L5" s="34">
        <f t="shared" ref="L5:L10" si="2">K5/$K$11</f>
        <v>0.88444444444444448</v>
      </c>
      <c r="M5" s="52">
        <v>44697</v>
      </c>
    </row>
    <row r="6" spans="1:13" x14ac:dyDescent="0.25">
      <c r="A6" s="4">
        <v>2</v>
      </c>
      <c r="B6" s="38" t="s">
        <v>2</v>
      </c>
      <c r="C6" s="38"/>
      <c r="D6" s="38" t="s">
        <v>2</v>
      </c>
      <c r="E6" s="38"/>
      <c r="F6" s="38" t="s">
        <v>2</v>
      </c>
      <c r="G6" s="38"/>
      <c r="H6" s="38"/>
      <c r="J6" s="42" t="s">
        <v>5</v>
      </c>
      <c r="K6">
        <f>COUNTIF($B$5:$H$95,J6)</f>
        <v>7</v>
      </c>
      <c r="L6" s="35">
        <f t="shared" si="2"/>
        <v>3.111111111111111E-2</v>
      </c>
    </row>
    <row r="7" spans="1:13" x14ac:dyDescent="0.25">
      <c r="A7" s="4">
        <v>3</v>
      </c>
      <c r="B7" s="38"/>
      <c r="C7" s="38" t="s">
        <v>2</v>
      </c>
      <c r="D7" s="38"/>
      <c r="E7" s="38"/>
      <c r="F7" s="38" t="s">
        <v>2</v>
      </c>
      <c r="G7" s="38"/>
      <c r="H7" s="38" t="s">
        <v>2</v>
      </c>
      <c r="J7" s="46" t="s">
        <v>6</v>
      </c>
      <c r="K7">
        <f t="shared" ref="K7:K10" si="3">COUNTIF($B$5:$H$95,J7)</f>
        <v>8</v>
      </c>
      <c r="L7" s="35">
        <f t="shared" si="2"/>
        <v>3.5555555555555556E-2</v>
      </c>
    </row>
    <row r="8" spans="1:13" x14ac:dyDescent="0.25">
      <c r="A8" s="4">
        <v>4</v>
      </c>
      <c r="B8" s="38" t="s">
        <v>2</v>
      </c>
      <c r="C8" s="38" t="s">
        <v>2</v>
      </c>
      <c r="D8" s="38"/>
      <c r="E8" s="38" t="s">
        <v>2</v>
      </c>
      <c r="F8" s="38" t="s">
        <v>2</v>
      </c>
      <c r="G8" s="38" t="s">
        <v>2</v>
      </c>
      <c r="H8" s="38"/>
      <c r="J8" s="47" t="s">
        <v>4</v>
      </c>
      <c r="K8">
        <f t="shared" si="3"/>
        <v>0</v>
      </c>
      <c r="L8" s="35">
        <f t="shared" si="2"/>
        <v>0</v>
      </c>
    </row>
    <row r="9" spans="1:13" x14ac:dyDescent="0.25">
      <c r="A9" s="4">
        <v>5</v>
      </c>
      <c r="B9" s="38"/>
      <c r="C9" s="38" t="s">
        <v>2</v>
      </c>
      <c r="D9" s="38" t="s">
        <v>7</v>
      </c>
      <c r="E9" s="38" t="s">
        <v>7</v>
      </c>
      <c r="F9" s="38" t="s">
        <v>7</v>
      </c>
      <c r="G9" s="38" t="s">
        <v>7</v>
      </c>
      <c r="H9" s="38" t="s">
        <v>2</v>
      </c>
      <c r="J9" s="45" t="s">
        <v>3</v>
      </c>
      <c r="K9">
        <f t="shared" si="3"/>
        <v>0</v>
      </c>
      <c r="L9" s="35">
        <f t="shared" si="2"/>
        <v>0</v>
      </c>
    </row>
    <row r="10" spans="1:13" x14ac:dyDescent="0.25">
      <c r="A10" s="4">
        <v>6</v>
      </c>
      <c r="B10" s="38"/>
      <c r="C10" s="38" t="s">
        <v>2</v>
      </c>
      <c r="D10" s="38"/>
      <c r="E10" s="38"/>
      <c r="F10" s="38" t="s">
        <v>2</v>
      </c>
      <c r="G10" s="38"/>
      <c r="H10" s="38"/>
      <c r="J10" s="43" t="s">
        <v>7</v>
      </c>
      <c r="K10">
        <f t="shared" si="3"/>
        <v>11</v>
      </c>
      <c r="L10" s="37">
        <f t="shared" si="2"/>
        <v>4.8888888888888891E-2</v>
      </c>
    </row>
    <row r="11" spans="1:13" x14ac:dyDescent="0.25">
      <c r="A11" s="4">
        <v>7</v>
      </c>
      <c r="B11" s="38"/>
      <c r="C11" s="38"/>
      <c r="D11" s="38" t="s">
        <v>2</v>
      </c>
      <c r="E11" s="38"/>
      <c r="F11" s="38"/>
      <c r="G11" s="38" t="s">
        <v>2</v>
      </c>
      <c r="H11" s="38"/>
      <c r="J11" s="44" t="s">
        <v>17</v>
      </c>
      <c r="K11">
        <f>SUM(K5:K10)</f>
        <v>225</v>
      </c>
    </row>
    <row r="12" spans="1:13" x14ac:dyDescent="0.25">
      <c r="A12" s="4">
        <v>8</v>
      </c>
      <c r="B12" s="38"/>
      <c r="C12" s="38" t="s">
        <v>2</v>
      </c>
      <c r="D12" s="38"/>
      <c r="E12" s="38"/>
      <c r="F12" s="38" t="s">
        <v>2</v>
      </c>
      <c r="G12" s="38" t="s">
        <v>2</v>
      </c>
      <c r="H12" s="38" t="s">
        <v>2</v>
      </c>
    </row>
    <row r="13" spans="1:13" x14ac:dyDescent="0.25">
      <c r="A13" s="4">
        <v>9</v>
      </c>
      <c r="B13" s="38" t="s">
        <v>2</v>
      </c>
      <c r="C13" s="38" t="s">
        <v>2</v>
      </c>
      <c r="D13" s="38"/>
      <c r="E13" s="38"/>
      <c r="F13" s="38" t="s">
        <v>2</v>
      </c>
      <c r="G13" s="38"/>
      <c r="H13" s="38"/>
    </row>
    <row r="14" spans="1:13" x14ac:dyDescent="0.25">
      <c r="A14" s="4">
        <v>10</v>
      </c>
      <c r="B14" s="38" t="s">
        <v>2</v>
      </c>
      <c r="C14" s="38"/>
      <c r="D14" s="38" t="s">
        <v>2</v>
      </c>
      <c r="E14" s="38"/>
      <c r="F14" s="38" t="s">
        <v>2</v>
      </c>
      <c r="G14" s="38"/>
      <c r="H14" s="38" t="s">
        <v>2</v>
      </c>
    </row>
    <row r="15" spans="1:13" x14ac:dyDescent="0.25">
      <c r="A15" s="4">
        <v>11</v>
      </c>
      <c r="B15" s="38" t="s">
        <v>2</v>
      </c>
      <c r="C15" s="38" t="s">
        <v>2</v>
      </c>
      <c r="D15" s="38" t="s">
        <v>2</v>
      </c>
      <c r="E15" s="38" t="s">
        <v>2</v>
      </c>
      <c r="F15" s="38" t="s">
        <v>2</v>
      </c>
      <c r="G15" s="38" t="s">
        <v>2</v>
      </c>
      <c r="H15" s="38"/>
    </row>
    <row r="16" spans="1:13" x14ac:dyDescent="0.25">
      <c r="A16" s="4">
        <v>12</v>
      </c>
      <c r="B16" s="38" t="s">
        <v>5</v>
      </c>
      <c r="C16" s="38"/>
      <c r="D16" s="38" t="s">
        <v>2</v>
      </c>
      <c r="E16" s="38" t="s">
        <v>2</v>
      </c>
      <c r="F16" s="38" t="s">
        <v>2</v>
      </c>
      <c r="G16" s="38" t="s">
        <v>5</v>
      </c>
      <c r="H16" s="38" t="s">
        <v>5</v>
      </c>
    </row>
    <row r="17" spans="1:8" x14ac:dyDescent="0.25">
      <c r="A17" s="4">
        <v>13</v>
      </c>
      <c r="B17" s="38"/>
      <c r="C17" s="38"/>
      <c r="D17" s="38"/>
      <c r="E17" s="38"/>
      <c r="F17" s="38" t="s">
        <v>2</v>
      </c>
      <c r="G17" s="38" t="s">
        <v>2</v>
      </c>
      <c r="H17" s="38" t="s">
        <v>6</v>
      </c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 t="s">
        <v>2</v>
      </c>
      <c r="C19" s="38"/>
      <c r="D19" s="38"/>
      <c r="E19" s="38" t="s">
        <v>2</v>
      </c>
      <c r="F19" s="38"/>
      <c r="G19" s="38"/>
      <c r="H19" s="38"/>
    </row>
    <row r="20" spans="1:8" x14ac:dyDescent="0.25">
      <c r="A20" s="4">
        <v>16</v>
      </c>
      <c r="B20" s="38"/>
      <c r="C20" s="38"/>
      <c r="D20" s="38" t="s">
        <v>2</v>
      </c>
      <c r="E20" s="38"/>
      <c r="F20" s="38"/>
      <c r="G20" s="38"/>
      <c r="H20" s="38" t="s">
        <v>2</v>
      </c>
    </row>
    <row r="21" spans="1:8" x14ac:dyDescent="0.25">
      <c r="A21" s="4">
        <v>17</v>
      </c>
      <c r="B21" s="38" t="s">
        <v>2</v>
      </c>
      <c r="C21" s="38"/>
      <c r="D21" s="38"/>
      <c r="E21" s="38" t="s">
        <v>2</v>
      </c>
      <c r="F21" s="38"/>
      <c r="G21" s="38"/>
      <c r="H21" s="38" t="s">
        <v>6</v>
      </c>
    </row>
    <row r="22" spans="1:8" x14ac:dyDescent="0.25">
      <c r="A22" s="4">
        <v>18</v>
      </c>
      <c r="B22" s="38"/>
      <c r="C22" s="38"/>
      <c r="D22" s="38"/>
      <c r="E22" s="38"/>
      <c r="F22" s="38"/>
      <c r="G22" s="38"/>
      <c r="H22" s="38" t="s">
        <v>2</v>
      </c>
    </row>
    <row r="23" spans="1:8" x14ac:dyDescent="0.25">
      <c r="A23" s="4">
        <v>19</v>
      </c>
      <c r="B23" s="38" t="s">
        <v>2</v>
      </c>
      <c r="C23" s="38" t="s">
        <v>2</v>
      </c>
      <c r="D23" s="38"/>
      <c r="E23" s="38" t="s">
        <v>2</v>
      </c>
      <c r="F23" s="38"/>
      <c r="G23" s="38"/>
      <c r="H23" s="38"/>
    </row>
    <row r="24" spans="1:8" x14ac:dyDescent="0.25">
      <c r="A24" s="4">
        <v>20</v>
      </c>
      <c r="B24" s="38"/>
      <c r="C24" s="38"/>
      <c r="D24" s="38" t="s">
        <v>2</v>
      </c>
      <c r="E24" s="38"/>
      <c r="F24" s="38"/>
      <c r="G24" s="38" t="s">
        <v>5</v>
      </c>
      <c r="H24" s="38" t="s">
        <v>2</v>
      </c>
    </row>
    <row r="25" spans="1:8" x14ac:dyDescent="0.25">
      <c r="A25" s="4">
        <v>21</v>
      </c>
      <c r="B25" s="38"/>
      <c r="C25" s="38" t="s">
        <v>2</v>
      </c>
      <c r="D25" s="38" t="s">
        <v>6</v>
      </c>
      <c r="E25" s="38"/>
      <c r="F25" s="38"/>
      <c r="G25" s="38" t="s">
        <v>2</v>
      </c>
      <c r="H25" s="38"/>
    </row>
    <row r="26" spans="1:8" x14ac:dyDescent="0.25">
      <c r="A26" s="4">
        <v>22</v>
      </c>
      <c r="B26" s="38" t="s">
        <v>2</v>
      </c>
      <c r="C26" s="38"/>
      <c r="D26" s="38"/>
      <c r="E26" s="38" t="s">
        <v>2</v>
      </c>
      <c r="F26" s="38"/>
      <c r="G26" s="38"/>
      <c r="H26" s="38"/>
    </row>
    <row r="27" spans="1:8" x14ac:dyDescent="0.25">
      <c r="A27" s="4">
        <v>23</v>
      </c>
      <c r="B27" s="38"/>
      <c r="C27" s="38"/>
      <c r="D27" s="38" t="s">
        <v>2</v>
      </c>
      <c r="E27" s="38"/>
      <c r="F27" s="38"/>
      <c r="G27" s="38" t="s">
        <v>2</v>
      </c>
      <c r="H27" s="38"/>
    </row>
    <row r="28" spans="1:8" x14ac:dyDescent="0.25">
      <c r="A28" s="4">
        <v>24</v>
      </c>
      <c r="B28" s="38" t="s">
        <v>2</v>
      </c>
      <c r="C28" s="38"/>
      <c r="D28" s="38" t="s">
        <v>2</v>
      </c>
      <c r="E28" s="38"/>
      <c r="F28" s="38"/>
      <c r="G28" s="38" t="s">
        <v>2</v>
      </c>
      <c r="H28" s="38"/>
    </row>
    <row r="29" spans="1:8" x14ac:dyDescent="0.25">
      <c r="A29" s="4">
        <v>25</v>
      </c>
      <c r="B29" s="38"/>
      <c r="C29" s="38" t="s">
        <v>2</v>
      </c>
      <c r="D29" s="38"/>
      <c r="E29" s="38" t="s">
        <v>2</v>
      </c>
      <c r="F29" s="38"/>
      <c r="G29" s="38" t="s">
        <v>5</v>
      </c>
      <c r="H29" s="38"/>
    </row>
    <row r="30" spans="1:8" x14ac:dyDescent="0.25">
      <c r="A30" s="4">
        <v>26</v>
      </c>
      <c r="B30" s="38" t="s">
        <v>2</v>
      </c>
      <c r="C30" s="38"/>
      <c r="D30" s="38"/>
      <c r="E30" s="38" t="s">
        <v>2</v>
      </c>
      <c r="F30" s="38"/>
      <c r="G30" s="38"/>
      <c r="H30" s="38" t="s">
        <v>2</v>
      </c>
    </row>
    <row r="31" spans="1:8" x14ac:dyDescent="0.25">
      <c r="A31" s="4">
        <v>27</v>
      </c>
      <c r="B31" s="38"/>
      <c r="C31" s="38"/>
      <c r="D31" s="38" t="s">
        <v>2</v>
      </c>
      <c r="E31" s="38"/>
      <c r="F31" s="38"/>
      <c r="G31" s="38" t="s">
        <v>2</v>
      </c>
      <c r="H31" s="38"/>
    </row>
    <row r="32" spans="1:8" x14ac:dyDescent="0.25">
      <c r="A32" s="4">
        <v>28</v>
      </c>
      <c r="B32" s="38"/>
      <c r="C32" s="38"/>
      <c r="D32" s="38"/>
      <c r="E32" s="38" t="s">
        <v>2</v>
      </c>
      <c r="F32" s="38"/>
      <c r="G32" s="38"/>
      <c r="H32" s="38" t="s">
        <v>2</v>
      </c>
    </row>
    <row r="33" spans="1:8" x14ac:dyDescent="0.25">
      <c r="A33" s="4">
        <v>29</v>
      </c>
      <c r="B33" s="38"/>
      <c r="C33" s="38" t="s">
        <v>2</v>
      </c>
      <c r="D33" s="38"/>
      <c r="E33" s="38" t="s">
        <v>2</v>
      </c>
      <c r="F33" s="38"/>
      <c r="G33" s="38" t="s">
        <v>2</v>
      </c>
      <c r="H33" s="38"/>
    </row>
    <row r="34" spans="1:8" x14ac:dyDescent="0.25">
      <c r="A34" s="4">
        <v>30</v>
      </c>
      <c r="B34" s="38"/>
      <c r="C34" s="38"/>
      <c r="D34" s="38"/>
      <c r="E34" s="38" t="s">
        <v>2</v>
      </c>
      <c r="F34" s="38"/>
      <c r="G34" s="38" t="s">
        <v>2</v>
      </c>
      <c r="H34" s="38"/>
    </row>
    <row r="35" spans="1:8" x14ac:dyDescent="0.25">
      <c r="A35" s="4">
        <v>31</v>
      </c>
      <c r="B35" s="38"/>
      <c r="C35" s="38"/>
      <c r="D35" s="38" t="s">
        <v>6</v>
      </c>
      <c r="E35" s="38" t="s">
        <v>6</v>
      </c>
      <c r="F35" s="38"/>
      <c r="G35" s="38" t="s">
        <v>2</v>
      </c>
      <c r="H35" s="38"/>
    </row>
    <row r="36" spans="1:8" x14ac:dyDescent="0.25">
      <c r="A36" s="4">
        <v>32</v>
      </c>
      <c r="B36" s="38" t="s">
        <v>2</v>
      </c>
      <c r="C36" s="38"/>
      <c r="D36" s="38" t="s">
        <v>2</v>
      </c>
      <c r="E36" s="38"/>
      <c r="F36" s="38" t="s">
        <v>2</v>
      </c>
      <c r="G36" s="38"/>
      <c r="H36" s="38" t="s">
        <v>2</v>
      </c>
    </row>
    <row r="37" spans="1:8" x14ac:dyDescent="0.25">
      <c r="A37" s="4">
        <v>33</v>
      </c>
      <c r="B37" s="38" t="s">
        <v>2</v>
      </c>
      <c r="C37" s="38"/>
      <c r="D37" s="38" t="s">
        <v>2</v>
      </c>
      <c r="E37" s="38"/>
      <c r="F37" s="38" t="s">
        <v>2</v>
      </c>
      <c r="G37" s="38"/>
      <c r="H37" s="38" t="s">
        <v>2</v>
      </c>
    </row>
    <row r="38" spans="1:8" x14ac:dyDescent="0.25">
      <c r="A38" s="4">
        <v>34</v>
      </c>
      <c r="B38" s="38"/>
      <c r="C38" s="38" t="s">
        <v>2</v>
      </c>
      <c r="D38" s="38"/>
      <c r="E38" s="38" t="s">
        <v>2</v>
      </c>
      <c r="F38" s="38"/>
      <c r="G38" s="38" t="s">
        <v>2</v>
      </c>
      <c r="H38" s="38"/>
    </row>
    <row r="39" spans="1:8" x14ac:dyDescent="0.25">
      <c r="A39" s="4">
        <v>35</v>
      </c>
      <c r="B39" s="38"/>
      <c r="C39" s="38" t="s">
        <v>2</v>
      </c>
      <c r="D39" s="38"/>
      <c r="E39" s="38" t="s">
        <v>7</v>
      </c>
      <c r="F39" s="38"/>
      <c r="G39" s="38"/>
      <c r="H39" s="38" t="s">
        <v>2</v>
      </c>
    </row>
    <row r="40" spans="1:8" x14ac:dyDescent="0.25">
      <c r="A40" s="4">
        <v>36</v>
      </c>
      <c r="B40" s="38" t="s">
        <v>7</v>
      </c>
      <c r="C40" s="38" t="s">
        <v>7</v>
      </c>
      <c r="D40" s="38"/>
      <c r="E40" s="38" t="s">
        <v>2</v>
      </c>
      <c r="F40" s="38"/>
      <c r="G40" s="38" t="s">
        <v>2</v>
      </c>
      <c r="H40" s="38"/>
    </row>
    <row r="41" spans="1:8" x14ac:dyDescent="0.25">
      <c r="A41" s="4">
        <v>37</v>
      </c>
      <c r="B41" s="38"/>
      <c r="C41" s="38"/>
      <c r="D41" s="38" t="s">
        <v>2</v>
      </c>
      <c r="E41" s="38" t="s">
        <v>7</v>
      </c>
      <c r="F41" s="38" t="s">
        <v>2</v>
      </c>
      <c r="G41" s="38"/>
      <c r="H41" s="38" t="s">
        <v>2</v>
      </c>
    </row>
    <row r="42" spans="1:8" x14ac:dyDescent="0.25">
      <c r="A42" s="4">
        <v>38</v>
      </c>
      <c r="B42" s="38" t="s">
        <v>2</v>
      </c>
      <c r="C42" s="38"/>
      <c r="D42" s="38"/>
      <c r="E42" s="38"/>
      <c r="F42" s="38"/>
      <c r="G42" s="38"/>
      <c r="H42" s="38" t="s">
        <v>6</v>
      </c>
    </row>
    <row r="43" spans="1:8" x14ac:dyDescent="0.25">
      <c r="A43" s="4">
        <v>39</v>
      </c>
      <c r="B43" s="38"/>
      <c r="C43" s="38" t="s">
        <v>2</v>
      </c>
      <c r="D43" s="38"/>
      <c r="E43" s="38"/>
      <c r="F43" s="38" t="s">
        <v>2</v>
      </c>
      <c r="G43" s="38"/>
      <c r="H43" s="38"/>
    </row>
    <row r="44" spans="1:8" x14ac:dyDescent="0.25">
      <c r="A44" s="4">
        <v>40</v>
      </c>
      <c r="B44" s="38" t="s">
        <v>2</v>
      </c>
      <c r="C44" s="38"/>
      <c r="D44" s="38"/>
      <c r="E44" s="38" t="s">
        <v>2</v>
      </c>
      <c r="F44" s="38"/>
      <c r="G44" s="38"/>
      <c r="H44" s="38" t="s">
        <v>5</v>
      </c>
    </row>
    <row r="45" spans="1:8" x14ac:dyDescent="0.25">
      <c r="A45" s="4">
        <v>41</v>
      </c>
      <c r="B45" s="38"/>
      <c r="C45" s="38"/>
      <c r="D45" s="38" t="s">
        <v>2</v>
      </c>
      <c r="E45" s="38"/>
      <c r="F45" s="38"/>
      <c r="G45" s="38" t="s">
        <v>2</v>
      </c>
      <c r="H45" s="38"/>
    </row>
    <row r="46" spans="1:8" x14ac:dyDescent="0.25">
      <c r="A46" s="4">
        <v>42</v>
      </c>
      <c r="B46" s="38"/>
      <c r="C46" s="38" t="s">
        <v>7</v>
      </c>
      <c r="D46" s="38"/>
      <c r="E46" s="38"/>
      <c r="F46" s="38" t="s">
        <v>2</v>
      </c>
      <c r="G46" s="38"/>
      <c r="H46" s="38"/>
    </row>
    <row r="47" spans="1:8" x14ac:dyDescent="0.25">
      <c r="A47" s="4">
        <v>43</v>
      </c>
      <c r="B47" s="38" t="s">
        <v>2</v>
      </c>
      <c r="C47" s="38"/>
      <c r="D47" s="38"/>
      <c r="E47" s="38" t="s">
        <v>2</v>
      </c>
      <c r="F47" s="38"/>
      <c r="G47" s="38"/>
      <c r="H47" s="38" t="s">
        <v>2</v>
      </c>
    </row>
    <row r="48" spans="1:8" x14ac:dyDescent="0.25">
      <c r="A48" s="4">
        <v>44</v>
      </c>
      <c r="B48" s="38" t="s">
        <v>2</v>
      </c>
      <c r="C48" s="38"/>
      <c r="D48" s="38" t="s">
        <v>2</v>
      </c>
      <c r="E48" s="38"/>
      <c r="F48" s="38" t="s">
        <v>2</v>
      </c>
      <c r="G48" s="38"/>
      <c r="H48" s="38"/>
    </row>
    <row r="49" spans="1:8" x14ac:dyDescent="0.25">
      <c r="A49" s="4">
        <v>45</v>
      </c>
      <c r="B49" s="38"/>
      <c r="C49" s="38" t="s">
        <v>2</v>
      </c>
      <c r="D49" s="38"/>
      <c r="E49" s="38" t="s">
        <v>2</v>
      </c>
      <c r="F49" s="38"/>
      <c r="G49" s="38"/>
      <c r="H49" s="38"/>
    </row>
    <row r="50" spans="1:8" x14ac:dyDescent="0.25">
      <c r="A50" s="4">
        <v>46</v>
      </c>
      <c r="B50" s="38"/>
      <c r="C50" s="38"/>
      <c r="D50" s="38"/>
      <c r="E50" s="38"/>
      <c r="F50" s="38"/>
      <c r="G50" s="38"/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 t="s">
        <v>2</v>
      </c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2</v>
      </c>
      <c r="D54" s="38"/>
      <c r="E54" s="38"/>
      <c r="F54" s="38" t="s">
        <v>2</v>
      </c>
      <c r="G54" s="38"/>
      <c r="H54" s="38"/>
    </row>
    <row r="55" spans="1:8" x14ac:dyDescent="0.25">
      <c r="A55" s="4">
        <v>51</v>
      </c>
      <c r="B55" s="38"/>
      <c r="C55" s="38"/>
      <c r="D55" s="38" t="s">
        <v>2</v>
      </c>
      <c r="E55" s="38"/>
      <c r="F55" s="38"/>
      <c r="G55" s="38"/>
      <c r="H55" s="38"/>
    </row>
    <row r="56" spans="1:8" x14ac:dyDescent="0.25">
      <c r="A56" s="4">
        <v>52</v>
      </c>
      <c r="B56" s="38"/>
      <c r="C56" s="38"/>
      <c r="D56" s="38"/>
      <c r="E56" s="38"/>
      <c r="F56" s="38"/>
      <c r="G56" s="38" t="s">
        <v>2</v>
      </c>
      <c r="H56" s="38"/>
    </row>
    <row r="57" spans="1:8" x14ac:dyDescent="0.25">
      <c r="A57" s="4">
        <v>53</v>
      </c>
      <c r="B57" s="38"/>
      <c r="C57" s="38" t="s">
        <v>2</v>
      </c>
      <c r="D57" s="38"/>
      <c r="E57" s="38"/>
      <c r="F57" s="38" t="s">
        <v>2</v>
      </c>
      <c r="G57" s="38"/>
      <c r="H57" s="38"/>
    </row>
    <row r="58" spans="1:8" x14ac:dyDescent="0.25">
      <c r="A58" s="4">
        <v>54</v>
      </c>
      <c r="B58" s="38"/>
      <c r="C58" s="38" t="s">
        <v>2</v>
      </c>
      <c r="D58" s="38"/>
      <c r="E58" s="38"/>
      <c r="F58" s="38" t="s">
        <v>2</v>
      </c>
      <c r="G58" s="38"/>
      <c r="H58" s="38"/>
    </row>
    <row r="59" spans="1:8" x14ac:dyDescent="0.25">
      <c r="A59" s="4">
        <v>55</v>
      </c>
      <c r="B59" s="38" t="s">
        <v>2</v>
      </c>
      <c r="C59" s="38"/>
      <c r="D59" s="38"/>
      <c r="E59" s="38" t="s">
        <v>2</v>
      </c>
      <c r="F59" s="38"/>
      <c r="G59" s="38"/>
      <c r="H59" s="38"/>
    </row>
    <row r="60" spans="1:8" x14ac:dyDescent="0.25">
      <c r="A60" s="4">
        <v>56</v>
      </c>
      <c r="B60" s="38" t="s">
        <v>2</v>
      </c>
      <c r="C60" s="38"/>
      <c r="D60" s="38"/>
      <c r="E60" s="38" t="s">
        <v>2</v>
      </c>
      <c r="F60" s="38"/>
      <c r="G60" s="38"/>
      <c r="H60" s="38" t="s">
        <v>2</v>
      </c>
    </row>
    <row r="61" spans="1:8" x14ac:dyDescent="0.25">
      <c r="A61" s="18">
        <v>73</v>
      </c>
      <c r="B61" s="38" t="s">
        <v>2</v>
      </c>
      <c r="C61" s="38"/>
      <c r="D61" s="38" t="s">
        <v>7</v>
      </c>
      <c r="E61" s="38" t="s">
        <v>7</v>
      </c>
      <c r="F61" s="38" t="s">
        <v>6</v>
      </c>
      <c r="G61" s="38"/>
      <c r="H61" s="38"/>
    </row>
    <row r="62" spans="1:8" x14ac:dyDescent="0.25">
      <c r="A62" s="18">
        <v>74</v>
      </c>
      <c r="B62" s="38" t="s">
        <v>2</v>
      </c>
      <c r="C62" s="38" t="s">
        <v>2</v>
      </c>
      <c r="D62" s="38" t="s">
        <v>2</v>
      </c>
      <c r="E62" s="38" t="s">
        <v>2</v>
      </c>
      <c r="F62" s="38"/>
      <c r="G62" s="38" t="s">
        <v>6</v>
      </c>
      <c r="H62" s="38"/>
    </row>
    <row r="63" spans="1:8" x14ac:dyDescent="0.25">
      <c r="A63" s="18">
        <v>101</v>
      </c>
      <c r="B63" s="39" t="s">
        <v>2</v>
      </c>
      <c r="C63" s="38"/>
      <c r="D63" s="38" t="s">
        <v>2</v>
      </c>
      <c r="E63" s="38"/>
      <c r="F63" s="38"/>
      <c r="G63" s="38"/>
      <c r="H63" s="38"/>
    </row>
    <row r="64" spans="1:8" x14ac:dyDescent="0.25">
      <c r="A64" s="18">
        <v>102</v>
      </c>
      <c r="B64" s="38"/>
      <c r="C64" s="38" t="s">
        <v>2</v>
      </c>
      <c r="D64" s="38"/>
      <c r="E64" s="38" t="s">
        <v>2</v>
      </c>
      <c r="F64" s="38"/>
      <c r="G64" s="38"/>
      <c r="H64" s="38" t="s">
        <v>2</v>
      </c>
    </row>
    <row r="65" spans="1:8" x14ac:dyDescent="0.25">
      <c r="A65" s="18">
        <v>103</v>
      </c>
      <c r="B65" s="38" t="s">
        <v>2</v>
      </c>
      <c r="C65" s="38"/>
      <c r="D65" s="38" t="s">
        <v>2</v>
      </c>
      <c r="E65" s="38"/>
      <c r="F65" s="38"/>
      <c r="G65" s="38" t="s">
        <v>2</v>
      </c>
      <c r="H65" s="38"/>
    </row>
    <row r="66" spans="1:8" x14ac:dyDescent="0.25">
      <c r="A66" s="18">
        <v>104</v>
      </c>
      <c r="B66" s="38"/>
      <c r="C66" s="38" t="s">
        <v>2</v>
      </c>
      <c r="D66" s="38"/>
      <c r="E66" s="38" t="s">
        <v>2</v>
      </c>
      <c r="F66" s="38"/>
      <c r="G66" s="38"/>
      <c r="H66" s="38" t="s">
        <v>2</v>
      </c>
    </row>
    <row r="67" spans="1:8" x14ac:dyDescent="0.25">
      <c r="A67" s="18">
        <v>105</v>
      </c>
      <c r="B67" s="38"/>
      <c r="C67" s="38" t="s">
        <v>2</v>
      </c>
      <c r="D67" s="38"/>
      <c r="E67" s="38" t="s">
        <v>2</v>
      </c>
      <c r="F67" s="38"/>
      <c r="G67" s="38"/>
      <c r="H67" s="38" t="s">
        <v>2</v>
      </c>
    </row>
    <row r="68" spans="1:8" x14ac:dyDescent="0.25">
      <c r="A68" s="18">
        <v>106</v>
      </c>
      <c r="B68" s="38" t="s">
        <v>2</v>
      </c>
      <c r="C68" s="38" t="s">
        <v>2</v>
      </c>
      <c r="D68" s="38" t="s">
        <v>2</v>
      </c>
      <c r="E68" s="38" t="s">
        <v>2</v>
      </c>
      <c r="F68" s="38" t="s">
        <v>2</v>
      </c>
      <c r="G68" s="38"/>
      <c r="H68" s="38" t="s">
        <v>2</v>
      </c>
    </row>
    <row r="69" spans="1:8" x14ac:dyDescent="0.25">
      <c r="A69" s="18">
        <v>107</v>
      </c>
      <c r="B69" s="38" t="s">
        <v>2</v>
      </c>
      <c r="C69" s="38"/>
      <c r="D69" s="38" t="s">
        <v>2</v>
      </c>
      <c r="E69" s="38"/>
      <c r="F69" s="38"/>
      <c r="G69" s="38" t="s">
        <v>2</v>
      </c>
      <c r="H69" s="38"/>
    </row>
    <row r="70" spans="1:8" x14ac:dyDescent="0.25">
      <c r="A70" s="18">
        <v>108</v>
      </c>
      <c r="B70" s="38"/>
      <c r="C70" s="38"/>
      <c r="D70" s="38"/>
      <c r="E70" s="38"/>
      <c r="F70" s="38" t="s">
        <v>2</v>
      </c>
      <c r="G70" s="38"/>
      <c r="H70" s="38"/>
    </row>
    <row r="71" spans="1:8" x14ac:dyDescent="0.25">
      <c r="A71" s="18">
        <v>109</v>
      </c>
      <c r="B71" s="38"/>
      <c r="C71" s="38" t="s">
        <v>2</v>
      </c>
      <c r="D71" s="38"/>
      <c r="E71" s="38" t="s">
        <v>2</v>
      </c>
      <c r="F71" s="38"/>
      <c r="G71" s="38" t="s">
        <v>2</v>
      </c>
      <c r="H71" s="38"/>
    </row>
    <row r="72" spans="1:8" x14ac:dyDescent="0.25">
      <c r="A72" s="18">
        <v>110</v>
      </c>
      <c r="B72" s="38"/>
      <c r="C72" s="38" t="s">
        <v>2</v>
      </c>
      <c r="D72" s="38"/>
      <c r="E72" s="38" t="s">
        <v>2</v>
      </c>
      <c r="F72" s="38"/>
      <c r="G72" s="38" t="s">
        <v>2</v>
      </c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/>
      <c r="E74" s="38"/>
      <c r="F74" s="38"/>
      <c r="G74" s="38"/>
      <c r="H74" s="38"/>
    </row>
    <row r="75" spans="1:8" x14ac:dyDescent="0.25">
      <c r="A75" s="18">
        <v>113</v>
      </c>
      <c r="B75" s="38" t="s">
        <v>2</v>
      </c>
      <c r="C75" s="38" t="s">
        <v>2</v>
      </c>
      <c r="D75" s="38"/>
      <c r="E75" s="38" t="s">
        <v>2</v>
      </c>
      <c r="F75" s="38" t="s">
        <v>2</v>
      </c>
      <c r="G75" s="38"/>
      <c r="H75" s="38" t="s">
        <v>2</v>
      </c>
    </row>
    <row r="76" spans="1:8" x14ac:dyDescent="0.25">
      <c r="A76" s="18">
        <v>114</v>
      </c>
      <c r="B76" s="38"/>
      <c r="C76" s="38"/>
      <c r="D76" s="38"/>
      <c r="E76" s="38"/>
      <c r="F76" s="38"/>
      <c r="G76" s="38"/>
      <c r="H76" s="38"/>
    </row>
    <row r="77" spans="1:8" x14ac:dyDescent="0.25">
      <c r="A77" s="18">
        <v>115</v>
      </c>
      <c r="B77" s="38"/>
      <c r="C77" s="38" t="s">
        <v>2</v>
      </c>
      <c r="D77" s="38" t="s">
        <v>2</v>
      </c>
      <c r="E77" s="38"/>
      <c r="F77" s="38" t="s">
        <v>2</v>
      </c>
      <c r="G77" s="38" t="s">
        <v>2</v>
      </c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 t="s">
        <v>2</v>
      </c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18">
        <v>120</v>
      </c>
      <c r="B82" s="38"/>
      <c r="C82" s="38"/>
      <c r="D82" s="38"/>
      <c r="E82" s="38"/>
      <c r="F82" s="38" t="s">
        <v>2</v>
      </c>
      <c r="G82" s="38" t="s">
        <v>2</v>
      </c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 t="s">
        <v>2</v>
      </c>
      <c r="E84" s="38"/>
      <c r="F84" s="38" t="s">
        <v>2</v>
      </c>
      <c r="G84" s="38" t="s">
        <v>2</v>
      </c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 t="s">
        <v>2</v>
      </c>
      <c r="C86" s="38" t="s">
        <v>2</v>
      </c>
      <c r="D86" s="38"/>
      <c r="E86" s="38"/>
      <c r="F86" s="38"/>
      <c r="G86" s="38"/>
      <c r="H86" s="38" t="s">
        <v>2</v>
      </c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 t="s">
        <v>2</v>
      </c>
      <c r="D90" s="38" t="s">
        <v>2</v>
      </c>
      <c r="E90" s="38" t="s">
        <v>2</v>
      </c>
      <c r="F90" s="38" t="s">
        <v>2</v>
      </c>
      <c r="G90" s="38" t="s">
        <v>2</v>
      </c>
      <c r="H90" s="38" t="s">
        <v>2</v>
      </c>
    </row>
    <row r="91" spans="1:8" x14ac:dyDescent="0.25">
      <c r="A91" s="18">
        <v>129</v>
      </c>
      <c r="B91" s="38"/>
      <c r="C91" s="38" t="s">
        <v>2</v>
      </c>
      <c r="D91" s="38"/>
      <c r="E91" s="38" t="s">
        <v>2</v>
      </c>
      <c r="F91" s="38"/>
      <c r="G91" s="38" t="s">
        <v>2</v>
      </c>
      <c r="H91" s="38"/>
    </row>
    <row r="92" spans="1:8" x14ac:dyDescent="0.25">
      <c r="A92" s="18">
        <v>130</v>
      </c>
      <c r="B92" s="38" t="s">
        <v>2</v>
      </c>
      <c r="C92" s="38" t="s">
        <v>2</v>
      </c>
      <c r="D92" s="38" t="s">
        <v>2</v>
      </c>
      <c r="E92" s="38" t="s">
        <v>2</v>
      </c>
      <c r="F92" s="38" t="s">
        <v>2</v>
      </c>
      <c r="G92" s="38" t="s">
        <v>2</v>
      </c>
      <c r="H92" s="38" t="s">
        <v>2</v>
      </c>
    </row>
    <row r="93" spans="1:8" x14ac:dyDescent="0.25">
      <c r="A93" s="18">
        <v>131</v>
      </c>
      <c r="B93" s="38"/>
      <c r="C93" s="38" t="s">
        <v>2</v>
      </c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 t="s">
        <v>5</v>
      </c>
      <c r="C95" s="38"/>
      <c r="D95" s="38"/>
      <c r="E95" s="38"/>
      <c r="F95" s="38"/>
      <c r="G95" s="38"/>
      <c r="H95" s="38" t="s">
        <v>2</v>
      </c>
    </row>
  </sheetData>
  <mergeCells count="1">
    <mergeCell ref="A1:H2"/>
  </mergeCells>
  <conditionalFormatting sqref="B61:I62 I5:I60 B63:H95">
    <cfRule type="cellIs" dxfId="941" priority="18" operator="equal">
      <formula>"Energia"</formula>
    </cfRule>
    <cfRule type="cellIs" dxfId="940" priority="20" operator="equal">
      <formula>"Operação"</formula>
    </cfRule>
    <cfRule type="cellIs" dxfId="939" priority="21" operator="equal">
      <formula>"Chuva"</formula>
    </cfRule>
    <cfRule type="cellIs" dxfId="938" priority="22" operator="equal">
      <formula>"Elétrico"</formula>
    </cfRule>
    <cfRule type="cellIs" dxfId="937" priority="23" operator="equal">
      <formula>"Mecânico"</formula>
    </cfRule>
    <cfRule type="cellIs" dxfId="936" priority="24" operator="equal">
      <formula>"Ok"</formula>
    </cfRule>
  </conditionalFormatting>
  <conditionalFormatting sqref="B61:I62 I5:I60 B63:H95">
    <cfRule type="cellIs" dxfId="935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934" priority="16" operator="equal">
      <formula>"Energia"</formula>
    </cfRule>
  </conditionalFormatting>
  <conditionalFormatting sqref="B5:E60 G5:H60">
    <cfRule type="cellIs" dxfId="933" priority="9" operator="equal">
      <formula>"Energia"</formula>
    </cfRule>
    <cfRule type="cellIs" dxfId="932" priority="11" operator="equal">
      <formula>"Operação"</formula>
    </cfRule>
    <cfRule type="cellIs" dxfId="931" priority="12" operator="equal">
      <formula>"Chuva"</formula>
    </cfRule>
    <cfRule type="cellIs" dxfId="930" priority="13" operator="equal">
      <formula>"Elétrico"</formula>
    </cfRule>
    <cfRule type="cellIs" dxfId="929" priority="14" operator="equal">
      <formula>"Mecânico"</formula>
    </cfRule>
    <cfRule type="cellIs" dxfId="928" priority="15" operator="equal">
      <formula>"Ok"</formula>
    </cfRule>
  </conditionalFormatting>
  <conditionalFormatting sqref="B5:E60 G5:H60">
    <cfRule type="cellIs" dxfId="927" priority="10" operator="equal">
      <formula>"Feito"</formula>
    </cfRule>
  </conditionalFormatting>
  <conditionalFormatting sqref="F5:F11">
    <cfRule type="cellIs" dxfId="926" priority="8" operator="equal">
      <formula>"Energia"</formula>
    </cfRule>
  </conditionalFormatting>
  <conditionalFormatting sqref="F5:F60">
    <cfRule type="cellIs" dxfId="925" priority="1" operator="equal">
      <formula>"Energia"</formula>
    </cfRule>
    <cfRule type="cellIs" dxfId="924" priority="3" operator="equal">
      <formula>"Operação"</formula>
    </cfRule>
    <cfRule type="cellIs" dxfId="923" priority="4" operator="equal">
      <formula>"Chuva"</formula>
    </cfRule>
    <cfRule type="cellIs" dxfId="922" priority="5" operator="equal">
      <formula>"Elétrico"</formula>
    </cfRule>
    <cfRule type="cellIs" dxfId="921" priority="6" operator="equal">
      <formula>"Mecânico"</formula>
    </cfRule>
    <cfRule type="cellIs" dxfId="920" priority="7" operator="equal">
      <formula>"Ok"</formula>
    </cfRule>
  </conditionalFormatting>
  <conditionalFormatting sqref="F5:F60">
    <cfRule type="cellIs" dxfId="919" priority="2" operator="equal">
      <formula>"Feito"</formula>
    </cfRule>
  </conditionalFormatting>
  <dataValidations count="1">
    <dataValidation type="list" allowBlank="1" showInputMessage="1" showErrorMessage="1" sqref="B61:I62 B5:I26 B27:J60 B63:H95" xr:uid="{3937F2D2-9BF8-45C2-9FF6-EAE2B74C9F8A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4961-4A05-4116-8C89-60BCD1D30A35}">
  <dimension ref="A1:M95"/>
  <sheetViews>
    <sheetView zoomScale="115" zoomScaleNormal="115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3" max="13" width="11.85546875" bestFit="1" customWidth="1"/>
    <col min="17" max="17" width="8.5703125" customWidth="1"/>
  </cols>
  <sheetData>
    <row r="1" spans="1:13" x14ac:dyDescent="0.25">
      <c r="A1" s="70" t="s">
        <v>26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4" t="s">
        <v>16</v>
      </c>
      <c r="B3" s="23">
        <v>44704</v>
      </c>
      <c r="C3" s="23">
        <f>B3+1</f>
        <v>44705</v>
      </c>
      <c r="D3" s="23">
        <f t="shared" ref="D3:H3" si="0">C3+1</f>
        <v>44706</v>
      </c>
      <c r="E3" s="23">
        <f t="shared" si="0"/>
        <v>44707</v>
      </c>
      <c r="F3" s="23">
        <f t="shared" si="0"/>
        <v>44708</v>
      </c>
      <c r="G3" s="23">
        <f t="shared" si="0"/>
        <v>44709</v>
      </c>
      <c r="H3" s="25">
        <f t="shared" si="0"/>
        <v>44710</v>
      </c>
      <c r="I3" s="3"/>
    </row>
    <row r="4" spans="1:13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</row>
    <row r="5" spans="1:13" x14ac:dyDescent="0.25">
      <c r="A5" s="4">
        <v>1</v>
      </c>
      <c r="B5" s="38"/>
      <c r="C5" s="38"/>
      <c r="D5" s="38" t="s">
        <v>2</v>
      </c>
      <c r="E5" s="38"/>
      <c r="F5" s="38"/>
      <c r="G5" s="38" t="s">
        <v>2</v>
      </c>
      <c r="H5" s="38"/>
      <c r="J5" s="48" t="s">
        <v>2</v>
      </c>
      <c r="K5">
        <f>COUNTIF($B$5:$H$95,J5)</f>
        <v>197</v>
      </c>
      <c r="L5" s="34">
        <f t="shared" ref="L5:L10" si="2">K5/$K$11</f>
        <v>0.84549356223175964</v>
      </c>
      <c r="M5" s="52">
        <v>44704</v>
      </c>
    </row>
    <row r="6" spans="1:13" x14ac:dyDescent="0.25">
      <c r="A6" s="4">
        <v>2</v>
      </c>
      <c r="B6" s="38" t="s">
        <v>6</v>
      </c>
      <c r="C6" s="38" t="s">
        <v>6</v>
      </c>
      <c r="D6" s="38"/>
      <c r="E6" s="38" t="s">
        <v>2</v>
      </c>
      <c r="F6" s="38"/>
      <c r="G6" s="38" t="s">
        <v>2</v>
      </c>
      <c r="H6" s="38" t="s">
        <v>2</v>
      </c>
      <c r="J6" s="42" t="s">
        <v>5</v>
      </c>
      <c r="K6">
        <f>COUNTIF($B$5:$H$95,J6)</f>
        <v>20</v>
      </c>
      <c r="L6" s="35">
        <f t="shared" si="2"/>
        <v>8.5836909871244635E-2</v>
      </c>
    </row>
    <row r="7" spans="1:13" x14ac:dyDescent="0.25">
      <c r="A7" s="4">
        <v>3</v>
      </c>
      <c r="B7" s="38"/>
      <c r="C7" s="38" t="s">
        <v>2</v>
      </c>
      <c r="D7" s="38"/>
      <c r="E7" s="38" t="s">
        <v>5</v>
      </c>
      <c r="F7" s="38"/>
      <c r="G7" s="38"/>
      <c r="H7" s="38" t="s">
        <v>2</v>
      </c>
      <c r="J7" s="46" t="s">
        <v>6</v>
      </c>
      <c r="K7">
        <f t="shared" ref="K7:K10" si="3">COUNTIF($B$5:$H$95,J7)</f>
        <v>5</v>
      </c>
      <c r="L7" s="35">
        <f t="shared" si="2"/>
        <v>2.1459227467811159E-2</v>
      </c>
    </row>
    <row r="8" spans="1:13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 t="s">
        <v>2</v>
      </c>
      <c r="G8" s="38" t="s">
        <v>2</v>
      </c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</row>
    <row r="9" spans="1:13" x14ac:dyDescent="0.25">
      <c r="A9" s="4">
        <v>5</v>
      </c>
      <c r="B9" s="38"/>
      <c r="C9" s="38" t="s">
        <v>5</v>
      </c>
      <c r="D9" s="38"/>
      <c r="E9" s="38" t="s">
        <v>2</v>
      </c>
      <c r="F9" s="38"/>
      <c r="G9" s="38" t="s">
        <v>2</v>
      </c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3" x14ac:dyDescent="0.25">
      <c r="A10" s="4">
        <v>6</v>
      </c>
      <c r="B10" s="38" t="s">
        <v>2</v>
      </c>
      <c r="C10" s="38"/>
      <c r="D10" s="38"/>
      <c r="E10" s="38" t="s">
        <v>7</v>
      </c>
      <c r="F10" s="38"/>
      <c r="G10" s="38" t="s">
        <v>2</v>
      </c>
      <c r="H10" s="38"/>
      <c r="J10" s="43" t="s">
        <v>7</v>
      </c>
      <c r="K10">
        <f t="shared" si="3"/>
        <v>11</v>
      </c>
      <c r="L10" s="37">
        <f t="shared" si="2"/>
        <v>4.7210300429184553E-2</v>
      </c>
    </row>
    <row r="11" spans="1:13" x14ac:dyDescent="0.25">
      <c r="A11" s="4">
        <v>7</v>
      </c>
      <c r="B11" s="38"/>
      <c r="C11" s="38" t="s">
        <v>2</v>
      </c>
      <c r="D11" s="38" t="s">
        <v>2</v>
      </c>
      <c r="E11" s="38"/>
      <c r="F11" s="38" t="s">
        <v>2</v>
      </c>
      <c r="G11" s="38"/>
      <c r="H11" s="38" t="s">
        <v>2</v>
      </c>
      <c r="J11" s="44" t="s">
        <v>17</v>
      </c>
      <c r="K11">
        <f>SUM(K5:K10)</f>
        <v>233</v>
      </c>
    </row>
    <row r="12" spans="1:13" x14ac:dyDescent="0.25">
      <c r="A12" s="4">
        <v>8</v>
      </c>
      <c r="B12" s="38" t="s">
        <v>2</v>
      </c>
      <c r="C12" s="38" t="s">
        <v>2</v>
      </c>
      <c r="D12" s="38" t="s">
        <v>2</v>
      </c>
      <c r="E12" s="38" t="s">
        <v>7</v>
      </c>
      <c r="F12" s="38"/>
      <c r="G12" s="38"/>
      <c r="H12" s="38" t="s">
        <v>2</v>
      </c>
    </row>
    <row r="13" spans="1:13" x14ac:dyDescent="0.25">
      <c r="A13" s="4">
        <v>9</v>
      </c>
      <c r="B13" s="38" t="s">
        <v>2</v>
      </c>
      <c r="C13" s="38"/>
      <c r="D13" s="38"/>
      <c r="E13" s="38" t="s">
        <v>2</v>
      </c>
      <c r="F13" s="38"/>
      <c r="G13" s="38"/>
      <c r="H13" s="38" t="s">
        <v>2</v>
      </c>
    </row>
    <row r="14" spans="1:13" x14ac:dyDescent="0.25">
      <c r="A14" s="4">
        <v>10</v>
      </c>
      <c r="B14" s="38"/>
      <c r="C14" s="38" t="s">
        <v>2</v>
      </c>
      <c r="D14" s="38" t="s">
        <v>2</v>
      </c>
      <c r="E14" s="38" t="s">
        <v>2</v>
      </c>
      <c r="F14" s="38"/>
      <c r="G14" s="38" t="s">
        <v>2</v>
      </c>
      <c r="H14" s="38"/>
    </row>
    <row r="15" spans="1:13" x14ac:dyDescent="0.25">
      <c r="A15" s="4">
        <v>11</v>
      </c>
      <c r="B15" s="38"/>
      <c r="C15" s="38"/>
      <c r="D15" s="38" t="s">
        <v>5</v>
      </c>
      <c r="E15" s="38"/>
      <c r="F15" s="38" t="s">
        <v>2</v>
      </c>
      <c r="G15" s="38"/>
      <c r="H15" s="38" t="s">
        <v>2</v>
      </c>
    </row>
    <row r="16" spans="1:13" x14ac:dyDescent="0.25">
      <c r="A16" s="4">
        <v>12</v>
      </c>
      <c r="B16" s="38" t="s">
        <v>5</v>
      </c>
      <c r="C16" s="38" t="s">
        <v>5</v>
      </c>
      <c r="D16" s="38" t="s">
        <v>7</v>
      </c>
      <c r="E16" s="38" t="s">
        <v>2</v>
      </c>
      <c r="F16" s="38" t="s">
        <v>2</v>
      </c>
      <c r="G16" s="38" t="s">
        <v>2</v>
      </c>
      <c r="H16" s="38" t="s">
        <v>2</v>
      </c>
    </row>
    <row r="17" spans="1:8" x14ac:dyDescent="0.25">
      <c r="A17" s="4">
        <v>13</v>
      </c>
      <c r="B17" s="38" t="s">
        <v>6</v>
      </c>
      <c r="C17" s="38"/>
      <c r="D17" s="38" t="s">
        <v>2</v>
      </c>
      <c r="E17" s="38" t="s">
        <v>2</v>
      </c>
      <c r="F17" s="38" t="s">
        <v>2</v>
      </c>
      <c r="G17" s="38" t="s">
        <v>2</v>
      </c>
      <c r="H17" s="38" t="s">
        <v>2</v>
      </c>
    </row>
    <row r="18" spans="1:8" x14ac:dyDescent="0.25">
      <c r="A18" s="4">
        <v>14</v>
      </c>
      <c r="B18" s="38" t="s">
        <v>2</v>
      </c>
      <c r="C18" s="38"/>
      <c r="D18" s="38"/>
      <c r="E18" s="38"/>
      <c r="F18" s="38"/>
      <c r="G18" s="38" t="s">
        <v>2</v>
      </c>
      <c r="H18" s="38" t="s">
        <v>2</v>
      </c>
    </row>
    <row r="19" spans="1:8" x14ac:dyDescent="0.25">
      <c r="A19" s="4">
        <v>15</v>
      </c>
      <c r="B19" s="38" t="s">
        <v>5</v>
      </c>
      <c r="C19" s="38"/>
      <c r="D19" s="38"/>
      <c r="E19" s="38" t="s">
        <v>2</v>
      </c>
      <c r="F19" s="38"/>
      <c r="G19" s="38"/>
      <c r="H19" s="38" t="s">
        <v>2</v>
      </c>
    </row>
    <row r="20" spans="1:8" x14ac:dyDescent="0.25">
      <c r="A20" s="4">
        <v>16</v>
      </c>
      <c r="B20" s="38"/>
      <c r="C20" s="38"/>
      <c r="D20" s="38" t="s">
        <v>2</v>
      </c>
      <c r="E20" s="38"/>
      <c r="F20" s="38"/>
      <c r="G20" s="38"/>
      <c r="H20" s="38"/>
    </row>
    <row r="21" spans="1:8" x14ac:dyDescent="0.25">
      <c r="A21" s="4">
        <v>17</v>
      </c>
      <c r="B21" s="38"/>
      <c r="C21" s="38"/>
      <c r="D21" s="38" t="s">
        <v>2</v>
      </c>
      <c r="E21" s="38"/>
      <c r="F21" s="38"/>
      <c r="G21" s="38" t="s">
        <v>2</v>
      </c>
      <c r="H21" s="38"/>
    </row>
    <row r="22" spans="1:8" x14ac:dyDescent="0.25">
      <c r="A22" s="4">
        <v>18</v>
      </c>
      <c r="B22" s="38"/>
      <c r="C22" s="38"/>
      <c r="D22" s="38" t="s">
        <v>2</v>
      </c>
      <c r="E22" s="38"/>
      <c r="F22" s="38"/>
      <c r="G22" s="38" t="s">
        <v>2</v>
      </c>
      <c r="H22" s="38"/>
    </row>
    <row r="23" spans="1:8" x14ac:dyDescent="0.25">
      <c r="A23" s="4">
        <v>19</v>
      </c>
      <c r="B23" s="38" t="s">
        <v>2</v>
      </c>
      <c r="C23" s="38"/>
      <c r="D23" s="38"/>
      <c r="E23" s="38" t="s">
        <v>2</v>
      </c>
      <c r="F23" s="38"/>
      <c r="G23" s="38"/>
      <c r="H23" s="38" t="s">
        <v>2</v>
      </c>
    </row>
    <row r="24" spans="1:8" x14ac:dyDescent="0.25">
      <c r="A24" s="4">
        <v>20</v>
      </c>
      <c r="B24" s="38"/>
      <c r="C24" s="38"/>
      <c r="D24" s="38" t="s">
        <v>2</v>
      </c>
      <c r="E24" s="38"/>
      <c r="F24" s="38"/>
      <c r="G24" s="38" t="s">
        <v>5</v>
      </c>
      <c r="H24" s="38" t="s">
        <v>5</v>
      </c>
    </row>
    <row r="25" spans="1:8" x14ac:dyDescent="0.25">
      <c r="A25" s="4">
        <v>21</v>
      </c>
      <c r="B25" s="38"/>
      <c r="C25" s="38" t="s">
        <v>2</v>
      </c>
      <c r="D25" s="38"/>
      <c r="E25" s="38"/>
      <c r="F25" s="38" t="s">
        <v>2</v>
      </c>
      <c r="G25" s="38"/>
      <c r="H25" s="38"/>
    </row>
    <row r="26" spans="1:8" x14ac:dyDescent="0.25">
      <c r="A26" s="4">
        <v>22</v>
      </c>
      <c r="B26" s="38"/>
      <c r="C26" s="38"/>
      <c r="D26" s="38" t="s">
        <v>5</v>
      </c>
      <c r="E26" s="38"/>
      <c r="F26" s="38"/>
      <c r="G26" s="38" t="s">
        <v>2</v>
      </c>
      <c r="H26" s="38"/>
    </row>
    <row r="27" spans="1:8" x14ac:dyDescent="0.25">
      <c r="A27" s="4">
        <v>23</v>
      </c>
      <c r="B27" s="38"/>
      <c r="C27" s="38" t="s">
        <v>2</v>
      </c>
      <c r="D27" s="38"/>
      <c r="E27" s="38"/>
      <c r="F27" s="38" t="s">
        <v>2</v>
      </c>
      <c r="G27" s="38"/>
      <c r="H27" s="38"/>
    </row>
    <row r="28" spans="1:8" x14ac:dyDescent="0.25">
      <c r="A28" s="4">
        <v>24</v>
      </c>
      <c r="B28" s="38"/>
      <c r="C28" s="38" t="s">
        <v>2</v>
      </c>
      <c r="D28" s="38"/>
      <c r="E28" s="38"/>
      <c r="F28" s="38" t="s">
        <v>2</v>
      </c>
      <c r="G28" s="38"/>
      <c r="H28" s="38"/>
    </row>
    <row r="29" spans="1:8" x14ac:dyDescent="0.25">
      <c r="A29" s="4">
        <v>25</v>
      </c>
      <c r="B29" s="38" t="s">
        <v>5</v>
      </c>
      <c r="C29" s="38"/>
      <c r="D29" s="38" t="s">
        <v>5</v>
      </c>
      <c r="E29" s="38"/>
      <c r="F29" s="38"/>
      <c r="G29" s="38" t="s">
        <v>5</v>
      </c>
      <c r="H29" s="38"/>
    </row>
    <row r="30" spans="1:8" x14ac:dyDescent="0.25">
      <c r="A30" s="4">
        <v>26</v>
      </c>
      <c r="B30" s="38"/>
      <c r="C30" s="38"/>
      <c r="D30" s="38" t="s">
        <v>7</v>
      </c>
      <c r="E30" s="38"/>
      <c r="F30" s="38"/>
      <c r="G30" s="38"/>
      <c r="H30" s="38"/>
    </row>
    <row r="31" spans="1:8" x14ac:dyDescent="0.25">
      <c r="A31" s="4">
        <v>27</v>
      </c>
      <c r="B31" s="38"/>
      <c r="C31" s="38" t="s">
        <v>2</v>
      </c>
      <c r="D31" s="38"/>
      <c r="E31" s="38"/>
      <c r="F31" s="38" t="s">
        <v>2</v>
      </c>
      <c r="G31" s="38"/>
      <c r="H31" s="38"/>
    </row>
    <row r="32" spans="1:8" x14ac:dyDescent="0.25">
      <c r="A32" s="4">
        <v>28</v>
      </c>
      <c r="B32" s="38"/>
      <c r="C32" s="38"/>
      <c r="D32" s="38" t="s">
        <v>2</v>
      </c>
      <c r="E32" s="38"/>
      <c r="F32" s="38"/>
      <c r="G32" s="38"/>
      <c r="H32" s="38"/>
    </row>
    <row r="33" spans="1:8" x14ac:dyDescent="0.25">
      <c r="A33" s="4">
        <v>29</v>
      </c>
      <c r="B33" s="38" t="s">
        <v>2</v>
      </c>
      <c r="C33" s="38"/>
      <c r="D33" s="38" t="s">
        <v>2</v>
      </c>
      <c r="E33" s="38"/>
      <c r="F33" s="38" t="s">
        <v>2</v>
      </c>
      <c r="G33" s="38"/>
      <c r="H33" s="38" t="s">
        <v>2</v>
      </c>
    </row>
    <row r="34" spans="1:8" x14ac:dyDescent="0.25">
      <c r="A34" s="4">
        <v>30</v>
      </c>
      <c r="B34" s="38" t="s">
        <v>2</v>
      </c>
      <c r="C34" s="38"/>
      <c r="D34" s="38" t="s">
        <v>6</v>
      </c>
      <c r="E34" s="38" t="s">
        <v>6</v>
      </c>
      <c r="F34" s="38" t="s">
        <v>2</v>
      </c>
      <c r="G34" s="38"/>
      <c r="H34" s="38" t="s">
        <v>2</v>
      </c>
    </row>
    <row r="35" spans="1:8" x14ac:dyDescent="0.25">
      <c r="A35" s="4">
        <v>31</v>
      </c>
      <c r="B35" s="38" t="s">
        <v>2</v>
      </c>
      <c r="C35" s="38"/>
      <c r="D35" s="38" t="s">
        <v>2</v>
      </c>
      <c r="E35" s="38"/>
      <c r="F35" s="38" t="s">
        <v>2</v>
      </c>
      <c r="G35" s="38"/>
      <c r="H35" s="38" t="s">
        <v>2</v>
      </c>
    </row>
    <row r="36" spans="1:8" x14ac:dyDescent="0.25">
      <c r="A36" s="4">
        <v>32</v>
      </c>
      <c r="B36" s="38"/>
      <c r="C36" s="38" t="s">
        <v>2</v>
      </c>
      <c r="D36" s="38"/>
      <c r="E36" s="38" t="s">
        <v>7</v>
      </c>
      <c r="F36" s="38"/>
      <c r="G36" s="38" t="s">
        <v>2</v>
      </c>
      <c r="H36" s="38"/>
    </row>
    <row r="37" spans="1:8" x14ac:dyDescent="0.25">
      <c r="A37" s="4">
        <v>33</v>
      </c>
      <c r="B37" s="38"/>
      <c r="C37" s="38" t="s">
        <v>2</v>
      </c>
      <c r="D37" s="38"/>
      <c r="E37" s="38"/>
      <c r="F37" s="38"/>
      <c r="G37" s="38" t="s">
        <v>2</v>
      </c>
      <c r="H37" s="38"/>
    </row>
    <row r="38" spans="1:8" x14ac:dyDescent="0.25">
      <c r="A38" s="4">
        <v>34</v>
      </c>
      <c r="B38" s="38" t="s">
        <v>2</v>
      </c>
      <c r="C38" s="38"/>
      <c r="D38" s="38" t="s">
        <v>7</v>
      </c>
      <c r="E38" s="38" t="s">
        <v>7</v>
      </c>
      <c r="F38" s="38"/>
      <c r="G38" s="38" t="s">
        <v>2</v>
      </c>
      <c r="H38" s="38"/>
    </row>
    <row r="39" spans="1:8" x14ac:dyDescent="0.25">
      <c r="A39" s="4">
        <v>35</v>
      </c>
      <c r="B39" s="38"/>
      <c r="C39" s="38" t="s">
        <v>2</v>
      </c>
      <c r="D39" s="38"/>
      <c r="E39" s="38" t="s">
        <v>7</v>
      </c>
      <c r="F39" s="38"/>
      <c r="G39" s="38" t="s">
        <v>2</v>
      </c>
      <c r="H39" s="38"/>
    </row>
    <row r="40" spans="1:8" x14ac:dyDescent="0.25">
      <c r="A40" s="4">
        <v>36</v>
      </c>
      <c r="B40" s="38" t="s">
        <v>5</v>
      </c>
      <c r="C40" s="38"/>
      <c r="D40" s="38" t="s">
        <v>2</v>
      </c>
      <c r="E40" s="38"/>
      <c r="F40" s="38" t="s">
        <v>2</v>
      </c>
      <c r="G40" s="38"/>
      <c r="H40" s="38" t="s">
        <v>2</v>
      </c>
    </row>
    <row r="41" spans="1:8" x14ac:dyDescent="0.25">
      <c r="A41" s="4">
        <v>37</v>
      </c>
      <c r="B41" s="38"/>
      <c r="C41" s="38" t="s">
        <v>2</v>
      </c>
      <c r="D41" s="38"/>
      <c r="E41" s="38"/>
      <c r="F41" s="38" t="s">
        <v>2</v>
      </c>
      <c r="G41" s="38" t="s">
        <v>2</v>
      </c>
      <c r="H41" s="38"/>
    </row>
    <row r="42" spans="1:8" x14ac:dyDescent="0.25">
      <c r="A42" s="4">
        <v>38</v>
      </c>
      <c r="B42" s="38"/>
      <c r="C42" s="38"/>
      <c r="D42" s="38" t="s">
        <v>2</v>
      </c>
      <c r="E42" s="38" t="s">
        <v>2</v>
      </c>
      <c r="F42" s="38" t="s">
        <v>2</v>
      </c>
      <c r="G42" s="38" t="s">
        <v>7</v>
      </c>
      <c r="H42" s="38"/>
    </row>
    <row r="43" spans="1:8" x14ac:dyDescent="0.25">
      <c r="A43" s="4">
        <v>39</v>
      </c>
      <c r="B43" s="38"/>
      <c r="C43" s="38" t="s">
        <v>2</v>
      </c>
      <c r="D43" s="38"/>
      <c r="E43" s="38" t="s">
        <v>2</v>
      </c>
      <c r="F43" s="38" t="s">
        <v>2</v>
      </c>
      <c r="G43" s="38" t="s">
        <v>2</v>
      </c>
      <c r="H43" s="38"/>
    </row>
    <row r="44" spans="1:8" x14ac:dyDescent="0.25">
      <c r="A44" s="4">
        <v>40</v>
      </c>
      <c r="B44" s="38"/>
      <c r="C44" s="38"/>
      <c r="D44" s="38" t="s">
        <v>2</v>
      </c>
      <c r="E44" s="38" t="s">
        <v>7</v>
      </c>
      <c r="F44" s="38"/>
      <c r="G44" s="38" t="s">
        <v>2</v>
      </c>
      <c r="H44" s="38"/>
    </row>
    <row r="45" spans="1:8" x14ac:dyDescent="0.25">
      <c r="A45" s="4">
        <v>41</v>
      </c>
      <c r="B45" s="38" t="s">
        <v>2</v>
      </c>
      <c r="C45" s="38"/>
      <c r="D45" s="38"/>
      <c r="E45" s="38" t="s">
        <v>7</v>
      </c>
      <c r="F45" s="38"/>
      <c r="G45" s="38"/>
      <c r="H45" s="38" t="s">
        <v>2</v>
      </c>
    </row>
    <row r="46" spans="1:8" x14ac:dyDescent="0.25">
      <c r="A46" s="4">
        <v>42</v>
      </c>
      <c r="B46" s="38" t="s">
        <v>2</v>
      </c>
      <c r="C46" s="38"/>
      <c r="D46" s="38"/>
      <c r="E46" s="38" t="s">
        <v>2</v>
      </c>
      <c r="F46" s="38"/>
      <c r="G46" s="38"/>
      <c r="H46" s="38" t="s">
        <v>2</v>
      </c>
    </row>
    <row r="47" spans="1:8" x14ac:dyDescent="0.25">
      <c r="A47" s="4">
        <v>43</v>
      </c>
      <c r="B47" s="38"/>
      <c r="C47" s="38"/>
      <c r="D47" s="38" t="s">
        <v>2</v>
      </c>
      <c r="E47" s="38"/>
      <c r="F47" s="38"/>
      <c r="G47" s="38" t="s">
        <v>2</v>
      </c>
      <c r="H47" s="38"/>
    </row>
    <row r="48" spans="1:8" x14ac:dyDescent="0.25">
      <c r="A48" s="4">
        <v>44</v>
      </c>
      <c r="B48" s="38"/>
      <c r="C48" s="38"/>
      <c r="D48" s="38" t="s">
        <v>2</v>
      </c>
      <c r="E48" s="38"/>
      <c r="F48" s="38"/>
      <c r="G48" s="38" t="s">
        <v>2</v>
      </c>
      <c r="H48" s="38"/>
    </row>
    <row r="49" spans="1:8" x14ac:dyDescent="0.25">
      <c r="A49" s="4">
        <v>45</v>
      </c>
      <c r="B49" s="38"/>
      <c r="C49" s="38"/>
      <c r="D49" s="38"/>
      <c r="E49" s="38"/>
      <c r="F49" s="38"/>
      <c r="G49" s="38"/>
      <c r="H49" s="38"/>
    </row>
    <row r="50" spans="1:8" x14ac:dyDescent="0.25">
      <c r="A50" s="4">
        <v>46</v>
      </c>
      <c r="B50" s="38"/>
      <c r="C50" s="38"/>
      <c r="D50" s="38"/>
      <c r="E50" s="38"/>
      <c r="F50" s="38"/>
      <c r="G50" s="38"/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 t="s">
        <v>5</v>
      </c>
      <c r="C54" s="38" t="s">
        <v>5</v>
      </c>
      <c r="D54" s="38" t="s">
        <v>5</v>
      </c>
      <c r="E54" s="38" t="s">
        <v>5</v>
      </c>
      <c r="F54" s="38" t="s">
        <v>5</v>
      </c>
      <c r="G54" s="38" t="s">
        <v>5</v>
      </c>
      <c r="H54" s="38" t="s">
        <v>5</v>
      </c>
    </row>
    <row r="55" spans="1:8" x14ac:dyDescent="0.25">
      <c r="A55" s="4">
        <v>51</v>
      </c>
      <c r="B55" s="38"/>
      <c r="C55" s="38" t="s">
        <v>2</v>
      </c>
      <c r="D55" s="38"/>
      <c r="E55" s="38"/>
      <c r="F55" s="38" t="s">
        <v>2</v>
      </c>
      <c r="G55" s="38"/>
      <c r="H55" s="38"/>
    </row>
    <row r="56" spans="1:8" x14ac:dyDescent="0.25">
      <c r="A56" s="4">
        <v>52</v>
      </c>
      <c r="B56" s="38"/>
      <c r="C56" s="38"/>
      <c r="D56" s="38"/>
      <c r="E56" s="38"/>
      <c r="F56" s="38"/>
      <c r="G56" s="38"/>
      <c r="H56" s="38"/>
    </row>
    <row r="57" spans="1:8" x14ac:dyDescent="0.25">
      <c r="A57" s="4">
        <v>53</v>
      </c>
      <c r="B57" s="38" t="s">
        <v>2</v>
      </c>
      <c r="C57" s="38"/>
      <c r="D57" s="38"/>
      <c r="E57" s="38" t="s">
        <v>2</v>
      </c>
      <c r="F57" s="38"/>
      <c r="G57" s="38"/>
      <c r="H57" s="38" t="s">
        <v>2</v>
      </c>
    </row>
    <row r="58" spans="1:8" x14ac:dyDescent="0.25">
      <c r="A58" s="4">
        <v>54</v>
      </c>
      <c r="B58" s="38" t="s">
        <v>2</v>
      </c>
      <c r="C58" s="38"/>
      <c r="D58" s="38"/>
      <c r="E58" s="38" t="s">
        <v>2</v>
      </c>
      <c r="F58" s="38"/>
      <c r="G58" s="38"/>
      <c r="H58" s="38" t="s">
        <v>2</v>
      </c>
    </row>
    <row r="59" spans="1:8" x14ac:dyDescent="0.25">
      <c r="A59" s="4">
        <v>55</v>
      </c>
      <c r="B59" s="38"/>
      <c r="C59" s="38"/>
      <c r="D59" s="38" t="s">
        <v>2</v>
      </c>
      <c r="E59" s="38"/>
      <c r="F59" s="38"/>
      <c r="G59" s="38" t="s">
        <v>2</v>
      </c>
      <c r="H59" s="38"/>
    </row>
    <row r="60" spans="1:8" x14ac:dyDescent="0.25">
      <c r="A60" s="4">
        <v>56</v>
      </c>
      <c r="B60" s="38"/>
      <c r="C60" s="38"/>
      <c r="D60" s="38" t="s">
        <v>2</v>
      </c>
      <c r="E60" s="38"/>
      <c r="F60" s="38"/>
      <c r="G60" s="38" t="s">
        <v>2</v>
      </c>
      <c r="H60" s="38"/>
    </row>
    <row r="61" spans="1:8" x14ac:dyDescent="0.25">
      <c r="A61" s="18">
        <v>73</v>
      </c>
      <c r="B61" s="38"/>
      <c r="C61" s="38"/>
      <c r="D61" s="38" t="s">
        <v>2</v>
      </c>
      <c r="E61" s="38" t="s">
        <v>2</v>
      </c>
      <c r="F61" s="38"/>
      <c r="G61" s="38"/>
      <c r="H61" s="38"/>
    </row>
    <row r="62" spans="1:8" x14ac:dyDescent="0.25">
      <c r="A62" s="18">
        <v>74</v>
      </c>
      <c r="B62" s="38" t="s">
        <v>2</v>
      </c>
      <c r="C62" s="38"/>
      <c r="D62" s="38" t="s">
        <v>2</v>
      </c>
      <c r="E62" s="38" t="s">
        <v>2</v>
      </c>
      <c r="F62" s="38"/>
      <c r="G62" s="38" t="s">
        <v>2</v>
      </c>
      <c r="H62" s="38"/>
    </row>
    <row r="63" spans="1:8" x14ac:dyDescent="0.25">
      <c r="A63" s="18">
        <v>101</v>
      </c>
      <c r="B63" s="39"/>
      <c r="C63" s="38" t="s">
        <v>2</v>
      </c>
      <c r="D63" s="38"/>
      <c r="E63" s="38" t="s">
        <v>2</v>
      </c>
      <c r="F63" s="38"/>
      <c r="G63" s="38" t="s">
        <v>2</v>
      </c>
      <c r="H63" s="38"/>
    </row>
    <row r="64" spans="1:8" x14ac:dyDescent="0.25">
      <c r="A64" s="18">
        <v>102</v>
      </c>
      <c r="B64" s="38"/>
      <c r="C64" s="38" t="s">
        <v>2</v>
      </c>
      <c r="D64" s="38"/>
      <c r="E64" s="38" t="s">
        <v>2</v>
      </c>
      <c r="F64" s="38"/>
      <c r="G64" s="38" t="s">
        <v>2</v>
      </c>
      <c r="H64" s="38"/>
    </row>
    <row r="65" spans="1:8" x14ac:dyDescent="0.25">
      <c r="A65" s="18">
        <v>103</v>
      </c>
      <c r="B65" s="38"/>
      <c r="C65" s="38" t="s">
        <v>2</v>
      </c>
      <c r="D65" s="38"/>
      <c r="E65" s="38" t="s">
        <v>2</v>
      </c>
      <c r="F65" s="38"/>
      <c r="G65" s="38" t="s">
        <v>2</v>
      </c>
      <c r="H65" s="38"/>
    </row>
    <row r="66" spans="1:8" x14ac:dyDescent="0.25">
      <c r="A66" s="18">
        <v>104</v>
      </c>
      <c r="B66" s="38"/>
      <c r="C66" s="38"/>
      <c r="D66" s="38" t="s">
        <v>2</v>
      </c>
      <c r="E66" s="38"/>
      <c r="F66" s="38" t="s">
        <v>2</v>
      </c>
      <c r="G66" s="38"/>
      <c r="H66" s="38" t="s">
        <v>2</v>
      </c>
    </row>
    <row r="67" spans="1:8" x14ac:dyDescent="0.25">
      <c r="A67" s="18">
        <v>105</v>
      </c>
      <c r="B67" s="38"/>
      <c r="C67" s="38"/>
      <c r="D67" s="38" t="s">
        <v>2</v>
      </c>
      <c r="E67" s="38"/>
      <c r="F67" s="38" t="s">
        <v>2</v>
      </c>
      <c r="G67" s="38"/>
      <c r="H67" s="38" t="s">
        <v>2</v>
      </c>
    </row>
    <row r="68" spans="1:8" x14ac:dyDescent="0.25">
      <c r="A68" s="18">
        <v>106</v>
      </c>
      <c r="B68" s="38" t="s">
        <v>2</v>
      </c>
      <c r="C68" s="38" t="s">
        <v>2</v>
      </c>
      <c r="D68" s="38"/>
      <c r="E68" s="38" t="s">
        <v>2</v>
      </c>
      <c r="F68" s="38" t="s">
        <v>2</v>
      </c>
      <c r="G68" s="38" t="s">
        <v>2</v>
      </c>
      <c r="H68" s="38" t="s">
        <v>2</v>
      </c>
    </row>
    <row r="69" spans="1:8" x14ac:dyDescent="0.25">
      <c r="A69" s="18">
        <v>107</v>
      </c>
      <c r="B69" s="38"/>
      <c r="C69" s="38"/>
      <c r="D69" s="38" t="s">
        <v>2</v>
      </c>
      <c r="E69" s="38"/>
      <c r="F69" s="38" t="s">
        <v>2</v>
      </c>
      <c r="G69" s="38"/>
      <c r="H69" s="38" t="s">
        <v>2</v>
      </c>
    </row>
    <row r="70" spans="1:8" x14ac:dyDescent="0.25">
      <c r="A70" s="18">
        <v>108</v>
      </c>
      <c r="B70" s="38" t="s">
        <v>2</v>
      </c>
      <c r="C70" s="38" t="s">
        <v>2</v>
      </c>
      <c r="D70" s="38" t="s">
        <v>2</v>
      </c>
      <c r="E70" s="38"/>
      <c r="F70" s="38"/>
      <c r="G70" s="38"/>
      <c r="H70" s="38" t="s">
        <v>2</v>
      </c>
    </row>
    <row r="71" spans="1:8" x14ac:dyDescent="0.25">
      <c r="A71" s="18">
        <v>109</v>
      </c>
      <c r="B71" s="38"/>
      <c r="C71" s="38" t="s">
        <v>2</v>
      </c>
      <c r="D71" s="38"/>
      <c r="E71" s="38" t="s">
        <v>2</v>
      </c>
      <c r="F71" s="38"/>
      <c r="G71" s="38" t="s">
        <v>2</v>
      </c>
      <c r="H71" s="38"/>
    </row>
    <row r="72" spans="1:8" x14ac:dyDescent="0.25">
      <c r="A72" s="18">
        <v>110</v>
      </c>
      <c r="B72" s="38"/>
      <c r="C72" s="38" t="s">
        <v>2</v>
      </c>
      <c r="D72" s="38"/>
      <c r="E72" s="38" t="s">
        <v>2</v>
      </c>
      <c r="F72" s="38"/>
      <c r="G72" s="38" t="s">
        <v>2</v>
      </c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/>
      <c r="E74" s="38"/>
      <c r="F74" s="38"/>
      <c r="G74" s="38"/>
      <c r="H74" s="38"/>
    </row>
    <row r="75" spans="1:8" x14ac:dyDescent="0.25">
      <c r="A75" s="18">
        <v>113</v>
      </c>
      <c r="B75" s="38" t="s">
        <v>2</v>
      </c>
      <c r="C75" s="38"/>
      <c r="D75" s="38" t="s">
        <v>2</v>
      </c>
      <c r="E75" s="38"/>
      <c r="F75" s="38" t="s">
        <v>2</v>
      </c>
      <c r="G75" s="38" t="s">
        <v>2</v>
      </c>
      <c r="H75" s="38"/>
    </row>
    <row r="76" spans="1:8" x14ac:dyDescent="0.25">
      <c r="A76" s="18">
        <v>114</v>
      </c>
      <c r="B76" s="38"/>
      <c r="C76" s="38"/>
      <c r="D76" s="38"/>
      <c r="E76" s="38"/>
      <c r="F76" s="38"/>
      <c r="G76" s="38"/>
      <c r="H76" s="38"/>
    </row>
    <row r="77" spans="1:8" x14ac:dyDescent="0.25">
      <c r="A77" s="18">
        <v>115</v>
      </c>
      <c r="B77" s="38" t="s">
        <v>2</v>
      </c>
      <c r="C77" s="38"/>
      <c r="D77" s="38" t="s">
        <v>2</v>
      </c>
      <c r="E77" s="38"/>
      <c r="F77" s="38"/>
      <c r="G77" s="38" t="s">
        <v>2</v>
      </c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18">
        <v>120</v>
      </c>
      <c r="B82" s="38"/>
      <c r="C82" s="38" t="s">
        <v>2</v>
      </c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 t="s">
        <v>2</v>
      </c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 t="s">
        <v>2</v>
      </c>
      <c r="C86" s="38"/>
      <c r="D86" s="38"/>
      <c r="E86" s="38"/>
      <c r="F86" s="38"/>
      <c r="G86" s="38"/>
      <c r="H86" s="38" t="s">
        <v>2</v>
      </c>
    </row>
    <row r="87" spans="1:8" x14ac:dyDescent="0.25">
      <c r="A87" s="18">
        <v>125</v>
      </c>
      <c r="B87" s="38"/>
      <c r="C87" s="38"/>
      <c r="D87" s="38"/>
      <c r="E87" s="38"/>
      <c r="F87" s="38"/>
      <c r="G87" s="38" t="s">
        <v>2</v>
      </c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 t="s">
        <v>2</v>
      </c>
      <c r="H89" s="38"/>
    </row>
    <row r="90" spans="1:8" x14ac:dyDescent="0.25">
      <c r="A90" s="18">
        <v>128</v>
      </c>
      <c r="B90" s="38" t="s">
        <v>2</v>
      </c>
      <c r="C90" s="38" t="s">
        <v>2</v>
      </c>
      <c r="D90" s="38" t="s">
        <v>2</v>
      </c>
      <c r="E90" s="38" t="s">
        <v>2</v>
      </c>
      <c r="F90" s="38" t="s">
        <v>2</v>
      </c>
      <c r="G90" s="38" t="s">
        <v>2</v>
      </c>
      <c r="H90" s="38" t="s">
        <v>2</v>
      </c>
    </row>
    <row r="91" spans="1:8" x14ac:dyDescent="0.25">
      <c r="A91" s="18">
        <v>129</v>
      </c>
      <c r="B91" s="38" t="s">
        <v>2</v>
      </c>
      <c r="C91" s="38"/>
      <c r="D91" s="38" t="s">
        <v>2</v>
      </c>
      <c r="E91" s="38"/>
      <c r="F91" s="38" t="s">
        <v>2</v>
      </c>
      <c r="G91" s="38"/>
      <c r="H91" s="38" t="s">
        <v>2</v>
      </c>
    </row>
    <row r="92" spans="1:8" x14ac:dyDescent="0.25">
      <c r="A92" s="18">
        <v>130</v>
      </c>
      <c r="B92" s="38" t="s">
        <v>2</v>
      </c>
      <c r="C92" s="38" t="s">
        <v>2</v>
      </c>
      <c r="D92" s="38" t="s">
        <v>2</v>
      </c>
      <c r="E92" s="38" t="s">
        <v>2</v>
      </c>
      <c r="F92" s="38" t="s">
        <v>2</v>
      </c>
      <c r="G92" s="38" t="s">
        <v>2</v>
      </c>
      <c r="H92" s="38" t="s">
        <v>2</v>
      </c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 t="s">
        <v>2</v>
      </c>
      <c r="C95" s="38"/>
      <c r="D95" s="38"/>
      <c r="E95" s="38"/>
      <c r="F95" s="38"/>
      <c r="G95" s="38"/>
      <c r="H95" s="38" t="s">
        <v>2</v>
      </c>
    </row>
  </sheetData>
  <mergeCells count="1">
    <mergeCell ref="A1:H2"/>
  </mergeCells>
  <conditionalFormatting sqref="B61:I62 I5:I60 B63:H95">
    <cfRule type="cellIs" dxfId="918" priority="18" operator="equal">
      <formula>"Energia"</formula>
    </cfRule>
    <cfRule type="cellIs" dxfId="917" priority="20" operator="equal">
      <formula>"Operação"</formula>
    </cfRule>
    <cfRule type="cellIs" dxfId="916" priority="21" operator="equal">
      <formula>"Chuva"</formula>
    </cfRule>
    <cfRule type="cellIs" dxfId="915" priority="22" operator="equal">
      <formula>"Elétrico"</formula>
    </cfRule>
    <cfRule type="cellIs" dxfId="914" priority="23" operator="equal">
      <formula>"Mecânico"</formula>
    </cfRule>
    <cfRule type="cellIs" dxfId="913" priority="24" operator="equal">
      <formula>"Ok"</formula>
    </cfRule>
  </conditionalFormatting>
  <conditionalFormatting sqref="B61:I62 I5:I60 B63:H95">
    <cfRule type="cellIs" dxfId="912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911" priority="16" operator="equal">
      <formula>"Energia"</formula>
    </cfRule>
  </conditionalFormatting>
  <conditionalFormatting sqref="B5:E60 G5:H60">
    <cfRule type="cellIs" dxfId="910" priority="9" operator="equal">
      <formula>"Energia"</formula>
    </cfRule>
    <cfRule type="cellIs" dxfId="909" priority="11" operator="equal">
      <formula>"Operação"</formula>
    </cfRule>
    <cfRule type="cellIs" dxfId="908" priority="12" operator="equal">
      <formula>"Chuva"</formula>
    </cfRule>
    <cfRule type="cellIs" dxfId="907" priority="13" operator="equal">
      <formula>"Elétrico"</formula>
    </cfRule>
    <cfRule type="cellIs" dxfId="906" priority="14" operator="equal">
      <formula>"Mecânico"</formula>
    </cfRule>
    <cfRule type="cellIs" dxfId="905" priority="15" operator="equal">
      <formula>"Ok"</formula>
    </cfRule>
  </conditionalFormatting>
  <conditionalFormatting sqref="B5:E60 G5:H60">
    <cfRule type="cellIs" dxfId="904" priority="10" operator="equal">
      <formula>"Feito"</formula>
    </cfRule>
  </conditionalFormatting>
  <conditionalFormatting sqref="F5:F11">
    <cfRule type="cellIs" dxfId="903" priority="8" operator="equal">
      <formula>"Energia"</formula>
    </cfRule>
  </conditionalFormatting>
  <conditionalFormatting sqref="F5:F60">
    <cfRule type="cellIs" dxfId="902" priority="1" operator="equal">
      <formula>"Energia"</formula>
    </cfRule>
    <cfRule type="cellIs" dxfId="901" priority="3" operator="equal">
      <formula>"Operação"</formula>
    </cfRule>
    <cfRule type="cellIs" dxfId="900" priority="4" operator="equal">
      <formula>"Chuva"</formula>
    </cfRule>
    <cfRule type="cellIs" dxfId="899" priority="5" operator="equal">
      <formula>"Elétrico"</formula>
    </cfRule>
    <cfRule type="cellIs" dxfId="898" priority="6" operator="equal">
      <formula>"Mecânico"</formula>
    </cfRule>
    <cfRule type="cellIs" dxfId="897" priority="7" operator="equal">
      <formula>"Ok"</formula>
    </cfRule>
  </conditionalFormatting>
  <conditionalFormatting sqref="F5:F60">
    <cfRule type="cellIs" dxfId="896" priority="2" operator="equal">
      <formula>"Feito"</formula>
    </cfRule>
  </conditionalFormatting>
  <dataValidations count="1">
    <dataValidation type="list" allowBlank="1" showInputMessage="1" showErrorMessage="1" sqref="B61:I62 B5:I26 B27:J60 B63:H95" xr:uid="{59B1C5BC-1292-4AB4-80EA-ADF83D56E3C3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9B76-B875-4CCE-BBB5-8F217A8718D2}">
  <sheetPr>
    <tabColor theme="8"/>
  </sheetPr>
  <dimension ref="A1:M95"/>
  <sheetViews>
    <sheetView zoomScale="115" zoomScaleNormal="115" workbookViewId="0">
      <pane ySplit="4" topLeftCell="A5" activePane="bottomLeft" state="frozen"/>
      <selection pane="bottomLeft" activeCell="L17" sqref="L17:L18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3" max="13" width="11.85546875" bestFit="1" customWidth="1"/>
    <col min="17" max="17" width="8.5703125" customWidth="1"/>
  </cols>
  <sheetData>
    <row r="1" spans="1:13" x14ac:dyDescent="0.25">
      <c r="A1" s="70" t="s">
        <v>27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4" t="s">
        <v>16</v>
      </c>
      <c r="B3" s="23">
        <v>44711</v>
      </c>
      <c r="C3" s="23">
        <f>B3+1</f>
        <v>44712</v>
      </c>
      <c r="D3" s="23">
        <f t="shared" ref="D3:H3" si="0">C3+1</f>
        <v>44713</v>
      </c>
      <c r="E3" s="23">
        <f t="shared" si="0"/>
        <v>44714</v>
      </c>
      <c r="F3" s="23">
        <f t="shared" si="0"/>
        <v>44715</v>
      </c>
      <c r="G3" s="23">
        <f t="shared" si="0"/>
        <v>44716</v>
      </c>
      <c r="H3" s="25">
        <f t="shared" si="0"/>
        <v>44717</v>
      </c>
      <c r="I3" s="3"/>
    </row>
    <row r="4" spans="1:13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</row>
    <row r="5" spans="1:13" x14ac:dyDescent="0.25">
      <c r="A5" s="4">
        <v>1</v>
      </c>
      <c r="B5" s="38"/>
      <c r="C5" s="38" t="s">
        <v>2</v>
      </c>
      <c r="D5" s="38"/>
      <c r="E5" s="38"/>
      <c r="F5" s="38" t="s">
        <v>2</v>
      </c>
      <c r="G5" s="38"/>
      <c r="H5" s="38"/>
      <c r="J5" s="48" t="s">
        <v>2</v>
      </c>
      <c r="K5">
        <f>COUNTIF($B$5:$H$95,J5)</f>
        <v>196</v>
      </c>
      <c r="L5" s="34">
        <f t="shared" ref="L5:L10" si="2">K5/$K$11</f>
        <v>0.90322580645161288</v>
      </c>
      <c r="M5" s="52">
        <v>44711</v>
      </c>
    </row>
    <row r="6" spans="1:13" x14ac:dyDescent="0.25">
      <c r="A6" s="4">
        <v>2</v>
      </c>
      <c r="B6" s="38"/>
      <c r="C6" s="38"/>
      <c r="D6" s="38" t="s">
        <v>2</v>
      </c>
      <c r="E6" s="38"/>
      <c r="F6" s="38"/>
      <c r="G6" s="38" t="s">
        <v>2</v>
      </c>
      <c r="H6" s="38"/>
      <c r="J6" s="42" t="s">
        <v>5</v>
      </c>
      <c r="K6">
        <f>COUNTIF($B$5:$H$95,J6)</f>
        <v>5</v>
      </c>
      <c r="L6" s="35">
        <f t="shared" si="2"/>
        <v>2.3041474654377881E-2</v>
      </c>
    </row>
    <row r="7" spans="1:13" x14ac:dyDescent="0.25">
      <c r="A7" s="4">
        <v>3</v>
      </c>
      <c r="B7" s="38"/>
      <c r="C7" s="38" t="s">
        <v>2</v>
      </c>
      <c r="D7" s="38"/>
      <c r="E7" s="38" t="s">
        <v>2</v>
      </c>
      <c r="F7" s="38"/>
      <c r="G7" s="38" t="s">
        <v>2</v>
      </c>
      <c r="H7" s="38"/>
      <c r="J7" s="46" t="s">
        <v>6</v>
      </c>
      <c r="K7">
        <f t="shared" ref="K7:K10" si="3">COUNTIF($B$5:$H$95,J7)</f>
        <v>7</v>
      </c>
      <c r="L7" s="35">
        <f t="shared" si="2"/>
        <v>3.2258064516129031E-2</v>
      </c>
    </row>
    <row r="8" spans="1:13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 t="s">
        <v>2</v>
      </c>
      <c r="G8" s="38" t="s">
        <v>2</v>
      </c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</row>
    <row r="9" spans="1:13" x14ac:dyDescent="0.25">
      <c r="A9" s="4">
        <v>5</v>
      </c>
      <c r="B9" s="38" t="s">
        <v>5</v>
      </c>
      <c r="C9" s="38"/>
      <c r="D9" s="38"/>
      <c r="E9" s="38"/>
      <c r="F9" s="38"/>
      <c r="G9" s="38" t="s">
        <v>2</v>
      </c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3" x14ac:dyDescent="0.25">
      <c r="A10" s="4">
        <v>6</v>
      </c>
      <c r="B10" s="38" t="s">
        <v>2</v>
      </c>
      <c r="C10" s="38"/>
      <c r="D10" s="38"/>
      <c r="E10" s="38" t="s">
        <v>2</v>
      </c>
      <c r="F10" s="38" t="s">
        <v>2</v>
      </c>
      <c r="G10" s="38"/>
      <c r="H10" s="38" t="s">
        <v>2</v>
      </c>
      <c r="J10" s="43" t="s">
        <v>7</v>
      </c>
      <c r="K10">
        <f t="shared" si="3"/>
        <v>9</v>
      </c>
      <c r="L10" s="37">
        <f t="shared" si="2"/>
        <v>4.1474654377880185E-2</v>
      </c>
    </row>
    <row r="11" spans="1:13" x14ac:dyDescent="0.25">
      <c r="A11" s="4">
        <v>7</v>
      </c>
      <c r="B11" s="38"/>
      <c r="C11" s="38" t="s">
        <v>2</v>
      </c>
      <c r="D11" s="38"/>
      <c r="E11" s="38" t="s">
        <v>2</v>
      </c>
      <c r="F11" s="38" t="s">
        <v>7</v>
      </c>
      <c r="G11" s="38"/>
      <c r="H11" s="38" t="s">
        <v>2</v>
      </c>
      <c r="J11" s="44" t="s">
        <v>17</v>
      </c>
      <c r="K11">
        <f>SUM(K5:K10)</f>
        <v>217</v>
      </c>
    </row>
    <row r="12" spans="1:13" x14ac:dyDescent="0.25">
      <c r="A12" s="4">
        <v>8</v>
      </c>
      <c r="B12" s="38"/>
      <c r="C12" s="38"/>
      <c r="D12" s="38" t="s">
        <v>2</v>
      </c>
      <c r="E12" s="38"/>
      <c r="F12" s="38"/>
      <c r="G12" s="38" t="s">
        <v>2</v>
      </c>
      <c r="H12" s="38"/>
    </row>
    <row r="13" spans="1:13" x14ac:dyDescent="0.25">
      <c r="A13" s="4">
        <v>9</v>
      </c>
      <c r="B13" s="38" t="s">
        <v>5</v>
      </c>
      <c r="C13" s="38"/>
      <c r="D13" s="38" t="s">
        <v>2</v>
      </c>
      <c r="E13" s="38"/>
      <c r="F13" s="38" t="s">
        <v>2</v>
      </c>
      <c r="G13" s="38"/>
      <c r="H13" s="38"/>
    </row>
    <row r="14" spans="1:13" x14ac:dyDescent="0.25">
      <c r="A14" s="4">
        <v>10</v>
      </c>
      <c r="B14" s="38" t="s">
        <v>2</v>
      </c>
      <c r="C14" s="38"/>
      <c r="D14" s="38"/>
      <c r="E14" s="38"/>
      <c r="F14" s="38" t="s">
        <v>2</v>
      </c>
      <c r="G14" s="38"/>
      <c r="H14" s="38" t="s">
        <v>2</v>
      </c>
    </row>
    <row r="15" spans="1:13" x14ac:dyDescent="0.25">
      <c r="A15" s="4">
        <v>11</v>
      </c>
      <c r="B15" s="38"/>
      <c r="C15" s="38" t="s">
        <v>2</v>
      </c>
      <c r="D15" s="38" t="s">
        <v>2</v>
      </c>
      <c r="E15" s="38"/>
      <c r="F15" s="38"/>
      <c r="G15" s="38" t="s">
        <v>2</v>
      </c>
      <c r="H15" s="38"/>
    </row>
    <row r="16" spans="1:13" x14ac:dyDescent="0.25">
      <c r="A16" s="4">
        <v>12</v>
      </c>
      <c r="B16" s="38"/>
      <c r="C16" s="38" t="s">
        <v>2</v>
      </c>
      <c r="D16" s="38" t="s">
        <v>2</v>
      </c>
      <c r="E16" s="38" t="s">
        <v>2</v>
      </c>
      <c r="F16" s="38"/>
      <c r="G16" s="38" t="s">
        <v>2</v>
      </c>
      <c r="H16" s="38"/>
    </row>
    <row r="17" spans="1:8" x14ac:dyDescent="0.25">
      <c r="A17" s="4">
        <v>13</v>
      </c>
      <c r="B17" s="38" t="s">
        <v>2</v>
      </c>
      <c r="C17" s="38" t="s">
        <v>2</v>
      </c>
      <c r="D17" s="38" t="s">
        <v>2</v>
      </c>
      <c r="E17" s="38" t="s">
        <v>2</v>
      </c>
      <c r="F17" s="38" t="s">
        <v>2</v>
      </c>
      <c r="G17" s="38" t="s">
        <v>2</v>
      </c>
      <c r="H17" s="38" t="s">
        <v>2</v>
      </c>
    </row>
    <row r="18" spans="1:8" x14ac:dyDescent="0.25">
      <c r="A18" s="4">
        <v>14</v>
      </c>
      <c r="B18" s="38"/>
      <c r="C18" s="38" t="s">
        <v>2</v>
      </c>
      <c r="D18" s="38" t="s">
        <v>2</v>
      </c>
      <c r="E18" s="38" t="s">
        <v>2</v>
      </c>
      <c r="F18" s="38" t="s">
        <v>2</v>
      </c>
      <c r="G18" s="38" t="s">
        <v>2</v>
      </c>
      <c r="H18" s="38" t="s">
        <v>2</v>
      </c>
    </row>
    <row r="19" spans="1:8" x14ac:dyDescent="0.25">
      <c r="A19" s="4">
        <v>15</v>
      </c>
      <c r="B19" s="38"/>
      <c r="C19" s="38"/>
      <c r="D19" s="38" t="s">
        <v>7</v>
      </c>
      <c r="E19" s="38"/>
      <c r="F19" s="38"/>
      <c r="G19" s="38" t="s">
        <v>2</v>
      </c>
      <c r="H19" s="38"/>
    </row>
    <row r="20" spans="1:8" x14ac:dyDescent="0.25">
      <c r="A20" s="4">
        <v>16</v>
      </c>
      <c r="B20" s="38"/>
      <c r="C20" s="38" t="s">
        <v>7</v>
      </c>
      <c r="D20" s="38"/>
      <c r="E20" s="38"/>
      <c r="F20" s="38" t="s">
        <v>7</v>
      </c>
      <c r="G20" s="38"/>
      <c r="H20" s="38"/>
    </row>
    <row r="21" spans="1:8" x14ac:dyDescent="0.25">
      <c r="A21" s="4">
        <v>17</v>
      </c>
      <c r="B21" s="38"/>
      <c r="C21" s="38"/>
      <c r="D21" s="38"/>
      <c r="E21" s="38"/>
      <c r="F21" s="38" t="s">
        <v>2</v>
      </c>
      <c r="G21" s="38"/>
      <c r="H21" s="38"/>
    </row>
    <row r="22" spans="1:8" x14ac:dyDescent="0.25">
      <c r="A22" s="4">
        <v>18</v>
      </c>
      <c r="B22" s="38" t="s">
        <v>2</v>
      </c>
      <c r="C22" s="38" t="s">
        <v>7</v>
      </c>
      <c r="D22" s="38"/>
      <c r="E22" s="38"/>
      <c r="F22" s="38" t="s">
        <v>2</v>
      </c>
      <c r="G22" s="38"/>
      <c r="H22" s="38"/>
    </row>
    <row r="23" spans="1:8" x14ac:dyDescent="0.25">
      <c r="A23" s="4">
        <v>19</v>
      </c>
      <c r="B23" s="38"/>
      <c r="C23" s="38"/>
      <c r="D23" s="38" t="s">
        <v>2</v>
      </c>
      <c r="E23" s="38"/>
      <c r="F23" s="38"/>
      <c r="G23" s="38" t="s">
        <v>2</v>
      </c>
      <c r="H23" s="38" t="s">
        <v>7</v>
      </c>
    </row>
    <row r="24" spans="1:8" x14ac:dyDescent="0.25">
      <c r="A24" s="4">
        <v>20</v>
      </c>
      <c r="B24" s="38"/>
      <c r="C24" s="38" t="s">
        <v>2</v>
      </c>
      <c r="D24" s="38"/>
      <c r="E24" s="38"/>
      <c r="F24" s="38" t="s">
        <v>2</v>
      </c>
      <c r="G24" s="38"/>
      <c r="H24" s="38"/>
    </row>
    <row r="25" spans="1:8" x14ac:dyDescent="0.25">
      <c r="A25" s="4">
        <v>21</v>
      </c>
      <c r="B25" s="38" t="s">
        <v>2</v>
      </c>
      <c r="C25" s="38"/>
      <c r="D25" s="38"/>
      <c r="E25" s="38" t="s">
        <v>6</v>
      </c>
      <c r="F25" s="38"/>
      <c r="G25" s="38"/>
      <c r="H25" s="38" t="s">
        <v>2</v>
      </c>
    </row>
    <row r="26" spans="1:8" x14ac:dyDescent="0.25">
      <c r="A26" s="4">
        <v>22</v>
      </c>
      <c r="B26" s="38"/>
      <c r="C26" s="38" t="s">
        <v>2</v>
      </c>
      <c r="D26" s="38"/>
      <c r="E26" s="38"/>
      <c r="F26" s="38" t="s">
        <v>2</v>
      </c>
      <c r="G26" s="38"/>
      <c r="H26" s="38"/>
    </row>
    <row r="27" spans="1:8" x14ac:dyDescent="0.25">
      <c r="A27" s="4">
        <v>23</v>
      </c>
      <c r="B27" s="38" t="s">
        <v>2</v>
      </c>
      <c r="C27" s="38"/>
      <c r="D27" s="38"/>
      <c r="E27" s="38" t="s">
        <v>6</v>
      </c>
      <c r="F27" s="38"/>
      <c r="G27" s="38"/>
      <c r="H27" s="38" t="s">
        <v>2</v>
      </c>
    </row>
    <row r="28" spans="1:8" x14ac:dyDescent="0.25">
      <c r="A28" s="4">
        <v>24</v>
      </c>
      <c r="B28" s="38" t="s">
        <v>2</v>
      </c>
      <c r="C28" s="38"/>
      <c r="D28" s="38"/>
      <c r="E28" s="38" t="s">
        <v>6</v>
      </c>
      <c r="F28" s="38"/>
      <c r="G28" s="38"/>
      <c r="H28" s="38" t="s">
        <v>5</v>
      </c>
    </row>
    <row r="29" spans="1:8" x14ac:dyDescent="0.25">
      <c r="A29" s="4">
        <v>25</v>
      </c>
      <c r="B29" s="38" t="s">
        <v>5</v>
      </c>
      <c r="C29" s="38"/>
      <c r="D29" s="38" t="s">
        <v>2</v>
      </c>
      <c r="E29" s="38"/>
      <c r="F29" s="38" t="s">
        <v>2</v>
      </c>
      <c r="G29" s="38"/>
      <c r="H29" s="38" t="s">
        <v>2</v>
      </c>
    </row>
    <row r="30" spans="1:8" x14ac:dyDescent="0.25">
      <c r="A30" s="4">
        <v>26</v>
      </c>
      <c r="B30" s="38"/>
      <c r="C30" s="38" t="s">
        <v>2</v>
      </c>
      <c r="D30" s="38"/>
      <c r="E30" s="38"/>
      <c r="F30" s="38" t="s">
        <v>2</v>
      </c>
      <c r="G30" s="38"/>
      <c r="H30" s="38"/>
    </row>
    <row r="31" spans="1:8" x14ac:dyDescent="0.25">
      <c r="A31" s="4">
        <v>27</v>
      </c>
      <c r="B31" s="38" t="s">
        <v>2</v>
      </c>
      <c r="C31" s="38"/>
      <c r="D31" s="38"/>
      <c r="E31" s="38" t="s">
        <v>6</v>
      </c>
      <c r="F31" s="38"/>
      <c r="G31" s="38"/>
      <c r="H31" s="38" t="s">
        <v>2</v>
      </c>
    </row>
    <row r="32" spans="1:8" x14ac:dyDescent="0.25">
      <c r="A32" s="4">
        <v>28</v>
      </c>
      <c r="B32" s="38"/>
      <c r="C32" s="38" t="s">
        <v>7</v>
      </c>
      <c r="D32" s="38"/>
      <c r="E32" s="38"/>
      <c r="F32" s="38" t="s">
        <v>2</v>
      </c>
      <c r="G32" s="38"/>
      <c r="H32" s="38"/>
    </row>
    <row r="33" spans="1:8" x14ac:dyDescent="0.25">
      <c r="A33" s="4">
        <v>29</v>
      </c>
      <c r="B33" s="38"/>
      <c r="C33" s="38" t="s">
        <v>2</v>
      </c>
      <c r="D33" s="38"/>
      <c r="E33" s="38" t="s">
        <v>2</v>
      </c>
      <c r="F33" s="38"/>
      <c r="G33" s="38" t="s">
        <v>2</v>
      </c>
      <c r="H33" s="38"/>
    </row>
    <row r="34" spans="1:8" x14ac:dyDescent="0.25">
      <c r="A34" s="4">
        <v>30</v>
      </c>
      <c r="B34" s="38"/>
      <c r="C34" s="38" t="s">
        <v>2</v>
      </c>
      <c r="D34" s="38"/>
      <c r="E34" s="38" t="s">
        <v>6</v>
      </c>
      <c r="F34" s="38"/>
      <c r="G34" s="38" t="s">
        <v>2</v>
      </c>
      <c r="H34" s="38"/>
    </row>
    <row r="35" spans="1:8" x14ac:dyDescent="0.25">
      <c r="A35" s="4">
        <v>31</v>
      </c>
      <c r="B35" s="38"/>
      <c r="C35" s="38" t="s">
        <v>2</v>
      </c>
      <c r="D35" s="38"/>
      <c r="E35" s="38" t="s">
        <v>6</v>
      </c>
      <c r="F35" s="38"/>
      <c r="G35" s="38" t="s">
        <v>2</v>
      </c>
      <c r="H35" s="38"/>
    </row>
    <row r="36" spans="1:8" x14ac:dyDescent="0.25">
      <c r="A36" s="4">
        <v>32</v>
      </c>
      <c r="B36" s="38"/>
      <c r="C36" s="38"/>
      <c r="D36" s="38" t="s">
        <v>2</v>
      </c>
      <c r="E36" s="38"/>
      <c r="F36" s="38"/>
      <c r="G36" s="38" t="s">
        <v>2</v>
      </c>
      <c r="H36" s="38"/>
    </row>
    <row r="37" spans="1:8" x14ac:dyDescent="0.25">
      <c r="A37" s="4">
        <v>33</v>
      </c>
      <c r="B37" s="38" t="s">
        <v>7</v>
      </c>
      <c r="C37" s="38"/>
      <c r="D37" s="38" t="s">
        <v>2</v>
      </c>
      <c r="E37" s="38"/>
      <c r="F37" s="38" t="s">
        <v>2</v>
      </c>
      <c r="G37" s="38"/>
      <c r="H37" s="38" t="s">
        <v>2</v>
      </c>
    </row>
    <row r="38" spans="1:8" x14ac:dyDescent="0.25">
      <c r="A38" s="4">
        <v>34</v>
      </c>
      <c r="B38" s="38"/>
      <c r="C38" s="38" t="s">
        <v>2</v>
      </c>
      <c r="D38" s="38"/>
      <c r="E38" s="38" t="s">
        <v>2</v>
      </c>
      <c r="F38" s="38"/>
      <c r="G38" s="38" t="s">
        <v>2</v>
      </c>
      <c r="H38" s="38"/>
    </row>
    <row r="39" spans="1:8" x14ac:dyDescent="0.25">
      <c r="A39" s="4">
        <v>35</v>
      </c>
      <c r="B39" s="38" t="s">
        <v>7</v>
      </c>
      <c r="C39" s="38" t="s">
        <v>2</v>
      </c>
      <c r="D39" s="38"/>
      <c r="E39" s="38" t="s">
        <v>2</v>
      </c>
      <c r="F39" s="38"/>
      <c r="G39" s="38" t="s">
        <v>2</v>
      </c>
      <c r="H39" s="38"/>
    </row>
    <row r="40" spans="1:8" x14ac:dyDescent="0.25">
      <c r="A40" s="4">
        <v>36</v>
      </c>
      <c r="B40" s="38"/>
      <c r="C40" s="38"/>
      <c r="D40" s="38" t="s">
        <v>2</v>
      </c>
      <c r="E40" s="38" t="s">
        <v>5</v>
      </c>
      <c r="F40" s="38"/>
      <c r="G40" s="38"/>
      <c r="H40" s="38"/>
    </row>
    <row r="41" spans="1:8" x14ac:dyDescent="0.25">
      <c r="A41" s="4">
        <v>37</v>
      </c>
      <c r="B41" s="38" t="s">
        <v>2</v>
      </c>
      <c r="C41" s="38"/>
      <c r="D41" s="38" t="s">
        <v>2</v>
      </c>
      <c r="E41" s="38"/>
      <c r="F41" s="38" t="s">
        <v>2</v>
      </c>
      <c r="G41" s="38"/>
      <c r="H41" s="38" t="s">
        <v>2</v>
      </c>
    </row>
    <row r="42" spans="1:8" x14ac:dyDescent="0.25">
      <c r="A42" s="4">
        <v>38</v>
      </c>
      <c r="B42" s="38" t="s">
        <v>2</v>
      </c>
      <c r="C42" s="38"/>
      <c r="D42" s="38"/>
      <c r="E42" s="38" t="s">
        <v>2</v>
      </c>
      <c r="F42" s="38"/>
      <c r="G42" s="38"/>
      <c r="H42" s="38" t="s">
        <v>2</v>
      </c>
    </row>
    <row r="43" spans="1:8" x14ac:dyDescent="0.25">
      <c r="A43" s="4">
        <v>39</v>
      </c>
      <c r="B43" s="38"/>
      <c r="C43" s="38" t="s">
        <v>2</v>
      </c>
      <c r="D43" s="38"/>
      <c r="E43" s="38"/>
      <c r="F43" s="38" t="s">
        <v>2</v>
      </c>
      <c r="G43" s="38"/>
      <c r="H43" s="38"/>
    </row>
    <row r="44" spans="1:8" x14ac:dyDescent="0.25">
      <c r="A44" s="4">
        <v>40</v>
      </c>
      <c r="B44" s="38"/>
      <c r="C44" s="38" t="s">
        <v>2</v>
      </c>
      <c r="D44" s="38"/>
      <c r="E44" s="38"/>
      <c r="F44" s="38" t="s">
        <v>2</v>
      </c>
      <c r="G44" s="38"/>
      <c r="H44" s="38"/>
    </row>
    <row r="45" spans="1:8" x14ac:dyDescent="0.25">
      <c r="A45" s="4">
        <v>41</v>
      </c>
      <c r="B45" s="38"/>
      <c r="C45" s="38"/>
      <c r="D45" s="38" t="s">
        <v>2</v>
      </c>
      <c r="E45" s="38"/>
      <c r="F45" s="38"/>
      <c r="G45" s="38" t="s">
        <v>2</v>
      </c>
      <c r="H45" s="38"/>
    </row>
    <row r="46" spans="1:8" x14ac:dyDescent="0.25">
      <c r="A46" s="4">
        <v>42</v>
      </c>
      <c r="B46" s="38"/>
      <c r="C46" s="38"/>
      <c r="D46" s="38" t="s">
        <v>2</v>
      </c>
      <c r="E46" s="38"/>
      <c r="F46" s="38"/>
      <c r="G46" s="38" t="s">
        <v>2</v>
      </c>
      <c r="H46" s="38"/>
    </row>
    <row r="47" spans="1:8" x14ac:dyDescent="0.25">
      <c r="A47" s="4">
        <v>43</v>
      </c>
      <c r="B47" s="38"/>
      <c r="C47" s="38" t="s">
        <v>2</v>
      </c>
      <c r="D47" s="38"/>
      <c r="E47" s="38"/>
      <c r="F47" s="38" t="s">
        <v>2</v>
      </c>
      <c r="G47" s="38"/>
      <c r="H47" s="38"/>
    </row>
    <row r="48" spans="1:8" x14ac:dyDescent="0.25">
      <c r="A48" s="4">
        <v>44</v>
      </c>
      <c r="B48" s="38"/>
      <c r="C48" s="38" t="s">
        <v>2</v>
      </c>
      <c r="D48" s="38"/>
      <c r="E48" s="38"/>
      <c r="F48" s="38" t="s">
        <v>2</v>
      </c>
      <c r="G48" s="38"/>
      <c r="H48" s="38"/>
    </row>
    <row r="49" spans="1:8" x14ac:dyDescent="0.25">
      <c r="A49" s="4">
        <v>45</v>
      </c>
      <c r="B49" s="38"/>
      <c r="C49" s="38"/>
      <c r="D49" s="38"/>
      <c r="E49" s="38"/>
      <c r="F49" s="38"/>
      <c r="G49" s="38"/>
      <c r="H49" s="38"/>
    </row>
    <row r="50" spans="1:8" x14ac:dyDescent="0.25">
      <c r="A50" s="4">
        <v>46</v>
      </c>
      <c r="B50" s="38"/>
      <c r="C50" s="38" t="s">
        <v>2</v>
      </c>
      <c r="D50" s="38"/>
      <c r="E50" s="38"/>
      <c r="F50" s="38"/>
      <c r="G50" s="38"/>
      <c r="H50" s="38"/>
    </row>
    <row r="51" spans="1:8" x14ac:dyDescent="0.25">
      <c r="A51" s="4">
        <v>47</v>
      </c>
      <c r="B51" s="38"/>
      <c r="C51" s="38"/>
      <c r="D51" s="38" t="s">
        <v>2</v>
      </c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2</v>
      </c>
      <c r="D54" s="38" t="s">
        <v>2</v>
      </c>
      <c r="E54" s="38"/>
      <c r="F54" s="38"/>
      <c r="G54" s="38" t="s">
        <v>2</v>
      </c>
      <c r="H54" s="38"/>
    </row>
    <row r="55" spans="1:8" x14ac:dyDescent="0.25">
      <c r="A55" s="4">
        <v>51</v>
      </c>
      <c r="B55" s="38" t="s">
        <v>2</v>
      </c>
      <c r="C55" s="38"/>
      <c r="D55" s="38"/>
      <c r="E55" s="38" t="s">
        <v>2</v>
      </c>
      <c r="F55" s="38"/>
      <c r="G55" s="38"/>
      <c r="H55" s="38" t="s">
        <v>2</v>
      </c>
    </row>
    <row r="56" spans="1:8" x14ac:dyDescent="0.25">
      <c r="A56" s="4">
        <v>52</v>
      </c>
      <c r="B56" s="38"/>
      <c r="C56" s="38"/>
      <c r="D56" s="38"/>
      <c r="E56" s="38"/>
      <c r="F56" s="38"/>
      <c r="G56" s="38"/>
      <c r="H56" s="38" t="s">
        <v>2</v>
      </c>
    </row>
    <row r="57" spans="1:8" x14ac:dyDescent="0.25">
      <c r="A57" s="4">
        <v>53</v>
      </c>
      <c r="B57" s="38"/>
      <c r="C57" s="38"/>
      <c r="D57" s="38" t="s">
        <v>2</v>
      </c>
      <c r="E57" s="38"/>
      <c r="F57" s="38"/>
      <c r="G57" s="38" t="s">
        <v>2</v>
      </c>
      <c r="H57" s="38"/>
    </row>
    <row r="58" spans="1:8" x14ac:dyDescent="0.25">
      <c r="A58" s="4">
        <v>54</v>
      </c>
      <c r="B58" s="38"/>
      <c r="C58" s="38"/>
      <c r="D58" s="38" t="s">
        <v>2</v>
      </c>
      <c r="E58" s="38"/>
      <c r="F58" s="38"/>
      <c r="G58" s="38" t="s">
        <v>2</v>
      </c>
      <c r="H58" s="38"/>
    </row>
    <row r="59" spans="1:8" x14ac:dyDescent="0.25">
      <c r="A59" s="4">
        <v>55</v>
      </c>
      <c r="B59" s="38"/>
      <c r="C59" s="38" t="s">
        <v>2</v>
      </c>
      <c r="D59" s="38"/>
      <c r="E59" s="38"/>
      <c r="F59" s="38" t="s">
        <v>2</v>
      </c>
      <c r="G59" s="38"/>
      <c r="H59" s="38"/>
    </row>
    <row r="60" spans="1:8" x14ac:dyDescent="0.25">
      <c r="A60" s="4">
        <v>56</v>
      </c>
      <c r="B60" s="38"/>
      <c r="C60" s="38" t="s">
        <v>2</v>
      </c>
      <c r="D60" s="38"/>
      <c r="E60" s="38"/>
      <c r="F60" s="38" t="s">
        <v>2</v>
      </c>
      <c r="G60" s="38"/>
      <c r="H60" s="38"/>
    </row>
    <row r="61" spans="1:8" x14ac:dyDescent="0.25">
      <c r="A61" s="18">
        <v>73</v>
      </c>
      <c r="B61" s="38" t="s">
        <v>2</v>
      </c>
      <c r="C61" s="38" t="s">
        <v>2</v>
      </c>
      <c r="D61" s="38"/>
      <c r="E61" s="38" t="s">
        <v>2</v>
      </c>
      <c r="F61" s="38"/>
      <c r="G61" s="38"/>
      <c r="H61" s="38" t="s">
        <v>2</v>
      </c>
    </row>
    <row r="62" spans="1:8" x14ac:dyDescent="0.25">
      <c r="A62" s="18">
        <v>74</v>
      </c>
      <c r="B62" s="38"/>
      <c r="C62" s="38"/>
      <c r="D62" s="38" t="s">
        <v>2</v>
      </c>
      <c r="E62" s="38" t="s">
        <v>2</v>
      </c>
      <c r="F62" s="38" t="s">
        <v>2</v>
      </c>
      <c r="G62" s="38"/>
      <c r="H62" s="38" t="s">
        <v>2</v>
      </c>
    </row>
    <row r="63" spans="1:8" x14ac:dyDescent="0.25">
      <c r="A63" s="18">
        <v>101</v>
      </c>
      <c r="B63" s="39" t="s">
        <v>2</v>
      </c>
      <c r="C63" s="38"/>
      <c r="D63" s="38"/>
      <c r="E63" s="38"/>
      <c r="F63" s="38"/>
      <c r="G63" s="38"/>
      <c r="H63" s="38"/>
    </row>
    <row r="64" spans="1:8" x14ac:dyDescent="0.25">
      <c r="A64" s="18">
        <v>102</v>
      </c>
      <c r="B64" s="38"/>
      <c r="C64" s="38" t="s">
        <v>2</v>
      </c>
      <c r="D64" s="38"/>
      <c r="E64" s="38" t="s">
        <v>2</v>
      </c>
      <c r="F64" s="38"/>
      <c r="G64" s="38" t="s">
        <v>2</v>
      </c>
      <c r="H64" s="38"/>
    </row>
    <row r="65" spans="1:8" x14ac:dyDescent="0.25">
      <c r="A65" s="18">
        <v>103</v>
      </c>
      <c r="B65" s="38" t="s">
        <v>2</v>
      </c>
      <c r="C65" s="38"/>
      <c r="D65" s="38"/>
      <c r="E65" s="38"/>
      <c r="F65" s="38"/>
      <c r="G65" s="38"/>
      <c r="H65" s="38"/>
    </row>
    <row r="66" spans="1:8" x14ac:dyDescent="0.25">
      <c r="A66" s="18">
        <v>104</v>
      </c>
      <c r="B66" s="38"/>
      <c r="C66" s="38"/>
      <c r="D66" s="38"/>
      <c r="E66" s="38"/>
      <c r="F66" s="38"/>
      <c r="G66" s="38"/>
      <c r="H66" s="38"/>
    </row>
    <row r="67" spans="1:8" x14ac:dyDescent="0.25">
      <c r="A67" s="18">
        <v>105</v>
      </c>
      <c r="B67" s="38"/>
      <c r="C67" s="38" t="s">
        <v>2</v>
      </c>
      <c r="D67" s="38"/>
      <c r="E67" s="38" t="s">
        <v>2</v>
      </c>
      <c r="F67" s="38"/>
      <c r="G67" s="38" t="s">
        <v>2</v>
      </c>
      <c r="H67" s="38"/>
    </row>
    <row r="68" spans="1:8" x14ac:dyDescent="0.25">
      <c r="A68" s="18">
        <v>106</v>
      </c>
      <c r="B68" s="38" t="s">
        <v>2</v>
      </c>
      <c r="C68" s="38" t="s">
        <v>2</v>
      </c>
      <c r="D68" s="38" t="s">
        <v>2</v>
      </c>
      <c r="E68" s="38" t="s">
        <v>2</v>
      </c>
      <c r="F68" s="38" t="s">
        <v>2</v>
      </c>
      <c r="G68" s="38" t="s">
        <v>2</v>
      </c>
      <c r="H68" s="38" t="s">
        <v>2</v>
      </c>
    </row>
    <row r="69" spans="1:8" x14ac:dyDescent="0.25">
      <c r="A69" s="18">
        <v>107</v>
      </c>
      <c r="B69" s="38"/>
      <c r="C69" s="38" t="s">
        <v>2</v>
      </c>
      <c r="D69" s="38"/>
      <c r="E69" s="38" t="s">
        <v>2</v>
      </c>
      <c r="F69" s="38"/>
      <c r="G69" s="38" t="s">
        <v>2</v>
      </c>
      <c r="H69" s="38"/>
    </row>
    <row r="70" spans="1:8" x14ac:dyDescent="0.25">
      <c r="A70" s="18">
        <v>108</v>
      </c>
      <c r="B70" s="38"/>
      <c r="C70" s="38" t="s">
        <v>2</v>
      </c>
      <c r="D70" s="38"/>
      <c r="E70" s="38" t="s">
        <v>2</v>
      </c>
      <c r="F70" s="38"/>
      <c r="G70" s="38" t="s">
        <v>2</v>
      </c>
      <c r="H70" s="38"/>
    </row>
    <row r="71" spans="1:8" x14ac:dyDescent="0.25">
      <c r="A71" s="18">
        <v>109</v>
      </c>
      <c r="B71" s="38" t="s">
        <v>2</v>
      </c>
      <c r="C71" s="38"/>
      <c r="D71" s="38" t="s">
        <v>2</v>
      </c>
      <c r="E71" s="38"/>
      <c r="F71" s="38" t="s">
        <v>2</v>
      </c>
      <c r="G71" s="38"/>
      <c r="H71" s="38" t="s">
        <v>2</v>
      </c>
    </row>
    <row r="72" spans="1:8" x14ac:dyDescent="0.25">
      <c r="A72" s="18">
        <v>110</v>
      </c>
      <c r="B72" s="38" t="s">
        <v>2</v>
      </c>
      <c r="C72" s="38"/>
      <c r="D72" s="38" t="s">
        <v>2</v>
      </c>
      <c r="E72" s="38"/>
      <c r="F72" s="38" t="s">
        <v>2</v>
      </c>
      <c r="G72" s="38"/>
      <c r="H72" s="38" t="s">
        <v>2</v>
      </c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/>
      <c r="E74" s="38"/>
      <c r="F74" s="38"/>
      <c r="G74" s="38"/>
      <c r="H74" s="38"/>
    </row>
    <row r="75" spans="1:8" x14ac:dyDescent="0.25">
      <c r="A75" s="18">
        <v>113</v>
      </c>
      <c r="B75" s="38" t="s">
        <v>2</v>
      </c>
      <c r="C75" s="38" t="s">
        <v>2</v>
      </c>
      <c r="D75" s="38"/>
      <c r="E75" s="38" t="s">
        <v>2</v>
      </c>
      <c r="F75" s="38"/>
      <c r="G75" s="38" t="s">
        <v>2</v>
      </c>
      <c r="H75" s="38" t="s">
        <v>2</v>
      </c>
    </row>
    <row r="76" spans="1:8" x14ac:dyDescent="0.25">
      <c r="A76" s="18">
        <v>114</v>
      </c>
      <c r="B76" s="38"/>
      <c r="C76" s="38"/>
      <c r="D76" s="38"/>
      <c r="E76" s="38"/>
      <c r="F76" s="38"/>
      <c r="G76" s="38"/>
      <c r="H76" s="38"/>
    </row>
    <row r="77" spans="1:8" x14ac:dyDescent="0.25">
      <c r="A77" s="18">
        <v>115</v>
      </c>
      <c r="B77" s="38"/>
      <c r="C77" s="38" t="s">
        <v>2</v>
      </c>
      <c r="D77" s="38" t="s">
        <v>2</v>
      </c>
      <c r="E77" s="38" t="s">
        <v>2</v>
      </c>
      <c r="F77" s="38" t="s">
        <v>2</v>
      </c>
      <c r="G77" s="38" t="s">
        <v>2</v>
      </c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 t="s">
        <v>6</v>
      </c>
      <c r="E86" s="38"/>
      <c r="F86" s="38"/>
      <c r="G86" s="38" t="s">
        <v>2</v>
      </c>
      <c r="H86" s="38" t="s">
        <v>2</v>
      </c>
    </row>
    <row r="87" spans="1:8" x14ac:dyDescent="0.25">
      <c r="A87" s="18">
        <v>125</v>
      </c>
      <c r="B87" s="38"/>
      <c r="C87" s="38"/>
      <c r="D87" s="38"/>
      <c r="E87" s="38"/>
      <c r="F87" s="38"/>
      <c r="G87" s="38" t="s">
        <v>2</v>
      </c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 t="s">
        <v>2</v>
      </c>
      <c r="D90" s="38" t="s">
        <v>2</v>
      </c>
      <c r="E90" s="38" t="s">
        <v>2</v>
      </c>
      <c r="F90" s="38" t="s">
        <v>2</v>
      </c>
      <c r="G90" s="38" t="s">
        <v>2</v>
      </c>
      <c r="H90" s="38" t="s">
        <v>2</v>
      </c>
    </row>
    <row r="91" spans="1:8" x14ac:dyDescent="0.25">
      <c r="A91" s="18">
        <v>129</v>
      </c>
      <c r="B91" s="38"/>
      <c r="C91" s="38" t="s">
        <v>2</v>
      </c>
      <c r="D91" s="38"/>
      <c r="E91" s="38" t="s">
        <v>2</v>
      </c>
      <c r="F91" s="38"/>
      <c r="G91" s="38" t="s">
        <v>2</v>
      </c>
      <c r="H91" s="38"/>
    </row>
    <row r="92" spans="1:8" x14ac:dyDescent="0.25">
      <c r="A92" s="18">
        <v>130</v>
      </c>
      <c r="B92" s="38" t="s">
        <v>2</v>
      </c>
      <c r="C92" s="38" t="s">
        <v>2</v>
      </c>
      <c r="D92" s="38" t="s">
        <v>2</v>
      </c>
      <c r="E92" s="38" t="s">
        <v>2</v>
      </c>
      <c r="F92" s="38" t="s">
        <v>2</v>
      </c>
      <c r="G92" s="38" t="s">
        <v>2</v>
      </c>
      <c r="H92" s="38" t="s">
        <v>2</v>
      </c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 t="s">
        <v>2</v>
      </c>
    </row>
  </sheetData>
  <mergeCells count="1">
    <mergeCell ref="A1:H2"/>
  </mergeCells>
  <conditionalFormatting sqref="B61:I62 I5:I60 B63:H95">
    <cfRule type="cellIs" dxfId="895" priority="18" operator="equal">
      <formula>"Energia"</formula>
    </cfRule>
    <cfRule type="cellIs" dxfId="894" priority="20" operator="equal">
      <formula>"Operação"</formula>
    </cfRule>
    <cfRule type="cellIs" dxfId="893" priority="21" operator="equal">
      <formula>"Chuva"</formula>
    </cfRule>
    <cfRule type="cellIs" dxfId="892" priority="22" operator="equal">
      <formula>"Elétrico"</formula>
    </cfRule>
    <cfRule type="cellIs" dxfId="891" priority="23" operator="equal">
      <formula>"Mecânico"</formula>
    </cfRule>
    <cfRule type="cellIs" dxfId="890" priority="24" operator="equal">
      <formula>"Ok"</formula>
    </cfRule>
  </conditionalFormatting>
  <conditionalFormatting sqref="B61:I62 I5:I60 B63:H95">
    <cfRule type="cellIs" dxfId="889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888" priority="16" operator="equal">
      <formula>"Energia"</formula>
    </cfRule>
  </conditionalFormatting>
  <conditionalFormatting sqref="B5:E60 G5:H60">
    <cfRule type="cellIs" dxfId="887" priority="9" operator="equal">
      <formula>"Energia"</formula>
    </cfRule>
    <cfRule type="cellIs" dxfId="886" priority="11" operator="equal">
      <formula>"Operação"</formula>
    </cfRule>
    <cfRule type="cellIs" dxfId="885" priority="12" operator="equal">
      <formula>"Chuva"</formula>
    </cfRule>
    <cfRule type="cellIs" dxfId="884" priority="13" operator="equal">
      <formula>"Elétrico"</formula>
    </cfRule>
    <cfRule type="cellIs" dxfId="883" priority="14" operator="equal">
      <formula>"Mecânico"</formula>
    </cfRule>
    <cfRule type="cellIs" dxfId="882" priority="15" operator="equal">
      <formula>"Ok"</formula>
    </cfRule>
  </conditionalFormatting>
  <conditionalFormatting sqref="B5:E60 G5:H60">
    <cfRule type="cellIs" dxfId="881" priority="10" operator="equal">
      <formula>"Feito"</formula>
    </cfRule>
  </conditionalFormatting>
  <conditionalFormatting sqref="F5:F11">
    <cfRule type="cellIs" dxfId="880" priority="8" operator="equal">
      <formula>"Energia"</formula>
    </cfRule>
  </conditionalFormatting>
  <conditionalFormatting sqref="F5:F60">
    <cfRule type="cellIs" dxfId="879" priority="1" operator="equal">
      <formula>"Energia"</formula>
    </cfRule>
    <cfRule type="cellIs" dxfId="878" priority="3" operator="equal">
      <formula>"Operação"</formula>
    </cfRule>
    <cfRule type="cellIs" dxfId="877" priority="4" operator="equal">
      <formula>"Chuva"</formula>
    </cfRule>
    <cfRule type="cellIs" dxfId="876" priority="5" operator="equal">
      <formula>"Elétrico"</formula>
    </cfRule>
    <cfRule type="cellIs" dxfId="875" priority="6" operator="equal">
      <formula>"Mecânico"</formula>
    </cfRule>
    <cfRule type="cellIs" dxfId="874" priority="7" operator="equal">
      <formula>"Ok"</formula>
    </cfRule>
  </conditionalFormatting>
  <conditionalFormatting sqref="F5:F60">
    <cfRule type="cellIs" dxfId="873" priority="2" operator="equal">
      <formula>"Feito"</formula>
    </cfRule>
  </conditionalFormatting>
  <dataValidations count="1">
    <dataValidation type="list" allowBlank="1" showInputMessage="1" showErrorMessage="1" sqref="B61:I62 B5:I26 B27:J60 B63:H95" xr:uid="{17B60F38-DAB2-4EED-A6C2-3CF19B7CF274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4DC1-B9BF-4158-BDAD-8E5FE16AAC9C}">
  <sheetPr>
    <tabColor theme="8"/>
  </sheetPr>
  <dimension ref="A1:M95"/>
  <sheetViews>
    <sheetView zoomScale="115" zoomScaleNormal="115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3" max="13" width="11.85546875" bestFit="1" customWidth="1"/>
    <col min="17" max="17" width="8.5703125" customWidth="1"/>
  </cols>
  <sheetData>
    <row r="1" spans="1:13" x14ac:dyDescent="0.25">
      <c r="A1" s="70" t="s">
        <v>28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4" t="s">
        <v>16</v>
      </c>
      <c r="B3" s="23">
        <v>44718</v>
      </c>
      <c r="C3" s="23">
        <f>B3+1</f>
        <v>44719</v>
      </c>
      <c r="D3" s="23">
        <f t="shared" ref="D3:H3" si="0">C3+1</f>
        <v>44720</v>
      </c>
      <c r="E3" s="23">
        <f t="shared" si="0"/>
        <v>44721</v>
      </c>
      <c r="F3" s="23">
        <f t="shared" si="0"/>
        <v>44722</v>
      </c>
      <c r="G3" s="23">
        <f t="shared" si="0"/>
        <v>44723</v>
      </c>
      <c r="H3" s="25">
        <f t="shared" si="0"/>
        <v>44724</v>
      </c>
      <c r="I3" s="3"/>
    </row>
    <row r="4" spans="1:13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</row>
    <row r="5" spans="1:13" x14ac:dyDescent="0.25">
      <c r="A5" s="4">
        <v>1</v>
      </c>
      <c r="B5" s="38"/>
      <c r="C5" s="38" t="s">
        <v>2</v>
      </c>
      <c r="D5" s="38"/>
      <c r="E5" s="38" t="s">
        <v>2</v>
      </c>
      <c r="F5" s="38"/>
      <c r="G5" s="38"/>
      <c r="H5" s="38" t="s">
        <v>2</v>
      </c>
      <c r="J5" s="48" t="s">
        <v>2</v>
      </c>
      <c r="K5">
        <f>COUNTIF($B$5:$H$95,J5)</f>
        <v>187</v>
      </c>
      <c r="L5" s="34">
        <f t="shared" ref="L5:L10" si="2">K5/$K$11</f>
        <v>0.9211822660098522</v>
      </c>
      <c r="M5" s="52">
        <v>44718</v>
      </c>
    </row>
    <row r="6" spans="1:13" x14ac:dyDescent="0.25">
      <c r="A6" s="4">
        <v>2</v>
      </c>
      <c r="B6" s="38" t="s">
        <v>2</v>
      </c>
      <c r="C6" s="38"/>
      <c r="D6" s="38"/>
      <c r="E6" s="38"/>
      <c r="F6" s="38" t="s">
        <v>2</v>
      </c>
      <c r="G6" s="38"/>
      <c r="H6" s="38" t="s">
        <v>7</v>
      </c>
      <c r="J6" s="42" t="s">
        <v>5</v>
      </c>
      <c r="K6">
        <f>COUNTIF($B$5:$H$95,J6)</f>
        <v>4</v>
      </c>
      <c r="L6" s="35">
        <f t="shared" si="2"/>
        <v>1.9704433497536946E-2</v>
      </c>
    </row>
    <row r="7" spans="1:13" x14ac:dyDescent="0.25">
      <c r="A7" s="4">
        <v>3</v>
      </c>
      <c r="B7" s="38" t="s">
        <v>2</v>
      </c>
      <c r="C7" s="38"/>
      <c r="D7" s="38"/>
      <c r="E7" s="38"/>
      <c r="F7" s="38"/>
      <c r="G7" s="38" t="s">
        <v>2</v>
      </c>
      <c r="H7" s="38"/>
      <c r="J7" s="46" t="s">
        <v>6</v>
      </c>
      <c r="K7">
        <f t="shared" ref="K7:K10" si="3">COUNTIF($B$5:$H$95,J7)</f>
        <v>6</v>
      </c>
      <c r="L7" s="35">
        <f t="shared" si="2"/>
        <v>2.9556650246305417E-2</v>
      </c>
    </row>
    <row r="8" spans="1:13" x14ac:dyDescent="0.25">
      <c r="A8" s="4">
        <v>4</v>
      </c>
      <c r="B8" s="38" t="s">
        <v>2</v>
      </c>
      <c r="C8" s="38"/>
      <c r="D8" s="38" t="s">
        <v>2</v>
      </c>
      <c r="E8" s="38" t="s">
        <v>2</v>
      </c>
      <c r="F8" s="38" t="s">
        <v>2</v>
      </c>
      <c r="G8" s="38" t="s">
        <v>2</v>
      </c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</row>
    <row r="9" spans="1:13" x14ac:dyDescent="0.25">
      <c r="A9" s="4">
        <v>5</v>
      </c>
      <c r="B9" s="38" t="s">
        <v>2</v>
      </c>
      <c r="C9" s="38"/>
      <c r="D9" s="38" t="s">
        <v>2</v>
      </c>
      <c r="E9" s="38" t="s">
        <v>2</v>
      </c>
      <c r="F9" s="38"/>
      <c r="G9" s="38"/>
      <c r="H9" s="38" t="s">
        <v>2</v>
      </c>
      <c r="J9" s="45" t="s">
        <v>3</v>
      </c>
      <c r="K9">
        <f t="shared" si="3"/>
        <v>0</v>
      </c>
      <c r="L9" s="35">
        <f t="shared" si="2"/>
        <v>0</v>
      </c>
    </row>
    <row r="10" spans="1:13" x14ac:dyDescent="0.25">
      <c r="A10" s="4">
        <v>6</v>
      </c>
      <c r="B10" s="38"/>
      <c r="C10" s="38"/>
      <c r="D10" s="38" t="s">
        <v>7</v>
      </c>
      <c r="E10" s="38"/>
      <c r="F10" s="38" t="s">
        <v>2</v>
      </c>
      <c r="G10" s="38"/>
      <c r="H10" s="38"/>
      <c r="J10" s="43" t="s">
        <v>7</v>
      </c>
      <c r="K10">
        <f t="shared" si="3"/>
        <v>6</v>
      </c>
      <c r="L10" s="37">
        <f t="shared" si="2"/>
        <v>2.9556650246305417E-2</v>
      </c>
    </row>
    <row r="11" spans="1:13" x14ac:dyDescent="0.25">
      <c r="A11" s="4">
        <v>7</v>
      </c>
      <c r="B11" s="38"/>
      <c r="C11" s="38" t="s">
        <v>2</v>
      </c>
      <c r="D11" s="38"/>
      <c r="E11" s="38" t="s">
        <v>2</v>
      </c>
      <c r="F11" s="38"/>
      <c r="G11" s="38" t="s">
        <v>2</v>
      </c>
      <c r="H11" s="38"/>
      <c r="J11" s="44" t="s">
        <v>17</v>
      </c>
      <c r="K11">
        <f>SUM(K5:K10)</f>
        <v>203</v>
      </c>
    </row>
    <row r="12" spans="1:13" x14ac:dyDescent="0.25">
      <c r="A12" s="4">
        <v>8</v>
      </c>
      <c r="B12" s="38" t="s">
        <v>2</v>
      </c>
      <c r="C12" s="38"/>
      <c r="D12" s="38" t="s">
        <v>2</v>
      </c>
      <c r="E12" s="38"/>
      <c r="F12" s="38" t="s">
        <v>2</v>
      </c>
      <c r="G12" s="38" t="s">
        <v>2</v>
      </c>
      <c r="H12" s="38" t="s">
        <v>2</v>
      </c>
    </row>
    <row r="13" spans="1:13" x14ac:dyDescent="0.25">
      <c r="A13" s="4">
        <v>9</v>
      </c>
      <c r="B13" s="38" t="s">
        <v>2</v>
      </c>
      <c r="C13" s="38"/>
      <c r="D13" s="38" t="s">
        <v>2</v>
      </c>
      <c r="E13" s="38"/>
      <c r="F13" s="38"/>
      <c r="G13" s="38" t="s">
        <v>2</v>
      </c>
      <c r="H13" s="38"/>
    </row>
    <row r="14" spans="1:13" x14ac:dyDescent="0.25">
      <c r="A14" s="4">
        <v>10</v>
      </c>
      <c r="B14" s="38" t="s">
        <v>2</v>
      </c>
      <c r="C14" s="38" t="s">
        <v>2</v>
      </c>
      <c r="D14" s="38" t="s">
        <v>2</v>
      </c>
      <c r="E14" s="38"/>
      <c r="F14" s="38" t="s">
        <v>2</v>
      </c>
      <c r="G14" s="38"/>
      <c r="H14" s="38" t="s">
        <v>2</v>
      </c>
    </row>
    <row r="15" spans="1:13" x14ac:dyDescent="0.25">
      <c r="A15" s="4">
        <v>11</v>
      </c>
      <c r="B15" s="38" t="s">
        <v>2</v>
      </c>
      <c r="C15" s="38"/>
      <c r="D15" s="38"/>
      <c r="E15" s="38"/>
      <c r="F15" s="38" t="s">
        <v>2</v>
      </c>
      <c r="G15" s="38"/>
      <c r="H15" s="38" t="s">
        <v>2</v>
      </c>
    </row>
    <row r="16" spans="1:13" x14ac:dyDescent="0.25">
      <c r="A16" s="4">
        <v>12</v>
      </c>
      <c r="B16" s="38" t="s">
        <v>2</v>
      </c>
      <c r="C16" s="38"/>
      <c r="D16" s="38"/>
      <c r="E16" s="38" t="s">
        <v>2</v>
      </c>
      <c r="F16" s="38"/>
      <c r="G16" s="38"/>
      <c r="H16" s="38" t="s">
        <v>2</v>
      </c>
    </row>
    <row r="17" spans="1:8" x14ac:dyDescent="0.25">
      <c r="A17" s="4">
        <v>13</v>
      </c>
      <c r="B17" s="38" t="s">
        <v>2</v>
      </c>
      <c r="C17" s="38" t="s">
        <v>2</v>
      </c>
      <c r="D17" s="38"/>
      <c r="E17" s="38" t="s">
        <v>2</v>
      </c>
      <c r="F17" s="38"/>
      <c r="G17" s="38" t="s">
        <v>2</v>
      </c>
      <c r="H17" s="38"/>
    </row>
    <row r="18" spans="1:8" x14ac:dyDescent="0.25">
      <c r="A18" s="4">
        <v>14</v>
      </c>
      <c r="B18" s="38" t="s">
        <v>2</v>
      </c>
      <c r="C18" s="38" t="s">
        <v>2</v>
      </c>
      <c r="D18" s="38" t="s">
        <v>2</v>
      </c>
      <c r="E18" s="38" t="s">
        <v>2</v>
      </c>
      <c r="F18" s="38" t="s">
        <v>7</v>
      </c>
      <c r="G18" s="38" t="s">
        <v>2</v>
      </c>
      <c r="H18" s="38" t="s">
        <v>2</v>
      </c>
    </row>
    <row r="19" spans="1:8" x14ac:dyDescent="0.25">
      <c r="A19" s="4">
        <v>15</v>
      </c>
      <c r="B19" s="38"/>
      <c r="C19" s="38" t="s">
        <v>6</v>
      </c>
      <c r="D19" s="38"/>
      <c r="E19" s="38"/>
      <c r="F19" s="38" t="s">
        <v>2</v>
      </c>
      <c r="G19" s="38" t="s">
        <v>2</v>
      </c>
      <c r="H19" s="38"/>
    </row>
    <row r="20" spans="1:8" x14ac:dyDescent="0.25">
      <c r="A20" s="4">
        <v>16</v>
      </c>
      <c r="B20" s="38" t="s">
        <v>2</v>
      </c>
      <c r="C20" s="38"/>
      <c r="D20" s="38"/>
      <c r="E20" s="38" t="s">
        <v>5</v>
      </c>
      <c r="F20" s="38"/>
      <c r="G20" s="38"/>
      <c r="H20" s="38" t="s">
        <v>2</v>
      </c>
    </row>
    <row r="21" spans="1:8" x14ac:dyDescent="0.25">
      <c r="A21" s="4">
        <v>17</v>
      </c>
      <c r="B21" s="38"/>
      <c r="C21" s="38" t="s">
        <v>2</v>
      </c>
      <c r="D21" s="38"/>
      <c r="E21" s="38"/>
      <c r="F21" s="38" t="s">
        <v>2</v>
      </c>
      <c r="G21" s="38"/>
      <c r="H21" s="38"/>
    </row>
    <row r="22" spans="1:8" x14ac:dyDescent="0.25">
      <c r="A22" s="4">
        <v>18</v>
      </c>
      <c r="B22" s="38" t="s">
        <v>2</v>
      </c>
      <c r="C22" s="38"/>
      <c r="D22" s="38"/>
      <c r="E22" s="38" t="s">
        <v>2</v>
      </c>
      <c r="F22" s="38"/>
      <c r="G22" s="38"/>
      <c r="H22" s="38"/>
    </row>
    <row r="23" spans="1:8" x14ac:dyDescent="0.25">
      <c r="A23" s="4">
        <v>19</v>
      </c>
      <c r="B23" s="38"/>
      <c r="C23" s="38" t="s">
        <v>6</v>
      </c>
      <c r="D23" s="38" t="s">
        <v>6</v>
      </c>
      <c r="E23" s="38"/>
      <c r="F23" s="38" t="s">
        <v>6</v>
      </c>
      <c r="G23" s="38"/>
      <c r="H23" s="38"/>
    </row>
    <row r="24" spans="1:8" x14ac:dyDescent="0.25">
      <c r="A24" s="4">
        <v>20</v>
      </c>
      <c r="B24" s="38"/>
      <c r="C24" s="38" t="s">
        <v>2</v>
      </c>
      <c r="D24" s="38"/>
      <c r="E24" s="38"/>
      <c r="F24" s="38" t="s">
        <v>2</v>
      </c>
      <c r="G24" s="38"/>
      <c r="H24" s="38"/>
    </row>
    <row r="25" spans="1:8" x14ac:dyDescent="0.25">
      <c r="A25" s="4">
        <v>21</v>
      </c>
      <c r="B25" s="38"/>
      <c r="C25" s="38"/>
      <c r="D25" s="38" t="s">
        <v>6</v>
      </c>
      <c r="E25" s="38"/>
      <c r="F25" s="38"/>
      <c r="G25" s="38" t="s">
        <v>2</v>
      </c>
      <c r="H25" s="38" t="s">
        <v>2</v>
      </c>
    </row>
    <row r="26" spans="1:8" x14ac:dyDescent="0.25">
      <c r="A26" s="4">
        <v>22</v>
      </c>
      <c r="B26" s="38"/>
      <c r="C26" s="38"/>
      <c r="D26" s="38" t="s">
        <v>2</v>
      </c>
      <c r="E26" s="38"/>
      <c r="F26" s="38"/>
      <c r="G26" s="38" t="s">
        <v>2</v>
      </c>
      <c r="H26" s="38"/>
    </row>
    <row r="27" spans="1:8" x14ac:dyDescent="0.25">
      <c r="A27" s="4">
        <v>23</v>
      </c>
      <c r="B27" s="38"/>
      <c r="C27" s="38"/>
      <c r="D27" s="38" t="s">
        <v>2</v>
      </c>
      <c r="E27" s="38"/>
      <c r="F27" s="38"/>
      <c r="G27" s="38" t="s">
        <v>2</v>
      </c>
      <c r="H27" s="38" t="s">
        <v>2</v>
      </c>
    </row>
    <row r="28" spans="1:8" x14ac:dyDescent="0.25">
      <c r="A28" s="4">
        <v>24</v>
      </c>
      <c r="B28" s="38"/>
      <c r="C28" s="38"/>
      <c r="D28" s="38" t="s">
        <v>2</v>
      </c>
      <c r="E28" s="38"/>
      <c r="F28" s="38"/>
      <c r="G28" s="38" t="s">
        <v>2</v>
      </c>
      <c r="H28" s="38"/>
    </row>
    <row r="29" spans="1:8" x14ac:dyDescent="0.25">
      <c r="A29" s="4">
        <v>25</v>
      </c>
      <c r="B29" s="38"/>
      <c r="C29" s="38" t="s">
        <v>2</v>
      </c>
      <c r="D29" s="38"/>
      <c r="E29" s="38" t="s">
        <v>2</v>
      </c>
      <c r="F29" s="38"/>
      <c r="G29" s="38" t="s">
        <v>2</v>
      </c>
      <c r="H29" s="38"/>
    </row>
    <row r="30" spans="1:8" x14ac:dyDescent="0.25">
      <c r="A30" s="4">
        <v>26</v>
      </c>
      <c r="B30" s="38"/>
      <c r="C30" s="38" t="s">
        <v>2</v>
      </c>
      <c r="D30" s="38"/>
      <c r="E30" s="38"/>
      <c r="F30" s="38" t="s">
        <v>2</v>
      </c>
      <c r="G30" s="38"/>
      <c r="H30" s="38"/>
    </row>
    <row r="31" spans="1:8" x14ac:dyDescent="0.25">
      <c r="A31" s="4">
        <v>27</v>
      </c>
      <c r="B31" s="38"/>
      <c r="C31" s="38"/>
      <c r="D31" s="38" t="s">
        <v>2</v>
      </c>
      <c r="E31" s="38"/>
      <c r="F31" s="38"/>
      <c r="G31" s="38" t="s">
        <v>2</v>
      </c>
      <c r="H31" s="38"/>
    </row>
    <row r="32" spans="1:8" x14ac:dyDescent="0.25">
      <c r="A32" s="4">
        <v>28</v>
      </c>
      <c r="B32" s="38" t="s">
        <v>2</v>
      </c>
      <c r="C32" s="38"/>
      <c r="D32" s="38"/>
      <c r="E32" s="38" t="s">
        <v>2</v>
      </c>
      <c r="F32" s="38"/>
      <c r="G32" s="38"/>
      <c r="H32" s="38"/>
    </row>
    <row r="33" spans="1:8" x14ac:dyDescent="0.25">
      <c r="A33" s="4">
        <v>29</v>
      </c>
      <c r="B33" s="38" t="s">
        <v>2</v>
      </c>
      <c r="C33" s="38"/>
      <c r="D33" s="38" t="s">
        <v>2</v>
      </c>
      <c r="E33" s="38"/>
      <c r="F33" s="38" t="s">
        <v>2</v>
      </c>
      <c r="G33" s="38"/>
      <c r="H33" s="38" t="s">
        <v>2</v>
      </c>
    </row>
    <row r="34" spans="1:8" x14ac:dyDescent="0.25">
      <c r="A34" s="4">
        <v>30</v>
      </c>
      <c r="B34" s="38" t="s">
        <v>2</v>
      </c>
      <c r="C34" s="38"/>
      <c r="D34" s="38" t="s">
        <v>7</v>
      </c>
      <c r="E34" s="38"/>
      <c r="F34" s="38"/>
      <c r="G34" s="38"/>
      <c r="H34" s="38"/>
    </row>
    <row r="35" spans="1:8" x14ac:dyDescent="0.25">
      <c r="A35" s="4">
        <v>31</v>
      </c>
      <c r="B35" s="38" t="s">
        <v>7</v>
      </c>
      <c r="C35" s="38"/>
      <c r="D35" s="38" t="s">
        <v>2</v>
      </c>
      <c r="E35" s="38"/>
      <c r="F35" s="38"/>
      <c r="G35" s="38"/>
      <c r="H35" s="38"/>
    </row>
    <row r="36" spans="1:8" x14ac:dyDescent="0.25">
      <c r="A36" s="4">
        <v>32</v>
      </c>
      <c r="B36" s="38"/>
      <c r="C36" s="38" t="s">
        <v>2</v>
      </c>
      <c r="D36" s="38"/>
      <c r="E36" s="38"/>
      <c r="F36" s="38" t="s">
        <v>2</v>
      </c>
      <c r="G36" s="38"/>
      <c r="H36" s="38"/>
    </row>
    <row r="37" spans="1:8" x14ac:dyDescent="0.25">
      <c r="A37" s="4">
        <v>33</v>
      </c>
      <c r="B37" s="38"/>
      <c r="C37" s="38"/>
      <c r="D37" s="38"/>
      <c r="E37" s="38"/>
      <c r="F37" s="38" t="s">
        <v>2</v>
      </c>
      <c r="G37" s="38" t="s">
        <v>2</v>
      </c>
      <c r="H37" s="38"/>
    </row>
    <row r="38" spans="1:8" x14ac:dyDescent="0.25">
      <c r="A38" s="4">
        <v>34</v>
      </c>
      <c r="B38" s="38" t="s">
        <v>7</v>
      </c>
      <c r="C38" s="38"/>
      <c r="D38" s="38" t="s">
        <v>6</v>
      </c>
      <c r="E38" s="38"/>
      <c r="F38" s="38"/>
      <c r="G38" s="38" t="s">
        <v>2</v>
      </c>
      <c r="H38" s="38"/>
    </row>
    <row r="39" spans="1:8" x14ac:dyDescent="0.25">
      <c r="A39" s="4">
        <v>35</v>
      </c>
      <c r="B39" s="38" t="s">
        <v>2</v>
      </c>
      <c r="C39" s="38"/>
      <c r="D39" s="38"/>
      <c r="E39" s="38" t="s">
        <v>2</v>
      </c>
      <c r="F39" s="38"/>
      <c r="G39" s="38" t="s">
        <v>2</v>
      </c>
      <c r="H39" s="38"/>
    </row>
    <row r="40" spans="1:8" x14ac:dyDescent="0.25">
      <c r="A40" s="4">
        <v>36</v>
      </c>
      <c r="B40" s="38" t="s">
        <v>2</v>
      </c>
      <c r="C40" s="38"/>
      <c r="D40" s="38"/>
      <c r="E40" s="38" t="s">
        <v>2</v>
      </c>
      <c r="F40" s="38"/>
      <c r="G40" s="38" t="s">
        <v>2</v>
      </c>
      <c r="H40" s="38"/>
    </row>
    <row r="41" spans="1:8" x14ac:dyDescent="0.25">
      <c r="A41" s="4">
        <v>37</v>
      </c>
      <c r="B41" s="38"/>
      <c r="C41" s="38" t="s">
        <v>2</v>
      </c>
      <c r="D41" s="38" t="s">
        <v>2</v>
      </c>
      <c r="E41" s="38"/>
      <c r="F41" s="38" t="s">
        <v>2</v>
      </c>
      <c r="G41" s="38"/>
      <c r="H41" s="38" t="s">
        <v>2</v>
      </c>
    </row>
    <row r="42" spans="1:8" x14ac:dyDescent="0.25">
      <c r="A42" s="4">
        <v>38</v>
      </c>
      <c r="B42" s="38"/>
      <c r="C42" s="38" t="s">
        <v>2</v>
      </c>
      <c r="D42" s="38"/>
      <c r="E42" s="38" t="s">
        <v>2</v>
      </c>
      <c r="F42" s="38" t="s">
        <v>2</v>
      </c>
      <c r="G42" s="38"/>
      <c r="H42" s="38"/>
    </row>
    <row r="43" spans="1:8" x14ac:dyDescent="0.25">
      <c r="A43" s="4">
        <v>39</v>
      </c>
      <c r="B43" s="38" t="s">
        <v>2</v>
      </c>
      <c r="C43" s="38"/>
      <c r="D43" s="38" t="s">
        <v>2</v>
      </c>
      <c r="E43" s="38"/>
      <c r="F43" s="38"/>
      <c r="G43" s="38" t="s">
        <v>2</v>
      </c>
      <c r="H43" s="38"/>
    </row>
    <row r="44" spans="1:8" x14ac:dyDescent="0.25">
      <c r="A44" s="4">
        <v>40</v>
      </c>
      <c r="B44" s="38" t="s">
        <v>2</v>
      </c>
      <c r="C44" s="38"/>
      <c r="D44" s="38" t="s">
        <v>2</v>
      </c>
      <c r="E44" s="38"/>
      <c r="F44" s="38"/>
      <c r="G44" s="38" t="s">
        <v>2</v>
      </c>
      <c r="H44" s="38"/>
    </row>
    <row r="45" spans="1:8" x14ac:dyDescent="0.25">
      <c r="A45" s="4">
        <v>41</v>
      </c>
      <c r="B45" s="38"/>
      <c r="C45" s="38" t="s">
        <v>2</v>
      </c>
      <c r="D45" s="38"/>
      <c r="E45" s="38"/>
      <c r="F45" s="38" t="s">
        <v>2</v>
      </c>
      <c r="G45" s="38"/>
      <c r="H45" s="38"/>
    </row>
    <row r="46" spans="1:8" x14ac:dyDescent="0.25">
      <c r="A46" s="4">
        <v>42</v>
      </c>
      <c r="B46" s="38"/>
      <c r="C46" s="38" t="s">
        <v>2</v>
      </c>
      <c r="D46" s="38"/>
      <c r="E46" s="38"/>
      <c r="F46" s="38" t="s">
        <v>2</v>
      </c>
      <c r="G46" s="38" t="s">
        <v>2</v>
      </c>
      <c r="H46" s="38"/>
    </row>
    <row r="47" spans="1:8" x14ac:dyDescent="0.25">
      <c r="A47" s="4">
        <v>43</v>
      </c>
      <c r="B47" s="38" t="s">
        <v>2</v>
      </c>
      <c r="C47" s="38"/>
      <c r="D47" s="38"/>
      <c r="E47" s="38" t="s">
        <v>2</v>
      </c>
      <c r="F47" s="38"/>
      <c r="G47" s="38"/>
      <c r="H47" s="38"/>
    </row>
    <row r="48" spans="1:8" x14ac:dyDescent="0.25">
      <c r="A48" s="4">
        <v>44</v>
      </c>
      <c r="B48" s="38" t="s">
        <v>2</v>
      </c>
      <c r="C48" s="38"/>
      <c r="D48" s="38"/>
      <c r="E48" s="38" t="s">
        <v>5</v>
      </c>
      <c r="F48" s="38"/>
      <c r="G48" s="38"/>
      <c r="H48" s="38" t="s">
        <v>2</v>
      </c>
    </row>
    <row r="49" spans="1:8" x14ac:dyDescent="0.25">
      <c r="A49" s="4">
        <v>45</v>
      </c>
      <c r="B49" s="38"/>
      <c r="C49" s="38"/>
      <c r="D49" s="38"/>
      <c r="E49" s="38"/>
      <c r="F49" s="38"/>
      <c r="G49" s="38"/>
      <c r="H49" s="38"/>
    </row>
    <row r="50" spans="1:8" x14ac:dyDescent="0.25">
      <c r="A50" s="4">
        <v>46</v>
      </c>
      <c r="B50" s="38"/>
      <c r="C50" s="38"/>
      <c r="D50" s="38"/>
      <c r="E50" s="38"/>
      <c r="F50" s="38"/>
      <c r="G50" s="38"/>
      <c r="H50" s="38"/>
    </row>
    <row r="51" spans="1:8" x14ac:dyDescent="0.25">
      <c r="A51" s="4">
        <v>47</v>
      </c>
      <c r="B51" s="38"/>
      <c r="C51" s="38"/>
      <c r="D51" s="38" t="s">
        <v>2</v>
      </c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 t="s">
        <v>2</v>
      </c>
      <c r="G52" s="38" t="s">
        <v>2</v>
      </c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2</v>
      </c>
      <c r="D54" s="38"/>
      <c r="E54" s="38"/>
      <c r="F54" s="38" t="s">
        <v>2</v>
      </c>
      <c r="G54" s="38"/>
      <c r="H54" s="38"/>
    </row>
    <row r="55" spans="1:8" x14ac:dyDescent="0.25">
      <c r="A55" s="4">
        <v>51</v>
      </c>
      <c r="B55" s="38"/>
      <c r="C55" s="38"/>
      <c r="D55" s="38" t="s">
        <v>2</v>
      </c>
      <c r="E55" s="38"/>
      <c r="F55" s="38"/>
      <c r="G55" s="38" t="s">
        <v>2</v>
      </c>
      <c r="H55" s="38"/>
    </row>
    <row r="56" spans="1:8" x14ac:dyDescent="0.25">
      <c r="A56" s="4">
        <v>52</v>
      </c>
      <c r="B56" s="38"/>
      <c r="C56" s="38"/>
      <c r="D56" s="38"/>
      <c r="E56" s="38"/>
      <c r="F56" s="38"/>
      <c r="G56" s="38"/>
      <c r="H56" s="38"/>
    </row>
    <row r="57" spans="1:8" x14ac:dyDescent="0.25">
      <c r="A57" s="4">
        <v>53</v>
      </c>
      <c r="B57" s="38"/>
      <c r="C57" s="38" t="s">
        <v>2</v>
      </c>
      <c r="D57" s="38"/>
      <c r="E57" s="38"/>
      <c r="F57" s="38" t="s">
        <v>5</v>
      </c>
      <c r="G57" s="38"/>
      <c r="H57" s="38"/>
    </row>
    <row r="58" spans="1:8" x14ac:dyDescent="0.25">
      <c r="A58" s="4">
        <v>54</v>
      </c>
      <c r="B58" s="38"/>
      <c r="C58" s="38" t="s">
        <v>2</v>
      </c>
      <c r="D58" s="38"/>
      <c r="E58" s="38"/>
      <c r="F58" s="38" t="s">
        <v>2</v>
      </c>
      <c r="G58" s="38"/>
      <c r="H58" s="38"/>
    </row>
    <row r="59" spans="1:8" x14ac:dyDescent="0.25">
      <c r="A59" s="4">
        <v>55</v>
      </c>
      <c r="B59" s="38" t="s">
        <v>2</v>
      </c>
      <c r="C59" s="38"/>
      <c r="D59" s="38"/>
      <c r="E59" s="38" t="s">
        <v>2</v>
      </c>
      <c r="F59" s="38"/>
      <c r="G59" s="38"/>
      <c r="H59" s="38" t="s">
        <v>2</v>
      </c>
    </row>
    <row r="60" spans="1:8" x14ac:dyDescent="0.25">
      <c r="A60" s="4">
        <v>56</v>
      </c>
      <c r="B60" s="38" t="s">
        <v>2</v>
      </c>
      <c r="C60" s="38"/>
      <c r="D60" s="38"/>
      <c r="E60" s="38" t="s">
        <v>2</v>
      </c>
      <c r="F60" s="38"/>
      <c r="G60" s="38"/>
      <c r="H60" s="38" t="s">
        <v>2</v>
      </c>
    </row>
    <row r="61" spans="1:8" x14ac:dyDescent="0.25">
      <c r="A61" s="18">
        <v>73</v>
      </c>
      <c r="B61" s="38"/>
      <c r="C61" s="38"/>
      <c r="D61" s="38" t="s">
        <v>2</v>
      </c>
      <c r="E61" s="38"/>
      <c r="F61" s="38"/>
      <c r="G61" s="38" t="s">
        <v>2</v>
      </c>
      <c r="H61" s="38"/>
    </row>
    <row r="62" spans="1:8" x14ac:dyDescent="0.25">
      <c r="A62" s="18">
        <v>74</v>
      </c>
      <c r="B62" s="38"/>
      <c r="C62" s="38"/>
      <c r="D62" s="38" t="s">
        <v>5</v>
      </c>
      <c r="E62" s="38"/>
      <c r="F62" s="38"/>
      <c r="G62" s="38" t="s">
        <v>2</v>
      </c>
      <c r="H62" s="38"/>
    </row>
    <row r="63" spans="1:8" x14ac:dyDescent="0.25">
      <c r="A63" s="18">
        <v>101</v>
      </c>
      <c r="B63" s="39"/>
      <c r="C63" s="38"/>
      <c r="D63" s="38"/>
      <c r="E63" s="38"/>
      <c r="F63" s="38"/>
      <c r="G63" s="38"/>
      <c r="H63" s="38"/>
    </row>
    <row r="64" spans="1:8" x14ac:dyDescent="0.25">
      <c r="A64" s="18">
        <v>102</v>
      </c>
      <c r="B64" s="38" t="s">
        <v>2</v>
      </c>
      <c r="C64" s="38"/>
      <c r="D64" s="38" t="s">
        <v>2</v>
      </c>
      <c r="E64" s="38"/>
      <c r="F64" s="38"/>
      <c r="G64" s="38" t="s">
        <v>2</v>
      </c>
      <c r="H64" s="38"/>
    </row>
    <row r="65" spans="1:8" x14ac:dyDescent="0.25">
      <c r="A65" s="18">
        <v>103</v>
      </c>
      <c r="B65" s="38"/>
      <c r="C65" s="38"/>
      <c r="D65" s="38"/>
      <c r="E65" s="38"/>
      <c r="F65" s="38"/>
      <c r="G65" s="38"/>
      <c r="H65" s="38"/>
    </row>
    <row r="66" spans="1:8" x14ac:dyDescent="0.25">
      <c r="A66" s="18">
        <v>104</v>
      </c>
      <c r="B66" s="38"/>
      <c r="C66" s="38"/>
      <c r="D66" s="38"/>
      <c r="E66" s="38"/>
      <c r="F66" s="38"/>
      <c r="G66" s="38"/>
      <c r="H66" s="38"/>
    </row>
    <row r="67" spans="1:8" x14ac:dyDescent="0.25">
      <c r="A67" s="18">
        <v>105</v>
      </c>
      <c r="B67" s="38" t="s">
        <v>2</v>
      </c>
      <c r="C67" s="38"/>
      <c r="D67" s="38" t="s">
        <v>2</v>
      </c>
      <c r="E67" s="38"/>
      <c r="F67" s="38"/>
      <c r="G67" s="38" t="s">
        <v>2</v>
      </c>
      <c r="H67" s="38"/>
    </row>
    <row r="68" spans="1:8" x14ac:dyDescent="0.25">
      <c r="A68" s="18">
        <v>106</v>
      </c>
      <c r="B68" s="38"/>
      <c r="C68" s="38" t="s">
        <v>2</v>
      </c>
      <c r="D68" s="38"/>
      <c r="E68" s="38"/>
      <c r="F68" s="38" t="s">
        <v>2</v>
      </c>
      <c r="G68" s="38"/>
      <c r="H68" s="38" t="s">
        <v>2</v>
      </c>
    </row>
    <row r="69" spans="1:8" x14ac:dyDescent="0.25">
      <c r="A69" s="18">
        <v>107</v>
      </c>
      <c r="B69" s="38" t="s">
        <v>2</v>
      </c>
      <c r="C69" s="38"/>
      <c r="D69" s="38" t="s">
        <v>2</v>
      </c>
      <c r="E69" s="38"/>
      <c r="F69" s="38"/>
      <c r="G69" s="38" t="s">
        <v>2</v>
      </c>
      <c r="H69" s="38"/>
    </row>
    <row r="70" spans="1:8" x14ac:dyDescent="0.25">
      <c r="A70" s="18">
        <v>108</v>
      </c>
      <c r="B70" s="38" t="s">
        <v>2</v>
      </c>
      <c r="C70" s="38"/>
      <c r="D70" s="38" t="s">
        <v>2</v>
      </c>
      <c r="E70" s="38"/>
      <c r="F70" s="38"/>
      <c r="G70" s="38" t="s">
        <v>2</v>
      </c>
      <c r="H70" s="38"/>
    </row>
    <row r="71" spans="1:8" x14ac:dyDescent="0.25">
      <c r="A71" s="18">
        <v>109</v>
      </c>
      <c r="B71" s="38"/>
      <c r="C71" s="38" t="s">
        <v>2</v>
      </c>
      <c r="D71" s="38"/>
      <c r="E71" s="38"/>
      <c r="F71" s="38"/>
      <c r="G71" s="38"/>
      <c r="H71" s="38"/>
    </row>
    <row r="72" spans="1:8" x14ac:dyDescent="0.25">
      <c r="A72" s="18">
        <v>110</v>
      </c>
      <c r="B72" s="38"/>
      <c r="C72" s="38" t="s">
        <v>2</v>
      </c>
      <c r="D72" s="38"/>
      <c r="E72" s="38" t="s">
        <v>2</v>
      </c>
      <c r="F72" s="38"/>
      <c r="G72" s="38"/>
      <c r="H72" s="38" t="s">
        <v>2</v>
      </c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/>
      <c r="E74" s="38"/>
      <c r="F74" s="38"/>
      <c r="G74" s="38"/>
      <c r="H74" s="38"/>
    </row>
    <row r="75" spans="1:8" x14ac:dyDescent="0.25">
      <c r="A75" s="18">
        <v>113</v>
      </c>
      <c r="B75" s="38"/>
      <c r="C75" s="38"/>
      <c r="D75" s="38"/>
      <c r="E75" s="38" t="s">
        <v>2</v>
      </c>
      <c r="F75" s="38"/>
      <c r="G75" s="38"/>
      <c r="H75" s="38" t="s">
        <v>2</v>
      </c>
    </row>
    <row r="76" spans="1:8" x14ac:dyDescent="0.25">
      <c r="A76" s="18">
        <v>114</v>
      </c>
      <c r="B76" s="38"/>
      <c r="C76" s="38"/>
      <c r="D76" s="38"/>
      <c r="E76" s="38"/>
      <c r="F76" s="38"/>
      <c r="G76" s="38" t="s">
        <v>2</v>
      </c>
      <c r="H76" s="38"/>
    </row>
    <row r="77" spans="1:8" x14ac:dyDescent="0.25">
      <c r="A77" s="18">
        <v>115</v>
      </c>
      <c r="B77" s="38" t="s">
        <v>2</v>
      </c>
      <c r="C77" s="38" t="s">
        <v>2</v>
      </c>
      <c r="D77" s="38" t="s">
        <v>2</v>
      </c>
      <c r="E77" s="38" t="s">
        <v>2</v>
      </c>
      <c r="F77" s="38" t="s">
        <v>2</v>
      </c>
      <c r="G77" s="38" t="s">
        <v>2</v>
      </c>
      <c r="H77" s="38"/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 t="s">
        <v>2</v>
      </c>
      <c r="F84" s="38"/>
      <c r="G84" s="38" t="s">
        <v>2</v>
      </c>
      <c r="H84" s="38" t="s">
        <v>2</v>
      </c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 t="s">
        <v>2</v>
      </c>
      <c r="C86" s="38" t="s">
        <v>2</v>
      </c>
      <c r="D86" s="38" t="s">
        <v>2</v>
      </c>
      <c r="E86" s="38" t="s">
        <v>2</v>
      </c>
      <c r="F86" s="38" t="s">
        <v>2</v>
      </c>
      <c r="G86" s="38" t="s">
        <v>2</v>
      </c>
      <c r="H86" s="38"/>
    </row>
    <row r="87" spans="1:8" x14ac:dyDescent="0.25">
      <c r="A87" s="18">
        <v>125</v>
      </c>
      <c r="B87" s="38"/>
      <c r="C87" s="38"/>
      <c r="D87" s="38" t="s">
        <v>2</v>
      </c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 t="s">
        <v>2</v>
      </c>
      <c r="D90" s="38" t="s">
        <v>2</v>
      </c>
      <c r="E90" s="38" t="s">
        <v>2</v>
      </c>
      <c r="F90" s="38" t="s">
        <v>2</v>
      </c>
      <c r="G90" s="38"/>
      <c r="H90" s="38"/>
    </row>
    <row r="91" spans="1:8" x14ac:dyDescent="0.25">
      <c r="A91" s="18">
        <v>129</v>
      </c>
      <c r="B91" s="38" t="s">
        <v>2</v>
      </c>
      <c r="C91" s="38"/>
      <c r="D91" s="38"/>
      <c r="E91" s="38" t="s">
        <v>2</v>
      </c>
      <c r="F91" s="38"/>
      <c r="G91" s="38"/>
      <c r="H91" s="38" t="s">
        <v>2</v>
      </c>
    </row>
    <row r="92" spans="1:8" x14ac:dyDescent="0.25">
      <c r="A92" s="18">
        <v>130</v>
      </c>
      <c r="B92" s="38" t="s">
        <v>2</v>
      </c>
      <c r="C92" s="38" t="s">
        <v>2</v>
      </c>
      <c r="D92" s="38" t="s">
        <v>2</v>
      </c>
      <c r="E92" s="38" t="s">
        <v>2</v>
      </c>
      <c r="F92" s="38" t="s">
        <v>2</v>
      </c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872" priority="18" operator="equal">
      <formula>"Energia"</formula>
    </cfRule>
    <cfRule type="cellIs" dxfId="871" priority="20" operator="equal">
      <formula>"Operação"</formula>
    </cfRule>
    <cfRule type="cellIs" dxfId="870" priority="21" operator="equal">
      <formula>"Chuva"</formula>
    </cfRule>
    <cfRule type="cellIs" dxfId="869" priority="22" operator="equal">
      <formula>"Elétrico"</formula>
    </cfRule>
    <cfRule type="cellIs" dxfId="868" priority="23" operator="equal">
      <formula>"Mecânico"</formula>
    </cfRule>
    <cfRule type="cellIs" dxfId="867" priority="24" operator="equal">
      <formula>"Ok"</formula>
    </cfRule>
  </conditionalFormatting>
  <conditionalFormatting sqref="B61:I62 I5:I60 B63:H95">
    <cfRule type="cellIs" dxfId="866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865" priority="16" operator="equal">
      <formula>"Energia"</formula>
    </cfRule>
  </conditionalFormatting>
  <conditionalFormatting sqref="B5:E60 G5:H60">
    <cfRule type="cellIs" dxfId="864" priority="9" operator="equal">
      <formula>"Energia"</formula>
    </cfRule>
    <cfRule type="cellIs" dxfId="863" priority="11" operator="equal">
      <formula>"Operação"</formula>
    </cfRule>
    <cfRule type="cellIs" dxfId="862" priority="12" operator="equal">
      <formula>"Chuva"</formula>
    </cfRule>
    <cfRule type="cellIs" dxfId="861" priority="13" operator="equal">
      <formula>"Elétrico"</formula>
    </cfRule>
    <cfRule type="cellIs" dxfId="860" priority="14" operator="equal">
      <formula>"Mecânico"</formula>
    </cfRule>
    <cfRule type="cellIs" dxfId="859" priority="15" operator="equal">
      <formula>"Ok"</formula>
    </cfRule>
  </conditionalFormatting>
  <conditionalFormatting sqref="B5:E60 G5:H60">
    <cfRule type="cellIs" dxfId="858" priority="10" operator="equal">
      <formula>"Feito"</formula>
    </cfRule>
  </conditionalFormatting>
  <conditionalFormatting sqref="F5:F11">
    <cfRule type="cellIs" dxfId="857" priority="8" operator="equal">
      <formula>"Energia"</formula>
    </cfRule>
  </conditionalFormatting>
  <conditionalFormatting sqref="F5:F60">
    <cfRule type="cellIs" dxfId="856" priority="1" operator="equal">
      <formula>"Energia"</formula>
    </cfRule>
    <cfRule type="cellIs" dxfId="855" priority="3" operator="equal">
      <formula>"Operação"</formula>
    </cfRule>
    <cfRule type="cellIs" dxfId="854" priority="4" operator="equal">
      <formula>"Chuva"</formula>
    </cfRule>
    <cfRule type="cellIs" dxfId="853" priority="5" operator="equal">
      <formula>"Elétrico"</formula>
    </cfRule>
    <cfRule type="cellIs" dxfId="852" priority="6" operator="equal">
      <formula>"Mecânico"</formula>
    </cfRule>
    <cfRule type="cellIs" dxfId="851" priority="7" operator="equal">
      <formula>"Ok"</formula>
    </cfRule>
  </conditionalFormatting>
  <conditionalFormatting sqref="F5:F60">
    <cfRule type="cellIs" dxfId="850" priority="2" operator="equal">
      <formula>"Feito"</formula>
    </cfRule>
  </conditionalFormatting>
  <dataValidations count="1">
    <dataValidation type="list" allowBlank="1" showInputMessage="1" showErrorMessage="1" sqref="B61:I62 B5:I26 B27:J60 B63:H95" xr:uid="{FCC8C18E-9A33-44E6-B137-BFA1A6CD4909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7D08-F941-45E1-87E8-82C2C6A7B221}">
  <sheetPr>
    <tabColor theme="8"/>
  </sheetPr>
  <dimension ref="A1:M95"/>
  <sheetViews>
    <sheetView zoomScale="115" zoomScaleNormal="115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3" max="13" width="11.85546875" bestFit="1" customWidth="1"/>
    <col min="17" max="17" width="8.5703125" customWidth="1"/>
  </cols>
  <sheetData>
    <row r="1" spans="1:13" x14ac:dyDescent="0.25">
      <c r="A1" s="70" t="s">
        <v>29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4" t="s">
        <v>16</v>
      </c>
      <c r="B3" s="23">
        <v>44725</v>
      </c>
      <c r="C3" s="23">
        <f>B3+1</f>
        <v>44726</v>
      </c>
      <c r="D3" s="23">
        <f t="shared" ref="D3:H3" si="0">C3+1</f>
        <v>44727</v>
      </c>
      <c r="E3" s="23">
        <f t="shared" si="0"/>
        <v>44728</v>
      </c>
      <c r="F3" s="23">
        <f t="shared" si="0"/>
        <v>44729</v>
      </c>
      <c r="G3" s="23">
        <f t="shared" si="0"/>
        <v>44730</v>
      </c>
      <c r="H3" s="25">
        <f t="shared" si="0"/>
        <v>44731</v>
      </c>
      <c r="I3" s="3"/>
    </row>
    <row r="4" spans="1:13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</row>
    <row r="5" spans="1:13" x14ac:dyDescent="0.25">
      <c r="A5" s="4">
        <v>1</v>
      </c>
      <c r="B5" s="38"/>
      <c r="C5" s="38"/>
      <c r="D5" s="38"/>
      <c r="E5" s="38" t="s">
        <v>2</v>
      </c>
      <c r="F5" s="38"/>
      <c r="G5" s="38"/>
      <c r="H5" s="38" t="s">
        <v>6</v>
      </c>
      <c r="J5" s="48" t="s">
        <v>2</v>
      </c>
      <c r="K5">
        <f>COUNTIF($B$5:$H$95,J5)</f>
        <v>171</v>
      </c>
      <c r="L5" s="34">
        <f t="shared" ref="L5:L10" si="2">K5/$K$11</f>
        <v>0.85929648241206025</v>
      </c>
      <c r="M5" s="52">
        <v>44725</v>
      </c>
    </row>
    <row r="6" spans="1:13" x14ac:dyDescent="0.25">
      <c r="A6" s="4">
        <v>2</v>
      </c>
      <c r="B6" s="38"/>
      <c r="C6" s="38" t="s">
        <v>2</v>
      </c>
      <c r="D6" s="38"/>
      <c r="E6" s="38"/>
      <c r="F6" s="38" t="s">
        <v>2</v>
      </c>
      <c r="G6" s="38"/>
      <c r="H6" s="38"/>
      <c r="J6" s="42" t="s">
        <v>5</v>
      </c>
      <c r="K6">
        <f>COUNTIF($B$5:$H$95,J6)</f>
        <v>4</v>
      </c>
      <c r="L6" s="35">
        <f t="shared" si="2"/>
        <v>2.0100502512562814E-2</v>
      </c>
    </row>
    <row r="7" spans="1:13" x14ac:dyDescent="0.25">
      <c r="A7" s="4">
        <v>3</v>
      </c>
      <c r="B7" s="38"/>
      <c r="C7" s="38"/>
      <c r="D7" s="38"/>
      <c r="E7" s="38" t="s">
        <v>2</v>
      </c>
      <c r="F7" s="38" t="s">
        <v>2</v>
      </c>
      <c r="G7" s="38"/>
      <c r="H7" s="38"/>
      <c r="J7" s="46" t="s">
        <v>6</v>
      </c>
      <c r="K7">
        <f t="shared" ref="K7:K10" si="3">COUNTIF($B$5:$H$95,J7)</f>
        <v>13</v>
      </c>
      <c r="L7" s="35">
        <f t="shared" si="2"/>
        <v>6.5326633165829151E-2</v>
      </c>
    </row>
    <row r="8" spans="1:13" x14ac:dyDescent="0.25">
      <c r="A8" s="4">
        <v>4</v>
      </c>
      <c r="B8" s="38" t="s">
        <v>2</v>
      </c>
      <c r="C8" s="38" t="s">
        <v>2</v>
      </c>
      <c r="D8" s="38" t="s">
        <v>2</v>
      </c>
      <c r="E8" s="38"/>
      <c r="F8" s="38"/>
      <c r="G8" s="38"/>
      <c r="H8" s="38"/>
      <c r="J8" s="47" t="s">
        <v>4</v>
      </c>
      <c r="K8">
        <f t="shared" si="3"/>
        <v>0</v>
      </c>
      <c r="L8" s="35">
        <f t="shared" si="2"/>
        <v>0</v>
      </c>
    </row>
    <row r="9" spans="1:13" x14ac:dyDescent="0.25">
      <c r="A9" s="4">
        <v>5</v>
      </c>
      <c r="B9" s="38" t="s">
        <v>2</v>
      </c>
      <c r="C9" s="38" t="s">
        <v>2</v>
      </c>
      <c r="D9" s="38" t="s">
        <v>2</v>
      </c>
      <c r="E9" s="38"/>
      <c r="F9" s="38"/>
      <c r="G9" s="38" t="s">
        <v>2</v>
      </c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3" x14ac:dyDescent="0.25">
      <c r="A10" s="4">
        <v>6</v>
      </c>
      <c r="B10" s="38"/>
      <c r="C10" s="38"/>
      <c r="D10" s="38" t="s">
        <v>2</v>
      </c>
      <c r="E10" s="38"/>
      <c r="F10" s="38"/>
      <c r="G10" s="38" t="s">
        <v>2</v>
      </c>
      <c r="H10" s="38"/>
      <c r="J10" s="43" t="s">
        <v>7</v>
      </c>
      <c r="K10">
        <f t="shared" si="3"/>
        <v>11</v>
      </c>
      <c r="L10" s="37">
        <f t="shared" si="2"/>
        <v>5.5276381909547742E-2</v>
      </c>
    </row>
    <row r="11" spans="1:13" x14ac:dyDescent="0.25">
      <c r="A11" s="4">
        <v>7</v>
      </c>
      <c r="B11" s="38" t="s">
        <v>2</v>
      </c>
      <c r="C11" s="38" t="s">
        <v>2</v>
      </c>
      <c r="D11" s="38" t="s">
        <v>2</v>
      </c>
      <c r="E11" s="38"/>
      <c r="F11" s="38" t="s">
        <v>2</v>
      </c>
      <c r="G11" s="38"/>
      <c r="H11" s="38" t="s">
        <v>6</v>
      </c>
      <c r="J11" s="44" t="s">
        <v>17</v>
      </c>
      <c r="K11">
        <f>SUM(K5:K10)</f>
        <v>199</v>
      </c>
    </row>
    <row r="12" spans="1:13" x14ac:dyDescent="0.25">
      <c r="A12" s="4">
        <v>8</v>
      </c>
      <c r="B12" s="38"/>
      <c r="C12" s="38" t="s">
        <v>2</v>
      </c>
      <c r="D12" s="38"/>
      <c r="E12" s="38" t="s">
        <v>2</v>
      </c>
      <c r="F12" s="38" t="s">
        <v>2</v>
      </c>
      <c r="G12" s="38" t="s">
        <v>2</v>
      </c>
      <c r="H12" s="38" t="s">
        <v>2</v>
      </c>
    </row>
    <row r="13" spans="1:13" x14ac:dyDescent="0.25">
      <c r="A13" s="4">
        <v>9</v>
      </c>
      <c r="B13" s="38"/>
      <c r="C13" s="38"/>
      <c r="D13" s="38" t="s">
        <v>2</v>
      </c>
      <c r="E13" s="38"/>
      <c r="F13" s="38" t="s">
        <v>2</v>
      </c>
      <c r="G13" s="38"/>
      <c r="H13" s="38" t="s">
        <v>2</v>
      </c>
    </row>
    <row r="14" spans="1:13" x14ac:dyDescent="0.25">
      <c r="A14" s="4">
        <v>10</v>
      </c>
      <c r="B14" s="38" t="s">
        <v>2</v>
      </c>
      <c r="C14" s="38" t="s">
        <v>2</v>
      </c>
      <c r="D14" s="38" t="s">
        <v>2</v>
      </c>
      <c r="E14" s="38" t="s">
        <v>2</v>
      </c>
      <c r="F14" s="38" t="s">
        <v>2</v>
      </c>
      <c r="G14" s="38"/>
      <c r="H14" s="38" t="s">
        <v>2</v>
      </c>
    </row>
    <row r="15" spans="1:13" x14ac:dyDescent="0.25">
      <c r="A15" s="4">
        <v>11</v>
      </c>
      <c r="B15" s="38"/>
      <c r="C15" s="38" t="s">
        <v>2</v>
      </c>
      <c r="D15" s="38"/>
      <c r="E15" s="38" t="s">
        <v>2</v>
      </c>
      <c r="F15" s="38"/>
      <c r="G15" s="38"/>
      <c r="H15" s="38" t="s">
        <v>7</v>
      </c>
    </row>
    <row r="16" spans="1:13" x14ac:dyDescent="0.25">
      <c r="A16" s="4">
        <v>12</v>
      </c>
      <c r="B16" s="38"/>
      <c r="C16" s="38" t="s">
        <v>2</v>
      </c>
      <c r="D16" s="38"/>
      <c r="E16" s="38"/>
      <c r="F16" s="38" t="s">
        <v>2</v>
      </c>
      <c r="G16" s="38"/>
      <c r="H16" s="38"/>
    </row>
    <row r="17" spans="1:8" x14ac:dyDescent="0.25">
      <c r="A17" s="4">
        <v>13</v>
      </c>
      <c r="B17" s="38" t="s">
        <v>2</v>
      </c>
      <c r="C17" s="38"/>
      <c r="D17" s="38" t="s">
        <v>2</v>
      </c>
      <c r="E17" s="38"/>
      <c r="F17" s="38" t="s">
        <v>2</v>
      </c>
      <c r="G17" s="38"/>
      <c r="H17" s="38" t="s">
        <v>2</v>
      </c>
    </row>
    <row r="18" spans="1:8" x14ac:dyDescent="0.25">
      <c r="A18" s="4">
        <v>14</v>
      </c>
      <c r="B18" s="38" t="s">
        <v>2</v>
      </c>
      <c r="C18" s="38" t="s">
        <v>5</v>
      </c>
      <c r="D18" s="38"/>
      <c r="E18" s="38"/>
      <c r="F18" s="38" t="s">
        <v>7</v>
      </c>
      <c r="G18" s="38" t="s">
        <v>2</v>
      </c>
      <c r="H18" s="38"/>
    </row>
    <row r="19" spans="1:8" x14ac:dyDescent="0.25">
      <c r="A19" s="4">
        <v>15</v>
      </c>
      <c r="B19" s="38"/>
      <c r="C19" s="38" t="s">
        <v>2</v>
      </c>
      <c r="D19" s="38" t="s">
        <v>2</v>
      </c>
      <c r="E19" s="38"/>
      <c r="F19" s="38"/>
      <c r="G19" s="38"/>
      <c r="H19" s="38" t="s">
        <v>2</v>
      </c>
    </row>
    <row r="20" spans="1:8" x14ac:dyDescent="0.25">
      <c r="A20" s="4">
        <v>16</v>
      </c>
      <c r="B20" s="38"/>
      <c r="C20" s="38"/>
      <c r="D20" s="38" t="s">
        <v>7</v>
      </c>
      <c r="E20" s="38"/>
      <c r="F20" s="38"/>
      <c r="G20" s="38" t="s">
        <v>2</v>
      </c>
      <c r="H20" s="38"/>
    </row>
    <row r="21" spans="1:8" x14ac:dyDescent="0.25">
      <c r="A21" s="4">
        <v>17</v>
      </c>
      <c r="B21" s="38" t="s">
        <v>2</v>
      </c>
      <c r="C21" s="38"/>
      <c r="D21" s="38"/>
      <c r="E21" s="38" t="s">
        <v>2</v>
      </c>
      <c r="F21" s="38"/>
      <c r="G21" s="38"/>
      <c r="H21" s="38" t="s">
        <v>6</v>
      </c>
    </row>
    <row r="22" spans="1:8" x14ac:dyDescent="0.25">
      <c r="A22" s="4">
        <v>18</v>
      </c>
      <c r="B22" s="38"/>
      <c r="C22" s="38"/>
      <c r="D22" s="38"/>
      <c r="E22" s="38"/>
      <c r="F22" s="38"/>
      <c r="G22" s="38"/>
      <c r="H22" s="38"/>
    </row>
    <row r="23" spans="1:8" x14ac:dyDescent="0.25">
      <c r="A23" s="4">
        <v>19</v>
      </c>
      <c r="B23" s="38"/>
      <c r="C23" s="38"/>
      <c r="D23" s="38" t="s">
        <v>2</v>
      </c>
      <c r="E23" s="38" t="s">
        <v>2</v>
      </c>
      <c r="F23" s="38"/>
      <c r="G23" s="38"/>
      <c r="H23" s="38" t="s">
        <v>2</v>
      </c>
    </row>
    <row r="24" spans="1:8" x14ac:dyDescent="0.25">
      <c r="A24" s="4">
        <v>20</v>
      </c>
      <c r="B24" s="38"/>
      <c r="C24" s="38"/>
      <c r="D24" s="38"/>
      <c r="E24" s="38"/>
      <c r="F24" s="38"/>
      <c r="G24" s="38"/>
      <c r="H24" s="38"/>
    </row>
    <row r="25" spans="1:8" x14ac:dyDescent="0.25">
      <c r="A25" s="4">
        <v>21</v>
      </c>
      <c r="B25" s="38"/>
      <c r="C25" s="38"/>
      <c r="D25" s="38"/>
      <c r="E25" s="38" t="s">
        <v>2</v>
      </c>
      <c r="F25" s="38"/>
      <c r="G25" s="38"/>
      <c r="H25" s="38" t="s">
        <v>6</v>
      </c>
    </row>
    <row r="26" spans="1:8" x14ac:dyDescent="0.25">
      <c r="A26" s="4">
        <v>22</v>
      </c>
      <c r="B26" s="38"/>
      <c r="C26" s="38" t="s">
        <v>2</v>
      </c>
      <c r="D26" s="38" t="s">
        <v>2</v>
      </c>
      <c r="E26" s="38"/>
      <c r="F26" s="38"/>
      <c r="G26" s="38" t="s">
        <v>2</v>
      </c>
      <c r="H26" s="38" t="s">
        <v>2</v>
      </c>
    </row>
    <row r="27" spans="1:8" x14ac:dyDescent="0.25">
      <c r="A27" s="4">
        <v>23</v>
      </c>
      <c r="B27" s="38"/>
      <c r="C27" s="38"/>
      <c r="D27" s="38" t="s">
        <v>2</v>
      </c>
      <c r="E27" s="38" t="s">
        <v>2</v>
      </c>
      <c r="F27" s="38"/>
      <c r="G27" s="38"/>
      <c r="H27" s="38" t="s">
        <v>2</v>
      </c>
    </row>
    <row r="28" spans="1:8" x14ac:dyDescent="0.25">
      <c r="A28" s="4">
        <v>24</v>
      </c>
      <c r="B28" s="38"/>
      <c r="C28" s="38" t="s">
        <v>6</v>
      </c>
      <c r="D28" s="38"/>
      <c r="E28" s="38" t="s">
        <v>5</v>
      </c>
      <c r="F28" s="38"/>
      <c r="G28" s="38"/>
      <c r="H28" s="38"/>
    </row>
    <row r="29" spans="1:8" x14ac:dyDescent="0.25">
      <c r="A29" s="4">
        <v>25</v>
      </c>
      <c r="B29" s="38" t="s">
        <v>2</v>
      </c>
      <c r="C29" s="38"/>
      <c r="D29" s="38" t="s">
        <v>2</v>
      </c>
      <c r="E29" s="38"/>
      <c r="F29" s="38" t="s">
        <v>2</v>
      </c>
      <c r="G29" s="38"/>
      <c r="H29" s="38" t="s">
        <v>2</v>
      </c>
    </row>
    <row r="30" spans="1:8" x14ac:dyDescent="0.25">
      <c r="A30" s="4">
        <v>26</v>
      </c>
      <c r="B30" s="38" t="s">
        <v>2</v>
      </c>
      <c r="C30" s="38"/>
      <c r="D30" s="38"/>
      <c r="E30" s="38"/>
      <c r="F30" s="38" t="s">
        <v>2</v>
      </c>
      <c r="G30" s="38" t="s">
        <v>2</v>
      </c>
      <c r="H30" s="38"/>
    </row>
    <row r="31" spans="1:8" x14ac:dyDescent="0.25">
      <c r="A31" s="4">
        <v>27</v>
      </c>
      <c r="B31" s="38"/>
      <c r="C31" s="38" t="s">
        <v>2</v>
      </c>
      <c r="D31" s="38"/>
      <c r="E31" s="38"/>
      <c r="F31" s="38" t="s">
        <v>2</v>
      </c>
      <c r="G31" s="38"/>
      <c r="H31" s="38"/>
    </row>
    <row r="32" spans="1:8" x14ac:dyDescent="0.25">
      <c r="A32" s="4">
        <v>28</v>
      </c>
      <c r="B32" s="38"/>
      <c r="C32" s="38"/>
      <c r="D32" s="38"/>
      <c r="E32" s="38"/>
      <c r="F32" s="38"/>
      <c r="G32" s="38"/>
      <c r="H32" s="38"/>
    </row>
    <row r="33" spans="1:8" x14ac:dyDescent="0.25">
      <c r="A33" s="4">
        <v>29</v>
      </c>
      <c r="B33" s="38"/>
      <c r="C33" s="38" t="s">
        <v>2</v>
      </c>
      <c r="D33" s="38"/>
      <c r="E33" s="38" t="s">
        <v>2</v>
      </c>
      <c r="F33" s="38"/>
      <c r="G33" s="38" t="s">
        <v>2</v>
      </c>
      <c r="H33" s="38"/>
    </row>
    <row r="34" spans="1:8" x14ac:dyDescent="0.25">
      <c r="A34" s="4">
        <v>30</v>
      </c>
      <c r="B34" s="38"/>
      <c r="C34" s="38"/>
      <c r="D34" s="38"/>
      <c r="E34" s="38"/>
      <c r="F34" s="38"/>
      <c r="G34" s="38"/>
      <c r="H34" s="38"/>
    </row>
    <row r="35" spans="1:8" x14ac:dyDescent="0.25">
      <c r="A35" s="4">
        <v>31</v>
      </c>
      <c r="B35" s="38"/>
      <c r="C35" s="38"/>
      <c r="D35" s="38"/>
      <c r="E35" s="38"/>
      <c r="F35" s="38"/>
      <c r="G35" s="38"/>
      <c r="H35" s="38"/>
    </row>
    <row r="36" spans="1:8" x14ac:dyDescent="0.25">
      <c r="A36" s="4">
        <v>32</v>
      </c>
      <c r="B36" s="38" t="s">
        <v>2</v>
      </c>
      <c r="C36" s="38"/>
      <c r="D36" s="38"/>
      <c r="E36" s="38" t="s">
        <v>7</v>
      </c>
      <c r="F36" s="38"/>
      <c r="G36" s="38"/>
      <c r="H36" s="38" t="s">
        <v>6</v>
      </c>
    </row>
    <row r="37" spans="1:8" x14ac:dyDescent="0.25">
      <c r="A37" s="4">
        <v>33</v>
      </c>
      <c r="B37" s="38"/>
      <c r="C37" s="38" t="s">
        <v>2</v>
      </c>
      <c r="D37" s="38" t="s">
        <v>2</v>
      </c>
      <c r="E37" s="38"/>
      <c r="F37" s="38"/>
      <c r="G37" s="38" t="s">
        <v>2</v>
      </c>
      <c r="H37" s="38" t="s">
        <v>2</v>
      </c>
    </row>
    <row r="38" spans="1:8" x14ac:dyDescent="0.25">
      <c r="A38" s="4">
        <v>34</v>
      </c>
      <c r="B38" s="38"/>
      <c r="C38" s="38" t="s">
        <v>2</v>
      </c>
      <c r="D38" s="38"/>
      <c r="E38" s="38"/>
      <c r="F38" s="38" t="s">
        <v>7</v>
      </c>
      <c r="G38" s="38"/>
      <c r="H38" s="38"/>
    </row>
    <row r="39" spans="1:8" x14ac:dyDescent="0.25">
      <c r="A39" s="4">
        <v>35</v>
      </c>
      <c r="B39" s="38" t="s">
        <v>2</v>
      </c>
      <c r="C39" s="38"/>
      <c r="D39" s="38" t="s">
        <v>2</v>
      </c>
      <c r="E39" s="38"/>
      <c r="F39" s="38" t="s">
        <v>2</v>
      </c>
      <c r="G39" s="38"/>
      <c r="H39" s="38" t="s">
        <v>2</v>
      </c>
    </row>
    <row r="40" spans="1:8" x14ac:dyDescent="0.25">
      <c r="A40" s="4">
        <v>36</v>
      </c>
      <c r="B40" s="38" t="s">
        <v>2</v>
      </c>
      <c r="C40" s="38"/>
      <c r="D40" s="38"/>
      <c r="E40" s="38" t="s">
        <v>2</v>
      </c>
      <c r="F40" s="38"/>
      <c r="G40" s="38" t="s">
        <v>2</v>
      </c>
      <c r="H40" s="38"/>
    </row>
    <row r="41" spans="1:8" x14ac:dyDescent="0.25">
      <c r="A41" s="4">
        <v>37</v>
      </c>
      <c r="B41" s="38"/>
      <c r="C41" s="38" t="s">
        <v>2</v>
      </c>
      <c r="D41" s="38"/>
      <c r="E41" s="38" t="s">
        <v>2</v>
      </c>
      <c r="F41" s="38"/>
      <c r="G41" s="38" t="s">
        <v>2</v>
      </c>
      <c r="H41" s="38"/>
    </row>
    <row r="42" spans="1:8" x14ac:dyDescent="0.25">
      <c r="A42" s="4">
        <v>38</v>
      </c>
      <c r="B42" s="38" t="s">
        <v>2</v>
      </c>
      <c r="C42" s="38"/>
      <c r="D42" s="38"/>
      <c r="E42" s="38" t="s">
        <v>2</v>
      </c>
      <c r="F42" s="38"/>
      <c r="G42" s="38"/>
      <c r="H42" s="38" t="s">
        <v>6</v>
      </c>
    </row>
    <row r="43" spans="1:8" x14ac:dyDescent="0.25">
      <c r="A43" s="4">
        <v>39</v>
      </c>
      <c r="B43" s="38"/>
      <c r="C43" s="38" t="s">
        <v>6</v>
      </c>
      <c r="D43" s="38"/>
      <c r="E43" s="38"/>
      <c r="F43" s="38"/>
      <c r="G43" s="38" t="s">
        <v>2</v>
      </c>
      <c r="H43" s="38"/>
    </row>
    <row r="44" spans="1:8" x14ac:dyDescent="0.25">
      <c r="A44" s="4">
        <v>40</v>
      </c>
      <c r="B44" s="38"/>
      <c r="C44" s="38" t="s">
        <v>2</v>
      </c>
      <c r="D44" s="38"/>
      <c r="E44" s="38"/>
      <c r="F44" s="38" t="s">
        <v>2</v>
      </c>
      <c r="G44" s="38"/>
      <c r="H44" s="38"/>
    </row>
    <row r="45" spans="1:8" x14ac:dyDescent="0.25">
      <c r="A45" s="4">
        <v>41</v>
      </c>
      <c r="B45" s="38" t="s">
        <v>2</v>
      </c>
      <c r="C45" s="38"/>
      <c r="D45" s="38"/>
      <c r="E45" s="38" t="s">
        <v>2</v>
      </c>
      <c r="F45" s="38"/>
      <c r="G45" s="38"/>
      <c r="H45" s="38" t="s">
        <v>2</v>
      </c>
    </row>
    <row r="46" spans="1:8" x14ac:dyDescent="0.25">
      <c r="A46" s="4">
        <v>42</v>
      </c>
      <c r="B46" s="38"/>
      <c r="C46" s="38" t="s">
        <v>2</v>
      </c>
      <c r="D46" s="38" t="s">
        <v>2</v>
      </c>
      <c r="E46" s="38"/>
      <c r="F46" s="38"/>
      <c r="G46" s="38" t="s">
        <v>2</v>
      </c>
      <c r="H46" s="38" t="s">
        <v>2</v>
      </c>
    </row>
    <row r="47" spans="1:8" x14ac:dyDescent="0.25">
      <c r="A47" s="4">
        <v>43</v>
      </c>
      <c r="B47" s="38" t="s">
        <v>2</v>
      </c>
      <c r="C47" s="38"/>
      <c r="D47" s="38"/>
      <c r="E47" s="38" t="s">
        <v>2</v>
      </c>
      <c r="F47" s="38"/>
      <c r="G47" s="38"/>
      <c r="H47" s="38" t="s">
        <v>2</v>
      </c>
    </row>
    <row r="48" spans="1:8" x14ac:dyDescent="0.25">
      <c r="A48" s="4">
        <v>44</v>
      </c>
      <c r="B48" s="38"/>
      <c r="C48" s="38"/>
      <c r="D48" s="38" t="s">
        <v>2</v>
      </c>
      <c r="E48" s="38"/>
      <c r="F48" s="38"/>
      <c r="G48" s="38" t="s">
        <v>2</v>
      </c>
      <c r="H48" s="38"/>
    </row>
    <row r="49" spans="1:8" x14ac:dyDescent="0.25">
      <c r="A49" s="4">
        <v>45</v>
      </c>
      <c r="B49" s="38" t="s">
        <v>2</v>
      </c>
      <c r="C49" s="38"/>
      <c r="D49" s="38"/>
      <c r="E49" s="38"/>
      <c r="F49" s="38"/>
      <c r="G49" s="38"/>
      <c r="H49" s="38"/>
    </row>
    <row r="50" spans="1:8" x14ac:dyDescent="0.25">
      <c r="A50" s="4">
        <v>46</v>
      </c>
      <c r="B50" s="38"/>
      <c r="C50" s="38" t="s">
        <v>2</v>
      </c>
      <c r="D50" s="38"/>
      <c r="E50" s="38"/>
      <c r="F50" s="38"/>
      <c r="G50" s="38"/>
      <c r="H50" s="38"/>
    </row>
    <row r="51" spans="1:8" x14ac:dyDescent="0.25">
      <c r="A51" s="4">
        <v>47</v>
      </c>
      <c r="B51" s="38"/>
      <c r="C51" s="38" t="s">
        <v>2</v>
      </c>
      <c r="D51" s="38"/>
      <c r="E51" s="38"/>
      <c r="F51" s="38"/>
      <c r="G51" s="38"/>
      <c r="H51" s="38"/>
    </row>
    <row r="52" spans="1:8" x14ac:dyDescent="0.25">
      <c r="A52" s="4">
        <v>48</v>
      </c>
      <c r="B52" s="38" t="s">
        <v>7</v>
      </c>
      <c r="C52" s="38" t="s">
        <v>2</v>
      </c>
      <c r="D52" s="38" t="s">
        <v>2</v>
      </c>
      <c r="E52" s="38" t="s">
        <v>2</v>
      </c>
      <c r="F52" s="38" t="s">
        <v>7</v>
      </c>
      <c r="G52" s="38" t="s">
        <v>2</v>
      </c>
      <c r="H52" s="38" t="s">
        <v>7</v>
      </c>
    </row>
    <row r="53" spans="1:8" x14ac:dyDescent="0.25">
      <c r="A53" s="4">
        <v>49</v>
      </c>
      <c r="B53" s="38"/>
      <c r="C53" s="38" t="s">
        <v>6</v>
      </c>
      <c r="D53" s="38"/>
      <c r="E53" s="38"/>
      <c r="F53" s="38"/>
      <c r="G53" s="38"/>
      <c r="H53" s="38" t="s">
        <v>6</v>
      </c>
    </row>
    <row r="54" spans="1:8" x14ac:dyDescent="0.25">
      <c r="A54" s="4">
        <v>50</v>
      </c>
      <c r="B54" s="38" t="s">
        <v>2</v>
      </c>
      <c r="C54" s="38"/>
      <c r="D54" s="38"/>
      <c r="E54" s="38"/>
      <c r="F54" s="38"/>
      <c r="G54" s="38"/>
      <c r="H54" s="38"/>
    </row>
    <row r="55" spans="1:8" x14ac:dyDescent="0.25">
      <c r="A55" s="4">
        <v>51</v>
      </c>
      <c r="B55" s="38"/>
      <c r="C55" s="38" t="s">
        <v>2</v>
      </c>
      <c r="D55" s="38"/>
      <c r="E55" s="38"/>
      <c r="F55" s="38" t="s">
        <v>2</v>
      </c>
      <c r="G55" s="38"/>
      <c r="H55" s="38"/>
    </row>
    <row r="56" spans="1:8" x14ac:dyDescent="0.25">
      <c r="A56" s="4">
        <v>52</v>
      </c>
      <c r="B56" s="38"/>
      <c r="C56" s="38"/>
      <c r="D56" s="38"/>
      <c r="E56" s="38"/>
      <c r="F56" s="38"/>
      <c r="G56" s="38"/>
      <c r="H56" s="38"/>
    </row>
    <row r="57" spans="1:8" x14ac:dyDescent="0.25">
      <c r="A57" s="4">
        <v>53</v>
      </c>
      <c r="B57" s="38" t="s">
        <v>2</v>
      </c>
      <c r="C57" s="38"/>
      <c r="D57" s="38"/>
      <c r="E57" s="38" t="s">
        <v>7</v>
      </c>
      <c r="F57" s="38"/>
      <c r="G57" s="38"/>
      <c r="H57" s="38" t="s">
        <v>2</v>
      </c>
    </row>
    <row r="58" spans="1:8" x14ac:dyDescent="0.25">
      <c r="A58" s="4">
        <v>54</v>
      </c>
      <c r="B58" s="38" t="s">
        <v>2</v>
      </c>
      <c r="C58" s="38"/>
      <c r="D58" s="38"/>
      <c r="E58" s="38" t="s">
        <v>7</v>
      </c>
      <c r="F58" s="38"/>
      <c r="G58" s="38"/>
      <c r="H58" s="38" t="s">
        <v>2</v>
      </c>
    </row>
    <row r="59" spans="1:8" x14ac:dyDescent="0.25">
      <c r="A59" s="4">
        <v>55</v>
      </c>
      <c r="B59" s="38"/>
      <c r="C59" s="38"/>
      <c r="D59" s="38" t="s">
        <v>2</v>
      </c>
      <c r="E59" s="38"/>
      <c r="F59" s="38"/>
      <c r="G59" s="38" t="s">
        <v>2</v>
      </c>
      <c r="H59" s="38"/>
    </row>
    <row r="60" spans="1:8" x14ac:dyDescent="0.25">
      <c r="A60" s="4">
        <v>56</v>
      </c>
      <c r="B60" s="38"/>
      <c r="C60" s="38"/>
      <c r="D60" s="38" t="s">
        <v>5</v>
      </c>
      <c r="E60" s="38"/>
      <c r="F60" s="38"/>
      <c r="G60" s="38" t="s">
        <v>2</v>
      </c>
      <c r="H60" s="38"/>
    </row>
    <row r="61" spans="1:8" x14ac:dyDescent="0.25">
      <c r="A61" s="18">
        <v>73</v>
      </c>
      <c r="B61" s="38"/>
      <c r="C61" s="38" t="s">
        <v>6</v>
      </c>
      <c r="D61" s="38"/>
      <c r="E61" s="38"/>
      <c r="F61" s="38" t="s">
        <v>2</v>
      </c>
      <c r="G61" s="38"/>
      <c r="H61" s="38"/>
    </row>
    <row r="62" spans="1:8" x14ac:dyDescent="0.25">
      <c r="A62" s="18">
        <v>74</v>
      </c>
      <c r="B62" s="38"/>
      <c r="C62" s="38" t="s">
        <v>2</v>
      </c>
      <c r="D62" s="38"/>
      <c r="E62" s="38"/>
      <c r="F62" s="38" t="s">
        <v>2</v>
      </c>
      <c r="G62" s="38"/>
      <c r="H62" s="38"/>
    </row>
    <row r="63" spans="1:8" x14ac:dyDescent="0.25">
      <c r="A63" s="18">
        <v>101</v>
      </c>
      <c r="B63" s="39"/>
      <c r="C63" s="38"/>
      <c r="D63" s="38"/>
      <c r="E63" s="38"/>
      <c r="F63" s="38"/>
      <c r="G63" s="38"/>
      <c r="H63" s="38"/>
    </row>
    <row r="64" spans="1:8" x14ac:dyDescent="0.25">
      <c r="A64" s="18">
        <v>102</v>
      </c>
      <c r="B64" s="38"/>
      <c r="C64" s="38"/>
      <c r="D64" s="38" t="s">
        <v>2</v>
      </c>
      <c r="E64" s="38"/>
      <c r="F64" s="38"/>
      <c r="G64" s="38"/>
      <c r="H64" s="38"/>
    </row>
    <row r="65" spans="1:8" x14ac:dyDescent="0.25">
      <c r="A65" s="18">
        <v>103</v>
      </c>
      <c r="B65" s="38"/>
      <c r="C65" s="38"/>
      <c r="D65" s="38"/>
      <c r="E65" s="38"/>
      <c r="F65" s="38"/>
      <c r="G65" s="38"/>
      <c r="H65" s="38"/>
    </row>
    <row r="66" spans="1:8" x14ac:dyDescent="0.25">
      <c r="A66" s="18">
        <v>104</v>
      </c>
      <c r="B66" s="38"/>
      <c r="C66" s="38"/>
      <c r="D66" s="38"/>
      <c r="E66" s="38"/>
      <c r="F66" s="38"/>
      <c r="G66" s="38"/>
      <c r="H66" s="38"/>
    </row>
    <row r="67" spans="1:8" x14ac:dyDescent="0.25">
      <c r="A67" s="18">
        <v>105</v>
      </c>
      <c r="B67" s="38"/>
      <c r="C67" s="38" t="s">
        <v>2</v>
      </c>
      <c r="D67" s="38"/>
      <c r="E67" s="38"/>
      <c r="F67" s="38" t="s">
        <v>7</v>
      </c>
      <c r="G67" s="38"/>
      <c r="H67" s="38"/>
    </row>
    <row r="68" spans="1:8" x14ac:dyDescent="0.25">
      <c r="A68" s="18">
        <v>106</v>
      </c>
      <c r="B68" s="38"/>
      <c r="C68" s="38"/>
      <c r="D68" s="38" t="s">
        <v>2</v>
      </c>
      <c r="E68" s="38"/>
      <c r="F68" s="38" t="s">
        <v>2</v>
      </c>
      <c r="G68" s="38"/>
      <c r="H68" s="38" t="s">
        <v>2</v>
      </c>
    </row>
    <row r="69" spans="1:8" x14ac:dyDescent="0.25">
      <c r="A69" s="18">
        <v>107</v>
      </c>
      <c r="B69" s="38"/>
      <c r="C69" s="38" t="s">
        <v>2</v>
      </c>
      <c r="D69" s="38"/>
      <c r="E69" s="38"/>
      <c r="F69" s="38" t="s">
        <v>2</v>
      </c>
      <c r="G69" s="38"/>
      <c r="H69" s="38"/>
    </row>
    <row r="70" spans="1:8" x14ac:dyDescent="0.25">
      <c r="A70" s="18">
        <v>108</v>
      </c>
      <c r="B70" s="38"/>
      <c r="C70" s="38"/>
      <c r="D70" s="38" t="s">
        <v>2</v>
      </c>
      <c r="E70" s="38"/>
      <c r="F70" s="38"/>
      <c r="G70" s="38"/>
      <c r="H70" s="38"/>
    </row>
    <row r="71" spans="1:8" x14ac:dyDescent="0.25">
      <c r="A71" s="18">
        <v>109</v>
      </c>
      <c r="B71" s="38" t="s">
        <v>2</v>
      </c>
      <c r="C71" s="38"/>
      <c r="D71" s="38"/>
      <c r="E71" s="38" t="s">
        <v>2</v>
      </c>
      <c r="F71" s="38"/>
      <c r="G71" s="38"/>
      <c r="H71" s="38"/>
    </row>
    <row r="72" spans="1:8" x14ac:dyDescent="0.25">
      <c r="A72" s="18">
        <v>110</v>
      </c>
      <c r="B72" s="38"/>
      <c r="C72" s="38"/>
      <c r="D72" s="38" t="s">
        <v>2</v>
      </c>
      <c r="E72" s="38"/>
      <c r="F72" s="38"/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/>
      <c r="E74" s="38" t="s">
        <v>2</v>
      </c>
      <c r="F74" s="38" t="s">
        <v>2</v>
      </c>
      <c r="G74" s="38"/>
      <c r="H74" s="38" t="s">
        <v>2</v>
      </c>
    </row>
    <row r="75" spans="1:8" x14ac:dyDescent="0.25">
      <c r="A75" s="18">
        <v>113</v>
      </c>
      <c r="B75" s="38"/>
      <c r="C75" s="38"/>
      <c r="D75" s="38"/>
      <c r="E75" s="38"/>
      <c r="F75" s="38"/>
      <c r="G75" s="38" t="s">
        <v>2</v>
      </c>
      <c r="H75" s="38" t="s">
        <v>2</v>
      </c>
    </row>
    <row r="76" spans="1:8" x14ac:dyDescent="0.25">
      <c r="A76" s="18">
        <v>114</v>
      </c>
      <c r="B76" s="38" t="s">
        <v>2</v>
      </c>
      <c r="C76" s="38" t="s">
        <v>2</v>
      </c>
      <c r="D76" s="38"/>
      <c r="E76" s="38"/>
      <c r="F76" s="38"/>
      <c r="G76" s="38"/>
      <c r="H76" s="38" t="s">
        <v>2</v>
      </c>
    </row>
    <row r="77" spans="1:8" x14ac:dyDescent="0.25">
      <c r="A77" s="18">
        <v>115</v>
      </c>
      <c r="B77" s="38" t="s">
        <v>2</v>
      </c>
      <c r="C77" s="38"/>
      <c r="D77" s="38"/>
      <c r="E77" s="38"/>
      <c r="F77" s="38"/>
      <c r="G77" s="38"/>
      <c r="H77" s="38"/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18">
        <v>120</v>
      </c>
      <c r="B82" s="38"/>
      <c r="C82" s="38"/>
      <c r="D82" s="38" t="s">
        <v>2</v>
      </c>
      <c r="E82" s="38" t="s">
        <v>2</v>
      </c>
      <c r="F82" s="38"/>
      <c r="G82" s="38" t="s">
        <v>2</v>
      </c>
      <c r="H82" s="38" t="s">
        <v>2</v>
      </c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 t="s">
        <v>2</v>
      </c>
      <c r="C84" s="38" t="s">
        <v>2</v>
      </c>
      <c r="D84" s="38" t="s">
        <v>2</v>
      </c>
      <c r="E84" s="38" t="s">
        <v>6</v>
      </c>
      <c r="F84" s="38" t="s">
        <v>2</v>
      </c>
      <c r="G84" s="38" t="s">
        <v>2</v>
      </c>
      <c r="H84" s="38" t="s">
        <v>5</v>
      </c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 t="s">
        <v>2</v>
      </c>
      <c r="C86" s="38" t="s">
        <v>2</v>
      </c>
      <c r="D86" s="38" t="s">
        <v>2</v>
      </c>
      <c r="E86" s="38" t="s">
        <v>2</v>
      </c>
      <c r="F86" s="38" t="s">
        <v>2</v>
      </c>
      <c r="G86" s="38" t="s">
        <v>2</v>
      </c>
      <c r="H86" s="38" t="s">
        <v>2</v>
      </c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 t="s">
        <v>2</v>
      </c>
      <c r="D90" s="38"/>
      <c r="E90" s="38" t="s">
        <v>2</v>
      </c>
      <c r="F90" s="38" t="s">
        <v>2</v>
      </c>
      <c r="G90" s="38"/>
      <c r="H90" s="38"/>
    </row>
    <row r="91" spans="1:8" x14ac:dyDescent="0.25">
      <c r="A91" s="18">
        <v>129</v>
      </c>
      <c r="B91" s="38" t="s">
        <v>2</v>
      </c>
      <c r="C91" s="38"/>
      <c r="D91" s="38" t="s">
        <v>2</v>
      </c>
      <c r="E91" s="38"/>
      <c r="F91" s="38"/>
      <c r="G91" s="38"/>
      <c r="H91" s="38"/>
    </row>
    <row r="92" spans="1:8" x14ac:dyDescent="0.25">
      <c r="A92" s="18">
        <v>130</v>
      </c>
      <c r="B92" s="38" t="s">
        <v>2</v>
      </c>
      <c r="C92" s="38" t="s">
        <v>2</v>
      </c>
      <c r="D92" s="38"/>
      <c r="E92" s="38"/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 t="s">
        <v>2</v>
      </c>
      <c r="F95" s="38" t="s">
        <v>2</v>
      </c>
      <c r="G95" s="38" t="s">
        <v>6</v>
      </c>
      <c r="H95" s="38" t="s">
        <v>2</v>
      </c>
    </row>
  </sheetData>
  <mergeCells count="1">
    <mergeCell ref="A1:H2"/>
  </mergeCells>
  <conditionalFormatting sqref="B61:I62 I5:I60 B63:H95">
    <cfRule type="cellIs" dxfId="849" priority="18" operator="equal">
      <formula>"Energia"</formula>
    </cfRule>
    <cfRule type="cellIs" dxfId="848" priority="20" operator="equal">
      <formula>"Operação"</formula>
    </cfRule>
    <cfRule type="cellIs" dxfId="847" priority="21" operator="equal">
      <formula>"Chuva"</formula>
    </cfRule>
    <cfRule type="cellIs" dxfId="846" priority="22" operator="equal">
      <formula>"Elétrico"</formula>
    </cfRule>
    <cfRule type="cellIs" dxfId="845" priority="23" operator="equal">
      <formula>"Mecânico"</formula>
    </cfRule>
    <cfRule type="cellIs" dxfId="844" priority="24" operator="equal">
      <formula>"Ok"</formula>
    </cfRule>
  </conditionalFormatting>
  <conditionalFormatting sqref="B61:I62 I5:I60 B63:H95">
    <cfRule type="cellIs" dxfId="843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842" priority="16" operator="equal">
      <formula>"Energia"</formula>
    </cfRule>
  </conditionalFormatting>
  <conditionalFormatting sqref="B5:E60 G5:H60">
    <cfRule type="cellIs" dxfId="841" priority="9" operator="equal">
      <formula>"Energia"</formula>
    </cfRule>
    <cfRule type="cellIs" dxfId="840" priority="11" operator="equal">
      <formula>"Operação"</formula>
    </cfRule>
    <cfRule type="cellIs" dxfId="839" priority="12" operator="equal">
      <formula>"Chuva"</formula>
    </cfRule>
    <cfRule type="cellIs" dxfId="838" priority="13" operator="equal">
      <formula>"Elétrico"</formula>
    </cfRule>
    <cfRule type="cellIs" dxfId="837" priority="14" operator="equal">
      <formula>"Mecânico"</formula>
    </cfRule>
    <cfRule type="cellIs" dxfId="836" priority="15" operator="equal">
      <formula>"Ok"</formula>
    </cfRule>
  </conditionalFormatting>
  <conditionalFormatting sqref="B5:E60 G5:H60">
    <cfRule type="cellIs" dxfId="835" priority="10" operator="equal">
      <formula>"Feito"</formula>
    </cfRule>
  </conditionalFormatting>
  <conditionalFormatting sqref="F5:F11">
    <cfRule type="cellIs" dxfId="834" priority="8" operator="equal">
      <formula>"Energia"</formula>
    </cfRule>
  </conditionalFormatting>
  <conditionalFormatting sqref="F5:F60">
    <cfRule type="cellIs" dxfId="833" priority="1" operator="equal">
      <formula>"Energia"</formula>
    </cfRule>
    <cfRule type="cellIs" dxfId="832" priority="3" operator="equal">
      <formula>"Operação"</formula>
    </cfRule>
    <cfRule type="cellIs" dxfId="831" priority="4" operator="equal">
      <formula>"Chuva"</formula>
    </cfRule>
    <cfRule type="cellIs" dxfId="830" priority="5" operator="equal">
      <formula>"Elétrico"</formula>
    </cfRule>
    <cfRule type="cellIs" dxfId="829" priority="6" operator="equal">
      <formula>"Mecânico"</formula>
    </cfRule>
    <cfRule type="cellIs" dxfId="828" priority="7" operator="equal">
      <formula>"Ok"</formula>
    </cfRule>
  </conditionalFormatting>
  <conditionalFormatting sqref="F5:F60">
    <cfRule type="cellIs" dxfId="827" priority="2" operator="equal">
      <formula>"Feito"</formula>
    </cfRule>
  </conditionalFormatting>
  <dataValidations count="1">
    <dataValidation type="list" allowBlank="1" showInputMessage="1" showErrorMessage="1" sqref="B61:I62 B5:I26 B27:J60 B63:H95" xr:uid="{D655B016-5CFF-4AA7-BA7B-7320DA0D8814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1967-8267-467A-8759-093D65B450F2}">
  <sheetPr>
    <tabColor theme="8"/>
  </sheetPr>
  <dimension ref="A1:M95"/>
  <sheetViews>
    <sheetView zoomScale="115" zoomScaleNormal="115" workbookViewId="0">
      <pane ySplit="4" topLeftCell="A5" activePane="bottomLeft" state="frozen"/>
      <selection pane="bottomLeft" activeCell="J15" sqref="J15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3" max="13" width="11.85546875" bestFit="1" customWidth="1"/>
    <col min="17" max="17" width="8.5703125" customWidth="1"/>
  </cols>
  <sheetData>
    <row r="1" spans="1:13" x14ac:dyDescent="0.25">
      <c r="A1" s="70" t="s">
        <v>39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4" t="s">
        <v>16</v>
      </c>
      <c r="B3" s="23">
        <v>44732</v>
      </c>
      <c r="C3" s="23">
        <f>B3+1</f>
        <v>44733</v>
      </c>
      <c r="D3" s="23">
        <f t="shared" ref="D3:H3" si="0">C3+1</f>
        <v>44734</v>
      </c>
      <c r="E3" s="23">
        <f t="shared" si="0"/>
        <v>44735</v>
      </c>
      <c r="F3" s="23">
        <f t="shared" si="0"/>
        <v>44736</v>
      </c>
      <c r="G3" s="23">
        <f t="shared" si="0"/>
        <v>44737</v>
      </c>
      <c r="H3" s="25">
        <f t="shared" si="0"/>
        <v>44738</v>
      </c>
      <c r="I3" s="3"/>
    </row>
    <row r="4" spans="1:13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</row>
    <row r="5" spans="1:13" x14ac:dyDescent="0.25">
      <c r="A5" s="4">
        <v>1</v>
      </c>
      <c r="B5" s="38"/>
      <c r="C5" s="38"/>
      <c r="D5" s="38"/>
      <c r="E5" s="38" t="s">
        <v>2</v>
      </c>
      <c r="F5" s="38"/>
      <c r="G5" s="38"/>
      <c r="H5" s="38"/>
      <c r="J5" s="48" t="s">
        <v>2</v>
      </c>
      <c r="K5">
        <f>COUNTIF($B$5:$H$95,J5)</f>
        <v>149</v>
      </c>
      <c r="L5" s="34">
        <f t="shared" ref="L5:L10" si="2">K5/$K$11</f>
        <v>0.87134502923976609</v>
      </c>
      <c r="M5" s="52">
        <v>44732</v>
      </c>
    </row>
    <row r="6" spans="1:13" x14ac:dyDescent="0.25">
      <c r="A6" s="4">
        <v>2</v>
      </c>
      <c r="B6" s="38" t="s">
        <v>2</v>
      </c>
      <c r="C6" s="38"/>
      <c r="D6" s="38"/>
      <c r="E6" s="38"/>
      <c r="F6" s="38" t="s">
        <v>2</v>
      </c>
      <c r="G6" s="38"/>
      <c r="H6" s="38" t="s">
        <v>2</v>
      </c>
      <c r="J6" s="42" t="s">
        <v>5</v>
      </c>
      <c r="K6">
        <f>COUNTIF($B$5:$H$95,J6)</f>
        <v>8</v>
      </c>
      <c r="L6" s="35">
        <f t="shared" si="2"/>
        <v>4.6783625730994149E-2</v>
      </c>
    </row>
    <row r="7" spans="1:13" x14ac:dyDescent="0.25">
      <c r="A7" s="4">
        <v>3</v>
      </c>
      <c r="B7" s="38"/>
      <c r="C7" s="38" t="s">
        <v>2</v>
      </c>
      <c r="D7" s="38"/>
      <c r="E7" s="38" t="s">
        <v>2</v>
      </c>
      <c r="F7" s="38"/>
      <c r="G7" s="38" t="s">
        <v>2</v>
      </c>
      <c r="H7" s="38"/>
      <c r="J7" s="46" t="s">
        <v>6</v>
      </c>
      <c r="K7">
        <f t="shared" ref="K7:K10" si="3">COUNTIF($B$5:$H$95,J7)</f>
        <v>2</v>
      </c>
      <c r="L7" s="35">
        <f t="shared" si="2"/>
        <v>1.1695906432748537E-2</v>
      </c>
    </row>
    <row r="8" spans="1:13" x14ac:dyDescent="0.25">
      <c r="A8" s="4">
        <v>4</v>
      </c>
      <c r="B8" s="38"/>
      <c r="C8" s="38"/>
      <c r="D8" s="38" t="s">
        <v>2</v>
      </c>
      <c r="E8" s="38" t="s">
        <v>2</v>
      </c>
      <c r="F8" s="38"/>
      <c r="G8" s="38"/>
      <c r="H8" s="38"/>
      <c r="J8" s="47" t="s">
        <v>4</v>
      </c>
      <c r="K8">
        <f t="shared" si="3"/>
        <v>5</v>
      </c>
      <c r="L8" s="35">
        <f t="shared" si="2"/>
        <v>2.9239766081871343E-2</v>
      </c>
    </row>
    <row r="9" spans="1:13" x14ac:dyDescent="0.25">
      <c r="A9" s="4">
        <v>5</v>
      </c>
      <c r="B9" s="38"/>
      <c r="C9" s="38" t="s">
        <v>2</v>
      </c>
      <c r="D9" s="38"/>
      <c r="E9" s="38" t="s">
        <v>2</v>
      </c>
      <c r="F9" s="38"/>
      <c r="G9" s="38" t="s">
        <v>2</v>
      </c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3" x14ac:dyDescent="0.25">
      <c r="A10" s="4">
        <v>6</v>
      </c>
      <c r="B10" s="38"/>
      <c r="C10" s="38" t="s">
        <v>2</v>
      </c>
      <c r="D10" s="38"/>
      <c r="E10" s="38" t="s">
        <v>2</v>
      </c>
      <c r="F10" s="38"/>
      <c r="G10" s="38" t="s">
        <v>2</v>
      </c>
      <c r="H10" s="38"/>
      <c r="J10" s="43" t="s">
        <v>7</v>
      </c>
      <c r="K10">
        <f t="shared" si="3"/>
        <v>7</v>
      </c>
      <c r="L10" s="37">
        <f t="shared" si="2"/>
        <v>4.0935672514619881E-2</v>
      </c>
    </row>
    <row r="11" spans="1:13" x14ac:dyDescent="0.25">
      <c r="A11" s="4">
        <v>7</v>
      </c>
      <c r="B11" s="38"/>
      <c r="C11" s="38" t="s">
        <v>2</v>
      </c>
      <c r="D11" s="38"/>
      <c r="E11" s="38"/>
      <c r="F11" s="38"/>
      <c r="G11" s="38" t="s">
        <v>2</v>
      </c>
      <c r="H11" s="38"/>
      <c r="J11" s="44" t="s">
        <v>17</v>
      </c>
      <c r="K11">
        <f>SUM(K5:K10)</f>
        <v>171</v>
      </c>
    </row>
    <row r="12" spans="1:13" x14ac:dyDescent="0.25">
      <c r="A12" s="4">
        <v>8</v>
      </c>
      <c r="B12" s="38" t="s">
        <v>2</v>
      </c>
      <c r="C12" s="38" t="s">
        <v>7</v>
      </c>
      <c r="D12" s="38" t="s">
        <v>2</v>
      </c>
      <c r="E12" s="38"/>
      <c r="F12" s="38" t="s">
        <v>2</v>
      </c>
      <c r="G12" s="38"/>
      <c r="H12" s="38" t="s">
        <v>2</v>
      </c>
    </row>
    <row r="13" spans="1:13" x14ac:dyDescent="0.25">
      <c r="A13" s="4">
        <v>9</v>
      </c>
      <c r="B13" s="38" t="s">
        <v>2</v>
      </c>
      <c r="C13" s="38"/>
      <c r="D13" s="38" t="s">
        <v>5</v>
      </c>
      <c r="E13" s="38"/>
      <c r="F13" s="38" t="s">
        <v>2</v>
      </c>
      <c r="G13" s="38"/>
      <c r="H13" s="38" t="s">
        <v>2</v>
      </c>
    </row>
    <row r="14" spans="1:13" x14ac:dyDescent="0.25">
      <c r="A14" s="4">
        <v>10</v>
      </c>
      <c r="B14" s="38"/>
      <c r="C14" s="38" t="s">
        <v>2</v>
      </c>
      <c r="D14" s="38" t="s">
        <v>2</v>
      </c>
      <c r="E14" s="38" t="s">
        <v>2</v>
      </c>
      <c r="F14" s="38"/>
      <c r="G14" s="38" t="s">
        <v>2</v>
      </c>
      <c r="H14" s="38"/>
    </row>
    <row r="15" spans="1:13" x14ac:dyDescent="0.25">
      <c r="A15" s="4">
        <v>11</v>
      </c>
      <c r="B15" s="38" t="s">
        <v>7</v>
      </c>
      <c r="C15" s="38"/>
      <c r="D15" s="38" t="s">
        <v>2</v>
      </c>
      <c r="E15" s="38"/>
      <c r="F15" s="38" t="s">
        <v>2</v>
      </c>
      <c r="G15" s="38"/>
      <c r="H15" s="38"/>
    </row>
    <row r="16" spans="1:13" x14ac:dyDescent="0.25">
      <c r="A16" s="4">
        <v>12</v>
      </c>
      <c r="B16" s="38" t="s">
        <v>2</v>
      </c>
      <c r="C16" s="38"/>
      <c r="D16" s="38" t="s">
        <v>2</v>
      </c>
      <c r="E16" s="38"/>
      <c r="F16" s="38" t="s">
        <v>2</v>
      </c>
      <c r="G16" s="38"/>
      <c r="H16" s="38" t="s">
        <v>2</v>
      </c>
    </row>
    <row r="17" spans="1:8" x14ac:dyDescent="0.25">
      <c r="A17" s="4">
        <v>13</v>
      </c>
      <c r="B17" s="38"/>
      <c r="C17" s="38" t="s">
        <v>2</v>
      </c>
      <c r="D17" s="38"/>
      <c r="E17" s="38" t="s">
        <v>2</v>
      </c>
      <c r="F17" s="38"/>
      <c r="G17" s="38" t="s">
        <v>2</v>
      </c>
      <c r="H17" s="38"/>
    </row>
    <row r="18" spans="1:8" x14ac:dyDescent="0.25">
      <c r="A18" s="4">
        <v>14</v>
      </c>
      <c r="B18" s="38" t="s">
        <v>2</v>
      </c>
      <c r="C18" s="38"/>
      <c r="D18" s="38" t="s">
        <v>2</v>
      </c>
      <c r="E18" s="38"/>
      <c r="F18" s="38" t="s">
        <v>2</v>
      </c>
      <c r="G18" s="38"/>
      <c r="H18" s="38" t="s">
        <v>2</v>
      </c>
    </row>
    <row r="19" spans="1:8" x14ac:dyDescent="0.25">
      <c r="A19" s="4">
        <v>15</v>
      </c>
      <c r="B19" s="38"/>
      <c r="C19" s="38"/>
      <c r="D19" s="38" t="s">
        <v>2</v>
      </c>
      <c r="E19" s="38" t="s">
        <v>2</v>
      </c>
      <c r="F19" s="38"/>
      <c r="G19" s="38"/>
      <c r="H19" s="38" t="s">
        <v>2</v>
      </c>
    </row>
    <row r="20" spans="1:8" x14ac:dyDescent="0.25">
      <c r="A20" s="4">
        <v>16</v>
      </c>
      <c r="B20" s="38"/>
      <c r="C20" s="38" t="s">
        <v>7</v>
      </c>
      <c r="D20" s="38"/>
      <c r="E20" s="38"/>
      <c r="F20" s="38" t="s">
        <v>5</v>
      </c>
      <c r="G20" s="38" t="s">
        <v>6</v>
      </c>
      <c r="H20" s="38"/>
    </row>
    <row r="21" spans="1:8" x14ac:dyDescent="0.25">
      <c r="A21" s="4">
        <v>17</v>
      </c>
      <c r="B21" s="38"/>
      <c r="C21" s="38"/>
      <c r="D21" s="38" t="s">
        <v>4</v>
      </c>
      <c r="E21" s="38"/>
      <c r="F21" s="38"/>
      <c r="G21" s="38"/>
      <c r="H21" s="38" t="s">
        <v>6</v>
      </c>
    </row>
    <row r="22" spans="1:8" x14ac:dyDescent="0.25">
      <c r="A22" s="4">
        <v>18</v>
      </c>
      <c r="B22" s="38"/>
      <c r="C22" s="38"/>
      <c r="D22" s="38"/>
      <c r="E22" s="38"/>
      <c r="F22" s="38"/>
      <c r="G22" s="38"/>
      <c r="H22" s="38"/>
    </row>
    <row r="23" spans="1:8" x14ac:dyDescent="0.25">
      <c r="A23" s="4">
        <v>19</v>
      </c>
      <c r="B23" s="38"/>
      <c r="C23" s="38" t="s">
        <v>2</v>
      </c>
      <c r="D23" s="38" t="s">
        <v>5</v>
      </c>
      <c r="E23" s="38"/>
      <c r="F23" s="38"/>
      <c r="G23" s="38" t="s">
        <v>2</v>
      </c>
      <c r="H23" s="38" t="s">
        <v>2</v>
      </c>
    </row>
    <row r="24" spans="1:8" x14ac:dyDescent="0.25">
      <c r="A24" s="4">
        <v>20</v>
      </c>
      <c r="B24" s="38"/>
      <c r="C24" s="38"/>
      <c r="D24" s="38"/>
      <c r="E24" s="38"/>
      <c r="F24" s="38"/>
      <c r="G24" s="38"/>
      <c r="H24" s="38"/>
    </row>
    <row r="25" spans="1:8" x14ac:dyDescent="0.25">
      <c r="A25" s="4">
        <v>21</v>
      </c>
      <c r="B25" s="38" t="s">
        <v>2</v>
      </c>
      <c r="C25" s="38"/>
      <c r="D25" s="38"/>
      <c r="E25" s="38" t="s">
        <v>2</v>
      </c>
      <c r="F25" s="38" t="s">
        <v>2</v>
      </c>
      <c r="G25" s="38"/>
      <c r="H25" s="38"/>
    </row>
    <row r="26" spans="1:8" x14ac:dyDescent="0.25">
      <c r="A26" s="4">
        <v>22</v>
      </c>
      <c r="B26" s="38"/>
      <c r="C26" s="38"/>
      <c r="D26" s="38" t="s">
        <v>4</v>
      </c>
      <c r="E26" s="38"/>
      <c r="F26" s="38"/>
      <c r="G26" s="38"/>
      <c r="H26" s="38"/>
    </row>
    <row r="27" spans="1:8" x14ac:dyDescent="0.25">
      <c r="A27" s="4">
        <v>23</v>
      </c>
      <c r="B27" s="38" t="s">
        <v>2</v>
      </c>
      <c r="C27" s="38"/>
      <c r="D27" s="38"/>
      <c r="E27" s="38"/>
      <c r="F27" s="38"/>
      <c r="G27" s="38"/>
      <c r="H27" s="38"/>
    </row>
    <row r="28" spans="1:8" x14ac:dyDescent="0.25">
      <c r="A28" s="4">
        <v>24</v>
      </c>
      <c r="B28" s="38" t="s">
        <v>7</v>
      </c>
      <c r="C28" s="38"/>
      <c r="D28" s="38"/>
      <c r="E28" s="38"/>
      <c r="F28" s="38" t="s">
        <v>2</v>
      </c>
      <c r="G28" s="38"/>
      <c r="H28" s="38"/>
    </row>
    <row r="29" spans="1:8" x14ac:dyDescent="0.25">
      <c r="A29" s="4">
        <v>25</v>
      </c>
      <c r="B29" s="38"/>
      <c r="C29" s="38" t="s">
        <v>5</v>
      </c>
      <c r="D29" s="38" t="s">
        <v>2</v>
      </c>
      <c r="E29" s="38" t="s">
        <v>5</v>
      </c>
      <c r="F29" s="38"/>
      <c r="G29" s="38" t="s">
        <v>2</v>
      </c>
      <c r="H29" s="38"/>
    </row>
    <row r="30" spans="1:8" x14ac:dyDescent="0.25">
      <c r="A30" s="4">
        <v>26</v>
      </c>
      <c r="B30" s="38"/>
      <c r="C30" s="38"/>
      <c r="D30" s="38" t="s">
        <v>2</v>
      </c>
      <c r="E30" s="38" t="s">
        <v>2</v>
      </c>
      <c r="F30" s="38"/>
      <c r="G30" s="38"/>
      <c r="H30" s="38" t="s">
        <v>2</v>
      </c>
    </row>
    <row r="31" spans="1:8" x14ac:dyDescent="0.25">
      <c r="A31" s="4">
        <v>27</v>
      </c>
      <c r="B31" s="38" t="s">
        <v>2</v>
      </c>
      <c r="C31" s="38"/>
      <c r="D31" s="38"/>
      <c r="E31" s="38" t="s">
        <v>2</v>
      </c>
      <c r="F31" s="38"/>
      <c r="G31" s="38"/>
      <c r="H31" s="38" t="s">
        <v>2</v>
      </c>
    </row>
    <row r="32" spans="1:8" x14ac:dyDescent="0.25">
      <c r="A32" s="4">
        <v>28</v>
      </c>
      <c r="B32" s="38"/>
      <c r="C32" s="38"/>
      <c r="D32" s="38"/>
      <c r="E32" s="38"/>
      <c r="F32" s="38"/>
      <c r="G32" s="38"/>
      <c r="H32" s="38"/>
    </row>
    <row r="33" spans="1:8" x14ac:dyDescent="0.25">
      <c r="A33" s="4">
        <v>29</v>
      </c>
      <c r="B33" s="38" t="s">
        <v>2</v>
      </c>
      <c r="C33" s="38"/>
      <c r="D33" s="38" t="s">
        <v>2</v>
      </c>
      <c r="E33" s="38"/>
      <c r="F33" s="38" t="s">
        <v>2</v>
      </c>
      <c r="G33" s="38"/>
      <c r="H33" s="38" t="s">
        <v>2</v>
      </c>
    </row>
    <row r="34" spans="1:8" x14ac:dyDescent="0.25">
      <c r="A34" s="4">
        <v>30</v>
      </c>
      <c r="B34" s="38"/>
      <c r="C34" s="38"/>
      <c r="D34" s="38"/>
      <c r="E34" s="38"/>
      <c r="F34" s="38"/>
      <c r="G34" s="38"/>
      <c r="H34" s="38"/>
    </row>
    <row r="35" spans="1:8" x14ac:dyDescent="0.25">
      <c r="A35" s="4">
        <v>31</v>
      </c>
      <c r="B35" s="38"/>
      <c r="C35" s="38"/>
      <c r="D35" s="38"/>
      <c r="E35" s="38"/>
      <c r="F35" s="38"/>
      <c r="G35" s="38"/>
      <c r="H35" s="38"/>
    </row>
    <row r="36" spans="1:8" x14ac:dyDescent="0.25">
      <c r="A36" s="4">
        <v>32</v>
      </c>
      <c r="B36" s="38"/>
      <c r="C36" s="38"/>
      <c r="D36" s="38"/>
      <c r="E36" s="38" t="s">
        <v>2</v>
      </c>
      <c r="F36" s="38"/>
      <c r="G36" s="38"/>
      <c r="H36" s="38"/>
    </row>
    <row r="37" spans="1:8" x14ac:dyDescent="0.25">
      <c r="A37" s="4">
        <v>33</v>
      </c>
      <c r="B37" s="38"/>
      <c r="C37" s="38"/>
      <c r="D37" s="38"/>
      <c r="E37" s="38"/>
      <c r="F37" s="38" t="s">
        <v>2</v>
      </c>
      <c r="G37" s="38"/>
      <c r="H37" s="38"/>
    </row>
    <row r="38" spans="1:8" x14ac:dyDescent="0.25">
      <c r="A38" s="4">
        <v>34</v>
      </c>
      <c r="B38" s="38" t="s">
        <v>2</v>
      </c>
      <c r="C38" s="38"/>
      <c r="D38" s="38"/>
      <c r="E38" s="38"/>
      <c r="F38" s="38"/>
      <c r="G38" s="38"/>
      <c r="H38" s="38" t="s">
        <v>2</v>
      </c>
    </row>
    <row r="39" spans="1:8" x14ac:dyDescent="0.25">
      <c r="A39" s="4">
        <v>35</v>
      </c>
      <c r="B39" s="38"/>
      <c r="C39" s="38" t="s">
        <v>2</v>
      </c>
      <c r="D39" s="38"/>
      <c r="E39" s="38" t="s">
        <v>2</v>
      </c>
      <c r="F39" s="38"/>
      <c r="G39" s="38" t="s">
        <v>2</v>
      </c>
      <c r="H39" s="38"/>
    </row>
    <row r="40" spans="1:8" x14ac:dyDescent="0.25">
      <c r="A40" s="4">
        <v>36</v>
      </c>
      <c r="B40" s="38" t="s">
        <v>2</v>
      </c>
      <c r="C40" s="38" t="s">
        <v>2</v>
      </c>
      <c r="D40" s="38" t="s">
        <v>2</v>
      </c>
      <c r="E40" s="38"/>
      <c r="F40" s="38" t="s">
        <v>2</v>
      </c>
      <c r="G40" s="38"/>
      <c r="H40" s="38" t="s">
        <v>2</v>
      </c>
    </row>
    <row r="41" spans="1:8" x14ac:dyDescent="0.25">
      <c r="A41" s="4">
        <v>37</v>
      </c>
      <c r="B41" s="38" t="s">
        <v>2</v>
      </c>
      <c r="C41" s="38"/>
      <c r="D41" s="38" t="s">
        <v>7</v>
      </c>
      <c r="E41" s="38"/>
      <c r="F41" s="38" t="s">
        <v>2</v>
      </c>
      <c r="G41" s="38"/>
      <c r="H41" s="38"/>
    </row>
    <row r="42" spans="1:8" x14ac:dyDescent="0.25">
      <c r="A42" s="4">
        <v>38</v>
      </c>
      <c r="B42" s="38"/>
      <c r="C42" s="38"/>
      <c r="D42" s="38" t="s">
        <v>2</v>
      </c>
      <c r="E42" s="38" t="s">
        <v>2</v>
      </c>
      <c r="F42" s="38"/>
      <c r="G42" s="38"/>
      <c r="H42" s="38" t="s">
        <v>2</v>
      </c>
    </row>
    <row r="43" spans="1:8" x14ac:dyDescent="0.25">
      <c r="A43" s="4">
        <v>39</v>
      </c>
      <c r="B43" s="38" t="s">
        <v>2</v>
      </c>
      <c r="C43" s="38"/>
      <c r="D43" s="38"/>
      <c r="E43" s="38"/>
      <c r="F43" s="38" t="s">
        <v>2</v>
      </c>
      <c r="G43" s="38"/>
      <c r="H43" s="38"/>
    </row>
    <row r="44" spans="1:8" x14ac:dyDescent="0.25">
      <c r="A44" s="4">
        <v>40</v>
      </c>
      <c r="B44" s="38"/>
      <c r="C44" s="38"/>
      <c r="D44" s="38"/>
      <c r="E44" s="38"/>
      <c r="F44" s="38" t="s">
        <v>2</v>
      </c>
      <c r="G44" s="38"/>
      <c r="H44" s="38"/>
    </row>
    <row r="45" spans="1:8" x14ac:dyDescent="0.25">
      <c r="A45" s="4">
        <v>41</v>
      </c>
      <c r="B45" s="38"/>
      <c r="C45" s="38"/>
      <c r="D45" s="38" t="s">
        <v>4</v>
      </c>
      <c r="E45" s="38"/>
      <c r="F45" s="38"/>
      <c r="G45" s="38" t="s">
        <v>2</v>
      </c>
      <c r="H45" s="38"/>
    </row>
    <row r="46" spans="1:8" x14ac:dyDescent="0.25">
      <c r="A46" s="4">
        <v>42</v>
      </c>
      <c r="B46" s="38"/>
      <c r="C46" s="38"/>
      <c r="D46" s="38" t="s">
        <v>2</v>
      </c>
      <c r="E46" s="38" t="s">
        <v>2</v>
      </c>
      <c r="F46" s="38"/>
      <c r="G46" s="38"/>
      <c r="H46" s="38" t="s">
        <v>2</v>
      </c>
    </row>
    <row r="47" spans="1:8" x14ac:dyDescent="0.25">
      <c r="A47" s="4">
        <v>43</v>
      </c>
      <c r="B47" s="38"/>
      <c r="C47" s="38"/>
      <c r="D47" s="38"/>
      <c r="E47" s="38"/>
      <c r="F47" s="38"/>
      <c r="G47" s="38"/>
      <c r="H47" s="38"/>
    </row>
    <row r="48" spans="1:8" x14ac:dyDescent="0.25">
      <c r="A48" s="4">
        <v>44</v>
      </c>
      <c r="B48" s="38"/>
      <c r="C48" s="38" t="s">
        <v>2</v>
      </c>
      <c r="D48" s="38"/>
      <c r="E48" s="38"/>
      <c r="F48" s="38"/>
      <c r="G48" s="38"/>
      <c r="H48" s="38"/>
    </row>
    <row r="49" spans="1:8" x14ac:dyDescent="0.25">
      <c r="A49" s="4">
        <v>45</v>
      </c>
      <c r="B49" s="38"/>
      <c r="C49" s="38"/>
      <c r="D49" s="38"/>
      <c r="E49" s="38"/>
      <c r="F49" s="38"/>
      <c r="G49" s="38" t="s">
        <v>2</v>
      </c>
      <c r="H49" s="38"/>
    </row>
    <row r="50" spans="1:8" x14ac:dyDescent="0.25">
      <c r="A50" s="4">
        <v>46</v>
      </c>
      <c r="B50" s="38" t="s">
        <v>2</v>
      </c>
      <c r="C50" s="38"/>
      <c r="D50" s="38"/>
      <c r="E50" s="38"/>
      <c r="F50" s="38"/>
      <c r="G50" s="38"/>
      <c r="H50" s="38"/>
    </row>
    <row r="51" spans="1:8" x14ac:dyDescent="0.25">
      <c r="A51" s="4">
        <v>47</v>
      </c>
      <c r="B51" s="38" t="s">
        <v>2</v>
      </c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 t="s">
        <v>2</v>
      </c>
      <c r="C52" s="38" t="s">
        <v>7</v>
      </c>
      <c r="D52" s="38" t="s">
        <v>2</v>
      </c>
      <c r="E52" s="38" t="s">
        <v>2</v>
      </c>
      <c r="F52" s="38" t="s">
        <v>2</v>
      </c>
      <c r="G52" s="38" t="s">
        <v>2</v>
      </c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 t="s">
        <v>2</v>
      </c>
    </row>
    <row r="54" spans="1:8" x14ac:dyDescent="0.25">
      <c r="A54" s="4">
        <v>50</v>
      </c>
      <c r="B54" s="38"/>
      <c r="C54" s="38"/>
      <c r="D54" s="38"/>
      <c r="E54" s="38"/>
      <c r="F54" s="38"/>
      <c r="G54" s="38"/>
      <c r="H54" s="38"/>
    </row>
    <row r="55" spans="1:8" x14ac:dyDescent="0.25">
      <c r="A55" s="4">
        <v>51</v>
      </c>
      <c r="B55" s="38" t="s">
        <v>2</v>
      </c>
      <c r="C55" s="38"/>
      <c r="D55" s="38"/>
      <c r="E55" s="38"/>
      <c r="F55" s="38"/>
      <c r="G55" s="38"/>
      <c r="H55" s="38"/>
    </row>
    <row r="56" spans="1:8" x14ac:dyDescent="0.25">
      <c r="A56" s="4">
        <v>52</v>
      </c>
      <c r="B56" s="38"/>
      <c r="C56" s="38"/>
      <c r="D56" s="38" t="s">
        <v>2</v>
      </c>
      <c r="E56" s="38"/>
      <c r="F56" s="38"/>
      <c r="G56" s="38"/>
      <c r="H56" s="38"/>
    </row>
    <row r="57" spans="1:8" x14ac:dyDescent="0.25">
      <c r="A57" s="4">
        <v>53</v>
      </c>
      <c r="B57" s="38"/>
      <c r="C57" s="38"/>
      <c r="D57" s="38" t="s">
        <v>2</v>
      </c>
      <c r="E57" s="38"/>
      <c r="F57" s="38"/>
      <c r="G57" s="38"/>
      <c r="H57" s="38"/>
    </row>
    <row r="58" spans="1:8" x14ac:dyDescent="0.25">
      <c r="A58" s="4">
        <v>54</v>
      </c>
      <c r="B58" s="38"/>
      <c r="C58" s="38"/>
      <c r="D58" s="38"/>
      <c r="E58" s="38" t="s">
        <v>2</v>
      </c>
      <c r="F58" s="38"/>
      <c r="G58" s="38"/>
      <c r="H58" s="38"/>
    </row>
    <row r="59" spans="1:8" x14ac:dyDescent="0.25">
      <c r="A59" s="4">
        <v>55</v>
      </c>
      <c r="B59" s="38"/>
      <c r="C59" s="38"/>
      <c r="D59" s="38" t="s">
        <v>4</v>
      </c>
      <c r="E59" s="38"/>
      <c r="F59" s="38"/>
      <c r="G59" s="38"/>
      <c r="H59" s="38"/>
    </row>
    <row r="60" spans="1:8" x14ac:dyDescent="0.25">
      <c r="A60" s="4">
        <v>56</v>
      </c>
      <c r="B60" s="38"/>
      <c r="C60" s="38" t="s">
        <v>4</v>
      </c>
      <c r="D60" s="38"/>
      <c r="E60" s="38"/>
      <c r="F60" s="38"/>
      <c r="G60" s="38"/>
      <c r="H60" s="38"/>
    </row>
    <row r="61" spans="1:8" x14ac:dyDescent="0.25">
      <c r="A61" s="18">
        <v>73</v>
      </c>
      <c r="B61" s="38" t="s">
        <v>5</v>
      </c>
      <c r="C61" s="38"/>
      <c r="D61" s="38"/>
      <c r="E61" s="38"/>
      <c r="F61" s="38"/>
      <c r="G61" s="38"/>
      <c r="H61" s="38"/>
    </row>
    <row r="62" spans="1:8" x14ac:dyDescent="0.25">
      <c r="A62" s="18">
        <v>74</v>
      </c>
      <c r="B62" s="38" t="s">
        <v>2</v>
      </c>
      <c r="C62" s="38"/>
      <c r="D62" s="38"/>
      <c r="E62" s="38" t="s">
        <v>2</v>
      </c>
      <c r="F62" s="38"/>
      <c r="G62" s="38"/>
      <c r="H62" s="38" t="s">
        <v>2</v>
      </c>
    </row>
    <row r="63" spans="1:8" x14ac:dyDescent="0.25">
      <c r="A63" s="18">
        <v>101</v>
      </c>
      <c r="B63" s="39"/>
      <c r="C63" s="38"/>
      <c r="D63" s="38" t="s">
        <v>2</v>
      </c>
      <c r="E63" s="38" t="s">
        <v>2</v>
      </c>
      <c r="F63" s="38"/>
      <c r="G63" s="38" t="s">
        <v>2</v>
      </c>
      <c r="H63" s="38" t="s">
        <v>2</v>
      </c>
    </row>
    <row r="64" spans="1:8" x14ac:dyDescent="0.25">
      <c r="A64" s="18">
        <v>102</v>
      </c>
      <c r="B64" s="38"/>
      <c r="C64" s="38"/>
      <c r="D64" s="38"/>
      <c r="E64" s="38" t="s">
        <v>2</v>
      </c>
      <c r="F64" s="38"/>
      <c r="G64" s="38"/>
      <c r="H64" s="38"/>
    </row>
    <row r="65" spans="1:8" x14ac:dyDescent="0.25">
      <c r="A65" s="18">
        <v>103</v>
      </c>
      <c r="B65" s="38"/>
      <c r="C65" s="38"/>
      <c r="D65" s="38"/>
      <c r="E65" s="38"/>
      <c r="F65" s="38"/>
      <c r="G65" s="38"/>
      <c r="H65" s="38" t="s">
        <v>2</v>
      </c>
    </row>
    <row r="66" spans="1:8" x14ac:dyDescent="0.25">
      <c r="A66" s="18">
        <v>104</v>
      </c>
      <c r="B66" s="38"/>
      <c r="C66" s="38"/>
      <c r="D66" s="38"/>
      <c r="E66" s="38"/>
      <c r="F66" s="38"/>
      <c r="G66" s="38"/>
      <c r="H66" s="38"/>
    </row>
    <row r="67" spans="1:8" x14ac:dyDescent="0.25">
      <c r="A67" s="18">
        <v>105</v>
      </c>
      <c r="B67" s="38"/>
      <c r="C67" s="38"/>
      <c r="D67" s="38"/>
      <c r="E67" s="38"/>
      <c r="F67" s="38"/>
      <c r="G67" s="38" t="s">
        <v>2</v>
      </c>
      <c r="H67" s="38"/>
    </row>
    <row r="68" spans="1:8" x14ac:dyDescent="0.25">
      <c r="A68" s="18">
        <v>106</v>
      </c>
      <c r="B68" s="38"/>
      <c r="C68" s="38"/>
      <c r="D68" s="38"/>
      <c r="E68" s="38"/>
      <c r="F68" s="38" t="s">
        <v>2</v>
      </c>
      <c r="G68" s="38"/>
      <c r="H68" s="38"/>
    </row>
    <row r="69" spans="1:8" x14ac:dyDescent="0.25">
      <c r="A69" s="18">
        <v>107</v>
      </c>
      <c r="B69" s="38"/>
      <c r="C69" s="38" t="s">
        <v>2</v>
      </c>
      <c r="D69" s="38"/>
      <c r="E69" s="38"/>
      <c r="F69" s="38"/>
      <c r="G69" s="38"/>
      <c r="H69" s="38" t="s">
        <v>2</v>
      </c>
    </row>
    <row r="70" spans="1:8" x14ac:dyDescent="0.25">
      <c r="A70" s="18">
        <v>108</v>
      </c>
      <c r="B70" s="38"/>
      <c r="C70" s="38"/>
      <c r="D70" s="38"/>
      <c r="E70" s="38"/>
      <c r="F70" s="38"/>
      <c r="G70" s="38"/>
      <c r="H70" s="38"/>
    </row>
    <row r="71" spans="1:8" x14ac:dyDescent="0.25">
      <c r="A71" s="18">
        <v>109</v>
      </c>
      <c r="B71" s="38"/>
      <c r="C71" s="38"/>
      <c r="D71" s="38"/>
      <c r="E71" s="38"/>
      <c r="F71" s="38"/>
      <c r="G71" s="38"/>
      <c r="H71" s="38"/>
    </row>
    <row r="72" spans="1:8" x14ac:dyDescent="0.25">
      <c r="A72" s="18">
        <v>110</v>
      </c>
      <c r="B72" s="38"/>
      <c r="C72" s="38"/>
      <c r="D72" s="38"/>
      <c r="E72" s="38"/>
      <c r="F72" s="38"/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 t="s">
        <v>2</v>
      </c>
      <c r="D74" s="38"/>
      <c r="E74" s="38"/>
      <c r="F74" s="38"/>
      <c r="G74" s="38" t="s">
        <v>2</v>
      </c>
      <c r="H74" s="38"/>
    </row>
    <row r="75" spans="1:8" x14ac:dyDescent="0.25">
      <c r="A75" s="18">
        <v>113</v>
      </c>
      <c r="B75" s="38" t="s">
        <v>2</v>
      </c>
      <c r="C75" s="38" t="s">
        <v>2</v>
      </c>
      <c r="D75" s="38" t="s">
        <v>2</v>
      </c>
      <c r="E75" s="38" t="s">
        <v>2</v>
      </c>
      <c r="F75" s="38" t="s">
        <v>2</v>
      </c>
      <c r="G75" s="38" t="s">
        <v>2</v>
      </c>
      <c r="H75" s="38" t="s">
        <v>2</v>
      </c>
    </row>
    <row r="76" spans="1:8" x14ac:dyDescent="0.25">
      <c r="A76" s="18">
        <v>114</v>
      </c>
      <c r="B76" s="38"/>
      <c r="C76" s="38"/>
      <c r="D76" s="38"/>
      <c r="E76" s="38"/>
      <c r="F76" s="38"/>
      <c r="G76" s="38"/>
      <c r="H76" s="38" t="s">
        <v>2</v>
      </c>
    </row>
    <row r="77" spans="1:8" x14ac:dyDescent="0.25">
      <c r="A77" s="18">
        <v>115</v>
      </c>
      <c r="B77" s="38"/>
      <c r="C77" s="38"/>
      <c r="D77" s="38"/>
      <c r="E77" s="38"/>
      <c r="F77" s="38"/>
      <c r="G77" s="38"/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18">
        <v>120</v>
      </c>
      <c r="B82" s="38" t="s">
        <v>2</v>
      </c>
      <c r="C82" s="38" t="s">
        <v>2</v>
      </c>
      <c r="D82" s="38" t="s">
        <v>2</v>
      </c>
      <c r="E82" s="38" t="s">
        <v>2</v>
      </c>
      <c r="F82" s="38" t="s">
        <v>2</v>
      </c>
      <c r="G82" s="38" t="s">
        <v>2</v>
      </c>
      <c r="H82" s="38" t="s">
        <v>2</v>
      </c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 t="s">
        <v>2</v>
      </c>
      <c r="C84" s="38" t="s">
        <v>2</v>
      </c>
      <c r="D84" s="38"/>
      <c r="E84" s="38" t="s">
        <v>2</v>
      </c>
      <c r="F84" s="38"/>
      <c r="G84" s="38" t="s">
        <v>2</v>
      </c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 t="s">
        <v>2</v>
      </c>
      <c r="C86" s="38"/>
      <c r="D86" s="38" t="s">
        <v>7</v>
      </c>
      <c r="E86" s="38"/>
      <c r="F86" s="38" t="s">
        <v>2</v>
      </c>
      <c r="G86" s="38"/>
      <c r="H86" s="38" t="s">
        <v>2</v>
      </c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 t="s">
        <v>2</v>
      </c>
      <c r="D90" s="38"/>
      <c r="E90" s="38" t="s">
        <v>2</v>
      </c>
      <c r="F90" s="38" t="s">
        <v>2</v>
      </c>
      <c r="G90" s="38"/>
      <c r="H90" s="38"/>
    </row>
    <row r="91" spans="1:8" x14ac:dyDescent="0.25">
      <c r="A91" s="18">
        <v>129</v>
      </c>
      <c r="B91" s="38" t="s">
        <v>2</v>
      </c>
      <c r="C91" s="38"/>
      <c r="D91" s="38"/>
      <c r="E91" s="38"/>
      <c r="F91" s="38"/>
      <c r="G91" s="38"/>
      <c r="H91" s="38"/>
    </row>
    <row r="92" spans="1:8" x14ac:dyDescent="0.25">
      <c r="A92" s="18">
        <v>130</v>
      </c>
      <c r="B92" s="38"/>
      <c r="C92" s="38"/>
      <c r="D92" s="38"/>
      <c r="E92" s="38"/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 t="s">
        <v>2</v>
      </c>
      <c r="C95" s="38" t="s">
        <v>5</v>
      </c>
      <c r="D95" s="38" t="s">
        <v>5</v>
      </c>
      <c r="E95" s="38" t="s">
        <v>2</v>
      </c>
      <c r="F95" s="38" t="s">
        <v>2</v>
      </c>
      <c r="G95" s="38" t="s">
        <v>2</v>
      </c>
      <c r="H95" s="38" t="s">
        <v>2</v>
      </c>
    </row>
  </sheetData>
  <mergeCells count="1">
    <mergeCell ref="A1:H2"/>
  </mergeCells>
  <conditionalFormatting sqref="B61:I62 I5:I60 B63:H95">
    <cfRule type="cellIs" dxfId="826" priority="18" operator="equal">
      <formula>"Energia"</formula>
    </cfRule>
    <cfRule type="cellIs" dxfId="825" priority="20" operator="equal">
      <formula>"Operação"</formula>
    </cfRule>
    <cfRule type="cellIs" dxfId="824" priority="21" operator="equal">
      <formula>"Chuva"</formula>
    </cfRule>
    <cfRule type="cellIs" dxfId="823" priority="22" operator="equal">
      <formula>"Elétrico"</formula>
    </cfRule>
    <cfRule type="cellIs" dxfId="822" priority="23" operator="equal">
      <formula>"Mecânico"</formula>
    </cfRule>
    <cfRule type="cellIs" dxfId="821" priority="24" operator="equal">
      <formula>"Ok"</formula>
    </cfRule>
  </conditionalFormatting>
  <conditionalFormatting sqref="B61:I62 I5:I60 B63:H95">
    <cfRule type="cellIs" dxfId="820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819" priority="16" operator="equal">
      <formula>"Energia"</formula>
    </cfRule>
  </conditionalFormatting>
  <conditionalFormatting sqref="B5:E60 G5:H60">
    <cfRule type="cellIs" dxfId="818" priority="9" operator="equal">
      <formula>"Energia"</formula>
    </cfRule>
    <cfRule type="cellIs" dxfId="817" priority="11" operator="equal">
      <formula>"Operação"</formula>
    </cfRule>
    <cfRule type="cellIs" dxfId="816" priority="12" operator="equal">
      <formula>"Chuva"</formula>
    </cfRule>
    <cfRule type="cellIs" dxfId="815" priority="13" operator="equal">
      <formula>"Elétrico"</formula>
    </cfRule>
    <cfRule type="cellIs" dxfId="814" priority="14" operator="equal">
      <formula>"Mecânico"</formula>
    </cfRule>
    <cfRule type="cellIs" dxfId="813" priority="15" operator="equal">
      <formula>"Ok"</formula>
    </cfRule>
  </conditionalFormatting>
  <conditionalFormatting sqref="B5:E60 G5:H60">
    <cfRule type="cellIs" dxfId="812" priority="10" operator="equal">
      <formula>"Feito"</formula>
    </cfRule>
  </conditionalFormatting>
  <conditionalFormatting sqref="F5:F11">
    <cfRule type="cellIs" dxfId="811" priority="8" operator="equal">
      <formula>"Energia"</formula>
    </cfRule>
  </conditionalFormatting>
  <conditionalFormatting sqref="F5:F60">
    <cfRule type="cellIs" dxfId="810" priority="1" operator="equal">
      <formula>"Energia"</formula>
    </cfRule>
    <cfRule type="cellIs" dxfId="809" priority="3" operator="equal">
      <formula>"Operação"</formula>
    </cfRule>
    <cfRule type="cellIs" dxfId="808" priority="4" operator="equal">
      <formula>"Chuva"</formula>
    </cfRule>
    <cfRule type="cellIs" dxfId="807" priority="5" operator="equal">
      <formula>"Elétrico"</formula>
    </cfRule>
    <cfRule type="cellIs" dxfId="806" priority="6" operator="equal">
      <formula>"Mecânico"</formula>
    </cfRule>
    <cfRule type="cellIs" dxfId="805" priority="7" operator="equal">
      <formula>"Ok"</formula>
    </cfRule>
  </conditionalFormatting>
  <conditionalFormatting sqref="F5:F60">
    <cfRule type="cellIs" dxfId="804" priority="2" operator="equal">
      <formula>"Feito"</formula>
    </cfRule>
  </conditionalFormatting>
  <dataValidations count="1">
    <dataValidation type="list" allowBlank="1" showInputMessage="1" showErrorMessage="1" sqref="B61:I62 B5:I26 B27:J60 B63:H95" xr:uid="{6EA12A4E-3606-4FD7-A1A1-BAC4F884B7D5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77E9-8C7F-4AE6-883D-B2AD44B970CC}">
  <sheetPr>
    <tabColor theme="8"/>
  </sheetPr>
  <dimension ref="A1:M95"/>
  <sheetViews>
    <sheetView zoomScale="115" zoomScaleNormal="115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3" max="13" width="11.85546875" bestFit="1" customWidth="1"/>
    <col min="17" max="17" width="8.5703125" customWidth="1"/>
  </cols>
  <sheetData>
    <row r="1" spans="1:13" x14ac:dyDescent="0.25">
      <c r="A1" s="70" t="s">
        <v>30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4" t="s">
        <v>16</v>
      </c>
      <c r="B3" s="23">
        <v>44739</v>
      </c>
      <c r="C3" s="23">
        <f>B3+1</f>
        <v>44740</v>
      </c>
      <c r="D3" s="23">
        <f t="shared" ref="D3:H3" si="0">C3+1</f>
        <v>44741</v>
      </c>
      <c r="E3" s="23">
        <f t="shared" si="0"/>
        <v>44742</v>
      </c>
      <c r="F3" s="23">
        <f t="shared" si="0"/>
        <v>44743</v>
      </c>
      <c r="G3" s="23">
        <f t="shared" si="0"/>
        <v>44744</v>
      </c>
      <c r="H3" s="25">
        <f t="shared" si="0"/>
        <v>44745</v>
      </c>
      <c r="I3" s="3"/>
    </row>
    <row r="4" spans="1:13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</row>
    <row r="5" spans="1:13" x14ac:dyDescent="0.25">
      <c r="A5" s="4">
        <v>1</v>
      </c>
      <c r="B5" s="38" t="s">
        <v>5</v>
      </c>
      <c r="C5" s="38"/>
      <c r="D5" s="38"/>
      <c r="E5" s="38"/>
      <c r="F5" s="38"/>
      <c r="G5" s="38"/>
      <c r="H5" s="38"/>
      <c r="J5" s="48" t="s">
        <v>2</v>
      </c>
      <c r="K5">
        <f>COUNTIF($B$5:$H$95,J5)</f>
        <v>127</v>
      </c>
      <c r="L5" s="34">
        <f t="shared" ref="L5:L10" si="2">K5/$K$11</f>
        <v>0.8523489932885906</v>
      </c>
      <c r="M5" s="52">
        <v>44739</v>
      </c>
    </row>
    <row r="6" spans="1:13" x14ac:dyDescent="0.25">
      <c r="A6" s="4">
        <v>2</v>
      </c>
      <c r="B6" s="38"/>
      <c r="C6" s="38" t="s">
        <v>2</v>
      </c>
      <c r="D6" s="38"/>
      <c r="E6" s="38"/>
      <c r="F6" s="38"/>
      <c r="G6" s="38" t="s">
        <v>2</v>
      </c>
      <c r="H6" s="38" t="s">
        <v>2</v>
      </c>
      <c r="J6" s="42" t="s">
        <v>5</v>
      </c>
      <c r="K6">
        <f>COUNTIF($B$5:$H$95,J6)</f>
        <v>9</v>
      </c>
      <c r="L6" s="35">
        <f t="shared" si="2"/>
        <v>6.0402684563758392E-2</v>
      </c>
    </row>
    <row r="7" spans="1:13" x14ac:dyDescent="0.25">
      <c r="A7" s="4">
        <v>3</v>
      </c>
      <c r="B7" s="38" t="s">
        <v>2</v>
      </c>
      <c r="C7" s="38"/>
      <c r="D7" s="38" t="s">
        <v>2</v>
      </c>
      <c r="E7" s="38"/>
      <c r="F7" s="38"/>
      <c r="G7" s="38" t="s">
        <v>2</v>
      </c>
      <c r="H7" s="38"/>
      <c r="J7" s="46" t="s">
        <v>6</v>
      </c>
      <c r="K7">
        <f t="shared" ref="K7:K10" si="3">COUNTIF($B$5:$H$95,J7)</f>
        <v>4</v>
      </c>
      <c r="L7" s="35">
        <f t="shared" si="2"/>
        <v>2.6845637583892617E-2</v>
      </c>
    </row>
    <row r="8" spans="1:13" x14ac:dyDescent="0.25">
      <c r="A8" s="4">
        <v>4</v>
      </c>
      <c r="B8" s="38"/>
      <c r="C8" s="38" t="s">
        <v>2</v>
      </c>
      <c r="D8" s="38"/>
      <c r="E8" s="38" t="s">
        <v>2</v>
      </c>
      <c r="F8" s="38"/>
      <c r="G8" s="38" t="s">
        <v>2</v>
      </c>
      <c r="H8" s="38"/>
      <c r="J8" s="47" t="s">
        <v>4</v>
      </c>
      <c r="K8">
        <f t="shared" si="3"/>
        <v>0</v>
      </c>
      <c r="L8" s="35">
        <f t="shared" si="2"/>
        <v>0</v>
      </c>
    </row>
    <row r="9" spans="1:13" x14ac:dyDescent="0.25">
      <c r="A9" s="4">
        <v>5</v>
      </c>
      <c r="B9" s="38" t="s">
        <v>2</v>
      </c>
      <c r="C9" s="38"/>
      <c r="D9" s="38" t="s">
        <v>2</v>
      </c>
      <c r="E9" s="38"/>
      <c r="F9" s="38"/>
      <c r="G9" s="38" t="s">
        <v>2</v>
      </c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3" x14ac:dyDescent="0.25">
      <c r="A10" s="4">
        <v>6</v>
      </c>
      <c r="B10" s="38" t="s">
        <v>2</v>
      </c>
      <c r="C10" s="38"/>
      <c r="D10" s="38" t="s">
        <v>2</v>
      </c>
      <c r="E10" s="38"/>
      <c r="F10" s="38"/>
      <c r="G10" s="38" t="s">
        <v>2</v>
      </c>
      <c r="H10" s="38"/>
      <c r="J10" s="43" t="s">
        <v>7</v>
      </c>
      <c r="K10">
        <f t="shared" si="3"/>
        <v>9</v>
      </c>
      <c r="L10" s="37">
        <f t="shared" si="2"/>
        <v>6.0402684563758392E-2</v>
      </c>
    </row>
    <row r="11" spans="1:13" x14ac:dyDescent="0.25">
      <c r="A11" s="4">
        <v>7</v>
      </c>
      <c r="B11" s="38" t="s">
        <v>2</v>
      </c>
      <c r="C11" s="38"/>
      <c r="D11" s="38" t="s">
        <v>7</v>
      </c>
      <c r="E11" s="38"/>
      <c r="F11" s="38" t="s">
        <v>2</v>
      </c>
      <c r="G11" s="38"/>
      <c r="H11" s="38"/>
      <c r="J11" s="44" t="s">
        <v>17</v>
      </c>
      <c r="K11">
        <f>SUM(K5:K10)</f>
        <v>149</v>
      </c>
    </row>
    <row r="12" spans="1:13" x14ac:dyDescent="0.25">
      <c r="A12" s="4">
        <v>8</v>
      </c>
      <c r="B12" s="38"/>
      <c r="C12" s="38" t="s">
        <v>2</v>
      </c>
      <c r="D12" s="38" t="s">
        <v>2</v>
      </c>
      <c r="E12" s="38" t="s">
        <v>7</v>
      </c>
      <c r="F12" s="38" t="s">
        <v>7</v>
      </c>
      <c r="G12" s="38" t="s">
        <v>2</v>
      </c>
      <c r="H12" s="38"/>
    </row>
    <row r="13" spans="1:13" x14ac:dyDescent="0.25">
      <c r="A13" s="4">
        <v>9</v>
      </c>
      <c r="B13" s="38"/>
      <c r="C13" s="38" t="s">
        <v>2</v>
      </c>
      <c r="D13" s="38"/>
      <c r="E13" s="38" t="s">
        <v>2</v>
      </c>
      <c r="F13" s="38"/>
      <c r="G13" s="38" t="s">
        <v>2</v>
      </c>
      <c r="H13" s="38"/>
    </row>
    <row r="14" spans="1:13" x14ac:dyDescent="0.25">
      <c r="A14" s="4">
        <v>10</v>
      </c>
      <c r="B14" s="38"/>
      <c r="C14" s="38" t="s">
        <v>2</v>
      </c>
      <c r="D14" s="38" t="s">
        <v>2</v>
      </c>
      <c r="E14" s="38"/>
      <c r="F14" s="38" t="s">
        <v>7</v>
      </c>
      <c r="G14" s="38" t="s">
        <v>7</v>
      </c>
      <c r="H14" s="38"/>
    </row>
    <row r="15" spans="1:13" x14ac:dyDescent="0.25">
      <c r="A15" s="4">
        <v>11</v>
      </c>
      <c r="B15" s="38"/>
      <c r="C15" s="38" t="s">
        <v>2</v>
      </c>
      <c r="D15" s="38"/>
      <c r="E15" s="38"/>
      <c r="F15" s="38" t="s">
        <v>2</v>
      </c>
      <c r="G15" s="38"/>
      <c r="H15" s="38" t="s">
        <v>2</v>
      </c>
    </row>
    <row r="16" spans="1:13" x14ac:dyDescent="0.25">
      <c r="A16" s="4">
        <v>12</v>
      </c>
      <c r="B16" s="38"/>
      <c r="C16" s="38" t="s">
        <v>2</v>
      </c>
      <c r="D16" s="38"/>
      <c r="E16" s="38" t="s">
        <v>2</v>
      </c>
      <c r="F16" s="38"/>
      <c r="G16" s="38" t="s">
        <v>2</v>
      </c>
      <c r="H16" s="38"/>
    </row>
    <row r="17" spans="1:8" x14ac:dyDescent="0.25">
      <c r="A17" s="4">
        <v>13</v>
      </c>
      <c r="B17" s="38" t="s">
        <v>2</v>
      </c>
      <c r="C17" s="38"/>
      <c r="D17" s="38" t="s">
        <v>2</v>
      </c>
      <c r="E17" s="38"/>
      <c r="F17" s="38" t="s">
        <v>5</v>
      </c>
      <c r="G17" s="38"/>
      <c r="H17" s="38" t="s">
        <v>2</v>
      </c>
    </row>
    <row r="18" spans="1:8" x14ac:dyDescent="0.25">
      <c r="A18" s="4">
        <v>14</v>
      </c>
      <c r="B18" s="38"/>
      <c r="C18" s="38" t="s">
        <v>2</v>
      </c>
      <c r="D18" s="38"/>
      <c r="E18" s="38"/>
      <c r="F18" s="38"/>
      <c r="G18" s="38" t="s">
        <v>5</v>
      </c>
      <c r="H18" s="38"/>
    </row>
    <row r="19" spans="1:8" x14ac:dyDescent="0.25">
      <c r="A19" s="4">
        <v>15</v>
      </c>
      <c r="B19" s="38" t="s">
        <v>2</v>
      </c>
      <c r="C19" s="38"/>
      <c r="D19" s="38"/>
      <c r="E19" s="38"/>
      <c r="F19" s="38" t="s">
        <v>2</v>
      </c>
      <c r="G19" s="38" t="s">
        <v>2</v>
      </c>
      <c r="H19" s="38"/>
    </row>
    <row r="20" spans="1:8" x14ac:dyDescent="0.25">
      <c r="A20" s="4">
        <v>16</v>
      </c>
      <c r="B20" s="38" t="s">
        <v>5</v>
      </c>
      <c r="C20" s="38"/>
      <c r="D20" s="38"/>
      <c r="E20" s="38"/>
      <c r="F20" s="38" t="s">
        <v>2</v>
      </c>
      <c r="G20" s="38"/>
      <c r="H20" s="38"/>
    </row>
    <row r="21" spans="1:8" x14ac:dyDescent="0.25">
      <c r="A21" s="4">
        <v>17</v>
      </c>
      <c r="B21" s="38"/>
      <c r="C21" s="38"/>
      <c r="D21" s="38"/>
      <c r="E21" s="38" t="s">
        <v>2</v>
      </c>
      <c r="F21" s="38"/>
      <c r="G21" s="38"/>
      <c r="H21" s="38"/>
    </row>
    <row r="22" spans="1:8" x14ac:dyDescent="0.25">
      <c r="A22" s="4">
        <v>18</v>
      </c>
      <c r="B22" s="38"/>
      <c r="C22" s="38"/>
      <c r="D22" s="38"/>
      <c r="E22" s="38"/>
      <c r="F22" s="38"/>
      <c r="G22" s="38"/>
      <c r="H22" s="38"/>
    </row>
    <row r="23" spans="1:8" x14ac:dyDescent="0.25">
      <c r="A23" s="4">
        <v>19</v>
      </c>
      <c r="B23" s="38"/>
      <c r="C23" s="38" t="s">
        <v>2</v>
      </c>
      <c r="D23" s="38" t="s">
        <v>2</v>
      </c>
      <c r="E23" s="38" t="s">
        <v>2</v>
      </c>
      <c r="F23" s="38" t="s">
        <v>2</v>
      </c>
      <c r="G23" s="38"/>
      <c r="H23" s="38" t="s">
        <v>2</v>
      </c>
    </row>
    <row r="24" spans="1:8" x14ac:dyDescent="0.25">
      <c r="A24" s="4">
        <v>20</v>
      </c>
      <c r="B24" s="38"/>
      <c r="C24" s="38"/>
      <c r="D24" s="38"/>
      <c r="E24" s="38"/>
      <c r="F24" s="38"/>
      <c r="G24" s="38"/>
      <c r="H24" s="38"/>
    </row>
    <row r="25" spans="1:8" x14ac:dyDescent="0.25">
      <c r="A25" s="4">
        <v>21</v>
      </c>
      <c r="B25" s="38" t="s">
        <v>2</v>
      </c>
      <c r="C25" s="38" t="s">
        <v>2</v>
      </c>
      <c r="D25" s="38"/>
      <c r="E25" s="38"/>
      <c r="F25" s="38"/>
      <c r="G25" s="38" t="s">
        <v>2</v>
      </c>
      <c r="H25" s="38" t="s">
        <v>2</v>
      </c>
    </row>
    <row r="26" spans="1:8" x14ac:dyDescent="0.25">
      <c r="A26" s="4">
        <v>22</v>
      </c>
      <c r="B26" s="38"/>
      <c r="C26" s="38"/>
      <c r="D26" s="38"/>
      <c r="E26" s="38"/>
      <c r="F26" s="38"/>
      <c r="G26" s="38"/>
      <c r="H26" s="38"/>
    </row>
    <row r="27" spans="1:8" x14ac:dyDescent="0.25">
      <c r="A27" s="4">
        <v>23</v>
      </c>
      <c r="B27" s="38"/>
      <c r="C27" s="38"/>
      <c r="D27" s="38"/>
      <c r="E27" s="38"/>
      <c r="F27" s="38"/>
      <c r="G27" s="38"/>
      <c r="H27" s="38"/>
    </row>
    <row r="28" spans="1:8" x14ac:dyDescent="0.25">
      <c r="A28" s="4">
        <v>24</v>
      </c>
      <c r="B28" s="38"/>
      <c r="C28" s="38"/>
      <c r="D28" s="38"/>
      <c r="E28" s="38"/>
      <c r="F28" s="38"/>
      <c r="G28" s="38"/>
      <c r="H28" s="38"/>
    </row>
    <row r="29" spans="1:8" x14ac:dyDescent="0.25">
      <c r="A29" s="4">
        <v>25</v>
      </c>
      <c r="B29" s="38" t="s">
        <v>2</v>
      </c>
      <c r="C29" s="38"/>
      <c r="D29" s="38" t="s">
        <v>5</v>
      </c>
      <c r="E29" s="38"/>
      <c r="F29" s="38" t="s">
        <v>5</v>
      </c>
      <c r="G29" s="38"/>
      <c r="H29" s="38" t="s">
        <v>2</v>
      </c>
    </row>
    <row r="30" spans="1:8" x14ac:dyDescent="0.25">
      <c r="A30" s="4">
        <v>26</v>
      </c>
      <c r="B30" s="38" t="s">
        <v>2</v>
      </c>
      <c r="C30" s="38"/>
      <c r="D30" s="38"/>
      <c r="E30" s="38"/>
      <c r="F30" s="38"/>
      <c r="G30" s="38"/>
      <c r="H30" s="38"/>
    </row>
    <row r="31" spans="1:8" x14ac:dyDescent="0.25">
      <c r="A31" s="4">
        <v>27</v>
      </c>
      <c r="B31" s="38"/>
      <c r="C31" s="38"/>
      <c r="D31" s="38"/>
      <c r="E31" s="38"/>
      <c r="F31" s="38"/>
      <c r="G31" s="38"/>
      <c r="H31" s="38"/>
    </row>
    <row r="32" spans="1:8" x14ac:dyDescent="0.25">
      <c r="A32" s="4">
        <v>28</v>
      </c>
      <c r="B32" s="38"/>
      <c r="C32" s="38"/>
      <c r="D32" s="38"/>
      <c r="E32" s="38"/>
      <c r="F32" s="38"/>
      <c r="G32" s="38"/>
      <c r="H32" s="38"/>
    </row>
    <row r="33" spans="1:8" x14ac:dyDescent="0.25">
      <c r="A33" s="4">
        <v>29</v>
      </c>
      <c r="B33" s="38"/>
      <c r="C33" s="38" t="s">
        <v>2</v>
      </c>
      <c r="D33" s="38"/>
      <c r="E33" s="38" t="s">
        <v>2</v>
      </c>
      <c r="F33" s="38"/>
      <c r="G33" s="38" t="s">
        <v>2</v>
      </c>
      <c r="H33" s="38"/>
    </row>
    <row r="34" spans="1:8" x14ac:dyDescent="0.25">
      <c r="A34" s="4">
        <v>30</v>
      </c>
      <c r="B34" s="38"/>
      <c r="C34" s="38"/>
      <c r="D34" s="38"/>
      <c r="E34" s="38"/>
      <c r="F34" s="38"/>
      <c r="G34" s="38"/>
      <c r="H34" s="38"/>
    </row>
    <row r="35" spans="1:8" x14ac:dyDescent="0.25">
      <c r="A35" s="4">
        <v>31</v>
      </c>
      <c r="B35" s="38"/>
      <c r="C35" s="38"/>
      <c r="D35" s="38"/>
      <c r="E35" s="38"/>
      <c r="F35" s="38"/>
      <c r="G35" s="38"/>
      <c r="H35" s="38"/>
    </row>
    <row r="36" spans="1:8" x14ac:dyDescent="0.25">
      <c r="A36" s="4">
        <v>32</v>
      </c>
      <c r="B36" s="38" t="s">
        <v>2</v>
      </c>
      <c r="C36" s="38"/>
      <c r="D36" s="38"/>
      <c r="E36" s="38"/>
      <c r="F36" s="38"/>
      <c r="G36" s="38"/>
      <c r="H36" s="38"/>
    </row>
    <row r="37" spans="1:8" x14ac:dyDescent="0.25">
      <c r="A37" s="4">
        <v>33</v>
      </c>
      <c r="B37" s="38"/>
      <c r="C37" s="38"/>
      <c r="D37" s="38"/>
      <c r="E37" s="38"/>
      <c r="F37" s="38"/>
      <c r="G37" s="38"/>
      <c r="H37" s="38"/>
    </row>
    <row r="38" spans="1:8" x14ac:dyDescent="0.25">
      <c r="A38" s="4">
        <v>34</v>
      </c>
      <c r="B38" s="38"/>
      <c r="C38" s="38"/>
      <c r="D38" s="38"/>
      <c r="E38" s="38" t="s">
        <v>2</v>
      </c>
      <c r="F38" s="38" t="s">
        <v>2</v>
      </c>
      <c r="G38" s="38"/>
      <c r="H38" s="38"/>
    </row>
    <row r="39" spans="1:8" x14ac:dyDescent="0.25">
      <c r="A39" s="4">
        <v>35</v>
      </c>
      <c r="B39" s="38" t="s">
        <v>2</v>
      </c>
      <c r="C39" s="38"/>
      <c r="D39" s="38"/>
      <c r="E39" s="38"/>
      <c r="F39" s="38"/>
      <c r="G39" s="38" t="s">
        <v>2</v>
      </c>
      <c r="H39" s="38"/>
    </row>
    <row r="40" spans="1:8" x14ac:dyDescent="0.25">
      <c r="A40" s="4">
        <v>36</v>
      </c>
      <c r="B40" s="38"/>
      <c r="C40" s="38" t="s">
        <v>2</v>
      </c>
      <c r="D40" s="38"/>
      <c r="E40" s="38"/>
      <c r="F40" s="38"/>
      <c r="G40" s="38"/>
      <c r="H40" s="38" t="s">
        <v>2</v>
      </c>
    </row>
    <row r="41" spans="1:8" x14ac:dyDescent="0.25">
      <c r="A41" s="4">
        <v>37</v>
      </c>
      <c r="B41" s="38"/>
      <c r="C41" s="38"/>
      <c r="D41" s="38" t="s">
        <v>2</v>
      </c>
      <c r="E41" s="38"/>
      <c r="F41" s="38"/>
      <c r="G41" s="38" t="s">
        <v>2</v>
      </c>
      <c r="H41" s="38"/>
    </row>
    <row r="42" spans="1:8" x14ac:dyDescent="0.25">
      <c r="A42" s="4">
        <v>38</v>
      </c>
      <c r="B42" s="38" t="s">
        <v>2</v>
      </c>
      <c r="C42" s="38"/>
      <c r="D42" s="38"/>
      <c r="E42" s="38"/>
      <c r="F42" s="38" t="s">
        <v>7</v>
      </c>
      <c r="G42" s="38" t="s">
        <v>2</v>
      </c>
      <c r="H42" s="38"/>
    </row>
    <row r="43" spans="1:8" x14ac:dyDescent="0.25">
      <c r="A43" s="4">
        <v>39</v>
      </c>
      <c r="B43" s="38" t="s">
        <v>2</v>
      </c>
      <c r="C43" s="38"/>
      <c r="D43" s="38"/>
      <c r="E43" s="38"/>
      <c r="F43" s="38"/>
      <c r="G43" s="38" t="s">
        <v>6</v>
      </c>
      <c r="H43" s="38"/>
    </row>
    <row r="44" spans="1:8" x14ac:dyDescent="0.25">
      <c r="A44" s="4">
        <v>40</v>
      </c>
      <c r="B44" s="38" t="s">
        <v>2</v>
      </c>
      <c r="C44" s="38"/>
      <c r="D44" s="38"/>
      <c r="E44" s="38"/>
      <c r="F44" s="38" t="s">
        <v>7</v>
      </c>
      <c r="G44" s="38"/>
      <c r="H44" s="38"/>
    </row>
    <row r="45" spans="1:8" x14ac:dyDescent="0.25">
      <c r="A45" s="4">
        <v>41</v>
      </c>
      <c r="B45" s="38"/>
      <c r="C45" s="38"/>
      <c r="D45" s="38"/>
      <c r="E45" s="38"/>
      <c r="F45" s="38" t="s">
        <v>7</v>
      </c>
      <c r="G45" s="38"/>
      <c r="H45" s="38"/>
    </row>
    <row r="46" spans="1:8" x14ac:dyDescent="0.25">
      <c r="A46" s="4">
        <v>42</v>
      </c>
      <c r="B46" s="38" t="s">
        <v>2</v>
      </c>
      <c r="C46" s="38"/>
      <c r="D46" s="38"/>
      <c r="E46" s="38"/>
      <c r="F46" s="38" t="s">
        <v>2</v>
      </c>
      <c r="G46" s="38" t="s">
        <v>2</v>
      </c>
      <c r="H46" s="38"/>
    </row>
    <row r="47" spans="1:8" x14ac:dyDescent="0.25">
      <c r="A47" s="4">
        <v>43</v>
      </c>
      <c r="B47" s="38"/>
      <c r="C47" s="38"/>
      <c r="D47" s="38"/>
      <c r="E47" s="38"/>
      <c r="F47" s="38"/>
      <c r="G47" s="38"/>
      <c r="H47" s="38"/>
    </row>
    <row r="48" spans="1:8" x14ac:dyDescent="0.25">
      <c r="A48" s="4">
        <v>44</v>
      </c>
      <c r="B48" s="38"/>
      <c r="C48" s="38"/>
      <c r="D48" s="38"/>
      <c r="E48" s="38"/>
      <c r="F48" s="38"/>
      <c r="G48" s="38"/>
      <c r="H48" s="38"/>
    </row>
    <row r="49" spans="1:8" x14ac:dyDescent="0.25">
      <c r="A49" s="4">
        <v>45</v>
      </c>
      <c r="B49" s="38"/>
      <c r="C49" s="38"/>
      <c r="D49" s="38"/>
      <c r="E49" s="38" t="s">
        <v>2</v>
      </c>
      <c r="F49" s="38"/>
      <c r="G49" s="38" t="s">
        <v>2</v>
      </c>
      <c r="H49" s="38"/>
    </row>
    <row r="50" spans="1:8" x14ac:dyDescent="0.25">
      <c r="A50" s="4">
        <v>46</v>
      </c>
      <c r="B50" s="38"/>
      <c r="C50" s="38"/>
      <c r="D50" s="38"/>
      <c r="E50" s="38"/>
      <c r="F50" s="38"/>
      <c r="G50" s="38"/>
      <c r="H50" s="38" t="s">
        <v>2</v>
      </c>
    </row>
    <row r="51" spans="1:8" x14ac:dyDescent="0.25">
      <c r="A51" s="4">
        <v>47</v>
      </c>
      <c r="B51" s="38"/>
      <c r="C51" s="38"/>
      <c r="D51" s="38"/>
      <c r="E51" s="38" t="s">
        <v>2</v>
      </c>
      <c r="F51" s="38"/>
      <c r="G51" s="38" t="s">
        <v>2</v>
      </c>
      <c r="H51" s="38"/>
    </row>
    <row r="52" spans="1:8" x14ac:dyDescent="0.25">
      <c r="A52" s="4">
        <v>48</v>
      </c>
      <c r="B52" s="38" t="s">
        <v>2</v>
      </c>
      <c r="C52" s="38" t="s">
        <v>2</v>
      </c>
      <c r="D52" s="38" t="s">
        <v>2</v>
      </c>
      <c r="E52" s="38" t="s">
        <v>5</v>
      </c>
      <c r="F52" s="38" t="s">
        <v>5</v>
      </c>
      <c r="G52" s="38" t="s">
        <v>2</v>
      </c>
      <c r="H52" s="38" t="s">
        <v>2</v>
      </c>
    </row>
    <row r="53" spans="1:8" x14ac:dyDescent="0.25">
      <c r="A53" s="4">
        <v>49</v>
      </c>
      <c r="B53" s="38" t="s">
        <v>7</v>
      </c>
      <c r="C53" s="38"/>
      <c r="D53" s="38" t="s">
        <v>2</v>
      </c>
      <c r="E53" s="38" t="s">
        <v>2</v>
      </c>
      <c r="F53" s="38" t="s">
        <v>2</v>
      </c>
      <c r="G53" s="38" t="s">
        <v>2</v>
      </c>
      <c r="H53" s="38" t="s">
        <v>2</v>
      </c>
    </row>
    <row r="54" spans="1:8" x14ac:dyDescent="0.25">
      <c r="A54" s="4">
        <v>50</v>
      </c>
      <c r="B54" s="38"/>
      <c r="C54" s="38"/>
      <c r="D54" s="38"/>
      <c r="E54" s="38"/>
      <c r="F54" s="38"/>
      <c r="G54" s="38"/>
      <c r="H54" s="38"/>
    </row>
    <row r="55" spans="1:8" x14ac:dyDescent="0.25">
      <c r="A55" s="4">
        <v>51</v>
      </c>
      <c r="B55" s="38"/>
      <c r="C55" s="38"/>
      <c r="D55" s="38"/>
      <c r="E55" s="38"/>
      <c r="F55" s="38"/>
      <c r="G55" s="38"/>
      <c r="H55" s="38"/>
    </row>
    <row r="56" spans="1:8" x14ac:dyDescent="0.25">
      <c r="A56" s="4">
        <v>52</v>
      </c>
      <c r="B56" s="38"/>
      <c r="C56" s="38"/>
      <c r="D56" s="38"/>
      <c r="E56" s="38"/>
      <c r="F56" s="38"/>
      <c r="G56" s="38"/>
      <c r="H56" s="38"/>
    </row>
    <row r="57" spans="1:8" x14ac:dyDescent="0.25">
      <c r="A57" s="4">
        <v>53</v>
      </c>
      <c r="B57" s="38"/>
      <c r="C57" s="38"/>
      <c r="D57" s="38"/>
      <c r="E57" s="38"/>
      <c r="F57" s="38"/>
      <c r="G57" s="38"/>
      <c r="H57" s="38"/>
    </row>
    <row r="58" spans="1:8" x14ac:dyDescent="0.25">
      <c r="A58" s="4">
        <v>54</v>
      </c>
      <c r="B58" s="38"/>
      <c r="C58" s="38"/>
      <c r="D58" s="38"/>
      <c r="E58" s="38"/>
      <c r="F58" s="38"/>
      <c r="G58" s="38"/>
      <c r="H58" s="38"/>
    </row>
    <row r="59" spans="1:8" x14ac:dyDescent="0.25">
      <c r="A59" s="4">
        <v>55</v>
      </c>
      <c r="B59" s="38"/>
      <c r="C59" s="38"/>
      <c r="D59" s="38"/>
      <c r="E59" s="38"/>
      <c r="F59" s="38"/>
      <c r="G59" s="38"/>
      <c r="H59" s="38"/>
    </row>
    <row r="60" spans="1:8" x14ac:dyDescent="0.25">
      <c r="A60" s="4">
        <v>56</v>
      </c>
      <c r="B60" s="38"/>
      <c r="C60" s="38"/>
      <c r="D60" s="38"/>
      <c r="E60" s="38"/>
      <c r="F60" s="38"/>
      <c r="G60" s="38"/>
      <c r="H60" s="38"/>
    </row>
    <row r="61" spans="1:8" x14ac:dyDescent="0.25">
      <c r="A61" s="18">
        <v>73</v>
      </c>
      <c r="B61" s="38"/>
      <c r="C61" s="38"/>
      <c r="D61" s="38"/>
      <c r="E61" s="38" t="s">
        <v>6</v>
      </c>
      <c r="F61" s="38"/>
      <c r="G61" s="38"/>
      <c r="H61" s="38"/>
    </row>
    <row r="62" spans="1:8" x14ac:dyDescent="0.25">
      <c r="A62" s="18">
        <v>74</v>
      </c>
      <c r="B62" s="38"/>
      <c r="C62" s="38"/>
      <c r="D62" s="38"/>
      <c r="E62" s="38" t="s">
        <v>2</v>
      </c>
      <c r="F62" s="38"/>
      <c r="G62" s="38"/>
      <c r="H62" s="38"/>
    </row>
    <row r="63" spans="1:8" x14ac:dyDescent="0.25">
      <c r="A63" s="18">
        <v>101</v>
      </c>
      <c r="B63" s="39"/>
      <c r="C63" s="38"/>
      <c r="D63" s="38" t="s">
        <v>2</v>
      </c>
      <c r="E63" s="38"/>
      <c r="F63" s="38"/>
      <c r="G63" s="38" t="s">
        <v>2</v>
      </c>
      <c r="H63" s="38"/>
    </row>
    <row r="64" spans="1:8" x14ac:dyDescent="0.25">
      <c r="A64" s="18">
        <v>102</v>
      </c>
      <c r="B64" s="38"/>
      <c r="C64" s="38"/>
      <c r="D64" s="38"/>
      <c r="E64" s="38"/>
      <c r="F64" s="38"/>
      <c r="G64" s="38"/>
      <c r="H64" s="38"/>
    </row>
    <row r="65" spans="1:8" x14ac:dyDescent="0.25">
      <c r="A65" s="18">
        <v>103</v>
      </c>
      <c r="B65" s="38"/>
      <c r="C65" s="38" t="s">
        <v>2</v>
      </c>
      <c r="D65" s="38" t="s">
        <v>2</v>
      </c>
      <c r="E65" s="38" t="s">
        <v>2</v>
      </c>
      <c r="F65" s="38"/>
      <c r="G65" s="38"/>
      <c r="H65" s="38"/>
    </row>
    <row r="66" spans="1:8" x14ac:dyDescent="0.25">
      <c r="A66" s="18">
        <v>104</v>
      </c>
      <c r="B66" s="38"/>
      <c r="C66" s="38"/>
      <c r="D66" s="38"/>
      <c r="E66" s="38"/>
      <c r="F66" s="38" t="s">
        <v>2</v>
      </c>
      <c r="G66" s="38"/>
      <c r="H66" s="38" t="s">
        <v>2</v>
      </c>
    </row>
    <row r="67" spans="1:8" x14ac:dyDescent="0.25">
      <c r="A67" s="18">
        <v>105</v>
      </c>
      <c r="B67" s="38"/>
      <c r="C67" s="38"/>
      <c r="D67" s="38"/>
      <c r="E67" s="38"/>
      <c r="F67" s="38"/>
      <c r="G67" s="38"/>
      <c r="H67" s="38"/>
    </row>
    <row r="68" spans="1:8" x14ac:dyDescent="0.25">
      <c r="A68" s="18">
        <v>106</v>
      </c>
      <c r="B68" s="38" t="s">
        <v>2</v>
      </c>
      <c r="C68" s="38"/>
      <c r="D68" s="38"/>
      <c r="E68" s="38"/>
      <c r="F68" s="38"/>
      <c r="G68" s="38" t="s">
        <v>2</v>
      </c>
      <c r="H68" s="38"/>
    </row>
    <row r="69" spans="1:8" x14ac:dyDescent="0.25">
      <c r="A69" s="18">
        <v>107</v>
      </c>
      <c r="B69" s="38"/>
      <c r="C69" s="38"/>
      <c r="D69" s="38"/>
      <c r="E69" s="38"/>
      <c r="F69" s="38"/>
      <c r="G69" s="38"/>
      <c r="H69" s="38"/>
    </row>
    <row r="70" spans="1:8" x14ac:dyDescent="0.25">
      <c r="A70" s="18">
        <v>108</v>
      </c>
      <c r="B70" s="38"/>
      <c r="C70" s="38"/>
      <c r="D70" s="38"/>
      <c r="E70" s="38"/>
      <c r="F70" s="38"/>
      <c r="G70" s="38"/>
      <c r="H70" s="38"/>
    </row>
    <row r="71" spans="1:8" x14ac:dyDescent="0.25">
      <c r="A71" s="18">
        <v>109</v>
      </c>
      <c r="B71" s="38"/>
      <c r="C71" s="38"/>
      <c r="D71" s="38"/>
      <c r="E71" s="38"/>
      <c r="F71" s="38"/>
      <c r="G71" s="38"/>
      <c r="H71" s="38"/>
    </row>
    <row r="72" spans="1:8" x14ac:dyDescent="0.25">
      <c r="A72" s="18">
        <v>110</v>
      </c>
      <c r="B72" s="38"/>
      <c r="C72" s="38"/>
      <c r="D72" s="38"/>
      <c r="E72" s="38"/>
      <c r="F72" s="38"/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 t="s">
        <v>2</v>
      </c>
      <c r="E74" s="38" t="s">
        <v>5</v>
      </c>
      <c r="F74" s="38"/>
      <c r="G74" s="38" t="s">
        <v>2</v>
      </c>
      <c r="H74" s="38" t="s">
        <v>2</v>
      </c>
    </row>
    <row r="75" spans="1:8" x14ac:dyDescent="0.25">
      <c r="A75" s="18">
        <v>113</v>
      </c>
      <c r="B75" s="38" t="s">
        <v>2</v>
      </c>
      <c r="C75" s="38" t="s">
        <v>2</v>
      </c>
      <c r="D75" s="38" t="s">
        <v>2</v>
      </c>
      <c r="E75" s="38"/>
      <c r="F75" s="38"/>
      <c r="G75" s="38" t="s">
        <v>2</v>
      </c>
      <c r="H75" s="38" t="s">
        <v>2</v>
      </c>
    </row>
    <row r="76" spans="1:8" x14ac:dyDescent="0.25">
      <c r="A76" s="18">
        <v>114</v>
      </c>
      <c r="B76" s="38" t="s">
        <v>2</v>
      </c>
      <c r="C76" s="38"/>
      <c r="D76" s="38" t="s">
        <v>2</v>
      </c>
      <c r="E76" s="38" t="s">
        <v>2</v>
      </c>
      <c r="F76" s="38" t="s">
        <v>2</v>
      </c>
      <c r="G76" s="38" t="s">
        <v>2</v>
      </c>
      <c r="H76" s="38" t="s">
        <v>2</v>
      </c>
    </row>
    <row r="77" spans="1:8" x14ac:dyDescent="0.25">
      <c r="A77" s="18">
        <v>115</v>
      </c>
      <c r="B77" s="38"/>
      <c r="C77" s="38"/>
      <c r="D77" s="38"/>
      <c r="E77" s="38"/>
      <c r="F77" s="38"/>
      <c r="G77" s="38"/>
      <c r="H77" s="38"/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18">
        <v>120</v>
      </c>
      <c r="B82" s="38"/>
      <c r="C82" s="38" t="s">
        <v>2</v>
      </c>
      <c r="D82" s="38"/>
      <c r="E82" s="38" t="s">
        <v>2</v>
      </c>
      <c r="F82" s="38"/>
      <c r="G82" s="38" t="s">
        <v>2</v>
      </c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 t="s">
        <v>2</v>
      </c>
      <c r="C84" s="38"/>
      <c r="D84" s="38" t="s">
        <v>2</v>
      </c>
      <c r="E84" s="38"/>
      <c r="F84" s="38" t="s">
        <v>6</v>
      </c>
      <c r="G84" s="38"/>
      <c r="H84" s="38" t="s">
        <v>2</v>
      </c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 t="s">
        <v>2</v>
      </c>
      <c r="D86" s="38"/>
      <c r="E86" s="38" t="s">
        <v>2</v>
      </c>
      <c r="F86" s="38" t="s">
        <v>6</v>
      </c>
      <c r="G86" s="38"/>
      <c r="H86" s="38" t="s">
        <v>2</v>
      </c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/>
      <c r="D90" s="38"/>
      <c r="E90" s="38"/>
      <c r="F90" s="38"/>
      <c r="G90" s="38"/>
      <c r="H90" s="38"/>
    </row>
    <row r="91" spans="1:8" x14ac:dyDescent="0.25">
      <c r="A91" s="18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18">
        <v>130</v>
      </c>
      <c r="B92" s="38" t="s">
        <v>2</v>
      </c>
      <c r="C92" s="38"/>
      <c r="D92" s="38"/>
      <c r="E92" s="38"/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 t="s">
        <v>2</v>
      </c>
      <c r="C95" s="38" t="s">
        <v>2</v>
      </c>
      <c r="D95" s="38" t="s">
        <v>2</v>
      </c>
      <c r="E95" s="38" t="s">
        <v>2</v>
      </c>
      <c r="F95" s="38" t="s">
        <v>2</v>
      </c>
      <c r="G95" s="38" t="s">
        <v>2</v>
      </c>
      <c r="H95" s="38" t="s">
        <v>2</v>
      </c>
    </row>
  </sheetData>
  <mergeCells count="1">
    <mergeCell ref="A1:H2"/>
  </mergeCells>
  <conditionalFormatting sqref="B61:I62 I5:I60 B63:H95">
    <cfRule type="cellIs" dxfId="803" priority="18" operator="equal">
      <formula>"Energia"</formula>
    </cfRule>
    <cfRule type="cellIs" dxfId="802" priority="20" operator="equal">
      <formula>"Operação"</formula>
    </cfRule>
    <cfRule type="cellIs" dxfId="801" priority="21" operator="equal">
      <formula>"Chuva"</formula>
    </cfRule>
    <cfRule type="cellIs" dxfId="800" priority="22" operator="equal">
      <formula>"Elétrico"</formula>
    </cfRule>
    <cfRule type="cellIs" dxfId="799" priority="23" operator="equal">
      <formula>"Mecânico"</formula>
    </cfRule>
    <cfRule type="cellIs" dxfId="798" priority="24" operator="equal">
      <formula>"Ok"</formula>
    </cfRule>
  </conditionalFormatting>
  <conditionalFormatting sqref="B61:I62 I5:I60 B63:H95">
    <cfRule type="cellIs" dxfId="797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796" priority="16" operator="equal">
      <formula>"Energia"</formula>
    </cfRule>
  </conditionalFormatting>
  <conditionalFormatting sqref="B5:E60 G5:H60">
    <cfRule type="cellIs" dxfId="795" priority="9" operator="equal">
      <formula>"Energia"</formula>
    </cfRule>
    <cfRule type="cellIs" dxfId="794" priority="11" operator="equal">
      <formula>"Operação"</formula>
    </cfRule>
    <cfRule type="cellIs" dxfId="793" priority="12" operator="equal">
      <formula>"Chuva"</formula>
    </cfRule>
    <cfRule type="cellIs" dxfId="792" priority="13" operator="equal">
      <formula>"Elétrico"</formula>
    </cfRule>
    <cfRule type="cellIs" dxfId="791" priority="14" operator="equal">
      <formula>"Mecânico"</formula>
    </cfRule>
    <cfRule type="cellIs" dxfId="790" priority="15" operator="equal">
      <formula>"Ok"</formula>
    </cfRule>
  </conditionalFormatting>
  <conditionalFormatting sqref="B5:E60 G5:H60">
    <cfRule type="cellIs" dxfId="789" priority="10" operator="equal">
      <formula>"Feito"</formula>
    </cfRule>
  </conditionalFormatting>
  <conditionalFormatting sqref="F5:F11">
    <cfRule type="cellIs" dxfId="788" priority="8" operator="equal">
      <formula>"Energia"</formula>
    </cfRule>
  </conditionalFormatting>
  <conditionalFormatting sqref="F5:F60">
    <cfRule type="cellIs" dxfId="787" priority="1" operator="equal">
      <formula>"Energia"</formula>
    </cfRule>
    <cfRule type="cellIs" dxfId="786" priority="3" operator="equal">
      <formula>"Operação"</formula>
    </cfRule>
    <cfRule type="cellIs" dxfId="785" priority="4" operator="equal">
      <formula>"Chuva"</formula>
    </cfRule>
    <cfRule type="cellIs" dxfId="784" priority="5" operator="equal">
      <formula>"Elétrico"</formula>
    </cfRule>
    <cfRule type="cellIs" dxfId="783" priority="6" operator="equal">
      <formula>"Mecânico"</formula>
    </cfRule>
    <cfRule type="cellIs" dxfId="782" priority="7" operator="equal">
      <formula>"Ok"</formula>
    </cfRule>
  </conditionalFormatting>
  <conditionalFormatting sqref="F5:F60">
    <cfRule type="cellIs" dxfId="781" priority="2" operator="equal">
      <formula>"Feito"</formula>
    </cfRule>
  </conditionalFormatting>
  <dataValidations count="1">
    <dataValidation type="list" allowBlank="1" showInputMessage="1" showErrorMessage="1" sqref="B61:I62 B5:I26 B27:J60 B63:H95" xr:uid="{22311368-1E47-458A-8AC7-64FA7418A1A2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AF79-273B-4A84-B9F3-EBF523019A58}">
  <sheetPr>
    <tabColor theme="8"/>
  </sheetPr>
  <dimension ref="A1:M95"/>
  <sheetViews>
    <sheetView zoomScale="115" zoomScaleNormal="115" workbookViewId="0">
      <pane ySplit="4" topLeftCell="A5" activePane="bottomLeft" state="frozen"/>
      <selection pane="bottomLeft" activeCell="L16" sqref="L1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3" max="13" width="11.85546875" bestFit="1" customWidth="1"/>
    <col min="17" max="17" width="8.5703125" customWidth="1"/>
  </cols>
  <sheetData>
    <row r="1" spans="1:13" x14ac:dyDescent="0.25">
      <c r="A1" s="70" t="s">
        <v>31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4" t="s">
        <v>16</v>
      </c>
      <c r="B3" s="23">
        <v>44746</v>
      </c>
      <c r="C3" s="23">
        <f>B3+1</f>
        <v>44747</v>
      </c>
      <c r="D3" s="23">
        <f t="shared" ref="D3:H3" si="0">C3+1</f>
        <v>44748</v>
      </c>
      <c r="E3" s="23">
        <f t="shared" si="0"/>
        <v>44749</v>
      </c>
      <c r="F3" s="23">
        <f t="shared" si="0"/>
        <v>44750</v>
      </c>
      <c r="G3" s="23">
        <f t="shared" si="0"/>
        <v>44751</v>
      </c>
      <c r="H3" s="25">
        <f t="shared" si="0"/>
        <v>44752</v>
      </c>
      <c r="I3" s="3"/>
    </row>
    <row r="4" spans="1:13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</row>
    <row r="5" spans="1:13" x14ac:dyDescent="0.25">
      <c r="A5" s="4">
        <v>1</v>
      </c>
      <c r="B5" s="38"/>
      <c r="C5" s="38"/>
      <c r="D5" s="38"/>
      <c r="E5" s="38"/>
      <c r="F5" s="38"/>
      <c r="G5" s="38"/>
      <c r="H5" s="38"/>
      <c r="J5" s="48" t="s">
        <v>2</v>
      </c>
      <c r="K5">
        <f>COUNTIF($B$5:$H$95,J5)</f>
        <v>140</v>
      </c>
      <c r="L5" s="34">
        <f t="shared" ref="L5:L10" si="2">K5/$K$11</f>
        <v>0.91503267973856206</v>
      </c>
      <c r="M5" s="52">
        <f>B3</f>
        <v>44746</v>
      </c>
    </row>
    <row r="6" spans="1:13" x14ac:dyDescent="0.25">
      <c r="A6" s="4">
        <v>2</v>
      </c>
      <c r="B6" s="38"/>
      <c r="C6" s="38" t="s">
        <v>2</v>
      </c>
      <c r="D6" s="38" t="s">
        <v>2</v>
      </c>
      <c r="E6" s="38" t="s">
        <v>2</v>
      </c>
      <c r="F6" s="38"/>
      <c r="G6" s="38" t="s">
        <v>2</v>
      </c>
      <c r="H6" s="38" t="s">
        <v>2</v>
      </c>
      <c r="J6" s="42" t="s">
        <v>5</v>
      </c>
      <c r="K6">
        <f>COUNTIF($B$5:$H$95,J6)</f>
        <v>1</v>
      </c>
      <c r="L6" s="35">
        <f t="shared" si="2"/>
        <v>6.5359477124183009E-3</v>
      </c>
    </row>
    <row r="7" spans="1:13" x14ac:dyDescent="0.25">
      <c r="A7" s="4">
        <v>3</v>
      </c>
      <c r="B7" s="38"/>
      <c r="C7" s="38" t="s">
        <v>7</v>
      </c>
      <c r="D7" s="38"/>
      <c r="E7" s="38"/>
      <c r="F7" s="38"/>
      <c r="G7" s="38"/>
      <c r="H7" s="38"/>
      <c r="J7" s="46" t="s">
        <v>6</v>
      </c>
      <c r="K7">
        <f t="shared" ref="K7:K10" si="3">COUNTIF($B$5:$H$95,J7)</f>
        <v>4</v>
      </c>
      <c r="L7" s="35">
        <f t="shared" si="2"/>
        <v>2.6143790849673203E-2</v>
      </c>
    </row>
    <row r="8" spans="1:13" x14ac:dyDescent="0.25">
      <c r="A8" s="4">
        <v>4</v>
      </c>
      <c r="B8" s="38"/>
      <c r="C8" s="38"/>
      <c r="D8" s="38"/>
      <c r="E8" s="38" t="s">
        <v>2</v>
      </c>
      <c r="F8" s="38"/>
      <c r="G8" s="38" t="s">
        <v>2</v>
      </c>
      <c r="H8" s="38"/>
      <c r="J8" s="47" t="s">
        <v>4</v>
      </c>
      <c r="K8">
        <f t="shared" si="3"/>
        <v>0</v>
      </c>
      <c r="L8" s="35">
        <f t="shared" si="2"/>
        <v>0</v>
      </c>
    </row>
    <row r="9" spans="1:13" x14ac:dyDescent="0.25">
      <c r="A9" s="4">
        <v>5</v>
      </c>
      <c r="B9" s="38"/>
      <c r="C9" s="38" t="s">
        <v>2</v>
      </c>
      <c r="D9" s="38"/>
      <c r="E9" s="38"/>
      <c r="F9" s="38" t="s">
        <v>2</v>
      </c>
      <c r="G9" s="38"/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3" x14ac:dyDescent="0.25">
      <c r="A10" s="4">
        <v>6</v>
      </c>
      <c r="B10" s="38"/>
      <c r="C10" s="38" t="s">
        <v>2</v>
      </c>
      <c r="D10" s="38"/>
      <c r="E10" s="38"/>
      <c r="F10" s="38" t="s">
        <v>2</v>
      </c>
      <c r="G10" s="38"/>
      <c r="H10" s="38"/>
      <c r="J10" s="43" t="s">
        <v>7</v>
      </c>
      <c r="K10">
        <f t="shared" si="3"/>
        <v>8</v>
      </c>
      <c r="L10" s="37">
        <f t="shared" si="2"/>
        <v>5.2287581699346407E-2</v>
      </c>
    </row>
    <row r="11" spans="1:13" x14ac:dyDescent="0.25">
      <c r="A11" s="4">
        <v>7</v>
      </c>
      <c r="B11" s="38" t="s">
        <v>7</v>
      </c>
      <c r="C11" s="38" t="s">
        <v>2</v>
      </c>
      <c r="D11" s="38"/>
      <c r="E11" s="38" t="s">
        <v>2</v>
      </c>
      <c r="F11" s="38"/>
      <c r="G11" s="38"/>
      <c r="H11" s="38" t="s">
        <v>2</v>
      </c>
      <c r="J11" s="44" t="s">
        <v>17</v>
      </c>
      <c r="K11">
        <f>SUM(K5:K10)</f>
        <v>153</v>
      </c>
    </row>
    <row r="12" spans="1:13" x14ac:dyDescent="0.25">
      <c r="A12" s="4">
        <v>8</v>
      </c>
      <c r="B12" s="38" t="s">
        <v>2</v>
      </c>
      <c r="C12" s="38"/>
      <c r="D12" s="38"/>
      <c r="E12" s="38" t="s">
        <v>2</v>
      </c>
      <c r="F12" s="38"/>
      <c r="G12" s="38" t="s">
        <v>2</v>
      </c>
      <c r="H12" s="38"/>
    </row>
    <row r="13" spans="1:13" x14ac:dyDescent="0.25">
      <c r="A13" s="4">
        <v>9</v>
      </c>
      <c r="B13" s="38" t="s">
        <v>7</v>
      </c>
      <c r="C13" s="38" t="s">
        <v>7</v>
      </c>
      <c r="D13" s="38" t="s">
        <v>7</v>
      </c>
      <c r="E13" s="38" t="s">
        <v>2</v>
      </c>
      <c r="F13" s="38"/>
      <c r="G13" s="38"/>
      <c r="H13" s="38" t="s">
        <v>2</v>
      </c>
    </row>
    <row r="14" spans="1:13" x14ac:dyDescent="0.25">
      <c r="A14" s="4">
        <v>10</v>
      </c>
      <c r="B14" s="38"/>
      <c r="C14" s="38" t="s">
        <v>7</v>
      </c>
      <c r="D14" s="38"/>
      <c r="E14" s="38" t="s">
        <v>2</v>
      </c>
      <c r="F14" s="38" t="s">
        <v>2</v>
      </c>
      <c r="G14" s="38"/>
      <c r="H14" s="38" t="s">
        <v>2</v>
      </c>
    </row>
    <row r="15" spans="1:13" x14ac:dyDescent="0.25">
      <c r="A15" s="4">
        <v>11</v>
      </c>
      <c r="B15" s="38"/>
      <c r="C15" s="38" t="s">
        <v>2</v>
      </c>
      <c r="D15" s="38" t="s">
        <v>2</v>
      </c>
      <c r="E15" s="38" t="s">
        <v>2</v>
      </c>
      <c r="F15" s="38" t="s">
        <v>2</v>
      </c>
      <c r="G15" s="38"/>
      <c r="H15" s="38" t="s">
        <v>2</v>
      </c>
    </row>
    <row r="16" spans="1:13" x14ac:dyDescent="0.25">
      <c r="A16" s="4">
        <v>12</v>
      </c>
      <c r="B16" s="38" t="s">
        <v>2</v>
      </c>
      <c r="C16" s="38"/>
      <c r="D16" s="38" t="s">
        <v>2</v>
      </c>
      <c r="E16" s="38" t="s">
        <v>5</v>
      </c>
      <c r="F16" s="38" t="s">
        <v>2</v>
      </c>
      <c r="G16" s="38"/>
      <c r="H16" s="38" t="s">
        <v>2</v>
      </c>
    </row>
    <row r="17" spans="1:8" x14ac:dyDescent="0.25">
      <c r="A17" s="4">
        <v>13</v>
      </c>
      <c r="B17" s="38"/>
      <c r="C17" s="38" t="s">
        <v>2</v>
      </c>
      <c r="D17" s="38"/>
      <c r="E17" s="38"/>
      <c r="F17" s="38" t="s">
        <v>2</v>
      </c>
      <c r="G17" s="38"/>
      <c r="H17" s="38" t="s">
        <v>2</v>
      </c>
    </row>
    <row r="18" spans="1:8" x14ac:dyDescent="0.25">
      <c r="A18" s="4">
        <v>14</v>
      </c>
      <c r="B18" s="38" t="s">
        <v>2</v>
      </c>
      <c r="C18" s="38"/>
      <c r="D18" s="38"/>
      <c r="E18" s="38"/>
      <c r="F18" s="38" t="s">
        <v>2</v>
      </c>
      <c r="G18" s="38"/>
      <c r="H18" s="38" t="s">
        <v>2</v>
      </c>
    </row>
    <row r="19" spans="1:8" x14ac:dyDescent="0.25">
      <c r="A19" s="4">
        <v>15</v>
      </c>
      <c r="B19" s="38"/>
      <c r="C19" s="38" t="s">
        <v>7</v>
      </c>
      <c r="D19" s="38" t="s">
        <v>2</v>
      </c>
      <c r="E19" s="38"/>
      <c r="F19" s="38"/>
      <c r="G19" s="38"/>
      <c r="H19" s="38"/>
    </row>
    <row r="20" spans="1:8" x14ac:dyDescent="0.25">
      <c r="A20" s="4">
        <v>16</v>
      </c>
      <c r="B20" s="38"/>
      <c r="C20" s="38"/>
      <c r="D20" s="38"/>
      <c r="E20" s="38"/>
      <c r="F20" s="38"/>
      <c r="G20" s="38" t="s">
        <v>2</v>
      </c>
      <c r="H20" s="38"/>
    </row>
    <row r="21" spans="1:8" x14ac:dyDescent="0.25">
      <c r="A21" s="4">
        <v>17</v>
      </c>
      <c r="B21" s="38" t="s">
        <v>2</v>
      </c>
      <c r="C21" s="38"/>
      <c r="D21" s="38"/>
      <c r="E21" s="38"/>
      <c r="F21" s="38" t="s">
        <v>2</v>
      </c>
      <c r="G21" s="38"/>
      <c r="H21" s="38"/>
    </row>
    <row r="22" spans="1:8" x14ac:dyDescent="0.25">
      <c r="A22" s="4">
        <v>18</v>
      </c>
      <c r="B22" s="38"/>
      <c r="C22" s="38"/>
      <c r="D22" s="38"/>
      <c r="E22" s="38"/>
      <c r="F22" s="38"/>
      <c r="G22" s="38"/>
      <c r="H22" s="38"/>
    </row>
    <row r="23" spans="1:8" x14ac:dyDescent="0.25">
      <c r="A23" s="4">
        <v>19</v>
      </c>
      <c r="B23" s="38" t="s">
        <v>2</v>
      </c>
      <c r="C23" s="38" t="s">
        <v>6</v>
      </c>
      <c r="D23" s="38"/>
      <c r="E23" s="38" t="s">
        <v>2</v>
      </c>
      <c r="F23" s="38" t="s">
        <v>2</v>
      </c>
      <c r="G23" s="38" t="s">
        <v>2</v>
      </c>
      <c r="H23" s="38"/>
    </row>
    <row r="24" spans="1:8" x14ac:dyDescent="0.25">
      <c r="A24" s="4">
        <v>20</v>
      </c>
      <c r="B24" s="38"/>
      <c r="C24" s="38"/>
      <c r="D24" s="38"/>
      <c r="E24" s="38"/>
      <c r="F24" s="38"/>
      <c r="G24" s="38"/>
      <c r="H24" s="38"/>
    </row>
    <row r="25" spans="1:8" x14ac:dyDescent="0.25">
      <c r="A25" s="4">
        <v>21</v>
      </c>
      <c r="B25" s="38"/>
      <c r="C25" s="38"/>
      <c r="D25" s="38" t="s">
        <v>2</v>
      </c>
      <c r="E25" s="38" t="s">
        <v>2</v>
      </c>
      <c r="F25" s="38"/>
      <c r="G25" s="38"/>
      <c r="H25" s="38"/>
    </row>
    <row r="26" spans="1:8" x14ac:dyDescent="0.25">
      <c r="A26" s="4">
        <v>22</v>
      </c>
      <c r="B26" s="38"/>
      <c r="C26" s="38"/>
      <c r="D26" s="38"/>
      <c r="E26" s="38"/>
      <c r="F26" s="38"/>
      <c r="G26" s="38"/>
      <c r="H26" s="38"/>
    </row>
    <row r="27" spans="1:8" x14ac:dyDescent="0.25">
      <c r="A27" s="4">
        <v>23</v>
      </c>
      <c r="B27" s="38"/>
      <c r="C27" s="38"/>
      <c r="D27" s="38"/>
      <c r="E27" s="38"/>
      <c r="F27" s="38"/>
      <c r="G27" s="38"/>
      <c r="H27" s="38"/>
    </row>
    <row r="28" spans="1:8" x14ac:dyDescent="0.25">
      <c r="A28" s="4">
        <v>24</v>
      </c>
      <c r="B28" s="38"/>
      <c r="C28" s="38"/>
      <c r="D28" s="38"/>
      <c r="E28" s="38"/>
      <c r="F28" s="38"/>
      <c r="G28" s="38"/>
      <c r="H28" s="38"/>
    </row>
    <row r="29" spans="1:8" x14ac:dyDescent="0.25">
      <c r="A29" s="4">
        <v>25</v>
      </c>
      <c r="B29" s="38"/>
      <c r="C29" s="38" t="s">
        <v>2</v>
      </c>
      <c r="D29" s="38"/>
      <c r="E29" s="38" t="s">
        <v>2</v>
      </c>
      <c r="F29" s="38"/>
      <c r="G29" s="38" t="s">
        <v>2</v>
      </c>
      <c r="H29" s="38"/>
    </row>
    <row r="30" spans="1:8" x14ac:dyDescent="0.25">
      <c r="A30" s="4">
        <v>26</v>
      </c>
      <c r="B30" s="38"/>
      <c r="C30" s="38"/>
      <c r="D30" s="38"/>
      <c r="E30" s="38"/>
      <c r="F30" s="38"/>
      <c r="G30" s="38"/>
      <c r="H30" s="38"/>
    </row>
    <row r="31" spans="1:8" x14ac:dyDescent="0.25">
      <c r="A31" s="4">
        <v>27</v>
      </c>
      <c r="B31" s="38"/>
      <c r="C31" s="38"/>
      <c r="D31" s="38"/>
      <c r="E31" s="38"/>
      <c r="F31" s="38"/>
      <c r="G31" s="38"/>
      <c r="H31" s="38"/>
    </row>
    <row r="32" spans="1:8" x14ac:dyDescent="0.25">
      <c r="A32" s="4">
        <v>28</v>
      </c>
      <c r="B32" s="38"/>
      <c r="C32" s="38"/>
      <c r="D32" s="38"/>
      <c r="E32" s="38"/>
      <c r="F32" s="38"/>
      <c r="G32" s="38"/>
      <c r="H32" s="38"/>
    </row>
    <row r="33" spans="1:8" x14ac:dyDescent="0.25">
      <c r="A33" s="4">
        <v>29</v>
      </c>
      <c r="B33" s="38" t="s">
        <v>2</v>
      </c>
      <c r="C33" s="38"/>
      <c r="D33" s="38" t="s">
        <v>2</v>
      </c>
      <c r="E33" s="38"/>
      <c r="F33" s="38" t="s">
        <v>2</v>
      </c>
      <c r="G33" s="38"/>
      <c r="H33" s="38" t="s">
        <v>6</v>
      </c>
    </row>
    <row r="34" spans="1:8" x14ac:dyDescent="0.25">
      <c r="A34" s="4">
        <v>30</v>
      </c>
      <c r="B34" s="38"/>
      <c r="C34" s="38"/>
      <c r="D34" s="38"/>
      <c r="E34" s="38"/>
      <c r="F34" s="38"/>
      <c r="G34" s="38"/>
      <c r="H34" s="38"/>
    </row>
    <row r="35" spans="1:8" x14ac:dyDescent="0.25">
      <c r="A35" s="4">
        <v>31</v>
      </c>
      <c r="B35" s="38"/>
      <c r="C35" s="38"/>
      <c r="D35" s="38"/>
      <c r="E35" s="38"/>
      <c r="F35" s="38"/>
      <c r="G35" s="38"/>
      <c r="H35" s="38"/>
    </row>
    <row r="36" spans="1:8" x14ac:dyDescent="0.25">
      <c r="A36" s="4">
        <v>32</v>
      </c>
      <c r="B36" s="38"/>
      <c r="C36" s="38"/>
      <c r="D36" s="38"/>
      <c r="E36" s="38"/>
      <c r="F36" s="38"/>
      <c r="G36" s="38"/>
      <c r="H36" s="38"/>
    </row>
    <row r="37" spans="1:8" x14ac:dyDescent="0.25">
      <c r="A37" s="4">
        <v>33</v>
      </c>
      <c r="B37" s="38"/>
      <c r="C37" s="38"/>
      <c r="D37" s="38"/>
      <c r="E37" s="38"/>
      <c r="F37" s="38"/>
      <c r="G37" s="38"/>
      <c r="H37" s="38"/>
    </row>
    <row r="38" spans="1:8" x14ac:dyDescent="0.25">
      <c r="A38" s="4">
        <v>34</v>
      </c>
      <c r="B38" s="38"/>
      <c r="C38" s="38"/>
      <c r="D38" s="38"/>
      <c r="E38" s="38"/>
      <c r="F38" s="38"/>
      <c r="G38" s="38"/>
      <c r="H38" s="38"/>
    </row>
    <row r="39" spans="1:8" x14ac:dyDescent="0.25">
      <c r="A39" s="4">
        <v>35</v>
      </c>
      <c r="B39" s="38"/>
      <c r="C39" s="38" t="s">
        <v>2</v>
      </c>
      <c r="D39" s="38"/>
      <c r="E39" s="38" t="s">
        <v>2</v>
      </c>
      <c r="F39" s="38" t="s">
        <v>2</v>
      </c>
      <c r="G39" s="38"/>
      <c r="H39" s="38" t="s">
        <v>2</v>
      </c>
    </row>
    <row r="40" spans="1:8" x14ac:dyDescent="0.25">
      <c r="A40" s="4">
        <v>36</v>
      </c>
      <c r="B40" s="38"/>
      <c r="C40" s="38" t="s">
        <v>2</v>
      </c>
      <c r="D40" s="38"/>
      <c r="E40" s="38"/>
      <c r="F40" s="38"/>
      <c r="G40" s="38" t="s">
        <v>2</v>
      </c>
      <c r="H40" s="38"/>
    </row>
    <row r="41" spans="1:8" x14ac:dyDescent="0.25">
      <c r="A41" s="4">
        <v>37</v>
      </c>
      <c r="B41" s="38"/>
      <c r="C41" s="38" t="s">
        <v>2</v>
      </c>
      <c r="D41" s="38"/>
      <c r="E41" s="38"/>
      <c r="F41" s="38" t="s">
        <v>2</v>
      </c>
      <c r="G41" s="38"/>
      <c r="H41" s="38"/>
    </row>
    <row r="42" spans="1:8" x14ac:dyDescent="0.25">
      <c r="A42" s="4">
        <v>38</v>
      </c>
      <c r="B42" s="38"/>
      <c r="C42" s="38"/>
      <c r="D42" s="38" t="s">
        <v>2</v>
      </c>
      <c r="E42" s="38" t="s">
        <v>2</v>
      </c>
      <c r="F42" s="38"/>
      <c r="G42" s="38"/>
      <c r="H42" s="38"/>
    </row>
    <row r="43" spans="1:8" x14ac:dyDescent="0.25">
      <c r="A43" s="4">
        <v>39</v>
      </c>
      <c r="B43" s="38"/>
      <c r="C43" s="38"/>
      <c r="D43" s="38" t="s">
        <v>2</v>
      </c>
      <c r="E43" s="38"/>
      <c r="F43" s="38"/>
      <c r="G43" s="38"/>
      <c r="H43" s="38"/>
    </row>
    <row r="44" spans="1:8" x14ac:dyDescent="0.25">
      <c r="A44" s="4">
        <v>40</v>
      </c>
      <c r="B44" s="38"/>
      <c r="C44" s="38" t="s">
        <v>2</v>
      </c>
      <c r="D44" s="38"/>
      <c r="E44" s="38"/>
      <c r="F44" s="38"/>
      <c r="G44" s="38" t="s">
        <v>2</v>
      </c>
      <c r="H44" s="38"/>
    </row>
    <row r="45" spans="1:8" x14ac:dyDescent="0.25">
      <c r="A45" s="4">
        <v>41</v>
      </c>
      <c r="B45" s="38"/>
      <c r="C45" s="38"/>
      <c r="D45" s="38"/>
      <c r="E45" s="38"/>
      <c r="F45" s="38"/>
      <c r="G45" s="38"/>
      <c r="H45" s="38"/>
    </row>
    <row r="46" spans="1:8" x14ac:dyDescent="0.25">
      <c r="A46" s="4">
        <v>42</v>
      </c>
      <c r="B46" s="38"/>
      <c r="C46" s="38" t="s">
        <v>2</v>
      </c>
      <c r="D46" s="38" t="s">
        <v>2</v>
      </c>
      <c r="E46" s="38"/>
      <c r="F46" s="38"/>
      <c r="G46" s="38"/>
      <c r="H46" s="38"/>
    </row>
    <row r="47" spans="1:8" x14ac:dyDescent="0.25">
      <c r="A47" s="4">
        <v>43</v>
      </c>
      <c r="B47" s="38"/>
      <c r="C47" s="38"/>
      <c r="D47" s="38"/>
      <c r="E47" s="38"/>
      <c r="F47" s="38"/>
      <c r="G47" s="38"/>
      <c r="H47" s="38"/>
    </row>
    <row r="48" spans="1:8" x14ac:dyDescent="0.25">
      <c r="A48" s="4">
        <v>44</v>
      </c>
      <c r="B48" s="38"/>
      <c r="C48" s="38"/>
      <c r="D48" s="38"/>
      <c r="E48" s="38"/>
      <c r="F48" s="38"/>
      <c r="G48" s="38"/>
      <c r="H48" s="38"/>
    </row>
    <row r="49" spans="1:8" x14ac:dyDescent="0.25">
      <c r="A49" s="4">
        <v>45</v>
      </c>
      <c r="B49" s="38" t="s">
        <v>7</v>
      </c>
      <c r="C49" s="38"/>
      <c r="D49" s="38"/>
      <c r="E49" s="38"/>
      <c r="F49" s="38"/>
      <c r="G49" s="38"/>
      <c r="H49" s="38"/>
    </row>
    <row r="50" spans="1:8" x14ac:dyDescent="0.25">
      <c r="A50" s="4">
        <v>46</v>
      </c>
      <c r="B50" s="38"/>
      <c r="C50" s="38"/>
      <c r="D50" s="38"/>
      <c r="E50" s="38" t="s">
        <v>2</v>
      </c>
      <c r="F50" s="38" t="s">
        <v>2</v>
      </c>
      <c r="G50" s="38" t="s">
        <v>2</v>
      </c>
      <c r="H50" s="38" t="s">
        <v>2</v>
      </c>
    </row>
    <row r="51" spans="1:8" x14ac:dyDescent="0.25">
      <c r="A51" s="4">
        <v>47</v>
      </c>
      <c r="B51" s="38"/>
      <c r="C51" s="38" t="s">
        <v>2</v>
      </c>
      <c r="D51" s="38" t="s">
        <v>2</v>
      </c>
      <c r="E51" s="38" t="s">
        <v>2</v>
      </c>
      <c r="F51" s="38" t="s">
        <v>2</v>
      </c>
      <c r="G51" s="38" t="s">
        <v>2</v>
      </c>
      <c r="H51" s="38" t="s">
        <v>2</v>
      </c>
    </row>
    <row r="52" spans="1:8" x14ac:dyDescent="0.25">
      <c r="A52" s="4">
        <v>48</v>
      </c>
      <c r="B52" s="38"/>
      <c r="C52" s="38" t="s">
        <v>2</v>
      </c>
      <c r="D52" s="38"/>
      <c r="E52" s="38" t="s">
        <v>2</v>
      </c>
      <c r="F52" s="38"/>
      <c r="G52" s="38" t="s">
        <v>2</v>
      </c>
      <c r="H52" s="38"/>
    </row>
    <row r="53" spans="1:8" x14ac:dyDescent="0.25">
      <c r="A53" s="4">
        <v>49</v>
      </c>
      <c r="B53" s="38" t="s">
        <v>2</v>
      </c>
      <c r="C53" s="38" t="s">
        <v>2</v>
      </c>
      <c r="D53" s="38"/>
      <c r="E53" s="38" t="s">
        <v>2</v>
      </c>
      <c r="F53" s="38"/>
      <c r="G53" s="38" t="s">
        <v>2</v>
      </c>
      <c r="H53" s="38"/>
    </row>
    <row r="54" spans="1:8" x14ac:dyDescent="0.25">
      <c r="A54" s="4">
        <v>50</v>
      </c>
      <c r="B54" s="38"/>
      <c r="C54" s="38"/>
      <c r="D54" s="38"/>
      <c r="E54" s="38"/>
      <c r="F54" s="38"/>
      <c r="G54" s="38"/>
      <c r="H54" s="38"/>
    </row>
    <row r="55" spans="1:8" x14ac:dyDescent="0.25">
      <c r="A55" s="4">
        <v>51</v>
      </c>
      <c r="B55" s="38"/>
      <c r="C55" s="38"/>
      <c r="D55" s="38"/>
      <c r="E55" s="38"/>
      <c r="F55" s="38"/>
      <c r="G55" s="38"/>
      <c r="H55" s="38"/>
    </row>
    <row r="56" spans="1:8" x14ac:dyDescent="0.25">
      <c r="A56" s="4">
        <v>52</v>
      </c>
      <c r="B56" s="38"/>
      <c r="C56" s="38"/>
      <c r="D56" s="38"/>
      <c r="E56" s="38"/>
      <c r="F56" s="38"/>
      <c r="G56" s="38"/>
      <c r="H56" s="38"/>
    </row>
    <row r="57" spans="1:8" x14ac:dyDescent="0.25">
      <c r="A57" s="4">
        <v>53</v>
      </c>
      <c r="B57" s="38"/>
      <c r="C57" s="38"/>
      <c r="D57" s="38"/>
      <c r="E57" s="38"/>
      <c r="F57" s="38"/>
      <c r="G57" s="38"/>
      <c r="H57" s="38"/>
    </row>
    <row r="58" spans="1:8" x14ac:dyDescent="0.25">
      <c r="A58" s="4">
        <v>54</v>
      </c>
      <c r="B58" s="38"/>
      <c r="C58" s="38"/>
      <c r="D58" s="38"/>
      <c r="E58" s="38"/>
      <c r="F58" s="38"/>
      <c r="G58" s="38"/>
      <c r="H58" s="38"/>
    </row>
    <row r="59" spans="1:8" x14ac:dyDescent="0.25">
      <c r="A59" s="4">
        <v>55</v>
      </c>
      <c r="B59" s="38"/>
      <c r="C59" s="38"/>
      <c r="D59" s="38"/>
      <c r="E59" s="38"/>
      <c r="F59" s="38"/>
      <c r="G59" s="38"/>
      <c r="H59" s="38"/>
    </row>
    <row r="60" spans="1:8" x14ac:dyDescent="0.25">
      <c r="A60" s="4">
        <v>56</v>
      </c>
      <c r="B60" s="38"/>
      <c r="C60" s="38"/>
      <c r="D60" s="38"/>
      <c r="E60" s="38"/>
      <c r="F60" s="38"/>
      <c r="G60" s="38"/>
      <c r="H60" s="38"/>
    </row>
    <row r="61" spans="1:8" x14ac:dyDescent="0.25">
      <c r="A61" s="18">
        <v>73</v>
      </c>
      <c r="B61" s="38"/>
      <c r="C61" s="38"/>
      <c r="D61" s="38"/>
      <c r="E61" s="38" t="s">
        <v>2</v>
      </c>
      <c r="F61" s="38" t="s">
        <v>6</v>
      </c>
      <c r="G61" s="38"/>
      <c r="H61" s="38" t="s">
        <v>2</v>
      </c>
    </row>
    <row r="62" spans="1:8" x14ac:dyDescent="0.25">
      <c r="A62" s="18">
        <v>74</v>
      </c>
      <c r="B62" s="38"/>
      <c r="C62" s="38"/>
      <c r="D62" s="38" t="s">
        <v>6</v>
      </c>
      <c r="E62" s="38"/>
      <c r="F62" s="38"/>
      <c r="G62" s="38" t="s">
        <v>2</v>
      </c>
      <c r="H62" s="38"/>
    </row>
    <row r="63" spans="1:8" x14ac:dyDescent="0.25">
      <c r="A63" s="18">
        <v>101</v>
      </c>
      <c r="B63" s="39" t="s">
        <v>2</v>
      </c>
      <c r="C63" s="38" t="s">
        <v>2</v>
      </c>
      <c r="D63" s="38" t="s">
        <v>2</v>
      </c>
      <c r="E63" s="38" t="s">
        <v>2</v>
      </c>
      <c r="F63" s="38" t="s">
        <v>2</v>
      </c>
      <c r="G63" s="38" t="s">
        <v>2</v>
      </c>
      <c r="H63" s="38" t="s">
        <v>2</v>
      </c>
    </row>
    <row r="64" spans="1:8" x14ac:dyDescent="0.25">
      <c r="A64" s="18">
        <v>102</v>
      </c>
      <c r="B64" s="38"/>
      <c r="C64" s="38"/>
      <c r="D64" s="38"/>
      <c r="E64" s="38"/>
      <c r="F64" s="38"/>
      <c r="G64" s="38"/>
      <c r="H64" s="38"/>
    </row>
    <row r="65" spans="1:8" x14ac:dyDescent="0.25">
      <c r="A65" s="18">
        <v>103</v>
      </c>
      <c r="B65" s="38"/>
      <c r="C65" s="38" t="s">
        <v>2</v>
      </c>
      <c r="D65" s="38" t="s">
        <v>2</v>
      </c>
      <c r="E65" s="38" t="s">
        <v>2</v>
      </c>
      <c r="F65" s="38" t="s">
        <v>2</v>
      </c>
      <c r="G65" s="38" t="s">
        <v>2</v>
      </c>
      <c r="H65" s="38" t="s">
        <v>2</v>
      </c>
    </row>
    <row r="66" spans="1:8" x14ac:dyDescent="0.25">
      <c r="A66" s="18">
        <v>104</v>
      </c>
      <c r="B66" s="38"/>
      <c r="C66" s="38"/>
      <c r="D66" s="38" t="s">
        <v>2</v>
      </c>
      <c r="E66" s="38"/>
      <c r="F66" s="38" t="s">
        <v>2</v>
      </c>
      <c r="G66" s="38" t="s">
        <v>2</v>
      </c>
      <c r="H66" s="38" t="s">
        <v>2</v>
      </c>
    </row>
    <row r="67" spans="1:8" x14ac:dyDescent="0.25">
      <c r="A67" s="18">
        <v>105</v>
      </c>
      <c r="B67" s="38"/>
      <c r="C67" s="38"/>
      <c r="D67" s="38"/>
      <c r="E67" s="38"/>
      <c r="F67" s="38"/>
      <c r="G67" s="38"/>
      <c r="H67" s="38"/>
    </row>
    <row r="68" spans="1:8" x14ac:dyDescent="0.25">
      <c r="A68" s="18">
        <v>106</v>
      </c>
      <c r="B68" s="38"/>
      <c r="C68" s="38" t="s">
        <v>2</v>
      </c>
      <c r="D68" s="38"/>
      <c r="E68" s="38"/>
      <c r="F68" s="38"/>
      <c r="G68" s="38"/>
      <c r="H68" s="38" t="s">
        <v>2</v>
      </c>
    </row>
    <row r="69" spans="1:8" x14ac:dyDescent="0.25">
      <c r="A69" s="18">
        <v>107</v>
      </c>
      <c r="B69" s="38"/>
      <c r="C69" s="38"/>
      <c r="D69" s="38"/>
      <c r="E69" s="38"/>
      <c r="F69" s="38"/>
      <c r="G69" s="38"/>
      <c r="H69" s="38"/>
    </row>
    <row r="70" spans="1:8" x14ac:dyDescent="0.25">
      <c r="A70" s="18">
        <v>108</v>
      </c>
      <c r="B70" s="38"/>
      <c r="C70" s="38"/>
      <c r="D70" s="38"/>
      <c r="E70" s="38"/>
      <c r="F70" s="38"/>
      <c r="G70" s="38"/>
      <c r="H70" s="38"/>
    </row>
    <row r="71" spans="1:8" x14ac:dyDescent="0.25">
      <c r="A71" s="18">
        <v>109</v>
      </c>
      <c r="B71" s="38"/>
      <c r="C71" s="38"/>
      <c r="D71" s="38"/>
      <c r="E71" s="38"/>
      <c r="F71" s="38"/>
      <c r="G71" s="38"/>
      <c r="H71" s="38"/>
    </row>
    <row r="72" spans="1:8" x14ac:dyDescent="0.25">
      <c r="A72" s="18">
        <v>110</v>
      </c>
      <c r="B72" s="38"/>
      <c r="C72" s="38"/>
      <c r="D72" s="38"/>
      <c r="E72" s="38"/>
      <c r="F72" s="38"/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 t="s">
        <v>2</v>
      </c>
      <c r="C74" s="38" t="s">
        <v>2</v>
      </c>
      <c r="D74" s="38" t="s">
        <v>2</v>
      </c>
      <c r="E74" s="38" t="s">
        <v>2</v>
      </c>
      <c r="F74" s="38" t="s">
        <v>2</v>
      </c>
      <c r="G74" s="38" t="s">
        <v>2</v>
      </c>
      <c r="H74" s="38" t="s">
        <v>2</v>
      </c>
    </row>
    <row r="75" spans="1:8" x14ac:dyDescent="0.25">
      <c r="A75" s="18">
        <v>113</v>
      </c>
      <c r="B75" s="38"/>
      <c r="C75" s="38"/>
      <c r="D75" s="38"/>
      <c r="E75" s="38"/>
      <c r="F75" s="38" t="s">
        <v>2</v>
      </c>
      <c r="G75" s="38"/>
      <c r="H75" s="38"/>
    </row>
    <row r="76" spans="1:8" x14ac:dyDescent="0.25">
      <c r="A76" s="18">
        <v>114</v>
      </c>
      <c r="B76" s="38" t="s">
        <v>2</v>
      </c>
      <c r="C76" s="38" t="s">
        <v>2</v>
      </c>
      <c r="D76" s="38" t="s">
        <v>2</v>
      </c>
      <c r="E76" s="38" t="s">
        <v>2</v>
      </c>
      <c r="F76" s="38" t="s">
        <v>2</v>
      </c>
      <c r="G76" s="38" t="s">
        <v>2</v>
      </c>
      <c r="H76" s="38" t="s">
        <v>2</v>
      </c>
    </row>
    <row r="77" spans="1:8" x14ac:dyDescent="0.25">
      <c r="A77" s="18">
        <v>115</v>
      </c>
      <c r="B77" s="38" t="s">
        <v>2</v>
      </c>
      <c r="C77" s="38"/>
      <c r="D77" s="38"/>
      <c r="E77" s="38"/>
      <c r="F77" s="38"/>
      <c r="G77" s="38"/>
      <c r="H77" s="38"/>
    </row>
    <row r="78" spans="1:8" x14ac:dyDescent="0.25">
      <c r="A78" s="18">
        <v>116</v>
      </c>
      <c r="B78" s="38"/>
      <c r="C78" s="38"/>
      <c r="D78" s="38"/>
      <c r="E78" s="38" t="s">
        <v>2</v>
      </c>
      <c r="F78" s="38"/>
      <c r="G78" s="38" t="s">
        <v>2</v>
      </c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 t="s">
        <v>2</v>
      </c>
    </row>
    <row r="81" spans="1:8" x14ac:dyDescent="0.25">
      <c r="A81" s="18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18">
        <v>120</v>
      </c>
      <c r="B82" s="38" t="s">
        <v>2</v>
      </c>
      <c r="C82" s="38"/>
      <c r="D82" s="38" t="s">
        <v>2</v>
      </c>
      <c r="E82" s="38"/>
      <c r="F82" s="38" t="s">
        <v>2</v>
      </c>
      <c r="G82" s="38"/>
      <c r="H82" s="38" t="s">
        <v>2</v>
      </c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 t="s">
        <v>2</v>
      </c>
      <c r="D84" s="38"/>
      <c r="E84" s="38" t="s">
        <v>2</v>
      </c>
      <c r="F84" s="38"/>
      <c r="G84" s="38" t="s">
        <v>2</v>
      </c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 t="s">
        <v>2</v>
      </c>
      <c r="D86" s="38"/>
      <c r="E86" s="38" t="s">
        <v>2</v>
      </c>
      <c r="F86" s="38"/>
      <c r="G86" s="38" t="s">
        <v>2</v>
      </c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/>
      <c r="D90" s="38"/>
      <c r="E90" s="38"/>
      <c r="F90" s="38"/>
      <c r="G90" s="38"/>
      <c r="H90" s="38"/>
    </row>
    <row r="91" spans="1:8" x14ac:dyDescent="0.25">
      <c r="A91" s="18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18">
        <v>130</v>
      </c>
      <c r="B92" s="38"/>
      <c r="C92" s="38"/>
      <c r="D92" s="38"/>
      <c r="E92" s="38"/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 t="s">
        <v>2</v>
      </c>
      <c r="C95" s="38"/>
      <c r="D95" s="38" t="s">
        <v>2</v>
      </c>
      <c r="E95" s="38"/>
      <c r="F95" s="38" t="s">
        <v>2</v>
      </c>
      <c r="G95" s="38"/>
      <c r="H95" s="38" t="s">
        <v>2</v>
      </c>
    </row>
  </sheetData>
  <mergeCells count="1">
    <mergeCell ref="A1:H2"/>
  </mergeCells>
  <conditionalFormatting sqref="B61:I62 I5:I60 B63:H95">
    <cfRule type="cellIs" dxfId="780" priority="18" operator="equal">
      <formula>"Energia"</formula>
    </cfRule>
    <cfRule type="cellIs" dxfId="779" priority="20" operator="equal">
      <formula>"Operação"</formula>
    </cfRule>
    <cfRule type="cellIs" dxfId="778" priority="21" operator="equal">
      <formula>"Chuva"</formula>
    </cfRule>
    <cfRule type="cellIs" dxfId="777" priority="22" operator="equal">
      <formula>"Elétrico"</formula>
    </cfRule>
    <cfRule type="cellIs" dxfId="776" priority="23" operator="equal">
      <formula>"Mecânico"</formula>
    </cfRule>
    <cfRule type="cellIs" dxfId="775" priority="24" operator="equal">
      <formula>"Ok"</formula>
    </cfRule>
  </conditionalFormatting>
  <conditionalFormatting sqref="B61:I62 I5:I60 B63:H95">
    <cfRule type="cellIs" dxfId="774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773" priority="16" operator="equal">
      <formula>"Energia"</formula>
    </cfRule>
  </conditionalFormatting>
  <conditionalFormatting sqref="G5:H60 B5:E60">
    <cfRule type="cellIs" dxfId="772" priority="9" operator="equal">
      <formula>"Energia"</formula>
    </cfRule>
    <cfRule type="cellIs" dxfId="771" priority="11" operator="equal">
      <formula>"Operação"</formula>
    </cfRule>
    <cfRule type="cellIs" dxfId="770" priority="12" operator="equal">
      <formula>"Chuva"</formula>
    </cfRule>
    <cfRule type="cellIs" dxfId="769" priority="13" operator="equal">
      <formula>"Elétrico"</formula>
    </cfRule>
    <cfRule type="cellIs" dxfId="768" priority="14" operator="equal">
      <formula>"Mecânico"</formula>
    </cfRule>
    <cfRule type="cellIs" dxfId="767" priority="15" operator="equal">
      <formula>"Ok"</formula>
    </cfRule>
  </conditionalFormatting>
  <conditionalFormatting sqref="G5:H60 B5:E60">
    <cfRule type="cellIs" dxfId="766" priority="10" operator="equal">
      <formula>"Feito"</formula>
    </cfRule>
  </conditionalFormatting>
  <conditionalFormatting sqref="F5:F11">
    <cfRule type="cellIs" dxfId="765" priority="8" operator="equal">
      <formula>"Energia"</formula>
    </cfRule>
  </conditionalFormatting>
  <conditionalFormatting sqref="F5:F60">
    <cfRule type="cellIs" dxfId="764" priority="1" operator="equal">
      <formula>"Energia"</formula>
    </cfRule>
    <cfRule type="cellIs" dxfId="763" priority="3" operator="equal">
      <formula>"Operação"</formula>
    </cfRule>
    <cfRule type="cellIs" dxfId="762" priority="4" operator="equal">
      <formula>"Chuva"</formula>
    </cfRule>
    <cfRule type="cellIs" dxfId="761" priority="5" operator="equal">
      <formula>"Elétrico"</formula>
    </cfRule>
    <cfRule type="cellIs" dxfId="760" priority="6" operator="equal">
      <formula>"Mecânico"</formula>
    </cfRule>
    <cfRule type="cellIs" dxfId="759" priority="7" operator="equal">
      <formula>"Ok"</formula>
    </cfRule>
  </conditionalFormatting>
  <conditionalFormatting sqref="F5:F60">
    <cfRule type="cellIs" dxfId="758" priority="2" operator="equal">
      <formula>"Feito"</formula>
    </cfRule>
  </conditionalFormatting>
  <dataValidations count="1">
    <dataValidation type="list" allowBlank="1" showInputMessage="1" showErrorMessage="1" sqref="B61:I62 B63:H95 B27:J60 B5:I26" xr:uid="{3198641F-0E81-49B6-A2CC-2A620CAD3617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403F-B83C-45AC-97DF-62E3700FE51E}">
  <sheetPr>
    <tabColor theme="8"/>
  </sheetPr>
  <dimension ref="A1:U95"/>
  <sheetViews>
    <sheetView zoomScale="115" zoomScaleNormal="115" workbookViewId="0">
      <pane ySplit="4" topLeftCell="A5" activePane="bottomLeft" state="frozen"/>
      <selection pane="bottomLeft" activeCell="J5" sqref="J5:M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2" max="12" width="12.7109375" bestFit="1" customWidth="1"/>
    <col min="13" max="13" width="11.85546875" bestFit="1" customWidth="1"/>
    <col min="17" max="17" width="13.140625" bestFit="1" customWidth="1"/>
    <col min="18" max="19" width="11.85546875" bestFit="1" customWidth="1"/>
  </cols>
  <sheetData>
    <row r="1" spans="1:18" x14ac:dyDescent="0.25">
      <c r="A1" s="70" t="s">
        <v>43</v>
      </c>
      <c r="B1" s="70"/>
      <c r="C1" s="70"/>
      <c r="D1" s="70"/>
      <c r="E1" s="70"/>
      <c r="F1" s="70"/>
      <c r="G1" s="70"/>
      <c r="H1" s="70"/>
    </row>
    <row r="2" spans="1:18" x14ac:dyDescent="0.25">
      <c r="A2" s="70"/>
      <c r="B2" s="70"/>
      <c r="C2" s="70"/>
      <c r="D2" s="70"/>
      <c r="E2" s="70"/>
      <c r="F2" s="70"/>
      <c r="G2" s="70"/>
      <c r="H2" s="70"/>
    </row>
    <row r="3" spans="1:18" x14ac:dyDescent="0.25">
      <c r="A3" s="24" t="s">
        <v>16</v>
      </c>
      <c r="B3" s="23">
        <v>44753</v>
      </c>
      <c r="C3" s="23">
        <f>B3+1</f>
        <v>44754</v>
      </c>
      <c r="D3" s="23">
        <f t="shared" ref="D3:H3" si="0">C3+1</f>
        <v>44755</v>
      </c>
      <c r="E3" s="23">
        <f t="shared" si="0"/>
        <v>44756</v>
      </c>
      <c r="F3" s="23">
        <f t="shared" si="0"/>
        <v>44757</v>
      </c>
      <c r="G3" s="23">
        <f t="shared" si="0"/>
        <v>44758</v>
      </c>
      <c r="H3" s="25">
        <f t="shared" si="0"/>
        <v>44759</v>
      </c>
      <c r="I3" s="3"/>
    </row>
    <row r="4" spans="1:18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  <c r="O4" t="s">
        <v>44</v>
      </c>
      <c r="P4" t="s">
        <v>46</v>
      </c>
      <c r="Q4" t="s">
        <v>45</v>
      </c>
      <c r="R4" t="s">
        <v>34</v>
      </c>
    </row>
    <row r="5" spans="1:18" x14ac:dyDescent="0.25">
      <c r="A5" s="4">
        <v>1</v>
      </c>
      <c r="B5" s="38"/>
      <c r="C5" s="38"/>
      <c r="D5" s="38"/>
      <c r="E5" s="38"/>
      <c r="F5" s="38"/>
      <c r="G5" s="38"/>
      <c r="H5" s="38"/>
      <c r="J5" s="48" t="s">
        <v>2</v>
      </c>
      <c r="K5">
        <f>COUNTIF($B$5:$H$95,J5)</f>
        <v>135</v>
      </c>
      <c r="L5" s="34">
        <f t="shared" ref="L5:L10" si="2">K5/$K$11</f>
        <v>0.81325301204819278</v>
      </c>
      <c r="M5" s="52">
        <f>B3</f>
        <v>44753</v>
      </c>
      <c r="O5">
        <v>149</v>
      </c>
      <c r="P5">
        <f>SUM(K19:K25)</f>
        <v>20</v>
      </c>
      <c r="Q5">
        <f>SUM(K29:K35)</f>
        <v>5</v>
      </c>
      <c r="R5" s="52">
        <f>M5</f>
        <v>44753</v>
      </c>
    </row>
    <row r="6" spans="1:18" x14ac:dyDescent="0.25">
      <c r="A6" s="4">
        <v>2</v>
      </c>
      <c r="B6" s="38" t="s">
        <v>2</v>
      </c>
      <c r="C6" s="38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  <c r="J6" s="42" t="s">
        <v>5</v>
      </c>
      <c r="K6">
        <f>COUNTIF($B$5:$H$95,J6)</f>
        <v>5</v>
      </c>
      <c r="L6" s="35">
        <f t="shared" si="2"/>
        <v>3.0120481927710843E-2</v>
      </c>
      <c r="O6">
        <f>O5+P5-Q5</f>
        <v>164</v>
      </c>
    </row>
    <row r="7" spans="1:18" x14ac:dyDescent="0.25">
      <c r="A7" s="4">
        <v>3</v>
      </c>
      <c r="B7" s="38" t="s">
        <v>2</v>
      </c>
      <c r="C7" s="38" t="s">
        <v>2</v>
      </c>
      <c r="D7" s="38" t="s">
        <v>2</v>
      </c>
      <c r="E7" s="38" t="s">
        <v>2</v>
      </c>
      <c r="F7" s="38" t="s">
        <v>2</v>
      </c>
      <c r="G7" s="38" t="s">
        <v>2</v>
      </c>
      <c r="H7" s="38" t="s">
        <v>2</v>
      </c>
      <c r="J7" s="46" t="s">
        <v>6</v>
      </c>
      <c r="K7">
        <f t="shared" ref="K7:K10" si="3">COUNTIF($B$5:$H$95,J7)</f>
        <v>7</v>
      </c>
      <c r="L7" s="35">
        <f t="shared" si="2"/>
        <v>4.2168674698795178E-2</v>
      </c>
    </row>
    <row r="8" spans="1:18" x14ac:dyDescent="0.25">
      <c r="A8" s="4">
        <v>4</v>
      </c>
      <c r="B8" s="38"/>
      <c r="C8" s="38"/>
      <c r="D8" s="38"/>
      <c r="E8" s="38"/>
      <c r="F8" s="38"/>
      <c r="G8" s="38" t="s">
        <v>2</v>
      </c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</row>
    <row r="9" spans="1:18" x14ac:dyDescent="0.25">
      <c r="A9" s="4">
        <v>5</v>
      </c>
      <c r="B9" s="38" t="s">
        <v>2</v>
      </c>
      <c r="C9" s="38"/>
      <c r="D9" s="38"/>
      <c r="E9" s="38"/>
      <c r="F9" s="38" t="s">
        <v>7</v>
      </c>
      <c r="G9" s="38"/>
      <c r="H9" s="38" t="s">
        <v>2</v>
      </c>
      <c r="J9" s="45" t="s">
        <v>3</v>
      </c>
      <c r="K9">
        <f t="shared" si="3"/>
        <v>0</v>
      </c>
      <c r="L9" s="35">
        <f t="shared" si="2"/>
        <v>0</v>
      </c>
    </row>
    <row r="10" spans="1:18" x14ac:dyDescent="0.25">
      <c r="A10" s="4">
        <v>6</v>
      </c>
      <c r="B10" s="38" t="s">
        <v>5</v>
      </c>
      <c r="C10" s="38"/>
      <c r="D10" s="38"/>
      <c r="E10" s="38" t="s">
        <v>2</v>
      </c>
      <c r="F10" s="38"/>
      <c r="G10" s="38" t="s">
        <v>2</v>
      </c>
      <c r="H10" s="38"/>
      <c r="J10" s="43" t="s">
        <v>7</v>
      </c>
      <c r="K10">
        <f t="shared" si="3"/>
        <v>19</v>
      </c>
      <c r="L10" s="37">
        <f t="shared" si="2"/>
        <v>0.1144578313253012</v>
      </c>
    </row>
    <row r="11" spans="1:18" x14ac:dyDescent="0.25">
      <c r="A11" s="4">
        <v>7</v>
      </c>
      <c r="B11" s="38"/>
      <c r="C11" s="38"/>
      <c r="D11" s="38" t="s">
        <v>2</v>
      </c>
      <c r="E11" s="38" t="s">
        <v>2</v>
      </c>
      <c r="F11" s="38"/>
      <c r="G11" s="38" t="s">
        <v>2</v>
      </c>
      <c r="H11" s="38"/>
      <c r="J11" s="44" t="s">
        <v>17</v>
      </c>
      <c r="K11">
        <f>SUM(K5:K10)</f>
        <v>166</v>
      </c>
    </row>
    <row r="12" spans="1:18" x14ac:dyDescent="0.25">
      <c r="A12" s="4">
        <v>8</v>
      </c>
      <c r="B12" s="38" t="s">
        <v>2</v>
      </c>
      <c r="C12" s="38"/>
      <c r="D12" s="38" t="s">
        <v>2</v>
      </c>
      <c r="E12" s="38"/>
      <c r="F12" s="38" t="s">
        <v>2</v>
      </c>
      <c r="G12" s="38"/>
      <c r="H12" s="38" t="s">
        <v>2</v>
      </c>
    </row>
    <row r="13" spans="1:18" x14ac:dyDescent="0.25">
      <c r="A13" s="4">
        <v>9</v>
      </c>
      <c r="B13" s="38"/>
      <c r="C13" s="38" t="s">
        <v>2</v>
      </c>
      <c r="D13" s="38"/>
      <c r="E13" s="38" t="s">
        <v>2</v>
      </c>
      <c r="F13" s="38"/>
      <c r="G13" s="38" t="s">
        <v>2</v>
      </c>
      <c r="H13" s="38"/>
    </row>
    <row r="14" spans="1:18" x14ac:dyDescent="0.25">
      <c r="A14" s="4">
        <v>10</v>
      </c>
      <c r="B14" s="38" t="s">
        <v>2</v>
      </c>
      <c r="C14" s="38"/>
      <c r="D14" s="38" t="s">
        <v>2</v>
      </c>
      <c r="E14" s="38"/>
      <c r="F14" s="38" t="s">
        <v>2</v>
      </c>
      <c r="G14" s="38"/>
      <c r="H14" s="38" t="s">
        <v>2</v>
      </c>
    </row>
    <row r="15" spans="1:18" x14ac:dyDescent="0.25">
      <c r="A15" s="4">
        <v>11</v>
      </c>
      <c r="B15" s="38" t="s">
        <v>7</v>
      </c>
      <c r="C15" s="38"/>
      <c r="D15" s="38" t="s">
        <v>2</v>
      </c>
      <c r="E15" s="38"/>
      <c r="F15" s="38" t="s">
        <v>2</v>
      </c>
      <c r="G15" s="38"/>
      <c r="H15" s="38" t="s">
        <v>2</v>
      </c>
    </row>
    <row r="16" spans="1:18" x14ac:dyDescent="0.25">
      <c r="A16" s="4">
        <v>12</v>
      </c>
      <c r="B16" s="38"/>
      <c r="C16" s="38" t="s">
        <v>7</v>
      </c>
      <c r="D16" s="38"/>
      <c r="E16" s="38" t="s">
        <v>2</v>
      </c>
      <c r="F16" s="38"/>
      <c r="G16" s="38" t="s">
        <v>2</v>
      </c>
      <c r="H16" s="38"/>
    </row>
    <row r="17" spans="1:21" x14ac:dyDescent="0.25">
      <c r="A17" s="4">
        <v>13</v>
      </c>
      <c r="B17" s="38"/>
      <c r="C17" s="38"/>
      <c r="D17" s="38" t="s">
        <v>2</v>
      </c>
      <c r="E17" s="38"/>
      <c r="F17" s="38" t="s">
        <v>2</v>
      </c>
      <c r="G17" s="38" t="s">
        <v>2</v>
      </c>
      <c r="H17" s="38"/>
      <c r="I17" s="71" t="s">
        <v>46</v>
      </c>
      <c r="J17" s="72"/>
      <c r="K17" s="72"/>
    </row>
    <row r="18" spans="1:21" x14ac:dyDescent="0.25">
      <c r="A18" s="4">
        <v>14</v>
      </c>
      <c r="B18" s="38"/>
      <c r="C18" s="38" t="s">
        <v>5</v>
      </c>
      <c r="D18" s="38" t="s">
        <v>7</v>
      </c>
      <c r="E18" s="38" t="s">
        <v>7</v>
      </c>
      <c r="F18" s="38"/>
      <c r="G18" s="38" t="s">
        <v>6</v>
      </c>
      <c r="H18" s="38"/>
      <c r="I18" s="71" t="s">
        <v>54</v>
      </c>
      <c r="J18" s="72"/>
      <c r="K18" t="s">
        <v>32</v>
      </c>
    </row>
    <row r="19" spans="1:21" x14ac:dyDescent="0.25">
      <c r="A19" s="4">
        <v>15</v>
      </c>
      <c r="B19" s="38"/>
      <c r="C19" s="38"/>
      <c r="D19" s="38"/>
      <c r="E19" s="38"/>
      <c r="F19" s="38"/>
      <c r="G19" s="38"/>
      <c r="H19" s="38"/>
      <c r="I19" s="40" t="s">
        <v>47</v>
      </c>
      <c r="J19" s="40" t="str">
        <f>TEXT(B3,"ddd")</f>
        <v>seg</v>
      </c>
      <c r="K19" s="60">
        <v>5</v>
      </c>
    </row>
    <row r="20" spans="1:21" x14ac:dyDescent="0.25">
      <c r="A20" s="4">
        <v>16</v>
      </c>
      <c r="B20" s="38"/>
      <c r="C20" s="38"/>
      <c r="D20" s="38" t="s">
        <v>5</v>
      </c>
      <c r="E20" s="38"/>
      <c r="F20" s="38"/>
      <c r="G20" s="38"/>
      <c r="H20" s="38"/>
      <c r="I20" s="40" t="s">
        <v>48</v>
      </c>
      <c r="J20" s="40" t="str">
        <f>TEXT(C3,"ddd")</f>
        <v>ter</v>
      </c>
      <c r="K20" s="60">
        <v>5</v>
      </c>
    </row>
    <row r="21" spans="1:21" x14ac:dyDescent="0.25">
      <c r="A21" s="4">
        <v>17</v>
      </c>
      <c r="B21" s="38"/>
      <c r="C21" s="38"/>
      <c r="D21" s="38"/>
      <c r="E21" s="38"/>
      <c r="F21" s="38"/>
      <c r="G21" s="38"/>
      <c r="H21" s="38"/>
      <c r="I21" s="40" t="s">
        <v>49</v>
      </c>
      <c r="J21" s="40" t="str">
        <f>TEXT(D3,"ddd")</f>
        <v>qua</v>
      </c>
      <c r="K21" s="60">
        <v>5</v>
      </c>
    </row>
    <row r="22" spans="1:21" x14ac:dyDescent="0.25">
      <c r="A22" s="4">
        <v>18</v>
      </c>
      <c r="B22" s="38"/>
      <c r="C22" s="38"/>
      <c r="D22" s="38"/>
      <c r="E22" s="38"/>
      <c r="F22" s="38"/>
      <c r="G22" s="38"/>
      <c r="H22" s="38"/>
      <c r="I22" s="40" t="s">
        <v>50</v>
      </c>
      <c r="J22" s="40" t="str">
        <f>TEXT(E3,"ddd")</f>
        <v>qui</v>
      </c>
      <c r="K22" s="60">
        <v>5</v>
      </c>
    </row>
    <row r="23" spans="1:21" x14ac:dyDescent="0.25">
      <c r="A23" s="4">
        <v>19</v>
      </c>
      <c r="B23" s="38" t="s">
        <v>2</v>
      </c>
      <c r="C23" s="38"/>
      <c r="D23" s="38" t="s">
        <v>7</v>
      </c>
      <c r="E23" s="38"/>
      <c r="F23" s="38" t="s">
        <v>7</v>
      </c>
      <c r="G23" s="38" t="s">
        <v>7</v>
      </c>
      <c r="H23" s="38"/>
      <c r="I23" s="40" t="s">
        <v>51</v>
      </c>
      <c r="J23" s="40" t="str">
        <f>TEXT(F3,"ddd")</f>
        <v>sex</v>
      </c>
      <c r="K23" s="60">
        <v>0</v>
      </c>
    </row>
    <row r="24" spans="1:21" x14ac:dyDescent="0.25">
      <c r="A24" s="4">
        <v>20</v>
      </c>
      <c r="B24" s="38"/>
      <c r="C24" s="38"/>
      <c r="D24" s="38"/>
      <c r="E24" s="38"/>
      <c r="F24" s="38"/>
      <c r="G24" s="38"/>
      <c r="H24" s="38"/>
      <c r="I24" s="40" t="s">
        <v>52</v>
      </c>
      <c r="J24" s="40" t="str">
        <f>TEXT(G3,"ddd")</f>
        <v>sáb</v>
      </c>
      <c r="K24" s="60">
        <v>0</v>
      </c>
      <c r="U24">
        <v>75</v>
      </c>
    </row>
    <row r="25" spans="1:21" x14ac:dyDescent="0.25">
      <c r="A25" s="4">
        <v>21</v>
      </c>
      <c r="B25" s="38"/>
      <c r="C25" s="38"/>
      <c r="D25" s="38" t="s">
        <v>2</v>
      </c>
      <c r="E25" s="38" t="s">
        <v>2</v>
      </c>
      <c r="F25" s="38"/>
      <c r="G25" s="38"/>
      <c r="H25" s="38"/>
      <c r="I25" s="40" t="s">
        <v>53</v>
      </c>
      <c r="J25" s="40" t="str">
        <f>TEXT(H3,"ddd")</f>
        <v>dom</v>
      </c>
      <c r="K25" s="60">
        <v>0</v>
      </c>
      <c r="U25">
        <v>23</v>
      </c>
    </row>
    <row r="26" spans="1:21" x14ac:dyDescent="0.25">
      <c r="A26" s="4">
        <v>22</v>
      </c>
      <c r="B26" s="38"/>
      <c r="C26" s="38"/>
      <c r="D26" s="38"/>
      <c r="E26" s="38"/>
      <c r="F26" s="38"/>
      <c r="G26" s="38"/>
      <c r="H26" s="38"/>
      <c r="U26">
        <v>51</v>
      </c>
    </row>
    <row r="27" spans="1:21" x14ac:dyDescent="0.25">
      <c r="A27" s="4">
        <v>23</v>
      </c>
      <c r="B27" s="38"/>
      <c r="C27" s="38"/>
      <c r="D27" s="38"/>
      <c r="E27" s="38"/>
      <c r="F27" s="38"/>
      <c r="G27" s="38"/>
      <c r="H27" s="38"/>
      <c r="I27" s="71" t="s">
        <v>45</v>
      </c>
      <c r="J27" s="72"/>
      <c r="K27" s="72"/>
    </row>
    <row r="28" spans="1:21" x14ac:dyDescent="0.25">
      <c r="A28" s="4">
        <v>24</v>
      </c>
      <c r="B28" s="38"/>
      <c r="C28" s="38"/>
      <c r="D28" s="38"/>
      <c r="E28" s="38"/>
      <c r="F28" s="38"/>
      <c r="G28" s="38"/>
      <c r="H28" s="38"/>
      <c r="I28" s="71" t="s">
        <v>54</v>
      </c>
      <c r="J28" s="72"/>
      <c r="K28" t="s">
        <v>32</v>
      </c>
    </row>
    <row r="29" spans="1:21" x14ac:dyDescent="0.25">
      <c r="A29" s="4">
        <v>25</v>
      </c>
      <c r="B29" s="38" t="s">
        <v>2</v>
      </c>
      <c r="C29" s="38"/>
      <c r="D29" s="38" t="s">
        <v>2</v>
      </c>
      <c r="E29" s="38"/>
      <c r="F29" s="38" t="s">
        <v>5</v>
      </c>
      <c r="G29" s="38"/>
      <c r="H29" s="38" t="s">
        <v>2</v>
      </c>
      <c r="I29" s="40" t="s">
        <v>47</v>
      </c>
      <c r="J29" s="40" t="str">
        <f t="shared" ref="J29:J35" si="4">J19</f>
        <v>seg</v>
      </c>
      <c r="K29" s="60">
        <v>2</v>
      </c>
    </row>
    <row r="30" spans="1:21" x14ac:dyDescent="0.25">
      <c r="A30" s="4">
        <v>26</v>
      </c>
      <c r="B30" s="38"/>
      <c r="C30" s="38"/>
      <c r="D30" s="38"/>
      <c r="E30" s="38"/>
      <c r="F30" s="38"/>
      <c r="G30" s="38"/>
      <c r="H30" s="38"/>
      <c r="I30" s="40" t="s">
        <v>48</v>
      </c>
      <c r="J30" s="40" t="str">
        <f t="shared" si="4"/>
        <v>ter</v>
      </c>
      <c r="K30" s="60">
        <v>3</v>
      </c>
    </row>
    <row r="31" spans="1:21" x14ac:dyDescent="0.25">
      <c r="A31" s="4">
        <v>27</v>
      </c>
      <c r="B31" s="38"/>
      <c r="C31" s="38"/>
      <c r="D31" s="38"/>
      <c r="E31" s="38"/>
      <c r="F31" s="38"/>
      <c r="G31" s="38"/>
      <c r="H31" s="38"/>
      <c r="I31" s="40" t="s">
        <v>49</v>
      </c>
      <c r="J31" s="40" t="str">
        <f t="shared" si="4"/>
        <v>qua</v>
      </c>
      <c r="K31" s="60">
        <v>0</v>
      </c>
    </row>
    <row r="32" spans="1:21" x14ac:dyDescent="0.25">
      <c r="A32" s="4">
        <v>28</v>
      </c>
      <c r="B32" s="38"/>
      <c r="C32" s="38"/>
      <c r="D32" s="38"/>
      <c r="E32" s="38"/>
      <c r="F32" s="38"/>
      <c r="G32" s="38"/>
      <c r="H32" s="38"/>
      <c r="I32" s="40" t="s">
        <v>50</v>
      </c>
      <c r="J32" s="40" t="str">
        <f t="shared" si="4"/>
        <v>qui</v>
      </c>
      <c r="K32" s="60">
        <v>0</v>
      </c>
    </row>
    <row r="33" spans="1:11" x14ac:dyDescent="0.25">
      <c r="A33" s="4">
        <v>29</v>
      </c>
      <c r="B33" s="38"/>
      <c r="C33" s="38" t="s">
        <v>2</v>
      </c>
      <c r="D33" s="38"/>
      <c r="E33" s="38" t="s">
        <v>2</v>
      </c>
      <c r="F33" s="38"/>
      <c r="G33" s="38" t="s">
        <v>2</v>
      </c>
      <c r="H33" s="38"/>
      <c r="I33" s="40" t="s">
        <v>51</v>
      </c>
      <c r="J33" s="40" t="str">
        <f t="shared" si="4"/>
        <v>sex</v>
      </c>
      <c r="K33" s="60">
        <v>0</v>
      </c>
    </row>
    <row r="34" spans="1:11" x14ac:dyDescent="0.25">
      <c r="A34" s="4">
        <v>30</v>
      </c>
      <c r="B34" s="38"/>
      <c r="C34" s="38"/>
      <c r="D34" s="38"/>
      <c r="E34" s="38" t="s">
        <v>2</v>
      </c>
      <c r="F34" s="38" t="s">
        <v>6</v>
      </c>
      <c r="G34" s="38" t="s">
        <v>6</v>
      </c>
      <c r="H34" s="38"/>
      <c r="I34" s="40" t="s">
        <v>52</v>
      </c>
      <c r="J34" s="40" t="str">
        <f t="shared" si="4"/>
        <v>sáb</v>
      </c>
      <c r="K34" s="60">
        <v>0</v>
      </c>
    </row>
    <row r="35" spans="1:11" x14ac:dyDescent="0.25">
      <c r="A35" s="4">
        <v>31</v>
      </c>
      <c r="B35" s="38"/>
      <c r="C35" s="38"/>
      <c r="D35" s="38"/>
      <c r="E35" s="38"/>
      <c r="F35" s="38" t="s">
        <v>2</v>
      </c>
      <c r="G35" s="38" t="s">
        <v>2</v>
      </c>
      <c r="H35" s="38"/>
      <c r="I35" s="40" t="s">
        <v>53</v>
      </c>
      <c r="J35" s="40" t="str">
        <f t="shared" si="4"/>
        <v>dom</v>
      </c>
      <c r="K35" s="60">
        <v>0</v>
      </c>
    </row>
    <row r="36" spans="1:11" x14ac:dyDescent="0.25">
      <c r="A36" s="4">
        <v>32</v>
      </c>
      <c r="B36" s="38"/>
      <c r="C36" s="38"/>
      <c r="D36" s="38"/>
      <c r="E36" s="38"/>
      <c r="F36" s="38"/>
      <c r="G36" s="38"/>
      <c r="H36" s="38"/>
    </row>
    <row r="37" spans="1:11" x14ac:dyDescent="0.25">
      <c r="A37" s="4">
        <v>33</v>
      </c>
      <c r="B37" s="38"/>
      <c r="C37" s="38"/>
      <c r="D37" s="38"/>
      <c r="E37" s="38"/>
      <c r="F37" s="38"/>
      <c r="G37" s="38"/>
      <c r="H37" s="38"/>
    </row>
    <row r="38" spans="1:11" x14ac:dyDescent="0.25">
      <c r="A38" s="4">
        <v>34</v>
      </c>
      <c r="B38" s="38"/>
      <c r="C38" s="38"/>
      <c r="D38" s="38"/>
      <c r="E38" s="38"/>
      <c r="F38" s="38"/>
      <c r="G38" s="38"/>
      <c r="H38" s="38"/>
    </row>
    <row r="39" spans="1:11" x14ac:dyDescent="0.25">
      <c r="A39" s="4">
        <v>35</v>
      </c>
      <c r="B39" s="38"/>
      <c r="C39" s="38" t="s">
        <v>2</v>
      </c>
      <c r="D39" s="38"/>
      <c r="E39" s="38" t="s">
        <v>2</v>
      </c>
      <c r="F39" s="38"/>
      <c r="G39" s="38" t="s">
        <v>2</v>
      </c>
      <c r="H39" s="38"/>
    </row>
    <row r="40" spans="1:11" x14ac:dyDescent="0.25">
      <c r="A40" s="4">
        <v>36</v>
      </c>
      <c r="B40" s="38"/>
      <c r="C40" s="38"/>
      <c r="D40" s="38"/>
      <c r="E40" s="38" t="s">
        <v>2</v>
      </c>
      <c r="F40" s="38"/>
      <c r="G40" s="38"/>
      <c r="H40" s="38" t="s">
        <v>2</v>
      </c>
    </row>
    <row r="41" spans="1:11" x14ac:dyDescent="0.25">
      <c r="A41" s="4">
        <v>37</v>
      </c>
      <c r="B41" s="38" t="s">
        <v>2</v>
      </c>
      <c r="C41" s="38"/>
      <c r="D41" s="38"/>
      <c r="E41" s="38" t="s">
        <v>2</v>
      </c>
      <c r="F41" s="38"/>
      <c r="G41" s="38" t="s">
        <v>2</v>
      </c>
      <c r="H41" s="38"/>
    </row>
    <row r="42" spans="1:11" x14ac:dyDescent="0.25">
      <c r="A42" s="4">
        <v>38</v>
      </c>
      <c r="B42" s="38"/>
      <c r="C42" s="38"/>
      <c r="D42" s="38"/>
      <c r="E42" s="38"/>
      <c r="F42" s="38"/>
      <c r="G42" s="38"/>
      <c r="H42" s="38"/>
    </row>
    <row r="43" spans="1:11" x14ac:dyDescent="0.25">
      <c r="A43" s="4">
        <v>39</v>
      </c>
      <c r="B43" s="38"/>
      <c r="C43" s="38"/>
      <c r="D43" s="38" t="s">
        <v>6</v>
      </c>
      <c r="E43" s="38"/>
      <c r="F43" s="38"/>
      <c r="G43" s="38"/>
      <c r="H43" s="38"/>
    </row>
    <row r="44" spans="1:11" x14ac:dyDescent="0.25">
      <c r="A44" s="4">
        <v>40</v>
      </c>
      <c r="B44" s="38"/>
      <c r="C44" s="38"/>
      <c r="D44" s="38"/>
      <c r="E44" s="38"/>
      <c r="F44" s="38" t="s">
        <v>2</v>
      </c>
      <c r="G44" s="38"/>
      <c r="H44" s="38"/>
    </row>
    <row r="45" spans="1:11" x14ac:dyDescent="0.25">
      <c r="A45" s="4">
        <v>41</v>
      </c>
      <c r="B45" s="38"/>
      <c r="C45" s="38"/>
      <c r="D45" s="38"/>
      <c r="E45" s="38"/>
      <c r="F45" s="38"/>
      <c r="G45" s="38"/>
      <c r="H45" s="38"/>
    </row>
    <row r="46" spans="1:11" x14ac:dyDescent="0.25">
      <c r="A46" s="4">
        <v>42</v>
      </c>
      <c r="B46" s="38"/>
      <c r="C46" s="38"/>
      <c r="D46" s="38"/>
      <c r="E46" s="38"/>
      <c r="F46" s="38"/>
      <c r="G46" s="38"/>
      <c r="H46" s="38"/>
    </row>
    <row r="47" spans="1:11" x14ac:dyDescent="0.25">
      <c r="A47" s="4">
        <v>43</v>
      </c>
      <c r="B47" s="38"/>
      <c r="C47" s="38"/>
      <c r="D47" s="38"/>
      <c r="E47" s="38"/>
      <c r="F47" s="38"/>
      <c r="G47" s="38"/>
      <c r="H47" s="38"/>
    </row>
    <row r="48" spans="1:11" x14ac:dyDescent="0.25">
      <c r="A48" s="4">
        <v>44</v>
      </c>
      <c r="B48" s="38"/>
      <c r="C48" s="38"/>
      <c r="D48" s="38"/>
      <c r="E48" s="38"/>
      <c r="F48" s="38"/>
      <c r="G48" s="38"/>
      <c r="H48" s="38"/>
    </row>
    <row r="49" spans="1:8" x14ac:dyDescent="0.25">
      <c r="A49" s="4">
        <v>45</v>
      </c>
      <c r="B49" s="38"/>
      <c r="C49" s="38"/>
      <c r="D49" s="38"/>
      <c r="E49" s="38"/>
      <c r="F49" s="38" t="s">
        <v>2</v>
      </c>
      <c r="G49" s="38" t="s">
        <v>2</v>
      </c>
      <c r="H49" s="38"/>
    </row>
    <row r="50" spans="1:8" x14ac:dyDescent="0.25">
      <c r="A50" s="4">
        <v>46</v>
      </c>
      <c r="B50" s="38" t="s">
        <v>2</v>
      </c>
      <c r="C50" s="38" t="s">
        <v>2</v>
      </c>
      <c r="D50" s="38" t="s">
        <v>2</v>
      </c>
      <c r="E50" s="38" t="s">
        <v>2</v>
      </c>
      <c r="F50" s="38"/>
      <c r="G50" s="38"/>
      <c r="H50" s="38"/>
    </row>
    <row r="51" spans="1:8" x14ac:dyDescent="0.25">
      <c r="A51" s="4">
        <v>47</v>
      </c>
      <c r="B51" s="38" t="s">
        <v>2</v>
      </c>
      <c r="C51" s="38" t="s">
        <v>2</v>
      </c>
      <c r="D51" s="38" t="s">
        <v>2</v>
      </c>
      <c r="E51" s="38" t="s">
        <v>7</v>
      </c>
      <c r="F51" s="38" t="s">
        <v>2</v>
      </c>
      <c r="G51" s="38" t="s">
        <v>2</v>
      </c>
      <c r="H51" s="38" t="s">
        <v>2</v>
      </c>
    </row>
    <row r="52" spans="1:8" x14ac:dyDescent="0.25">
      <c r="A52" s="4">
        <v>48</v>
      </c>
      <c r="B52" s="38" t="s">
        <v>2</v>
      </c>
      <c r="C52" s="38"/>
      <c r="D52" s="38" t="s">
        <v>7</v>
      </c>
      <c r="E52" s="38"/>
      <c r="F52" s="38" t="s">
        <v>7</v>
      </c>
      <c r="G52" s="38"/>
      <c r="H52" s="38" t="s">
        <v>2</v>
      </c>
    </row>
    <row r="53" spans="1:8" x14ac:dyDescent="0.25">
      <c r="A53" s="4">
        <v>49</v>
      </c>
      <c r="B53" s="38" t="s">
        <v>2</v>
      </c>
      <c r="C53" s="38"/>
      <c r="D53" s="38" t="s">
        <v>2</v>
      </c>
      <c r="E53" s="38"/>
      <c r="F53" s="38" t="s">
        <v>2</v>
      </c>
      <c r="G53" s="38"/>
      <c r="H53" s="38" t="s">
        <v>2</v>
      </c>
    </row>
    <row r="54" spans="1:8" x14ac:dyDescent="0.25">
      <c r="A54" s="4">
        <v>50</v>
      </c>
      <c r="B54" s="38"/>
      <c r="C54" s="38"/>
      <c r="D54" s="38"/>
      <c r="E54" s="38"/>
      <c r="F54" s="38"/>
      <c r="G54" s="38"/>
      <c r="H54" s="38"/>
    </row>
    <row r="55" spans="1:8" x14ac:dyDescent="0.25">
      <c r="A55" s="4">
        <v>51</v>
      </c>
      <c r="B55" s="38"/>
      <c r="C55" s="38"/>
      <c r="D55" s="38"/>
      <c r="E55" s="38"/>
      <c r="F55" s="38"/>
      <c r="G55" s="38"/>
      <c r="H55" s="38"/>
    </row>
    <row r="56" spans="1:8" x14ac:dyDescent="0.25">
      <c r="A56" s="4">
        <v>52</v>
      </c>
      <c r="B56" s="38"/>
      <c r="C56" s="38"/>
      <c r="D56" s="38"/>
      <c r="E56" s="38"/>
      <c r="F56" s="38" t="s">
        <v>2</v>
      </c>
      <c r="G56" s="38" t="s">
        <v>2</v>
      </c>
      <c r="H56" s="38"/>
    </row>
    <row r="57" spans="1:8" x14ac:dyDescent="0.25">
      <c r="A57" s="4">
        <v>53</v>
      </c>
      <c r="B57" s="38"/>
      <c r="C57" s="38"/>
      <c r="D57" s="38"/>
      <c r="E57" s="38"/>
      <c r="F57" s="38"/>
      <c r="G57" s="38"/>
      <c r="H57" s="38"/>
    </row>
    <row r="58" spans="1:8" x14ac:dyDescent="0.25">
      <c r="A58" s="4">
        <v>54</v>
      </c>
      <c r="B58" s="38"/>
      <c r="C58" s="38"/>
      <c r="D58" s="38"/>
      <c r="E58" s="38"/>
      <c r="F58" s="38"/>
      <c r="G58" s="38"/>
      <c r="H58" s="38"/>
    </row>
    <row r="59" spans="1:8" x14ac:dyDescent="0.25">
      <c r="A59" s="4">
        <v>55</v>
      </c>
      <c r="B59" s="38"/>
      <c r="C59" s="38"/>
      <c r="D59" s="38"/>
      <c r="E59" s="38"/>
      <c r="F59" s="38"/>
      <c r="G59" s="38"/>
      <c r="H59" s="38"/>
    </row>
    <row r="60" spans="1:8" x14ac:dyDescent="0.25">
      <c r="A60" s="4">
        <v>56</v>
      </c>
      <c r="B60" s="38"/>
      <c r="C60" s="38"/>
      <c r="D60" s="38"/>
      <c r="E60" s="38"/>
      <c r="F60" s="38"/>
      <c r="G60" s="38"/>
      <c r="H60" s="38"/>
    </row>
    <row r="61" spans="1:8" x14ac:dyDescent="0.25">
      <c r="A61" s="4">
        <v>73</v>
      </c>
      <c r="B61" s="38"/>
      <c r="C61" s="38"/>
      <c r="D61" s="38" t="s">
        <v>2</v>
      </c>
      <c r="E61" s="38"/>
      <c r="F61" s="38" t="s">
        <v>6</v>
      </c>
      <c r="G61" s="38"/>
      <c r="H61" s="38"/>
    </row>
    <row r="62" spans="1:8" x14ac:dyDescent="0.25">
      <c r="A62" s="4">
        <v>74</v>
      </c>
      <c r="B62" s="38"/>
      <c r="C62" s="38" t="s">
        <v>5</v>
      </c>
      <c r="D62" s="38"/>
      <c r="E62" s="38"/>
      <c r="F62" s="38" t="s">
        <v>2</v>
      </c>
      <c r="G62" s="38"/>
      <c r="H62" s="38"/>
    </row>
    <row r="63" spans="1:8" x14ac:dyDescent="0.25">
      <c r="A63" s="4">
        <v>101</v>
      </c>
      <c r="B63" s="39" t="s">
        <v>7</v>
      </c>
      <c r="C63" s="38" t="s">
        <v>2</v>
      </c>
      <c r="D63" s="38" t="s">
        <v>2</v>
      </c>
      <c r="E63" s="38" t="s">
        <v>2</v>
      </c>
      <c r="F63" s="38" t="s">
        <v>2</v>
      </c>
      <c r="G63" s="38" t="s">
        <v>2</v>
      </c>
      <c r="H63" s="38" t="s">
        <v>2</v>
      </c>
    </row>
    <row r="64" spans="1:8" x14ac:dyDescent="0.25">
      <c r="A64" s="4">
        <v>102</v>
      </c>
      <c r="B64" s="38"/>
      <c r="C64" s="38"/>
      <c r="D64" s="38"/>
      <c r="E64" s="38"/>
      <c r="F64" s="38"/>
      <c r="G64" s="38"/>
      <c r="H64" s="38"/>
    </row>
    <row r="65" spans="1:8" x14ac:dyDescent="0.25">
      <c r="A65" s="4">
        <v>103</v>
      </c>
      <c r="B65" s="38" t="s">
        <v>2</v>
      </c>
      <c r="C65" s="38" t="s">
        <v>2</v>
      </c>
      <c r="D65" s="38" t="s">
        <v>7</v>
      </c>
      <c r="E65" s="38" t="s">
        <v>7</v>
      </c>
      <c r="F65" s="38" t="s">
        <v>2</v>
      </c>
      <c r="G65" s="38" t="s">
        <v>2</v>
      </c>
      <c r="H65" s="38" t="s">
        <v>2</v>
      </c>
    </row>
    <row r="66" spans="1:8" x14ac:dyDescent="0.25">
      <c r="A66" s="4">
        <v>104</v>
      </c>
      <c r="B66" s="38" t="s">
        <v>2</v>
      </c>
      <c r="C66" s="38" t="s">
        <v>2</v>
      </c>
      <c r="D66" s="38" t="s">
        <v>2</v>
      </c>
      <c r="E66" s="38" t="s">
        <v>2</v>
      </c>
      <c r="F66" s="38" t="s">
        <v>7</v>
      </c>
      <c r="G66" s="38" t="s">
        <v>6</v>
      </c>
      <c r="H66" s="38" t="s">
        <v>2</v>
      </c>
    </row>
    <row r="67" spans="1:8" x14ac:dyDescent="0.25">
      <c r="A67" s="4">
        <v>105</v>
      </c>
      <c r="B67" s="38"/>
      <c r="C67" s="38"/>
      <c r="D67" s="38"/>
      <c r="E67" s="38"/>
      <c r="F67" s="38"/>
      <c r="G67" s="38"/>
      <c r="H67" s="38"/>
    </row>
    <row r="68" spans="1:8" x14ac:dyDescent="0.25">
      <c r="A68" s="4">
        <v>106</v>
      </c>
      <c r="B68" s="38"/>
      <c r="C68" s="38"/>
      <c r="D68" s="38"/>
      <c r="E68" s="38"/>
      <c r="F68" s="38"/>
      <c r="G68" s="38"/>
      <c r="H68" s="38" t="s">
        <v>2</v>
      </c>
    </row>
    <row r="69" spans="1:8" x14ac:dyDescent="0.25">
      <c r="A69" s="4">
        <v>107</v>
      </c>
      <c r="B69" s="38"/>
      <c r="C69" s="38"/>
      <c r="D69" s="38"/>
      <c r="E69" s="38"/>
      <c r="F69" s="38"/>
      <c r="G69" s="38"/>
      <c r="H69" s="38"/>
    </row>
    <row r="70" spans="1:8" x14ac:dyDescent="0.25">
      <c r="A70" s="4">
        <v>108</v>
      </c>
      <c r="B70" s="38"/>
      <c r="C70" s="38"/>
      <c r="D70" s="38"/>
      <c r="E70" s="38"/>
      <c r="F70" s="38"/>
      <c r="G70" s="38"/>
      <c r="H70" s="38"/>
    </row>
    <row r="71" spans="1:8" x14ac:dyDescent="0.25">
      <c r="A71" s="4">
        <v>109</v>
      </c>
      <c r="B71" s="38"/>
      <c r="C71" s="38"/>
      <c r="D71" s="38"/>
      <c r="E71" s="38"/>
      <c r="F71" s="38"/>
      <c r="G71" s="38"/>
      <c r="H71" s="38"/>
    </row>
    <row r="72" spans="1:8" x14ac:dyDescent="0.25">
      <c r="A72" s="4">
        <v>110</v>
      </c>
      <c r="B72" s="38"/>
      <c r="C72" s="38"/>
      <c r="D72" s="38"/>
      <c r="E72" s="38"/>
      <c r="F72" s="38"/>
      <c r="G72" s="38"/>
      <c r="H72" s="38"/>
    </row>
    <row r="73" spans="1:8" x14ac:dyDescent="0.25">
      <c r="A73" s="4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4">
        <v>112</v>
      </c>
      <c r="B74" s="38" t="s">
        <v>2</v>
      </c>
      <c r="C74" s="38" t="s">
        <v>2</v>
      </c>
      <c r="D74" s="38" t="s">
        <v>7</v>
      </c>
      <c r="E74" s="38" t="s">
        <v>2</v>
      </c>
      <c r="F74" s="38" t="s">
        <v>2</v>
      </c>
      <c r="G74" s="38" t="s">
        <v>2</v>
      </c>
      <c r="H74" s="38" t="s">
        <v>7</v>
      </c>
    </row>
    <row r="75" spans="1:8" x14ac:dyDescent="0.25">
      <c r="A75" s="4">
        <v>113</v>
      </c>
      <c r="B75" s="38"/>
      <c r="C75" s="38"/>
      <c r="D75" s="38"/>
      <c r="E75" s="38"/>
      <c r="F75" s="38"/>
      <c r="G75" s="38" t="s">
        <v>2</v>
      </c>
      <c r="H75" s="38"/>
    </row>
    <row r="76" spans="1:8" x14ac:dyDescent="0.25">
      <c r="A76" s="4">
        <v>114</v>
      </c>
      <c r="B76" s="38" t="s">
        <v>2</v>
      </c>
      <c r="C76" s="38" t="s">
        <v>7</v>
      </c>
      <c r="D76" s="38" t="s">
        <v>2</v>
      </c>
      <c r="E76" s="38" t="s">
        <v>2</v>
      </c>
      <c r="F76" s="38" t="s">
        <v>2</v>
      </c>
      <c r="G76" s="38" t="s">
        <v>2</v>
      </c>
      <c r="H76" s="38" t="s">
        <v>2</v>
      </c>
    </row>
    <row r="77" spans="1:8" x14ac:dyDescent="0.25">
      <c r="A77" s="4">
        <v>115</v>
      </c>
      <c r="B77" s="38"/>
      <c r="C77" s="38" t="s">
        <v>2</v>
      </c>
      <c r="D77" s="38" t="s">
        <v>2</v>
      </c>
      <c r="E77" s="38" t="s">
        <v>2</v>
      </c>
      <c r="F77" s="38" t="s">
        <v>2</v>
      </c>
      <c r="G77" s="38" t="s">
        <v>2</v>
      </c>
      <c r="H77" s="38" t="s">
        <v>2</v>
      </c>
    </row>
    <row r="78" spans="1:8" x14ac:dyDescent="0.25">
      <c r="A78" s="4">
        <v>116</v>
      </c>
      <c r="B78" s="38" t="s">
        <v>2</v>
      </c>
      <c r="C78" s="38"/>
      <c r="D78" s="38"/>
      <c r="E78" s="38"/>
      <c r="F78" s="38"/>
      <c r="G78" s="38"/>
      <c r="H78" s="38"/>
    </row>
    <row r="79" spans="1:8" x14ac:dyDescent="0.25">
      <c r="A79" s="4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4">
        <v>118</v>
      </c>
      <c r="B80" s="38"/>
      <c r="C80" s="38" t="s">
        <v>2</v>
      </c>
      <c r="D80" s="38" t="s">
        <v>6</v>
      </c>
      <c r="E80" s="38"/>
      <c r="F80" s="38"/>
      <c r="G80" s="38"/>
      <c r="H80" s="38"/>
    </row>
    <row r="81" spans="1:8" x14ac:dyDescent="0.25">
      <c r="A81" s="4">
        <v>119</v>
      </c>
      <c r="B81" s="38"/>
      <c r="C81" s="38"/>
      <c r="D81" s="38"/>
      <c r="E81" s="38"/>
      <c r="F81" s="38"/>
      <c r="G81" s="38"/>
      <c r="H81" s="38" t="s">
        <v>2</v>
      </c>
    </row>
    <row r="82" spans="1:8" x14ac:dyDescent="0.25">
      <c r="A82" s="4">
        <v>120</v>
      </c>
      <c r="B82" s="38"/>
      <c r="C82" s="38" t="s">
        <v>2</v>
      </c>
      <c r="D82" s="38"/>
      <c r="E82" s="38" t="s">
        <v>2</v>
      </c>
      <c r="F82" s="38"/>
      <c r="G82" s="38" t="s">
        <v>2</v>
      </c>
      <c r="H82" s="38"/>
    </row>
    <row r="83" spans="1:8" x14ac:dyDescent="0.25">
      <c r="A83" s="4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4">
        <v>122</v>
      </c>
      <c r="B84" s="38" t="s">
        <v>2</v>
      </c>
      <c r="C84" s="38"/>
      <c r="D84" s="38" t="s">
        <v>2</v>
      </c>
      <c r="E84" s="38"/>
      <c r="F84" s="38" t="s">
        <v>2</v>
      </c>
      <c r="G84" s="38"/>
      <c r="H84" s="38" t="s">
        <v>2</v>
      </c>
    </row>
    <row r="85" spans="1:8" x14ac:dyDescent="0.25">
      <c r="A85" s="4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4">
        <v>124</v>
      </c>
      <c r="B86" s="38" t="s">
        <v>2</v>
      </c>
      <c r="C86" s="38"/>
      <c r="D86" s="38" t="s">
        <v>2</v>
      </c>
      <c r="E86" s="38"/>
      <c r="F86" s="38" t="s">
        <v>7</v>
      </c>
      <c r="G86" s="38"/>
      <c r="H86" s="38"/>
    </row>
    <row r="87" spans="1:8" x14ac:dyDescent="0.25">
      <c r="A87" s="4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4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4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4">
        <v>128</v>
      </c>
      <c r="B90" s="38"/>
      <c r="C90" s="38"/>
      <c r="D90" s="38"/>
      <c r="E90" s="38"/>
      <c r="F90" s="38"/>
      <c r="G90" s="38"/>
      <c r="H90" s="38"/>
    </row>
    <row r="91" spans="1:8" x14ac:dyDescent="0.25">
      <c r="A91" s="4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4">
        <v>130</v>
      </c>
      <c r="B92" s="38"/>
      <c r="C92" s="38"/>
      <c r="D92" s="38"/>
      <c r="E92" s="38"/>
      <c r="F92" s="38"/>
      <c r="G92" s="38"/>
      <c r="H92" s="38"/>
    </row>
    <row r="93" spans="1:8" x14ac:dyDescent="0.25">
      <c r="A93" s="4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4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4">
        <v>133</v>
      </c>
      <c r="B95" s="38"/>
      <c r="C95" s="38" t="s">
        <v>2</v>
      </c>
      <c r="D95" s="38"/>
      <c r="E95" s="38" t="s">
        <v>2</v>
      </c>
      <c r="F95" s="38"/>
      <c r="G95" s="38"/>
      <c r="H95" s="38" t="s">
        <v>2</v>
      </c>
    </row>
  </sheetData>
  <mergeCells count="5">
    <mergeCell ref="A1:H2"/>
    <mergeCell ref="I27:K27"/>
    <mergeCell ref="I28:J28"/>
    <mergeCell ref="I18:J18"/>
    <mergeCell ref="I17:K17"/>
  </mergeCells>
  <phoneticPr fontId="16" type="noConversion"/>
  <conditionalFormatting sqref="B61:I62 I5:I16 B63:H95 I29:I60 I19:I26">
    <cfRule type="cellIs" dxfId="757" priority="18" operator="equal">
      <formula>"Energia"</formula>
    </cfRule>
    <cfRule type="cellIs" dxfId="756" priority="20" operator="equal">
      <formula>"Operação"</formula>
    </cfRule>
    <cfRule type="cellIs" dxfId="755" priority="21" operator="equal">
      <formula>"Chuva"</formula>
    </cfRule>
    <cfRule type="cellIs" dxfId="754" priority="22" operator="equal">
      <formula>"Elétrico"</formula>
    </cfRule>
    <cfRule type="cellIs" dxfId="753" priority="23" operator="equal">
      <formula>"Mecânico"</formula>
    </cfRule>
    <cfRule type="cellIs" dxfId="752" priority="24" operator="equal">
      <formula>"Ok"</formula>
    </cfRule>
  </conditionalFormatting>
  <conditionalFormatting sqref="B61:I62 I5:I16 B63:H95 I29:I60 I19:I26">
    <cfRule type="cellIs" dxfId="751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750" priority="16" operator="equal">
      <formula>"Energia"</formula>
    </cfRule>
  </conditionalFormatting>
  <conditionalFormatting sqref="G5:H60 B5:E60">
    <cfRule type="cellIs" dxfId="749" priority="9" operator="equal">
      <formula>"Energia"</formula>
    </cfRule>
    <cfRule type="cellIs" dxfId="748" priority="11" operator="equal">
      <formula>"Operação"</formula>
    </cfRule>
    <cfRule type="cellIs" dxfId="747" priority="12" operator="equal">
      <formula>"Chuva"</formula>
    </cfRule>
    <cfRule type="cellIs" dxfId="746" priority="13" operator="equal">
      <formula>"Elétrico"</formula>
    </cfRule>
    <cfRule type="cellIs" dxfId="745" priority="14" operator="equal">
      <formula>"Mecânico"</formula>
    </cfRule>
    <cfRule type="cellIs" dxfId="744" priority="15" operator="equal">
      <formula>"Ok"</formula>
    </cfRule>
  </conditionalFormatting>
  <conditionalFormatting sqref="G5:H60 B5:E60">
    <cfRule type="cellIs" dxfId="743" priority="10" operator="equal">
      <formula>"Feito"</formula>
    </cfRule>
  </conditionalFormatting>
  <conditionalFormatting sqref="F5:F11">
    <cfRule type="cellIs" dxfId="742" priority="8" operator="equal">
      <formula>"Energia"</formula>
    </cfRule>
  </conditionalFormatting>
  <conditionalFormatting sqref="F5:F60">
    <cfRule type="cellIs" dxfId="741" priority="1" operator="equal">
      <formula>"Energia"</formula>
    </cfRule>
    <cfRule type="cellIs" dxfId="740" priority="3" operator="equal">
      <formula>"Operação"</formula>
    </cfRule>
    <cfRule type="cellIs" dxfId="739" priority="4" operator="equal">
      <formula>"Chuva"</formula>
    </cfRule>
    <cfRule type="cellIs" dxfId="738" priority="5" operator="equal">
      <formula>"Elétrico"</formula>
    </cfRule>
    <cfRule type="cellIs" dxfId="737" priority="6" operator="equal">
      <formula>"Mecânico"</formula>
    </cfRule>
    <cfRule type="cellIs" dxfId="736" priority="7" operator="equal">
      <formula>"Ok"</formula>
    </cfRule>
  </conditionalFormatting>
  <conditionalFormatting sqref="F5:F60">
    <cfRule type="cellIs" dxfId="735" priority="2" operator="equal">
      <formula>"Feito"</formula>
    </cfRule>
  </conditionalFormatting>
  <dataValidations count="1">
    <dataValidation type="list" allowBlank="1" showInputMessage="1" showErrorMessage="1" sqref="B63:H95 J36:J60 B5:H62 I29:I62 I19:I26 I5:I16" xr:uid="{0010675C-B201-4EB8-AA13-623133428336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legacy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6D20E-DAC3-4439-BDCF-4E259E049E2A}">
  <sheetPr>
    <tabColor theme="8"/>
  </sheetPr>
  <dimension ref="A1:Q95"/>
  <sheetViews>
    <sheetView showGridLines="0" zoomScaleNormal="100" workbookViewId="0">
      <pane ySplit="4" topLeftCell="A5" activePane="bottomLeft" state="frozen"/>
      <selection pane="bottomLeft" activeCell="J5" sqref="J5:M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2" max="12" width="12.7109375" bestFit="1" customWidth="1"/>
    <col min="13" max="13" width="11.85546875" bestFit="1" customWidth="1"/>
    <col min="15" max="15" width="13.14062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57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4" t="s">
        <v>16</v>
      </c>
      <c r="B3" s="23">
        <v>44760</v>
      </c>
      <c r="C3" s="23">
        <f>B3+1</f>
        <v>44761</v>
      </c>
      <c r="D3" s="23">
        <f t="shared" ref="D3:H3" si="0">C3+1</f>
        <v>44762</v>
      </c>
      <c r="E3" s="23">
        <f t="shared" si="0"/>
        <v>44763</v>
      </c>
      <c r="F3" s="23">
        <f t="shared" si="0"/>
        <v>44764</v>
      </c>
      <c r="G3" s="23">
        <f t="shared" si="0"/>
        <v>44765</v>
      </c>
      <c r="H3" s="25">
        <f t="shared" si="0"/>
        <v>44766</v>
      </c>
      <c r="I3" s="3"/>
    </row>
    <row r="4" spans="1:17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  <c r="Q4" t="s">
        <v>34</v>
      </c>
    </row>
    <row r="5" spans="1:17" x14ac:dyDescent="0.25">
      <c r="A5" s="4">
        <v>1</v>
      </c>
      <c r="B5" s="38"/>
      <c r="C5" s="38"/>
      <c r="D5" s="38"/>
      <c r="E5" s="38"/>
      <c r="F5" s="38"/>
      <c r="G5" s="38"/>
      <c r="H5" s="38"/>
      <c r="J5" s="48" t="s">
        <v>2</v>
      </c>
      <c r="K5">
        <f>COUNTIF($B$5:$H$95,J5)</f>
        <v>121</v>
      </c>
      <c r="L5" s="34">
        <f t="shared" ref="L5:L10" si="2">K5/$K$11</f>
        <v>0.88321167883211682</v>
      </c>
      <c r="M5" s="52">
        <f>B3</f>
        <v>44760</v>
      </c>
      <c r="O5" t="s">
        <v>44</v>
      </c>
      <c r="P5">
        <v>115</v>
      </c>
      <c r="Q5" s="52">
        <f>M5</f>
        <v>44760</v>
      </c>
    </row>
    <row r="6" spans="1:17" x14ac:dyDescent="0.25">
      <c r="A6" s="4">
        <v>2</v>
      </c>
      <c r="B6" s="38" t="s">
        <v>2</v>
      </c>
      <c r="C6" s="38" t="s">
        <v>2</v>
      </c>
      <c r="D6" s="38"/>
      <c r="E6" s="38"/>
      <c r="F6" s="38"/>
      <c r="G6" s="38"/>
      <c r="H6" s="38"/>
      <c r="J6" s="42" t="s">
        <v>5</v>
      </c>
      <c r="K6">
        <f>COUNTIF($B$5:$H$95,J6)</f>
        <v>3</v>
      </c>
      <c r="L6" s="35">
        <f t="shared" si="2"/>
        <v>2.1897810218978103E-2</v>
      </c>
      <c r="O6" t="s">
        <v>46</v>
      </c>
      <c r="P6">
        <f>SUM(K19:K25)</f>
        <v>15</v>
      </c>
    </row>
    <row r="7" spans="1:17" x14ac:dyDescent="0.25">
      <c r="A7" s="4">
        <v>3</v>
      </c>
      <c r="B7" s="38" t="s">
        <v>2</v>
      </c>
      <c r="C7" s="38" t="s">
        <v>2</v>
      </c>
      <c r="D7" s="38" t="s">
        <v>2</v>
      </c>
      <c r="E7" s="38"/>
      <c r="F7" s="38"/>
      <c r="G7" s="38"/>
      <c r="H7" s="38"/>
      <c r="J7" s="46" t="s">
        <v>6</v>
      </c>
      <c r="K7">
        <f t="shared" ref="K7:K10" si="3">COUNTIF($B$5:$H$95,J7)</f>
        <v>5</v>
      </c>
      <c r="L7" s="35">
        <f t="shared" si="2"/>
        <v>3.6496350364963501E-2</v>
      </c>
      <c r="O7" t="s">
        <v>45</v>
      </c>
      <c r="P7">
        <f>SUM(K29:K35)</f>
        <v>3</v>
      </c>
    </row>
    <row r="8" spans="1:17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/>
      <c r="G8" s="38"/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  <c r="O8" s="65" t="s">
        <v>17</v>
      </c>
      <c r="P8" s="65">
        <f>P5+P6-P7</f>
        <v>127</v>
      </c>
    </row>
    <row r="9" spans="1:17" x14ac:dyDescent="0.25">
      <c r="A9" s="4">
        <v>5</v>
      </c>
      <c r="B9" s="38"/>
      <c r="C9" s="38"/>
      <c r="D9" s="38" t="s">
        <v>2</v>
      </c>
      <c r="E9" s="38" t="s">
        <v>2</v>
      </c>
      <c r="F9" s="38"/>
      <c r="G9" s="38" t="s">
        <v>2</v>
      </c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7" x14ac:dyDescent="0.25">
      <c r="A10" s="4">
        <v>6</v>
      </c>
      <c r="B10" s="38" t="s">
        <v>2</v>
      </c>
      <c r="C10" s="38"/>
      <c r="D10" s="38"/>
      <c r="E10" s="38" t="s">
        <v>2</v>
      </c>
      <c r="F10" s="38"/>
      <c r="G10" s="38"/>
      <c r="H10" s="38" t="s">
        <v>5</v>
      </c>
      <c r="J10" s="43" t="s">
        <v>7</v>
      </c>
      <c r="K10">
        <f t="shared" si="3"/>
        <v>8</v>
      </c>
      <c r="L10" s="37">
        <f t="shared" si="2"/>
        <v>5.8394160583941604E-2</v>
      </c>
      <c r="O10" t="s">
        <v>44</v>
      </c>
      <c r="P10">
        <f>P8</f>
        <v>127</v>
      </c>
    </row>
    <row r="11" spans="1:17" x14ac:dyDescent="0.25">
      <c r="A11" s="4">
        <v>7</v>
      </c>
      <c r="B11" s="38" t="s">
        <v>2</v>
      </c>
      <c r="C11" s="38"/>
      <c r="D11" s="38"/>
      <c r="E11" s="38" t="s">
        <v>2</v>
      </c>
      <c r="F11" s="38"/>
      <c r="G11" s="38"/>
      <c r="H11" s="38" t="s">
        <v>2</v>
      </c>
      <c r="J11" s="44" t="s">
        <v>17</v>
      </c>
      <c r="K11">
        <f>SUM(K5:K10)</f>
        <v>137</v>
      </c>
    </row>
    <row r="12" spans="1:17" x14ac:dyDescent="0.25">
      <c r="A12" s="4">
        <v>8</v>
      </c>
      <c r="B12" s="38"/>
      <c r="C12" s="38" t="s">
        <v>2</v>
      </c>
      <c r="D12" s="38"/>
      <c r="E12" s="38"/>
      <c r="F12" s="38" t="s">
        <v>2</v>
      </c>
      <c r="G12" s="38"/>
      <c r="H12" s="38"/>
    </row>
    <row r="13" spans="1:17" x14ac:dyDescent="0.25">
      <c r="A13" s="4">
        <v>9</v>
      </c>
      <c r="B13" s="38" t="s">
        <v>2</v>
      </c>
      <c r="C13" s="38"/>
      <c r="D13" s="38"/>
      <c r="E13" s="38" t="s">
        <v>2</v>
      </c>
      <c r="F13" s="38"/>
      <c r="G13" s="38"/>
      <c r="H13" s="38" t="s">
        <v>2</v>
      </c>
    </row>
    <row r="14" spans="1:17" x14ac:dyDescent="0.25">
      <c r="A14" s="4">
        <v>10</v>
      </c>
      <c r="B14" s="38"/>
      <c r="C14" s="38" t="s">
        <v>5</v>
      </c>
      <c r="D14" s="38" t="s">
        <v>2</v>
      </c>
      <c r="E14" s="38" t="s">
        <v>2</v>
      </c>
      <c r="F14" s="38" t="s">
        <v>2</v>
      </c>
      <c r="G14" s="38"/>
      <c r="H14" s="38"/>
    </row>
    <row r="15" spans="1:17" x14ac:dyDescent="0.25">
      <c r="A15" s="4">
        <v>11</v>
      </c>
      <c r="B15" s="38"/>
      <c r="C15" s="38" t="s">
        <v>2</v>
      </c>
      <c r="D15" s="38"/>
      <c r="E15" s="38"/>
      <c r="F15" s="38" t="s">
        <v>2</v>
      </c>
      <c r="G15" s="38"/>
      <c r="H15" s="38"/>
      <c r="N15">
        <f>P8</f>
        <v>127</v>
      </c>
      <c r="O15" s="61">
        <f>N16/N15</f>
        <v>0.952755905511811</v>
      </c>
    </row>
    <row r="16" spans="1:17" x14ac:dyDescent="0.25">
      <c r="A16" s="4">
        <v>12</v>
      </c>
      <c r="B16" s="38" t="s">
        <v>2</v>
      </c>
      <c r="C16" s="38"/>
      <c r="D16" s="38" t="s">
        <v>2</v>
      </c>
      <c r="E16" s="38"/>
      <c r="F16" s="38" t="s">
        <v>2</v>
      </c>
      <c r="G16" s="38"/>
      <c r="H16" s="38"/>
      <c r="N16">
        <f>K5</f>
        <v>121</v>
      </c>
    </row>
    <row r="17" spans="1:11" x14ac:dyDescent="0.25">
      <c r="A17" s="4">
        <v>13</v>
      </c>
      <c r="B17" s="38" t="s">
        <v>2</v>
      </c>
      <c r="C17" s="38"/>
      <c r="D17" s="38"/>
      <c r="E17" s="38" t="s">
        <v>2</v>
      </c>
      <c r="F17" s="38"/>
      <c r="G17" s="38"/>
      <c r="H17" s="38" t="s">
        <v>2</v>
      </c>
      <c r="I17" s="71" t="s">
        <v>46</v>
      </c>
      <c r="J17" s="72"/>
      <c r="K17" s="72"/>
    </row>
    <row r="18" spans="1:11" x14ac:dyDescent="0.25">
      <c r="A18" s="4">
        <v>14</v>
      </c>
      <c r="B18" s="38" t="s">
        <v>2</v>
      </c>
      <c r="C18" s="38"/>
      <c r="D18" s="38"/>
      <c r="E18" s="38" t="s">
        <v>7</v>
      </c>
      <c r="F18" s="38"/>
      <c r="G18" s="38"/>
      <c r="H18" s="38" t="s">
        <v>2</v>
      </c>
      <c r="I18" s="71" t="s">
        <v>54</v>
      </c>
      <c r="J18" s="72"/>
      <c r="K18" t="s">
        <v>32</v>
      </c>
    </row>
    <row r="19" spans="1:11" x14ac:dyDescent="0.25">
      <c r="A19" s="4">
        <v>15</v>
      </c>
      <c r="B19" s="38"/>
      <c r="C19" s="38"/>
      <c r="D19" s="38"/>
      <c r="E19" s="38"/>
      <c r="F19" s="38"/>
      <c r="G19" s="38"/>
      <c r="H19" s="38"/>
      <c r="I19" s="40" t="s">
        <v>47</v>
      </c>
      <c r="J19" s="40" t="str">
        <f>TEXT(B3,"ddd")</f>
        <v>seg</v>
      </c>
      <c r="K19" s="60">
        <v>4</v>
      </c>
    </row>
    <row r="20" spans="1:11" x14ac:dyDescent="0.25">
      <c r="A20" s="4">
        <v>16</v>
      </c>
      <c r="B20" s="38"/>
      <c r="C20" s="38"/>
      <c r="D20" s="38"/>
      <c r="E20" s="38"/>
      <c r="F20" s="38"/>
      <c r="G20" s="38"/>
      <c r="H20" s="38"/>
      <c r="I20" s="40" t="s">
        <v>48</v>
      </c>
      <c r="J20" s="40" t="str">
        <f>TEXT(C3,"ddd")</f>
        <v>ter</v>
      </c>
      <c r="K20" s="60">
        <v>1</v>
      </c>
    </row>
    <row r="21" spans="1:11" x14ac:dyDescent="0.25">
      <c r="A21" s="4">
        <v>17</v>
      </c>
      <c r="B21" s="38"/>
      <c r="C21" s="38"/>
      <c r="D21" s="38"/>
      <c r="E21" s="38"/>
      <c r="F21" s="38"/>
      <c r="G21" s="38"/>
      <c r="H21" s="38"/>
      <c r="I21" s="40" t="s">
        <v>49</v>
      </c>
      <c r="J21" s="40" t="str">
        <f>TEXT(D3,"ddd")</f>
        <v>qua</v>
      </c>
      <c r="K21" s="60">
        <v>3</v>
      </c>
    </row>
    <row r="22" spans="1:11" x14ac:dyDescent="0.25">
      <c r="A22" s="4">
        <v>18</v>
      </c>
      <c r="B22" s="38"/>
      <c r="C22" s="38"/>
      <c r="D22" s="38"/>
      <c r="E22" s="38"/>
      <c r="F22" s="38"/>
      <c r="G22" s="38"/>
      <c r="H22" s="38"/>
      <c r="I22" s="40" t="s">
        <v>50</v>
      </c>
      <c r="J22" s="40" t="str">
        <f>TEXT(E3,"ddd")</f>
        <v>qui</v>
      </c>
      <c r="K22" s="60">
        <v>3</v>
      </c>
    </row>
    <row r="23" spans="1:11" x14ac:dyDescent="0.25">
      <c r="A23" s="4">
        <v>19</v>
      </c>
      <c r="B23" s="38"/>
      <c r="C23" s="38" t="s">
        <v>2</v>
      </c>
      <c r="D23" s="38"/>
      <c r="E23" s="38"/>
      <c r="F23" s="38"/>
      <c r="G23" s="38" t="s">
        <v>2</v>
      </c>
      <c r="H23" s="38"/>
      <c r="I23" s="40" t="s">
        <v>51</v>
      </c>
      <c r="J23" s="40" t="str">
        <f>TEXT(F3,"ddd")</f>
        <v>sex</v>
      </c>
      <c r="K23" s="60">
        <v>2</v>
      </c>
    </row>
    <row r="24" spans="1:11" x14ac:dyDescent="0.25">
      <c r="A24" s="4">
        <v>20</v>
      </c>
      <c r="B24" s="38"/>
      <c r="C24" s="38"/>
      <c r="D24" s="38"/>
      <c r="E24" s="38" t="s">
        <v>2</v>
      </c>
      <c r="F24" s="38"/>
      <c r="G24" s="38"/>
      <c r="H24" s="38"/>
      <c r="I24" s="40" t="s">
        <v>52</v>
      </c>
      <c r="J24" s="40" t="str">
        <f>TEXT(G3,"ddd")</f>
        <v>sáb</v>
      </c>
      <c r="K24" s="60"/>
    </row>
    <row r="25" spans="1:11" x14ac:dyDescent="0.25">
      <c r="A25" s="4">
        <v>21</v>
      </c>
      <c r="B25" s="38"/>
      <c r="C25" s="38"/>
      <c r="D25" s="38"/>
      <c r="E25" s="38"/>
      <c r="F25" s="38"/>
      <c r="G25" s="38"/>
      <c r="H25" s="38"/>
      <c r="I25" s="40" t="s">
        <v>53</v>
      </c>
      <c r="J25" s="40" t="str">
        <f>TEXT(H3,"ddd")</f>
        <v>dom</v>
      </c>
      <c r="K25" s="60">
        <v>2</v>
      </c>
    </row>
    <row r="26" spans="1:11" x14ac:dyDescent="0.25">
      <c r="A26" s="4">
        <v>22</v>
      </c>
      <c r="B26" s="38"/>
      <c r="C26" s="38"/>
      <c r="D26" s="38"/>
      <c r="E26" s="38"/>
      <c r="F26" s="38"/>
      <c r="G26" s="38"/>
      <c r="H26" s="38"/>
    </row>
    <row r="27" spans="1:11" x14ac:dyDescent="0.25">
      <c r="A27" s="4">
        <v>23</v>
      </c>
      <c r="B27" s="38"/>
      <c r="C27" s="38"/>
      <c r="D27" s="38"/>
      <c r="E27" s="38"/>
      <c r="F27" s="38" t="s">
        <v>5</v>
      </c>
      <c r="G27" s="38"/>
      <c r="H27" s="38"/>
      <c r="I27" s="71" t="s">
        <v>45</v>
      </c>
      <c r="J27" s="72"/>
      <c r="K27" s="72"/>
    </row>
    <row r="28" spans="1:11" x14ac:dyDescent="0.25">
      <c r="A28" s="4">
        <v>24</v>
      </c>
      <c r="B28" s="38"/>
      <c r="C28" s="38"/>
      <c r="D28" s="38"/>
      <c r="E28" s="38"/>
      <c r="F28" s="38"/>
      <c r="G28" s="38"/>
      <c r="H28" s="38"/>
      <c r="I28" s="71" t="s">
        <v>54</v>
      </c>
      <c r="J28" s="72"/>
      <c r="K28" t="s">
        <v>32</v>
      </c>
    </row>
    <row r="29" spans="1:11" x14ac:dyDescent="0.25">
      <c r="A29" s="4">
        <v>25</v>
      </c>
      <c r="B29" s="38"/>
      <c r="C29" s="38" t="s">
        <v>2</v>
      </c>
      <c r="D29" s="38"/>
      <c r="E29" s="38" t="s">
        <v>2</v>
      </c>
      <c r="F29" s="38" t="s">
        <v>2</v>
      </c>
      <c r="G29" s="38" t="s">
        <v>2</v>
      </c>
      <c r="H29" s="38"/>
      <c r="I29" s="40" t="s">
        <v>47</v>
      </c>
      <c r="J29" s="40" t="str">
        <f t="shared" ref="J29:J35" si="4">J19</f>
        <v>seg</v>
      </c>
      <c r="K29" s="60"/>
    </row>
    <row r="30" spans="1:11" x14ac:dyDescent="0.25">
      <c r="A30" s="4">
        <v>26</v>
      </c>
      <c r="B30" s="38"/>
      <c r="C30" s="38"/>
      <c r="D30" s="38"/>
      <c r="E30" s="38"/>
      <c r="F30" s="38"/>
      <c r="G30" s="38"/>
      <c r="H30" s="38"/>
      <c r="I30" s="40" t="s">
        <v>48</v>
      </c>
      <c r="J30" s="40" t="str">
        <f t="shared" si="4"/>
        <v>ter</v>
      </c>
      <c r="K30" s="60">
        <v>2</v>
      </c>
    </row>
    <row r="31" spans="1:11" x14ac:dyDescent="0.25">
      <c r="A31" s="4">
        <v>27</v>
      </c>
      <c r="B31" s="38"/>
      <c r="C31" s="38"/>
      <c r="D31" s="38"/>
      <c r="E31" s="38"/>
      <c r="F31" s="38"/>
      <c r="G31" s="38"/>
      <c r="H31" s="38"/>
      <c r="I31" s="40" t="s">
        <v>49</v>
      </c>
      <c r="J31" s="40" t="str">
        <f t="shared" si="4"/>
        <v>qua</v>
      </c>
      <c r="K31" s="60"/>
    </row>
    <row r="32" spans="1:11" x14ac:dyDescent="0.25">
      <c r="A32" s="4">
        <v>28</v>
      </c>
      <c r="B32" s="38"/>
      <c r="C32" s="38"/>
      <c r="D32" s="38"/>
      <c r="E32" s="38"/>
      <c r="F32" s="38"/>
      <c r="G32" s="38"/>
      <c r="H32" s="38"/>
      <c r="I32" s="40" t="s">
        <v>50</v>
      </c>
      <c r="J32" s="40" t="str">
        <f t="shared" si="4"/>
        <v>qui</v>
      </c>
      <c r="K32" s="60">
        <v>1</v>
      </c>
    </row>
    <row r="33" spans="1:11" x14ac:dyDescent="0.25">
      <c r="A33" s="4">
        <v>29</v>
      </c>
      <c r="B33" s="38" t="s">
        <v>2</v>
      </c>
      <c r="C33" s="38"/>
      <c r="D33" s="38" t="s">
        <v>2</v>
      </c>
      <c r="E33" s="38"/>
      <c r="F33" s="38" t="s">
        <v>2</v>
      </c>
      <c r="G33" s="38" t="s">
        <v>2</v>
      </c>
      <c r="H33" s="38"/>
      <c r="I33" s="40" t="s">
        <v>51</v>
      </c>
      <c r="J33" s="40" t="str">
        <f t="shared" si="4"/>
        <v>sex</v>
      </c>
      <c r="K33" s="60"/>
    </row>
    <row r="34" spans="1:11" x14ac:dyDescent="0.25">
      <c r="A34" s="4">
        <v>30</v>
      </c>
      <c r="B34" s="38" t="s">
        <v>7</v>
      </c>
      <c r="C34" s="38" t="s">
        <v>7</v>
      </c>
      <c r="D34" s="38" t="s">
        <v>2</v>
      </c>
      <c r="E34" s="38" t="s">
        <v>6</v>
      </c>
      <c r="F34" s="38" t="s">
        <v>2</v>
      </c>
      <c r="G34" s="38" t="s">
        <v>2</v>
      </c>
      <c r="H34" s="38" t="s">
        <v>2</v>
      </c>
      <c r="I34" s="40" t="s">
        <v>52</v>
      </c>
      <c r="J34" s="40" t="str">
        <f t="shared" si="4"/>
        <v>sáb</v>
      </c>
      <c r="K34" s="60"/>
    </row>
    <row r="35" spans="1:11" x14ac:dyDescent="0.25">
      <c r="A35" s="4">
        <v>31</v>
      </c>
      <c r="B35" s="38" t="s">
        <v>2</v>
      </c>
      <c r="C35" s="38"/>
      <c r="D35" s="38"/>
      <c r="E35" s="38"/>
      <c r="F35" s="38" t="s">
        <v>2</v>
      </c>
      <c r="G35" s="38"/>
      <c r="H35" s="38"/>
      <c r="I35" s="40" t="s">
        <v>53</v>
      </c>
      <c r="J35" s="40" t="str">
        <f t="shared" si="4"/>
        <v>dom</v>
      </c>
      <c r="K35" s="60"/>
    </row>
    <row r="36" spans="1:11" x14ac:dyDescent="0.25">
      <c r="A36" s="4">
        <v>32</v>
      </c>
      <c r="B36" s="38"/>
      <c r="C36" s="38"/>
      <c r="D36" s="38"/>
      <c r="E36" s="38"/>
      <c r="F36" s="38"/>
      <c r="G36" s="38"/>
      <c r="H36" s="38"/>
    </row>
    <row r="37" spans="1:11" x14ac:dyDescent="0.25">
      <c r="A37" s="4">
        <v>33</v>
      </c>
      <c r="B37" s="38"/>
      <c r="C37" s="38"/>
      <c r="D37" s="38"/>
      <c r="E37" s="38"/>
      <c r="F37" s="38"/>
      <c r="G37" s="38"/>
      <c r="H37" s="38"/>
    </row>
    <row r="38" spans="1:11" x14ac:dyDescent="0.25">
      <c r="A38" s="4">
        <v>34</v>
      </c>
      <c r="B38" s="38"/>
      <c r="C38" s="38"/>
      <c r="D38" s="38"/>
      <c r="E38" s="38"/>
      <c r="F38" s="38"/>
      <c r="G38" s="38"/>
      <c r="H38" s="38"/>
    </row>
    <row r="39" spans="1:11" x14ac:dyDescent="0.25">
      <c r="A39" s="4">
        <v>35</v>
      </c>
      <c r="B39" s="38" t="s">
        <v>2</v>
      </c>
      <c r="C39" s="38"/>
      <c r="D39" s="38"/>
      <c r="E39" s="38" t="s">
        <v>6</v>
      </c>
      <c r="F39" s="38"/>
      <c r="G39" s="38"/>
      <c r="H39" s="38" t="s">
        <v>2</v>
      </c>
    </row>
    <row r="40" spans="1:11" x14ac:dyDescent="0.25">
      <c r="A40" s="4">
        <v>36</v>
      </c>
      <c r="B40" s="38"/>
      <c r="C40" s="38" t="s">
        <v>2</v>
      </c>
      <c r="D40" s="38"/>
      <c r="E40" s="38"/>
      <c r="F40" s="38" t="s">
        <v>6</v>
      </c>
      <c r="G40" s="38"/>
      <c r="H40" s="38"/>
    </row>
    <row r="41" spans="1:11" x14ac:dyDescent="0.25">
      <c r="A41" s="4">
        <v>37</v>
      </c>
      <c r="B41" s="38" t="s">
        <v>2</v>
      </c>
      <c r="C41" s="38"/>
      <c r="D41" s="38"/>
      <c r="E41" s="38"/>
      <c r="F41" s="38"/>
      <c r="G41" s="38"/>
      <c r="H41" s="38"/>
    </row>
    <row r="42" spans="1:11" x14ac:dyDescent="0.25">
      <c r="A42" s="4">
        <v>38</v>
      </c>
      <c r="B42" s="38"/>
      <c r="C42" s="38"/>
      <c r="D42" s="38"/>
      <c r="E42" s="38"/>
      <c r="F42" s="38"/>
      <c r="G42" s="38"/>
      <c r="H42" s="38"/>
    </row>
    <row r="43" spans="1:11" x14ac:dyDescent="0.25">
      <c r="A43" s="4">
        <v>39</v>
      </c>
      <c r="B43" s="38"/>
      <c r="C43" s="38"/>
      <c r="D43" s="38"/>
      <c r="E43" s="38"/>
      <c r="F43" s="38"/>
      <c r="G43" s="38"/>
      <c r="H43" s="38"/>
    </row>
    <row r="44" spans="1:11" x14ac:dyDescent="0.25">
      <c r="A44" s="4">
        <v>40</v>
      </c>
      <c r="B44" s="38"/>
      <c r="C44" s="38"/>
      <c r="D44" s="38"/>
      <c r="E44" s="38"/>
      <c r="F44" s="38"/>
      <c r="G44" s="38"/>
      <c r="H44" s="38"/>
    </row>
    <row r="45" spans="1:11" x14ac:dyDescent="0.25">
      <c r="A45" s="4">
        <v>41</v>
      </c>
      <c r="B45" s="38"/>
      <c r="C45" s="38"/>
      <c r="D45" s="38"/>
      <c r="E45" s="38"/>
      <c r="F45" s="38"/>
      <c r="G45" s="38"/>
      <c r="H45" s="38"/>
    </row>
    <row r="46" spans="1:11" x14ac:dyDescent="0.25">
      <c r="A46" s="4">
        <v>42</v>
      </c>
      <c r="B46" s="38"/>
      <c r="C46" s="38"/>
      <c r="D46" s="38"/>
      <c r="E46" s="38"/>
      <c r="F46" s="38"/>
      <c r="G46" s="38"/>
      <c r="H46" s="38"/>
    </row>
    <row r="47" spans="1:11" x14ac:dyDescent="0.25">
      <c r="A47" s="4">
        <v>43</v>
      </c>
      <c r="B47" s="38"/>
      <c r="C47" s="38"/>
      <c r="D47" s="38"/>
      <c r="E47" s="38"/>
      <c r="F47" s="38"/>
      <c r="G47" s="38"/>
      <c r="H47" s="38"/>
    </row>
    <row r="48" spans="1:11" x14ac:dyDescent="0.25">
      <c r="A48" s="4">
        <v>44</v>
      </c>
      <c r="B48" s="38"/>
      <c r="C48" s="38"/>
      <c r="D48" s="38"/>
      <c r="E48" s="38"/>
      <c r="F48" s="38"/>
      <c r="G48" s="38"/>
      <c r="H48" s="38"/>
    </row>
    <row r="49" spans="1:8" x14ac:dyDescent="0.25">
      <c r="A49" s="4">
        <v>45</v>
      </c>
      <c r="B49" s="38" t="s">
        <v>2</v>
      </c>
      <c r="C49" s="38"/>
      <c r="D49" s="38" t="s">
        <v>2</v>
      </c>
      <c r="E49" s="38"/>
      <c r="F49" s="38"/>
      <c r="G49" s="38"/>
      <c r="H49" s="38"/>
    </row>
    <row r="50" spans="1:8" x14ac:dyDescent="0.25">
      <c r="A50" s="4">
        <v>46</v>
      </c>
      <c r="B50" s="38" t="s">
        <v>7</v>
      </c>
      <c r="C50" s="38" t="s">
        <v>2</v>
      </c>
      <c r="D50" s="38" t="s">
        <v>2</v>
      </c>
      <c r="E50" s="38" t="s">
        <v>2</v>
      </c>
      <c r="F50" s="38" t="s">
        <v>2</v>
      </c>
      <c r="G50" s="38" t="s">
        <v>2</v>
      </c>
      <c r="H50" s="38" t="s">
        <v>2</v>
      </c>
    </row>
    <row r="51" spans="1:8" x14ac:dyDescent="0.25">
      <c r="A51" s="4">
        <v>47</v>
      </c>
      <c r="B51" s="38" t="s">
        <v>2</v>
      </c>
      <c r="C51" s="38" t="s">
        <v>7</v>
      </c>
      <c r="D51" s="38" t="s">
        <v>2</v>
      </c>
      <c r="E51" s="38" t="s">
        <v>7</v>
      </c>
      <c r="F51" s="38" t="s">
        <v>2</v>
      </c>
      <c r="G51" s="38" t="s">
        <v>2</v>
      </c>
      <c r="H51" s="38" t="s">
        <v>2</v>
      </c>
    </row>
    <row r="52" spans="1:8" x14ac:dyDescent="0.25">
      <c r="A52" s="4">
        <v>48</v>
      </c>
      <c r="B52" s="38"/>
      <c r="C52" s="38" t="s">
        <v>2</v>
      </c>
      <c r="D52" s="38"/>
      <c r="E52" s="38"/>
      <c r="F52" s="38" t="s">
        <v>2</v>
      </c>
      <c r="G52" s="38" t="s">
        <v>2</v>
      </c>
      <c r="H52" s="38"/>
    </row>
    <row r="53" spans="1:8" x14ac:dyDescent="0.25">
      <c r="A53" s="4">
        <v>49</v>
      </c>
      <c r="B53" s="38"/>
      <c r="C53" s="38" t="s">
        <v>2</v>
      </c>
      <c r="D53" s="38"/>
      <c r="E53" s="38" t="s">
        <v>7</v>
      </c>
      <c r="F53" s="38"/>
      <c r="G53" s="38" t="s">
        <v>2</v>
      </c>
      <c r="H53" s="38"/>
    </row>
    <row r="54" spans="1:8" x14ac:dyDescent="0.25">
      <c r="A54" s="4">
        <v>50</v>
      </c>
      <c r="B54" s="38"/>
      <c r="C54" s="38"/>
      <c r="D54" s="38"/>
      <c r="E54" s="38"/>
      <c r="F54" s="38"/>
      <c r="G54" s="38"/>
      <c r="H54" s="38"/>
    </row>
    <row r="55" spans="1:8" x14ac:dyDescent="0.25">
      <c r="A55" s="4">
        <v>51</v>
      </c>
      <c r="B55" s="38"/>
      <c r="C55" s="38"/>
      <c r="D55" s="38"/>
      <c r="E55" s="38"/>
      <c r="F55" s="38"/>
      <c r="G55" s="38"/>
      <c r="H55" s="38"/>
    </row>
    <row r="56" spans="1:8" x14ac:dyDescent="0.25">
      <c r="A56" s="4">
        <v>52</v>
      </c>
      <c r="B56" s="38" t="s">
        <v>2</v>
      </c>
      <c r="C56" s="38"/>
      <c r="D56" s="38" t="s">
        <v>7</v>
      </c>
      <c r="E56" s="38"/>
      <c r="F56" s="38" t="s">
        <v>2</v>
      </c>
      <c r="G56" s="38" t="s">
        <v>2</v>
      </c>
      <c r="H56" s="38"/>
    </row>
    <row r="57" spans="1:8" x14ac:dyDescent="0.25">
      <c r="A57" s="4">
        <v>53</v>
      </c>
      <c r="B57" s="38"/>
      <c r="C57" s="38"/>
      <c r="D57" s="38"/>
      <c r="E57" s="38"/>
      <c r="F57" s="38"/>
      <c r="G57" s="38"/>
      <c r="H57" s="38"/>
    </row>
    <row r="58" spans="1:8" x14ac:dyDescent="0.25">
      <c r="A58" s="4">
        <v>54</v>
      </c>
      <c r="B58" s="38"/>
      <c r="C58" s="38"/>
      <c r="D58" s="38"/>
      <c r="E58" s="38"/>
      <c r="F58" s="38"/>
      <c r="G58" s="38"/>
      <c r="H58" s="38"/>
    </row>
    <row r="59" spans="1:8" x14ac:dyDescent="0.25">
      <c r="A59" s="4">
        <v>55</v>
      </c>
      <c r="B59" s="38"/>
      <c r="C59" s="38"/>
      <c r="D59" s="38"/>
      <c r="E59" s="38"/>
      <c r="F59" s="38"/>
      <c r="G59" s="38"/>
      <c r="H59" s="38"/>
    </row>
    <row r="60" spans="1:8" x14ac:dyDescent="0.25">
      <c r="A60" s="4">
        <v>56</v>
      </c>
      <c r="B60" s="38"/>
      <c r="C60" s="38"/>
      <c r="D60" s="38"/>
      <c r="E60" s="38"/>
      <c r="F60" s="38"/>
      <c r="G60" s="38"/>
      <c r="H60" s="38"/>
    </row>
    <row r="61" spans="1:8" x14ac:dyDescent="0.25">
      <c r="A61" s="4">
        <v>73</v>
      </c>
      <c r="B61" s="38" t="s">
        <v>6</v>
      </c>
      <c r="C61" s="38"/>
      <c r="D61" s="38"/>
      <c r="E61" s="38" t="s">
        <v>6</v>
      </c>
      <c r="F61" s="38"/>
      <c r="G61" s="38"/>
      <c r="H61" s="38" t="s">
        <v>2</v>
      </c>
    </row>
    <row r="62" spans="1:8" x14ac:dyDescent="0.25">
      <c r="A62" s="4">
        <v>74</v>
      </c>
      <c r="B62" s="38" t="s">
        <v>2</v>
      </c>
      <c r="C62" s="38"/>
      <c r="D62" s="38"/>
      <c r="E62" s="38" t="s">
        <v>2</v>
      </c>
      <c r="F62" s="38"/>
      <c r="G62" s="38"/>
      <c r="H62" s="38" t="s">
        <v>2</v>
      </c>
    </row>
    <row r="63" spans="1:8" x14ac:dyDescent="0.25">
      <c r="A63" s="4">
        <v>101</v>
      </c>
      <c r="B63" s="39" t="s">
        <v>2</v>
      </c>
      <c r="C63" s="38" t="s">
        <v>2</v>
      </c>
      <c r="D63" s="38"/>
      <c r="E63" s="38" t="s">
        <v>2</v>
      </c>
      <c r="F63" s="38"/>
      <c r="G63" s="38" t="s">
        <v>2</v>
      </c>
      <c r="H63" s="38"/>
    </row>
    <row r="64" spans="1:8" x14ac:dyDescent="0.25">
      <c r="A64" s="4">
        <v>102</v>
      </c>
      <c r="B64" s="38"/>
      <c r="C64" s="38"/>
      <c r="D64" s="38"/>
      <c r="E64" s="38"/>
      <c r="F64" s="38"/>
      <c r="G64" s="38"/>
      <c r="H64" s="38"/>
    </row>
    <row r="65" spans="1:8" x14ac:dyDescent="0.25">
      <c r="A65" s="4">
        <v>103</v>
      </c>
      <c r="B65" s="38" t="s">
        <v>2</v>
      </c>
      <c r="C65" s="38" t="s">
        <v>2</v>
      </c>
      <c r="D65" s="38" t="s">
        <v>2</v>
      </c>
      <c r="E65" s="38"/>
      <c r="F65" s="38" t="s">
        <v>2</v>
      </c>
      <c r="G65" s="38"/>
      <c r="H65" s="38" t="s">
        <v>2</v>
      </c>
    </row>
    <row r="66" spans="1:8" x14ac:dyDescent="0.25">
      <c r="A66" s="4">
        <v>104</v>
      </c>
      <c r="B66" s="38" t="s">
        <v>2</v>
      </c>
      <c r="C66" s="38" t="s">
        <v>2</v>
      </c>
      <c r="D66" s="38"/>
      <c r="E66" s="38" t="s">
        <v>2</v>
      </c>
      <c r="F66" s="38"/>
      <c r="G66" s="38" t="s">
        <v>2</v>
      </c>
      <c r="H66" s="38"/>
    </row>
    <row r="67" spans="1:8" x14ac:dyDescent="0.25">
      <c r="A67" s="4">
        <v>105</v>
      </c>
      <c r="B67" s="38"/>
      <c r="C67" s="38"/>
      <c r="D67" s="38"/>
      <c r="E67" s="38"/>
      <c r="F67" s="38"/>
      <c r="G67" s="38"/>
      <c r="H67" s="38"/>
    </row>
    <row r="68" spans="1:8" x14ac:dyDescent="0.25">
      <c r="A68" s="4">
        <v>106</v>
      </c>
      <c r="B68" s="38"/>
      <c r="C68" s="38"/>
      <c r="D68" s="38"/>
      <c r="E68" s="38"/>
      <c r="F68" s="38"/>
      <c r="G68" s="38"/>
      <c r="H68" s="38"/>
    </row>
    <row r="69" spans="1:8" x14ac:dyDescent="0.25">
      <c r="A69" s="4">
        <v>107</v>
      </c>
      <c r="B69" s="38"/>
      <c r="C69" s="38"/>
      <c r="D69" s="38"/>
      <c r="E69" s="38"/>
      <c r="F69" s="38"/>
      <c r="G69" s="38"/>
      <c r="H69" s="38"/>
    </row>
    <row r="70" spans="1:8" x14ac:dyDescent="0.25">
      <c r="A70" s="4">
        <v>108</v>
      </c>
      <c r="B70" s="38"/>
      <c r="C70" s="38"/>
      <c r="D70" s="38"/>
      <c r="E70" s="38"/>
      <c r="F70" s="38"/>
      <c r="G70" s="38"/>
      <c r="H70" s="38"/>
    </row>
    <row r="71" spans="1:8" x14ac:dyDescent="0.25">
      <c r="A71" s="4">
        <v>109</v>
      </c>
      <c r="B71" s="38"/>
      <c r="C71" s="38"/>
      <c r="D71" s="38"/>
      <c r="E71" s="38"/>
      <c r="F71" s="38"/>
      <c r="G71" s="38"/>
      <c r="H71" s="38"/>
    </row>
    <row r="72" spans="1:8" x14ac:dyDescent="0.25">
      <c r="A72" s="4">
        <v>110</v>
      </c>
      <c r="B72" s="38"/>
      <c r="C72" s="38"/>
      <c r="D72" s="38"/>
      <c r="E72" s="38"/>
      <c r="F72" s="38"/>
      <c r="G72" s="38"/>
      <c r="H72" s="38"/>
    </row>
    <row r="73" spans="1:8" x14ac:dyDescent="0.25">
      <c r="A73" s="4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4">
        <v>112</v>
      </c>
      <c r="B74" s="38" t="s">
        <v>2</v>
      </c>
      <c r="C74" s="38"/>
      <c r="D74" s="38"/>
      <c r="E74" s="38" t="s">
        <v>2</v>
      </c>
      <c r="F74" s="38"/>
      <c r="G74" s="38" t="s">
        <v>2</v>
      </c>
      <c r="H74" s="38"/>
    </row>
    <row r="75" spans="1:8" x14ac:dyDescent="0.25">
      <c r="A75" s="4">
        <v>113</v>
      </c>
      <c r="B75" s="38"/>
      <c r="C75" s="38"/>
      <c r="D75" s="38" t="s">
        <v>2</v>
      </c>
      <c r="E75" s="38"/>
      <c r="F75" s="38"/>
      <c r="G75" s="38"/>
      <c r="H75" s="38" t="s">
        <v>2</v>
      </c>
    </row>
    <row r="76" spans="1:8" x14ac:dyDescent="0.25">
      <c r="A76" s="4">
        <v>114</v>
      </c>
      <c r="B76" s="38" t="s">
        <v>2</v>
      </c>
      <c r="C76" s="38"/>
      <c r="D76" s="38"/>
      <c r="E76" s="38" t="s">
        <v>2</v>
      </c>
      <c r="F76" s="38"/>
      <c r="G76" s="38" t="s">
        <v>2</v>
      </c>
      <c r="H76" s="38"/>
    </row>
    <row r="77" spans="1:8" x14ac:dyDescent="0.25">
      <c r="A77" s="4">
        <v>115</v>
      </c>
      <c r="B77" s="38" t="s">
        <v>2</v>
      </c>
      <c r="C77" s="38" t="s">
        <v>2</v>
      </c>
      <c r="D77" s="38"/>
      <c r="E77" s="38"/>
      <c r="F77" s="38" t="s">
        <v>2</v>
      </c>
      <c r="G77" s="38"/>
      <c r="H77" s="38"/>
    </row>
    <row r="78" spans="1:8" x14ac:dyDescent="0.25">
      <c r="A78" s="4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4">
        <v>117</v>
      </c>
      <c r="B79" s="38"/>
      <c r="C79" s="38" t="s">
        <v>2</v>
      </c>
      <c r="D79" s="38" t="s">
        <v>2</v>
      </c>
      <c r="E79" s="38"/>
      <c r="F79" s="38"/>
      <c r="G79" s="38"/>
      <c r="H79" s="38"/>
    </row>
    <row r="80" spans="1:8" x14ac:dyDescent="0.25">
      <c r="A80" s="4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4">
        <v>119</v>
      </c>
      <c r="B81" s="38" t="s">
        <v>2</v>
      </c>
      <c r="C81" s="38"/>
      <c r="D81" s="38"/>
      <c r="E81" s="38"/>
      <c r="F81" s="38"/>
      <c r="G81" s="38"/>
      <c r="H81" s="38"/>
    </row>
    <row r="82" spans="1:8" x14ac:dyDescent="0.25">
      <c r="A82" s="4">
        <v>120</v>
      </c>
      <c r="B82" s="38" t="s">
        <v>2</v>
      </c>
      <c r="C82" s="38" t="s">
        <v>2</v>
      </c>
      <c r="D82" s="38"/>
      <c r="E82" s="38"/>
      <c r="F82" s="38" t="s">
        <v>2</v>
      </c>
      <c r="G82" s="38"/>
      <c r="H82" s="38"/>
    </row>
    <row r="83" spans="1:8" x14ac:dyDescent="0.25">
      <c r="A83" s="4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4">
        <v>122</v>
      </c>
      <c r="B84" s="38"/>
      <c r="C84" s="38"/>
      <c r="D84" s="38"/>
      <c r="E84" s="38" t="s">
        <v>2</v>
      </c>
      <c r="F84" s="38"/>
      <c r="G84" s="38"/>
      <c r="H84" s="38" t="s">
        <v>2</v>
      </c>
    </row>
    <row r="85" spans="1:8" x14ac:dyDescent="0.25">
      <c r="A85" s="4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4">
        <v>124</v>
      </c>
      <c r="B86" s="38" t="s">
        <v>2</v>
      </c>
      <c r="C86" s="38" t="s">
        <v>2</v>
      </c>
      <c r="D86" s="38"/>
      <c r="E86" s="38" t="s">
        <v>2</v>
      </c>
      <c r="F86" s="38"/>
      <c r="G86" s="38"/>
      <c r="H86" s="38" t="s">
        <v>2</v>
      </c>
    </row>
    <row r="87" spans="1:8" x14ac:dyDescent="0.25">
      <c r="A87" s="4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4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4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4">
        <v>128</v>
      </c>
      <c r="B90" s="38"/>
      <c r="C90" s="38"/>
      <c r="D90" s="38"/>
      <c r="E90" s="38"/>
      <c r="F90" s="38"/>
      <c r="G90" s="38"/>
      <c r="H90" s="38"/>
    </row>
    <row r="91" spans="1:8" x14ac:dyDescent="0.25">
      <c r="A91" s="4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4">
        <v>130</v>
      </c>
      <c r="B92" s="38"/>
      <c r="C92" s="38"/>
      <c r="D92" s="38"/>
      <c r="E92" s="38"/>
      <c r="F92" s="38"/>
      <c r="G92" s="38"/>
      <c r="H92" s="38"/>
    </row>
    <row r="93" spans="1:8" x14ac:dyDescent="0.25">
      <c r="A93" s="4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4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4">
        <v>133</v>
      </c>
      <c r="B95" s="38" t="s">
        <v>2</v>
      </c>
      <c r="C95" s="38"/>
      <c r="D95" s="38"/>
      <c r="E95" s="38" t="s">
        <v>2</v>
      </c>
      <c r="F95" s="38"/>
      <c r="G95" s="38"/>
      <c r="H95" s="38" t="s">
        <v>2</v>
      </c>
    </row>
  </sheetData>
  <mergeCells count="5">
    <mergeCell ref="A1:H2"/>
    <mergeCell ref="I17:K17"/>
    <mergeCell ref="I18:J18"/>
    <mergeCell ref="I27:K27"/>
    <mergeCell ref="I28:J28"/>
  </mergeCells>
  <conditionalFormatting sqref="B61:I62 I5:I16 B63:H95 I29:I60 I19:I26">
    <cfRule type="cellIs" dxfId="734" priority="18" operator="equal">
      <formula>"Energia"</formula>
    </cfRule>
    <cfRule type="cellIs" dxfId="733" priority="20" operator="equal">
      <formula>"Operação"</formula>
    </cfRule>
    <cfRule type="cellIs" dxfId="732" priority="21" operator="equal">
      <formula>"Chuva"</formula>
    </cfRule>
    <cfRule type="cellIs" dxfId="731" priority="22" operator="equal">
      <formula>"Elétrico"</formula>
    </cfRule>
    <cfRule type="cellIs" dxfId="730" priority="23" operator="equal">
      <formula>"Mecânico"</formula>
    </cfRule>
    <cfRule type="cellIs" dxfId="729" priority="24" operator="equal">
      <formula>"Ok"</formula>
    </cfRule>
  </conditionalFormatting>
  <conditionalFormatting sqref="B61:I62 I5:I16 B63:H95 I29:I60 I19:I26">
    <cfRule type="cellIs" dxfId="728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727" priority="16" operator="equal">
      <formula>"Energia"</formula>
    </cfRule>
  </conditionalFormatting>
  <conditionalFormatting sqref="G5:H60 B5:E60">
    <cfRule type="cellIs" dxfId="726" priority="9" operator="equal">
      <formula>"Energia"</formula>
    </cfRule>
    <cfRule type="cellIs" dxfId="725" priority="11" operator="equal">
      <formula>"Operação"</formula>
    </cfRule>
    <cfRule type="cellIs" dxfId="724" priority="12" operator="equal">
      <formula>"Chuva"</formula>
    </cfRule>
    <cfRule type="cellIs" dxfId="723" priority="13" operator="equal">
      <formula>"Elétrico"</formula>
    </cfRule>
    <cfRule type="cellIs" dxfId="722" priority="14" operator="equal">
      <formula>"Mecânico"</formula>
    </cfRule>
    <cfRule type="cellIs" dxfId="721" priority="15" operator="equal">
      <formula>"Ok"</formula>
    </cfRule>
  </conditionalFormatting>
  <conditionalFormatting sqref="G5:H60 B5:E60">
    <cfRule type="cellIs" dxfId="720" priority="10" operator="equal">
      <formula>"Feito"</formula>
    </cfRule>
  </conditionalFormatting>
  <conditionalFormatting sqref="F5:F11">
    <cfRule type="cellIs" dxfId="719" priority="8" operator="equal">
      <formula>"Energia"</formula>
    </cfRule>
  </conditionalFormatting>
  <conditionalFormatting sqref="F5:F60">
    <cfRule type="cellIs" dxfId="718" priority="1" operator="equal">
      <formula>"Energia"</formula>
    </cfRule>
    <cfRule type="cellIs" dxfId="717" priority="3" operator="equal">
      <formula>"Operação"</formula>
    </cfRule>
    <cfRule type="cellIs" dxfId="716" priority="4" operator="equal">
      <formula>"Chuva"</formula>
    </cfRule>
    <cfRule type="cellIs" dxfId="715" priority="5" operator="equal">
      <formula>"Elétrico"</formula>
    </cfRule>
    <cfRule type="cellIs" dxfId="714" priority="6" operator="equal">
      <formula>"Mecânico"</formula>
    </cfRule>
    <cfRule type="cellIs" dxfId="713" priority="7" operator="equal">
      <formula>"Ok"</formula>
    </cfRule>
  </conditionalFormatting>
  <conditionalFormatting sqref="F5:F60">
    <cfRule type="cellIs" dxfId="712" priority="2" operator="equal">
      <formula>"Feito"</formula>
    </cfRule>
  </conditionalFormatting>
  <dataValidations count="1">
    <dataValidation type="list" allowBlank="1" showInputMessage="1" showErrorMessage="1" sqref="B5:H95 J36:J60 I29:I62 I19:I26 I5:I16" xr:uid="{B3D0EAF5-5964-48F8-BE26-F96FA19C7E82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1BDC-504E-4583-9BA0-160B3C12734D}">
  <sheetPr>
    <tabColor theme="8"/>
  </sheetPr>
  <dimension ref="A1:Q95"/>
  <sheetViews>
    <sheetView showGridLines="0" zoomScaleNormal="100" workbookViewId="0">
      <pane ySplit="4" topLeftCell="A5" activePane="bottomLeft" state="frozen"/>
      <selection pane="bottomLeft" activeCell="N9" sqref="N9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64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4" t="s">
        <v>16</v>
      </c>
      <c r="B3" s="23">
        <v>44767</v>
      </c>
      <c r="C3" s="23">
        <f>B3+1</f>
        <v>44768</v>
      </c>
      <c r="D3" s="23">
        <f t="shared" ref="D3:H3" si="0">C3+1</f>
        <v>44769</v>
      </c>
      <c r="E3" s="23">
        <f t="shared" si="0"/>
        <v>44770</v>
      </c>
      <c r="F3" s="23">
        <f t="shared" si="0"/>
        <v>44771</v>
      </c>
      <c r="G3" s="23">
        <f t="shared" si="0"/>
        <v>44772</v>
      </c>
      <c r="H3" s="25">
        <f t="shared" si="0"/>
        <v>44773</v>
      </c>
      <c r="I3" s="3"/>
    </row>
    <row r="4" spans="1:17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  <c r="Q4" t="s">
        <v>34</v>
      </c>
    </row>
    <row r="5" spans="1:17" x14ac:dyDescent="0.25">
      <c r="A5" s="4">
        <v>1</v>
      </c>
      <c r="B5" s="38"/>
      <c r="C5" s="38"/>
      <c r="D5" s="38"/>
      <c r="E5" s="38"/>
      <c r="F5" s="38"/>
      <c r="G5" s="38"/>
      <c r="H5" s="38"/>
      <c r="J5" s="48" t="s">
        <v>2</v>
      </c>
      <c r="K5">
        <f>COUNTIF($B$5:$H$95,J5)</f>
        <v>101</v>
      </c>
      <c r="L5" s="34">
        <f t="shared" ref="L5:L10" si="2">K5/$K$11</f>
        <v>0.7890625</v>
      </c>
      <c r="M5" s="52">
        <f>B3</f>
        <v>44767</v>
      </c>
      <c r="O5" t="s">
        <v>44</v>
      </c>
      <c r="P5">
        <v>124</v>
      </c>
      <c r="Q5" s="52">
        <f>M5</f>
        <v>44767</v>
      </c>
    </row>
    <row r="6" spans="1:17" x14ac:dyDescent="0.25">
      <c r="A6" s="4">
        <v>2</v>
      </c>
      <c r="B6" s="38"/>
      <c r="C6" s="38"/>
      <c r="D6" s="38" t="s">
        <v>2</v>
      </c>
      <c r="E6" s="38"/>
      <c r="F6" s="38"/>
      <c r="G6" s="38" t="s">
        <v>2</v>
      </c>
      <c r="H6" s="38"/>
      <c r="J6" s="42" t="s">
        <v>5</v>
      </c>
      <c r="K6">
        <f>COUNTIF($B$5:$H$95,J6)</f>
        <v>6</v>
      </c>
      <c r="L6" s="35">
        <f t="shared" si="2"/>
        <v>4.6875E-2</v>
      </c>
      <c r="O6" t="s">
        <v>46</v>
      </c>
      <c r="P6">
        <f>SUM(K19:K25)</f>
        <v>18</v>
      </c>
    </row>
    <row r="7" spans="1:17" x14ac:dyDescent="0.25">
      <c r="A7" s="4">
        <v>3</v>
      </c>
      <c r="B7" s="38"/>
      <c r="C7" s="38"/>
      <c r="D7" s="38"/>
      <c r="E7" s="38" t="s">
        <v>2</v>
      </c>
      <c r="F7" s="38"/>
      <c r="G7" s="38"/>
      <c r="H7" s="38" t="s">
        <v>2</v>
      </c>
      <c r="J7" s="46" t="s">
        <v>6</v>
      </c>
      <c r="K7">
        <f t="shared" ref="K7:K10" si="3">COUNTIF($B$5:$H$95,J7)</f>
        <v>6</v>
      </c>
      <c r="L7" s="35">
        <f t="shared" si="2"/>
        <v>4.6875E-2</v>
      </c>
      <c r="O7" t="s">
        <v>45</v>
      </c>
      <c r="P7">
        <f>SUM(K29:K35)</f>
        <v>7</v>
      </c>
    </row>
    <row r="8" spans="1:17" x14ac:dyDescent="0.25">
      <c r="A8" s="4">
        <v>4</v>
      </c>
      <c r="B8" s="38"/>
      <c r="C8" s="38" t="s">
        <v>2</v>
      </c>
      <c r="D8" s="38"/>
      <c r="E8" s="38" t="s">
        <v>2</v>
      </c>
      <c r="F8" s="38"/>
      <c r="G8" s="38" t="s">
        <v>2</v>
      </c>
      <c r="H8" s="38"/>
      <c r="J8" s="47" t="s">
        <v>4</v>
      </c>
      <c r="K8">
        <f t="shared" si="3"/>
        <v>0</v>
      </c>
      <c r="L8" s="35">
        <f t="shared" si="2"/>
        <v>0</v>
      </c>
      <c r="O8" s="65" t="s">
        <v>17</v>
      </c>
      <c r="P8" s="65">
        <f>P5+P6-P7</f>
        <v>135</v>
      </c>
    </row>
    <row r="9" spans="1:17" x14ac:dyDescent="0.25">
      <c r="A9" s="4">
        <v>5</v>
      </c>
      <c r="B9" s="38" t="s">
        <v>2</v>
      </c>
      <c r="C9" s="38"/>
      <c r="D9" s="38" t="s">
        <v>2</v>
      </c>
      <c r="E9" s="38"/>
      <c r="F9" s="38" t="s">
        <v>2</v>
      </c>
      <c r="G9" s="38"/>
      <c r="H9" s="38" t="s">
        <v>2</v>
      </c>
      <c r="J9" s="45" t="s">
        <v>3</v>
      </c>
      <c r="K9">
        <f t="shared" si="3"/>
        <v>0</v>
      </c>
      <c r="L9" s="35">
        <f t="shared" si="2"/>
        <v>0</v>
      </c>
    </row>
    <row r="10" spans="1:17" x14ac:dyDescent="0.25">
      <c r="A10" s="4">
        <v>6</v>
      </c>
      <c r="B10" s="38"/>
      <c r="C10" s="38"/>
      <c r="D10" s="38"/>
      <c r="E10" s="38" t="s">
        <v>2</v>
      </c>
      <c r="F10" s="38"/>
      <c r="G10" s="38" t="s">
        <v>2</v>
      </c>
      <c r="H10" s="38"/>
      <c r="J10" s="43" t="s">
        <v>7</v>
      </c>
      <c r="K10">
        <f t="shared" si="3"/>
        <v>15</v>
      </c>
      <c r="L10" s="37">
        <f t="shared" si="2"/>
        <v>0.1171875</v>
      </c>
      <c r="O10" t="s">
        <v>65</v>
      </c>
      <c r="P10">
        <f>P8</f>
        <v>135</v>
      </c>
    </row>
    <row r="11" spans="1:17" x14ac:dyDescent="0.25">
      <c r="A11" s="4">
        <v>7</v>
      </c>
      <c r="B11" s="38"/>
      <c r="C11" s="38"/>
      <c r="D11" s="38" t="s">
        <v>7</v>
      </c>
      <c r="E11" s="38"/>
      <c r="F11" s="38"/>
      <c r="G11" s="38"/>
      <c r="H11" s="38"/>
      <c r="J11" s="44" t="s">
        <v>17</v>
      </c>
      <c r="K11">
        <f>SUM(K5:K10)</f>
        <v>128</v>
      </c>
    </row>
    <row r="12" spans="1:17" x14ac:dyDescent="0.25">
      <c r="A12" s="4">
        <v>8</v>
      </c>
      <c r="B12" s="38" t="s">
        <v>5</v>
      </c>
      <c r="C12" s="38"/>
      <c r="D12" s="38"/>
      <c r="E12" s="38" t="s">
        <v>2</v>
      </c>
      <c r="F12" s="38"/>
      <c r="G12" s="38"/>
      <c r="H12" s="38" t="s">
        <v>2</v>
      </c>
    </row>
    <row r="13" spans="1:17" x14ac:dyDescent="0.25">
      <c r="A13" s="4">
        <v>9</v>
      </c>
      <c r="B13" s="38"/>
      <c r="C13" s="38"/>
      <c r="D13" s="38" t="s">
        <v>2</v>
      </c>
      <c r="E13" s="38"/>
      <c r="F13" s="38"/>
      <c r="G13" s="38" t="s">
        <v>2</v>
      </c>
      <c r="H13" s="38"/>
    </row>
    <row r="14" spans="1:17" x14ac:dyDescent="0.25">
      <c r="A14" s="4">
        <v>10</v>
      </c>
      <c r="B14" s="38" t="s">
        <v>2</v>
      </c>
      <c r="C14" s="38"/>
      <c r="D14" s="38"/>
      <c r="E14" s="38" t="s">
        <v>2</v>
      </c>
      <c r="F14" s="38"/>
      <c r="G14" s="38"/>
      <c r="H14" s="38" t="s">
        <v>2</v>
      </c>
    </row>
    <row r="15" spans="1:17" x14ac:dyDescent="0.25">
      <c r="A15" s="4">
        <v>11</v>
      </c>
      <c r="B15" s="38" t="s">
        <v>2</v>
      </c>
      <c r="C15" s="38"/>
      <c r="D15" s="38"/>
      <c r="E15" s="38" t="s">
        <v>7</v>
      </c>
      <c r="F15" s="38"/>
      <c r="G15" s="38"/>
      <c r="H15" s="38" t="s">
        <v>2</v>
      </c>
    </row>
    <row r="16" spans="1:17" x14ac:dyDescent="0.25">
      <c r="A16" s="4">
        <v>12</v>
      </c>
      <c r="B16" s="38"/>
      <c r="C16" s="38" t="s">
        <v>2</v>
      </c>
      <c r="D16" s="38"/>
      <c r="E16" s="38"/>
      <c r="F16" s="38" t="s">
        <v>2</v>
      </c>
      <c r="G16" s="38"/>
      <c r="H16" s="38"/>
      <c r="N16">
        <f>P8</f>
        <v>135</v>
      </c>
      <c r="O16" s="61">
        <f>N17/N16</f>
        <v>0.74814814814814812</v>
      </c>
    </row>
    <row r="17" spans="1:14" x14ac:dyDescent="0.25">
      <c r="A17" s="4">
        <v>13</v>
      </c>
      <c r="B17" s="38" t="s">
        <v>2</v>
      </c>
      <c r="C17" s="38"/>
      <c r="D17" s="38" t="s">
        <v>2</v>
      </c>
      <c r="E17" s="38"/>
      <c r="F17" s="38"/>
      <c r="G17" s="38" t="s">
        <v>2</v>
      </c>
      <c r="H17" s="38"/>
      <c r="I17" s="71" t="s">
        <v>46</v>
      </c>
      <c r="J17" s="72"/>
      <c r="K17" s="72"/>
      <c r="N17">
        <f>K5</f>
        <v>101</v>
      </c>
    </row>
    <row r="18" spans="1:14" x14ac:dyDescent="0.25">
      <c r="A18" s="4">
        <v>14</v>
      </c>
      <c r="B18" s="38"/>
      <c r="C18" s="38"/>
      <c r="D18" s="38"/>
      <c r="E18" s="38"/>
      <c r="F18" s="38"/>
      <c r="G18" s="38"/>
      <c r="H18" s="38" t="s">
        <v>2</v>
      </c>
      <c r="I18" s="71" t="s">
        <v>54</v>
      </c>
      <c r="J18" s="72"/>
      <c r="K18" t="s">
        <v>32</v>
      </c>
    </row>
    <row r="19" spans="1:14" x14ac:dyDescent="0.25">
      <c r="A19" s="4">
        <v>15</v>
      </c>
      <c r="B19" s="38"/>
      <c r="C19" s="38"/>
      <c r="D19" s="38"/>
      <c r="E19" s="38"/>
      <c r="F19" s="38"/>
      <c r="G19" s="38"/>
      <c r="H19" s="38"/>
      <c r="I19" s="40" t="s">
        <v>47</v>
      </c>
      <c r="J19" s="40" t="str">
        <f>TEXT(B3,"ddd")</f>
        <v>seg</v>
      </c>
      <c r="K19" s="60"/>
    </row>
    <row r="20" spans="1:14" x14ac:dyDescent="0.25">
      <c r="A20" s="4">
        <v>16</v>
      </c>
      <c r="B20" s="38"/>
      <c r="C20" s="38"/>
      <c r="D20" s="38"/>
      <c r="E20" s="38"/>
      <c r="F20" s="38"/>
      <c r="G20" s="38"/>
      <c r="H20" s="38"/>
      <c r="I20" s="40" t="s">
        <v>48</v>
      </c>
      <c r="J20" s="40" t="str">
        <f>TEXT(C3,"ddd")</f>
        <v>ter</v>
      </c>
      <c r="K20" s="60"/>
    </row>
    <row r="21" spans="1:14" x14ac:dyDescent="0.25">
      <c r="A21" s="4">
        <v>17</v>
      </c>
      <c r="B21" s="38"/>
      <c r="C21" s="38"/>
      <c r="D21" s="38"/>
      <c r="E21" s="38"/>
      <c r="F21" s="38"/>
      <c r="G21" s="38"/>
      <c r="H21" s="38"/>
      <c r="I21" s="40" t="s">
        <v>49</v>
      </c>
      <c r="J21" s="40" t="str">
        <f>TEXT(D3,"ddd")</f>
        <v>qua</v>
      </c>
      <c r="K21" s="60">
        <v>2</v>
      </c>
    </row>
    <row r="22" spans="1:14" x14ac:dyDescent="0.25">
      <c r="A22" s="4">
        <v>18</v>
      </c>
      <c r="B22" s="38"/>
      <c r="C22" s="38"/>
      <c r="D22" s="38"/>
      <c r="E22" s="38"/>
      <c r="F22" s="38"/>
      <c r="G22" s="38"/>
      <c r="H22" s="38"/>
      <c r="I22" s="40" t="s">
        <v>50</v>
      </c>
      <c r="J22" s="40" t="str">
        <f>TEXT(E3,"ddd")</f>
        <v>qui</v>
      </c>
      <c r="K22" s="60">
        <v>3</v>
      </c>
    </row>
    <row r="23" spans="1:14" x14ac:dyDescent="0.25">
      <c r="A23" s="4">
        <v>19</v>
      </c>
      <c r="B23" s="38"/>
      <c r="C23" s="38"/>
      <c r="D23" s="38" t="s">
        <v>2</v>
      </c>
      <c r="E23" s="38"/>
      <c r="F23" s="38"/>
      <c r="G23" s="38"/>
      <c r="H23" s="38" t="s">
        <v>2</v>
      </c>
      <c r="I23" s="40" t="s">
        <v>51</v>
      </c>
      <c r="J23" s="40" t="str">
        <f>TEXT(F3,"ddd")</f>
        <v>sex</v>
      </c>
      <c r="K23" s="60">
        <v>4</v>
      </c>
    </row>
    <row r="24" spans="1:14" x14ac:dyDescent="0.25">
      <c r="A24" s="4">
        <v>20</v>
      </c>
      <c r="B24" s="38"/>
      <c r="C24" s="38"/>
      <c r="D24" s="38"/>
      <c r="E24" s="38"/>
      <c r="F24" s="38"/>
      <c r="G24" s="38"/>
      <c r="H24" s="38"/>
      <c r="I24" s="40" t="s">
        <v>52</v>
      </c>
      <c r="J24" s="40" t="str">
        <f>TEXT(G3,"ddd")</f>
        <v>sáb</v>
      </c>
      <c r="K24" s="60">
        <v>4</v>
      </c>
    </row>
    <row r="25" spans="1:14" x14ac:dyDescent="0.25">
      <c r="A25" s="4">
        <v>21</v>
      </c>
      <c r="B25" s="38"/>
      <c r="C25" s="38"/>
      <c r="D25" s="38"/>
      <c r="E25" s="38"/>
      <c r="F25" s="38"/>
      <c r="G25" s="38"/>
      <c r="H25" s="38"/>
      <c r="I25" s="40" t="s">
        <v>53</v>
      </c>
      <c r="J25" s="40" t="str">
        <f>TEXT(H3,"ddd")</f>
        <v>dom</v>
      </c>
      <c r="K25" s="60">
        <v>5</v>
      </c>
    </row>
    <row r="26" spans="1:14" x14ac:dyDescent="0.25">
      <c r="A26" s="4">
        <v>22</v>
      </c>
      <c r="B26" s="38"/>
      <c r="C26" s="38"/>
      <c r="D26" s="38"/>
      <c r="E26" s="38"/>
      <c r="F26" s="38"/>
      <c r="G26" s="38"/>
      <c r="H26" s="38"/>
    </row>
    <row r="27" spans="1:14" x14ac:dyDescent="0.25">
      <c r="A27" s="4">
        <v>23</v>
      </c>
      <c r="B27" s="38"/>
      <c r="C27" s="38"/>
      <c r="D27" s="38"/>
      <c r="E27" s="38" t="s">
        <v>2</v>
      </c>
      <c r="F27" s="38" t="s">
        <v>2</v>
      </c>
      <c r="G27" s="38" t="s">
        <v>2</v>
      </c>
      <c r="H27" s="38" t="s">
        <v>2</v>
      </c>
      <c r="I27" s="71" t="s">
        <v>45</v>
      </c>
      <c r="J27" s="72"/>
      <c r="K27" s="72"/>
    </row>
    <row r="28" spans="1:14" x14ac:dyDescent="0.25">
      <c r="A28" s="4">
        <v>24</v>
      </c>
      <c r="B28" s="38"/>
      <c r="C28" s="38"/>
      <c r="D28" s="38"/>
      <c r="E28" s="38"/>
      <c r="F28" s="38"/>
      <c r="G28" s="38" t="s">
        <v>2</v>
      </c>
      <c r="H28" s="38" t="s">
        <v>2</v>
      </c>
      <c r="I28" s="71" t="s">
        <v>54</v>
      </c>
      <c r="J28" s="72"/>
      <c r="K28" t="s">
        <v>32</v>
      </c>
    </row>
    <row r="29" spans="1:14" x14ac:dyDescent="0.25">
      <c r="A29" s="4">
        <v>25</v>
      </c>
      <c r="B29" s="38" t="s">
        <v>2</v>
      </c>
      <c r="C29" s="38"/>
      <c r="D29" s="38" t="s">
        <v>2</v>
      </c>
      <c r="E29" s="38"/>
      <c r="F29" s="38" t="s">
        <v>2</v>
      </c>
      <c r="G29" s="38"/>
      <c r="H29" s="38" t="s">
        <v>2</v>
      </c>
      <c r="I29" s="40" t="s">
        <v>47</v>
      </c>
      <c r="J29" s="40" t="str">
        <f t="shared" ref="J29:J35" si="4">J19</f>
        <v>seg</v>
      </c>
      <c r="K29" s="60"/>
    </row>
    <row r="30" spans="1:14" x14ac:dyDescent="0.25">
      <c r="A30" s="4">
        <v>26</v>
      </c>
      <c r="B30" s="38"/>
      <c r="C30" s="38"/>
      <c r="D30" s="38"/>
      <c r="E30" s="38"/>
      <c r="F30" s="38"/>
      <c r="G30" s="38"/>
      <c r="H30" s="38"/>
      <c r="I30" s="40" t="s">
        <v>48</v>
      </c>
      <c r="J30" s="40" t="str">
        <f t="shared" si="4"/>
        <v>ter</v>
      </c>
      <c r="K30" s="60">
        <v>1</v>
      </c>
    </row>
    <row r="31" spans="1:14" x14ac:dyDescent="0.25">
      <c r="A31" s="4">
        <v>27</v>
      </c>
      <c r="B31" s="38"/>
      <c r="C31" s="38"/>
      <c r="D31" s="38"/>
      <c r="E31" s="38"/>
      <c r="F31" s="38"/>
      <c r="G31" s="38"/>
      <c r="H31" s="38"/>
      <c r="I31" s="40" t="s">
        <v>49</v>
      </c>
      <c r="J31" s="40" t="str">
        <f t="shared" si="4"/>
        <v>qua</v>
      </c>
      <c r="K31" s="60">
        <v>2</v>
      </c>
    </row>
    <row r="32" spans="1:14" x14ac:dyDescent="0.25">
      <c r="A32" s="4">
        <v>28</v>
      </c>
      <c r="B32" s="38"/>
      <c r="C32" s="38"/>
      <c r="D32" s="38"/>
      <c r="E32" s="38"/>
      <c r="F32" s="38"/>
      <c r="G32" s="38"/>
      <c r="H32" s="38"/>
      <c r="I32" s="40" t="s">
        <v>50</v>
      </c>
      <c r="J32" s="40" t="str">
        <f t="shared" si="4"/>
        <v>qui</v>
      </c>
      <c r="K32" s="60">
        <v>1</v>
      </c>
    </row>
    <row r="33" spans="1:11" x14ac:dyDescent="0.25">
      <c r="A33" s="4">
        <v>29</v>
      </c>
      <c r="B33" s="38"/>
      <c r="C33" s="38" t="s">
        <v>2</v>
      </c>
      <c r="D33" s="38"/>
      <c r="E33" s="38" t="s">
        <v>2</v>
      </c>
      <c r="F33" s="38"/>
      <c r="G33" s="38" t="s">
        <v>5</v>
      </c>
      <c r="H33" s="38"/>
      <c r="I33" s="40" t="s">
        <v>51</v>
      </c>
      <c r="J33" s="40" t="str">
        <f t="shared" si="4"/>
        <v>sex</v>
      </c>
      <c r="K33" s="60">
        <v>1</v>
      </c>
    </row>
    <row r="34" spans="1:11" x14ac:dyDescent="0.25">
      <c r="A34" s="4">
        <v>30</v>
      </c>
      <c r="B34" s="38" t="s">
        <v>7</v>
      </c>
      <c r="C34" s="38" t="s">
        <v>7</v>
      </c>
      <c r="D34" s="38" t="s">
        <v>7</v>
      </c>
      <c r="E34" s="38" t="s">
        <v>2</v>
      </c>
      <c r="F34" s="38" t="s">
        <v>2</v>
      </c>
      <c r="G34" s="38" t="s">
        <v>2</v>
      </c>
      <c r="H34" s="38" t="s">
        <v>2</v>
      </c>
      <c r="I34" s="40" t="s">
        <v>52</v>
      </c>
      <c r="J34" s="40" t="str">
        <f t="shared" si="4"/>
        <v>sáb</v>
      </c>
      <c r="K34" s="60">
        <v>2</v>
      </c>
    </row>
    <row r="35" spans="1:11" x14ac:dyDescent="0.25">
      <c r="A35" s="4">
        <v>31</v>
      </c>
      <c r="B35" s="38" t="s">
        <v>2</v>
      </c>
      <c r="C35" s="38" t="s">
        <v>2</v>
      </c>
      <c r="D35" s="38" t="s">
        <v>2</v>
      </c>
      <c r="E35" s="38" t="s">
        <v>2</v>
      </c>
      <c r="F35" s="38" t="s">
        <v>7</v>
      </c>
      <c r="G35" s="38" t="s">
        <v>7</v>
      </c>
      <c r="H35" s="38" t="s">
        <v>2</v>
      </c>
      <c r="I35" s="40" t="s">
        <v>53</v>
      </c>
      <c r="J35" s="40" t="str">
        <f t="shared" si="4"/>
        <v>dom</v>
      </c>
      <c r="K35" s="60"/>
    </row>
    <row r="36" spans="1:11" x14ac:dyDescent="0.25">
      <c r="A36" s="4">
        <v>32</v>
      </c>
      <c r="B36" s="38"/>
      <c r="C36" s="38"/>
      <c r="D36" s="38"/>
      <c r="E36" s="38"/>
      <c r="F36" s="38"/>
      <c r="G36" s="38"/>
      <c r="H36" s="38"/>
    </row>
    <row r="37" spans="1:11" x14ac:dyDescent="0.25">
      <c r="A37" s="4">
        <v>33</v>
      </c>
      <c r="B37" s="38"/>
      <c r="C37" s="38"/>
      <c r="D37" s="38"/>
      <c r="E37" s="38"/>
      <c r="F37" s="38"/>
      <c r="G37" s="38"/>
      <c r="H37" s="38"/>
    </row>
    <row r="38" spans="1:11" x14ac:dyDescent="0.25">
      <c r="A38" s="4">
        <v>34</v>
      </c>
      <c r="B38" s="38"/>
      <c r="C38" s="38"/>
      <c r="D38" s="38"/>
      <c r="E38" s="38"/>
      <c r="F38" s="38"/>
      <c r="G38" s="38"/>
      <c r="H38" s="38"/>
    </row>
    <row r="39" spans="1:11" x14ac:dyDescent="0.25">
      <c r="A39" s="4">
        <v>35</v>
      </c>
      <c r="B39" s="38"/>
      <c r="C39" s="38" t="s">
        <v>2</v>
      </c>
      <c r="D39" s="38"/>
      <c r="E39" s="38"/>
      <c r="F39" s="38"/>
      <c r="G39" s="38"/>
      <c r="H39" s="38"/>
    </row>
    <row r="40" spans="1:11" x14ac:dyDescent="0.25">
      <c r="A40" s="4">
        <v>36</v>
      </c>
      <c r="B40" s="38" t="s">
        <v>2</v>
      </c>
      <c r="C40" s="38"/>
      <c r="D40" s="38" t="s">
        <v>2</v>
      </c>
      <c r="E40" s="38"/>
      <c r="F40" s="38" t="s">
        <v>7</v>
      </c>
      <c r="G40" s="38" t="s">
        <v>2</v>
      </c>
      <c r="H40" s="38" t="s">
        <v>2</v>
      </c>
    </row>
    <row r="41" spans="1:11" x14ac:dyDescent="0.25">
      <c r="A41" s="4">
        <v>37</v>
      </c>
      <c r="B41" s="38"/>
      <c r="C41" s="38"/>
      <c r="D41" s="38" t="s">
        <v>5</v>
      </c>
      <c r="E41" s="38" t="s">
        <v>2</v>
      </c>
      <c r="F41" s="38" t="s">
        <v>2</v>
      </c>
      <c r="G41" s="38" t="s">
        <v>2</v>
      </c>
      <c r="H41" s="38" t="s">
        <v>2</v>
      </c>
    </row>
    <row r="42" spans="1:11" x14ac:dyDescent="0.25">
      <c r="A42" s="4">
        <v>38</v>
      </c>
      <c r="B42" s="38"/>
      <c r="C42" s="38"/>
      <c r="D42" s="38"/>
      <c r="E42" s="38"/>
      <c r="F42" s="38"/>
      <c r="G42" s="38"/>
      <c r="H42" s="38"/>
    </row>
    <row r="43" spans="1:11" x14ac:dyDescent="0.25">
      <c r="A43" s="4">
        <v>39</v>
      </c>
      <c r="B43" s="38"/>
      <c r="C43" s="38"/>
      <c r="D43" s="38"/>
      <c r="E43" s="38"/>
      <c r="F43" s="38"/>
      <c r="G43" s="38"/>
      <c r="H43" s="38"/>
    </row>
    <row r="44" spans="1:11" x14ac:dyDescent="0.25">
      <c r="A44" s="4">
        <v>40</v>
      </c>
      <c r="B44" s="38"/>
      <c r="C44" s="38"/>
      <c r="D44" s="38"/>
      <c r="E44" s="38"/>
      <c r="F44" s="38"/>
      <c r="G44" s="38"/>
      <c r="H44" s="38"/>
    </row>
    <row r="45" spans="1:11" x14ac:dyDescent="0.25">
      <c r="A45" s="4">
        <v>41</v>
      </c>
      <c r="B45" s="38"/>
      <c r="C45" s="38"/>
      <c r="D45" s="38"/>
      <c r="E45" s="38"/>
      <c r="F45" s="38"/>
      <c r="G45" s="38"/>
      <c r="H45" s="38"/>
    </row>
    <row r="46" spans="1:11" x14ac:dyDescent="0.25">
      <c r="A46" s="4">
        <v>42</v>
      </c>
      <c r="B46" s="38"/>
      <c r="C46" s="38"/>
      <c r="D46" s="38"/>
      <c r="E46" s="38"/>
      <c r="F46" s="38"/>
      <c r="G46" s="38"/>
      <c r="H46" s="38"/>
    </row>
    <row r="47" spans="1:11" x14ac:dyDescent="0.25">
      <c r="A47" s="4">
        <v>43</v>
      </c>
      <c r="B47" s="38"/>
      <c r="C47" s="38"/>
      <c r="D47" s="38"/>
      <c r="E47" s="38"/>
      <c r="F47" s="38"/>
      <c r="G47" s="38"/>
      <c r="H47" s="38"/>
    </row>
    <row r="48" spans="1:11" x14ac:dyDescent="0.25">
      <c r="A48" s="4">
        <v>44</v>
      </c>
      <c r="B48" s="38"/>
      <c r="C48" s="38"/>
      <c r="D48" s="38"/>
      <c r="E48" s="38"/>
      <c r="F48" s="38"/>
      <c r="G48" s="38"/>
      <c r="H48" s="38"/>
    </row>
    <row r="49" spans="1:8" x14ac:dyDescent="0.25">
      <c r="A49" s="4">
        <v>45</v>
      </c>
      <c r="B49" s="38"/>
      <c r="C49" s="38"/>
      <c r="D49" s="38"/>
      <c r="E49" s="38"/>
      <c r="F49" s="38"/>
      <c r="G49" s="38"/>
      <c r="H49" s="38" t="s">
        <v>2</v>
      </c>
    </row>
    <row r="50" spans="1:8" x14ac:dyDescent="0.25">
      <c r="A50" s="4">
        <v>46</v>
      </c>
      <c r="B50" s="38" t="s">
        <v>2</v>
      </c>
      <c r="C50" s="38" t="s">
        <v>2</v>
      </c>
      <c r="D50" s="38" t="s">
        <v>2</v>
      </c>
      <c r="E50" s="38" t="s">
        <v>2</v>
      </c>
      <c r="F50" s="38" t="s">
        <v>2</v>
      </c>
      <c r="G50" s="38" t="s">
        <v>2</v>
      </c>
      <c r="H50" s="38"/>
    </row>
    <row r="51" spans="1:8" x14ac:dyDescent="0.25">
      <c r="A51" s="4">
        <v>47</v>
      </c>
      <c r="B51" s="38"/>
      <c r="C51" s="38"/>
      <c r="D51" s="38"/>
      <c r="E51" s="38" t="s">
        <v>5</v>
      </c>
      <c r="F51" s="38" t="s">
        <v>6</v>
      </c>
      <c r="G51" s="38" t="s">
        <v>2</v>
      </c>
      <c r="H51" s="38"/>
    </row>
    <row r="52" spans="1:8" x14ac:dyDescent="0.25">
      <c r="A52" s="4">
        <v>48</v>
      </c>
      <c r="B52" s="38" t="s">
        <v>2</v>
      </c>
      <c r="C52" s="38"/>
      <c r="D52" s="38"/>
      <c r="E52" s="38" t="s">
        <v>5</v>
      </c>
      <c r="F52" s="38"/>
      <c r="G52" s="38"/>
      <c r="H52" s="38" t="s">
        <v>2</v>
      </c>
    </row>
    <row r="53" spans="1:8" x14ac:dyDescent="0.25">
      <c r="A53" s="4">
        <v>49</v>
      </c>
      <c r="B53" s="38"/>
      <c r="C53" s="38"/>
      <c r="D53" s="38"/>
      <c r="E53" s="38" t="s">
        <v>6</v>
      </c>
      <c r="F53" s="38" t="s">
        <v>6</v>
      </c>
      <c r="G53" s="38"/>
      <c r="H53" s="38" t="s">
        <v>2</v>
      </c>
    </row>
    <row r="54" spans="1:8" x14ac:dyDescent="0.25">
      <c r="A54" s="4">
        <v>50</v>
      </c>
      <c r="B54" s="38"/>
      <c r="C54" s="38"/>
      <c r="D54" s="38"/>
      <c r="E54" s="38"/>
      <c r="F54" s="38"/>
      <c r="G54" s="38" t="s">
        <v>2</v>
      </c>
      <c r="H54" s="38" t="s">
        <v>2</v>
      </c>
    </row>
    <row r="55" spans="1:8" x14ac:dyDescent="0.25">
      <c r="A55" s="4">
        <v>51</v>
      </c>
      <c r="B55" s="38"/>
      <c r="C55" s="38"/>
      <c r="D55" s="38"/>
      <c r="E55" s="38"/>
      <c r="F55" s="38"/>
      <c r="G55" s="38"/>
      <c r="H55" s="38"/>
    </row>
    <row r="56" spans="1:8" x14ac:dyDescent="0.25">
      <c r="A56" s="4">
        <v>52</v>
      </c>
      <c r="B56" s="38" t="s">
        <v>2</v>
      </c>
      <c r="C56" s="38"/>
      <c r="D56" s="38"/>
      <c r="E56" s="38" t="s">
        <v>2</v>
      </c>
      <c r="F56" s="38" t="s">
        <v>2</v>
      </c>
      <c r="G56" s="38" t="s">
        <v>2</v>
      </c>
      <c r="H56" s="38" t="s">
        <v>2</v>
      </c>
    </row>
    <row r="57" spans="1:8" x14ac:dyDescent="0.25">
      <c r="A57" s="4">
        <v>53</v>
      </c>
      <c r="B57" s="38"/>
      <c r="C57" s="38"/>
      <c r="D57" s="38"/>
      <c r="E57" s="38"/>
      <c r="F57" s="38"/>
      <c r="G57" s="38"/>
      <c r="H57" s="38"/>
    </row>
    <row r="58" spans="1:8" x14ac:dyDescent="0.25">
      <c r="A58" s="4">
        <v>54</v>
      </c>
      <c r="B58" s="38"/>
      <c r="C58" s="38"/>
      <c r="D58" s="38"/>
      <c r="E58" s="38"/>
      <c r="F58" s="38"/>
      <c r="G58" s="38"/>
      <c r="H58" s="38"/>
    </row>
    <row r="59" spans="1:8" x14ac:dyDescent="0.25">
      <c r="A59" s="4">
        <v>55</v>
      </c>
      <c r="B59" s="38"/>
      <c r="C59" s="38"/>
      <c r="D59" s="38"/>
      <c r="E59" s="38"/>
      <c r="F59" s="38"/>
      <c r="G59" s="38"/>
      <c r="H59" s="38"/>
    </row>
    <row r="60" spans="1:8" x14ac:dyDescent="0.25">
      <c r="A60" s="4">
        <v>56</v>
      </c>
      <c r="B60" s="38"/>
      <c r="C60" s="38"/>
      <c r="D60" s="38"/>
      <c r="E60" s="38"/>
      <c r="F60" s="38"/>
      <c r="G60" s="38"/>
      <c r="H60" s="38"/>
    </row>
    <row r="61" spans="1:8" x14ac:dyDescent="0.25">
      <c r="A61" s="4">
        <v>73</v>
      </c>
      <c r="B61" s="38"/>
      <c r="C61" s="38"/>
      <c r="D61" s="38"/>
      <c r="E61" s="38" t="s">
        <v>7</v>
      </c>
      <c r="F61" s="38"/>
      <c r="G61" s="38"/>
      <c r="H61" s="38"/>
    </row>
    <row r="62" spans="1:8" x14ac:dyDescent="0.25">
      <c r="A62" s="4">
        <v>74</v>
      </c>
      <c r="B62" s="38"/>
      <c r="C62" s="38"/>
      <c r="D62" s="38" t="s">
        <v>2</v>
      </c>
      <c r="E62" s="38"/>
      <c r="F62" s="38"/>
      <c r="G62" s="38"/>
      <c r="H62" s="38"/>
    </row>
    <row r="63" spans="1:8" x14ac:dyDescent="0.25">
      <c r="A63" s="4">
        <v>101</v>
      </c>
      <c r="B63" s="39"/>
      <c r="C63" s="38" t="s">
        <v>2</v>
      </c>
      <c r="D63" s="38"/>
      <c r="E63" s="38" t="s">
        <v>7</v>
      </c>
      <c r="F63" s="38"/>
      <c r="G63" s="38" t="s">
        <v>2</v>
      </c>
      <c r="H63" s="38"/>
    </row>
    <row r="64" spans="1:8" x14ac:dyDescent="0.25">
      <c r="A64" s="4">
        <v>102</v>
      </c>
      <c r="B64" s="38"/>
      <c r="C64" s="38"/>
      <c r="D64" s="38"/>
      <c r="E64" s="38"/>
      <c r="F64" s="38"/>
      <c r="G64" s="38"/>
      <c r="H64" s="38"/>
    </row>
    <row r="65" spans="1:8" x14ac:dyDescent="0.25">
      <c r="A65" s="4">
        <v>103</v>
      </c>
      <c r="B65" s="38"/>
      <c r="C65" s="38" t="s">
        <v>2</v>
      </c>
      <c r="D65" s="38"/>
      <c r="E65" s="38"/>
      <c r="F65" s="38" t="s">
        <v>2</v>
      </c>
      <c r="G65" s="38"/>
      <c r="H65" s="38" t="s">
        <v>2</v>
      </c>
    </row>
    <row r="66" spans="1:8" x14ac:dyDescent="0.25">
      <c r="A66" s="4">
        <v>104</v>
      </c>
      <c r="B66" s="38"/>
      <c r="C66" s="38"/>
      <c r="D66" s="38" t="s">
        <v>2</v>
      </c>
      <c r="E66" s="38"/>
      <c r="F66" s="38" t="s">
        <v>2</v>
      </c>
      <c r="G66" s="38"/>
      <c r="H66" s="38" t="s">
        <v>2</v>
      </c>
    </row>
    <row r="67" spans="1:8" x14ac:dyDescent="0.25">
      <c r="A67" s="4">
        <v>105</v>
      </c>
      <c r="B67" s="38"/>
      <c r="C67" s="38"/>
      <c r="D67" s="38"/>
      <c r="E67" s="38"/>
      <c r="F67" s="38"/>
      <c r="G67" s="38"/>
      <c r="H67" s="38"/>
    </row>
    <row r="68" spans="1:8" x14ac:dyDescent="0.25">
      <c r="A68" s="4">
        <v>106</v>
      </c>
      <c r="B68" s="38"/>
      <c r="C68" s="38"/>
      <c r="D68" s="38"/>
      <c r="E68" s="38"/>
      <c r="F68" s="38"/>
      <c r="G68" s="38"/>
      <c r="H68" s="38"/>
    </row>
    <row r="69" spans="1:8" x14ac:dyDescent="0.25">
      <c r="A69" s="4">
        <v>107</v>
      </c>
      <c r="B69" s="38"/>
      <c r="C69" s="38"/>
      <c r="D69" s="38"/>
      <c r="E69" s="38"/>
      <c r="F69" s="38"/>
      <c r="G69" s="38"/>
      <c r="H69" s="38"/>
    </row>
    <row r="70" spans="1:8" x14ac:dyDescent="0.25">
      <c r="A70" s="4">
        <v>108</v>
      </c>
      <c r="B70" s="38"/>
      <c r="C70" s="38"/>
      <c r="D70" s="38"/>
      <c r="E70" s="38"/>
      <c r="F70" s="38"/>
      <c r="G70" s="38" t="s">
        <v>2</v>
      </c>
      <c r="H70" s="38" t="s">
        <v>2</v>
      </c>
    </row>
    <row r="71" spans="1:8" x14ac:dyDescent="0.25">
      <c r="A71" s="4">
        <v>109</v>
      </c>
      <c r="B71" s="38"/>
      <c r="C71" s="38"/>
      <c r="D71" s="38"/>
      <c r="E71" s="38"/>
      <c r="F71" s="38"/>
      <c r="G71" s="38"/>
      <c r="H71" s="38"/>
    </row>
    <row r="72" spans="1:8" x14ac:dyDescent="0.25">
      <c r="A72" s="4">
        <v>110</v>
      </c>
      <c r="B72" s="38"/>
      <c r="C72" s="38"/>
      <c r="D72" s="38"/>
      <c r="E72" s="38"/>
      <c r="F72" s="38"/>
      <c r="G72" s="38"/>
      <c r="H72" s="38"/>
    </row>
    <row r="73" spans="1:8" x14ac:dyDescent="0.25">
      <c r="A73" s="4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4">
        <v>112</v>
      </c>
      <c r="B74" s="38"/>
      <c r="C74" s="38" t="s">
        <v>6</v>
      </c>
      <c r="D74" s="38"/>
      <c r="E74" s="38"/>
      <c r="F74" s="38" t="s">
        <v>7</v>
      </c>
      <c r="G74" s="38"/>
      <c r="H74" s="38"/>
    </row>
    <row r="75" spans="1:8" x14ac:dyDescent="0.25">
      <c r="A75" s="4">
        <v>113</v>
      </c>
      <c r="B75" s="38"/>
      <c r="C75" s="38"/>
      <c r="D75" s="38" t="s">
        <v>2</v>
      </c>
      <c r="E75" s="38" t="s">
        <v>2</v>
      </c>
      <c r="F75" s="38"/>
      <c r="G75" s="38"/>
      <c r="H75" s="38" t="s">
        <v>2</v>
      </c>
    </row>
    <row r="76" spans="1:8" x14ac:dyDescent="0.25">
      <c r="A76" s="4">
        <v>114</v>
      </c>
      <c r="B76" s="38"/>
      <c r="C76" s="38" t="s">
        <v>6</v>
      </c>
      <c r="D76" s="38"/>
      <c r="E76" s="38"/>
      <c r="F76" s="38" t="s">
        <v>7</v>
      </c>
      <c r="G76" s="38"/>
      <c r="H76" s="38"/>
    </row>
    <row r="77" spans="1:8" x14ac:dyDescent="0.25">
      <c r="A77" s="4">
        <v>115</v>
      </c>
      <c r="B77" s="38" t="s">
        <v>2</v>
      </c>
      <c r="C77" s="38"/>
      <c r="D77" s="38"/>
      <c r="E77" s="38"/>
      <c r="F77" s="38" t="s">
        <v>2</v>
      </c>
      <c r="G77" s="38"/>
      <c r="H77" s="38"/>
    </row>
    <row r="78" spans="1:8" x14ac:dyDescent="0.25">
      <c r="A78" s="4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4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4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4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4">
        <v>120</v>
      </c>
      <c r="B82" s="38" t="s">
        <v>2</v>
      </c>
      <c r="C82" s="38"/>
      <c r="D82" s="38"/>
      <c r="E82" s="38" t="s">
        <v>7</v>
      </c>
      <c r="F82" s="38"/>
      <c r="G82" s="38"/>
      <c r="H82" s="38" t="s">
        <v>2</v>
      </c>
    </row>
    <row r="83" spans="1:8" x14ac:dyDescent="0.25">
      <c r="A83" s="4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4">
        <v>122</v>
      </c>
      <c r="B84" s="38"/>
      <c r="C84" s="38"/>
      <c r="D84" s="38" t="s">
        <v>7</v>
      </c>
      <c r="E84" s="38"/>
      <c r="F84" s="38" t="s">
        <v>2</v>
      </c>
      <c r="G84" s="38"/>
      <c r="H84" s="38"/>
    </row>
    <row r="85" spans="1:8" x14ac:dyDescent="0.25">
      <c r="A85" s="4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4">
        <v>124</v>
      </c>
      <c r="B86" s="38"/>
      <c r="C86" s="38" t="s">
        <v>6</v>
      </c>
      <c r="D86" s="38"/>
      <c r="E86" s="38" t="s">
        <v>2</v>
      </c>
      <c r="F86" s="38"/>
      <c r="G86" s="38" t="s">
        <v>5</v>
      </c>
      <c r="H86" s="38"/>
    </row>
    <row r="87" spans="1:8" x14ac:dyDescent="0.25">
      <c r="A87" s="4">
        <v>125</v>
      </c>
      <c r="B87" s="38"/>
      <c r="C87" s="38"/>
      <c r="D87" s="38"/>
      <c r="E87" s="38"/>
      <c r="F87" s="38"/>
      <c r="G87" s="38"/>
      <c r="H87" s="38" t="s">
        <v>2</v>
      </c>
    </row>
    <row r="88" spans="1:8" x14ac:dyDescent="0.25">
      <c r="A88" s="4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4">
        <v>127</v>
      </c>
      <c r="B89" s="38"/>
      <c r="C89" s="38"/>
      <c r="D89" s="38"/>
      <c r="E89" s="38"/>
      <c r="F89" s="38"/>
      <c r="G89" s="38"/>
      <c r="H89" s="38" t="s">
        <v>2</v>
      </c>
    </row>
    <row r="90" spans="1:8" x14ac:dyDescent="0.25">
      <c r="A90" s="4">
        <v>128</v>
      </c>
      <c r="B90" s="38"/>
      <c r="C90" s="38"/>
      <c r="D90" s="38"/>
      <c r="E90" s="38"/>
      <c r="F90" s="38"/>
      <c r="G90" s="38"/>
      <c r="H90" s="38"/>
    </row>
    <row r="91" spans="1:8" x14ac:dyDescent="0.25">
      <c r="A91" s="4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4">
        <v>130</v>
      </c>
      <c r="B92" s="38"/>
      <c r="C92" s="38"/>
      <c r="D92" s="38"/>
      <c r="E92" s="38"/>
      <c r="F92" s="38"/>
      <c r="G92" s="38"/>
      <c r="H92" s="38"/>
    </row>
    <row r="93" spans="1:8" x14ac:dyDescent="0.25">
      <c r="A93" s="4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4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4">
        <v>133</v>
      </c>
      <c r="B95" s="38"/>
      <c r="C95" s="38"/>
      <c r="D95" s="38" t="s">
        <v>7</v>
      </c>
      <c r="E95" s="38"/>
      <c r="F95" s="38"/>
      <c r="G95" s="38" t="s">
        <v>2</v>
      </c>
      <c r="H95" s="38"/>
    </row>
  </sheetData>
  <mergeCells count="5">
    <mergeCell ref="A1:H2"/>
    <mergeCell ref="I17:K17"/>
    <mergeCell ref="I18:J18"/>
    <mergeCell ref="I27:K27"/>
    <mergeCell ref="I28:J28"/>
  </mergeCells>
  <conditionalFormatting sqref="B61:I62 I5:I16 I29:I60 I19:I26 B63:H95">
    <cfRule type="cellIs" dxfId="711" priority="18" operator="equal">
      <formula>"Energia"</formula>
    </cfRule>
    <cfRule type="cellIs" dxfId="710" priority="20" operator="equal">
      <formula>"Operação"</formula>
    </cfRule>
    <cfRule type="cellIs" dxfId="709" priority="21" operator="equal">
      <formula>"Chuva"</formula>
    </cfRule>
    <cfRule type="cellIs" dxfId="708" priority="22" operator="equal">
      <formula>"Elétrico"</formula>
    </cfRule>
    <cfRule type="cellIs" dxfId="707" priority="23" operator="equal">
      <formula>"Mecânico"</formula>
    </cfRule>
    <cfRule type="cellIs" dxfId="706" priority="24" operator="equal">
      <formula>"Ok"</formula>
    </cfRule>
  </conditionalFormatting>
  <conditionalFormatting sqref="B61:I62 I5:I16 I29:I60 I19:I26 B63:H95">
    <cfRule type="cellIs" dxfId="705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704" priority="16" operator="equal">
      <formula>"Energia"</formula>
    </cfRule>
  </conditionalFormatting>
  <conditionalFormatting sqref="G5:H60 B5:E60 F53">
    <cfRule type="cellIs" dxfId="703" priority="9" operator="equal">
      <formula>"Energia"</formula>
    </cfRule>
    <cfRule type="cellIs" dxfId="702" priority="11" operator="equal">
      <formula>"Operação"</formula>
    </cfRule>
    <cfRule type="cellIs" dxfId="701" priority="12" operator="equal">
      <formula>"Chuva"</formula>
    </cfRule>
    <cfRule type="cellIs" dxfId="700" priority="13" operator="equal">
      <formula>"Elétrico"</formula>
    </cfRule>
    <cfRule type="cellIs" dxfId="699" priority="14" operator="equal">
      <formula>"Mecânico"</formula>
    </cfRule>
    <cfRule type="cellIs" dxfId="698" priority="15" operator="equal">
      <formula>"Ok"</formula>
    </cfRule>
  </conditionalFormatting>
  <conditionalFormatting sqref="G5:H60 B5:E60 F53">
    <cfRule type="cellIs" dxfId="697" priority="10" operator="equal">
      <formula>"Feito"</formula>
    </cfRule>
  </conditionalFormatting>
  <conditionalFormatting sqref="F5:F11">
    <cfRule type="cellIs" dxfId="696" priority="8" operator="equal">
      <formula>"Energia"</formula>
    </cfRule>
  </conditionalFormatting>
  <conditionalFormatting sqref="F5:F52 F54:F60">
    <cfRule type="cellIs" dxfId="695" priority="1" operator="equal">
      <formula>"Energia"</formula>
    </cfRule>
    <cfRule type="cellIs" dxfId="694" priority="3" operator="equal">
      <formula>"Operação"</formula>
    </cfRule>
    <cfRule type="cellIs" dxfId="693" priority="4" operator="equal">
      <formula>"Chuva"</formula>
    </cfRule>
    <cfRule type="cellIs" dxfId="692" priority="5" operator="equal">
      <formula>"Elétrico"</formula>
    </cfRule>
    <cfRule type="cellIs" dxfId="691" priority="6" operator="equal">
      <formula>"Mecânico"</formula>
    </cfRule>
    <cfRule type="cellIs" dxfId="690" priority="7" operator="equal">
      <formula>"Ok"</formula>
    </cfRule>
  </conditionalFormatting>
  <conditionalFormatting sqref="F5:F52 F54:F60">
    <cfRule type="cellIs" dxfId="689" priority="2" operator="equal">
      <formula>"Feito"</formula>
    </cfRule>
  </conditionalFormatting>
  <dataValidations count="1">
    <dataValidation type="list" allowBlank="1" showInputMessage="1" showErrorMessage="1" sqref="I5:I16 J36:J60 I29:I62 I19:I26 B5:H95" xr:uid="{7E9AAACB-54B6-4C1F-9A27-007F14942FF2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F16B-AB65-418F-9601-4A29F60FD7BA}">
  <sheetPr>
    <tabColor theme="8"/>
  </sheetPr>
  <dimension ref="A1:Q95"/>
  <sheetViews>
    <sheetView showGridLines="0" zoomScaleNormal="100" workbookViewId="0">
      <pane ySplit="4" topLeftCell="A5" activePane="bottomLeft" state="frozen"/>
      <selection pane="bottomLeft" activeCell="J5" sqref="J5:M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67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4" t="s">
        <v>16</v>
      </c>
      <c r="B3" s="23">
        <v>44774</v>
      </c>
      <c r="C3" s="23">
        <f>B3+1</f>
        <v>44775</v>
      </c>
      <c r="D3" s="23">
        <f t="shared" ref="D3:H3" si="0">C3+1</f>
        <v>44776</v>
      </c>
      <c r="E3" s="23">
        <f t="shared" si="0"/>
        <v>44777</v>
      </c>
      <c r="F3" s="23">
        <f t="shared" si="0"/>
        <v>44778</v>
      </c>
      <c r="G3" s="23">
        <f t="shared" si="0"/>
        <v>44779</v>
      </c>
      <c r="H3" s="25">
        <f t="shared" si="0"/>
        <v>44780</v>
      </c>
      <c r="I3" s="3"/>
    </row>
    <row r="4" spans="1:17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  <c r="Q4" t="s">
        <v>34</v>
      </c>
    </row>
    <row r="5" spans="1:17" x14ac:dyDescent="0.25">
      <c r="A5" s="4">
        <v>1</v>
      </c>
      <c r="B5" s="38"/>
      <c r="C5" s="38"/>
      <c r="D5" s="38"/>
      <c r="E5" s="38"/>
      <c r="F5" s="38"/>
      <c r="G5" s="38"/>
      <c r="H5" s="38"/>
      <c r="J5" s="48" t="s">
        <v>2</v>
      </c>
      <c r="K5">
        <f>COUNTIF($B$5:$H$95,J5)</f>
        <v>139</v>
      </c>
      <c r="L5" s="34">
        <f t="shared" ref="L5:L10" si="2">K5/$K$11</f>
        <v>0.86335403726708071</v>
      </c>
      <c r="M5" s="52">
        <f>B3</f>
        <v>44774</v>
      </c>
      <c r="O5" t="s">
        <v>44</v>
      </c>
      <c r="P5">
        <v>157</v>
      </c>
      <c r="Q5" s="52">
        <f>M5</f>
        <v>44774</v>
      </c>
    </row>
    <row r="6" spans="1:17" x14ac:dyDescent="0.25">
      <c r="A6" s="4">
        <v>2</v>
      </c>
      <c r="B6" s="38"/>
      <c r="C6" s="38" t="s">
        <v>2</v>
      </c>
      <c r="D6" s="38"/>
      <c r="E6" s="38"/>
      <c r="F6" s="38" t="s">
        <v>2</v>
      </c>
      <c r="G6" s="38"/>
      <c r="H6" s="38"/>
      <c r="J6" s="42" t="s">
        <v>5</v>
      </c>
      <c r="K6">
        <f>COUNTIF($B$5:$H$95,J6)</f>
        <v>4</v>
      </c>
      <c r="L6" s="35">
        <f t="shared" si="2"/>
        <v>2.4844720496894408E-2</v>
      </c>
      <c r="O6" t="s">
        <v>46</v>
      </c>
      <c r="P6">
        <f>SUM(K19:K25)</f>
        <v>24</v>
      </c>
    </row>
    <row r="7" spans="1:17" x14ac:dyDescent="0.25">
      <c r="A7" s="4">
        <v>3</v>
      </c>
      <c r="B7" s="38"/>
      <c r="C7" s="38"/>
      <c r="D7" s="38" t="s">
        <v>2</v>
      </c>
      <c r="E7" s="38"/>
      <c r="F7" s="38"/>
      <c r="G7" s="38" t="s">
        <v>2</v>
      </c>
      <c r="H7" s="38"/>
      <c r="J7" s="46" t="s">
        <v>6</v>
      </c>
      <c r="K7">
        <f t="shared" ref="K7:K10" si="3">COUNTIF($B$5:$H$95,J7)</f>
        <v>4</v>
      </c>
      <c r="L7" s="35">
        <f t="shared" si="2"/>
        <v>2.4844720496894408E-2</v>
      </c>
      <c r="O7" t="s">
        <v>45</v>
      </c>
      <c r="P7">
        <f>SUM(K29:K35)</f>
        <v>3</v>
      </c>
    </row>
    <row r="8" spans="1:17" x14ac:dyDescent="0.25">
      <c r="A8" s="4">
        <v>4</v>
      </c>
      <c r="B8" s="38" t="s">
        <v>2</v>
      </c>
      <c r="C8" s="38"/>
      <c r="D8" s="38" t="s">
        <v>2</v>
      </c>
      <c r="E8" s="38"/>
      <c r="F8" s="38" t="s">
        <v>2</v>
      </c>
      <c r="G8" s="38"/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  <c r="O8" s="65" t="s">
        <v>17</v>
      </c>
      <c r="P8" s="65">
        <f>P5+P6-P7</f>
        <v>178</v>
      </c>
    </row>
    <row r="9" spans="1:17" x14ac:dyDescent="0.25">
      <c r="A9" s="4">
        <v>5</v>
      </c>
      <c r="B9" s="38"/>
      <c r="C9" s="38" t="s">
        <v>2</v>
      </c>
      <c r="D9" s="38"/>
      <c r="E9" s="38" t="s">
        <v>2</v>
      </c>
      <c r="F9" s="38"/>
      <c r="G9" s="38" t="s">
        <v>5</v>
      </c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7" x14ac:dyDescent="0.25">
      <c r="A10" s="4">
        <v>6</v>
      </c>
      <c r="B10" s="38" t="s">
        <v>2</v>
      </c>
      <c r="C10" s="38"/>
      <c r="D10" s="38" t="s">
        <v>2</v>
      </c>
      <c r="E10" s="38"/>
      <c r="F10" s="38" t="s">
        <v>2</v>
      </c>
      <c r="G10" s="38"/>
      <c r="H10" s="38" t="s">
        <v>2</v>
      </c>
      <c r="J10" s="43" t="s">
        <v>7</v>
      </c>
      <c r="K10">
        <f t="shared" si="3"/>
        <v>14</v>
      </c>
      <c r="L10" s="37">
        <f t="shared" si="2"/>
        <v>8.6956521739130432E-2</v>
      </c>
      <c r="O10" t="s">
        <v>65</v>
      </c>
      <c r="P10">
        <f>P8</f>
        <v>178</v>
      </c>
    </row>
    <row r="11" spans="1:17" x14ac:dyDescent="0.25">
      <c r="A11" s="4">
        <v>7</v>
      </c>
      <c r="B11" s="38" t="s">
        <v>2</v>
      </c>
      <c r="C11" s="38"/>
      <c r="D11" s="38" t="s">
        <v>2</v>
      </c>
      <c r="E11" s="38"/>
      <c r="F11" s="38" t="s">
        <v>5</v>
      </c>
      <c r="G11" s="38"/>
      <c r="H11" s="38" t="s">
        <v>2</v>
      </c>
      <c r="J11" s="44" t="s">
        <v>17</v>
      </c>
      <c r="K11">
        <f>SUM(K5:K10)</f>
        <v>161</v>
      </c>
    </row>
    <row r="12" spans="1:17" x14ac:dyDescent="0.25">
      <c r="A12" s="4">
        <v>8</v>
      </c>
      <c r="B12" s="38"/>
      <c r="C12" s="38"/>
      <c r="D12" s="38"/>
      <c r="E12" s="38" t="s">
        <v>2</v>
      </c>
      <c r="F12" s="38" t="s">
        <v>2</v>
      </c>
      <c r="G12" s="38" t="s">
        <v>2</v>
      </c>
      <c r="H12" s="38"/>
    </row>
    <row r="13" spans="1:17" x14ac:dyDescent="0.25">
      <c r="A13" s="4">
        <v>9</v>
      </c>
      <c r="B13" s="38"/>
      <c r="C13" s="38" t="s">
        <v>2</v>
      </c>
      <c r="D13" s="38"/>
      <c r="E13" s="38"/>
      <c r="F13" s="38" t="s">
        <v>2</v>
      </c>
      <c r="G13" s="38" t="s">
        <v>2</v>
      </c>
      <c r="H13" s="38"/>
    </row>
    <row r="14" spans="1:17" x14ac:dyDescent="0.25">
      <c r="A14" s="4">
        <v>10</v>
      </c>
      <c r="B14" s="38"/>
      <c r="C14" s="38"/>
      <c r="D14" s="38"/>
      <c r="E14" s="38"/>
      <c r="F14" s="38"/>
      <c r="G14" s="38" t="s">
        <v>2</v>
      </c>
      <c r="H14" s="38"/>
    </row>
    <row r="15" spans="1:17" x14ac:dyDescent="0.25">
      <c r="A15" s="4">
        <v>11</v>
      </c>
      <c r="B15" s="38"/>
      <c r="C15" s="38"/>
      <c r="D15" s="38" t="s">
        <v>2</v>
      </c>
      <c r="E15" s="38"/>
      <c r="F15" s="38"/>
      <c r="G15" s="38" t="s">
        <v>2</v>
      </c>
      <c r="H15" s="38"/>
    </row>
    <row r="16" spans="1:17" x14ac:dyDescent="0.25">
      <c r="A16" s="4">
        <v>12</v>
      </c>
      <c r="B16" s="38" t="s">
        <v>2</v>
      </c>
      <c r="C16" s="38"/>
      <c r="D16" s="38"/>
      <c r="E16" s="38" t="s">
        <v>2</v>
      </c>
      <c r="F16" s="38"/>
      <c r="G16" s="38"/>
      <c r="H16" s="38" t="s">
        <v>2</v>
      </c>
      <c r="N16">
        <f>P8</f>
        <v>178</v>
      </c>
      <c r="O16" s="61">
        <f>N17/N16</f>
        <v>0.7808988764044944</v>
      </c>
    </row>
    <row r="17" spans="1:14" x14ac:dyDescent="0.25">
      <c r="A17" s="4">
        <v>13</v>
      </c>
      <c r="B17" s="38"/>
      <c r="C17" s="38" t="s">
        <v>2</v>
      </c>
      <c r="D17" s="38"/>
      <c r="E17" s="38" t="s">
        <v>2</v>
      </c>
      <c r="F17" s="38"/>
      <c r="G17" s="38" t="s">
        <v>2</v>
      </c>
      <c r="H17" s="38"/>
      <c r="I17" s="71" t="s">
        <v>46</v>
      </c>
      <c r="J17" s="72"/>
      <c r="K17" s="72"/>
      <c r="N17">
        <f>K5</f>
        <v>139</v>
      </c>
    </row>
    <row r="18" spans="1:14" x14ac:dyDescent="0.25">
      <c r="A18" s="4">
        <v>14</v>
      </c>
      <c r="B18" s="38" t="s">
        <v>7</v>
      </c>
      <c r="C18" s="38" t="s">
        <v>7</v>
      </c>
      <c r="D18" s="38" t="s">
        <v>5</v>
      </c>
      <c r="E18" s="38" t="s">
        <v>6</v>
      </c>
      <c r="F18" s="38" t="s">
        <v>6</v>
      </c>
      <c r="G18" s="38"/>
      <c r="H18" s="38" t="s">
        <v>2</v>
      </c>
      <c r="I18" s="71" t="s">
        <v>54</v>
      </c>
      <c r="J18" s="72"/>
      <c r="K18" t="s">
        <v>32</v>
      </c>
    </row>
    <row r="19" spans="1:14" x14ac:dyDescent="0.25">
      <c r="A19" s="4">
        <v>15</v>
      </c>
      <c r="B19" s="38"/>
      <c r="C19" s="38"/>
      <c r="D19" s="38"/>
      <c r="E19" s="38"/>
      <c r="F19" s="38"/>
      <c r="G19" s="38"/>
      <c r="H19" s="38"/>
      <c r="I19" s="40" t="s">
        <v>47</v>
      </c>
      <c r="J19" s="40" t="str">
        <f>TEXT(B3,"ddd")</f>
        <v>seg</v>
      </c>
      <c r="K19" s="60"/>
    </row>
    <row r="20" spans="1:14" x14ac:dyDescent="0.25">
      <c r="A20" s="4">
        <v>16</v>
      </c>
      <c r="B20" s="38"/>
      <c r="C20" s="38"/>
      <c r="D20" s="38"/>
      <c r="E20" s="38"/>
      <c r="F20" s="38"/>
      <c r="G20" s="38"/>
      <c r="H20" s="38"/>
      <c r="I20" s="40" t="s">
        <v>48</v>
      </c>
      <c r="J20" s="40" t="str">
        <f>TEXT(C3,"ddd")</f>
        <v>ter</v>
      </c>
      <c r="K20" s="60">
        <v>1</v>
      </c>
    </row>
    <row r="21" spans="1:14" x14ac:dyDescent="0.25">
      <c r="A21" s="4">
        <v>17</v>
      </c>
      <c r="B21" s="38"/>
      <c r="C21" s="38"/>
      <c r="D21" s="38"/>
      <c r="E21" s="38"/>
      <c r="F21" s="38"/>
      <c r="G21" s="38"/>
      <c r="H21" s="38"/>
      <c r="I21" s="40" t="s">
        <v>49</v>
      </c>
      <c r="J21" s="40" t="str">
        <f>TEXT(D3,"ddd")</f>
        <v>qua</v>
      </c>
      <c r="K21" s="60">
        <v>2</v>
      </c>
    </row>
    <row r="22" spans="1:14" x14ac:dyDescent="0.25">
      <c r="A22" s="4">
        <v>18</v>
      </c>
      <c r="B22" s="38"/>
      <c r="C22" s="38"/>
      <c r="D22" s="38"/>
      <c r="E22" s="38"/>
      <c r="F22" s="38"/>
      <c r="G22" s="38"/>
      <c r="H22" s="38"/>
      <c r="I22" s="40" t="s">
        <v>50</v>
      </c>
      <c r="J22" s="40" t="str">
        <f>TEXT(E3,"ddd")</f>
        <v>qui</v>
      </c>
      <c r="K22" s="60">
        <v>3</v>
      </c>
    </row>
    <row r="23" spans="1:14" x14ac:dyDescent="0.25">
      <c r="A23" s="4">
        <v>19</v>
      </c>
      <c r="B23" s="38"/>
      <c r="C23" s="38"/>
      <c r="D23" s="38" t="s">
        <v>2</v>
      </c>
      <c r="E23" s="38"/>
      <c r="F23" s="38"/>
      <c r="G23" s="38"/>
      <c r="H23" s="38"/>
      <c r="I23" s="40" t="s">
        <v>51</v>
      </c>
      <c r="J23" s="40" t="str">
        <f>TEXT(F3,"ddd")</f>
        <v>sex</v>
      </c>
      <c r="K23" s="60">
        <v>6</v>
      </c>
    </row>
    <row r="24" spans="1:14" x14ac:dyDescent="0.25">
      <c r="A24" s="4">
        <v>20</v>
      </c>
      <c r="B24" s="38"/>
      <c r="C24" s="38"/>
      <c r="D24" s="38"/>
      <c r="E24" s="38"/>
      <c r="F24" s="38"/>
      <c r="G24" s="38"/>
      <c r="H24" s="38"/>
      <c r="I24" s="40" t="s">
        <v>52</v>
      </c>
      <c r="J24" s="40" t="str">
        <f>TEXT(G3,"ddd")</f>
        <v>sáb</v>
      </c>
      <c r="K24" s="60">
        <v>5</v>
      </c>
    </row>
    <row r="25" spans="1:14" x14ac:dyDescent="0.25">
      <c r="A25" s="4">
        <v>21</v>
      </c>
      <c r="B25" s="38"/>
      <c r="C25" s="38"/>
      <c r="D25" s="38"/>
      <c r="E25" s="38"/>
      <c r="F25" s="38"/>
      <c r="G25" s="38"/>
      <c r="H25" s="38"/>
      <c r="I25" s="40" t="s">
        <v>53</v>
      </c>
      <c r="J25" s="40" t="str">
        <f>TEXT(H3,"ddd")</f>
        <v>dom</v>
      </c>
      <c r="K25" s="60">
        <v>7</v>
      </c>
    </row>
    <row r="26" spans="1:14" x14ac:dyDescent="0.25">
      <c r="A26" s="4">
        <v>22</v>
      </c>
      <c r="B26" s="38"/>
      <c r="C26" s="38"/>
      <c r="D26" s="38"/>
      <c r="E26" s="38"/>
      <c r="F26" s="38"/>
      <c r="G26" s="38"/>
      <c r="H26" s="38"/>
    </row>
    <row r="27" spans="1:14" x14ac:dyDescent="0.25">
      <c r="A27" s="4">
        <v>23</v>
      </c>
      <c r="B27" s="38" t="s">
        <v>2</v>
      </c>
      <c r="C27" s="38" t="s">
        <v>7</v>
      </c>
      <c r="D27" s="38" t="s">
        <v>2</v>
      </c>
      <c r="E27" s="38" t="s">
        <v>2</v>
      </c>
      <c r="F27" s="38" t="s">
        <v>2</v>
      </c>
      <c r="G27" s="38" t="s">
        <v>2</v>
      </c>
      <c r="H27" s="38" t="s">
        <v>7</v>
      </c>
      <c r="I27" s="71" t="s">
        <v>45</v>
      </c>
      <c r="J27" s="72"/>
      <c r="K27" s="72"/>
    </row>
    <row r="28" spans="1:14" x14ac:dyDescent="0.25">
      <c r="A28" s="4">
        <v>24</v>
      </c>
      <c r="B28" s="38" t="s">
        <v>2</v>
      </c>
      <c r="C28" s="38"/>
      <c r="D28" s="38"/>
      <c r="E28" s="38"/>
      <c r="F28" s="38" t="s">
        <v>2</v>
      </c>
      <c r="G28" s="38"/>
      <c r="H28" s="38"/>
      <c r="I28" s="71" t="s">
        <v>54</v>
      </c>
      <c r="J28" s="72"/>
      <c r="K28" t="s">
        <v>32</v>
      </c>
    </row>
    <row r="29" spans="1:14" x14ac:dyDescent="0.25">
      <c r="A29" s="4">
        <v>25</v>
      </c>
      <c r="B29" s="38"/>
      <c r="C29" s="38" t="s">
        <v>2</v>
      </c>
      <c r="D29" s="38"/>
      <c r="E29" s="38" t="s">
        <v>2</v>
      </c>
      <c r="F29" s="38"/>
      <c r="G29" s="38" t="s">
        <v>2</v>
      </c>
      <c r="H29" s="38"/>
      <c r="I29" s="40" t="s">
        <v>47</v>
      </c>
      <c r="J29" s="40" t="str">
        <f t="shared" ref="J29:J35" si="4">J19</f>
        <v>seg</v>
      </c>
      <c r="K29" s="60"/>
    </row>
    <row r="30" spans="1:14" x14ac:dyDescent="0.25">
      <c r="A30" s="4">
        <v>26</v>
      </c>
      <c r="B30" s="38"/>
      <c r="C30" s="38"/>
      <c r="D30" s="38" t="s">
        <v>2</v>
      </c>
      <c r="E30" s="38" t="s">
        <v>2</v>
      </c>
      <c r="F30" s="38"/>
      <c r="G30" s="38" t="s">
        <v>2</v>
      </c>
      <c r="H30" s="38" t="s">
        <v>2</v>
      </c>
      <c r="I30" s="40" t="s">
        <v>48</v>
      </c>
      <c r="J30" s="40" t="str">
        <f t="shared" si="4"/>
        <v>ter</v>
      </c>
      <c r="K30" s="60"/>
    </row>
    <row r="31" spans="1:14" x14ac:dyDescent="0.25">
      <c r="A31" s="4">
        <v>27</v>
      </c>
      <c r="B31" s="38"/>
      <c r="C31" s="38"/>
      <c r="D31" s="38"/>
      <c r="E31" s="38"/>
      <c r="F31" s="38"/>
      <c r="G31" s="38"/>
      <c r="H31" s="38"/>
      <c r="I31" s="40" t="s">
        <v>49</v>
      </c>
      <c r="J31" s="40" t="str">
        <f t="shared" si="4"/>
        <v>qua</v>
      </c>
      <c r="K31" s="60">
        <v>1</v>
      </c>
    </row>
    <row r="32" spans="1:14" x14ac:dyDescent="0.25">
      <c r="A32" s="4">
        <v>28</v>
      </c>
      <c r="B32" s="38"/>
      <c r="C32" s="38"/>
      <c r="D32" s="38"/>
      <c r="E32" s="38"/>
      <c r="F32" s="38"/>
      <c r="G32" s="38"/>
      <c r="H32" s="38"/>
      <c r="I32" s="40" t="s">
        <v>50</v>
      </c>
      <c r="J32" s="40" t="str">
        <f t="shared" si="4"/>
        <v>qui</v>
      </c>
      <c r="K32" s="60">
        <v>2</v>
      </c>
    </row>
    <row r="33" spans="1:11" x14ac:dyDescent="0.25">
      <c r="A33" s="4">
        <v>29</v>
      </c>
      <c r="B33" s="38" t="s">
        <v>2</v>
      </c>
      <c r="C33" s="38"/>
      <c r="D33" s="38"/>
      <c r="E33" s="38" t="s">
        <v>2</v>
      </c>
      <c r="F33" s="38" t="s">
        <v>2</v>
      </c>
      <c r="G33" s="38"/>
      <c r="H33" s="38" t="s">
        <v>2</v>
      </c>
      <c r="I33" s="40" t="s">
        <v>51</v>
      </c>
      <c r="J33" s="40" t="str">
        <f t="shared" si="4"/>
        <v>sex</v>
      </c>
      <c r="K33" s="60"/>
    </row>
    <row r="34" spans="1:11" x14ac:dyDescent="0.25">
      <c r="A34" s="4">
        <v>30</v>
      </c>
      <c r="B34" s="38" t="s">
        <v>2</v>
      </c>
      <c r="C34" s="38"/>
      <c r="D34" s="38" t="s">
        <v>2</v>
      </c>
      <c r="E34" s="38"/>
      <c r="F34" s="38" t="s">
        <v>2</v>
      </c>
      <c r="G34" s="38"/>
      <c r="H34" s="38" t="s">
        <v>2</v>
      </c>
      <c r="I34" s="40" t="s">
        <v>52</v>
      </c>
      <c r="J34" s="40" t="str">
        <f t="shared" si="4"/>
        <v>sáb</v>
      </c>
      <c r="K34" s="60"/>
    </row>
    <row r="35" spans="1:11" x14ac:dyDescent="0.25">
      <c r="A35" s="4">
        <v>31</v>
      </c>
      <c r="B35" s="38" t="s">
        <v>2</v>
      </c>
      <c r="C35" s="38" t="s">
        <v>2</v>
      </c>
      <c r="D35" s="38" t="s">
        <v>2</v>
      </c>
      <c r="E35" s="38" t="s">
        <v>2</v>
      </c>
      <c r="F35" s="38"/>
      <c r="G35" s="38" t="s">
        <v>2</v>
      </c>
      <c r="H35" s="38"/>
      <c r="I35" s="40" t="s">
        <v>53</v>
      </c>
      <c r="J35" s="40" t="str">
        <f t="shared" si="4"/>
        <v>dom</v>
      </c>
      <c r="K35" s="60"/>
    </row>
    <row r="36" spans="1:11" x14ac:dyDescent="0.25">
      <c r="A36" s="4">
        <v>32</v>
      </c>
      <c r="B36" s="38"/>
      <c r="C36" s="38"/>
      <c r="D36" s="38"/>
      <c r="E36" s="38"/>
      <c r="F36" s="38"/>
      <c r="G36" s="38"/>
      <c r="H36" s="38"/>
    </row>
    <row r="37" spans="1:11" x14ac:dyDescent="0.25">
      <c r="A37" s="4">
        <v>33</v>
      </c>
      <c r="B37" s="38"/>
      <c r="C37" s="38"/>
      <c r="D37" s="38"/>
      <c r="E37" s="38"/>
      <c r="F37" s="38"/>
      <c r="G37" s="38"/>
      <c r="H37" s="38"/>
    </row>
    <row r="38" spans="1:11" x14ac:dyDescent="0.25">
      <c r="A38" s="4">
        <v>34</v>
      </c>
      <c r="B38" s="38"/>
      <c r="C38" s="38"/>
      <c r="D38" s="38"/>
      <c r="E38" s="38"/>
      <c r="F38" s="38"/>
      <c r="G38" s="38"/>
      <c r="H38" s="38"/>
    </row>
    <row r="39" spans="1:11" x14ac:dyDescent="0.25">
      <c r="A39" s="4">
        <v>35</v>
      </c>
      <c r="B39" s="38"/>
      <c r="C39" s="38"/>
      <c r="D39" s="38"/>
      <c r="E39" s="38"/>
      <c r="F39" s="38" t="s">
        <v>2</v>
      </c>
      <c r="G39" s="38" t="s">
        <v>2</v>
      </c>
      <c r="H39" s="38" t="s">
        <v>2</v>
      </c>
    </row>
    <row r="40" spans="1:11" x14ac:dyDescent="0.25">
      <c r="A40" s="4">
        <v>36</v>
      </c>
      <c r="B40" s="38"/>
      <c r="C40" s="38"/>
      <c r="D40" s="38" t="s">
        <v>2</v>
      </c>
      <c r="E40" s="38"/>
      <c r="F40" s="38"/>
      <c r="G40" s="38"/>
      <c r="H40" s="38"/>
    </row>
    <row r="41" spans="1:11" x14ac:dyDescent="0.25">
      <c r="A41" s="4">
        <v>37</v>
      </c>
      <c r="B41" s="38" t="s">
        <v>2</v>
      </c>
      <c r="C41" s="38" t="s">
        <v>2</v>
      </c>
      <c r="D41" s="38" t="s">
        <v>2</v>
      </c>
      <c r="E41" s="38" t="s">
        <v>2</v>
      </c>
      <c r="F41" s="38" t="s">
        <v>2</v>
      </c>
      <c r="G41" s="38" t="s">
        <v>2</v>
      </c>
      <c r="H41" s="38" t="s">
        <v>2</v>
      </c>
    </row>
    <row r="42" spans="1:11" x14ac:dyDescent="0.25">
      <c r="A42" s="4">
        <v>38</v>
      </c>
      <c r="B42" s="38"/>
      <c r="C42" s="38"/>
      <c r="D42" s="38"/>
      <c r="E42" s="38"/>
      <c r="F42" s="38"/>
      <c r="G42" s="38"/>
      <c r="H42" s="38"/>
    </row>
    <row r="43" spans="1:11" x14ac:dyDescent="0.25">
      <c r="A43" s="4">
        <v>39</v>
      </c>
      <c r="B43" s="38"/>
      <c r="C43" s="38"/>
      <c r="D43" s="38"/>
      <c r="E43" s="38"/>
      <c r="F43" s="38"/>
      <c r="G43" s="38"/>
      <c r="H43" s="38"/>
    </row>
    <row r="44" spans="1:11" x14ac:dyDescent="0.25">
      <c r="A44" s="4">
        <v>40</v>
      </c>
      <c r="B44" s="38"/>
      <c r="C44" s="38"/>
      <c r="D44" s="38"/>
      <c r="E44" s="38"/>
      <c r="F44" s="38"/>
      <c r="G44" s="38"/>
      <c r="H44" s="38"/>
    </row>
    <row r="45" spans="1:11" x14ac:dyDescent="0.25">
      <c r="A45" s="4">
        <v>41</v>
      </c>
      <c r="B45" s="38"/>
      <c r="C45" s="38"/>
      <c r="D45" s="38"/>
      <c r="E45" s="38"/>
      <c r="F45" s="38"/>
      <c r="G45" s="38"/>
      <c r="H45" s="38"/>
    </row>
    <row r="46" spans="1:11" x14ac:dyDescent="0.25">
      <c r="A46" s="4">
        <v>42</v>
      </c>
      <c r="B46" s="38"/>
      <c r="C46" s="38"/>
      <c r="D46" s="38"/>
      <c r="E46" s="38"/>
      <c r="F46" s="38"/>
      <c r="G46" s="38"/>
      <c r="H46" s="38"/>
    </row>
    <row r="47" spans="1:11" x14ac:dyDescent="0.25">
      <c r="A47" s="4">
        <v>43</v>
      </c>
      <c r="B47" s="38"/>
      <c r="C47" s="38"/>
      <c r="D47" s="38"/>
      <c r="E47" s="38"/>
      <c r="F47" s="38"/>
      <c r="G47" s="38" t="s">
        <v>2</v>
      </c>
      <c r="H47" s="38" t="s">
        <v>2</v>
      </c>
    </row>
    <row r="48" spans="1:11" x14ac:dyDescent="0.25">
      <c r="A48" s="4">
        <v>44</v>
      </c>
      <c r="B48" s="38"/>
      <c r="C48" s="38"/>
      <c r="D48" s="38"/>
      <c r="E48" s="38"/>
      <c r="F48" s="38"/>
      <c r="G48" s="38"/>
      <c r="H48" s="38"/>
    </row>
    <row r="49" spans="1:11" x14ac:dyDescent="0.25">
      <c r="A49" s="4">
        <v>45</v>
      </c>
      <c r="B49" s="38"/>
      <c r="C49" s="38"/>
      <c r="D49" s="38" t="s">
        <v>2</v>
      </c>
      <c r="E49" s="38" t="s">
        <v>2</v>
      </c>
      <c r="F49" s="38" t="s">
        <v>2</v>
      </c>
      <c r="G49" s="38" t="s">
        <v>2</v>
      </c>
      <c r="H49" s="38" t="s">
        <v>2</v>
      </c>
    </row>
    <row r="50" spans="1:11" x14ac:dyDescent="0.25">
      <c r="A50" s="4">
        <v>46</v>
      </c>
      <c r="B50" s="38" t="s">
        <v>5</v>
      </c>
      <c r="C50" s="38" t="s">
        <v>7</v>
      </c>
      <c r="D50" s="38" t="s">
        <v>2</v>
      </c>
      <c r="E50" s="38" t="s">
        <v>7</v>
      </c>
      <c r="F50" s="38" t="s">
        <v>2</v>
      </c>
      <c r="G50" s="38" t="s">
        <v>2</v>
      </c>
      <c r="H50" s="38" t="s">
        <v>2</v>
      </c>
    </row>
    <row r="51" spans="1:11" x14ac:dyDescent="0.25">
      <c r="A51" s="4">
        <v>47</v>
      </c>
      <c r="B51" s="38" t="s">
        <v>6</v>
      </c>
      <c r="C51" s="38" t="s">
        <v>2</v>
      </c>
      <c r="D51" s="38"/>
      <c r="E51" s="38"/>
      <c r="F51" s="38"/>
      <c r="G51" s="38"/>
      <c r="H51" s="38" t="s">
        <v>2</v>
      </c>
    </row>
    <row r="52" spans="1:11" x14ac:dyDescent="0.25">
      <c r="A52" s="4">
        <v>48</v>
      </c>
      <c r="B52" s="38"/>
      <c r="C52" s="38"/>
      <c r="D52" s="38"/>
      <c r="E52" s="38" t="s">
        <v>2</v>
      </c>
      <c r="F52" s="38"/>
      <c r="G52" s="38"/>
      <c r="H52" s="38" t="s">
        <v>2</v>
      </c>
    </row>
    <row r="53" spans="1:11" x14ac:dyDescent="0.25">
      <c r="A53" s="4">
        <v>49</v>
      </c>
      <c r="B53" s="38"/>
      <c r="C53" s="38"/>
      <c r="D53" s="38"/>
      <c r="E53" s="38"/>
      <c r="F53" s="38" t="s">
        <v>2</v>
      </c>
      <c r="G53" s="38"/>
      <c r="H53" s="38" t="s">
        <v>2</v>
      </c>
      <c r="K53" t="s">
        <v>68</v>
      </c>
    </row>
    <row r="54" spans="1:11" x14ac:dyDescent="0.25">
      <c r="A54" s="4">
        <v>50</v>
      </c>
      <c r="B54" s="38"/>
      <c r="C54" s="38"/>
      <c r="D54" s="38"/>
      <c r="E54" s="38"/>
      <c r="F54" s="38"/>
      <c r="G54" s="38"/>
      <c r="H54" s="38" t="s">
        <v>2</v>
      </c>
    </row>
    <row r="55" spans="1:11" x14ac:dyDescent="0.25">
      <c r="A55" s="4">
        <v>51</v>
      </c>
      <c r="B55" s="38"/>
      <c r="C55" s="38"/>
      <c r="D55" s="38"/>
      <c r="E55" s="38"/>
      <c r="F55" s="38" t="s">
        <v>2</v>
      </c>
      <c r="G55" s="38"/>
      <c r="H55" s="38"/>
    </row>
    <row r="56" spans="1:11" x14ac:dyDescent="0.25">
      <c r="A56" s="4">
        <v>52</v>
      </c>
      <c r="B56" s="38" t="s">
        <v>2</v>
      </c>
      <c r="C56" s="38" t="s">
        <v>2</v>
      </c>
      <c r="D56" s="38" t="s">
        <v>2</v>
      </c>
      <c r="E56" s="38" t="s">
        <v>2</v>
      </c>
      <c r="F56" s="38" t="s">
        <v>2</v>
      </c>
      <c r="G56" s="38" t="s">
        <v>2</v>
      </c>
      <c r="H56" s="38" t="s">
        <v>2</v>
      </c>
    </row>
    <row r="57" spans="1:11" x14ac:dyDescent="0.25">
      <c r="A57" s="4">
        <v>53</v>
      </c>
      <c r="B57" s="38"/>
      <c r="C57" s="38"/>
      <c r="D57" s="38"/>
      <c r="E57" s="38"/>
      <c r="F57" s="38"/>
      <c r="G57" s="38"/>
      <c r="H57" s="38"/>
    </row>
    <row r="58" spans="1:11" x14ac:dyDescent="0.25">
      <c r="A58" s="4">
        <v>54</v>
      </c>
      <c r="B58" s="38"/>
      <c r="C58" s="38"/>
      <c r="D58" s="38"/>
      <c r="E58" s="38"/>
      <c r="F58" s="38" t="s">
        <v>2</v>
      </c>
      <c r="G58" s="38" t="s">
        <v>2</v>
      </c>
      <c r="H58" s="38" t="s">
        <v>2</v>
      </c>
    </row>
    <row r="59" spans="1:11" x14ac:dyDescent="0.25">
      <c r="A59" s="4">
        <v>55</v>
      </c>
      <c r="B59" s="38"/>
      <c r="C59" s="38"/>
      <c r="D59" s="38"/>
      <c r="E59" s="38"/>
      <c r="F59" s="38"/>
      <c r="G59" s="38"/>
      <c r="H59" s="38"/>
    </row>
    <row r="60" spans="1:11" x14ac:dyDescent="0.25">
      <c r="A60" s="4">
        <v>56</v>
      </c>
      <c r="B60" s="38"/>
      <c r="C60" s="38"/>
      <c r="D60" s="38"/>
      <c r="E60" s="38"/>
      <c r="F60" s="38"/>
      <c r="G60" s="38"/>
      <c r="H60" s="38"/>
    </row>
    <row r="61" spans="1:11" x14ac:dyDescent="0.25">
      <c r="A61" s="4">
        <v>73</v>
      </c>
      <c r="B61" s="38" t="s">
        <v>6</v>
      </c>
      <c r="C61" s="38"/>
      <c r="D61" s="38"/>
      <c r="E61" s="38" t="s">
        <v>7</v>
      </c>
      <c r="F61" s="38" t="s">
        <v>7</v>
      </c>
      <c r="G61" s="38" t="s">
        <v>7</v>
      </c>
      <c r="H61" s="38" t="s">
        <v>2</v>
      </c>
    </row>
    <row r="62" spans="1:11" x14ac:dyDescent="0.25">
      <c r="A62" s="4">
        <v>74</v>
      </c>
      <c r="B62" s="38" t="s">
        <v>2</v>
      </c>
      <c r="C62" s="38"/>
      <c r="D62" s="38"/>
      <c r="E62" s="38" t="s">
        <v>7</v>
      </c>
      <c r="F62" s="38" t="s">
        <v>7</v>
      </c>
      <c r="G62" s="38" t="s">
        <v>7</v>
      </c>
      <c r="H62" s="38" t="s">
        <v>2</v>
      </c>
    </row>
    <row r="63" spans="1:11" x14ac:dyDescent="0.25">
      <c r="A63" s="4">
        <v>101</v>
      </c>
      <c r="B63" s="39" t="s">
        <v>2</v>
      </c>
      <c r="C63" s="38"/>
      <c r="D63" s="38" t="s">
        <v>2</v>
      </c>
      <c r="E63" s="38"/>
      <c r="F63" s="38" t="s">
        <v>2</v>
      </c>
      <c r="G63" s="38"/>
      <c r="H63" s="38" t="s">
        <v>2</v>
      </c>
    </row>
    <row r="64" spans="1:11" x14ac:dyDescent="0.25">
      <c r="A64" s="4">
        <v>102</v>
      </c>
      <c r="B64" s="38"/>
      <c r="C64" s="38"/>
      <c r="D64" s="38"/>
      <c r="E64" s="38"/>
      <c r="F64" s="38"/>
      <c r="G64" s="38"/>
      <c r="H64" s="38"/>
    </row>
    <row r="65" spans="1:8" x14ac:dyDescent="0.25">
      <c r="A65" s="4">
        <v>103</v>
      </c>
      <c r="B65" s="38"/>
      <c r="C65" s="38" t="s">
        <v>2</v>
      </c>
      <c r="D65" s="38"/>
      <c r="E65" s="38" t="s">
        <v>2</v>
      </c>
      <c r="F65" s="38"/>
      <c r="G65" s="38" t="s">
        <v>2</v>
      </c>
      <c r="H65" s="38"/>
    </row>
    <row r="66" spans="1:8" x14ac:dyDescent="0.25">
      <c r="A66" s="4">
        <v>104</v>
      </c>
      <c r="B66" s="38"/>
      <c r="C66" s="38" t="s">
        <v>2</v>
      </c>
      <c r="D66" s="38"/>
      <c r="E66" s="38" t="s">
        <v>2</v>
      </c>
      <c r="F66" s="38"/>
      <c r="G66" s="38" t="s">
        <v>2</v>
      </c>
      <c r="H66" s="38"/>
    </row>
    <row r="67" spans="1:8" x14ac:dyDescent="0.25">
      <c r="A67" s="4">
        <v>105</v>
      </c>
      <c r="B67" s="38"/>
      <c r="C67" s="38"/>
      <c r="D67" s="38"/>
      <c r="E67" s="38"/>
      <c r="F67" s="38"/>
      <c r="G67" s="38"/>
      <c r="H67" s="38"/>
    </row>
    <row r="68" spans="1:8" x14ac:dyDescent="0.25">
      <c r="A68" s="4">
        <v>106</v>
      </c>
      <c r="B68" s="38"/>
      <c r="C68" s="38"/>
      <c r="D68" s="38"/>
      <c r="E68" s="38"/>
      <c r="F68" s="38"/>
      <c r="G68" s="38"/>
      <c r="H68" s="38"/>
    </row>
    <row r="69" spans="1:8" x14ac:dyDescent="0.25">
      <c r="A69" s="4">
        <v>107</v>
      </c>
      <c r="B69" s="38"/>
      <c r="C69" s="38"/>
      <c r="D69" s="38"/>
      <c r="E69" s="38"/>
      <c r="F69" s="38"/>
      <c r="G69" s="38"/>
      <c r="H69" s="38"/>
    </row>
    <row r="70" spans="1:8" x14ac:dyDescent="0.25">
      <c r="A70" s="4">
        <v>108</v>
      </c>
      <c r="B70" s="38"/>
      <c r="C70" s="38"/>
      <c r="D70" s="38"/>
      <c r="E70" s="38"/>
      <c r="F70" s="38"/>
      <c r="G70" s="38"/>
      <c r="H70" s="38"/>
    </row>
    <row r="71" spans="1:8" x14ac:dyDescent="0.25">
      <c r="A71" s="4">
        <v>109</v>
      </c>
      <c r="B71" s="38"/>
      <c r="C71" s="38"/>
      <c r="D71" s="38"/>
      <c r="E71" s="38"/>
      <c r="F71" s="38"/>
      <c r="G71" s="38"/>
      <c r="H71" s="38"/>
    </row>
    <row r="72" spans="1:8" x14ac:dyDescent="0.25">
      <c r="A72" s="4">
        <v>110</v>
      </c>
      <c r="B72" s="38"/>
      <c r="C72" s="38"/>
      <c r="D72" s="38"/>
      <c r="E72" s="38"/>
      <c r="F72" s="38"/>
      <c r="G72" s="38"/>
      <c r="H72" s="38"/>
    </row>
    <row r="73" spans="1:8" x14ac:dyDescent="0.25">
      <c r="A73" s="4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4">
        <v>112</v>
      </c>
      <c r="B74" s="38" t="s">
        <v>2</v>
      </c>
      <c r="C74" s="38"/>
      <c r="D74" s="38"/>
      <c r="E74" s="38" t="s">
        <v>7</v>
      </c>
      <c r="F74" s="38"/>
      <c r="G74" s="38"/>
      <c r="H74" s="38" t="s">
        <v>2</v>
      </c>
    </row>
    <row r="75" spans="1:8" x14ac:dyDescent="0.25">
      <c r="A75" s="4">
        <v>113</v>
      </c>
      <c r="B75" s="38" t="s">
        <v>2</v>
      </c>
      <c r="C75" s="38"/>
      <c r="D75" s="38"/>
      <c r="E75" s="38"/>
      <c r="F75" s="38" t="s">
        <v>2</v>
      </c>
      <c r="G75" s="38" t="s">
        <v>2</v>
      </c>
      <c r="H75" s="38"/>
    </row>
    <row r="76" spans="1:8" x14ac:dyDescent="0.25">
      <c r="A76" s="4">
        <v>114</v>
      </c>
      <c r="B76" s="38" t="s">
        <v>2</v>
      </c>
      <c r="C76" s="38"/>
      <c r="D76" s="38"/>
      <c r="E76" s="38" t="s">
        <v>2</v>
      </c>
      <c r="F76" s="38" t="s">
        <v>2</v>
      </c>
      <c r="G76" s="38"/>
      <c r="H76" s="38" t="s">
        <v>2</v>
      </c>
    </row>
    <row r="77" spans="1:8" x14ac:dyDescent="0.25">
      <c r="A77" s="4">
        <v>115</v>
      </c>
      <c r="B77" s="38"/>
      <c r="C77" s="38" t="s">
        <v>2</v>
      </c>
      <c r="D77" s="38"/>
      <c r="E77" s="38"/>
      <c r="F77" s="38"/>
      <c r="G77" s="38" t="s">
        <v>2</v>
      </c>
      <c r="H77" s="38"/>
    </row>
    <row r="78" spans="1:8" x14ac:dyDescent="0.25">
      <c r="A78" s="4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4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4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4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4">
        <v>120</v>
      </c>
      <c r="B82" s="38"/>
      <c r="C82" s="38" t="s">
        <v>2</v>
      </c>
      <c r="D82" s="38"/>
      <c r="E82" s="38" t="s">
        <v>2</v>
      </c>
      <c r="F82" s="38"/>
      <c r="G82" s="38"/>
      <c r="H82" s="38" t="s">
        <v>2</v>
      </c>
    </row>
    <row r="83" spans="1:8" x14ac:dyDescent="0.25">
      <c r="A83" s="4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4">
        <v>122</v>
      </c>
      <c r="B84" s="38" t="s">
        <v>2</v>
      </c>
      <c r="C84" s="38"/>
      <c r="D84" s="38" t="s">
        <v>2</v>
      </c>
      <c r="E84" s="38"/>
      <c r="F84" s="38" t="s">
        <v>2</v>
      </c>
      <c r="G84" s="38"/>
      <c r="H84" s="38" t="s">
        <v>2</v>
      </c>
    </row>
    <row r="85" spans="1:8" x14ac:dyDescent="0.25">
      <c r="A85" s="4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4">
        <v>124</v>
      </c>
      <c r="B86" s="38" t="s">
        <v>2</v>
      </c>
      <c r="C86" s="38"/>
      <c r="D86" s="38" t="s">
        <v>7</v>
      </c>
      <c r="E86" s="38" t="s">
        <v>2</v>
      </c>
      <c r="F86" s="38" t="s">
        <v>2</v>
      </c>
      <c r="G86" s="38"/>
      <c r="H86" s="38" t="s">
        <v>2</v>
      </c>
    </row>
    <row r="87" spans="1:8" x14ac:dyDescent="0.25">
      <c r="A87" s="4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4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4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4">
        <v>128</v>
      </c>
      <c r="B90" s="38"/>
      <c r="C90" s="38"/>
      <c r="D90" s="38"/>
      <c r="E90" s="38"/>
      <c r="F90" s="38"/>
      <c r="G90" s="38"/>
      <c r="H90" s="38"/>
    </row>
    <row r="91" spans="1:8" x14ac:dyDescent="0.25">
      <c r="A91" s="4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4">
        <v>130</v>
      </c>
      <c r="B92" s="38"/>
      <c r="C92" s="38"/>
      <c r="D92" s="38"/>
      <c r="E92" s="38"/>
      <c r="F92" s="38"/>
      <c r="G92" s="38"/>
      <c r="H92" s="38"/>
    </row>
    <row r="93" spans="1:8" x14ac:dyDescent="0.25">
      <c r="A93" s="4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4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4">
        <v>133</v>
      </c>
      <c r="B95" s="38" t="s">
        <v>2</v>
      </c>
      <c r="C95" s="38"/>
      <c r="D95" s="38" t="s">
        <v>2</v>
      </c>
      <c r="E95" s="38"/>
      <c r="F95" s="38" t="s">
        <v>2</v>
      </c>
      <c r="G95" s="38"/>
      <c r="H95" s="38"/>
    </row>
  </sheetData>
  <mergeCells count="5">
    <mergeCell ref="A1:H2"/>
    <mergeCell ref="I17:K17"/>
    <mergeCell ref="I18:J18"/>
    <mergeCell ref="I27:K27"/>
    <mergeCell ref="I28:J28"/>
  </mergeCells>
  <conditionalFormatting sqref="I5:I16 I29:I60 I19:I26 B66:H95 F63:H65 B5:E65 F61:I62">
    <cfRule type="cellIs" dxfId="688" priority="18" operator="equal">
      <formula>"Energia"</formula>
    </cfRule>
    <cfRule type="cellIs" dxfId="687" priority="20" operator="equal">
      <formula>"Operação"</formula>
    </cfRule>
    <cfRule type="cellIs" dxfId="686" priority="21" operator="equal">
      <formula>"Chuva"</formula>
    </cfRule>
    <cfRule type="cellIs" dxfId="685" priority="22" operator="equal">
      <formula>"Elétrico"</formula>
    </cfRule>
    <cfRule type="cellIs" dxfId="684" priority="23" operator="equal">
      <formula>"Mecânico"</formula>
    </cfRule>
    <cfRule type="cellIs" dxfId="683" priority="24" operator="equal">
      <formula>"Ok"</formula>
    </cfRule>
  </conditionalFormatting>
  <conditionalFormatting sqref="I5:I16 I29:I60 I19:I26 B66:H95 F63:H65 B5:E65 F61:I62">
    <cfRule type="cellIs" dxfId="682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56 C13 B5:E11">
    <cfRule type="cellIs" dxfId="681" priority="16" operator="equal">
      <formula>"Energia"</formula>
    </cfRule>
  </conditionalFormatting>
  <conditionalFormatting sqref="G5:H60 F53">
    <cfRule type="cellIs" dxfId="680" priority="9" operator="equal">
      <formula>"Energia"</formula>
    </cfRule>
    <cfRule type="cellIs" dxfId="679" priority="11" operator="equal">
      <formula>"Operação"</formula>
    </cfRule>
    <cfRule type="cellIs" dxfId="678" priority="12" operator="equal">
      <formula>"Chuva"</formula>
    </cfRule>
    <cfRule type="cellIs" dxfId="677" priority="13" operator="equal">
      <formula>"Elétrico"</formula>
    </cfRule>
    <cfRule type="cellIs" dxfId="676" priority="14" operator="equal">
      <formula>"Mecânico"</formula>
    </cfRule>
    <cfRule type="cellIs" dxfId="675" priority="15" operator="equal">
      <formula>"Ok"</formula>
    </cfRule>
  </conditionalFormatting>
  <conditionalFormatting sqref="G5:H60 F53">
    <cfRule type="cellIs" dxfId="674" priority="10" operator="equal">
      <formula>"Feito"</formula>
    </cfRule>
  </conditionalFormatting>
  <conditionalFormatting sqref="F5:F11">
    <cfRule type="cellIs" dxfId="673" priority="8" operator="equal">
      <formula>"Energia"</formula>
    </cfRule>
  </conditionalFormatting>
  <conditionalFormatting sqref="F5:F52 F54:F60">
    <cfRule type="cellIs" dxfId="672" priority="1" operator="equal">
      <formula>"Energia"</formula>
    </cfRule>
    <cfRule type="cellIs" dxfId="671" priority="3" operator="equal">
      <formula>"Operação"</formula>
    </cfRule>
    <cfRule type="cellIs" dxfId="670" priority="4" operator="equal">
      <formula>"Chuva"</formula>
    </cfRule>
    <cfRule type="cellIs" dxfId="669" priority="5" operator="equal">
      <formula>"Elétrico"</formula>
    </cfRule>
    <cfRule type="cellIs" dxfId="668" priority="6" operator="equal">
      <formula>"Mecânico"</formula>
    </cfRule>
    <cfRule type="cellIs" dxfId="667" priority="7" operator="equal">
      <formula>"Ok"</formula>
    </cfRule>
  </conditionalFormatting>
  <conditionalFormatting sqref="F5:F52 F54:F60">
    <cfRule type="cellIs" dxfId="666" priority="2" operator="equal">
      <formula>"Feito"</formula>
    </cfRule>
  </conditionalFormatting>
  <dataValidations count="1">
    <dataValidation type="list" allowBlank="1" showInputMessage="1" showErrorMessage="1" sqref="I5:I16 J36:J60 I29:I62 I19:I26 B5:H95" xr:uid="{13D4DA41-76BE-4413-970A-CDB84403FCCF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60B9-7F0D-469F-A070-A41142D6EB1D}">
  <sheetPr>
    <tabColor theme="8"/>
  </sheetPr>
  <dimension ref="A1:Q95"/>
  <sheetViews>
    <sheetView showGridLines="0" zoomScaleNormal="100" workbookViewId="0">
      <pane ySplit="4" topLeftCell="A5" activePane="bottomLeft" state="frozen"/>
      <selection pane="bottomLeft" activeCell="J5" sqref="J5:M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70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4" t="s">
        <v>16</v>
      </c>
      <c r="B3" s="23">
        <v>44781</v>
      </c>
      <c r="C3" s="23">
        <f>B3+1</f>
        <v>44782</v>
      </c>
      <c r="D3" s="23">
        <f t="shared" ref="D3:H3" si="0">C3+1</f>
        <v>44783</v>
      </c>
      <c r="E3" s="23">
        <f t="shared" si="0"/>
        <v>44784</v>
      </c>
      <c r="F3" s="23">
        <f t="shared" si="0"/>
        <v>44785</v>
      </c>
      <c r="G3" s="23">
        <f t="shared" si="0"/>
        <v>44786</v>
      </c>
      <c r="H3" s="25">
        <f t="shared" si="0"/>
        <v>44787</v>
      </c>
      <c r="I3" s="3"/>
    </row>
    <row r="4" spans="1:17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  <c r="Q4" t="s">
        <v>34</v>
      </c>
    </row>
    <row r="5" spans="1:17" x14ac:dyDescent="0.25">
      <c r="A5" s="4">
        <v>1</v>
      </c>
      <c r="B5" s="38"/>
      <c r="C5" s="38"/>
      <c r="D5" s="38"/>
      <c r="E5" s="38"/>
      <c r="F5" s="38"/>
      <c r="G5" s="38"/>
      <c r="H5" s="38"/>
      <c r="J5" s="48" t="s">
        <v>2</v>
      </c>
      <c r="K5">
        <f>COUNTIF($B$5:$H$95,J5)</f>
        <v>135</v>
      </c>
      <c r="L5" s="34">
        <f t="shared" ref="L5:L10" si="2">K5/$K$11</f>
        <v>0.88235294117647056</v>
      </c>
      <c r="M5" s="52">
        <f>B3</f>
        <v>44781</v>
      </c>
      <c r="O5" t="s">
        <v>44</v>
      </c>
      <c r="P5">
        <v>146</v>
      </c>
      <c r="Q5" s="52">
        <f>M5</f>
        <v>44781</v>
      </c>
    </row>
    <row r="6" spans="1:17" x14ac:dyDescent="0.25">
      <c r="A6" s="4">
        <v>2</v>
      </c>
      <c r="B6" s="38" t="s">
        <v>2</v>
      </c>
      <c r="C6" s="38"/>
      <c r="D6" s="38"/>
      <c r="E6" s="38" t="s">
        <v>2</v>
      </c>
      <c r="F6" s="38"/>
      <c r="G6" s="38"/>
      <c r="H6" s="38" t="s">
        <v>2</v>
      </c>
      <c r="J6" s="42" t="s">
        <v>5</v>
      </c>
      <c r="K6">
        <f>COUNTIF($B$5:$H$95,J6)</f>
        <v>4</v>
      </c>
      <c r="L6" s="35">
        <f t="shared" si="2"/>
        <v>2.6143790849673203E-2</v>
      </c>
      <c r="O6" t="s">
        <v>46</v>
      </c>
      <c r="P6">
        <f>SUM(K19:K25)</f>
        <v>15</v>
      </c>
    </row>
    <row r="7" spans="1:17" x14ac:dyDescent="0.25">
      <c r="A7" s="4">
        <v>3</v>
      </c>
      <c r="B7" s="38"/>
      <c r="C7" s="38" t="s">
        <v>2</v>
      </c>
      <c r="D7" s="38"/>
      <c r="E7" s="38"/>
      <c r="F7" s="38" t="s">
        <v>2</v>
      </c>
      <c r="G7" s="38"/>
      <c r="H7" s="38"/>
      <c r="J7" s="46" t="s">
        <v>6</v>
      </c>
      <c r="K7">
        <f t="shared" ref="K7:K10" si="3">COUNTIF($B$5:$H$95,J7)</f>
        <v>3</v>
      </c>
      <c r="L7" s="35">
        <f t="shared" si="2"/>
        <v>1.9607843137254902E-2</v>
      </c>
      <c r="O7" t="s">
        <v>45</v>
      </c>
      <c r="P7">
        <f>SUM(K29:K35)</f>
        <v>4</v>
      </c>
    </row>
    <row r="8" spans="1:17" x14ac:dyDescent="0.25">
      <c r="A8" s="4">
        <v>4</v>
      </c>
      <c r="B8" s="38"/>
      <c r="C8" s="38" t="s">
        <v>2</v>
      </c>
      <c r="D8" s="38"/>
      <c r="E8" s="38"/>
      <c r="F8" s="38" t="s">
        <v>2</v>
      </c>
      <c r="G8" s="38"/>
      <c r="H8" s="38"/>
      <c r="J8" s="47" t="s">
        <v>4</v>
      </c>
      <c r="K8">
        <f t="shared" si="3"/>
        <v>0</v>
      </c>
      <c r="L8" s="35">
        <f t="shared" si="2"/>
        <v>0</v>
      </c>
      <c r="O8" s="65" t="s">
        <v>17</v>
      </c>
      <c r="P8" s="65">
        <f>P5+P6-P7</f>
        <v>157</v>
      </c>
    </row>
    <row r="9" spans="1:17" x14ac:dyDescent="0.25">
      <c r="A9" s="4">
        <v>5</v>
      </c>
      <c r="B9" s="38" t="s">
        <v>2</v>
      </c>
      <c r="C9" s="38"/>
      <c r="D9" s="38"/>
      <c r="E9" s="38"/>
      <c r="F9" s="38"/>
      <c r="G9" s="38"/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7" x14ac:dyDescent="0.25">
      <c r="A10" s="4">
        <v>6</v>
      </c>
      <c r="B10" s="38"/>
      <c r="C10" s="38" t="s">
        <v>2</v>
      </c>
      <c r="D10" s="38"/>
      <c r="E10" s="38" t="s">
        <v>2</v>
      </c>
      <c r="F10" s="38"/>
      <c r="G10" s="38" t="s">
        <v>2</v>
      </c>
      <c r="H10" s="38"/>
      <c r="J10" s="43" t="s">
        <v>7</v>
      </c>
      <c r="K10">
        <f t="shared" si="3"/>
        <v>11</v>
      </c>
      <c r="L10" s="37">
        <f t="shared" si="2"/>
        <v>7.1895424836601302E-2</v>
      </c>
      <c r="O10" t="s">
        <v>65</v>
      </c>
      <c r="P10">
        <f>P8</f>
        <v>157</v>
      </c>
    </row>
    <row r="11" spans="1:17" x14ac:dyDescent="0.25">
      <c r="A11" s="4">
        <v>7</v>
      </c>
      <c r="B11" s="38"/>
      <c r="C11" s="38" t="s">
        <v>2</v>
      </c>
      <c r="D11" s="38"/>
      <c r="E11" s="38"/>
      <c r="F11" s="38" t="s">
        <v>2</v>
      </c>
      <c r="G11" s="38"/>
      <c r="H11" s="38"/>
      <c r="J11" s="44" t="s">
        <v>17</v>
      </c>
      <c r="K11">
        <f>SUM(K5:K10)</f>
        <v>153</v>
      </c>
    </row>
    <row r="12" spans="1:17" x14ac:dyDescent="0.25">
      <c r="A12" s="4">
        <v>8</v>
      </c>
      <c r="B12" s="38"/>
      <c r="C12" s="38" t="s">
        <v>2</v>
      </c>
      <c r="D12" s="38"/>
      <c r="E12" s="38"/>
      <c r="F12" s="38" t="s">
        <v>2</v>
      </c>
      <c r="G12" s="38"/>
      <c r="H12" s="38"/>
    </row>
    <row r="13" spans="1:17" x14ac:dyDescent="0.25">
      <c r="A13" s="4">
        <v>9</v>
      </c>
      <c r="B13" s="38" t="s">
        <v>2</v>
      </c>
      <c r="C13" s="38"/>
      <c r="D13" s="38"/>
      <c r="E13" s="38" t="s">
        <v>2</v>
      </c>
      <c r="F13" s="38"/>
      <c r="G13" s="38" t="s">
        <v>2</v>
      </c>
      <c r="H13" s="38"/>
    </row>
    <row r="14" spans="1:17" x14ac:dyDescent="0.25">
      <c r="A14" s="4">
        <v>10</v>
      </c>
      <c r="B14" s="38"/>
      <c r="C14" s="38" t="s">
        <v>2</v>
      </c>
      <c r="D14" s="38"/>
      <c r="E14" s="38"/>
      <c r="F14" s="38" t="s">
        <v>7</v>
      </c>
      <c r="G14" s="38"/>
      <c r="H14" s="38"/>
    </row>
    <row r="15" spans="1:17" x14ac:dyDescent="0.25">
      <c r="A15" s="4">
        <v>11</v>
      </c>
      <c r="B15" s="38"/>
      <c r="C15" s="38" t="s">
        <v>2</v>
      </c>
      <c r="D15" s="38"/>
      <c r="E15" s="38"/>
      <c r="F15" s="38" t="s">
        <v>2</v>
      </c>
      <c r="G15" s="38"/>
      <c r="H15" s="38"/>
    </row>
    <row r="16" spans="1:17" x14ac:dyDescent="0.25">
      <c r="A16" s="4">
        <v>12</v>
      </c>
      <c r="B16" s="38"/>
      <c r="C16" s="38"/>
      <c r="D16" s="38" t="s">
        <v>2</v>
      </c>
      <c r="E16" s="38" t="s">
        <v>7</v>
      </c>
      <c r="F16" s="38" t="s">
        <v>2</v>
      </c>
      <c r="G16" s="38" t="s">
        <v>2</v>
      </c>
      <c r="H16" s="38"/>
      <c r="N16">
        <f>P8</f>
        <v>157</v>
      </c>
      <c r="O16" s="61">
        <f>N17/N16</f>
        <v>0.85987261146496818</v>
      </c>
    </row>
    <row r="17" spans="1:14" x14ac:dyDescent="0.25">
      <c r="A17" s="4">
        <v>13</v>
      </c>
      <c r="B17" s="38" t="s">
        <v>2</v>
      </c>
      <c r="C17" s="38"/>
      <c r="D17" s="38" t="s">
        <v>2</v>
      </c>
      <c r="E17" s="38"/>
      <c r="F17" s="38" t="s">
        <v>7</v>
      </c>
      <c r="G17" s="38"/>
      <c r="H17" s="38" t="s">
        <v>2</v>
      </c>
      <c r="I17" s="71" t="s">
        <v>46</v>
      </c>
      <c r="J17" s="72"/>
      <c r="K17" s="72"/>
      <c r="N17">
        <f>K5</f>
        <v>135</v>
      </c>
    </row>
    <row r="18" spans="1:14" x14ac:dyDescent="0.25">
      <c r="A18" s="4">
        <v>14</v>
      </c>
      <c r="B18" s="38"/>
      <c r="C18" s="38" t="s">
        <v>2</v>
      </c>
      <c r="D18" s="38"/>
      <c r="E18" s="38" t="s">
        <v>7</v>
      </c>
      <c r="F18" s="38"/>
      <c r="G18" s="38" t="s">
        <v>6</v>
      </c>
      <c r="H18" s="38"/>
      <c r="I18" s="71" t="s">
        <v>54</v>
      </c>
      <c r="J18" s="72"/>
      <c r="K18" t="s">
        <v>32</v>
      </c>
    </row>
    <row r="19" spans="1:14" x14ac:dyDescent="0.25">
      <c r="A19" s="4">
        <v>15</v>
      </c>
      <c r="B19" s="38"/>
      <c r="C19" s="38"/>
      <c r="D19" s="38"/>
      <c r="E19" s="38"/>
      <c r="F19" s="38"/>
      <c r="G19" s="38"/>
      <c r="H19" s="38"/>
      <c r="I19" s="40" t="s">
        <v>47</v>
      </c>
      <c r="J19" s="40" t="str">
        <f>TEXT(B3,"ddd")</f>
        <v>seg</v>
      </c>
      <c r="K19" s="60"/>
    </row>
    <row r="20" spans="1:14" x14ac:dyDescent="0.25">
      <c r="A20" s="4">
        <v>16</v>
      </c>
      <c r="B20" s="38"/>
      <c r="C20" s="38"/>
      <c r="D20" s="38"/>
      <c r="E20" s="38"/>
      <c r="F20" s="38"/>
      <c r="G20" s="38"/>
      <c r="H20" s="38"/>
      <c r="I20" s="40" t="s">
        <v>48</v>
      </c>
      <c r="J20" s="40" t="str">
        <f>TEXT(C3,"ddd")</f>
        <v>ter</v>
      </c>
      <c r="K20" s="60">
        <v>3</v>
      </c>
    </row>
    <row r="21" spans="1:14" x14ac:dyDescent="0.25">
      <c r="A21" s="4">
        <v>17</v>
      </c>
      <c r="B21" s="38"/>
      <c r="C21" s="38"/>
      <c r="D21" s="38"/>
      <c r="E21" s="38"/>
      <c r="F21" s="38"/>
      <c r="G21" s="38"/>
      <c r="H21" s="38"/>
      <c r="I21" s="40" t="s">
        <v>49</v>
      </c>
      <c r="J21" s="40" t="str">
        <f>TEXT(D3,"ddd")</f>
        <v>qua</v>
      </c>
      <c r="K21" s="60">
        <v>4</v>
      </c>
    </row>
    <row r="22" spans="1:14" x14ac:dyDescent="0.25">
      <c r="A22" s="4">
        <v>18</v>
      </c>
      <c r="B22" s="38"/>
      <c r="C22" s="38"/>
      <c r="D22" s="38"/>
      <c r="E22" s="38"/>
      <c r="F22" s="38"/>
      <c r="G22" s="38"/>
      <c r="H22" s="38"/>
      <c r="I22" s="40" t="s">
        <v>50</v>
      </c>
      <c r="J22" s="40" t="str">
        <f>TEXT(E3,"ddd")</f>
        <v>qui</v>
      </c>
      <c r="K22" s="60">
        <v>2</v>
      </c>
    </row>
    <row r="23" spans="1:14" x14ac:dyDescent="0.25">
      <c r="A23" s="4">
        <v>19</v>
      </c>
      <c r="B23" s="38"/>
      <c r="C23" s="38" t="s">
        <v>2</v>
      </c>
      <c r="D23" s="38"/>
      <c r="E23" s="38"/>
      <c r="F23" s="38"/>
      <c r="G23" s="38"/>
      <c r="H23" s="38"/>
      <c r="I23" s="40" t="s">
        <v>51</v>
      </c>
      <c r="J23" s="40" t="str">
        <f>TEXT(F3,"ddd")</f>
        <v>sex</v>
      </c>
      <c r="K23" s="60">
        <v>4</v>
      </c>
    </row>
    <row r="24" spans="1:14" x14ac:dyDescent="0.25">
      <c r="A24" s="4">
        <v>20</v>
      </c>
      <c r="B24" s="38"/>
      <c r="C24" s="38"/>
      <c r="D24" s="38"/>
      <c r="E24" s="38"/>
      <c r="F24" s="38"/>
      <c r="G24" s="38"/>
      <c r="H24" s="38"/>
      <c r="I24" s="40" t="s">
        <v>52</v>
      </c>
      <c r="J24" s="40" t="str">
        <f>TEXT(G3,"ddd")</f>
        <v>sáb</v>
      </c>
      <c r="K24" s="60">
        <v>1</v>
      </c>
    </row>
    <row r="25" spans="1:14" x14ac:dyDescent="0.25">
      <c r="A25" s="4">
        <v>21</v>
      </c>
      <c r="B25" s="38"/>
      <c r="C25" s="38"/>
      <c r="D25" s="38"/>
      <c r="E25" s="38"/>
      <c r="F25" s="38"/>
      <c r="G25" s="38"/>
      <c r="H25" s="38"/>
      <c r="I25" s="40" t="s">
        <v>53</v>
      </c>
      <c r="J25" s="40" t="str">
        <f>TEXT(H3,"ddd")</f>
        <v>dom</v>
      </c>
      <c r="K25" s="60">
        <v>1</v>
      </c>
    </row>
    <row r="26" spans="1:14" x14ac:dyDescent="0.25">
      <c r="A26" s="4">
        <v>22</v>
      </c>
      <c r="B26" s="38"/>
      <c r="C26" s="38"/>
      <c r="D26" s="38"/>
      <c r="E26" s="38"/>
      <c r="F26" s="38"/>
      <c r="G26" s="38"/>
      <c r="H26" s="38"/>
    </row>
    <row r="27" spans="1:14" x14ac:dyDescent="0.25">
      <c r="A27" s="4">
        <v>23</v>
      </c>
      <c r="B27" s="38" t="s">
        <v>2</v>
      </c>
      <c r="C27" s="38" t="s">
        <v>2</v>
      </c>
      <c r="D27" s="38" t="s">
        <v>2</v>
      </c>
      <c r="E27" s="38" t="s">
        <v>2</v>
      </c>
      <c r="F27" s="38" t="s">
        <v>7</v>
      </c>
      <c r="G27" s="38" t="s">
        <v>2</v>
      </c>
      <c r="H27" s="38" t="s">
        <v>2</v>
      </c>
      <c r="I27" s="71" t="s">
        <v>45</v>
      </c>
      <c r="J27" s="72"/>
      <c r="K27" s="72"/>
    </row>
    <row r="28" spans="1:14" x14ac:dyDescent="0.25">
      <c r="A28" s="4">
        <v>24</v>
      </c>
      <c r="B28" s="38" t="s">
        <v>2</v>
      </c>
      <c r="C28" s="38"/>
      <c r="D28" s="38"/>
      <c r="E28" s="38" t="s">
        <v>2</v>
      </c>
      <c r="F28" s="38" t="s">
        <v>2</v>
      </c>
      <c r="G28" s="38" t="s">
        <v>2</v>
      </c>
      <c r="H28" s="38" t="s">
        <v>2</v>
      </c>
      <c r="I28" s="71" t="s">
        <v>54</v>
      </c>
      <c r="J28" s="72"/>
      <c r="K28" t="s">
        <v>32</v>
      </c>
    </row>
    <row r="29" spans="1:14" x14ac:dyDescent="0.25">
      <c r="A29" s="4">
        <v>25</v>
      </c>
      <c r="B29" s="38" t="s">
        <v>2</v>
      </c>
      <c r="C29" s="38"/>
      <c r="D29" s="38" t="s">
        <v>2</v>
      </c>
      <c r="E29" s="38"/>
      <c r="F29" s="38" t="s">
        <v>2</v>
      </c>
      <c r="G29" s="38"/>
      <c r="H29" s="38" t="s">
        <v>2</v>
      </c>
      <c r="I29" s="40" t="s">
        <v>47</v>
      </c>
      <c r="J29" s="40" t="str">
        <f t="shared" ref="J29:J35" si="4">J19</f>
        <v>seg</v>
      </c>
      <c r="K29" s="60"/>
    </row>
    <row r="30" spans="1:14" x14ac:dyDescent="0.25">
      <c r="A30" s="4">
        <v>26</v>
      </c>
      <c r="B30" s="38"/>
      <c r="C30" s="38" t="s">
        <v>2</v>
      </c>
      <c r="D30" s="38" t="s">
        <v>2</v>
      </c>
      <c r="E30" s="38" t="s">
        <v>2</v>
      </c>
      <c r="F30" s="38" t="s">
        <v>2</v>
      </c>
      <c r="G30" s="38"/>
      <c r="H30" s="38" t="s">
        <v>7</v>
      </c>
      <c r="I30" s="40" t="s">
        <v>48</v>
      </c>
      <c r="J30" s="40" t="str">
        <f t="shared" si="4"/>
        <v>ter</v>
      </c>
      <c r="K30" s="60">
        <v>3</v>
      </c>
    </row>
    <row r="31" spans="1:14" x14ac:dyDescent="0.25">
      <c r="A31" s="4">
        <v>27</v>
      </c>
      <c r="B31" s="38"/>
      <c r="C31" s="38"/>
      <c r="D31" s="38"/>
      <c r="E31" s="38"/>
      <c r="F31" s="38"/>
      <c r="G31" s="38"/>
      <c r="H31" s="38"/>
      <c r="I31" s="40" t="s">
        <v>49</v>
      </c>
      <c r="J31" s="40" t="str">
        <f t="shared" si="4"/>
        <v>qua</v>
      </c>
      <c r="K31" s="60"/>
    </row>
    <row r="32" spans="1:14" x14ac:dyDescent="0.25">
      <c r="A32" s="4">
        <v>28</v>
      </c>
      <c r="B32" s="38"/>
      <c r="C32" s="38"/>
      <c r="D32" s="38"/>
      <c r="E32" s="38"/>
      <c r="F32" s="38"/>
      <c r="G32" s="38"/>
      <c r="H32" s="38"/>
      <c r="I32" s="40" t="s">
        <v>50</v>
      </c>
      <c r="J32" s="40" t="str">
        <f t="shared" si="4"/>
        <v>qui</v>
      </c>
      <c r="K32" s="60">
        <v>1</v>
      </c>
    </row>
    <row r="33" spans="1:11" x14ac:dyDescent="0.25">
      <c r="A33" s="4">
        <v>29</v>
      </c>
      <c r="B33" s="38"/>
      <c r="C33" s="38" t="s">
        <v>2</v>
      </c>
      <c r="D33" s="38"/>
      <c r="E33" s="38" t="s">
        <v>2</v>
      </c>
      <c r="F33" s="38"/>
      <c r="G33" s="38"/>
      <c r="H33" s="38"/>
      <c r="I33" s="40" t="s">
        <v>51</v>
      </c>
      <c r="J33" s="40" t="str">
        <f t="shared" si="4"/>
        <v>sex</v>
      </c>
      <c r="K33" s="60" t="s">
        <v>71</v>
      </c>
    </row>
    <row r="34" spans="1:11" x14ac:dyDescent="0.25">
      <c r="A34" s="4">
        <v>30</v>
      </c>
      <c r="B34" s="38"/>
      <c r="C34" s="38" t="s">
        <v>2</v>
      </c>
      <c r="D34" s="38"/>
      <c r="E34" s="38" t="s">
        <v>2</v>
      </c>
      <c r="F34" s="38"/>
      <c r="G34" s="38" t="s">
        <v>2</v>
      </c>
      <c r="H34" s="38"/>
      <c r="I34" s="40" t="s">
        <v>52</v>
      </c>
      <c r="J34" s="40" t="str">
        <f t="shared" si="4"/>
        <v>sáb</v>
      </c>
      <c r="K34" s="60"/>
    </row>
    <row r="35" spans="1:11" x14ac:dyDescent="0.25">
      <c r="A35" s="4">
        <v>31</v>
      </c>
      <c r="B35" s="38" t="s">
        <v>2</v>
      </c>
      <c r="C35" s="38"/>
      <c r="D35" s="38" t="s">
        <v>7</v>
      </c>
      <c r="E35" s="38" t="s">
        <v>2</v>
      </c>
      <c r="F35" s="38"/>
      <c r="G35" s="38" t="s">
        <v>2</v>
      </c>
      <c r="H35" s="38" t="s">
        <v>2</v>
      </c>
      <c r="I35" s="40" t="s">
        <v>53</v>
      </c>
      <c r="J35" s="40" t="str">
        <f t="shared" si="4"/>
        <v>dom</v>
      </c>
      <c r="K35" s="60"/>
    </row>
    <row r="36" spans="1:11" x14ac:dyDescent="0.25">
      <c r="A36" s="4">
        <v>32</v>
      </c>
      <c r="B36" s="38"/>
      <c r="C36" s="38"/>
      <c r="D36" s="38"/>
      <c r="E36" s="38"/>
      <c r="F36" s="38"/>
      <c r="G36" s="38"/>
      <c r="H36" s="38"/>
    </row>
    <row r="37" spans="1:11" x14ac:dyDescent="0.25">
      <c r="A37" s="4">
        <v>33</v>
      </c>
      <c r="B37" s="38"/>
      <c r="C37" s="38"/>
      <c r="D37" s="38"/>
      <c r="E37" s="38" t="s">
        <v>2</v>
      </c>
      <c r="F37" s="38"/>
      <c r="G37" s="38"/>
      <c r="H37" s="38"/>
    </row>
    <row r="38" spans="1:11" x14ac:dyDescent="0.25">
      <c r="A38" s="4">
        <v>34</v>
      </c>
      <c r="B38" s="38"/>
      <c r="C38" s="38"/>
      <c r="D38" s="38"/>
      <c r="E38" s="38"/>
      <c r="F38" s="38"/>
      <c r="G38" s="38"/>
      <c r="H38" s="38"/>
    </row>
    <row r="39" spans="1:11" x14ac:dyDescent="0.25">
      <c r="A39" s="4">
        <v>35</v>
      </c>
      <c r="B39" s="38" t="s">
        <v>2</v>
      </c>
      <c r="C39" s="38" t="s">
        <v>2</v>
      </c>
      <c r="D39" s="38" t="s">
        <v>2</v>
      </c>
      <c r="E39" s="38" t="s">
        <v>2</v>
      </c>
      <c r="F39" s="38" t="s">
        <v>2</v>
      </c>
      <c r="G39" s="38"/>
      <c r="H39" s="38" t="s">
        <v>2</v>
      </c>
    </row>
    <row r="40" spans="1:11" x14ac:dyDescent="0.25">
      <c r="A40" s="4">
        <v>36</v>
      </c>
      <c r="B40" s="38" t="s">
        <v>2</v>
      </c>
      <c r="C40" s="38"/>
      <c r="D40" s="38"/>
      <c r="E40" s="38"/>
      <c r="F40" s="38"/>
      <c r="G40" s="38"/>
      <c r="H40" s="38" t="s">
        <v>2</v>
      </c>
    </row>
    <row r="41" spans="1:11" x14ac:dyDescent="0.25">
      <c r="A41" s="4">
        <v>37</v>
      </c>
      <c r="B41" s="38" t="s">
        <v>2</v>
      </c>
      <c r="C41" s="38"/>
      <c r="D41" s="38" t="s">
        <v>2</v>
      </c>
      <c r="E41" s="38"/>
      <c r="F41" s="38" t="s">
        <v>2</v>
      </c>
      <c r="G41" s="38"/>
      <c r="H41" s="38"/>
    </row>
    <row r="42" spans="1:11" x14ac:dyDescent="0.25">
      <c r="A42" s="4">
        <v>38</v>
      </c>
      <c r="B42" s="38"/>
      <c r="C42" s="38"/>
      <c r="D42" s="38"/>
      <c r="E42" s="38"/>
      <c r="F42" s="38"/>
      <c r="G42" s="38"/>
      <c r="H42" s="38"/>
    </row>
    <row r="43" spans="1:11" x14ac:dyDescent="0.25">
      <c r="A43" s="4">
        <v>39</v>
      </c>
      <c r="B43" s="38"/>
      <c r="C43" s="38"/>
      <c r="D43" s="38"/>
      <c r="E43" s="38"/>
      <c r="F43" s="38"/>
      <c r="G43" s="38"/>
      <c r="H43" s="38"/>
    </row>
    <row r="44" spans="1:11" x14ac:dyDescent="0.25">
      <c r="A44" s="4">
        <v>40</v>
      </c>
      <c r="B44" s="38"/>
      <c r="C44" s="38"/>
      <c r="D44" s="38"/>
      <c r="E44" s="38"/>
      <c r="F44" s="38"/>
      <c r="G44" s="38"/>
      <c r="H44" s="38"/>
    </row>
    <row r="45" spans="1:11" x14ac:dyDescent="0.25">
      <c r="A45" s="4">
        <v>41</v>
      </c>
      <c r="B45" s="38"/>
      <c r="C45" s="38"/>
      <c r="D45" s="38"/>
      <c r="E45" s="38"/>
      <c r="F45" s="38"/>
      <c r="G45" s="38"/>
      <c r="H45" s="38"/>
    </row>
    <row r="46" spans="1:11" x14ac:dyDescent="0.25">
      <c r="A46" s="4">
        <v>42</v>
      </c>
      <c r="B46" s="38"/>
      <c r="C46" s="38"/>
      <c r="D46" s="38"/>
      <c r="E46" s="38"/>
      <c r="F46" s="38"/>
      <c r="G46" s="38"/>
      <c r="H46" s="38"/>
    </row>
    <row r="47" spans="1:11" x14ac:dyDescent="0.25">
      <c r="A47" s="4">
        <v>43</v>
      </c>
      <c r="B47" s="38"/>
      <c r="C47" s="38"/>
      <c r="D47" s="38" t="s">
        <v>2</v>
      </c>
      <c r="E47" s="38"/>
      <c r="F47" s="38"/>
      <c r="G47" s="38"/>
      <c r="H47" s="38"/>
    </row>
    <row r="48" spans="1:11" x14ac:dyDescent="0.25">
      <c r="A48" s="4">
        <v>44</v>
      </c>
      <c r="B48" s="38"/>
      <c r="C48" s="38"/>
      <c r="D48" s="38"/>
      <c r="E48" s="38"/>
      <c r="F48" s="38"/>
      <c r="G48" s="38"/>
      <c r="H48" s="38"/>
    </row>
    <row r="49" spans="1:11" x14ac:dyDescent="0.25">
      <c r="A49" s="4">
        <v>45</v>
      </c>
      <c r="B49" s="38" t="s">
        <v>2</v>
      </c>
      <c r="C49" s="38" t="s">
        <v>2</v>
      </c>
      <c r="D49" s="38" t="s">
        <v>2</v>
      </c>
      <c r="E49" s="38" t="s">
        <v>2</v>
      </c>
      <c r="F49" s="38" t="s">
        <v>2</v>
      </c>
      <c r="G49" s="38" t="s">
        <v>2</v>
      </c>
      <c r="H49" s="38" t="s">
        <v>2</v>
      </c>
    </row>
    <row r="50" spans="1:11" x14ac:dyDescent="0.25">
      <c r="A50" s="4">
        <v>46</v>
      </c>
      <c r="B50" s="38" t="s">
        <v>2</v>
      </c>
      <c r="C50" s="38" t="s">
        <v>5</v>
      </c>
      <c r="D50" s="38" t="s">
        <v>7</v>
      </c>
      <c r="E50" s="38"/>
      <c r="F50" s="38"/>
      <c r="G50" s="38"/>
      <c r="H50" s="38" t="s">
        <v>2</v>
      </c>
    </row>
    <row r="51" spans="1:11" x14ac:dyDescent="0.25">
      <c r="A51" s="4">
        <v>47</v>
      </c>
      <c r="B51" s="38"/>
      <c r="C51" s="38" t="s">
        <v>5</v>
      </c>
      <c r="D51" s="38"/>
      <c r="E51" s="38"/>
      <c r="F51" s="38"/>
      <c r="G51" s="38" t="s">
        <v>7</v>
      </c>
      <c r="H51" s="38"/>
    </row>
    <row r="52" spans="1:11" x14ac:dyDescent="0.25">
      <c r="A52" s="4">
        <v>48</v>
      </c>
      <c r="B52" s="38" t="s">
        <v>7</v>
      </c>
      <c r="C52" s="38"/>
      <c r="D52" s="38"/>
      <c r="E52" s="38"/>
      <c r="F52" s="38"/>
      <c r="G52" s="38"/>
      <c r="H52" s="38" t="s">
        <v>2</v>
      </c>
    </row>
    <row r="53" spans="1:11" x14ac:dyDescent="0.25">
      <c r="A53" s="4">
        <v>49</v>
      </c>
      <c r="B53" s="38"/>
      <c r="C53" s="38" t="s">
        <v>2</v>
      </c>
      <c r="D53" s="38" t="s">
        <v>2</v>
      </c>
      <c r="E53" s="38" t="s">
        <v>2</v>
      </c>
      <c r="F53" s="38" t="s">
        <v>2</v>
      </c>
      <c r="G53" s="38" t="s">
        <v>2</v>
      </c>
      <c r="H53" s="38"/>
      <c r="K53" t="s">
        <v>68</v>
      </c>
    </row>
    <row r="54" spans="1:11" x14ac:dyDescent="0.25">
      <c r="A54" s="4">
        <v>50</v>
      </c>
      <c r="B54" s="38"/>
      <c r="C54" s="38" t="s">
        <v>2</v>
      </c>
      <c r="D54" s="38"/>
      <c r="E54" s="38" t="s">
        <v>2</v>
      </c>
      <c r="F54" s="38" t="s">
        <v>2</v>
      </c>
      <c r="G54" s="38"/>
      <c r="H54" s="38"/>
    </row>
    <row r="55" spans="1:11" x14ac:dyDescent="0.25">
      <c r="A55" s="4">
        <v>51</v>
      </c>
      <c r="B55" s="38"/>
      <c r="C55" s="38" t="s">
        <v>2</v>
      </c>
      <c r="D55" s="38" t="s">
        <v>2</v>
      </c>
      <c r="E55" s="38"/>
      <c r="F55" s="38"/>
      <c r="G55" s="38"/>
      <c r="H55" s="38"/>
    </row>
    <row r="56" spans="1:11" x14ac:dyDescent="0.25">
      <c r="A56" s="4">
        <v>52</v>
      </c>
      <c r="B56" s="38"/>
      <c r="C56" s="38" t="s">
        <v>2</v>
      </c>
      <c r="D56" s="38" t="s">
        <v>2</v>
      </c>
      <c r="E56" s="38"/>
      <c r="F56" s="38" t="s">
        <v>5</v>
      </c>
      <c r="G56" s="38"/>
      <c r="H56" s="38" t="s">
        <v>2</v>
      </c>
    </row>
    <row r="57" spans="1:11" x14ac:dyDescent="0.25">
      <c r="A57" s="4">
        <v>53</v>
      </c>
      <c r="B57" s="38"/>
      <c r="C57" s="38"/>
      <c r="D57" s="38" t="s">
        <v>2</v>
      </c>
      <c r="E57" s="38" t="s">
        <v>2</v>
      </c>
      <c r="F57" s="38"/>
      <c r="G57" s="38"/>
      <c r="H57" s="38"/>
    </row>
    <row r="58" spans="1:11" x14ac:dyDescent="0.25">
      <c r="A58" s="4">
        <v>54</v>
      </c>
      <c r="B58" s="38"/>
      <c r="C58" s="38" t="s">
        <v>2</v>
      </c>
      <c r="D58" s="38"/>
      <c r="E58" s="38"/>
      <c r="F58" s="38" t="s">
        <v>2</v>
      </c>
      <c r="G58" s="38"/>
      <c r="H58" s="38"/>
    </row>
    <row r="59" spans="1:11" x14ac:dyDescent="0.25">
      <c r="A59" s="4">
        <v>55</v>
      </c>
      <c r="B59" s="38"/>
      <c r="C59" s="38"/>
      <c r="D59" s="38"/>
      <c r="E59" s="38"/>
      <c r="F59" s="38"/>
      <c r="G59" s="38"/>
      <c r="H59" s="38"/>
    </row>
    <row r="60" spans="1:11" x14ac:dyDescent="0.25">
      <c r="A60" s="4">
        <v>56</v>
      </c>
      <c r="B60" s="38"/>
      <c r="C60" s="38"/>
      <c r="D60" s="38"/>
      <c r="E60" s="38"/>
      <c r="F60" s="38"/>
      <c r="G60" s="38" t="s">
        <v>2</v>
      </c>
      <c r="H60" s="38"/>
    </row>
    <row r="61" spans="1:11" x14ac:dyDescent="0.25">
      <c r="A61" s="4">
        <v>73</v>
      </c>
      <c r="B61" s="38"/>
      <c r="C61" s="38"/>
      <c r="D61" s="38"/>
      <c r="E61" s="38" t="s">
        <v>2</v>
      </c>
      <c r="F61" s="38"/>
      <c r="G61" s="38" t="s">
        <v>2</v>
      </c>
      <c r="H61" s="38"/>
    </row>
    <row r="62" spans="1:11" x14ac:dyDescent="0.25">
      <c r="A62" s="4">
        <v>74</v>
      </c>
      <c r="B62" s="38"/>
      <c r="C62" s="38"/>
      <c r="D62" s="38"/>
      <c r="E62" s="38" t="s">
        <v>2</v>
      </c>
      <c r="F62" s="38"/>
      <c r="G62" s="38" t="s">
        <v>2</v>
      </c>
      <c r="H62" s="38"/>
    </row>
    <row r="63" spans="1:11" x14ac:dyDescent="0.25">
      <c r="A63" s="4">
        <v>101</v>
      </c>
      <c r="B63" s="39"/>
      <c r="C63" s="38" t="s">
        <v>2</v>
      </c>
      <c r="D63" s="38"/>
      <c r="E63" s="38" t="s">
        <v>2</v>
      </c>
      <c r="F63" s="38" t="s">
        <v>2</v>
      </c>
      <c r="G63" s="38" t="s">
        <v>2</v>
      </c>
      <c r="H63" s="38"/>
    </row>
    <row r="64" spans="1:11" x14ac:dyDescent="0.25">
      <c r="A64" s="4">
        <v>102</v>
      </c>
      <c r="B64" s="38"/>
      <c r="C64" s="38"/>
      <c r="D64" s="38"/>
      <c r="E64" s="38"/>
      <c r="F64" s="38"/>
      <c r="G64" s="38"/>
      <c r="H64" s="38"/>
    </row>
    <row r="65" spans="1:8" x14ac:dyDescent="0.25">
      <c r="A65" s="4">
        <v>103</v>
      </c>
      <c r="B65" s="38" t="s">
        <v>2</v>
      </c>
      <c r="C65" s="38"/>
      <c r="D65" s="38" t="s">
        <v>2</v>
      </c>
      <c r="E65" s="38"/>
      <c r="F65" s="38" t="s">
        <v>2</v>
      </c>
      <c r="G65" s="38"/>
      <c r="H65" s="38"/>
    </row>
    <row r="66" spans="1:8" x14ac:dyDescent="0.25">
      <c r="A66" s="4">
        <v>104</v>
      </c>
      <c r="B66" s="38" t="s">
        <v>2</v>
      </c>
      <c r="C66" s="38"/>
      <c r="D66" s="38" t="s">
        <v>2</v>
      </c>
      <c r="E66" s="38"/>
      <c r="F66" s="38" t="s">
        <v>2</v>
      </c>
      <c r="G66" s="38"/>
      <c r="H66" s="38"/>
    </row>
    <row r="67" spans="1:8" x14ac:dyDescent="0.25">
      <c r="A67" s="4">
        <v>105</v>
      </c>
      <c r="B67" s="38"/>
      <c r="C67" s="38"/>
      <c r="D67" s="38"/>
      <c r="E67" s="38"/>
      <c r="F67" s="38"/>
      <c r="G67" s="38"/>
      <c r="H67" s="38"/>
    </row>
    <row r="68" spans="1:8" x14ac:dyDescent="0.25">
      <c r="A68" s="4">
        <v>106</v>
      </c>
      <c r="B68" s="38"/>
      <c r="C68" s="38"/>
      <c r="D68" s="38"/>
      <c r="E68" s="38"/>
      <c r="F68" s="38"/>
      <c r="G68" s="38"/>
      <c r="H68" s="38"/>
    </row>
    <row r="69" spans="1:8" x14ac:dyDescent="0.25">
      <c r="A69" s="4">
        <v>107</v>
      </c>
      <c r="B69" s="38"/>
      <c r="C69" s="38"/>
      <c r="D69" s="38"/>
      <c r="E69" s="38"/>
      <c r="F69" s="38"/>
      <c r="G69" s="38"/>
      <c r="H69" s="38"/>
    </row>
    <row r="70" spans="1:8" x14ac:dyDescent="0.25">
      <c r="A70" s="4">
        <v>108</v>
      </c>
      <c r="B70" s="38"/>
      <c r="C70" s="38"/>
      <c r="D70" s="38"/>
      <c r="E70" s="38"/>
      <c r="F70" s="38"/>
      <c r="G70" s="38"/>
      <c r="H70" s="38"/>
    </row>
    <row r="71" spans="1:8" x14ac:dyDescent="0.25">
      <c r="A71" s="4">
        <v>109</v>
      </c>
      <c r="B71" s="38"/>
      <c r="C71" s="38"/>
      <c r="D71" s="38"/>
      <c r="E71" s="38"/>
      <c r="F71" s="38"/>
      <c r="G71" s="38"/>
      <c r="H71" s="38"/>
    </row>
    <row r="72" spans="1:8" x14ac:dyDescent="0.25">
      <c r="A72" s="4">
        <v>110</v>
      </c>
      <c r="B72" s="38"/>
      <c r="C72" s="38"/>
      <c r="D72" s="38"/>
      <c r="E72" s="38"/>
      <c r="F72" s="38"/>
      <c r="G72" s="38"/>
      <c r="H72" s="38"/>
    </row>
    <row r="73" spans="1:8" x14ac:dyDescent="0.25">
      <c r="A73" s="4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4">
        <v>112</v>
      </c>
      <c r="B74" s="38"/>
      <c r="C74" s="38" t="s">
        <v>7</v>
      </c>
      <c r="D74" s="38" t="s">
        <v>2</v>
      </c>
      <c r="E74" s="38"/>
      <c r="F74" s="38"/>
      <c r="G74" s="38" t="s">
        <v>2</v>
      </c>
      <c r="H74" s="38"/>
    </row>
    <row r="75" spans="1:8" x14ac:dyDescent="0.25">
      <c r="A75" s="4">
        <v>113</v>
      </c>
      <c r="B75" s="38"/>
      <c r="C75" s="38"/>
      <c r="D75" s="38" t="s">
        <v>2</v>
      </c>
      <c r="E75" s="38" t="s">
        <v>2</v>
      </c>
      <c r="F75" s="38"/>
      <c r="G75" s="38"/>
      <c r="H75" s="38"/>
    </row>
    <row r="76" spans="1:8" x14ac:dyDescent="0.25">
      <c r="A76" s="4">
        <v>114</v>
      </c>
      <c r="B76" s="38" t="s">
        <v>2</v>
      </c>
      <c r="C76" s="38" t="s">
        <v>2</v>
      </c>
      <c r="D76" s="38"/>
      <c r="E76" s="38" t="s">
        <v>2</v>
      </c>
      <c r="F76" s="38" t="s">
        <v>2</v>
      </c>
      <c r="G76" s="38"/>
      <c r="H76" s="38"/>
    </row>
    <row r="77" spans="1:8" x14ac:dyDescent="0.25">
      <c r="A77" s="4">
        <v>115</v>
      </c>
      <c r="B77" s="38"/>
      <c r="C77" s="38" t="s">
        <v>2</v>
      </c>
      <c r="D77" s="38"/>
      <c r="E77" s="38"/>
      <c r="F77" s="38"/>
      <c r="G77" s="38" t="s">
        <v>2</v>
      </c>
      <c r="H77" s="38"/>
    </row>
    <row r="78" spans="1:8" x14ac:dyDescent="0.25">
      <c r="A78" s="4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4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4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4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4">
        <v>120</v>
      </c>
      <c r="B82" s="38"/>
      <c r="C82" s="38" t="s">
        <v>2</v>
      </c>
      <c r="D82" s="38"/>
      <c r="E82" s="38" t="s">
        <v>2</v>
      </c>
      <c r="F82" s="38"/>
      <c r="G82" s="38" t="s">
        <v>2</v>
      </c>
      <c r="H82" s="38"/>
    </row>
    <row r="83" spans="1:8" x14ac:dyDescent="0.25">
      <c r="A83" s="4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4">
        <v>122</v>
      </c>
      <c r="B84" s="38"/>
      <c r="C84" s="38" t="s">
        <v>2</v>
      </c>
      <c r="D84" s="38"/>
      <c r="E84" s="38" t="s">
        <v>2</v>
      </c>
      <c r="F84" s="38"/>
      <c r="G84" s="38" t="s">
        <v>2</v>
      </c>
      <c r="H84" s="38"/>
    </row>
    <row r="85" spans="1:8" x14ac:dyDescent="0.25">
      <c r="A85" s="4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4">
        <v>124</v>
      </c>
      <c r="B86" s="38"/>
      <c r="C86" s="38"/>
      <c r="D86" s="38" t="s">
        <v>2</v>
      </c>
      <c r="E86" s="38" t="s">
        <v>2</v>
      </c>
      <c r="F86" s="38" t="s">
        <v>2</v>
      </c>
      <c r="G86" s="38"/>
      <c r="H86" s="38" t="s">
        <v>6</v>
      </c>
    </row>
    <row r="87" spans="1:8" x14ac:dyDescent="0.25">
      <c r="A87" s="4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4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4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4">
        <v>128</v>
      </c>
      <c r="B90" s="38"/>
      <c r="C90" s="38"/>
      <c r="D90" s="38"/>
      <c r="E90" s="38"/>
      <c r="F90" s="38"/>
      <c r="G90" s="38"/>
      <c r="H90" s="38"/>
    </row>
    <row r="91" spans="1:8" x14ac:dyDescent="0.25">
      <c r="A91" s="4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4">
        <v>130</v>
      </c>
      <c r="B92" s="38"/>
      <c r="C92" s="38"/>
      <c r="D92" s="38"/>
      <c r="E92" s="38"/>
      <c r="F92" s="38"/>
      <c r="G92" s="38"/>
      <c r="H92" s="38"/>
    </row>
    <row r="93" spans="1:8" x14ac:dyDescent="0.25">
      <c r="A93" s="4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4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4">
        <v>133</v>
      </c>
      <c r="B95" s="38"/>
      <c r="C95" s="38" t="s">
        <v>2</v>
      </c>
      <c r="D95" s="38" t="s">
        <v>5</v>
      </c>
      <c r="E95" s="38" t="s">
        <v>2</v>
      </c>
      <c r="F95" s="38" t="s">
        <v>2</v>
      </c>
      <c r="G95" s="38" t="s">
        <v>2</v>
      </c>
      <c r="H95" s="38" t="s">
        <v>6</v>
      </c>
    </row>
  </sheetData>
  <mergeCells count="5">
    <mergeCell ref="A1:H2"/>
    <mergeCell ref="I17:K17"/>
    <mergeCell ref="I18:J18"/>
    <mergeCell ref="I27:K27"/>
    <mergeCell ref="I28:J28"/>
  </mergeCells>
  <conditionalFormatting sqref="I5:I16 I29:I60 I19:I26 B66:H95 F63:H65 F61:I62 B5:E65">
    <cfRule type="cellIs" dxfId="665" priority="18" operator="equal">
      <formula>"Energia"</formula>
    </cfRule>
    <cfRule type="cellIs" dxfId="664" priority="20" operator="equal">
      <formula>"Operação"</formula>
    </cfRule>
    <cfRule type="cellIs" dxfId="663" priority="21" operator="equal">
      <formula>"Chuva"</formula>
    </cfRule>
    <cfRule type="cellIs" dxfId="662" priority="22" operator="equal">
      <formula>"Elétrico"</formula>
    </cfRule>
    <cfRule type="cellIs" dxfId="661" priority="23" operator="equal">
      <formula>"Mecânico"</formula>
    </cfRule>
    <cfRule type="cellIs" dxfId="660" priority="24" operator="equal">
      <formula>"Ok"</formula>
    </cfRule>
  </conditionalFormatting>
  <conditionalFormatting sqref="I5:I16 I29:I60 I19:I26 B66:H95 F63:H65 F61:I62 B5:E65">
    <cfRule type="cellIs" dxfId="659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56 C13 B5:E11">
    <cfRule type="cellIs" dxfId="658" priority="16" operator="equal">
      <formula>"Energia"</formula>
    </cfRule>
  </conditionalFormatting>
  <conditionalFormatting sqref="G5:H60 F53">
    <cfRule type="cellIs" dxfId="657" priority="9" operator="equal">
      <formula>"Energia"</formula>
    </cfRule>
    <cfRule type="cellIs" dxfId="656" priority="11" operator="equal">
      <formula>"Operação"</formula>
    </cfRule>
    <cfRule type="cellIs" dxfId="655" priority="12" operator="equal">
      <formula>"Chuva"</formula>
    </cfRule>
    <cfRule type="cellIs" dxfId="654" priority="13" operator="equal">
      <formula>"Elétrico"</formula>
    </cfRule>
    <cfRule type="cellIs" dxfId="653" priority="14" operator="equal">
      <formula>"Mecânico"</formula>
    </cfRule>
    <cfRule type="cellIs" dxfId="652" priority="15" operator="equal">
      <formula>"Ok"</formula>
    </cfRule>
  </conditionalFormatting>
  <conditionalFormatting sqref="G5:H60 F53">
    <cfRule type="cellIs" dxfId="651" priority="10" operator="equal">
      <formula>"Feito"</formula>
    </cfRule>
  </conditionalFormatting>
  <conditionalFormatting sqref="F5:F11">
    <cfRule type="cellIs" dxfId="650" priority="8" operator="equal">
      <formula>"Energia"</formula>
    </cfRule>
  </conditionalFormatting>
  <conditionalFormatting sqref="F5:F52 F54:F60">
    <cfRule type="cellIs" dxfId="649" priority="1" operator="equal">
      <formula>"Energia"</formula>
    </cfRule>
    <cfRule type="cellIs" dxfId="648" priority="3" operator="equal">
      <formula>"Operação"</formula>
    </cfRule>
    <cfRule type="cellIs" dxfId="647" priority="4" operator="equal">
      <formula>"Chuva"</formula>
    </cfRule>
    <cfRule type="cellIs" dxfId="646" priority="5" operator="equal">
      <formula>"Elétrico"</formula>
    </cfRule>
    <cfRule type="cellIs" dxfId="645" priority="6" operator="equal">
      <formula>"Mecânico"</formula>
    </cfRule>
    <cfRule type="cellIs" dxfId="644" priority="7" operator="equal">
      <formula>"Ok"</formula>
    </cfRule>
  </conditionalFormatting>
  <conditionalFormatting sqref="F5:F52 F54:F60">
    <cfRule type="cellIs" dxfId="643" priority="2" operator="equal">
      <formula>"Feito"</formula>
    </cfRule>
  </conditionalFormatting>
  <dataValidations count="1">
    <dataValidation type="list" allowBlank="1" showInputMessage="1" showErrorMessage="1" sqref="I5:I16 J36:J60 I29:I62 I19:I26 B5:H95" xr:uid="{28F2D225-48E4-4515-8041-2AC436464187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6D2E-AD36-471C-9F12-EB4FEE659E50}">
  <sheetPr>
    <tabColor theme="8"/>
  </sheetPr>
  <dimension ref="A1:Q95"/>
  <sheetViews>
    <sheetView showGridLines="0" zoomScaleNormal="100" workbookViewId="0">
      <pane ySplit="4" topLeftCell="A5" activePane="bottomLeft" state="frozen"/>
      <selection pane="bottomLeft" activeCell="N28" sqref="N28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72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4" t="s">
        <v>16</v>
      </c>
      <c r="B3" s="23">
        <v>44788</v>
      </c>
      <c r="C3" s="23">
        <f>B3+1</f>
        <v>44789</v>
      </c>
      <c r="D3" s="23">
        <f t="shared" ref="D3:H3" si="0">C3+1</f>
        <v>44790</v>
      </c>
      <c r="E3" s="23">
        <f t="shared" si="0"/>
        <v>44791</v>
      </c>
      <c r="F3" s="23">
        <f t="shared" si="0"/>
        <v>44792</v>
      </c>
      <c r="G3" s="23">
        <f t="shared" si="0"/>
        <v>44793</v>
      </c>
      <c r="H3" s="25">
        <f t="shared" si="0"/>
        <v>44794</v>
      </c>
      <c r="I3" s="3"/>
    </row>
    <row r="4" spans="1:17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  <c r="Q4" t="s">
        <v>34</v>
      </c>
    </row>
    <row r="5" spans="1:17" x14ac:dyDescent="0.25">
      <c r="A5" s="4">
        <v>1</v>
      </c>
      <c r="B5" s="38"/>
      <c r="C5" s="38"/>
      <c r="D5" s="38"/>
      <c r="E5" s="38" t="s">
        <v>2</v>
      </c>
      <c r="F5" s="38" t="s">
        <v>2</v>
      </c>
      <c r="G5" s="38" t="s">
        <v>2</v>
      </c>
      <c r="H5" s="38" t="s">
        <v>2</v>
      </c>
      <c r="J5" s="48" t="s">
        <v>2</v>
      </c>
      <c r="K5">
        <f>COUNTIF($B$5:$H$95,J5)</f>
        <v>162</v>
      </c>
      <c r="L5" s="34">
        <f t="shared" ref="L5:L10" si="2">K5/$K$11</f>
        <v>0.82653061224489799</v>
      </c>
      <c r="M5" s="52">
        <f>B3</f>
        <v>44788</v>
      </c>
      <c r="O5" t="s">
        <v>44</v>
      </c>
      <c r="P5">
        <v>161</v>
      </c>
      <c r="Q5" s="52">
        <f>M5</f>
        <v>44788</v>
      </c>
    </row>
    <row r="6" spans="1:17" x14ac:dyDescent="0.25">
      <c r="A6" s="4">
        <v>2</v>
      </c>
      <c r="B6" s="38"/>
      <c r="C6" s="38"/>
      <c r="D6" s="38" t="s">
        <v>2</v>
      </c>
      <c r="E6" s="38"/>
      <c r="F6" s="38"/>
      <c r="G6" s="38" t="s">
        <v>2</v>
      </c>
      <c r="H6" s="38"/>
      <c r="J6" s="42" t="s">
        <v>5</v>
      </c>
      <c r="K6">
        <f>COUNTIF($B$5:$H$95,J6)</f>
        <v>7</v>
      </c>
      <c r="L6" s="35">
        <f t="shared" si="2"/>
        <v>3.5714285714285712E-2</v>
      </c>
      <c r="O6" t="s">
        <v>46</v>
      </c>
      <c r="P6">
        <f>SUM(K19:K25)</f>
        <v>16</v>
      </c>
    </row>
    <row r="7" spans="1:17" x14ac:dyDescent="0.25">
      <c r="A7" s="4">
        <v>3</v>
      </c>
      <c r="B7" s="38" t="s">
        <v>2</v>
      </c>
      <c r="C7" s="38"/>
      <c r="D7" s="38"/>
      <c r="E7" s="38"/>
      <c r="F7" s="38"/>
      <c r="G7" s="38"/>
      <c r="H7" s="38" t="s">
        <v>2</v>
      </c>
      <c r="J7" s="46" t="s">
        <v>6</v>
      </c>
      <c r="K7">
        <f t="shared" ref="K7:K10" si="3">COUNTIF($B$5:$H$95,J7)</f>
        <v>14</v>
      </c>
      <c r="L7" s="35">
        <f t="shared" si="2"/>
        <v>7.1428571428571425E-2</v>
      </c>
      <c r="O7" t="s">
        <v>45</v>
      </c>
      <c r="P7">
        <f>SUM(K29:K35)</f>
        <v>4</v>
      </c>
    </row>
    <row r="8" spans="1:17" x14ac:dyDescent="0.25">
      <c r="A8" s="4">
        <v>4</v>
      </c>
      <c r="B8" s="38" t="s">
        <v>2</v>
      </c>
      <c r="C8" s="38"/>
      <c r="D8" s="38" t="s">
        <v>2</v>
      </c>
      <c r="E8" s="38"/>
      <c r="F8" s="38" t="s">
        <v>2</v>
      </c>
      <c r="G8" s="38"/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  <c r="O8" s="65" t="s">
        <v>17</v>
      </c>
      <c r="P8" s="65">
        <f>P5+P6-P7</f>
        <v>173</v>
      </c>
    </row>
    <row r="9" spans="1:17" x14ac:dyDescent="0.25">
      <c r="A9" s="4">
        <v>5</v>
      </c>
      <c r="B9" s="38"/>
      <c r="C9" s="38"/>
      <c r="D9" s="38"/>
      <c r="E9" s="38"/>
      <c r="F9" s="38"/>
      <c r="G9" s="38"/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7" x14ac:dyDescent="0.25">
      <c r="A10" s="4">
        <v>6</v>
      </c>
      <c r="B10" s="38" t="s">
        <v>2</v>
      </c>
      <c r="C10" s="38"/>
      <c r="D10" s="38"/>
      <c r="E10" s="38"/>
      <c r="F10" s="38"/>
      <c r="G10" s="38"/>
      <c r="H10" s="38"/>
      <c r="J10" s="43" t="s">
        <v>7</v>
      </c>
      <c r="K10">
        <f t="shared" si="3"/>
        <v>13</v>
      </c>
      <c r="L10" s="37">
        <f t="shared" si="2"/>
        <v>6.6326530612244902E-2</v>
      </c>
      <c r="O10" t="s">
        <v>65</v>
      </c>
      <c r="P10">
        <f>P8</f>
        <v>173</v>
      </c>
    </row>
    <row r="11" spans="1:17" x14ac:dyDescent="0.25">
      <c r="A11" s="4">
        <v>7</v>
      </c>
      <c r="B11" s="38" t="s">
        <v>2</v>
      </c>
      <c r="C11" s="38"/>
      <c r="D11" s="38" t="s">
        <v>7</v>
      </c>
      <c r="E11" s="38"/>
      <c r="F11" s="38"/>
      <c r="G11" s="38" t="s">
        <v>2</v>
      </c>
      <c r="H11" s="38" t="s">
        <v>2</v>
      </c>
      <c r="J11" s="44" t="s">
        <v>17</v>
      </c>
      <c r="K11">
        <f>SUM(K5:K10)</f>
        <v>196</v>
      </c>
    </row>
    <row r="12" spans="1:17" x14ac:dyDescent="0.25">
      <c r="A12" s="4">
        <v>8</v>
      </c>
      <c r="B12" s="38" t="s">
        <v>2</v>
      </c>
      <c r="C12" s="38"/>
      <c r="D12" s="38"/>
      <c r="E12" s="38"/>
      <c r="F12" s="38" t="s">
        <v>2</v>
      </c>
      <c r="G12" s="38"/>
      <c r="H12" s="38" t="s">
        <v>2</v>
      </c>
    </row>
    <row r="13" spans="1:17" x14ac:dyDescent="0.25">
      <c r="A13" s="4">
        <v>9</v>
      </c>
      <c r="B13" s="38" t="s">
        <v>2</v>
      </c>
      <c r="C13" s="38"/>
      <c r="D13" s="38"/>
      <c r="E13" s="38" t="s">
        <v>2</v>
      </c>
      <c r="F13" s="38"/>
      <c r="G13" s="38" t="s">
        <v>2</v>
      </c>
      <c r="H13" s="38"/>
    </row>
    <row r="14" spans="1:17" x14ac:dyDescent="0.25">
      <c r="A14" s="4">
        <v>10</v>
      </c>
      <c r="B14" s="38" t="s">
        <v>2</v>
      </c>
      <c r="C14" s="38"/>
      <c r="D14" s="38"/>
      <c r="E14" s="38"/>
      <c r="F14" s="38" t="s">
        <v>2</v>
      </c>
      <c r="G14" s="38" t="s">
        <v>2</v>
      </c>
      <c r="H14" s="38" t="s">
        <v>2</v>
      </c>
    </row>
    <row r="15" spans="1:17" x14ac:dyDescent="0.25">
      <c r="A15" s="4">
        <v>11</v>
      </c>
      <c r="B15" s="38" t="s">
        <v>2</v>
      </c>
      <c r="C15" s="38"/>
      <c r="D15" s="38" t="s">
        <v>2</v>
      </c>
      <c r="E15" s="38" t="s">
        <v>2</v>
      </c>
      <c r="F15" s="38"/>
      <c r="G15" s="38" t="s">
        <v>2</v>
      </c>
      <c r="H15" s="38"/>
    </row>
    <row r="16" spans="1:17" x14ac:dyDescent="0.25">
      <c r="A16" s="4">
        <v>12</v>
      </c>
      <c r="B16" s="38"/>
      <c r="C16" s="38" t="s">
        <v>2</v>
      </c>
      <c r="D16" s="38"/>
      <c r="E16" s="38" t="s">
        <v>2</v>
      </c>
      <c r="F16" s="38"/>
      <c r="G16" s="38"/>
      <c r="H16" s="38" t="s">
        <v>2</v>
      </c>
      <c r="O16" s="61"/>
    </row>
    <row r="17" spans="1:11" x14ac:dyDescent="0.25">
      <c r="A17" s="4">
        <v>13</v>
      </c>
      <c r="B17" s="38"/>
      <c r="C17" s="38" t="s">
        <v>2</v>
      </c>
      <c r="D17" s="38"/>
      <c r="E17" s="38" t="s">
        <v>2</v>
      </c>
      <c r="F17" s="38"/>
      <c r="G17" s="38" t="s">
        <v>2</v>
      </c>
      <c r="H17" s="38"/>
      <c r="I17" s="71" t="s">
        <v>46</v>
      </c>
      <c r="J17" s="72"/>
      <c r="K17" s="72"/>
    </row>
    <row r="18" spans="1:11" x14ac:dyDescent="0.25">
      <c r="A18" s="4">
        <v>14</v>
      </c>
      <c r="B18" s="38"/>
      <c r="C18" s="38" t="s">
        <v>7</v>
      </c>
      <c r="D18" s="38" t="s">
        <v>5</v>
      </c>
      <c r="E18" s="38" t="s">
        <v>5</v>
      </c>
      <c r="F18" s="38" t="s">
        <v>7</v>
      </c>
      <c r="G18" s="38"/>
      <c r="H18" s="38" t="s">
        <v>5</v>
      </c>
      <c r="I18" s="71" t="s">
        <v>54</v>
      </c>
      <c r="J18" s="72"/>
      <c r="K18" t="s">
        <v>32</v>
      </c>
    </row>
    <row r="19" spans="1:11" x14ac:dyDescent="0.25">
      <c r="A19" s="4">
        <v>15</v>
      </c>
      <c r="B19" s="38"/>
      <c r="C19" s="38"/>
      <c r="D19" s="38"/>
      <c r="E19" s="38"/>
      <c r="F19" s="38"/>
      <c r="G19" s="38"/>
      <c r="H19" s="38"/>
      <c r="I19" s="40" t="s">
        <v>47</v>
      </c>
      <c r="J19" s="40" t="str">
        <f>TEXT(B3,"ddd")</f>
        <v>seg</v>
      </c>
      <c r="K19" s="60">
        <v>1</v>
      </c>
    </row>
    <row r="20" spans="1:11" x14ac:dyDescent="0.25">
      <c r="A20" s="4">
        <v>16</v>
      </c>
      <c r="B20" s="38"/>
      <c r="C20" s="38"/>
      <c r="D20" s="38"/>
      <c r="E20" s="38"/>
      <c r="F20" s="38"/>
      <c r="G20" s="38"/>
      <c r="H20" s="38"/>
      <c r="I20" s="40" t="s">
        <v>48</v>
      </c>
      <c r="J20" s="40" t="str">
        <f>TEXT(C3,"ddd")</f>
        <v>ter</v>
      </c>
      <c r="K20" s="60">
        <v>1</v>
      </c>
    </row>
    <row r="21" spans="1:11" x14ac:dyDescent="0.25">
      <c r="A21" s="4">
        <v>17</v>
      </c>
      <c r="B21" s="38"/>
      <c r="C21" s="38"/>
      <c r="D21" s="38"/>
      <c r="E21" s="38"/>
      <c r="F21" s="38"/>
      <c r="G21" s="38"/>
      <c r="H21" s="38"/>
      <c r="I21" s="40" t="s">
        <v>49</v>
      </c>
      <c r="J21" s="40" t="str">
        <f>TEXT(D3,"ddd")</f>
        <v>qua</v>
      </c>
      <c r="K21" s="60">
        <v>4</v>
      </c>
    </row>
    <row r="22" spans="1:11" x14ac:dyDescent="0.25">
      <c r="A22" s="4">
        <v>18</v>
      </c>
      <c r="B22" s="38"/>
      <c r="C22" s="38"/>
      <c r="D22" s="38"/>
      <c r="E22" s="38"/>
      <c r="F22" s="38"/>
      <c r="G22" s="38"/>
      <c r="H22" s="38"/>
      <c r="I22" s="40" t="s">
        <v>50</v>
      </c>
      <c r="J22" s="40" t="str">
        <f>TEXT(E3,"ddd")</f>
        <v>qui</v>
      </c>
      <c r="K22" s="60">
        <v>2</v>
      </c>
    </row>
    <row r="23" spans="1:11" x14ac:dyDescent="0.25">
      <c r="A23" s="4">
        <v>19</v>
      </c>
      <c r="B23" s="38" t="s">
        <v>5</v>
      </c>
      <c r="C23" s="38"/>
      <c r="D23" s="38"/>
      <c r="E23" s="38"/>
      <c r="F23" s="38"/>
      <c r="G23" s="38"/>
      <c r="H23" s="38"/>
      <c r="I23" s="40" t="s">
        <v>51</v>
      </c>
      <c r="J23" s="40" t="str">
        <f>TEXT(F3,"ddd")</f>
        <v>sex</v>
      </c>
      <c r="K23" s="60">
        <v>1</v>
      </c>
    </row>
    <row r="24" spans="1:11" x14ac:dyDescent="0.25">
      <c r="A24" s="4">
        <v>20</v>
      </c>
      <c r="B24" s="38"/>
      <c r="C24" s="38"/>
      <c r="D24" s="38"/>
      <c r="E24" s="38"/>
      <c r="F24" s="38"/>
      <c r="G24" s="38"/>
      <c r="H24" s="38"/>
      <c r="I24" s="40" t="s">
        <v>52</v>
      </c>
      <c r="J24" s="40" t="str">
        <f>TEXT(G3,"ddd")</f>
        <v>sáb</v>
      </c>
      <c r="K24" s="60">
        <v>4</v>
      </c>
    </row>
    <row r="25" spans="1:11" x14ac:dyDescent="0.25">
      <c r="A25" s="4">
        <v>21</v>
      </c>
      <c r="B25" s="38"/>
      <c r="C25" s="38"/>
      <c r="D25" s="38"/>
      <c r="E25" s="38"/>
      <c r="F25" s="38"/>
      <c r="G25" s="38"/>
      <c r="H25" s="38"/>
      <c r="I25" s="40" t="s">
        <v>53</v>
      </c>
      <c r="J25" s="40" t="str">
        <f>TEXT(H3,"ddd")</f>
        <v>dom</v>
      </c>
      <c r="K25" s="60">
        <v>3</v>
      </c>
    </row>
    <row r="26" spans="1:11" x14ac:dyDescent="0.25">
      <c r="A26" s="4">
        <v>22</v>
      </c>
      <c r="B26" s="38"/>
      <c r="C26" s="38"/>
      <c r="D26" s="38"/>
      <c r="E26" s="38"/>
      <c r="F26" s="38"/>
      <c r="G26" s="38"/>
      <c r="H26" s="38"/>
    </row>
    <row r="27" spans="1:11" x14ac:dyDescent="0.25">
      <c r="A27" s="4">
        <v>23</v>
      </c>
      <c r="B27" s="38" t="s">
        <v>2</v>
      </c>
      <c r="C27" s="38" t="s">
        <v>2</v>
      </c>
      <c r="D27" s="38" t="s">
        <v>2</v>
      </c>
      <c r="E27" s="38" t="s">
        <v>2</v>
      </c>
      <c r="F27" s="38" t="s">
        <v>2</v>
      </c>
      <c r="G27" s="38" t="s">
        <v>5</v>
      </c>
      <c r="H27" s="38" t="s">
        <v>2</v>
      </c>
      <c r="I27" s="71" t="s">
        <v>45</v>
      </c>
      <c r="J27" s="72"/>
      <c r="K27" s="72"/>
    </row>
    <row r="28" spans="1:11" x14ac:dyDescent="0.25">
      <c r="A28" s="4">
        <v>24</v>
      </c>
      <c r="B28" s="38" t="s">
        <v>2</v>
      </c>
      <c r="C28" s="38" t="s">
        <v>2</v>
      </c>
      <c r="D28" s="38" t="s">
        <v>2</v>
      </c>
      <c r="E28" s="38" t="s">
        <v>2</v>
      </c>
      <c r="F28" s="38" t="s">
        <v>2</v>
      </c>
      <c r="G28" s="38" t="s">
        <v>2</v>
      </c>
      <c r="H28" s="38" t="s">
        <v>2</v>
      </c>
      <c r="I28" s="71" t="s">
        <v>54</v>
      </c>
      <c r="J28" s="72"/>
      <c r="K28" t="s">
        <v>32</v>
      </c>
    </row>
    <row r="29" spans="1:11" x14ac:dyDescent="0.25">
      <c r="A29" s="4">
        <v>25</v>
      </c>
      <c r="B29" s="38"/>
      <c r="C29" s="38" t="s">
        <v>7</v>
      </c>
      <c r="D29" s="38"/>
      <c r="E29" s="38" t="s">
        <v>2</v>
      </c>
      <c r="F29" s="38"/>
      <c r="G29" s="38" t="s">
        <v>2</v>
      </c>
      <c r="H29" s="38" t="s">
        <v>2</v>
      </c>
      <c r="I29" s="40" t="s">
        <v>47</v>
      </c>
      <c r="J29" s="40" t="str">
        <f t="shared" ref="J29:J35" si="4">J19</f>
        <v>seg</v>
      </c>
      <c r="K29" s="60"/>
    </row>
    <row r="30" spans="1:11" x14ac:dyDescent="0.25">
      <c r="A30" s="4">
        <v>26</v>
      </c>
      <c r="B30" s="38"/>
      <c r="C30" s="38" t="s">
        <v>7</v>
      </c>
      <c r="D30" s="38" t="s">
        <v>2</v>
      </c>
      <c r="E30" s="38" t="s">
        <v>2</v>
      </c>
      <c r="F30" s="38" t="s">
        <v>2</v>
      </c>
      <c r="G30" s="38" t="s">
        <v>2</v>
      </c>
      <c r="H30" s="38"/>
      <c r="I30" s="40" t="s">
        <v>48</v>
      </c>
      <c r="J30" s="40" t="str">
        <f t="shared" si="4"/>
        <v>ter</v>
      </c>
      <c r="K30" s="60"/>
    </row>
    <row r="31" spans="1:11" x14ac:dyDescent="0.25">
      <c r="A31" s="4">
        <v>27</v>
      </c>
      <c r="B31" s="38"/>
      <c r="C31" s="38"/>
      <c r="D31" s="38"/>
      <c r="E31" s="38"/>
      <c r="F31" s="38"/>
      <c r="G31" s="38"/>
      <c r="H31" s="38"/>
      <c r="I31" s="40" t="s">
        <v>49</v>
      </c>
      <c r="J31" s="40" t="str">
        <f t="shared" si="4"/>
        <v>qua</v>
      </c>
      <c r="K31" s="60">
        <v>2</v>
      </c>
    </row>
    <row r="32" spans="1:11" x14ac:dyDescent="0.25">
      <c r="A32" s="4">
        <v>28</v>
      </c>
      <c r="B32" s="38"/>
      <c r="C32" s="38"/>
      <c r="D32" s="38"/>
      <c r="E32" s="38"/>
      <c r="F32" s="38"/>
      <c r="G32" s="38"/>
      <c r="H32" s="38"/>
      <c r="I32" s="40" t="s">
        <v>50</v>
      </c>
      <c r="J32" s="40" t="str">
        <f t="shared" si="4"/>
        <v>qui</v>
      </c>
      <c r="K32" s="60">
        <v>1</v>
      </c>
    </row>
    <row r="33" spans="1:11" x14ac:dyDescent="0.25">
      <c r="A33" s="4">
        <v>29</v>
      </c>
      <c r="B33" s="38" t="s">
        <v>2</v>
      </c>
      <c r="C33" s="38"/>
      <c r="D33" s="38" t="s">
        <v>2</v>
      </c>
      <c r="E33" s="38"/>
      <c r="F33" s="38" t="s">
        <v>2</v>
      </c>
      <c r="G33" s="38"/>
      <c r="H33" s="38" t="s">
        <v>2</v>
      </c>
      <c r="I33" s="40" t="s">
        <v>51</v>
      </c>
      <c r="J33" s="40" t="str">
        <f t="shared" si="4"/>
        <v>sex</v>
      </c>
      <c r="K33" s="60">
        <v>1</v>
      </c>
    </row>
    <row r="34" spans="1:11" x14ac:dyDescent="0.25">
      <c r="A34" s="4">
        <v>30</v>
      </c>
      <c r="B34" s="38"/>
      <c r="C34" s="38" t="s">
        <v>2</v>
      </c>
      <c r="D34" s="38" t="s">
        <v>2</v>
      </c>
      <c r="E34" s="38" t="s">
        <v>2</v>
      </c>
      <c r="F34" s="38" t="s">
        <v>2</v>
      </c>
      <c r="G34" s="38" t="s">
        <v>2</v>
      </c>
      <c r="H34" s="38"/>
      <c r="I34" s="40" t="s">
        <v>52</v>
      </c>
      <c r="J34" s="40" t="str">
        <f t="shared" si="4"/>
        <v>sáb</v>
      </c>
      <c r="K34" s="60"/>
    </row>
    <row r="35" spans="1:11" x14ac:dyDescent="0.25">
      <c r="A35" s="4">
        <v>31</v>
      </c>
      <c r="B35" s="38"/>
      <c r="C35" s="38" t="s">
        <v>2</v>
      </c>
      <c r="D35" s="38"/>
      <c r="E35" s="38" t="s">
        <v>2</v>
      </c>
      <c r="F35" s="38"/>
      <c r="G35" s="38" t="s">
        <v>2</v>
      </c>
      <c r="H35" s="38"/>
      <c r="I35" s="40" t="s">
        <v>53</v>
      </c>
      <c r="J35" s="40" t="str">
        <f t="shared" si="4"/>
        <v>dom</v>
      </c>
      <c r="K35" s="60"/>
    </row>
    <row r="36" spans="1:11" x14ac:dyDescent="0.25">
      <c r="A36" s="4">
        <v>32</v>
      </c>
      <c r="B36" s="38"/>
      <c r="C36" s="38"/>
      <c r="D36" s="38" t="s">
        <v>5</v>
      </c>
      <c r="E36" s="38" t="s">
        <v>5</v>
      </c>
      <c r="F36" s="38"/>
      <c r="G36" s="38" t="s">
        <v>2</v>
      </c>
      <c r="H36" s="38" t="s">
        <v>2</v>
      </c>
    </row>
    <row r="37" spans="1:11" x14ac:dyDescent="0.25">
      <c r="A37" s="4">
        <v>33</v>
      </c>
      <c r="B37" s="38"/>
      <c r="C37" s="38" t="s">
        <v>2</v>
      </c>
      <c r="D37" s="38" t="s">
        <v>2</v>
      </c>
      <c r="E37" s="38" t="s">
        <v>2</v>
      </c>
      <c r="F37" s="38"/>
      <c r="G37" s="38" t="s">
        <v>2</v>
      </c>
      <c r="H37" s="38"/>
    </row>
    <row r="38" spans="1:11" x14ac:dyDescent="0.25">
      <c r="A38" s="4">
        <v>34</v>
      </c>
      <c r="B38" s="38"/>
      <c r="C38" s="38"/>
      <c r="D38" s="38"/>
      <c r="E38" s="38"/>
      <c r="F38" s="38"/>
      <c r="G38" s="38"/>
      <c r="H38" s="38"/>
    </row>
    <row r="39" spans="1:11" x14ac:dyDescent="0.25">
      <c r="A39" s="4">
        <v>35</v>
      </c>
      <c r="B39" s="38" t="s">
        <v>2</v>
      </c>
      <c r="C39" s="38" t="s">
        <v>2</v>
      </c>
      <c r="D39" s="38" t="s">
        <v>2</v>
      </c>
      <c r="E39" s="38"/>
      <c r="F39" s="38" t="s">
        <v>2</v>
      </c>
      <c r="G39" s="38"/>
      <c r="H39" s="38" t="s">
        <v>2</v>
      </c>
    </row>
    <row r="40" spans="1:11" x14ac:dyDescent="0.25">
      <c r="A40" s="4">
        <v>36</v>
      </c>
      <c r="B40" s="38"/>
      <c r="C40" s="38"/>
      <c r="D40" s="38"/>
      <c r="E40" s="38"/>
      <c r="F40" s="38"/>
      <c r="G40" s="38"/>
      <c r="H40" s="38"/>
    </row>
    <row r="41" spans="1:11" x14ac:dyDescent="0.25">
      <c r="A41" s="4">
        <v>37</v>
      </c>
      <c r="B41" s="38"/>
      <c r="C41" s="38" t="s">
        <v>2</v>
      </c>
      <c r="D41" s="38"/>
      <c r="E41" s="38" t="s">
        <v>2</v>
      </c>
      <c r="F41" s="38"/>
      <c r="G41" s="38" t="s">
        <v>2</v>
      </c>
      <c r="H41" s="38"/>
    </row>
    <row r="42" spans="1:11" x14ac:dyDescent="0.25">
      <c r="A42" s="4">
        <v>38</v>
      </c>
      <c r="B42" s="38"/>
      <c r="C42" s="38"/>
      <c r="D42" s="38"/>
      <c r="E42" s="38"/>
      <c r="F42" s="38"/>
      <c r="G42" s="38"/>
      <c r="H42" s="38"/>
    </row>
    <row r="43" spans="1:11" x14ac:dyDescent="0.25">
      <c r="A43" s="4">
        <v>39</v>
      </c>
      <c r="B43" s="38"/>
      <c r="C43" s="38"/>
      <c r="D43" s="38"/>
      <c r="E43" s="38"/>
      <c r="F43" s="38"/>
      <c r="G43" s="38"/>
      <c r="H43" s="38"/>
    </row>
    <row r="44" spans="1:11" x14ac:dyDescent="0.25">
      <c r="A44" s="4">
        <v>40</v>
      </c>
      <c r="B44" s="38"/>
      <c r="C44" s="38"/>
      <c r="D44" s="38"/>
      <c r="E44" s="38"/>
      <c r="F44" s="38"/>
      <c r="G44" s="38"/>
      <c r="H44" s="38"/>
    </row>
    <row r="45" spans="1:11" x14ac:dyDescent="0.25">
      <c r="A45" s="4">
        <v>41</v>
      </c>
      <c r="B45" s="38"/>
      <c r="C45" s="38"/>
      <c r="D45" s="38"/>
      <c r="E45" s="38"/>
      <c r="F45" s="38"/>
      <c r="G45" s="38"/>
      <c r="H45" s="38"/>
    </row>
    <row r="46" spans="1:11" x14ac:dyDescent="0.25">
      <c r="A46" s="4">
        <v>42</v>
      </c>
      <c r="B46" s="38"/>
      <c r="C46" s="38"/>
      <c r="D46" s="38"/>
      <c r="E46" s="38"/>
      <c r="F46" s="38"/>
      <c r="G46" s="38"/>
      <c r="H46" s="38"/>
    </row>
    <row r="47" spans="1:11" x14ac:dyDescent="0.25">
      <c r="A47" s="4">
        <v>43</v>
      </c>
      <c r="B47" s="38" t="s">
        <v>2</v>
      </c>
      <c r="C47" s="38" t="s">
        <v>7</v>
      </c>
      <c r="D47" s="38" t="s">
        <v>7</v>
      </c>
      <c r="E47" s="38" t="s">
        <v>7</v>
      </c>
      <c r="F47" s="38" t="s">
        <v>7</v>
      </c>
      <c r="G47" s="38" t="s">
        <v>2</v>
      </c>
      <c r="H47" s="38" t="s">
        <v>2</v>
      </c>
    </row>
    <row r="48" spans="1:11" x14ac:dyDescent="0.25">
      <c r="A48" s="4">
        <v>44</v>
      </c>
      <c r="B48" s="38"/>
      <c r="C48" s="38"/>
      <c r="D48" s="38"/>
      <c r="E48" s="38"/>
      <c r="F48" s="38"/>
      <c r="G48" s="38"/>
      <c r="H48" s="38"/>
    </row>
    <row r="49" spans="1:11" x14ac:dyDescent="0.25">
      <c r="A49" s="4">
        <v>45</v>
      </c>
      <c r="B49" s="38" t="s">
        <v>2</v>
      </c>
      <c r="C49" s="38"/>
      <c r="D49" s="38" t="s">
        <v>2</v>
      </c>
      <c r="E49" s="38"/>
      <c r="F49" s="38" t="s">
        <v>2</v>
      </c>
      <c r="G49" s="38"/>
      <c r="H49" s="38" t="s">
        <v>2</v>
      </c>
    </row>
    <row r="50" spans="1:11" x14ac:dyDescent="0.25">
      <c r="A50" s="4">
        <v>46</v>
      </c>
      <c r="B50" s="38"/>
      <c r="C50" s="38" t="s">
        <v>2</v>
      </c>
      <c r="D50" s="38"/>
      <c r="E50" s="38" t="s">
        <v>7</v>
      </c>
      <c r="F50" s="38"/>
      <c r="G50" s="38" t="s">
        <v>2</v>
      </c>
      <c r="H50" s="38"/>
    </row>
    <row r="51" spans="1:11" x14ac:dyDescent="0.25">
      <c r="A51" s="4">
        <v>47</v>
      </c>
      <c r="B51" s="38" t="s">
        <v>2</v>
      </c>
      <c r="C51" s="38" t="s">
        <v>7</v>
      </c>
      <c r="D51" s="38" t="s">
        <v>2</v>
      </c>
      <c r="E51" s="38" t="s">
        <v>2</v>
      </c>
      <c r="F51" s="38" t="s">
        <v>6</v>
      </c>
      <c r="G51" s="38"/>
      <c r="H51" s="38" t="s">
        <v>2</v>
      </c>
    </row>
    <row r="52" spans="1:11" x14ac:dyDescent="0.25">
      <c r="A52" s="4">
        <v>48</v>
      </c>
      <c r="B52" s="38" t="s">
        <v>7</v>
      </c>
      <c r="C52" s="38" t="s">
        <v>7</v>
      </c>
      <c r="D52" s="38" t="s">
        <v>2</v>
      </c>
      <c r="E52" s="38"/>
      <c r="F52" s="38" t="s">
        <v>2</v>
      </c>
      <c r="G52" s="38"/>
      <c r="H52" s="38" t="s">
        <v>2</v>
      </c>
    </row>
    <row r="53" spans="1:11" x14ac:dyDescent="0.25">
      <c r="A53" s="4">
        <v>49</v>
      </c>
      <c r="B53" s="38"/>
      <c r="C53" s="38" t="s">
        <v>2</v>
      </c>
      <c r="D53" s="38" t="s">
        <v>2</v>
      </c>
      <c r="E53" s="38"/>
      <c r="F53" s="38" t="s">
        <v>6</v>
      </c>
      <c r="G53" s="38"/>
      <c r="H53" s="38" t="s">
        <v>2</v>
      </c>
      <c r="K53" t="s">
        <v>68</v>
      </c>
    </row>
    <row r="54" spans="1:11" x14ac:dyDescent="0.25">
      <c r="A54" s="4">
        <v>50</v>
      </c>
      <c r="B54" s="38" t="s">
        <v>2</v>
      </c>
      <c r="C54" s="38" t="s">
        <v>2</v>
      </c>
      <c r="D54" s="38" t="s">
        <v>2</v>
      </c>
      <c r="E54" s="38" t="s">
        <v>2</v>
      </c>
      <c r="F54" s="38" t="s">
        <v>2</v>
      </c>
      <c r="G54" s="38" t="s">
        <v>2</v>
      </c>
      <c r="H54" s="38" t="s">
        <v>2</v>
      </c>
    </row>
    <row r="55" spans="1:11" x14ac:dyDescent="0.25">
      <c r="A55" s="4">
        <v>51</v>
      </c>
      <c r="B55" s="38" t="s">
        <v>2</v>
      </c>
      <c r="C55" s="38"/>
      <c r="D55" s="38" t="s">
        <v>2</v>
      </c>
      <c r="E55" s="38"/>
      <c r="F55" s="38"/>
      <c r="G55" s="38"/>
      <c r="H55" s="38"/>
    </row>
    <row r="56" spans="1:11" x14ac:dyDescent="0.25">
      <c r="A56" s="4">
        <v>52</v>
      </c>
      <c r="B56" s="38" t="s">
        <v>2</v>
      </c>
      <c r="C56" s="38"/>
      <c r="D56" s="38" t="s">
        <v>2</v>
      </c>
      <c r="E56" s="38" t="s">
        <v>2</v>
      </c>
      <c r="F56" s="38" t="s">
        <v>2</v>
      </c>
      <c r="G56" s="38"/>
      <c r="H56" s="38" t="s">
        <v>2</v>
      </c>
    </row>
    <row r="57" spans="1:11" x14ac:dyDescent="0.25">
      <c r="A57" s="4">
        <v>53</v>
      </c>
      <c r="B57" s="38"/>
      <c r="C57" s="38"/>
      <c r="D57" s="38"/>
      <c r="E57" s="38" t="s">
        <v>2</v>
      </c>
      <c r="F57" s="38"/>
      <c r="G57" s="38"/>
      <c r="H57" s="38"/>
    </row>
    <row r="58" spans="1:11" x14ac:dyDescent="0.25">
      <c r="A58" s="4">
        <v>54</v>
      </c>
      <c r="B58" s="38"/>
      <c r="C58" s="38"/>
      <c r="D58" s="38"/>
      <c r="E58" s="38"/>
      <c r="F58" s="38"/>
      <c r="G58" s="38" t="s">
        <v>2</v>
      </c>
      <c r="H58" s="38" t="s">
        <v>2</v>
      </c>
    </row>
    <row r="59" spans="1:11" x14ac:dyDescent="0.25">
      <c r="A59" s="4">
        <v>55</v>
      </c>
      <c r="B59" s="38"/>
      <c r="C59" s="38"/>
      <c r="D59" s="38"/>
      <c r="E59" s="38"/>
      <c r="F59" s="38"/>
      <c r="G59" s="38"/>
      <c r="H59" s="38" t="s">
        <v>2</v>
      </c>
    </row>
    <row r="60" spans="1:11" x14ac:dyDescent="0.25">
      <c r="A60" s="4">
        <v>56</v>
      </c>
      <c r="B60" s="38" t="s">
        <v>2</v>
      </c>
      <c r="C60" s="38"/>
      <c r="D60" s="38"/>
      <c r="E60" s="38"/>
      <c r="F60" s="38"/>
      <c r="G60" s="38"/>
      <c r="H60" s="38"/>
    </row>
    <row r="61" spans="1:11" x14ac:dyDescent="0.25">
      <c r="A61" s="4">
        <v>73</v>
      </c>
      <c r="B61" s="38"/>
      <c r="C61" s="38" t="s">
        <v>2</v>
      </c>
      <c r="D61" s="38"/>
      <c r="E61" s="38"/>
      <c r="F61" s="38"/>
      <c r="G61" s="38" t="s">
        <v>2</v>
      </c>
      <c r="H61" s="38"/>
    </row>
    <row r="62" spans="1:11" x14ac:dyDescent="0.25">
      <c r="A62" s="4">
        <v>74</v>
      </c>
      <c r="B62" s="38"/>
      <c r="C62" s="38"/>
      <c r="D62" s="38" t="s">
        <v>2</v>
      </c>
      <c r="E62" s="38"/>
      <c r="F62" s="38"/>
      <c r="G62" s="38"/>
      <c r="H62" s="38" t="s">
        <v>2</v>
      </c>
    </row>
    <row r="63" spans="1:11" x14ac:dyDescent="0.25">
      <c r="A63" s="4">
        <v>101</v>
      </c>
      <c r="B63" s="39"/>
      <c r="C63" s="38"/>
      <c r="D63" s="38" t="s">
        <v>2</v>
      </c>
      <c r="E63" s="38" t="s">
        <v>2</v>
      </c>
      <c r="F63" s="38" t="s">
        <v>2</v>
      </c>
      <c r="G63" s="38" t="s">
        <v>2</v>
      </c>
      <c r="H63" s="38"/>
    </row>
    <row r="64" spans="1:11" x14ac:dyDescent="0.25">
      <c r="A64" s="4">
        <v>102</v>
      </c>
      <c r="B64" s="38"/>
      <c r="C64" s="38"/>
      <c r="D64" s="38"/>
      <c r="E64" s="38"/>
      <c r="F64" s="38"/>
      <c r="G64" s="38"/>
      <c r="H64" s="38"/>
    </row>
    <row r="65" spans="1:8" x14ac:dyDescent="0.25">
      <c r="A65" s="4">
        <v>103</v>
      </c>
      <c r="B65" s="38"/>
      <c r="C65" s="38" t="s">
        <v>2</v>
      </c>
      <c r="D65" s="38"/>
      <c r="E65" s="38" t="s">
        <v>2</v>
      </c>
      <c r="F65" s="38"/>
      <c r="G65" s="38" t="s">
        <v>2</v>
      </c>
      <c r="H65" s="38"/>
    </row>
    <row r="66" spans="1:8" x14ac:dyDescent="0.25">
      <c r="A66" s="4">
        <v>104</v>
      </c>
      <c r="B66" s="38" t="s">
        <v>2</v>
      </c>
      <c r="C66" s="38" t="s">
        <v>2</v>
      </c>
      <c r="D66" s="38"/>
      <c r="E66" s="38" t="s">
        <v>2</v>
      </c>
      <c r="F66" s="38"/>
      <c r="G66" s="38" t="s">
        <v>2</v>
      </c>
      <c r="H66" s="38"/>
    </row>
    <row r="67" spans="1:8" x14ac:dyDescent="0.25">
      <c r="A67" s="4">
        <v>105</v>
      </c>
      <c r="B67" s="38"/>
      <c r="C67" s="38"/>
      <c r="D67" s="38"/>
      <c r="E67" s="38"/>
      <c r="F67" s="38"/>
      <c r="G67" s="38"/>
      <c r="H67" s="38"/>
    </row>
    <row r="68" spans="1:8" x14ac:dyDescent="0.25">
      <c r="A68" s="4">
        <v>106</v>
      </c>
      <c r="B68" s="38"/>
      <c r="C68" s="38"/>
      <c r="D68" s="38"/>
      <c r="E68" s="38"/>
      <c r="F68" s="38"/>
      <c r="G68" s="38"/>
      <c r="H68" s="38"/>
    </row>
    <row r="69" spans="1:8" x14ac:dyDescent="0.25">
      <c r="A69" s="4">
        <v>107</v>
      </c>
      <c r="B69" s="38"/>
      <c r="C69" s="38"/>
      <c r="D69" s="38"/>
      <c r="E69" s="38"/>
      <c r="F69" s="38"/>
      <c r="G69" s="38"/>
      <c r="H69" s="38"/>
    </row>
    <row r="70" spans="1:8" x14ac:dyDescent="0.25">
      <c r="A70" s="4">
        <v>108</v>
      </c>
      <c r="B70" s="38"/>
      <c r="C70" s="38"/>
      <c r="D70" s="38"/>
      <c r="E70" s="38"/>
      <c r="F70" s="38"/>
      <c r="G70" s="38"/>
      <c r="H70" s="38"/>
    </row>
    <row r="71" spans="1:8" x14ac:dyDescent="0.25">
      <c r="A71" s="4">
        <v>109</v>
      </c>
      <c r="B71" s="38"/>
      <c r="C71" s="38"/>
      <c r="D71" s="38"/>
      <c r="E71" s="38"/>
      <c r="F71" s="38"/>
      <c r="G71" s="38"/>
      <c r="H71" s="38"/>
    </row>
    <row r="72" spans="1:8" x14ac:dyDescent="0.25">
      <c r="A72" s="4">
        <v>110</v>
      </c>
      <c r="B72" s="38"/>
      <c r="C72" s="38"/>
      <c r="D72" s="38"/>
      <c r="E72" s="38"/>
      <c r="F72" s="38"/>
      <c r="G72" s="38"/>
      <c r="H72" s="38"/>
    </row>
    <row r="73" spans="1:8" x14ac:dyDescent="0.25">
      <c r="A73" s="4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4">
        <v>112</v>
      </c>
      <c r="B74" s="38" t="s">
        <v>2</v>
      </c>
      <c r="C74" s="38"/>
      <c r="D74" s="38" t="s">
        <v>2</v>
      </c>
      <c r="E74" s="38" t="s">
        <v>2</v>
      </c>
      <c r="F74" s="38"/>
      <c r="G74" s="38" t="s">
        <v>2</v>
      </c>
      <c r="H74" s="38" t="s">
        <v>2</v>
      </c>
    </row>
    <row r="75" spans="1:8" x14ac:dyDescent="0.25">
      <c r="A75" s="4">
        <v>113</v>
      </c>
      <c r="B75" s="38" t="s">
        <v>2</v>
      </c>
      <c r="C75" s="38" t="s">
        <v>2</v>
      </c>
      <c r="D75" s="38"/>
      <c r="E75" s="38"/>
      <c r="F75" s="38"/>
      <c r="G75" s="38" t="s">
        <v>2</v>
      </c>
      <c r="H75" s="38" t="s">
        <v>2</v>
      </c>
    </row>
    <row r="76" spans="1:8" x14ac:dyDescent="0.25">
      <c r="A76" s="4">
        <v>114</v>
      </c>
      <c r="B76" s="38" t="s">
        <v>2</v>
      </c>
      <c r="C76" s="38"/>
      <c r="D76" s="38" t="s">
        <v>2</v>
      </c>
      <c r="E76" s="38" t="s">
        <v>2</v>
      </c>
      <c r="F76" s="38"/>
      <c r="G76" s="38" t="s">
        <v>2</v>
      </c>
      <c r="H76" s="38" t="s">
        <v>2</v>
      </c>
    </row>
    <row r="77" spans="1:8" x14ac:dyDescent="0.25">
      <c r="A77" s="4">
        <v>115</v>
      </c>
      <c r="B77" s="38"/>
      <c r="C77" s="38"/>
      <c r="D77" s="38" t="s">
        <v>2</v>
      </c>
      <c r="E77" s="38"/>
      <c r="F77" s="38"/>
      <c r="G77" s="38"/>
      <c r="H77" s="38" t="s">
        <v>2</v>
      </c>
    </row>
    <row r="78" spans="1:8" x14ac:dyDescent="0.25">
      <c r="A78" s="4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4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4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4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4">
        <v>120</v>
      </c>
      <c r="B82" s="38" t="s">
        <v>6</v>
      </c>
      <c r="C82" s="38" t="s">
        <v>6</v>
      </c>
      <c r="D82" s="38" t="s">
        <v>6</v>
      </c>
      <c r="E82" s="38" t="s">
        <v>2</v>
      </c>
      <c r="F82" s="38" t="s">
        <v>2</v>
      </c>
      <c r="G82" s="38"/>
      <c r="H82" s="38" t="s">
        <v>2</v>
      </c>
    </row>
    <row r="83" spans="1:8" x14ac:dyDescent="0.25">
      <c r="A83" s="4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4">
        <v>122</v>
      </c>
      <c r="B84" s="38" t="s">
        <v>6</v>
      </c>
      <c r="C84" s="38" t="s">
        <v>6</v>
      </c>
      <c r="D84" s="38" t="s">
        <v>6</v>
      </c>
      <c r="E84" s="38" t="s">
        <v>2</v>
      </c>
      <c r="F84" s="38"/>
      <c r="G84" s="38" t="s">
        <v>2</v>
      </c>
      <c r="H84" s="38"/>
    </row>
    <row r="85" spans="1:8" x14ac:dyDescent="0.25">
      <c r="A85" s="4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4">
        <v>124</v>
      </c>
      <c r="B86" s="38" t="s">
        <v>6</v>
      </c>
      <c r="C86" s="38" t="s">
        <v>6</v>
      </c>
      <c r="D86" s="38" t="s">
        <v>6</v>
      </c>
      <c r="E86" s="38" t="s">
        <v>2</v>
      </c>
      <c r="F86" s="38" t="s">
        <v>2</v>
      </c>
      <c r="G86" s="38"/>
      <c r="H86" s="38" t="s">
        <v>2</v>
      </c>
    </row>
    <row r="87" spans="1:8" x14ac:dyDescent="0.25">
      <c r="A87" s="4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4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4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4">
        <v>128</v>
      </c>
      <c r="B90" s="38"/>
      <c r="C90" s="38"/>
      <c r="D90" s="38"/>
      <c r="E90" s="38"/>
      <c r="F90" s="38"/>
      <c r="G90" s="38"/>
      <c r="H90" s="38"/>
    </row>
    <row r="91" spans="1:8" x14ac:dyDescent="0.25">
      <c r="A91" s="4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4">
        <v>130</v>
      </c>
      <c r="B92" s="38"/>
      <c r="C92" s="38"/>
      <c r="D92" s="38"/>
      <c r="E92" s="38"/>
      <c r="F92" s="38"/>
      <c r="G92" s="38"/>
      <c r="H92" s="38"/>
    </row>
    <row r="93" spans="1:8" x14ac:dyDescent="0.25">
      <c r="A93" s="4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4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4">
        <v>133</v>
      </c>
      <c r="B95" s="38" t="s">
        <v>6</v>
      </c>
      <c r="C95" s="38" t="s">
        <v>6</v>
      </c>
      <c r="D95" s="38" t="s">
        <v>6</v>
      </c>
      <c r="E95" s="38" t="s">
        <v>2</v>
      </c>
      <c r="F95" s="38" t="s">
        <v>2</v>
      </c>
      <c r="G95" s="38" t="s">
        <v>2</v>
      </c>
      <c r="H95" s="38"/>
    </row>
  </sheetData>
  <mergeCells count="5">
    <mergeCell ref="A1:H2"/>
    <mergeCell ref="I17:K17"/>
    <mergeCell ref="I18:J18"/>
    <mergeCell ref="I27:K27"/>
    <mergeCell ref="I28:J28"/>
  </mergeCells>
  <conditionalFormatting sqref="I5:I16 I29:I60 I19:I26 F63:H65 F61:I62 B5:E65 B66:H95">
    <cfRule type="cellIs" dxfId="642" priority="18" operator="equal">
      <formula>"Energia"</formula>
    </cfRule>
    <cfRule type="cellIs" dxfId="641" priority="20" operator="equal">
      <formula>"Operação"</formula>
    </cfRule>
    <cfRule type="cellIs" dxfId="640" priority="21" operator="equal">
      <formula>"Chuva"</formula>
    </cfRule>
    <cfRule type="cellIs" dxfId="639" priority="22" operator="equal">
      <formula>"Elétrico"</formula>
    </cfRule>
    <cfRule type="cellIs" dxfId="638" priority="23" operator="equal">
      <formula>"Mecânico"</formula>
    </cfRule>
    <cfRule type="cellIs" dxfId="637" priority="24" operator="equal">
      <formula>"Ok"</formula>
    </cfRule>
  </conditionalFormatting>
  <conditionalFormatting sqref="I5:I16 I29:I60 I19:I26 F63:H65 F61:I62 B5:E65 B66:H95">
    <cfRule type="cellIs" dxfId="636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56 C13 B5:E11">
    <cfRule type="cellIs" dxfId="635" priority="16" operator="equal">
      <formula>"Energia"</formula>
    </cfRule>
  </conditionalFormatting>
  <conditionalFormatting sqref="G5:H60 F53">
    <cfRule type="cellIs" dxfId="634" priority="9" operator="equal">
      <formula>"Energia"</formula>
    </cfRule>
    <cfRule type="cellIs" dxfId="633" priority="11" operator="equal">
      <formula>"Operação"</formula>
    </cfRule>
    <cfRule type="cellIs" dxfId="632" priority="12" operator="equal">
      <formula>"Chuva"</formula>
    </cfRule>
    <cfRule type="cellIs" dxfId="631" priority="13" operator="equal">
      <formula>"Elétrico"</formula>
    </cfRule>
    <cfRule type="cellIs" dxfId="630" priority="14" operator="equal">
      <formula>"Mecânico"</formula>
    </cfRule>
    <cfRule type="cellIs" dxfId="629" priority="15" operator="equal">
      <formula>"Ok"</formula>
    </cfRule>
  </conditionalFormatting>
  <conditionalFormatting sqref="G5:H60 F53">
    <cfRule type="cellIs" dxfId="628" priority="10" operator="equal">
      <formula>"Feito"</formula>
    </cfRule>
  </conditionalFormatting>
  <conditionalFormatting sqref="F5:F11">
    <cfRule type="cellIs" dxfId="627" priority="8" operator="equal">
      <formula>"Energia"</formula>
    </cfRule>
  </conditionalFormatting>
  <conditionalFormatting sqref="F5:F52 F54:F60">
    <cfRule type="cellIs" dxfId="626" priority="1" operator="equal">
      <formula>"Energia"</formula>
    </cfRule>
    <cfRule type="cellIs" dxfId="625" priority="3" operator="equal">
      <formula>"Operação"</formula>
    </cfRule>
    <cfRule type="cellIs" dxfId="624" priority="4" operator="equal">
      <formula>"Chuva"</formula>
    </cfRule>
    <cfRule type="cellIs" dxfId="623" priority="5" operator="equal">
      <formula>"Elétrico"</formula>
    </cfRule>
    <cfRule type="cellIs" dxfId="622" priority="6" operator="equal">
      <formula>"Mecânico"</formula>
    </cfRule>
    <cfRule type="cellIs" dxfId="621" priority="7" operator="equal">
      <formula>"Ok"</formula>
    </cfRule>
  </conditionalFormatting>
  <conditionalFormatting sqref="F5:F52 F54:F60">
    <cfRule type="cellIs" dxfId="620" priority="2" operator="equal">
      <formula>"Feito"</formula>
    </cfRule>
  </conditionalFormatting>
  <dataValidations count="1">
    <dataValidation type="list" allowBlank="1" showInputMessage="1" showErrorMessage="1" sqref="I5:I16 J36:J60 I29:I62 I19:I26 B5:H95" xr:uid="{BB9B0D35-7957-409F-BEC8-05096F0FCD3B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BD31-205D-46EB-B993-B050877B5EA2}">
  <sheetPr>
    <tabColor theme="8"/>
  </sheetPr>
  <dimension ref="A1:Q95"/>
  <sheetViews>
    <sheetView showGridLines="0" zoomScaleNormal="100" workbookViewId="0">
      <pane ySplit="4" topLeftCell="A5" activePane="bottomLeft" state="frozen"/>
      <selection pane="bottomLeft" activeCell="L92" sqref="L92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73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4" t="s">
        <v>16</v>
      </c>
      <c r="B3" s="23">
        <v>44795</v>
      </c>
      <c r="C3" s="23">
        <f>B3+1</f>
        <v>44796</v>
      </c>
      <c r="D3" s="23">
        <f t="shared" ref="D3:H3" si="0">C3+1</f>
        <v>44797</v>
      </c>
      <c r="E3" s="23">
        <f t="shared" si="0"/>
        <v>44798</v>
      </c>
      <c r="F3" s="23">
        <f t="shared" si="0"/>
        <v>44799</v>
      </c>
      <c r="G3" s="23">
        <f t="shared" si="0"/>
        <v>44800</v>
      </c>
      <c r="H3" s="25">
        <f t="shared" si="0"/>
        <v>44801</v>
      </c>
      <c r="I3" s="3"/>
    </row>
    <row r="4" spans="1:17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  <c r="Q4" t="s">
        <v>34</v>
      </c>
    </row>
    <row r="5" spans="1:17" x14ac:dyDescent="0.25">
      <c r="A5" s="4">
        <v>1</v>
      </c>
      <c r="B5" s="38"/>
      <c r="C5" s="38" t="s">
        <v>2</v>
      </c>
      <c r="D5" s="38" t="s">
        <v>2</v>
      </c>
      <c r="E5" s="38" t="s">
        <v>2</v>
      </c>
      <c r="F5" s="38" t="s">
        <v>2</v>
      </c>
      <c r="G5" s="38" t="s">
        <v>2</v>
      </c>
      <c r="H5" s="38" t="s">
        <v>2</v>
      </c>
      <c r="J5" s="48" t="s">
        <v>2</v>
      </c>
      <c r="K5">
        <f>COUNTIF($B$5:$H$95,J5)</f>
        <v>159</v>
      </c>
      <c r="L5" s="34">
        <f t="shared" ref="L5:L10" si="2">K5/$K$11</f>
        <v>0.84126984126984128</v>
      </c>
      <c r="M5" s="52">
        <f>B3</f>
        <v>44795</v>
      </c>
      <c r="O5" t="s">
        <v>44</v>
      </c>
      <c r="P5">
        <v>181</v>
      </c>
      <c r="Q5" s="52">
        <f>M5</f>
        <v>44795</v>
      </c>
    </row>
    <row r="6" spans="1:17" x14ac:dyDescent="0.25">
      <c r="A6" s="4">
        <v>2</v>
      </c>
      <c r="B6" s="38"/>
      <c r="C6" s="38" t="s">
        <v>2</v>
      </c>
      <c r="D6" s="38"/>
      <c r="E6" s="38"/>
      <c r="F6" s="38" t="s">
        <v>2</v>
      </c>
      <c r="G6" s="38"/>
      <c r="H6" s="38"/>
      <c r="J6" s="42" t="s">
        <v>5</v>
      </c>
      <c r="K6">
        <f>COUNTIF($B$5:$H$95,J6)</f>
        <v>8</v>
      </c>
      <c r="L6" s="35">
        <f t="shared" si="2"/>
        <v>4.2328042328042326E-2</v>
      </c>
      <c r="O6" t="s">
        <v>46</v>
      </c>
      <c r="P6">
        <f>SUM(K19:K25)</f>
        <v>13</v>
      </c>
    </row>
    <row r="7" spans="1:17" x14ac:dyDescent="0.25">
      <c r="A7" s="4">
        <v>3</v>
      </c>
      <c r="B7" s="38"/>
      <c r="C7" s="38"/>
      <c r="D7" s="38" t="s">
        <v>2</v>
      </c>
      <c r="E7" s="38"/>
      <c r="F7" s="38"/>
      <c r="G7" s="38" t="s">
        <v>2</v>
      </c>
      <c r="H7" s="38"/>
      <c r="J7" s="46" t="s">
        <v>6</v>
      </c>
      <c r="K7">
        <f t="shared" ref="K7:K10" si="3">COUNTIF($B$5:$H$95,J7)</f>
        <v>4</v>
      </c>
      <c r="L7" s="35">
        <f t="shared" si="2"/>
        <v>2.1164021164021163E-2</v>
      </c>
      <c r="O7" t="s">
        <v>45</v>
      </c>
      <c r="P7">
        <f>SUM(K29:K35)</f>
        <v>8</v>
      </c>
    </row>
    <row r="8" spans="1:17" x14ac:dyDescent="0.25">
      <c r="A8" s="4">
        <v>4</v>
      </c>
      <c r="B8" s="38"/>
      <c r="C8" s="38"/>
      <c r="D8" s="38" t="s">
        <v>2</v>
      </c>
      <c r="E8" s="38"/>
      <c r="F8" s="38"/>
      <c r="G8" s="38" t="s">
        <v>2</v>
      </c>
      <c r="H8" s="38"/>
      <c r="J8" s="47" t="s">
        <v>4</v>
      </c>
      <c r="K8">
        <f t="shared" si="3"/>
        <v>0</v>
      </c>
      <c r="L8" s="35">
        <f t="shared" si="2"/>
        <v>0</v>
      </c>
      <c r="O8" s="65" t="s">
        <v>17</v>
      </c>
      <c r="P8" s="65">
        <f>P5+P6-P7</f>
        <v>186</v>
      </c>
    </row>
    <row r="9" spans="1:17" x14ac:dyDescent="0.25">
      <c r="A9" s="4">
        <v>5</v>
      </c>
      <c r="B9" s="38"/>
      <c r="C9" s="38"/>
      <c r="D9" s="38"/>
      <c r="E9" s="38"/>
      <c r="F9" s="38"/>
      <c r="G9" s="38"/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7" x14ac:dyDescent="0.25">
      <c r="A10" s="4">
        <v>6</v>
      </c>
      <c r="B10" s="38"/>
      <c r="C10" s="38"/>
      <c r="D10" s="38"/>
      <c r="E10" s="38"/>
      <c r="F10" s="38"/>
      <c r="G10" s="38"/>
      <c r="H10" s="38"/>
      <c r="J10" s="43" t="s">
        <v>7</v>
      </c>
      <c r="K10">
        <f t="shared" si="3"/>
        <v>18</v>
      </c>
      <c r="L10" s="37">
        <f t="shared" si="2"/>
        <v>9.5238095238095233E-2</v>
      </c>
      <c r="O10" t="s">
        <v>65</v>
      </c>
      <c r="P10">
        <f>P8</f>
        <v>186</v>
      </c>
    </row>
    <row r="11" spans="1:17" x14ac:dyDescent="0.25">
      <c r="A11" s="4">
        <v>7</v>
      </c>
      <c r="B11" s="38"/>
      <c r="C11" s="38" t="s">
        <v>7</v>
      </c>
      <c r="D11" s="38"/>
      <c r="E11" s="38"/>
      <c r="F11" s="38"/>
      <c r="G11" s="38"/>
      <c r="H11" s="38"/>
      <c r="J11" s="44" t="s">
        <v>17</v>
      </c>
      <c r="K11">
        <f>SUM(K5:K10)</f>
        <v>189</v>
      </c>
    </row>
    <row r="12" spans="1:17" x14ac:dyDescent="0.25">
      <c r="A12" s="4">
        <v>8</v>
      </c>
      <c r="B12" s="38"/>
      <c r="C12" s="38" t="s">
        <v>2</v>
      </c>
      <c r="D12" s="38"/>
      <c r="E12" s="38"/>
      <c r="F12" s="38" t="s">
        <v>2</v>
      </c>
      <c r="G12" s="38" t="s">
        <v>2</v>
      </c>
      <c r="H12" s="38" t="s">
        <v>2</v>
      </c>
    </row>
    <row r="13" spans="1:17" x14ac:dyDescent="0.25">
      <c r="A13" s="4">
        <v>9</v>
      </c>
      <c r="B13" s="38"/>
      <c r="C13" s="38" t="s">
        <v>2</v>
      </c>
      <c r="D13" s="38"/>
      <c r="E13" s="38"/>
      <c r="F13" s="38"/>
      <c r="G13" s="38" t="s">
        <v>2</v>
      </c>
      <c r="H13" s="38"/>
    </row>
    <row r="14" spans="1:17" x14ac:dyDescent="0.25">
      <c r="A14" s="4">
        <v>10</v>
      </c>
      <c r="B14" s="38" t="s">
        <v>2</v>
      </c>
      <c r="C14" s="38"/>
      <c r="D14" s="38" t="s">
        <v>2</v>
      </c>
      <c r="E14" s="38"/>
      <c r="F14" s="38" t="s">
        <v>2</v>
      </c>
      <c r="G14" s="38"/>
      <c r="H14" s="38" t="s">
        <v>2</v>
      </c>
    </row>
    <row r="15" spans="1:17" x14ac:dyDescent="0.25">
      <c r="A15" s="4">
        <v>11</v>
      </c>
      <c r="B15" s="38" t="s">
        <v>7</v>
      </c>
      <c r="C15" s="38" t="s">
        <v>7</v>
      </c>
      <c r="D15" s="38"/>
      <c r="E15" s="38" t="s">
        <v>2</v>
      </c>
      <c r="F15" s="38"/>
      <c r="G15" s="38" t="s">
        <v>2</v>
      </c>
      <c r="H15" s="38" t="s">
        <v>2</v>
      </c>
    </row>
    <row r="16" spans="1:17" x14ac:dyDescent="0.25">
      <c r="A16" s="4">
        <v>12</v>
      </c>
      <c r="B16" s="38"/>
      <c r="C16" s="38" t="s">
        <v>2</v>
      </c>
      <c r="D16" s="38"/>
      <c r="E16" s="38" t="s">
        <v>5</v>
      </c>
      <c r="F16" s="38"/>
      <c r="G16" s="38" t="s">
        <v>2</v>
      </c>
      <c r="H16" s="38"/>
      <c r="O16" s="61"/>
    </row>
    <row r="17" spans="1:11" x14ac:dyDescent="0.25">
      <c r="A17" s="4">
        <v>13</v>
      </c>
      <c r="B17" s="38" t="s">
        <v>2</v>
      </c>
      <c r="C17" s="38"/>
      <c r="D17" s="38" t="s">
        <v>2</v>
      </c>
      <c r="E17" s="38"/>
      <c r="F17" s="38" t="s">
        <v>2</v>
      </c>
      <c r="G17" s="38"/>
      <c r="H17" s="38"/>
      <c r="I17" s="71" t="s">
        <v>46</v>
      </c>
      <c r="J17" s="72"/>
      <c r="K17" s="72"/>
    </row>
    <row r="18" spans="1:11" x14ac:dyDescent="0.25">
      <c r="A18" s="4">
        <v>14</v>
      </c>
      <c r="B18" s="38" t="s">
        <v>2</v>
      </c>
      <c r="C18" s="38" t="s">
        <v>2</v>
      </c>
      <c r="D18" s="38" t="s">
        <v>2</v>
      </c>
      <c r="E18" s="38" t="s">
        <v>2</v>
      </c>
      <c r="F18" s="38" t="s">
        <v>2</v>
      </c>
      <c r="G18" s="38" t="s">
        <v>2</v>
      </c>
      <c r="H18" s="38" t="s">
        <v>2</v>
      </c>
      <c r="I18" s="71" t="s">
        <v>54</v>
      </c>
      <c r="J18" s="72"/>
      <c r="K18" t="s">
        <v>32</v>
      </c>
    </row>
    <row r="19" spans="1:11" x14ac:dyDescent="0.25">
      <c r="A19" s="4">
        <v>15</v>
      </c>
      <c r="B19" s="38"/>
      <c r="C19" s="38"/>
      <c r="D19" s="38"/>
      <c r="E19" s="38"/>
      <c r="F19" s="38"/>
      <c r="G19" s="38"/>
      <c r="H19" s="38"/>
      <c r="I19" s="40" t="s">
        <v>47</v>
      </c>
      <c r="J19" s="40" t="str">
        <f>TEXT(B3,"ddd")</f>
        <v>seg</v>
      </c>
      <c r="K19" s="60">
        <v>1</v>
      </c>
    </row>
    <row r="20" spans="1:11" x14ac:dyDescent="0.25">
      <c r="A20" s="4">
        <v>16</v>
      </c>
      <c r="B20" s="38"/>
      <c r="C20" s="38"/>
      <c r="D20" s="38"/>
      <c r="E20" s="38"/>
      <c r="F20" s="38"/>
      <c r="G20" s="38"/>
      <c r="H20" s="38"/>
      <c r="I20" s="40" t="s">
        <v>48</v>
      </c>
      <c r="J20" s="40" t="str">
        <f>TEXT(C3,"ddd")</f>
        <v>ter</v>
      </c>
      <c r="K20" s="60">
        <v>2</v>
      </c>
    </row>
    <row r="21" spans="1:11" x14ac:dyDescent="0.25">
      <c r="A21" s="4">
        <v>17</v>
      </c>
      <c r="B21" s="38"/>
      <c r="C21" s="38"/>
      <c r="D21" s="38"/>
      <c r="E21" s="38"/>
      <c r="F21" s="38"/>
      <c r="G21" s="38"/>
      <c r="H21" s="38"/>
      <c r="I21" s="40" t="s">
        <v>49</v>
      </c>
      <c r="J21" s="40" t="str">
        <f>TEXT(D3,"ddd")</f>
        <v>qua</v>
      </c>
      <c r="K21" s="60">
        <v>2</v>
      </c>
    </row>
    <row r="22" spans="1:11" x14ac:dyDescent="0.25">
      <c r="A22" s="4">
        <v>18</v>
      </c>
      <c r="B22" s="38"/>
      <c r="C22" s="38"/>
      <c r="D22" s="38"/>
      <c r="E22" s="38"/>
      <c r="F22" s="38"/>
      <c r="G22" s="38"/>
      <c r="H22" s="38"/>
      <c r="I22" s="40" t="s">
        <v>50</v>
      </c>
      <c r="J22" s="40" t="str">
        <f>TEXT(E3,"ddd")</f>
        <v>qui</v>
      </c>
      <c r="K22" s="60">
        <v>2</v>
      </c>
    </row>
    <row r="23" spans="1:11" x14ac:dyDescent="0.25">
      <c r="A23" s="4">
        <v>19</v>
      </c>
      <c r="B23" s="38" t="s">
        <v>5</v>
      </c>
      <c r="C23" s="38"/>
      <c r="D23" s="38"/>
      <c r="E23" s="38"/>
      <c r="F23" s="38"/>
      <c r="G23" s="38" t="s">
        <v>2</v>
      </c>
      <c r="H23" s="38"/>
      <c r="I23" s="40" t="s">
        <v>51</v>
      </c>
      <c r="J23" s="40" t="str">
        <f>TEXT(F3,"ddd")</f>
        <v>sex</v>
      </c>
      <c r="K23" s="60">
        <v>2</v>
      </c>
    </row>
    <row r="24" spans="1:11" x14ac:dyDescent="0.25">
      <c r="A24" s="4">
        <v>20</v>
      </c>
      <c r="B24" s="38"/>
      <c r="C24" s="38"/>
      <c r="D24" s="38"/>
      <c r="E24" s="38"/>
      <c r="F24" s="38"/>
      <c r="G24" s="38"/>
      <c r="H24" s="38"/>
      <c r="I24" s="40" t="s">
        <v>52</v>
      </c>
      <c r="J24" s="40" t="str">
        <f>TEXT(G3,"ddd")</f>
        <v>sáb</v>
      </c>
      <c r="K24" s="60">
        <v>3</v>
      </c>
    </row>
    <row r="25" spans="1:11" x14ac:dyDescent="0.25">
      <c r="A25" s="4">
        <v>21</v>
      </c>
      <c r="B25" s="38"/>
      <c r="C25" s="38"/>
      <c r="D25" s="38"/>
      <c r="E25" s="38"/>
      <c r="F25" s="38"/>
      <c r="G25" s="38"/>
      <c r="H25" s="38"/>
      <c r="I25" s="40" t="s">
        <v>53</v>
      </c>
      <c r="J25" s="40" t="str">
        <f>TEXT(H3,"ddd")</f>
        <v>dom</v>
      </c>
      <c r="K25" s="60">
        <v>1</v>
      </c>
    </row>
    <row r="26" spans="1:11" x14ac:dyDescent="0.25">
      <c r="A26" s="4">
        <v>22</v>
      </c>
      <c r="B26" s="38"/>
      <c r="C26" s="38"/>
      <c r="D26" s="38"/>
      <c r="E26" s="38"/>
      <c r="F26" s="38"/>
      <c r="G26" s="38"/>
      <c r="H26" s="38"/>
    </row>
    <row r="27" spans="1:11" x14ac:dyDescent="0.25">
      <c r="A27" s="4">
        <v>23</v>
      </c>
      <c r="B27" s="38"/>
      <c r="C27" s="38" t="s">
        <v>2</v>
      </c>
      <c r="D27" s="38"/>
      <c r="E27" s="38" t="s">
        <v>2</v>
      </c>
      <c r="F27" s="38"/>
      <c r="G27" s="38" t="s">
        <v>2</v>
      </c>
      <c r="H27" s="38"/>
      <c r="I27" s="71" t="s">
        <v>45</v>
      </c>
      <c r="J27" s="72"/>
      <c r="K27" s="72"/>
    </row>
    <row r="28" spans="1:11" x14ac:dyDescent="0.25">
      <c r="A28" s="4">
        <v>24</v>
      </c>
      <c r="B28" s="38" t="s">
        <v>2</v>
      </c>
      <c r="C28" s="38" t="s">
        <v>2</v>
      </c>
      <c r="D28" s="38" t="s">
        <v>2</v>
      </c>
      <c r="E28" s="38" t="s">
        <v>2</v>
      </c>
      <c r="F28" s="38" t="s">
        <v>2</v>
      </c>
      <c r="G28" s="38" t="s">
        <v>2</v>
      </c>
      <c r="H28" s="38" t="s">
        <v>2</v>
      </c>
      <c r="I28" s="71" t="s">
        <v>54</v>
      </c>
      <c r="J28" s="72"/>
      <c r="K28" t="s">
        <v>32</v>
      </c>
    </row>
    <row r="29" spans="1:11" x14ac:dyDescent="0.25">
      <c r="A29" s="4">
        <v>25</v>
      </c>
      <c r="B29" s="38" t="s">
        <v>2</v>
      </c>
      <c r="C29" s="38"/>
      <c r="D29" s="38" t="s">
        <v>2</v>
      </c>
      <c r="E29" s="38"/>
      <c r="F29" s="38" t="s">
        <v>2</v>
      </c>
      <c r="G29" s="38"/>
      <c r="H29" s="38" t="s">
        <v>2</v>
      </c>
      <c r="I29" s="40" t="s">
        <v>47</v>
      </c>
      <c r="J29" s="40" t="str">
        <f t="shared" ref="J29:J35" si="4">J19</f>
        <v>seg</v>
      </c>
      <c r="K29" s="60"/>
    </row>
    <row r="30" spans="1:11" x14ac:dyDescent="0.25">
      <c r="A30" s="4">
        <v>26</v>
      </c>
      <c r="B30" s="38" t="s">
        <v>2</v>
      </c>
      <c r="C30" s="38" t="s">
        <v>2</v>
      </c>
      <c r="D30" s="38" t="s">
        <v>2</v>
      </c>
      <c r="E30" s="38" t="s">
        <v>2</v>
      </c>
      <c r="F30" s="38" t="s">
        <v>2</v>
      </c>
      <c r="G30" s="38"/>
      <c r="H30" s="38" t="s">
        <v>2</v>
      </c>
      <c r="I30" s="40" t="s">
        <v>48</v>
      </c>
      <c r="J30" s="40" t="str">
        <f t="shared" si="4"/>
        <v>ter</v>
      </c>
      <c r="K30" s="60">
        <v>1</v>
      </c>
    </row>
    <row r="31" spans="1:11" x14ac:dyDescent="0.25">
      <c r="A31" s="4">
        <v>27</v>
      </c>
      <c r="B31" s="38"/>
      <c r="C31" s="38"/>
      <c r="D31" s="38"/>
      <c r="E31" s="38"/>
      <c r="F31" s="38"/>
      <c r="G31" s="38"/>
      <c r="H31" s="38"/>
      <c r="I31" s="40" t="s">
        <v>49</v>
      </c>
      <c r="J31" s="40" t="str">
        <f t="shared" si="4"/>
        <v>qua</v>
      </c>
      <c r="K31" s="60">
        <v>2</v>
      </c>
    </row>
    <row r="32" spans="1:11" x14ac:dyDescent="0.25">
      <c r="A32" s="4">
        <v>28</v>
      </c>
      <c r="B32" s="38"/>
      <c r="C32" s="38"/>
      <c r="D32" s="38"/>
      <c r="E32" s="38"/>
      <c r="F32" s="38"/>
      <c r="G32" s="38"/>
      <c r="H32" s="38"/>
      <c r="I32" s="40" t="s">
        <v>50</v>
      </c>
      <c r="J32" s="40" t="str">
        <f t="shared" si="4"/>
        <v>qui</v>
      </c>
      <c r="K32" s="60">
        <v>3</v>
      </c>
    </row>
    <row r="33" spans="1:11" x14ac:dyDescent="0.25">
      <c r="A33" s="4">
        <v>29</v>
      </c>
      <c r="B33" s="38"/>
      <c r="C33" s="38" t="s">
        <v>2</v>
      </c>
      <c r="D33" s="38"/>
      <c r="E33" s="38" t="s">
        <v>2</v>
      </c>
      <c r="F33" s="38"/>
      <c r="G33" s="38" t="s">
        <v>2</v>
      </c>
      <c r="H33" s="38"/>
      <c r="I33" s="40" t="s">
        <v>51</v>
      </c>
      <c r="J33" s="40" t="str">
        <f t="shared" si="4"/>
        <v>sex</v>
      </c>
      <c r="K33" s="60">
        <v>2</v>
      </c>
    </row>
    <row r="34" spans="1:11" x14ac:dyDescent="0.25">
      <c r="A34" s="4">
        <v>30</v>
      </c>
      <c r="B34" s="38" t="s">
        <v>7</v>
      </c>
      <c r="C34" s="38" t="s">
        <v>2</v>
      </c>
      <c r="D34" s="38" t="s">
        <v>2</v>
      </c>
      <c r="E34" s="38"/>
      <c r="F34" s="38" t="s">
        <v>2</v>
      </c>
      <c r="G34" s="38"/>
      <c r="H34" s="38" t="s">
        <v>2</v>
      </c>
      <c r="I34" s="40" t="s">
        <v>52</v>
      </c>
      <c r="J34" s="40" t="str">
        <f t="shared" si="4"/>
        <v>sáb</v>
      </c>
      <c r="K34" s="60"/>
    </row>
    <row r="35" spans="1:11" x14ac:dyDescent="0.25">
      <c r="A35" s="4">
        <v>31</v>
      </c>
      <c r="B35" s="38" t="s">
        <v>7</v>
      </c>
      <c r="C35" s="38"/>
      <c r="D35" s="38" t="s">
        <v>7</v>
      </c>
      <c r="E35" s="38"/>
      <c r="F35" s="38" t="s">
        <v>7</v>
      </c>
      <c r="G35" s="38"/>
      <c r="H35" s="38" t="s">
        <v>2</v>
      </c>
      <c r="I35" s="40" t="s">
        <v>53</v>
      </c>
      <c r="J35" s="40" t="str">
        <f t="shared" si="4"/>
        <v>dom</v>
      </c>
      <c r="K35" s="60"/>
    </row>
    <row r="36" spans="1:11" x14ac:dyDescent="0.25">
      <c r="A36" s="4">
        <v>32</v>
      </c>
      <c r="B36" s="38"/>
      <c r="C36" s="38" t="s">
        <v>2</v>
      </c>
      <c r="D36" s="38"/>
      <c r="E36" s="38"/>
      <c r="F36" s="38"/>
      <c r="G36" s="38" t="s">
        <v>2</v>
      </c>
      <c r="H36" s="38" t="s">
        <v>2</v>
      </c>
    </row>
    <row r="37" spans="1:11" x14ac:dyDescent="0.25">
      <c r="A37" s="4">
        <v>33</v>
      </c>
      <c r="B37" s="38" t="s">
        <v>7</v>
      </c>
      <c r="C37" s="38" t="s">
        <v>7</v>
      </c>
      <c r="D37" s="38" t="s">
        <v>2</v>
      </c>
      <c r="E37" s="38" t="s">
        <v>2</v>
      </c>
      <c r="F37" s="38" t="s">
        <v>2</v>
      </c>
      <c r="G37" s="38" t="s">
        <v>2</v>
      </c>
      <c r="H37" s="38" t="s">
        <v>2</v>
      </c>
    </row>
    <row r="38" spans="1:11" x14ac:dyDescent="0.25">
      <c r="A38" s="4">
        <v>34</v>
      </c>
      <c r="B38" s="38"/>
      <c r="C38" s="38"/>
      <c r="D38" s="38"/>
      <c r="E38" s="38"/>
      <c r="F38" s="38"/>
      <c r="G38" s="38"/>
      <c r="H38" s="38"/>
    </row>
    <row r="39" spans="1:11" x14ac:dyDescent="0.25">
      <c r="A39" s="4">
        <v>35</v>
      </c>
      <c r="B39" s="38"/>
      <c r="C39" s="38" t="s">
        <v>2</v>
      </c>
      <c r="D39" s="38"/>
      <c r="E39" s="38" t="s">
        <v>2</v>
      </c>
      <c r="F39" s="38"/>
      <c r="G39" s="38" t="s">
        <v>2</v>
      </c>
      <c r="H39" s="38"/>
    </row>
    <row r="40" spans="1:11" x14ac:dyDescent="0.25">
      <c r="A40" s="4">
        <v>36</v>
      </c>
      <c r="B40" s="38"/>
      <c r="C40" s="38"/>
      <c r="D40" s="38"/>
      <c r="E40" s="38"/>
      <c r="F40" s="38"/>
      <c r="G40" s="38"/>
      <c r="H40" s="38"/>
    </row>
    <row r="41" spans="1:11" x14ac:dyDescent="0.25">
      <c r="A41" s="4">
        <v>37</v>
      </c>
      <c r="B41" s="38"/>
      <c r="C41" s="38" t="s">
        <v>2</v>
      </c>
      <c r="D41" s="38"/>
      <c r="E41" s="38"/>
      <c r="F41" s="38" t="s">
        <v>2</v>
      </c>
      <c r="G41" s="38"/>
      <c r="H41" s="38"/>
    </row>
    <row r="42" spans="1:11" x14ac:dyDescent="0.25">
      <c r="A42" s="4">
        <v>38</v>
      </c>
      <c r="B42" s="38"/>
      <c r="C42" s="38"/>
      <c r="D42" s="38"/>
      <c r="E42" s="38"/>
      <c r="F42" s="38"/>
      <c r="G42" s="38"/>
      <c r="H42" s="38"/>
    </row>
    <row r="43" spans="1:11" x14ac:dyDescent="0.25">
      <c r="A43" s="4">
        <v>39</v>
      </c>
      <c r="B43" s="38"/>
      <c r="C43" s="38"/>
      <c r="D43" s="38"/>
      <c r="E43" s="38"/>
      <c r="F43" s="38"/>
      <c r="G43" s="38"/>
      <c r="H43" s="38"/>
    </row>
    <row r="44" spans="1:11" x14ac:dyDescent="0.25">
      <c r="A44" s="4">
        <v>40</v>
      </c>
      <c r="B44" s="38"/>
      <c r="C44" s="38"/>
      <c r="D44" s="38"/>
      <c r="E44" s="38"/>
      <c r="F44" s="38"/>
      <c r="G44" s="38"/>
      <c r="H44" s="38"/>
    </row>
    <row r="45" spans="1:11" x14ac:dyDescent="0.25">
      <c r="A45" s="4">
        <v>41</v>
      </c>
      <c r="B45" s="38"/>
      <c r="C45" s="38"/>
      <c r="D45" s="38"/>
      <c r="E45" s="38"/>
      <c r="F45" s="38"/>
      <c r="G45" s="38"/>
      <c r="H45" s="38"/>
    </row>
    <row r="46" spans="1:11" x14ac:dyDescent="0.25">
      <c r="A46" s="4">
        <v>42</v>
      </c>
      <c r="B46" s="38"/>
      <c r="C46" s="38"/>
      <c r="D46" s="38"/>
      <c r="E46" s="38"/>
      <c r="F46" s="38"/>
      <c r="G46" s="38"/>
      <c r="H46" s="38"/>
    </row>
    <row r="47" spans="1:11" x14ac:dyDescent="0.25">
      <c r="A47" s="4">
        <v>43</v>
      </c>
      <c r="B47" s="38" t="s">
        <v>2</v>
      </c>
      <c r="C47" s="38" t="s">
        <v>2</v>
      </c>
      <c r="D47" s="38" t="s">
        <v>2</v>
      </c>
      <c r="E47" s="38" t="s">
        <v>2</v>
      </c>
      <c r="F47" s="38" t="s">
        <v>2</v>
      </c>
      <c r="G47" s="38" t="s">
        <v>7</v>
      </c>
      <c r="H47" s="38" t="s">
        <v>2</v>
      </c>
    </row>
    <row r="48" spans="1:11" x14ac:dyDescent="0.25">
      <c r="A48" s="4">
        <v>44</v>
      </c>
      <c r="B48" s="38"/>
      <c r="C48" s="38"/>
      <c r="D48" s="38"/>
      <c r="E48" s="38"/>
      <c r="F48" s="38"/>
      <c r="G48" s="38"/>
      <c r="H48" s="38"/>
    </row>
    <row r="49" spans="1:11" x14ac:dyDescent="0.25">
      <c r="A49" s="4">
        <v>45</v>
      </c>
      <c r="B49" s="38" t="s">
        <v>2</v>
      </c>
      <c r="C49" s="38"/>
      <c r="D49" s="38"/>
      <c r="E49" s="38" t="s">
        <v>2</v>
      </c>
      <c r="F49" s="38" t="s">
        <v>5</v>
      </c>
      <c r="G49" s="38"/>
      <c r="H49" s="38" t="s">
        <v>2</v>
      </c>
    </row>
    <row r="50" spans="1:11" x14ac:dyDescent="0.25">
      <c r="A50" s="4">
        <v>46</v>
      </c>
      <c r="B50" s="38" t="s">
        <v>2</v>
      </c>
      <c r="C50" s="38"/>
      <c r="D50" s="38" t="s">
        <v>7</v>
      </c>
      <c r="E50" s="38"/>
      <c r="F50" s="38" t="s">
        <v>5</v>
      </c>
      <c r="G50" s="38"/>
      <c r="H50" s="38" t="s">
        <v>2</v>
      </c>
    </row>
    <row r="51" spans="1:11" x14ac:dyDescent="0.25">
      <c r="A51" s="4">
        <v>47</v>
      </c>
      <c r="B51" s="38"/>
      <c r="C51" s="38" t="s">
        <v>2</v>
      </c>
      <c r="D51" s="38" t="s">
        <v>2</v>
      </c>
      <c r="E51" s="38" t="s">
        <v>2</v>
      </c>
      <c r="F51" s="38"/>
      <c r="G51" s="38" t="s">
        <v>2</v>
      </c>
      <c r="H51" s="38"/>
    </row>
    <row r="52" spans="1:11" x14ac:dyDescent="0.25">
      <c r="A52" s="4">
        <v>48</v>
      </c>
      <c r="B52" s="38" t="s">
        <v>5</v>
      </c>
      <c r="C52" s="38" t="s">
        <v>5</v>
      </c>
      <c r="D52" s="38" t="s">
        <v>2</v>
      </c>
      <c r="E52" s="38" t="s">
        <v>2</v>
      </c>
      <c r="F52" s="38" t="s">
        <v>7</v>
      </c>
      <c r="G52" s="38"/>
      <c r="H52" s="38" t="s">
        <v>2</v>
      </c>
    </row>
    <row r="53" spans="1:11" x14ac:dyDescent="0.25">
      <c r="A53" s="4">
        <v>49</v>
      </c>
      <c r="B53" s="38" t="s">
        <v>6</v>
      </c>
      <c r="C53" s="38" t="s">
        <v>6</v>
      </c>
      <c r="D53" s="38" t="s">
        <v>2</v>
      </c>
      <c r="E53" s="38" t="s">
        <v>2</v>
      </c>
      <c r="F53" s="38"/>
      <c r="G53" s="38" t="s">
        <v>2</v>
      </c>
      <c r="H53" s="38"/>
      <c r="K53" t="s">
        <v>68</v>
      </c>
    </row>
    <row r="54" spans="1:11" x14ac:dyDescent="0.25">
      <c r="A54" s="4">
        <v>50</v>
      </c>
      <c r="B54" s="38" t="s">
        <v>2</v>
      </c>
      <c r="C54" s="38" t="s">
        <v>2</v>
      </c>
      <c r="D54" s="38" t="s">
        <v>2</v>
      </c>
      <c r="E54" s="38" t="s">
        <v>2</v>
      </c>
      <c r="F54" s="38" t="s">
        <v>2</v>
      </c>
      <c r="G54" s="38" t="s">
        <v>2</v>
      </c>
      <c r="H54" s="38" t="s">
        <v>2</v>
      </c>
    </row>
    <row r="55" spans="1:11" x14ac:dyDescent="0.25">
      <c r="A55" s="4">
        <v>51</v>
      </c>
      <c r="B55" s="38"/>
      <c r="C55" s="38"/>
      <c r="D55" s="38" t="s">
        <v>2</v>
      </c>
      <c r="E55" s="38" t="s">
        <v>2</v>
      </c>
      <c r="F55" s="38"/>
      <c r="G55" s="38" t="s">
        <v>2</v>
      </c>
      <c r="H55" s="38" t="s">
        <v>2</v>
      </c>
    </row>
    <row r="56" spans="1:11" x14ac:dyDescent="0.25">
      <c r="A56" s="4">
        <v>52</v>
      </c>
      <c r="B56" s="38" t="s">
        <v>7</v>
      </c>
      <c r="C56" s="38"/>
      <c r="D56" s="38"/>
      <c r="E56" s="38" t="s">
        <v>2</v>
      </c>
      <c r="F56" s="38"/>
      <c r="G56" s="38"/>
      <c r="H56" s="38"/>
    </row>
    <row r="57" spans="1:11" x14ac:dyDescent="0.25">
      <c r="A57" s="4">
        <v>53</v>
      </c>
      <c r="B57" s="38"/>
      <c r="C57" s="38"/>
      <c r="D57" s="38"/>
      <c r="E57" s="38"/>
      <c r="F57" s="38" t="s">
        <v>2</v>
      </c>
      <c r="G57" s="38"/>
      <c r="H57" s="38"/>
    </row>
    <row r="58" spans="1:11" x14ac:dyDescent="0.25">
      <c r="A58" s="4">
        <v>54</v>
      </c>
      <c r="B58" s="38" t="s">
        <v>2</v>
      </c>
      <c r="C58" s="38"/>
      <c r="D58" s="38" t="s">
        <v>2</v>
      </c>
      <c r="E58" s="38"/>
      <c r="F58" s="38" t="s">
        <v>2</v>
      </c>
      <c r="G58" s="38" t="s">
        <v>2</v>
      </c>
      <c r="H58" s="38"/>
    </row>
    <row r="59" spans="1:11" x14ac:dyDescent="0.25">
      <c r="A59" s="4">
        <v>55</v>
      </c>
      <c r="B59" s="38"/>
      <c r="C59" s="38" t="s">
        <v>2</v>
      </c>
      <c r="D59" s="38" t="s">
        <v>2</v>
      </c>
      <c r="E59" s="38"/>
      <c r="F59" s="38"/>
      <c r="G59" s="38"/>
      <c r="H59" s="38"/>
    </row>
    <row r="60" spans="1:11" x14ac:dyDescent="0.25">
      <c r="A60" s="4">
        <v>56</v>
      </c>
      <c r="B60" s="38"/>
      <c r="C60" s="38"/>
      <c r="D60" s="38"/>
      <c r="E60" s="38"/>
      <c r="F60" s="38"/>
      <c r="G60" s="38"/>
      <c r="H60" s="38"/>
    </row>
    <row r="61" spans="1:11" x14ac:dyDescent="0.25">
      <c r="A61" s="4">
        <v>73</v>
      </c>
      <c r="B61" s="38"/>
      <c r="C61" s="38" t="s">
        <v>2</v>
      </c>
      <c r="D61" s="38"/>
      <c r="E61" s="38" t="s">
        <v>2</v>
      </c>
      <c r="F61" s="38"/>
      <c r="G61" s="38"/>
      <c r="H61" s="38"/>
    </row>
    <row r="62" spans="1:11" x14ac:dyDescent="0.25">
      <c r="A62" s="4">
        <v>74</v>
      </c>
      <c r="B62" s="38"/>
      <c r="C62" s="38"/>
      <c r="D62" s="38" t="s">
        <v>2</v>
      </c>
      <c r="E62" s="38"/>
      <c r="F62" s="38" t="s">
        <v>7</v>
      </c>
      <c r="G62" s="38"/>
      <c r="H62" s="38"/>
    </row>
    <row r="63" spans="1:11" x14ac:dyDescent="0.25">
      <c r="A63" s="4">
        <v>101</v>
      </c>
      <c r="B63" s="39"/>
      <c r="C63" s="38" t="s">
        <v>2</v>
      </c>
      <c r="D63" s="38"/>
      <c r="E63" s="38" t="s">
        <v>2</v>
      </c>
      <c r="F63" s="38" t="s">
        <v>2</v>
      </c>
      <c r="G63" s="38" t="s">
        <v>2</v>
      </c>
      <c r="H63" s="38"/>
    </row>
    <row r="64" spans="1:11" x14ac:dyDescent="0.25">
      <c r="A64" s="4">
        <v>102</v>
      </c>
      <c r="B64" s="38"/>
      <c r="C64" s="38"/>
      <c r="D64" s="38"/>
      <c r="E64" s="38"/>
      <c r="F64" s="38"/>
      <c r="G64" s="38"/>
      <c r="H64" s="38"/>
    </row>
    <row r="65" spans="1:8" x14ac:dyDescent="0.25">
      <c r="A65" s="4">
        <v>103</v>
      </c>
      <c r="B65" s="38" t="s">
        <v>7</v>
      </c>
      <c r="C65" s="38"/>
      <c r="D65" s="38" t="s">
        <v>6</v>
      </c>
      <c r="E65" s="38" t="s">
        <v>6</v>
      </c>
      <c r="F65" s="38" t="s">
        <v>2</v>
      </c>
      <c r="G65" s="38" t="s">
        <v>2</v>
      </c>
      <c r="H65" s="38" t="s">
        <v>2</v>
      </c>
    </row>
    <row r="66" spans="1:8" x14ac:dyDescent="0.25">
      <c r="A66" s="4">
        <v>104</v>
      </c>
      <c r="B66" s="38" t="s">
        <v>7</v>
      </c>
      <c r="C66" s="38"/>
      <c r="D66" s="38" t="s">
        <v>2</v>
      </c>
      <c r="E66" s="38"/>
      <c r="F66" s="38" t="s">
        <v>2</v>
      </c>
      <c r="G66" s="38"/>
      <c r="H66" s="38" t="s">
        <v>2</v>
      </c>
    </row>
    <row r="67" spans="1:8" x14ac:dyDescent="0.25">
      <c r="A67" s="4">
        <v>105</v>
      </c>
      <c r="B67" s="38"/>
      <c r="C67" s="38"/>
      <c r="D67" s="38"/>
      <c r="E67" s="38"/>
      <c r="F67" s="38"/>
      <c r="G67" s="38"/>
      <c r="H67" s="38"/>
    </row>
    <row r="68" spans="1:8" x14ac:dyDescent="0.25">
      <c r="A68" s="4">
        <v>106</v>
      </c>
      <c r="B68" s="38"/>
      <c r="C68" s="38"/>
      <c r="D68" s="38"/>
      <c r="E68" s="38"/>
      <c r="F68" s="38"/>
      <c r="G68" s="38"/>
      <c r="H68" s="38"/>
    </row>
    <row r="69" spans="1:8" x14ac:dyDescent="0.25">
      <c r="A69" s="4">
        <v>107</v>
      </c>
      <c r="B69" s="38"/>
      <c r="C69" s="38"/>
      <c r="D69" s="38"/>
      <c r="E69" s="38"/>
      <c r="F69" s="38"/>
      <c r="G69" s="38"/>
      <c r="H69" s="38"/>
    </row>
    <row r="70" spans="1:8" x14ac:dyDescent="0.25">
      <c r="A70" s="4">
        <v>108</v>
      </c>
      <c r="B70" s="38"/>
      <c r="C70" s="38"/>
      <c r="D70" s="38"/>
      <c r="E70" s="38"/>
      <c r="F70" s="38"/>
      <c r="G70" s="38"/>
      <c r="H70" s="38"/>
    </row>
    <row r="71" spans="1:8" x14ac:dyDescent="0.25">
      <c r="A71" s="4">
        <v>109</v>
      </c>
      <c r="B71" s="38"/>
      <c r="C71" s="38"/>
      <c r="D71" s="38"/>
      <c r="E71" s="38"/>
      <c r="F71" s="38"/>
      <c r="G71" s="38"/>
      <c r="H71" s="38"/>
    </row>
    <row r="72" spans="1:8" x14ac:dyDescent="0.25">
      <c r="A72" s="4">
        <v>110</v>
      </c>
      <c r="B72" s="38"/>
      <c r="C72" s="38"/>
      <c r="D72" s="38"/>
      <c r="E72" s="38"/>
      <c r="F72" s="38"/>
      <c r="G72" s="38"/>
      <c r="H72" s="38"/>
    </row>
    <row r="73" spans="1:8" x14ac:dyDescent="0.25">
      <c r="A73" s="4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4">
        <v>112</v>
      </c>
      <c r="B74" s="38"/>
      <c r="C74" s="38" t="s">
        <v>2</v>
      </c>
      <c r="D74" s="38" t="s">
        <v>2</v>
      </c>
      <c r="E74" s="38" t="s">
        <v>2</v>
      </c>
      <c r="F74" s="38"/>
      <c r="G74" s="38" t="s">
        <v>2</v>
      </c>
      <c r="H74" s="38"/>
    </row>
    <row r="75" spans="1:8" x14ac:dyDescent="0.25">
      <c r="A75" s="4">
        <v>113</v>
      </c>
      <c r="B75" s="38"/>
      <c r="C75" s="38"/>
      <c r="D75" s="38"/>
      <c r="E75" s="38"/>
      <c r="F75" s="38"/>
      <c r="G75" s="38"/>
      <c r="H75" s="38"/>
    </row>
    <row r="76" spans="1:8" x14ac:dyDescent="0.25">
      <c r="A76" s="4">
        <v>114</v>
      </c>
      <c r="B76" s="38" t="s">
        <v>2</v>
      </c>
      <c r="C76" s="38" t="s">
        <v>2</v>
      </c>
      <c r="D76" s="38" t="s">
        <v>2</v>
      </c>
      <c r="E76" s="38" t="s">
        <v>2</v>
      </c>
      <c r="F76" s="38" t="s">
        <v>2</v>
      </c>
      <c r="G76" s="38" t="s">
        <v>2</v>
      </c>
      <c r="H76" s="38" t="s">
        <v>2</v>
      </c>
    </row>
    <row r="77" spans="1:8" x14ac:dyDescent="0.25">
      <c r="A77" s="4">
        <v>115</v>
      </c>
      <c r="B77" s="38"/>
      <c r="C77" s="38"/>
      <c r="D77" s="38"/>
      <c r="E77" s="38" t="s">
        <v>2</v>
      </c>
      <c r="F77" s="38"/>
      <c r="G77" s="38"/>
      <c r="H77" s="38"/>
    </row>
    <row r="78" spans="1:8" x14ac:dyDescent="0.25">
      <c r="A78" s="4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4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4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4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4">
        <v>120</v>
      </c>
      <c r="B82" s="38"/>
      <c r="C82" s="38" t="s">
        <v>5</v>
      </c>
      <c r="D82" s="38"/>
      <c r="E82" s="38" t="s">
        <v>2</v>
      </c>
      <c r="F82" s="38"/>
      <c r="G82" s="38" t="s">
        <v>2</v>
      </c>
      <c r="H82" s="38"/>
    </row>
    <row r="83" spans="1:8" x14ac:dyDescent="0.25">
      <c r="A83" s="4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4">
        <v>122</v>
      </c>
      <c r="B84" s="38" t="s">
        <v>2</v>
      </c>
      <c r="C84" s="38"/>
      <c r="D84" s="38" t="s">
        <v>2</v>
      </c>
      <c r="E84" s="38"/>
      <c r="F84" s="38" t="s">
        <v>2</v>
      </c>
      <c r="G84" s="38"/>
      <c r="H84" s="38" t="s">
        <v>2</v>
      </c>
    </row>
    <row r="85" spans="1:8" x14ac:dyDescent="0.25">
      <c r="A85" s="4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4">
        <v>124</v>
      </c>
      <c r="B86" s="38" t="s">
        <v>7</v>
      </c>
      <c r="C86" s="38"/>
      <c r="D86" s="38" t="s">
        <v>7</v>
      </c>
      <c r="E86" s="38"/>
      <c r="F86" s="38" t="s">
        <v>2</v>
      </c>
      <c r="G86" s="38" t="s">
        <v>2</v>
      </c>
      <c r="H86" s="38" t="s">
        <v>2</v>
      </c>
    </row>
    <row r="87" spans="1:8" x14ac:dyDescent="0.25">
      <c r="A87" s="4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4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4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4">
        <v>128</v>
      </c>
      <c r="B90" s="38"/>
      <c r="C90" s="38"/>
      <c r="D90" s="38"/>
      <c r="E90" s="38"/>
      <c r="F90" s="38"/>
      <c r="G90" s="38"/>
      <c r="H90" s="38"/>
    </row>
    <row r="91" spans="1:8" x14ac:dyDescent="0.25">
      <c r="A91" s="4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4">
        <v>130</v>
      </c>
      <c r="B92" s="38"/>
      <c r="C92" s="38"/>
      <c r="D92" s="38"/>
      <c r="E92" s="38"/>
      <c r="F92" s="38"/>
      <c r="G92" s="38"/>
      <c r="H92" s="38"/>
    </row>
    <row r="93" spans="1:8" x14ac:dyDescent="0.25">
      <c r="A93" s="4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4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4">
        <v>133</v>
      </c>
      <c r="B95" s="38" t="s">
        <v>2</v>
      </c>
      <c r="C95" s="38" t="s">
        <v>2</v>
      </c>
      <c r="D95" s="38" t="s">
        <v>2</v>
      </c>
      <c r="E95" s="38" t="s">
        <v>2</v>
      </c>
      <c r="F95" s="38" t="s">
        <v>2</v>
      </c>
      <c r="G95" s="38" t="s">
        <v>2</v>
      </c>
      <c r="H95" s="38" t="s">
        <v>5</v>
      </c>
    </row>
  </sheetData>
  <mergeCells count="5">
    <mergeCell ref="A1:H2"/>
    <mergeCell ref="I17:K17"/>
    <mergeCell ref="I18:J18"/>
    <mergeCell ref="I27:K27"/>
    <mergeCell ref="I28:J28"/>
  </mergeCells>
  <conditionalFormatting sqref="I5:I16 I29:I60 I19:I26 F63:H65 F61:I62 B5:E65 B66:H95">
    <cfRule type="cellIs" dxfId="619" priority="18" operator="equal">
      <formula>"Energia"</formula>
    </cfRule>
    <cfRule type="cellIs" dxfId="618" priority="20" operator="equal">
      <formula>"Operação"</formula>
    </cfRule>
    <cfRule type="cellIs" dxfId="617" priority="21" operator="equal">
      <formula>"Chuva"</formula>
    </cfRule>
    <cfRule type="cellIs" dxfId="616" priority="22" operator="equal">
      <formula>"Elétrico"</formula>
    </cfRule>
    <cfRule type="cellIs" dxfId="615" priority="23" operator="equal">
      <formula>"Mecânico"</formula>
    </cfRule>
    <cfRule type="cellIs" dxfId="614" priority="24" operator="equal">
      <formula>"Ok"</formula>
    </cfRule>
  </conditionalFormatting>
  <conditionalFormatting sqref="I5:I16 I29:I60 I19:I26 F63:H65 F61:I62 B5:E65 B66:H95">
    <cfRule type="cellIs" dxfId="613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56 C13 B5:E11">
    <cfRule type="cellIs" dxfId="612" priority="16" operator="equal">
      <formula>"Energia"</formula>
    </cfRule>
  </conditionalFormatting>
  <conditionalFormatting sqref="G5:H60 F53">
    <cfRule type="cellIs" dxfId="611" priority="9" operator="equal">
      <formula>"Energia"</formula>
    </cfRule>
    <cfRule type="cellIs" dxfId="610" priority="11" operator="equal">
      <formula>"Operação"</formula>
    </cfRule>
    <cfRule type="cellIs" dxfId="609" priority="12" operator="equal">
      <formula>"Chuva"</formula>
    </cfRule>
    <cfRule type="cellIs" dxfId="608" priority="13" operator="equal">
      <formula>"Elétrico"</formula>
    </cfRule>
    <cfRule type="cellIs" dxfId="607" priority="14" operator="equal">
      <formula>"Mecânico"</formula>
    </cfRule>
    <cfRule type="cellIs" dxfId="606" priority="15" operator="equal">
      <formula>"Ok"</formula>
    </cfRule>
  </conditionalFormatting>
  <conditionalFormatting sqref="G5:H60 F53">
    <cfRule type="cellIs" dxfId="605" priority="10" operator="equal">
      <formula>"Feito"</formula>
    </cfRule>
  </conditionalFormatting>
  <conditionalFormatting sqref="F5:F11">
    <cfRule type="cellIs" dxfId="604" priority="8" operator="equal">
      <formula>"Energia"</formula>
    </cfRule>
  </conditionalFormatting>
  <conditionalFormatting sqref="F54:F60 F5:F52">
    <cfRule type="cellIs" dxfId="603" priority="1" operator="equal">
      <formula>"Energia"</formula>
    </cfRule>
    <cfRule type="cellIs" dxfId="602" priority="3" operator="equal">
      <formula>"Operação"</formula>
    </cfRule>
    <cfRule type="cellIs" dxfId="601" priority="4" operator="equal">
      <formula>"Chuva"</formula>
    </cfRule>
    <cfRule type="cellIs" dxfId="600" priority="5" operator="equal">
      <formula>"Elétrico"</formula>
    </cfRule>
    <cfRule type="cellIs" dxfId="599" priority="6" operator="equal">
      <formula>"Mecânico"</formula>
    </cfRule>
    <cfRule type="cellIs" dxfId="598" priority="7" operator="equal">
      <formula>"Ok"</formula>
    </cfRule>
  </conditionalFormatting>
  <conditionalFormatting sqref="F54:F60 F5:F52">
    <cfRule type="cellIs" dxfId="597" priority="2" operator="equal">
      <formula>"Feito"</formula>
    </cfRule>
  </conditionalFormatting>
  <dataValidations count="1">
    <dataValidation type="list" allowBlank="1" showInputMessage="1" showErrorMessage="1" sqref="I5:I16 J36:J60 I29:I62 I19:I26 B5:H95" xr:uid="{91E7BE89-3684-490E-BEB3-8FD5DB9F05C1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E4C1-2321-4744-8AEC-DC26B65723FB}">
  <sheetPr>
    <tabColor theme="8"/>
  </sheetPr>
  <dimension ref="A1:Q95"/>
  <sheetViews>
    <sheetView showGridLines="0" zoomScaleNormal="100" workbookViewId="0">
      <pane ySplit="4" topLeftCell="A5" activePane="bottomLeft" state="frozen"/>
      <selection pane="bottomLeft" activeCell="G56" sqref="G5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74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4" t="s">
        <v>16</v>
      </c>
      <c r="B3" s="23">
        <v>44802</v>
      </c>
      <c r="C3" s="23">
        <f>B3+1</f>
        <v>44803</v>
      </c>
      <c r="D3" s="23">
        <f t="shared" ref="D3:H3" si="0">C3+1</f>
        <v>44804</v>
      </c>
      <c r="E3" s="23">
        <f t="shared" si="0"/>
        <v>44805</v>
      </c>
      <c r="F3" s="23">
        <f t="shared" si="0"/>
        <v>44806</v>
      </c>
      <c r="G3" s="23">
        <f t="shared" si="0"/>
        <v>44807</v>
      </c>
      <c r="H3" s="25">
        <f t="shared" si="0"/>
        <v>44808</v>
      </c>
      <c r="I3" s="3"/>
    </row>
    <row r="4" spans="1:17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  <c r="Q4" t="s">
        <v>34</v>
      </c>
    </row>
    <row r="5" spans="1:17" x14ac:dyDescent="0.25">
      <c r="A5" s="4">
        <v>1</v>
      </c>
      <c r="B5" s="38" t="s">
        <v>2</v>
      </c>
      <c r="C5" s="38" t="s">
        <v>2</v>
      </c>
      <c r="D5" s="38" t="s">
        <v>2</v>
      </c>
      <c r="E5" s="38"/>
      <c r="F5" s="38" t="s">
        <v>7</v>
      </c>
      <c r="G5" s="38" t="s">
        <v>7</v>
      </c>
      <c r="H5" s="38" t="s">
        <v>2</v>
      </c>
      <c r="J5" s="48" t="s">
        <v>2</v>
      </c>
      <c r="K5">
        <f>COUNTIF($B$5:$H$95,J5)</f>
        <v>135</v>
      </c>
      <c r="L5" s="34">
        <f t="shared" ref="L5:L10" si="2">K5/$K$11</f>
        <v>0.76271186440677963</v>
      </c>
      <c r="M5" s="52">
        <f>B3</f>
        <v>44802</v>
      </c>
      <c r="O5" t="s">
        <v>44</v>
      </c>
      <c r="P5">
        <v>155</v>
      </c>
      <c r="Q5" s="52">
        <f>M5</f>
        <v>44802</v>
      </c>
    </row>
    <row r="6" spans="1:17" x14ac:dyDescent="0.25">
      <c r="A6" s="4">
        <v>2</v>
      </c>
      <c r="B6" s="38" t="s">
        <v>2</v>
      </c>
      <c r="C6" s="38"/>
      <c r="D6" s="38"/>
      <c r="E6" s="38"/>
      <c r="F6" s="38"/>
      <c r="G6" s="38"/>
      <c r="H6" s="38"/>
      <c r="J6" s="42" t="s">
        <v>5</v>
      </c>
      <c r="K6">
        <f>COUNTIF($B$5:$H$95,J6)</f>
        <v>5</v>
      </c>
      <c r="L6" s="35">
        <f t="shared" si="2"/>
        <v>2.8248587570621469E-2</v>
      </c>
      <c r="O6" t="s">
        <v>46</v>
      </c>
      <c r="P6">
        <f>SUM(K19:K25)</f>
        <v>23</v>
      </c>
    </row>
    <row r="7" spans="1:17" x14ac:dyDescent="0.25">
      <c r="A7" s="4">
        <v>3</v>
      </c>
      <c r="B7" s="38"/>
      <c r="C7" s="38" t="s">
        <v>2</v>
      </c>
      <c r="D7" s="38"/>
      <c r="E7" s="38"/>
      <c r="F7" s="38"/>
      <c r="G7" s="38"/>
      <c r="H7" s="38"/>
      <c r="J7" s="46" t="s">
        <v>6</v>
      </c>
      <c r="K7">
        <f t="shared" ref="K7:K10" si="3">COUNTIF($B$5:$H$95,J7)</f>
        <v>4</v>
      </c>
      <c r="L7" s="35">
        <f t="shared" si="2"/>
        <v>2.2598870056497175E-2</v>
      </c>
      <c r="O7" t="s">
        <v>45</v>
      </c>
      <c r="P7">
        <f>SUM(K29:K35)</f>
        <v>6</v>
      </c>
    </row>
    <row r="8" spans="1:17" x14ac:dyDescent="0.25">
      <c r="A8" s="4">
        <v>4</v>
      </c>
      <c r="B8" s="38"/>
      <c r="C8" s="38" t="s">
        <v>2</v>
      </c>
      <c r="D8" s="38"/>
      <c r="E8" s="38"/>
      <c r="F8" s="38"/>
      <c r="G8" s="38"/>
      <c r="H8" s="38"/>
      <c r="J8" s="47" t="s">
        <v>4</v>
      </c>
      <c r="K8">
        <f t="shared" si="3"/>
        <v>0</v>
      </c>
      <c r="L8" s="35">
        <f t="shared" si="2"/>
        <v>0</v>
      </c>
      <c r="O8" s="65" t="s">
        <v>17</v>
      </c>
      <c r="P8" s="65">
        <f>P5+P6-P7</f>
        <v>172</v>
      </c>
    </row>
    <row r="9" spans="1:17" x14ac:dyDescent="0.25">
      <c r="A9" s="4">
        <v>5</v>
      </c>
      <c r="B9" s="38"/>
      <c r="C9" s="38"/>
      <c r="D9" s="38"/>
      <c r="E9" s="38"/>
      <c r="F9" s="38"/>
      <c r="G9" s="38" t="s">
        <v>2</v>
      </c>
      <c r="H9" s="38" t="s">
        <v>2</v>
      </c>
      <c r="J9" s="45" t="s">
        <v>3</v>
      </c>
      <c r="K9">
        <f t="shared" si="3"/>
        <v>0</v>
      </c>
      <c r="L9" s="35">
        <f t="shared" si="2"/>
        <v>0</v>
      </c>
    </row>
    <row r="10" spans="1:17" x14ac:dyDescent="0.25">
      <c r="A10" s="4">
        <v>6</v>
      </c>
      <c r="B10" s="38"/>
      <c r="C10" s="38"/>
      <c r="D10" s="38"/>
      <c r="E10" s="38"/>
      <c r="F10" s="38"/>
      <c r="G10" s="38" t="s">
        <v>2</v>
      </c>
      <c r="H10" s="38" t="s">
        <v>2</v>
      </c>
      <c r="J10" s="43" t="s">
        <v>7</v>
      </c>
      <c r="K10">
        <f t="shared" si="3"/>
        <v>33</v>
      </c>
      <c r="L10" s="37">
        <f t="shared" si="2"/>
        <v>0.1864406779661017</v>
      </c>
      <c r="O10" t="s">
        <v>65</v>
      </c>
      <c r="P10">
        <f>P8</f>
        <v>172</v>
      </c>
    </row>
    <row r="11" spans="1:17" x14ac:dyDescent="0.25">
      <c r="A11" s="4">
        <v>7</v>
      </c>
      <c r="B11" s="38"/>
      <c r="C11" s="38"/>
      <c r="D11" s="38"/>
      <c r="E11" s="38"/>
      <c r="F11" s="38"/>
      <c r="G11" s="38"/>
      <c r="H11" s="38"/>
      <c r="J11" s="44" t="s">
        <v>17</v>
      </c>
      <c r="K11">
        <f>SUM(K5:K10)</f>
        <v>177</v>
      </c>
    </row>
    <row r="12" spans="1:17" x14ac:dyDescent="0.25">
      <c r="A12" s="4">
        <v>8</v>
      </c>
      <c r="B12" s="38"/>
      <c r="C12" s="38"/>
      <c r="D12" s="38"/>
      <c r="E12" s="38"/>
      <c r="F12" s="38"/>
      <c r="G12" s="38" t="s">
        <v>2</v>
      </c>
      <c r="H12" s="38"/>
    </row>
    <row r="13" spans="1:17" x14ac:dyDescent="0.25">
      <c r="A13" s="4">
        <v>9</v>
      </c>
      <c r="B13" s="38" t="s">
        <v>2</v>
      </c>
      <c r="C13" s="38"/>
      <c r="D13" s="38" t="s">
        <v>2</v>
      </c>
      <c r="E13" s="38"/>
      <c r="F13" s="38" t="s">
        <v>2</v>
      </c>
      <c r="G13" s="38"/>
      <c r="H13" s="38"/>
    </row>
    <row r="14" spans="1:17" x14ac:dyDescent="0.25">
      <c r="A14" s="4">
        <v>10</v>
      </c>
      <c r="B14" s="38" t="s">
        <v>2</v>
      </c>
      <c r="C14" s="38"/>
      <c r="D14" s="38" t="s">
        <v>2</v>
      </c>
      <c r="E14" s="38"/>
      <c r="F14" s="38"/>
      <c r="G14" s="38" t="s">
        <v>2</v>
      </c>
      <c r="H14" s="38" t="s">
        <v>2</v>
      </c>
    </row>
    <row r="15" spans="1:17" x14ac:dyDescent="0.25">
      <c r="A15" s="4">
        <v>11</v>
      </c>
      <c r="B15" s="38"/>
      <c r="C15" s="38"/>
      <c r="D15" s="38"/>
      <c r="E15" s="38"/>
      <c r="F15" s="38" t="s">
        <v>2</v>
      </c>
      <c r="G15" s="38"/>
      <c r="H15" s="38"/>
    </row>
    <row r="16" spans="1:17" x14ac:dyDescent="0.25">
      <c r="A16" s="4">
        <v>12</v>
      </c>
      <c r="B16" s="38" t="s">
        <v>2</v>
      </c>
      <c r="C16" s="38"/>
      <c r="D16" s="38" t="s">
        <v>7</v>
      </c>
      <c r="E16" s="38"/>
      <c r="F16" s="38" t="s">
        <v>2</v>
      </c>
      <c r="G16" s="38"/>
      <c r="H16" s="38"/>
      <c r="O16" s="61"/>
    </row>
    <row r="17" spans="1:11" x14ac:dyDescent="0.25">
      <c r="A17" s="4">
        <v>13</v>
      </c>
      <c r="B17" s="38"/>
      <c r="C17" s="38" t="s">
        <v>2</v>
      </c>
      <c r="D17" s="38" t="s">
        <v>2</v>
      </c>
      <c r="E17" s="38"/>
      <c r="F17" s="38" t="s">
        <v>2</v>
      </c>
      <c r="G17" s="38"/>
      <c r="H17" s="38"/>
      <c r="I17" s="71" t="s">
        <v>46</v>
      </c>
      <c r="J17" s="72"/>
      <c r="K17" s="72"/>
    </row>
    <row r="18" spans="1:11" x14ac:dyDescent="0.25">
      <c r="A18" s="4">
        <v>14</v>
      </c>
      <c r="B18" s="38" t="s">
        <v>2</v>
      </c>
      <c r="C18" s="38" t="s">
        <v>2</v>
      </c>
      <c r="D18" s="38" t="s">
        <v>7</v>
      </c>
      <c r="E18" s="38"/>
      <c r="F18" s="38" t="s">
        <v>2</v>
      </c>
      <c r="G18" s="38" t="s">
        <v>2</v>
      </c>
      <c r="H18" s="38" t="s">
        <v>2</v>
      </c>
      <c r="I18" s="71" t="s">
        <v>54</v>
      </c>
      <c r="J18" s="72"/>
      <c r="K18" t="s">
        <v>32</v>
      </c>
    </row>
    <row r="19" spans="1:11" x14ac:dyDescent="0.25">
      <c r="A19" s="4">
        <v>15</v>
      </c>
      <c r="B19" s="38"/>
      <c r="C19" s="38"/>
      <c r="D19" s="38"/>
      <c r="E19" s="38"/>
      <c r="F19" s="38"/>
      <c r="G19" s="38"/>
      <c r="H19" s="38"/>
      <c r="I19" s="40" t="s">
        <v>47</v>
      </c>
      <c r="J19" s="40" t="str">
        <f>TEXT(B3,"ddd")</f>
        <v>seg</v>
      </c>
      <c r="K19" s="60">
        <v>2</v>
      </c>
    </row>
    <row r="20" spans="1:11" x14ac:dyDescent="0.25">
      <c r="A20" s="4">
        <v>16</v>
      </c>
      <c r="B20" s="38"/>
      <c r="C20" s="38"/>
      <c r="D20" s="38"/>
      <c r="E20" s="38"/>
      <c r="F20" s="38"/>
      <c r="G20" s="38"/>
      <c r="H20" s="38"/>
      <c r="I20" s="40" t="s">
        <v>48</v>
      </c>
      <c r="J20" s="40" t="str">
        <f>TEXT(C3,"ddd")</f>
        <v>ter</v>
      </c>
      <c r="K20" s="60">
        <v>1</v>
      </c>
    </row>
    <row r="21" spans="1:11" x14ac:dyDescent="0.25">
      <c r="A21" s="4">
        <v>17</v>
      </c>
      <c r="B21" s="38"/>
      <c r="C21" s="38"/>
      <c r="D21" s="38"/>
      <c r="E21" s="38"/>
      <c r="F21" s="38"/>
      <c r="G21" s="38"/>
      <c r="H21" s="38"/>
      <c r="I21" s="40" t="s">
        <v>49</v>
      </c>
      <c r="J21" s="40" t="str">
        <f>TEXT(D3,"ddd")</f>
        <v>qua</v>
      </c>
      <c r="K21" s="60">
        <v>2</v>
      </c>
    </row>
    <row r="22" spans="1:11" x14ac:dyDescent="0.25">
      <c r="A22" s="4">
        <v>18</v>
      </c>
      <c r="B22" s="38"/>
      <c r="C22" s="38"/>
      <c r="D22" s="38"/>
      <c r="E22" s="38"/>
      <c r="F22" s="38"/>
      <c r="G22" s="38"/>
      <c r="H22" s="38"/>
      <c r="I22" s="40" t="s">
        <v>50</v>
      </c>
      <c r="J22" s="40" t="str">
        <f>TEXT(E3,"ddd")</f>
        <v>qui</v>
      </c>
      <c r="K22" s="60">
        <v>6</v>
      </c>
    </row>
    <row r="23" spans="1:11" x14ac:dyDescent="0.25">
      <c r="A23" s="4">
        <v>19</v>
      </c>
      <c r="B23" s="38"/>
      <c r="C23" s="38" t="s">
        <v>2</v>
      </c>
      <c r="D23" s="38"/>
      <c r="E23" s="38"/>
      <c r="F23" s="38"/>
      <c r="G23" s="38"/>
      <c r="H23" s="38"/>
      <c r="I23" s="40" t="s">
        <v>51</v>
      </c>
      <c r="J23" s="40" t="str">
        <f>TEXT(F3,"ddd")</f>
        <v>sex</v>
      </c>
      <c r="K23" s="60">
        <v>3</v>
      </c>
    </row>
    <row r="24" spans="1:11" x14ac:dyDescent="0.25">
      <c r="A24" s="4">
        <v>20</v>
      </c>
      <c r="B24" s="38" t="s">
        <v>2</v>
      </c>
      <c r="C24" s="38"/>
      <c r="D24" s="38"/>
      <c r="E24" s="38"/>
      <c r="F24" s="38"/>
      <c r="G24" s="38"/>
      <c r="H24" s="38"/>
      <c r="I24" s="40" t="s">
        <v>52</v>
      </c>
      <c r="J24" s="40" t="str">
        <f>TEXT(G3,"ddd")</f>
        <v>sáb</v>
      </c>
      <c r="K24" s="60">
        <v>5</v>
      </c>
    </row>
    <row r="25" spans="1:11" x14ac:dyDescent="0.25">
      <c r="A25" s="4">
        <v>21</v>
      </c>
      <c r="B25" s="38"/>
      <c r="C25" s="38"/>
      <c r="D25" s="38"/>
      <c r="E25" s="38"/>
      <c r="F25" s="38"/>
      <c r="G25" s="38"/>
      <c r="H25" s="38"/>
      <c r="I25" s="40" t="s">
        <v>53</v>
      </c>
      <c r="J25" s="40" t="str">
        <f>TEXT(H3,"ddd")</f>
        <v>dom</v>
      </c>
      <c r="K25" s="60">
        <v>4</v>
      </c>
    </row>
    <row r="26" spans="1:11" x14ac:dyDescent="0.25">
      <c r="A26" s="4">
        <v>22</v>
      </c>
      <c r="B26" s="38"/>
      <c r="C26" s="38"/>
      <c r="D26" s="38"/>
      <c r="E26" s="38"/>
      <c r="F26" s="38"/>
      <c r="G26" s="38"/>
      <c r="H26" s="38" t="s">
        <v>2</v>
      </c>
    </row>
    <row r="27" spans="1:11" x14ac:dyDescent="0.25">
      <c r="A27" s="4">
        <v>23</v>
      </c>
      <c r="B27" s="38" t="s">
        <v>7</v>
      </c>
      <c r="C27" s="38"/>
      <c r="D27" s="38" t="s">
        <v>6</v>
      </c>
      <c r="E27" s="38" t="s">
        <v>6</v>
      </c>
      <c r="F27" s="38" t="s">
        <v>7</v>
      </c>
      <c r="G27" s="38"/>
      <c r="H27" s="38" t="s">
        <v>2</v>
      </c>
      <c r="I27" s="71" t="s">
        <v>45</v>
      </c>
      <c r="J27" s="72"/>
      <c r="K27" s="72"/>
    </row>
    <row r="28" spans="1:11" x14ac:dyDescent="0.25">
      <c r="A28" s="4">
        <v>24</v>
      </c>
      <c r="B28" s="38"/>
      <c r="C28" s="38" t="s">
        <v>2</v>
      </c>
      <c r="D28" s="38" t="s">
        <v>2</v>
      </c>
      <c r="E28" s="38"/>
      <c r="F28" s="38" t="s">
        <v>2</v>
      </c>
      <c r="G28" s="38"/>
      <c r="H28" s="38" t="s">
        <v>2</v>
      </c>
      <c r="I28" s="71" t="s">
        <v>54</v>
      </c>
      <c r="J28" s="72"/>
      <c r="K28" t="s">
        <v>32</v>
      </c>
    </row>
    <row r="29" spans="1:11" x14ac:dyDescent="0.25">
      <c r="A29" s="4">
        <v>25</v>
      </c>
      <c r="B29" s="38" t="s">
        <v>2</v>
      </c>
      <c r="C29" s="38"/>
      <c r="D29" s="38" t="s">
        <v>2</v>
      </c>
      <c r="E29" s="38"/>
      <c r="F29" s="38" t="s">
        <v>2</v>
      </c>
      <c r="G29" s="38"/>
      <c r="H29" s="38" t="s">
        <v>2</v>
      </c>
      <c r="I29" s="40" t="s">
        <v>47</v>
      </c>
      <c r="J29" s="40" t="str">
        <f t="shared" ref="J29:J35" si="4">J19</f>
        <v>seg</v>
      </c>
      <c r="K29" s="60"/>
    </row>
    <row r="30" spans="1:11" x14ac:dyDescent="0.25">
      <c r="A30" s="4">
        <v>26</v>
      </c>
      <c r="B30" s="38" t="s">
        <v>2</v>
      </c>
      <c r="C30" s="38"/>
      <c r="D30" s="38" t="s">
        <v>2</v>
      </c>
      <c r="E30" s="38"/>
      <c r="F30" s="38" t="s">
        <v>2</v>
      </c>
      <c r="G30" s="38"/>
      <c r="H30" s="38" t="s">
        <v>2</v>
      </c>
      <c r="I30" s="40" t="s">
        <v>48</v>
      </c>
      <c r="J30" s="40" t="str">
        <f t="shared" si="4"/>
        <v>ter</v>
      </c>
      <c r="K30" s="60">
        <v>1</v>
      </c>
    </row>
    <row r="31" spans="1:11" x14ac:dyDescent="0.25">
      <c r="A31" s="4">
        <v>27</v>
      </c>
      <c r="B31" s="38"/>
      <c r="C31" s="38"/>
      <c r="D31" s="38"/>
      <c r="E31" s="38"/>
      <c r="F31" s="38"/>
      <c r="G31" s="38"/>
      <c r="H31" s="38"/>
      <c r="I31" s="40" t="s">
        <v>49</v>
      </c>
      <c r="J31" s="40" t="str">
        <f t="shared" si="4"/>
        <v>qua</v>
      </c>
      <c r="K31" s="60"/>
    </row>
    <row r="32" spans="1:11" x14ac:dyDescent="0.25">
      <c r="A32" s="4">
        <v>28</v>
      </c>
      <c r="B32" s="38"/>
      <c r="C32" s="38"/>
      <c r="D32" s="38"/>
      <c r="E32" s="38"/>
      <c r="F32" s="38"/>
      <c r="G32" s="38"/>
      <c r="H32" s="38"/>
      <c r="I32" s="40" t="s">
        <v>50</v>
      </c>
      <c r="J32" s="40" t="str">
        <f t="shared" si="4"/>
        <v>qui</v>
      </c>
      <c r="K32" s="60">
        <v>4</v>
      </c>
    </row>
    <row r="33" spans="1:11" x14ac:dyDescent="0.25">
      <c r="A33" s="4">
        <v>29</v>
      </c>
      <c r="B33" s="38" t="s">
        <v>2</v>
      </c>
      <c r="C33" s="38"/>
      <c r="D33" s="38"/>
      <c r="E33" s="38"/>
      <c r="F33" s="38"/>
      <c r="G33" s="38"/>
      <c r="H33" s="38" t="s">
        <v>2</v>
      </c>
      <c r="I33" s="40" t="s">
        <v>51</v>
      </c>
      <c r="J33" s="40" t="str">
        <f t="shared" si="4"/>
        <v>sex</v>
      </c>
      <c r="K33" s="60"/>
    </row>
    <row r="34" spans="1:11" x14ac:dyDescent="0.25">
      <c r="A34" s="4">
        <v>30</v>
      </c>
      <c r="B34" s="38"/>
      <c r="C34" s="38" t="s">
        <v>2</v>
      </c>
      <c r="D34" s="38" t="s">
        <v>7</v>
      </c>
      <c r="E34" s="38"/>
      <c r="F34" s="38" t="s">
        <v>7</v>
      </c>
      <c r="G34" s="38" t="s">
        <v>7</v>
      </c>
      <c r="H34" s="38" t="s">
        <v>2</v>
      </c>
      <c r="I34" s="40" t="s">
        <v>52</v>
      </c>
      <c r="J34" s="40" t="str">
        <f t="shared" si="4"/>
        <v>sáb</v>
      </c>
      <c r="K34" s="60">
        <v>1</v>
      </c>
    </row>
    <row r="35" spans="1:11" x14ac:dyDescent="0.25">
      <c r="A35" s="4">
        <v>31</v>
      </c>
      <c r="B35" s="38" t="s">
        <v>7</v>
      </c>
      <c r="C35" s="38" t="s">
        <v>7</v>
      </c>
      <c r="D35" s="38" t="s">
        <v>7</v>
      </c>
      <c r="E35" s="38"/>
      <c r="F35" s="38" t="s">
        <v>2</v>
      </c>
      <c r="G35" s="38"/>
      <c r="H35" s="38" t="s">
        <v>2</v>
      </c>
      <c r="I35" s="40" t="s">
        <v>53</v>
      </c>
      <c r="J35" s="40" t="str">
        <f t="shared" si="4"/>
        <v>dom</v>
      </c>
      <c r="K35" s="60"/>
    </row>
    <row r="36" spans="1:11" x14ac:dyDescent="0.25">
      <c r="A36" s="4">
        <v>32</v>
      </c>
      <c r="B36" s="38" t="s">
        <v>2</v>
      </c>
      <c r="C36" s="38"/>
      <c r="D36" s="38" t="s">
        <v>7</v>
      </c>
      <c r="E36" s="38"/>
      <c r="F36" s="38" t="s">
        <v>2</v>
      </c>
      <c r="G36" s="38" t="s">
        <v>2</v>
      </c>
      <c r="H36" s="38" t="s">
        <v>2</v>
      </c>
    </row>
    <row r="37" spans="1:11" x14ac:dyDescent="0.25">
      <c r="A37" s="4">
        <v>33</v>
      </c>
      <c r="B37" s="38" t="s">
        <v>2</v>
      </c>
      <c r="C37" s="38" t="s">
        <v>5</v>
      </c>
      <c r="D37" s="38" t="s">
        <v>5</v>
      </c>
      <c r="E37" s="38" t="s">
        <v>2</v>
      </c>
      <c r="F37" s="38" t="s">
        <v>2</v>
      </c>
      <c r="G37" s="38" t="s">
        <v>2</v>
      </c>
      <c r="H37" s="38" t="s">
        <v>2</v>
      </c>
    </row>
    <row r="38" spans="1:11" x14ac:dyDescent="0.25">
      <c r="A38" s="4">
        <v>34</v>
      </c>
      <c r="B38" s="38"/>
      <c r="C38" s="38"/>
      <c r="D38" s="38"/>
      <c r="E38" s="38"/>
      <c r="F38" s="38"/>
      <c r="G38" s="38"/>
      <c r="H38" s="38"/>
    </row>
    <row r="39" spans="1:11" x14ac:dyDescent="0.25">
      <c r="A39" s="4">
        <v>35</v>
      </c>
      <c r="B39" s="38" t="s">
        <v>2</v>
      </c>
      <c r="C39" s="38"/>
      <c r="D39" s="38"/>
      <c r="E39" s="38"/>
      <c r="F39" s="38" t="s">
        <v>2</v>
      </c>
      <c r="G39" s="38"/>
      <c r="H39" s="38"/>
    </row>
    <row r="40" spans="1:11" x14ac:dyDescent="0.25">
      <c r="A40" s="4">
        <v>36</v>
      </c>
      <c r="B40" s="38"/>
      <c r="C40" s="38"/>
      <c r="D40" s="38"/>
      <c r="E40" s="38"/>
      <c r="F40" s="38"/>
      <c r="G40" s="38" t="s">
        <v>2</v>
      </c>
      <c r="H40" s="38" t="s">
        <v>2</v>
      </c>
    </row>
    <row r="41" spans="1:11" x14ac:dyDescent="0.25">
      <c r="A41" s="4">
        <v>37</v>
      </c>
      <c r="B41" s="38"/>
      <c r="C41" s="38" t="s">
        <v>2</v>
      </c>
      <c r="D41" s="38"/>
      <c r="E41" s="38"/>
      <c r="F41" s="38"/>
      <c r="G41" s="38" t="s">
        <v>2</v>
      </c>
      <c r="H41" s="38"/>
    </row>
    <row r="42" spans="1:11" x14ac:dyDescent="0.25">
      <c r="A42" s="4">
        <v>38</v>
      </c>
      <c r="B42" s="38"/>
      <c r="C42" s="38"/>
      <c r="D42" s="38"/>
      <c r="E42" s="38"/>
      <c r="F42" s="38"/>
      <c r="G42" s="38"/>
      <c r="H42" s="38"/>
    </row>
    <row r="43" spans="1:11" x14ac:dyDescent="0.25">
      <c r="A43" s="4">
        <v>39</v>
      </c>
      <c r="B43" s="38"/>
      <c r="C43" s="38"/>
      <c r="D43" s="38"/>
      <c r="E43" s="38"/>
      <c r="F43" s="38"/>
      <c r="G43" s="38"/>
      <c r="H43" s="38"/>
    </row>
    <row r="44" spans="1:11" x14ac:dyDescent="0.25">
      <c r="A44" s="4">
        <v>40</v>
      </c>
      <c r="B44" s="38"/>
      <c r="C44" s="38"/>
      <c r="D44" s="38"/>
      <c r="E44" s="38"/>
      <c r="F44" s="38"/>
      <c r="G44" s="38"/>
      <c r="H44" s="38"/>
    </row>
    <row r="45" spans="1:11" x14ac:dyDescent="0.25">
      <c r="A45" s="4">
        <v>41</v>
      </c>
      <c r="B45" s="38"/>
      <c r="C45" s="38"/>
      <c r="D45" s="38"/>
      <c r="E45" s="38"/>
      <c r="F45" s="38"/>
      <c r="G45" s="38"/>
      <c r="H45" s="38"/>
    </row>
    <row r="46" spans="1:11" x14ac:dyDescent="0.25">
      <c r="A46" s="4">
        <v>42</v>
      </c>
      <c r="B46" s="38"/>
      <c r="C46" s="38"/>
      <c r="D46" s="38"/>
      <c r="E46" s="38"/>
      <c r="F46" s="38"/>
      <c r="G46" s="38"/>
      <c r="H46" s="38"/>
    </row>
    <row r="47" spans="1:11" x14ac:dyDescent="0.25">
      <c r="A47" s="4">
        <v>43</v>
      </c>
      <c r="B47" s="38" t="s">
        <v>2</v>
      </c>
      <c r="C47" s="38" t="s">
        <v>2</v>
      </c>
      <c r="D47" s="38"/>
      <c r="E47" s="38"/>
      <c r="F47" s="38" t="s">
        <v>2</v>
      </c>
      <c r="G47" s="38"/>
      <c r="H47" s="38" t="s">
        <v>2</v>
      </c>
    </row>
    <row r="48" spans="1:11" x14ac:dyDescent="0.25">
      <c r="A48" s="4">
        <v>44</v>
      </c>
      <c r="B48" s="38"/>
      <c r="C48" s="38"/>
      <c r="D48" s="38"/>
      <c r="E48" s="38"/>
      <c r="F48" s="38" t="s">
        <v>7</v>
      </c>
      <c r="G48" s="38" t="s">
        <v>7</v>
      </c>
      <c r="H48" s="38"/>
    </row>
    <row r="49" spans="1:11" x14ac:dyDescent="0.25">
      <c r="A49" s="4">
        <v>45</v>
      </c>
      <c r="B49" s="38"/>
      <c r="C49" s="38" t="s">
        <v>2</v>
      </c>
      <c r="D49" s="38"/>
      <c r="E49" s="38"/>
      <c r="F49" s="38" t="s">
        <v>2</v>
      </c>
      <c r="G49" s="38"/>
      <c r="H49" s="38"/>
    </row>
    <row r="50" spans="1:11" x14ac:dyDescent="0.25">
      <c r="A50" s="4">
        <v>46</v>
      </c>
      <c r="B50" s="38"/>
      <c r="C50" s="38" t="s">
        <v>2</v>
      </c>
      <c r="D50" s="38" t="s">
        <v>7</v>
      </c>
      <c r="E50" s="38"/>
      <c r="F50" s="38" t="s">
        <v>2</v>
      </c>
      <c r="G50" s="38"/>
      <c r="H50" s="38" t="s">
        <v>2</v>
      </c>
    </row>
    <row r="51" spans="1:11" x14ac:dyDescent="0.25">
      <c r="A51" s="4">
        <v>47</v>
      </c>
      <c r="B51" s="38" t="s">
        <v>2</v>
      </c>
      <c r="C51" s="38" t="s">
        <v>7</v>
      </c>
      <c r="D51" s="38" t="s">
        <v>7</v>
      </c>
      <c r="E51" s="38"/>
      <c r="F51" s="38" t="s">
        <v>2</v>
      </c>
      <c r="G51" s="38"/>
      <c r="H51" s="38" t="s">
        <v>7</v>
      </c>
    </row>
    <row r="52" spans="1:11" x14ac:dyDescent="0.25">
      <c r="A52" s="4">
        <v>48</v>
      </c>
      <c r="B52" s="38"/>
      <c r="C52" s="38" t="s">
        <v>2</v>
      </c>
      <c r="D52" s="38"/>
      <c r="E52" s="38"/>
      <c r="F52" s="38"/>
      <c r="G52" s="38" t="s">
        <v>2</v>
      </c>
      <c r="H52" s="38"/>
    </row>
    <row r="53" spans="1:11" x14ac:dyDescent="0.25">
      <c r="A53" s="4">
        <v>49</v>
      </c>
      <c r="B53" s="38" t="s">
        <v>7</v>
      </c>
      <c r="C53" s="38"/>
      <c r="D53" s="38"/>
      <c r="E53" s="38"/>
      <c r="F53" s="38" t="s">
        <v>2</v>
      </c>
      <c r="G53" s="38"/>
      <c r="H53" s="38" t="s">
        <v>2</v>
      </c>
      <c r="K53" t="s">
        <v>68</v>
      </c>
    </row>
    <row r="54" spans="1:11" x14ac:dyDescent="0.25">
      <c r="A54" s="4">
        <v>50</v>
      </c>
      <c r="B54" s="38" t="s">
        <v>2</v>
      </c>
      <c r="C54" s="38" t="s">
        <v>2</v>
      </c>
      <c r="D54" s="38" t="s">
        <v>2</v>
      </c>
      <c r="E54" s="38" t="s">
        <v>2</v>
      </c>
      <c r="F54" s="38" t="s">
        <v>2</v>
      </c>
      <c r="G54" s="38"/>
      <c r="H54" s="38" t="s">
        <v>2</v>
      </c>
    </row>
    <row r="55" spans="1:11" x14ac:dyDescent="0.25">
      <c r="A55" s="4">
        <v>51</v>
      </c>
      <c r="B55" s="38" t="s">
        <v>2</v>
      </c>
      <c r="C55" s="38" t="s">
        <v>2</v>
      </c>
      <c r="D55" s="38" t="s">
        <v>2</v>
      </c>
      <c r="E55" s="38" t="s">
        <v>2</v>
      </c>
      <c r="F55" s="38" t="s">
        <v>2</v>
      </c>
      <c r="G55" s="38" t="s">
        <v>2</v>
      </c>
      <c r="H55" s="38" t="s">
        <v>2</v>
      </c>
    </row>
    <row r="56" spans="1:11" x14ac:dyDescent="0.25">
      <c r="A56" s="4">
        <v>52</v>
      </c>
      <c r="B56" s="38" t="s">
        <v>2</v>
      </c>
      <c r="C56" s="38"/>
      <c r="D56" s="38" t="s">
        <v>2</v>
      </c>
      <c r="E56" s="38"/>
      <c r="F56" s="38" t="s">
        <v>2</v>
      </c>
      <c r="G56" s="38" t="s">
        <v>7</v>
      </c>
      <c r="H56" s="38" t="s">
        <v>7</v>
      </c>
    </row>
    <row r="57" spans="1:11" x14ac:dyDescent="0.25">
      <c r="A57" s="4">
        <v>53</v>
      </c>
      <c r="B57" s="38"/>
      <c r="C57" s="38" t="s">
        <v>2</v>
      </c>
      <c r="D57" s="38"/>
      <c r="E57" s="38"/>
      <c r="F57" s="38"/>
      <c r="G57" s="38"/>
      <c r="H57" s="38"/>
    </row>
    <row r="58" spans="1:11" x14ac:dyDescent="0.25">
      <c r="A58" s="4">
        <v>54</v>
      </c>
      <c r="B58" s="38"/>
      <c r="C58" s="38"/>
      <c r="D58" s="38"/>
      <c r="E58" s="38"/>
      <c r="F58" s="38"/>
      <c r="G58" s="38" t="s">
        <v>2</v>
      </c>
      <c r="H58" s="38"/>
    </row>
    <row r="59" spans="1:11" x14ac:dyDescent="0.25">
      <c r="A59" s="4">
        <v>55</v>
      </c>
      <c r="B59" s="38"/>
      <c r="C59" s="38"/>
      <c r="D59" s="38"/>
      <c r="E59" s="38"/>
      <c r="F59" s="38"/>
      <c r="G59" s="38"/>
      <c r="H59" s="38"/>
    </row>
    <row r="60" spans="1:11" x14ac:dyDescent="0.25">
      <c r="A60" s="4">
        <v>56</v>
      </c>
      <c r="B60" s="38"/>
      <c r="C60" s="38"/>
      <c r="D60" s="38"/>
      <c r="E60" s="38"/>
      <c r="F60" s="38"/>
      <c r="G60" s="38"/>
      <c r="H60" s="38"/>
    </row>
    <row r="61" spans="1:11" x14ac:dyDescent="0.25">
      <c r="A61" s="4">
        <v>73</v>
      </c>
      <c r="B61" s="38" t="s">
        <v>7</v>
      </c>
      <c r="C61" s="38" t="s">
        <v>7</v>
      </c>
      <c r="D61" s="38" t="s">
        <v>7</v>
      </c>
      <c r="E61" s="38"/>
      <c r="F61" s="38"/>
      <c r="G61" s="38" t="s">
        <v>7</v>
      </c>
      <c r="H61" s="38" t="s">
        <v>7</v>
      </c>
    </row>
    <row r="62" spans="1:11" x14ac:dyDescent="0.25">
      <c r="A62" s="4">
        <v>74</v>
      </c>
      <c r="B62" s="38"/>
      <c r="C62" s="38"/>
      <c r="D62" s="38"/>
      <c r="E62" s="38"/>
      <c r="F62" s="38" t="s">
        <v>7</v>
      </c>
      <c r="G62" s="38" t="s">
        <v>7</v>
      </c>
      <c r="H62" s="38" t="s">
        <v>7</v>
      </c>
    </row>
    <row r="63" spans="1:11" x14ac:dyDescent="0.25">
      <c r="A63" s="4">
        <v>101</v>
      </c>
      <c r="B63" s="39" t="s">
        <v>2</v>
      </c>
      <c r="C63" s="38"/>
      <c r="D63" s="38" t="s">
        <v>2</v>
      </c>
      <c r="E63" s="38"/>
      <c r="F63" s="38" t="s">
        <v>2</v>
      </c>
      <c r="G63" s="38"/>
      <c r="H63" s="38" t="s">
        <v>2</v>
      </c>
    </row>
    <row r="64" spans="1:11" x14ac:dyDescent="0.25">
      <c r="A64" s="4">
        <v>102</v>
      </c>
      <c r="B64" s="38"/>
      <c r="C64" s="38" t="s">
        <v>2</v>
      </c>
      <c r="D64" s="38"/>
      <c r="E64" s="38"/>
      <c r="F64" s="38"/>
      <c r="G64" s="38"/>
      <c r="H64" s="38"/>
    </row>
    <row r="65" spans="1:8" x14ac:dyDescent="0.25">
      <c r="A65" s="4">
        <v>103</v>
      </c>
      <c r="B65" s="38"/>
      <c r="C65" s="38" t="s">
        <v>7</v>
      </c>
      <c r="D65" s="38" t="s">
        <v>2</v>
      </c>
      <c r="E65" s="38"/>
      <c r="F65" s="38"/>
      <c r="G65" s="38" t="s">
        <v>2</v>
      </c>
      <c r="H65" s="38"/>
    </row>
    <row r="66" spans="1:8" x14ac:dyDescent="0.25">
      <c r="A66" s="4">
        <v>104</v>
      </c>
      <c r="B66" s="38"/>
      <c r="C66" s="38" t="s">
        <v>7</v>
      </c>
      <c r="D66" s="38"/>
      <c r="E66" s="38"/>
      <c r="F66" s="38" t="s">
        <v>2</v>
      </c>
      <c r="G66" s="38"/>
      <c r="H66" s="38" t="s">
        <v>2</v>
      </c>
    </row>
    <row r="67" spans="1:8" x14ac:dyDescent="0.25">
      <c r="A67" s="4">
        <v>105</v>
      </c>
      <c r="B67" s="38"/>
      <c r="C67" s="38"/>
      <c r="D67" s="38"/>
      <c r="E67" s="38"/>
      <c r="F67" s="38"/>
      <c r="G67" s="38"/>
      <c r="H67" s="38"/>
    </row>
    <row r="68" spans="1:8" x14ac:dyDescent="0.25">
      <c r="A68" s="4">
        <v>106</v>
      </c>
      <c r="B68" s="38"/>
      <c r="C68" s="38"/>
      <c r="D68" s="38"/>
      <c r="E68" s="38"/>
      <c r="F68" s="38"/>
      <c r="G68" s="38"/>
      <c r="H68" s="38"/>
    </row>
    <row r="69" spans="1:8" x14ac:dyDescent="0.25">
      <c r="A69" s="4">
        <v>107</v>
      </c>
      <c r="B69" s="38"/>
      <c r="C69" s="38"/>
      <c r="D69" s="38"/>
      <c r="E69" s="38"/>
      <c r="F69" s="38"/>
      <c r="G69" s="38"/>
      <c r="H69" s="38"/>
    </row>
    <row r="70" spans="1:8" x14ac:dyDescent="0.25">
      <c r="A70" s="4">
        <v>108</v>
      </c>
      <c r="B70" s="38"/>
      <c r="C70" s="38"/>
      <c r="D70" s="38"/>
      <c r="E70" s="38"/>
      <c r="F70" s="38"/>
      <c r="G70" s="38"/>
      <c r="H70" s="38" t="s">
        <v>2</v>
      </c>
    </row>
    <row r="71" spans="1:8" x14ac:dyDescent="0.25">
      <c r="A71" s="4">
        <v>109</v>
      </c>
      <c r="B71" s="38"/>
      <c r="C71" s="38"/>
      <c r="D71" s="38"/>
      <c r="E71" s="38"/>
      <c r="F71" s="38"/>
      <c r="G71" s="38"/>
      <c r="H71" s="38"/>
    </row>
    <row r="72" spans="1:8" x14ac:dyDescent="0.25">
      <c r="A72" s="4">
        <v>110</v>
      </c>
      <c r="B72" s="38"/>
      <c r="C72" s="38"/>
      <c r="D72" s="38"/>
      <c r="E72" s="38"/>
      <c r="F72" s="38"/>
      <c r="G72" s="38"/>
      <c r="H72" s="38"/>
    </row>
    <row r="73" spans="1:8" x14ac:dyDescent="0.25">
      <c r="A73" s="4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4">
        <v>112</v>
      </c>
      <c r="B74" s="38" t="s">
        <v>2</v>
      </c>
      <c r="C74" s="38"/>
      <c r="D74" s="38" t="s">
        <v>2</v>
      </c>
      <c r="E74" s="38"/>
      <c r="F74" s="38" t="s">
        <v>2</v>
      </c>
      <c r="G74" s="38"/>
      <c r="H74" s="38" t="s">
        <v>2</v>
      </c>
    </row>
    <row r="75" spans="1:8" x14ac:dyDescent="0.25">
      <c r="A75" s="4">
        <v>113</v>
      </c>
      <c r="B75" s="38"/>
      <c r="C75" s="38"/>
      <c r="D75" s="38"/>
      <c r="E75" s="38"/>
      <c r="F75" s="38"/>
      <c r="G75" s="38"/>
      <c r="H75" s="38"/>
    </row>
    <row r="76" spans="1:8" x14ac:dyDescent="0.25">
      <c r="A76" s="4">
        <v>114</v>
      </c>
      <c r="B76" s="38" t="s">
        <v>2</v>
      </c>
      <c r="C76" s="38" t="s">
        <v>2</v>
      </c>
      <c r="D76" s="38"/>
      <c r="E76" s="38"/>
      <c r="F76" s="38" t="s">
        <v>2</v>
      </c>
      <c r="G76" s="38" t="s">
        <v>2</v>
      </c>
      <c r="H76" s="38" t="s">
        <v>2</v>
      </c>
    </row>
    <row r="77" spans="1:8" x14ac:dyDescent="0.25">
      <c r="A77" s="4">
        <v>115</v>
      </c>
      <c r="B77" s="38" t="s">
        <v>2</v>
      </c>
      <c r="C77" s="38"/>
      <c r="D77" s="38"/>
      <c r="E77" s="38"/>
      <c r="F77" s="38"/>
      <c r="G77" s="38" t="s">
        <v>2</v>
      </c>
      <c r="H77" s="38"/>
    </row>
    <row r="78" spans="1:8" x14ac:dyDescent="0.25">
      <c r="A78" s="4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4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4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4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4">
        <v>120</v>
      </c>
      <c r="B82" s="38" t="s">
        <v>2</v>
      </c>
      <c r="C82" s="38"/>
      <c r="D82" s="38" t="s">
        <v>2</v>
      </c>
      <c r="E82" s="38"/>
      <c r="F82" s="38" t="s">
        <v>2</v>
      </c>
      <c r="G82" s="38"/>
      <c r="H82" s="38" t="s">
        <v>6</v>
      </c>
    </row>
    <row r="83" spans="1:8" x14ac:dyDescent="0.25">
      <c r="A83" s="4">
        <v>121</v>
      </c>
      <c r="B83" s="38"/>
      <c r="C83" s="38"/>
      <c r="D83" s="38"/>
      <c r="E83" s="38" t="s">
        <v>2</v>
      </c>
      <c r="F83" s="38" t="s">
        <v>2</v>
      </c>
      <c r="G83" s="38" t="s">
        <v>2</v>
      </c>
      <c r="H83" s="38" t="s">
        <v>6</v>
      </c>
    </row>
    <row r="84" spans="1:8" x14ac:dyDescent="0.25">
      <c r="A84" s="4">
        <v>122</v>
      </c>
      <c r="B84" s="38"/>
      <c r="C84" s="38" t="s">
        <v>2</v>
      </c>
      <c r="D84" s="38" t="s">
        <v>2</v>
      </c>
      <c r="E84" s="38"/>
      <c r="F84" s="38" t="s">
        <v>2</v>
      </c>
      <c r="G84" s="38" t="s">
        <v>2</v>
      </c>
      <c r="H84" s="38"/>
    </row>
    <row r="85" spans="1:8" x14ac:dyDescent="0.25">
      <c r="A85" s="4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4">
        <v>124</v>
      </c>
      <c r="B86" s="38"/>
      <c r="C86" s="38" t="s">
        <v>2</v>
      </c>
      <c r="D86" s="38"/>
      <c r="E86" s="38" t="s">
        <v>2</v>
      </c>
      <c r="F86" s="38"/>
      <c r="G86" s="38" t="s">
        <v>5</v>
      </c>
      <c r="H86" s="38"/>
    </row>
    <row r="87" spans="1:8" x14ac:dyDescent="0.25">
      <c r="A87" s="4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4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4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4">
        <v>128</v>
      </c>
      <c r="B90" s="38"/>
      <c r="C90" s="38"/>
      <c r="D90" s="38"/>
      <c r="E90" s="38"/>
      <c r="F90" s="38"/>
      <c r="G90" s="38"/>
      <c r="H90" s="38"/>
    </row>
    <row r="91" spans="1:8" x14ac:dyDescent="0.25">
      <c r="A91" s="4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4">
        <v>130</v>
      </c>
      <c r="B92" s="38"/>
      <c r="C92" s="38"/>
      <c r="D92" s="38"/>
      <c r="E92" s="38"/>
      <c r="F92" s="38"/>
      <c r="G92" s="38"/>
      <c r="H92" s="38"/>
    </row>
    <row r="93" spans="1:8" x14ac:dyDescent="0.25">
      <c r="A93" s="4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4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4">
        <v>133</v>
      </c>
      <c r="B95" s="38" t="s">
        <v>5</v>
      </c>
      <c r="C95" s="38" t="s">
        <v>7</v>
      </c>
      <c r="D95" s="38"/>
      <c r="E95" s="38" t="s">
        <v>2</v>
      </c>
      <c r="F95" s="38" t="s">
        <v>2</v>
      </c>
      <c r="G95" s="38"/>
      <c r="H95" s="38" t="s">
        <v>5</v>
      </c>
    </row>
  </sheetData>
  <mergeCells count="5">
    <mergeCell ref="A1:H2"/>
    <mergeCell ref="I17:K17"/>
    <mergeCell ref="I18:J18"/>
    <mergeCell ref="I27:K27"/>
    <mergeCell ref="I28:J28"/>
  </mergeCells>
  <conditionalFormatting sqref="I5:I16 I29:I60 I19:I26 F63:H65 B66:H95 F15:F18 B5:E65 F61:I62">
    <cfRule type="cellIs" dxfId="596" priority="33" operator="equal">
      <formula>"Energia"</formula>
    </cfRule>
    <cfRule type="cellIs" dxfId="595" priority="35" operator="equal">
      <formula>"Operação"</formula>
    </cfRule>
    <cfRule type="cellIs" dxfId="594" priority="36" operator="equal">
      <formula>"Chuva"</formula>
    </cfRule>
    <cfRule type="cellIs" dxfId="593" priority="37" operator="equal">
      <formula>"Elétrico"</formula>
    </cfRule>
    <cfRule type="cellIs" dxfId="592" priority="38" operator="equal">
      <formula>"Mecânico"</formula>
    </cfRule>
    <cfRule type="cellIs" dxfId="591" priority="39" operator="equal">
      <formula>"Ok"</formula>
    </cfRule>
  </conditionalFormatting>
  <conditionalFormatting sqref="I5:I16 I29:I60 I19:I26 F63:H65 B66:H95 F15:F18 B5:E65 F61:I62">
    <cfRule type="cellIs" dxfId="590" priority="34" operator="equal">
      <formula>"Feito"</formula>
    </cfRule>
  </conditionalFormatting>
  <conditionalFormatting sqref="J7">
    <cfRule type="iconSet" priority="32">
      <iconSet iconSet="3Arrows">
        <cfvo type="percent" val="0"/>
        <cfvo type="percent" val="33"/>
        <cfvo type="percent" val="67"/>
      </iconSet>
    </cfRule>
  </conditionalFormatting>
  <conditionalFormatting sqref="G5:G56 C13 B5:E11 H9:H10 H18">
    <cfRule type="cellIs" dxfId="589" priority="31" operator="equal">
      <formula>"Energia"</formula>
    </cfRule>
  </conditionalFormatting>
  <conditionalFormatting sqref="F53 G5:H55 G57:H60 G56">
    <cfRule type="cellIs" dxfId="588" priority="24" operator="equal">
      <formula>"Energia"</formula>
    </cfRule>
    <cfRule type="cellIs" dxfId="587" priority="26" operator="equal">
      <formula>"Operação"</formula>
    </cfRule>
    <cfRule type="cellIs" dxfId="586" priority="27" operator="equal">
      <formula>"Chuva"</formula>
    </cfRule>
    <cfRule type="cellIs" dxfId="585" priority="28" operator="equal">
      <formula>"Elétrico"</formula>
    </cfRule>
    <cfRule type="cellIs" dxfId="584" priority="29" operator="equal">
      <formula>"Mecânico"</formula>
    </cfRule>
    <cfRule type="cellIs" dxfId="583" priority="30" operator="equal">
      <formula>"Ok"</formula>
    </cfRule>
  </conditionalFormatting>
  <conditionalFormatting sqref="F53 G5:H55 G57:H60 G56">
    <cfRule type="cellIs" dxfId="582" priority="25" operator="equal">
      <formula>"Feito"</formula>
    </cfRule>
  </conditionalFormatting>
  <conditionalFormatting sqref="F6:F11">
    <cfRule type="cellIs" dxfId="581" priority="23" operator="equal">
      <formula>"Energia"</formula>
    </cfRule>
  </conditionalFormatting>
  <conditionalFormatting sqref="F54:F60 F6:F14 F19:F52">
    <cfRule type="cellIs" dxfId="580" priority="16" operator="equal">
      <formula>"Energia"</formula>
    </cfRule>
    <cfRule type="cellIs" dxfId="579" priority="18" operator="equal">
      <formula>"Operação"</formula>
    </cfRule>
    <cfRule type="cellIs" dxfId="578" priority="19" operator="equal">
      <formula>"Chuva"</formula>
    </cfRule>
    <cfRule type="cellIs" dxfId="577" priority="20" operator="equal">
      <formula>"Elétrico"</formula>
    </cfRule>
    <cfRule type="cellIs" dxfId="576" priority="21" operator="equal">
      <formula>"Mecânico"</formula>
    </cfRule>
    <cfRule type="cellIs" dxfId="575" priority="22" operator="equal">
      <formula>"Ok"</formula>
    </cfRule>
  </conditionalFormatting>
  <conditionalFormatting sqref="F54:F60 F6:F14 F19:F52">
    <cfRule type="cellIs" dxfId="574" priority="17" operator="equal">
      <formula>"Feito"</formula>
    </cfRule>
  </conditionalFormatting>
  <conditionalFormatting sqref="F5">
    <cfRule type="cellIs" dxfId="573" priority="9" operator="equal">
      <formula>"Energia"</formula>
    </cfRule>
    <cfRule type="cellIs" dxfId="572" priority="11" operator="equal">
      <formula>"Operação"</formula>
    </cfRule>
    <cfRule type="cellIs" dxfId="571" priority="12" operator="equal">
      <formula>"Chuva"</formula>
    </cfRule>
    <cfRule type="cellIs" dxfId="570" priority="13" operator="equal">
      <formula>"Elétrico"</formula>
    </cfRule>
    <cfRule type="cellIs" dxfId="569" priority="14" operator="equal">
      <formula>"Mecânico"</formula>
    </cfRule>
    <cfRule type="cellIs" dxfId="568" priority="15" operator="equal">
      <formula>"Ok"</formula>
    </cfRule>
  </conditionalFormatting>
  <conditionalFormatting sqref="F5">
    <cfRule type="cellIs" dxfId="567" priority="10" operator="equal">
      <formula>"Feito"</formula>
    </cfRule>
  </conditionalFormatting>
  <conditionalFormatting sqref="F5">
    <cfRule type="cellIs" dxfId="566" priority="8" operator="equal">
      <formula>"Energia"</formula>
    </cfRule>
  </conditionalFormatting>
  <conditionalFormatting sqref="H56">
    <cfRule type="cellIs" dxfId="565" priority="1" operator="equal">
      <formula>"Energia"</formula>
    </cfRule>
    <cfRule type="cellIs" dxfId="564" priority="3" operator="equal">
      <formula>"Operação"</formula>
    </cfRule>
    <cfRule type="cellIs" dxfId="563" priority="4" operator="equal">
      <formula>"Chuva"</formula>
    </cfRule>
    <cfRule type="cellIs" dxfId="562" priority="5" operator="equal">
      <formula>"Elétrico"</formula>
    </cfRule>
    <cfRule type="cellIs" dxfId="561" priority="6" operator="equal">
      <formula>"Mecânico"</formula>
    </cfRule>
    <cfRule type="cellIs" dxfId="560" priority="7" operator="equal">
      <formula>"Ok"</formula>
    </cfRule>
  </conditionalFormatting>
  <conditionalFormatting sqref="H56">
    <cfRule type="cellIs" dxfId="559" priority="2" operator="equal">
      <formula>"Feito"</formula>
    </cfRule>
  </conditionalFormatting>
  <dataValidations count="1">
    <dataValidation type="list" allowBlank="1" showInputMessage="1" showErrorMessage="1" sqref="I5:I16 J36:J60 I29:I62 I19:I26 B5:H95" xr:uid="{8BB5D347-5A67-4152-B963-BBD4AFF67357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EF49-75DB-4CC5-9A4E-FDEB0C120AD9}">
  <sheetPr>
    <tabColor theme="8"/>
  </sheetPr>
  <dimension ref="A1:Q95"/>
  <sheetViews>
    <sheetView showGridLines="0" zoomScaleNormal="100" workbookViewId="0">
      <pane ySplit="4" topLeftCell="A44" activePane="bottomLeft" state="frozen"/>
      <selection pane="bottomLeft" activeCell="G14" sqref="G1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75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4" t="s">
        <v>16</v>
      </c>
      <c r="B3" s="23">
        <v>44809</v>
      </c>
      <c r="C3" s="23">
        <f>B3+1</f>
        <v>44810</v>
      </c>
      <c r="D3" s="23">
        <f t="shared" ref="D3:H3" si="0">C3+1</f>
        <v>44811</v>
      </c>
      <c r="E3" s="23">
        <f t="shared" si="0"/>
        <v>44812</v>
      </c>
      <c r="F3" s="23">
        <f t="shared" si="0"/>
        <v>44813</v>
      </c>
      <c r="G3" s="23">
        <f t="shared" si="0"/>
        <v>44814</v>
      </c>
      <c r="H3" s="25">
        <f t="shared" si="0"/>
        <v>44815</v>
      </c>
      <c r="I3" s="3"/>
    </row>
    <row r="4" spans="1:17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  <c r="Q4" t="s">
        <v>34</v>
      </c>
    </row>
    <row r="5" spans="1:17" x14ac:dyDescent="0.25">
      <c r="A5" s="4">
        <v>1</v>
      </c>
      <c r="B5" s="38" t="s">
        <v>2</v>
      </c>
      <c r="C5" s="38"/>
      <c r="D5" s="38" t="s">
        <v>2</v>
      </c>
      <c r="E5" s="38" t="s">
        <v>2</v>
      </c>
      <c r="F5" s="38" t="s">
        <v>2</v>
      </c>
      <c r="G5" s="38" t="s">
        <v>2</v>
      </c>
      <c r="H5" s="38"/>
      <c r="J5" s="48" t="s">
        <v>2</v>
      </c>
      <c r="K5">
        <f>COUNTIF($B$5:$H$95,J5)</f>
        <v>185</v>
      </c>
      <c r="L5" s="34">
        <f t="shared" ref="L5:L10" si="2">K5/$K$11</f>
        <v>0.88942307692307687</v>
      </c>
      <c r="M5" s="52">
        <f>B3</f>
        <v>44809</v>
      </c>
      <c r="O5" t="s">
        <v>44</v>
      </c>
      <c r="P5">
        <v>175</v>
      </c>
      <c r="Q5" s="52">
        <f>M5</f>
        <v>44809</v>
      </c>
    </row>
    <row r="6" spans="1:17" x14ac:dyDescent="0.25">
      <c r="A6" s="4">
        <v>2</v>
      </c>
      <c r="B6" s="38"/>
      <c r="C6" s="38"/>
      <c r="D6" s="38"/>
      <c r="E6" s="38"/>
      <c r="F6" s="38"/>
      <c r="G6" s="38"/>
      <c r="H6" s="38"/>
      <c r="J6" s="42" t="s">
        <v>5</v>
      </c>
      <c r="K6">
        <f>COUNTIF($B$5:$H$95,J6)</f>
        <v>2</v>
      </c>
      <c r="L6" s="35">
        <f t="shared" si="2"/>
        <v>9.6153846153846159E-3</v>
      </c>
      <c r="O6" t="s">
        <v>46</v>
      </c>
      <c r="P6">
        <f>SUM(K19:K25)</f>
        <v>26</v>
      </c>
    </row>
    <row r="7" spans="1:17" x14ac:dyDescent="0.25">
      <c r="A7" s="4">
        <v>3</v>
      </c>
      <c r="B7" s="38"/>
      <c r="C7" s="38"/>
      <c r="D7" s="38" t="s">
        <v>2</v>
      </c>
      <c r="E7" s="38"/>
      <c r="F7" s="38"/>
      <c r="G7" s="38" t="s">
        <v>2</v>
      </c>
      <c r="H7" s="38" t="s">
        <v>2</v>
      </c>
      <c r="J7" s="46" t="s">
        <v>6</v>
      </c>
      <c r="K7">
        <f t="shared" ref="K7:K10" si="3">COUNTIF($B$5:$H$95,J7)</f>
        <v>3</v>
      </c>
      <c r="L7" s="35">
        <f t="shared" si="2"/>
        <v>1.4423076923076924E-2</v>
      </c>
      <c r="O7" t="s">
        <v>45</v>
      </c>
      <c r="P7">
        <f>SUM(K29:K35)</f>
        <v>6</v>
      </c>
    </row>
    <row r="8" spans="1:17" x14ac:dyDescent="0.25">
      <c r="A8" s="4">
        <v>4</v>
      </c>
      <c r="B8" s="38"/>
      <c r="C8" s="38"/>
      <c r="D8" s="38" t="s">
        <v>2</v>
      </c>
      <c r="E8" s="38"/>
      <c r="F8" s="38"/>
      <c r="G8" s="38" t="s">
        <v>2</v>
      </c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  <c r="O8" s="65" t="s">
        <v>17</v>
      </c>
      <c r="P8" s="65">
        <f>P5+P6-P7</f>
        <v>195</v>
      </c>
    </row>
    <row r="9" spans="1:17" x14ac:dyDescent="0.25">
      <c r="A9" s="4">
        <v>5</v>
      </c>
      <c r="B9" s="38"/>
      <c r="C9" s="38"/>
      <c r="D9" s="38"/>
      <c r="E9" s="38"/>
      <c r="F9" s="38"/>
      <c r="G9" s="38"/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7" x14ac:dyDescent="0.25">
      <c r="A10" s="4">
        <v>6</v>
      </c>
      <c r="B10" s="38"/>
      <c r="C10" s="38"/>
      <c r="D10" s="38"/>
      <c r="E10" s="38"/>
      <c r="F10" s="38"/>
      <c r="G10" s="38"/>
      <c r="H10" s="38"/>
      <c r="J10" s="43" t="s">
        <v>7</v>
      </c>
      <c r="K10">
        <f t="shared" si="3"/>
        <v>18</v>
      </c>
      <c r="L10" s="37">
        <f t="shared" si="2"/>
        <v>8.6538461538461536E-2</v>
      </c>
      <c r="O10" t="s">
        <v>65</v>
      </c>
      <c r="P10">
        <f>P8</f>
        <v>195</v>
      </c>
    </row>
    <row r="11" spans="1:17" x14ac:dyDescent="0.25">
      <c r="A11" s="4">
        <v>7</v>
      </c>
      <c r="B11" s="38"/>
      <c r="C11" s="38"/>
      <c r="D11" s="38"/>
      <c r="E11" s="38"/>
      <c r="F11" s="38"/>
      <c r="G11" s="38"/>
      <c r="H11" s="38"/>
      <c r="J11" s="44" t="s">
        <v>17</v>
      </c>
      <c r="K11">
        <f>SUM(K5:K10)</f>
        <v>208</v>
      </c>
    </row>
    <row r="12" spans="1:17" x14ac:dyDescent="0.25">
      <c r="A12" s="4">
        <v>8</v>
      </c>
      <c r="B12" s="38"/>
      <c r="C12" s="38"/>
      <c r="D12" s="38"/>
      <c r="E12" s="38"/>
      <c r="F12" s="38"/>
      <c r="G12" s="38"/>
      <c r="H12" s="38"/>
    </row>
    <row r="13" spans="1:17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7" x14ac:dyDescent="0.25">
      <c r="A14" s="4">
        <v>10</v>
      </c>
      <c r="B14" s="38"/>
      <c r="C14" s="38" t="s">
        <v>7</v>
      </c>
      <c r="D14" s="38"/>
      <c r="E14" s="38" t="s">
        <v>2</v>
      </c>
      <c r="F14" s="38"/>
      <c r="G14" s="38"/>
      <c r="H14" s="38" t="s">
        <v>2</v>
      </c>
    </row>
    <row r="15" spans="1:17" x14ac:dyDescent="0.25">
      <c r="A15" s="4">
        <v>11</v>
      </c>
      <c r="B15" s="38"/>
      <c r="C15" s="38" t="s">
        <v>2</v>
      </c>
      <c r="D15" s="38"/>
      <c r="E15" s="38"/>
      <c r="F15" s="38"/>
      <c r="G15" s="38"/>
      <c r="H15" s="38" t="s">
        <v>2</v>
      </c>
    </row>
    <row r="16" spans="1:17" x14ac:dyDescent="0.25">
      <c r="A16" s="4">
        <v>12</v>
      </c>
      <c r="B16" s="38"/>
      <c r="C16" s="38" t="s">
        <v>2</v>
      </c>
      <c r="D16" s="38" t="s">
        <v>2</v>
      </c>
      <c r="E16" s="38"/>
      <c r="F16" s="38" t="s">
        <v>2</v>
      </c>
      <c r="G16" s="38"/>
      <c r="H16" s="38" t="s">
        <v>2</v>
      </c>
      <c r="O16" s="61"/>
    </row>
    <row r="17" spans="1:11" x14ac:dyDescent="0.25">
      <c r="A17" s="4">
        <v>13</v>
      </c>
      <c r="B17" s="38" t="s">
        <v>2</v>
      </c>
      <c r="C17" s="38"/>
      <c r="D17" s="38"/>
      <c r="E17" s="38"/>
      <c r="F17" s="38"/>
      <c r="G17" s="38" t="s">
        <v>2</v>
      </c>
      <c r="H17" s="38" t="s">
        <v>2</v>
      </c>
      <c r="I17" s="71" t="s">
        <v>46</v>
      </c>
      <c r="J17" s="72"/>
      <c r="K17" s="72"/>
    </row>
    <row r="18" spans="1:11" x14ac:dyDescent="0.25">
      <c r="A18" s="4">
        <v>14</v>
      </c>
      <c r="B18" s="38" t="s">
        <v>2</v>
      </c>
      <c r="C18" s="38" t="s">
        <v>2</v>
      </c>
      <c r="D18" s="38" t="s">
        <v>2</v>
      </c>
      <c r="E18" s="38" t="s">
        <v>2</v>
      </c>
      <c r="F18" s="38"/>
      <c r="G18" s="38"/>
      <c r="H18" s="38" t="s">
        <v>2</v>
      </c>
      <c r="I18" s="71" t="s">
        <v>54</v>
      </c>
      <c r="J18" s="72"/>
      <c r="K18" t="s">
        <v>32</v>
      </c>
    </row>
    <row r="19" spans="1:11" x14ac:dyDescent="0.25">
      <c r="A19" s="4">
        <v>15</v>
      </c>
      <c r="B19" s="38"/>
      <c r="C19" s="38"/>
      <c r="D19" s="38" t="s">
        <v>2</v>
      </c>
      <c r="E19" s="38" t="s">
        <v>2</v>
      </c>
      <c r="F19" s="38" t="s">
        <v>2</v>
      </c>
      <c r="G19" s="38" t="s">
        <v>7</v>
      </c>
      <c r="H19" s="38"/>
      <c r="I19" s="40" t="s">
        <v>47</v>
      </c>
      <c r="J19" s="40" t="str">
        <f>TEXT(B3,"ddd")</f>
        <v>seg</v>
      </c>
      <c r="K19" s="60">
        <v>2</v>
      </c>
    </row>
    <row r="20" spans="1:11" x14ac:dyDescent="0.25">
      <c r="A20" s="4">
        <v>16</v>
      </c>
      <c r="B20" s="38"/>
      <c r="C20" s="38"/>
      <c r="D20" s="38"/>
      <c r="E20" s="38"/>
      <c r="F20" s="38"/>
      <c r="G20" s="38"/>
      <c r="H20" s="38"/>
      <c r="I20" s="40" t="s">
        <v>48</v>
      </c>
      <c r="J20" s="40" t="str">
        <f>TEXT(C3,"ddd")</f>
        <v>ter</v>
      </c>
      <c r="K20" s="60">
        <v>1</v>
      </c>
    </row>
    <row r="21" spans="1:11" x14ac:dyDescent="0.25">
      <c r="A21" s="4">
        <v>17</v>
      </c>
      <c r="B21" s="38"/>
      <c r="C21" s="38"/>
      <c r="D21" s="38"/>
      <c r="E21" s="38"/>
      <c r="F21" s="38"/>
      <c r="G21" s="38" t="s">
        <v>7</v>
      </c>
      <c r="H21" s="38"/>
      <c r="I21" s="40" t="s">
        <v>49</v>
      </c>
      <c r="J21" s="40" t="str">
        <f>TEXT(D3,"ddd")</f>
        <v>qua</v>
      </c>
      <c r="K21" s="60">
        <v>2</v>
      </c>
    </row>
    <row r="22" spans="1:11" x14ac:dyDescent="0.25">
      <c r="A22" s="4">
        <v>18</v>
      </c>
      <c r="B22" s="38"/>
      <c r="C22" s="38"/>
      <c r="D22" s="38"/>
      <c r="E22" s="38"/>
      <c r="F22" s="38"/>
      <c r="G22" s="38"/>
      <c r="H22" s="38"/>
      <c r="I22" s="40" t="s">
        <v>50</v>
      </c>
      <c r="J22" s="40" t="str">
        <f>TEXT(E3,"ddd")</f>
        <v>qui</v>
      </c>
      <c r="K22" s="60">
        <v>4</v>
      </c>
    </row>
    <row r="23" spans="1:11" x14ac:dyDescent="0.25">
      <c r="A23" s="4">
        <v>19</v>
      </c>
      <c r="B23" s="38"/>
      <c r="C23" s="38" t="s">
        <v>2</v>
      </c>
      <c r="D23" s="38"/>
      <c r="E23" s="38"/>
      <c r="F23" s="38" t="s">
        <v>7</v>
      </c>
      <c r="G23" s="38"/>
      <c r="H23" s="38"/>
      <c r="I23" s="40" t="s">
        <v>51</v>
      </c>
      <c r="J23" s="40" t="str">
        <f>TEXT(F3,"ddd")</f>
        <v>sex</v>
      </c>
      <c r="K23" s="60">
        <v>7</v>
      </c>
    </row>
    <row r="24" spans="1:11" x14ac:dyDescent="0.25">
      <c r="A24" s="4">
        <v>20</v>
      </c>
      <c r="B24" s="38"/>
      <c r="C24" s="38"/>
      <c r="D24" s="38"/>
      <c r="E24" s="38"/>
      <c r="F24" s="38"/>
      <c r="G24" s="38"/>
      <c r="H24" s="38"/>
      <c r="I24" s="40" t="s">
        <v>52</v>
      </c>
      <c r="J24" s="40" t="str">
        <f>TEXT(G3,"ddd")</f>
        <v>sáb</v>
      </c>
      <c r="K24" s="60">
        <v>9</v>
      </c>
    </row>
    <row r="25" spans="1:11" x14ac:dyDescent="0.25">
      <c r="A25" s="4">
        <v>21</v>
      </c>
      <c r="B25" s="38"/>
      <c r="C25" s="38"/>
      <c r="D25" s="38"/>
      <c r="E25" s="38"/>
      <c r="F25" s="38"/>
      <c r="G25" s="38" t="s">
        <v>2</v>
      </c>
      <c r="H25" s="38" t="s">
        <v>2</v>
      </c>
      <c r="I25" s="40" t="s">
        <v>53</v>
      </c>
      <c r="J25" s="40" t="str">
        <f>TEXT(H3,"ddd")</f>
        <v>dom</v>
      </c>
      <c r="K25" s="60">
        <v>1</v>
      </c>
    </row>
    <row r="26" spans="1:11" x14ac:dyDescent="0.25">
      <c r="A26" s="4">
        <v>22</v>
      </c>
      <c r="B26" s="38"/>
      <c r="C26" s="38"/>
      <c r="D26" s="38"/>
      <c r="E26" s="38"/>
      <c r="F26" s="38"/>
      <c r="G26" s="38"/>
      <c r="H26" s="38"/>
    </row>
    <row r="27" spans="1:11" x14ac:dyDescent="0.25">
      <c r="A27" s="4">
        <v>23</v>
      </c>
      <c r="B27" s="38"/>
      <c r="C27" s="38" t="s">
        <v>7</v>
      </c>
      <c r="D27" s="38" t="s">
        <v>2</v>
      </c>
      <c r="E27" s="38"/>
      <c r="F27" s="38" t="s">
        <v>2</v>
      </c>
      <c r="G27" s="38"/>
      <c r="H27" s="38"/>
      <c r="I27" s="71" t="s">
        <v>45</v>
      </c>
      <c r="J27" s="72"/>
      <c r="K27" s="72"/>
    </row>
    <row r="28" spans="1:11" x14ac:dyDescent="0.25">
      <c r="A28" s="4">
        <v>24</v>
      </c>
      <c r="B28" s="38"/>
      <c r="C28" s="38" t="s">
        <v>2</v>
      </c>
      <c r="D28" s="38"/>
      <c r="E28" s="38" t="s">
        <v>2</v>
      </c>
      <c r="F28" s="38"/>
      <c r="G28" s="38" t="s">
        <v>2</v>
      </c>
      <c r="H28" s="38" t="s">
        <v>2</v>
      </c>
      <c r="I28" s="71" t="s">
        <v>54</v>
      </c>
      <c r="J28" s="72"/>
      <c r="K28" t="s">
        <v>32</v>
      </c>
    </row>
    <row r="29" spans="1:11" x14ac:dyDescent="0.25">
      <c r="A29" s="4">
        <v>25</v>
      </c>
      <c r="B29" s="38"/>
      <c r="C29" s="38" t="s">
        <v>2</v>
      </c>
      <c r="D29" s="38"/>
      <c r="E29" s="38" t="s">
        <v>2</v>
      </c>
      <c r="F29" s="38"/>
      <c r="G29" s="38" t="s">
        <v>2</v>
      </c>
      <c r="H29" s="38" t="s">
        <v>2</v>
      </c>
      <c r="I29" s="40" t="s">
        <v>47</v>
      </c>
      <c r="J29" s="40" t="str">
        <f t="shared" ref="J29:J35" si="4">J19</f>
        <v>seg</v>
      </c>
      <c r="K29" s="60"/>
    </row>
    <row r="30" spans="1:11" x14ac:dyDescent="0.25">
      <c r="A30" s="4">
        <v>26</v>
      </c>
      <c r="B30" s="38"/>
      <c r="C30" s="38" t="s">
        <v>7</v>
      </c>
      <c r="D30" s="38" t="s">
        <v>2</v>
      </c>
      <c r="E30" s="38" t="s">
        <v>2</v>
      </c>
      <c r="F30" s="38"/>
      <c r="G30" s="38" t="s">
        <v>2</v>
      </c>
      <c r="H30" s="38" t="s">
        <v>2</v>
      </c>
      <c r="I30" s="40" t="s">
        <v>48</v>
      </c>
      <c r="J30" s="40" t="str">
        <f t="shared" si="4"/>
        <v>ter</v>
      </c>
      <c r="K30" s="60">
        <v>1</v>
      </c>
    </row>
    <row r="31" spans="1:11" x14ac:dyDescent="0.25">
      <c r="A31" s="4">
        <v>27</v>
      </c>
      <c r="B31" s="38"/>
      <c r="C31" s="38"/>
      <c r="D31" s="38"/>
      <c r="E31" s="38"/>
      <c r="F31" s="38"/>
      <c r="G31" s="38"/>
      <c r="H31" s="38"/>
      <c r="I31" s="40" t="s">
        <v>49</v>
      </c>
      <c r="J31" s="40" t="str">
        <f t="shared" si="4"/>
        <v>qua</v>
      </c>
      <c r="K31" s="60">
        <v>1</v>
      </c>
    </row>
    <row r="32" spans="1:11" x14ac:dyDescent="0.25">
      <c r="A32" s="4">
        <v>28</v>
      </c>
      <c r="B32" s="38"/>
      <c r="C32" s="38"/>
      <c r="D32" s="38" t="s">
        <v>2</v>
      </c>
      <c r="E32" s="38"/>
      <c r="F32" s="38" t="s">
        <v>7</v>
      </c>
      <c r="G32" s="38" t="s">
        <v>2</v>
      </c>
      <c r="H32" s="38" t="s">
        <v>2</v>
      </c>
      <c r="I32" s="40" t="s">
        <v>50</v>
      </c>
      <c r="J32" s="40" t="str">
        <f t="shared" si="4"/>
        <v>qui</v>
      </c>
      <c r="K32" s="60">
        <v>1</v>
      </c>
    </row>
    <row r="33" spans="1:11" x14ac:dyDescent="0.25">
      <c r="A33" s="4">
        <v>29</v>
      </c>
      <c r="B33" s="38"/>
      <c r="C33" s="38" t="s">
        <v>2</v>
      </c>
      <c r="D33" s="38"/>
      <c r="E33" s="38" t="s">
        <v>2</v>
      </c>
      <c r="F33" s="38"/>
      <c r="G33" s="38"/>
      <c r="H33" s="38"/>
      <c r="I33" s="40" t="s">
        <v>51</v>
      </c>
      <c r="J33" s="40" t="str">
        <f t="shared" si="4"/>
        <v>sex</v>
      </c>
      <c r="K33" s="60">
        <v>2</v>
      </c>
    </row>
    <row r="34" spans="1:11" x14ac:dyDescent="0.25">
      <c r="A34" s="4">
        <v>30</v>
      </c>
      <c r="B34" s="38" t="s">
        <v>2</v>
      </c>
      <c r="C34" s="38"/>
      <c r="D34" s="38" t="s">
        <v>2</v>
      </c>
      <c r="E34" s="38"/>
      <c r="F34" s="38" t="s">
        <v>2</v>
      </c>
      <c r="G34" s="38"/>
      <c r="H34" s="38" t="s">
        <v>5</v>
      </c>
      <c r="I34" s="40" t="s">
        <v>52</v>
      </c>
      <c r="J34" s="40" t="str">
        <f t="shared" si="4"/>
        <v>sáb</v>
      </c>
      <c r="K34" s="60">
        <v>1</v>
      </c>
    </row>
    <row r="35" spans="1:11" x14ac:dyDescent="0.25">
      <c r="A35" s="4">
        <v>31</v>
      </c>
      <c r="B35" s="38" t="s">
        <v>2</v>
      </c>
      <c r="C35" s="38"/>
      <c r="D35" s="38" t="s">
        <v>2</v>
      </c>
      <c r="E35" s="38"/>
      <c r="F35" s="38" t="s">
        <v>2</v>
      </c>
      <c r="G35" s="38"/>
      <c r="H35" s="38" t="s">
        <v>2</v>
      </c>
      <c r="I35" s="40" t="s">
        <v>53</v>
      </c>
      <c r="J35" s="40" t="str">
        <f t="shared" si="4"/>
        <v>dom</v>
      </c>
      <c r="K35" s="60"/>
    </row>
    <row r="36" spans="1:11" x14ac:dyDescent="0.25">
      <c r="A36" s="4">
        <v>32</v>
      </c>
      <c r="B36" s="38" t="s">
        <v>2</v>
      </c>
      <c r="C36" s="38" t="s">
        <v>2</v>
      </c>
      <c r="D36" s="38" t="s">
        <v>2</v>
      </c>
      <c r="E36" s="38" t="s">
        <v>2</v>
      </c>
      <c r="F36" s="38" t="s">
        <v>2</v>
      </c>
      <c r="G36" s="38" t="s">
        <v>2</v>
      </c>
      <c r="H36" s="38"/>
    </row>
    <row r="37" spans="1:11" x14ac:dyDescent="0.25">
      <c r="A37" s="4">
        <v>33</v>
      </c>
      <c r="B37" s="38" t="s">
        <v>2</v>
      </c>
      <c r="C37" s="38"/>
      <c r="D37" s="38" t="s">
        <v>2</v>
      </c>
      <c r="E37" s="38"/>
      <c r="F37" s="38" t="s">
        <v>2</v>
      </c>
      <c r="G37" s="38" t="s">
        <v>2</v>
      </c>
      <c r="H37" s="38"/>
    </row>
    <row r="38" spans="1:11" x14ac:dyDescent="0.25">
      <c r="A38" s="4">
        <v>34</v>
      </c>
      <c r="B38" s="38"/>
      <c r="C38" s="38"/>
      <c r="D38" s="38"/>
      <c r="E38" s="38"/>
      <c r="F38" s="38"/>
      <c r="G38" s="38"/>
      <c r="H38" s="38"/>
    </row>
    <row r="39" spans="1:11" x14ac:dyDescent="0.25">
      <c r="A39" s="4">
        <v>35</v>
      </c>
      <c r="B39" s="38"/>
      <c r="C39" s="38" t="s">
        <v>2</v>
      </c>
      <c r="D39" s="38" t="s">
        <v>2</v>
      </c>
      <c r="E39" s="38"/>
      <c r="F39" s="38" t="s">
        <v>2</v>
      </c>
      <c r="G39" s="38"/>
      <c r="H39" s="38" t="s">
        <v>2</v>
      </c>
    </row>
    <row r="40" spans="1:11" x14ac:dyDescent="0.25">
      <c r="A40" s="4">
        <v>36</v>
      </c>
      <c r="B40" s="38" t="s">
        <v>2</v>
      </c>
      <c r="C40" s="38" t="s">
        <v>2</v>
      </c>
      <c r="D40" s="38" t="s">
        <v>2</v>
      </c>
      <c r="E40" s="38" t="s">
        <v>2</v>
      </c>
      <c r="F40" s="38" t="s">
        <v>2</v>
      </c>
      <c r="G40" s="38" t="s">
        <v>2</v>
      </c>
      <c r="H40" s="38" t="s">
        <v>2</v>
      </c>
    </row>
    <row r="41" spans="1:11" x14ac:dyDescent="0.25">
      <c r="A41" s="4">
        <v>37</v>
      </c>
      <c r="B41" s="38"/>
      <c r="C41" s="38"/>
      <c r="D41" s="38" t="s">
        <v>2</v>
      </c>
      <c r="E41" s="38"/>
      <c r="F41" s="38"/>
      <c r="G41" s="38"/>
      <c r="H41" s="38" t="s">
        <v>2</v>
      </c>
    </row>
    <row r="42" spans="1:11" x14ac:dyDescent="0.25">
      <c r="A42" s="4">
        <v>38</v>
      </c>
      <c r="B42" s="38"/>
      <c r="C42" s="38"/>
      <c r="D42" s="38"/>
      <c r="E42" s="38"/>
      <c r="F42" s="38"/>
      <c r="G42" s="38"/>
      <c r="H42" s="38"/>
    </row>
    <row r="43" spans="1:11" x14ac:dyDescent="0.25">
      <c r="A43" s="4">
        <v>39</v>
      </c>
      <c r="B43" s="38"/>
      <c r="C43" s="38"/>
      <c r="D43" s="38"/>
      <c r="E43" s="38"/>
      <c r="F43" s="38"/>
      <c r="G43" s="38"/>
      <c r="H43" s="38"/>
    </row>
    <row r="44" spans="1:11" x14ac:dyDescent="0.25">
      <c r="A44" s="4">
        <v>40</v>
      </c>
      <c r="B44" s="38"/>
      <c r="C44" s="38"/>
      <c r="D44" s="38"/>
      <c r="E44" s="38"/>
      <c r="F44" s="38"/>
      <c r="G44" s="38"/>
      <c r="H44" s="38"/>
    </row>
    <row r="45" spans="1:11" x14ac:dyDescent="0.25">
      <c r="A45" s="4">
        <v>41</v>
      </c>
      <c r="B45" s="38"/>
      <c r="C45" s="38"/>
      <c r="D45" s="38"/>
      <c r="E45" s="38" t="s">
        <v>2</v>
      </c>
      <c r="F45" s="38" t="s">
        <v>2</v>
      </c>
      <c r="G45" s="38" t="s">
        <v>2</v>
      </c>
      <c r="H45" s="38"/>
    </row>
    <row r="46" spans="1:11" x14ac:dyDescent="0.25">
      <c r="A46" s="4">
        <v>42</v>
      </c>
      <c r="B46" s="38"/>
      <c r="C46" s="38"/>
      <c r="D46" s="38" t="s">
        <v>2</v>
      </c>
      <c r="E46" s="38" t="s">
        <v>2</v>
      </c>
      <c r="F46" s="38" t="s">
        <v>2</v>
      </c>
      <c r="G46" s="38" t="s">
        <v>2</v>
      </c>
      <c r="H46" s="38"/>
    </row>
    <row r="47" spans="1:11" x14ac:dyDescent="0.25">
      <c r="A47" s="4">
        <v>43</v>
      </c>
      <c r="B47" s="38"/>
      <c r="C47" s="38" t="s">
        <v>2</v>
      </c>
      <c r="D47" s="38"/>
      <c r="E47" s="38" t="s">
        <v>2</v>
      </c>
      <c r="F47" s="38" t="s">
        <v>2</v>
      </c>
      <c r="G47" s="38"/>
      <c r="H47" s="38" t="s">
        <v>2</v>
      </c>
    </row>
    <row r="48" spans="1:11" x14ac:dyDescent="0.25">
      <c r="A48" s="4">
        <v>44</v>
      </c>
      <c r="B48" s="38"/>
      <c r="C48" s="38"/>
      <c r="D48" s="38"/>
      <c r="E48" s="38"/>
      <c r="F48" s="38"/>
      <c r="G48" s="38"/>
      <c r="H48" s="38"/>
    </row>
    <row r="49" spans="1:11" x14ac:dyDescent="0.25">
      <c r="A49" s="4">
        <v>45</v>
      </c>
      <c r="B49" s="38" t="s">
        <v>2</v>
      </c>
      <c r="C49" s="38"/>
      <c r="D49" s="38"/>
      <c r="E49" s="38" t="s">
        <v>2</v>
      </c>
      <c r="F49" s="38"/>
      <c r="G49" s="38"/>
      <c r="H49" s="38"/>
    </row>
    <row r="50" spans="1:11" x14ac:dyDescent="0.25">
      <c r="A50" s="4">
        <v>46</v>
      </c>
      <c r="B50" s="38"/>
      <c r="C50" s="38" t="s">
        <v>2</v>
      </c>
      <c r="D50" s="38"/>
      <c r="E50" s="38" t="s">
        <v>2</v>
      </c>
      <c r="F50" s="38" t="s">
        <v>2</v>
      </c>
      <c r="G50" s="38"/>
      <c r="H50" s="38" t="s">
        <v>2</v>
      </c>
    </row>
    <row r="51" spans="1:11" x14ac:dyDescent="0.25">
      <c r="A51" s="4">
        <v>47</v>
      </c>
      <c r="B51" s="38"/>
      <c r="C51" s="38" t="s">
        <v>7</v>
      </c>
      <c r="D51" s="38" t="s">
        <v>7</v>
      </c>
      <c r="E51" s="38" t="s">
        <v>2</v>
      </c>
      <c r="F51" s="38" t="s">
        <v>2</v>
      </c>
      <c r="G51" s="38" t="s">
        <v>2</v>
      </c>
      <c r="H51" s="38" t="s">
        <v>2</v>
      </c>
    </row>
    <row r="52" spans="1:11" x14ac:dyDescent="0.25">
      <c r="A52" s="4">
        <v>48</v>
      </c>
      <c r="B52" s="38" t="s">
        <v>2</v>
      </c>
      <c r="C52" s="38"/>
      <c r="D52" s="38" t="s">
        <v>7</v>
      </c>
      <c r="E52" s="38"/>
      <c r="F52" s="38" t="s">
        <v>2</v>
      </c>
      <c r="G52" s="38"/>
      <c r="H52" s="38" t="s">
        <v>2</v>
      </c>
    </row>
    <row r="53" spans="1:11" x14ac:dyDescent="0.25">
      <c r="A53" s="4">
        <v>49</v>
      </c>
      <c r="B53" s="38"/>
      <c r="C53" s="38" t="s">
        <v>2</v>
      </c>
      <c r="D53" s="38"/>
      <c r="E53" s="38" t="s">
        <v>2</v>
      </c>
      <c r="F53" s="38" t="s">
        <v>2</v>
      </c>
      <c r="G53" s="38"/>
      <c r="H53" s="38" t="s">
        <v>2</v>
      </c>
      <c r="K53" t="s">
        <v>68</v>
      </c>
    </row>
    <row r="54" spans="1:11" x14ac:dyDescent="0.25">
      <c r="A54" s="4">
        <v>50</v>
      </c>
      <c r="B54" s="38"/>
      <c r="C54" s="38" t="s">
        <v>2</v>
      </c>
      <c r="D54" s="38"/>
      <c r="E54" s="38" t="s">
        <v>2</v>
      </c>
      <c r="F54" s="38"/>
      <c r="G54" s="38" t="s">
        <v>2</v>
      </c>
      <c r="H54" s="38"/>
    </row>
    <row r="55" spans="1:11" x14ac:dyDescent="0.25">
      <c r="A55" s="4">
        <v>51</v>
      </c>
      <c r="B55" s="38" t="s">
        <v>2</v>
      </c>
      <c r="C55" s="38" t="s">
        <v>2</v>
      </c>
      <c r="D55" s="38" t="s">
        <v>2</v>
      </c>
      <c r="E55" s="38" t="s">
        <v>2</v>
      </c>
      <c r="F55" s="38"/>
      <c r="G55" s="38" t="s">
        <v>2</v>
      </c>
      <c r="H55" s="38" t="s">
        <v>2</v>
      </c>
    </row>
    <row r="56" spans="1:11" x14ac:dyDescent="0.25">
      <c r="A56" s="4">
        <v>52</v>
      </c>
      <c r="B56" s="38" t="s">
        <v>7</v>
      </c>
      <c r="C56" s="38" t="s">
        <v>2</v>
      </c>
      <c r="D56" s="38"/>
      <c r="E56" s="38" t="s">
        <v>7</v>
      </c>
      <c r="F56" s="38" t="s">
        <v>7</v>
      </c>
      <c r="G56" s="38"/>
      <c r="H56" s="38"/>
    </row>
    <row r="57" spans="1:11" x14ac:dyDescent="0.25">
      <c r="A57" s="4">
        <v>53</v>
      </c>
      <c r="B57" s="38"/>
      <c r="C57" s="38" t="s">
        <v>7</v>
      </c>
      <c r="D57" s="38"/>
      <c r="E57" s="38"/>
      <c r="F57" s="38"/>
      <c r="G57" s="38"/>
      <c r="H57" s="38"/>
    </row>
    <row r="58" spans="1:11" x14ac:dyDescent="0.25">
      <c r="A58" s="4">
        <v>54</v>
      </c>
      <c r="B58" s="38"/>
      <c r="C58" s="38"/>
      <c r="D58" s="38" t="s">
        <v>2</v>
      </c>
      <c r="E58" s="38" t="s">
        <v>2</v>
      </c>
      <c r="F58" s="38" t="s">
        <v>2</v>
      </c>
      <c r="G58" s="38" t="s">
        <v>2</v>
      </c>
      <c r="H58" s="38" t="s">
        <v>2</v>
      </c>
    </row>
    <row r="59" spans="1:11" x14ac:dyDescent="0.25">
      <c r="A59" s="4">
        <v>55</v>
      </c>
      <c r="B59" s="38"/>
      <c r="C59" s="38"/>
      <c r="D59" s="38" t="s">
        <v>2</v>
      </c>
      <c r="E59" s="38" t="s">
        <v>2</v>
      </c>
      <c r="F59" s="38"/>
      <c r="G59" s="38"/>
      <c r="H59" s="38"/>
    </row>
    <row r="60" spans="1:11" x14ac:dyDescent="0.25">
      <c r="A60" s="4">
        <v>56</v>
      </c>
      <c r="B60" s="38"/>
      <c r="C60" s="38"/>
      <c r="D60" s="38" t="s">
        <v>2</v>
      </c>
      <c r="E60" s="38"/>
      <c r="F60" s="38"/>
      <c r="G60" s="38" t="s">
        <v>2</v>
      </c>
      <c r="H60" s="38" t="s">
        <v>2</v>
      </c>
    </row>
    <row r="61" spans="1:11" x14ac:dyDescent="0.25">
      <c r="A61" s="4">
        <v>73</v>
      </c>
      <c r="B61" s="38" t="s">
        <v>7</v>
      </c>
      <c r="C61" s="38" t="s">
        <v>2</v>
      </c>
      <c r="D61" s="38"/>
      <c r="E61" s="38"/>
      <c r="F61" s="38" t="s">
        <v>2</v>
      </c>
      <c r="G61" s="38"/>
      <c r="H61" s="38" t="s">
        <v>2</v>
      </c>
    </row>
    <row r="62" spans="1:11" x14ac:dyDescent="0.25">
      <c r="A62" s="4">
        <v>74</v>
      </c>
      <c r="B62" s="38" t="s">
        <v>7</v>
      </c>
      <c r="C62" s="38" t="s">
        <v>2</v>
      </c>
      <c r="D62" s="38"/>
      <c r="E62" s="38" t="s">
        <v>7</v>
      </c>
      <c r="F62" s="38"/>
      <c r="G62" s="38"/>
      <c r="H62" s="38"/>
    </row>
    <row r="63" spans="1:11" x14ac:dyDescent="0.25">
      <c r="A63" s="4">
        <v>101</v>
      </c>
      <c r="B63" s="39" t="s">
        <v>2</v>
      </c>
      <c r="C63" s="39" t="s">
        <v>2</v>
      </c>
      <c r="D63" s="38" t="s">
        <v>2</v>
      </c>
      <c r="E63" s="38" t="s">
        <v>2</v>
      </c>
      <c r="F63" s="38" t="s">
        <v>2</v>
      </c>
      <c r="G63" s="38" t="s">
        <v>2</v>
      </c>
      <c r="H63" s="38" t="s">
        <v>2</v>
      </c>
    </row>
    <row r="64" spans="1:11" x14ac:dyDescent="0.25">
      <c r="A64" s="4">
        <v>102</v>
      </c>
      <c r="B64" s="38"/>
      <c r="C64" s="38"/>
      <c r="D64" s="38"/>
      <c r="E64" s="38"/>
      <c r="F64" s="38"/>
      <c r="G64" s="38"/>
      <c r="H64" s="38"/>
    </row>
    <row r="65" spans="1:8" x14ac:dyDescent="0.25">
      <c r="A65" s="4">
        <v>103</v>
      </c>
      <c r="B65" s="38" t="s">
        <v>2</v>
      </c>
      <c r="C65" s="38" t="s">
        <v>2</v>
      </c>
      <c r="D65" s="38" t="s">
        <v>2</v>
      </c>
      <c r="E65" s="38" t="s">
        <v>2</v>
      </c>
      <c r="F65" s="38" t="s">
        <v>2</v>
      </c>
      <c r="G65" s="38" t="s">
        <v>2</v>
      </c>
      <c r="H65" s="38" t="s">
        <v>2</v>
      </c>
    </row>
    <row r="66" spans="1:8" x14ac:dyDescent="0.25">
      <c r="A66" s="4">
        <v>104</v>
      </c>
      <c r="B66" s="38" t="s">
        <v>2</v>
      </c>
      <c r="C66" s="38" t="s">
        <v>2</v>
      </c>
      <c r="D66" s="38" t="s">
        <v>2</v>
      </c>
      <c r="E66" s="38" t="s">
        <v>2</v>
      </c>
      <c r="F66" s="38" t="s">
        <v>2</v>
      </c>
      <c r="G66" s="38" t="s">
        <v>2</v>
      </c>
      <c r="H66" s="38" t="s">
        <v>2</v>
      </c>
    </row>
    <row r="67" spans="1:8" x14ac:dyDescent="0.25">
      <c r="A67" s="4">
        <v>105</v>
      </c>
      <c r="B67" s="38"/>
      <c r="C67" s="38"/>
      <c r="D67" s="38"/>
      <c r="E67" s="38"/>
      <c r="F67" s="38"/>
      <c r="G67" s="38"/>
      <c r="H67" s="38"/>
    </row>
    <row r="68" spans="1:8" x14ac:dyDescent="0.25">
      <c r="A68" s="4">
        <v>106</v>
      </c>
      <c r="B68" s="38"/>
      <c r="C68" s="38"/>
      <c r="D68" s="38"/>
      <c r="E68" s="38"/>
      <c r="F68" s="38"/>
      <c r="G68" s="38" t="s">
        <v>2</v>
      </c>
      <c r="H68" s="38"/>
    </row>
    <row r="69" spans="1:8" x14ac:dyDescent="0.25">
      <c r="A69" s="4">
        <v>107</v>
      </c>
      <c r="B69" s="38"/>
      <c r="C69" s="38"/>
      <c r="D69" s="38"/>
      <c r="E69" s="38"/>
      <c r="F69" s="38"/>
      <c r="G69" s="38"/>
      <c r="H69" s="38"/>
    </row>
    <row r="70" spans="1:8" x14ac:dyDescent="0.25">
      <c r="A70" s="4">
        <v>108</v>
      </c>
      <c r="B70" s="38"/>
      <c r="C70" s="38"/>
      <c r="D70" s="38"/>
      <c r="E70" s="38"/>
      <c r="F70" s="38"/>
      <c r="G70" s="38" t="s">
        <v>2</v>
      </c>
      <c r="H70" s="38"/>
    </row>
    <row r="71" spans="1:8" x14ac:dyDescent="0.25">
      <c r="A71" s="4">
        <v>109</v>
      </c>
      <c r="B71" s="38"/>
      <c r="C71" s="38"/>
      <c r="D71" s="38"/>
      <c r="E71" s="38"/>
      <c r="F71" s="38"/>
      <c r="G71" s="38"/>
      <c r="H71" s="38"/>
    </row>
    <row r="72" spans="1:8" x14ac:dyDescent="0.25">
      <c r="A72" s="4">
        <v>110</v>
      </c>
      <c r="B72" s="38"/>
      <c r="C72" s="38"/>
      <c r="D72" s="38"/>
      <c r="E72" s="38"/>
      <c r="F72" s="38"/>
      <c r="G72" s="38"/>
      <c r="H72" s="38"/>
    </row>
    <row r="73" spans="1:8" x14ac:dyDescent="0.25">
      <c r="A73" s="4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4">
        <v>112</v>
      </c>
      <c r="B74" s="38" t="s">
        <v>2</v>
      </c>
      <c r="C74" s="38" t="s">
        <v>2</v>
      </c>
      <c r="D74" s="38" t="s">
        <v>2</v>
      </c>
      <c r="E74" s="38" t="s">
        <v>2</v>
      </c>
      <c r="F74" s="38" t="s">
        <v>2</v>
      </c>
      <c r="G74" s="38" t="s">
        <v>2</v>
      </c>
      <c r="H74" s="38" t="s">
        <v>2</v>
      </c>
    </row>
    <row r="75" spans="1:8" x14ac:dyDescent="0.25">
      <c r="A75" s="4">
        <v>113</v>
      </c>
      <c r="B75" s="38"/>
      <c r="C75" s="38"/>
      <c r="D75" s="38"/>
      <c r="E75" s="38"/>
      <c r="F75" s="38"/>
      <c r="G75" s="38"/>
      <c r="H75" s="38"/>
    </row>
    <row r="76" spans="1:8" x14ac:dyDescent="0.25">
      <c r="A76" s="4">
        <v>114</v>
      </c>
      <c r="B76" s="38" t="s">
        <v>2</v>
      </c>
      <c r="C76" s="38" t="s">
        <v>2</v>
      </c>
      <c r="D76" s="38" t="s">
        <v>2</v>
      </c>
      <c r="E76" s="38" t="s">
        <v>2</v>
      </c>
      <c r="F76" s="38" t="s">
        <v>2</v>
      </c>
      <c r="G76" s="38"/>
      <c r="H76" s="38" t="s">
        <v>2</v>
      </c>
    </row>
    <row r="77" spans="1:8" x14ac:dyDescent="0.25">
      <c r="A77" s="4">
        <v>115</v>
      </c>
      <c r="B77" s="38"/>
      <c r="C77" s="38"/>
      <c r="D77" s="38"/>
      <c r="E77" s="38"/>
      <c r="F77" s="38"/>
      <c r="G77" s="38"/>
      <c r="H77" s="38"/>
    </row>
    <row r="78" spans="1:8" x14ac:dyDescent="0.25">
      <c r="A78" s="4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4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4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4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4">
        <v>120</v>
      </c>
      <c r="B82" s="38" t="s">
        <v>6</v>
      </c>
      <c r="C82" s="38"/>
      <c r="D82" s="38"/>
      <c r="E82" s="38"/>
      <c r="F82" s="38" t="s">
        <v>2</v>
      </c>
      <c r="G82" s="38"/>
      <c r="H82" s="38" t="s">
        <v>2</v>
      </c>
    </row>
    <row r="83" spans="1:8" x14ac:dyDescent="0.25">
      <c r="A83" s="4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4">
        <v>122</v>
      </c>
      <c r="B84" s="38" t="s">
        <v>6</v>
      </c>
      <c r="C84" s="38"/>
      <c r="D84" s="38" t="s">
        <v>2</v>
      </c>
      <c r="E84" s="38"/>
      <c r="F84" s="38"/>
      <c r="G84" s="38" t="s">
        <v>2</v>
      </c>
      <c r="H84" s="38"/>
    </row>
    <row r="85" spans="1:8" x14ac:dyDescent="0.25">
      <c r="A85" s="4">
        <v>123</v>
      </c>
      <c r="B85" s="38"/>
      <c r="C85" s="38"/>
      <c r="D85" s="38"/>
      <c r="E85" s="38" t="s">
        <v>2</v>
      </c>
      <c r="F85" s="38" t="s">
        <v>2</v>
      </c>
      <c r="G85" s="38"/>
      <c r="H85" s="38"/>
    </row>
    <row r="86" spans="1:8" x14ac:dyDescent="0.25">
      <c r="A86" s="4">
        <v>124</v>
      </c>
      <c r="B86" s="38" t="s">
        <v>6</v>
      </c>
      <c r="C86" s="38" t="s">
        <v>7</v>
      </c>
      <c r="D86" s="38"/>
      <c r="E86" s="38" t="s">
        <v>2</v>
      </c>
      <c r="F86" s="38"/>
      <c r="G86" s="38"/>
      <c r="H86" s="38" t="s">
        <v>2</v>
      </c>
    </row>
    <row r="87" spans="1:8" x14ac:dyDescent="0.25">
      <c r="A87" s="4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4">
        <v>126</v>
      </c>
      <c r="B88" s="38"/>
      <c r="C88" s="38"/>
      <c r="D88" s="38"/>
      <c r="E88" s="38"/>
      <c r="F88" s="38" t="s">
        <v>2</v>
      </c>
      <c r="G88" s="38" t="s">
        <v>2</v>
      </c>
      <c r="H88" s="38"/>
    </row>
    <row r="89" spans="1:8" x14ac:dyDescent="0.25">
      <c r="A89" s="4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4">
        <v>128</v>
      </c>
      <c r="B90" s="38"/>
      <c r="C90" s="38"/>
      <c r="D90" s="38"/>
      <c r="E90" s="38"/>
      <c r="F90" s="38"/>
      <c r="G90" s="38"/>
      <c r="H90" s="38"/>
    </row>
    <row r="91" spans="1:8" x14ac:dyDescent="0.25">
      <c r="A91" s="4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4">
        <v>130</v>
      </c>
      <c r="B92" s="38"/>
      <c r="C92" s="38"/>
      <c r="D92" s="38"/>
      <c r="E92" s="38"/>
      <c r="F92" s="38"/>
      <c r="G92" s="38"/>
      <c r="H92" s="38"/>
    </row>
    <row r="93" spans="1:8" x14ac:dyDescent="0.25">
      <c r="A93" s="4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4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4">
        <v>133</v>
      </c>
      <c r="B95" s="38" t="s">
        <v>5</v>
      </c>
      <c r="C95" s="38" t="s">
        <v>2</v>
      </c>
      <c r="D95" s="38" t="s">
        <v>2</v>
      </c>
      <c r="E95" s="38"/>
      <c r="F95" s="38" t="s">
        <v>2</v>
      </c>
      <c r="G95" s="38" t="s">
        <v>2</v>
      </c>
      <c r="H95" s="38" t="s">
        <v>2</v>
      </c>
    </row>
  </sheetData>
  <mergeCells count="5">
    <mergeCell ref="A1:H2"/>
    <mergeCell ref="I17:K17"/>
    <mergeCell ref="I18:J18"/>
    <mergeCell ref="I27:K27"/>
    <mergeCell ref="I28:J28"/>
  </mergeCells>
  <conditionalFormatting sqref="I5:I16 I29:I60 I19:I26 F15:F18 F91:F94 B81:E95 B63:H80 C61:I61 B57:E60 C56:E56 B5:E55 C62:D62 F62:I62">
    <cfRule type="cellIs" dxfId="558" priority="61" operator="equal">
      <formula>"Energia"</formula>
    </cfRule>
    <cfRule type="cellIs" dxfId="557" priority="63" operator="equal">
      <formula>"Operação"</formula>
    </cfRule>
    <cfRule type="cellIs" dxfId="556" priority="64" operator="equal">
      <formula>"Chuva"</formula>
    </cfRule>
    <cfRule type="cellIs" dxfId="555" priority="65" operator="equal">
      <formula>"Elétrico"</formula>
    </cfRule>
    <cfRule type="cellIs" dxfId="554" priority="66" operator="equal">
      <formula>"Mecânico"</formula>
    </cfRule>
    <cfRule type="cellIs" dxfId="553" priority="67" operator="equal">
      <formula>"Ok"</formula>
    </cfRule>
  </conditionalFormatting>
  <conditionalFormatting sqref="I5:I16 I29:I60 I19:I26 F15:F18 F91:F94 B81:E95 B63:H80 C61:I61 B57:E60 C56:E56 B5:E55 C62:D62 F62:I62">
    <cfRule type="cellIs" dxfId="552" priority="62" operator="equal">
      <formula>"Feito"</formula>
    </cfRule>
  </conditionalFormatting>
  <conditionalFormatting sqref="J7">
    <cfRule type="iconSet" priority="60">
      <iconSet iconSet="3Arrows">
        <cfvo type="percent" val="0"/>
        <cfvo type="percent" val="33"/>
        <cfvo type="percent" val="67"/>
      </iconSet>
    </cfRule>
  </conditionalFormatting>
  <conditionalFormatting sqref="G5:G56 C13 B5:E11 H9:H10 H18 G81:G95 C89 B81:E87 H85:H86 H94">
    <cfRule type="cellIs" dxfId="551" priority="59" operator="equal">
      <formula>"Energia"</formula>
    </cfRule>
  </conditionalFormatting>
  <conditionalFormatting sqref="G5:H55 G57:H60 G56 G81:H95">
    <cfRule type="cellIs" dxfId="550" priority="52" operator="equal">
      <formula>"Energia"</formula>
    </cfRule>
    <cfRule type="cellIs" dxfId="549" priority="54" operator="equal">
      <formula>"Operação"</formula>
    </cfRule>
    <cfRule type="cellIs" dxfId="548" priority="55" operator="equal">
      <formula>"Chuva"</formula>
    </cfRule>
    <cfRule type="cellIs" dxfId="547" priority="56" operator="equal">
      <formula>"Elétrico"</formula>
    </cfRule>
    <cfRule type="cellIs" dxfId="546" priority="57" operator="equal">
      <formula>"Mecânico"</formula>
    </cfRule>
    <cfRule type="cellIs" dxfId="545" priority="58" operator="equal">
      <formula>"Ok"</formula>
    </cfRule>
  </conditionalFormatting>
  <conditionalFormatting sqref="G5:H55 G57:H60 G56 G81:H95">
    <cfRule type="cellIs" dxfId="544" priority="53" operator="equal">
      <formula>"Feito"</formula>
    </cfRule>
  </conditionalFormatting>
  <conditionalFormatting sqref="F6:F11 F82:F87">
    <cfRule type="cellIs" dxfId="543" priority="51" operator="equal">
      <formula>"Energia"</formula>
    </cfRule>
  </conditionalFormatting>
  <conditionalFormatting sqref="F6:F14 F82:F90 F95 F19:F60">
    <cfRule type="cellIs" dxfId="542" priority="44" operator="equal">
      <formula>"Energia"</formula>
    </cfRule>
    <cfRule type="cellIs" dxfId="541" priority="46" operator="equal">
      <formula>"Operação"</formula>
    </cfRule>
    <cfRule type="cellIs" dxfId="540" priority="47" operator="equal">
      <formula>"Chuva"</formula>
    </cfRule>
    <cfRule type="cellIs" dxfId="539" priority="48" operator="equal">
      <formula>"Elétrico"</formula>
    </cfRule>
    <cfRule type="cellIs" dxfId="538" priority="49" operator="equal">
      <formula>"Mecânico"</formula>
    </cfRule>
    <cfRule type="cellIs" dxfId="537" priority="50" operator="equal">
      <formula>"Ok"</formula>
    </cfRule>
  </conditionalFormatting>
  <conditionalFormatting sqref="F6:F14 F82:F90 F95 F19:F60">
    <cfRule type="cellIs" dxfId="536" priority="45" operator="equal">
      <formula>"Feito"</formula>
    </cfRule>
  </conditionalFormatting>
  <conditionalFormatting sqref="F5 F81">
    <cfRule type="cellIs" dxfId="535" priority="37" operator="equal">
      <formula>"Energia"</formula>
    </cfRule>
    <cfRule type="cellIs" dxfId="534" priority="39" operator="equal">
      <formula>"Operação"</formula>
    </cfRule>
    <cfRule type="cellIs" dxfId="533" priority="40" operator="equal">
      <formula>"Chuva"</formula>
    </cfRule>
    <cfRule type="cellIs" dxfId="532" priority="41" operator="equal">
      <formula>"Elétrico"</formula>
    </cfRule>
    <cfRule type="cellIs" dxfId="531" priority="42" operator="equal">
      <formula>"Mecânico"</formula>
    </cfRule>
    <cfRule type="cellIs" dxfId="530" priority="43" operator="equal">
      <formula>"Ok"</formula>
    </cfRule>
  </conditionalFormatting>
  <conditionalFormatting sqref="F5 F81">
    <cfRule type="cellIs" dxfId="529" priority="38" operator="equal">
      <formula>"Feito"</formula>
    </cfRule>
  </conditionalFormatting>
  <conditionalFormatting sqref="F5 F81">
    <cfRule type="cellIs" dxfId="528" priority="36" operator="equal">
      <formula>"Energia"</formula>
    </cfRule>
  </conditionalFormatting>
  <conditionalFormatting sqref="H56">
    <cfRule type="cellIs" dxfId="527" priority="29" operator="equal">
      <formula>"Energia"</formula>
    </cfRule>
    <cfRule type="cellIs" dxfId="526" priority="31" operator="equal">
      <formula>"Operação"</formula>
    </cfRule>
    <cfRule type="cellIs" dxfId="525" priority="32" operator="equal">
      <formula>"Chuva"</formula>
    </cfRule>
    <cfRule type="cellIs" dxfId="524" priority="33" operator="equal">
      <formula>"Elétrico"</formula>
    </cfRule>
    <cfRule type="cellIs" dxfId="523" priority="34" operator="equal">
      <formula>"Mecânico"</formula>
    </cfRule>
    <cfRule type="cellIs" dxfId="522" priority="35" operator="equal">
      <formula>"Ok"</formula>
    </cfRule>
  </conditionalFormatting>
  <conditionalFormatting sqref="H56">
    <cfRule type="cellIs" dxfId="521" priority="30" operator="equal">
      <formula>"Feito"</formula>
    </cfRule>
  </conditionalFormatting>
  <conditionalFormatting sqref="B61">
    <cfRule type="cellIs" dxfId="520" priority="22" operator="equal">
      <formula>"Energia"</formula>
    </cfRule>
    <cfRule type="cellIs" dxfId="519" priority="24" operator="equal">
      <formula>"Operação"</formula>
    </cfRule>
    <cfRule type="cellIs" dxfId="518" priority="25" operator="equal">
      <formula>"Chuva"</formula>
    </cfRule>
    <cfRule type="cellIs" dxfId="517" priority="26" operator="equal">
      <formula>"Elétrico"</formula>
    </cfRule>
    <cfRule type="cellIs" dxfId="516" priority="27" operator="equal">
      <formula>"Mecânico"</formula>
    </cfRule>
    <cfRule type="cellIs" dxfId="515" priority="28" operator="equal">
      <formula>"Ok"</formula>
    </cfRule>
  </conditionalFormatting>
  <conditionalFormatting sqref="B61">
    <cfRule type="cellIs" dxfId="514" priority="23" operator="equal">
      <formula>"Feito"</formula>
    </cfRule>
  </conditionalFormatting>
  <conditionalFormatting sqref="B62">
    <cfRule type="cellIs" dxfId="513" priority="15" operator="equal">
      <formula>"Energia"</formula>
    </cfRule>
    <cfRule type="cellIs" dxfId="512" priority="17" operator="equal">
      <formula>"Operação"</formula>
    </cfRule>
    <cfRule type="cellIs" dxfId="511" priority="18" operator="equal">
      <formula>"Chuva"</formula>
    </cfRule>
    <cfRule type="cellIs" dxfId="510" priority="19" operator="equal">
      <formula>"Elétrico"</formula>
    </cfRule>
    <cfRule type="cellIs" dxfId="509" priority="20" operator="equal">
      <formula>"Mecânico"</formula>
    </cfRule>
    <cfRule type="cellIs" dxfId="508" priority="21" operator="equal">
      <formula>"Ok"</formula>
    </cfRule>
  </conditionalFormatting>
  <conditionalFormatting sqref="B62">
    <cfRule type="cellIs" dxfId="507" priority="16" operator="equal">
      <formula>"Feito"</formula>
    </cfRule>
  </conditionalFormatting>
  <conditionalFormatting sqref="B56">
    <cfRule type="cellIs" dxfId="506" priority="8" operator="equal">
      <formula>"Energia"</formula>
    </cfRule>
    <cfRule type="cellIs" dxfId="505" priority="10" operator="equal">
      <formula>"Operação"</formula>
    </cfRule>
    <cfRule type="cellIs" dxfId="504" priority="11" operator="equal">
      <formula>"Chuva"</formula>
    </cfRule>
    <cfRule type="cellIs" dxfId="503" priority="12" operator="equal">
      <formula>"Elétrico"</formula>
    </cfRule>
    <cfRule type="cellIs" dxfId="502" priority="13" operator="equal">
      <formula>"Mecânico"</formula>
    </cfRule>
    <cfRule type="cellIs" dxfId="501" priority="14" operator="equal">
      <formula>"Ok"</formula>
    </cfRule>
  </conditionalFormatting>
  <conditionalFormatting sqref="B56">
    <cfRule type="cellIs" dxfId="500" priority="9" operator="equal">
      <formula>"Feito"</formula>
    </cfRule>
  </conditionalFormatting>
  <conditionalFormatting sqref="E62">
    <cfRule type="cellIs" dxfId="499" priority="1" operator="equal">
      <formula>"Energia"</formula>
    </cfRule>
    <cfRule type="cellIs" dxfId="498" priority="3" operator="equal">
      <formula>"Operação"</formula>
    </cfRule>
    <cfRule type="cellIs" dxfId="497" priority="4" operator="equal">
      <formula>"Chuva"</formula>
    </cfRule>
    <cfRule type="cellIs" dxfId="496" priority="5" operator="equal">
      <formula>"Elétrico"</formula>
    </cfRule>
    <cfRule type="cellIs" dxfId="495" priority="6" operator="equal">
      <formula>"Mecânico"</formula>
    </cfRule>
    <cfRule type="cellIs" dxfId="494" priority="7" operator="equal">
      <formula>"Ok"</formula>
    </cfRule>
  </conditionalFormatting>
  <conditionalFormatting sqref="E62">
    <cfRule type="cellIs" dxfId="493" priority="2" operator="equal">
      <formula>"Feito"</formula>
    </cfRule>
  </conditionalFormatting>
  <dataValidations count="1">
    <dataValidation type="list" allowBlank="1" showInputMessage="1" showErrorMessage="1" sqref="I5:I16 J36:J60 I29:I62 I19:I26 B5:H95" xr:uid="{006647BE-ACBE-473A-A763-DED583B3D3CC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953C-9A13-4C9A-A402-A4C5D1A5EB7F}">
  <sheetPr>
    <tabColor theme="8"/>
  </sheetPr>
  <dimension ref="A1:Q95"/>
  <sheetViews>
    <sheetView showGridLines="0" zoomScaleNormal="100" workbookViewId="0">
      <pane ySplit="4" topLeftCell="A65" activePane="bottomLeft" state="frozen"/>
      <selection pane="bottomLeft" activeCell="H74" sqref="H7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76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4" t="s">
        <v>16</v>
      </c>
      <c r="B3" s="23">
        <v>44816</v>
      </c>
      <c r="C3" s="23">
        <f>B3+1</f>
        <v>44817</v>
      </c>
      <c r="D3" s="23">
        <f t="shared" ref="D3:H3" si="0">C3+1</f>
        <v>44818</v>
      </c>
      <c r="E3" s="23">
        <f t="shared" si="0"/>
        <v>44819</v>
      </c>
      <c r="F3" s="23">
        <f t="shared" si="0"/>
        <v>44820</v>
      </c>
      <c r="G3" s="23">
        <f t="shared" si="0"/>
        <v>44821</v>
      </c>
      <c r="H3" s="25">
        <f t="shared" si="0"/>
        <v>44822</v>
      </c>
      <c r="I3" s="3"/>
    </row>
    <row r="4" spans="1:17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  <c r="Q4" t="s">
        <v>34</v>
      </c>
    </row>
    <row r="5" spans="1:17" x14ac:dyDescent="0.25">
      <c r="A5" s="4">
        <v>1</v>
      </c>
      <c r="B5" s="38" t="s">
        <v>2</v>
      </c>
      <c r="C5" s="38"/>
      <c r="D5" s="38" t="s">
        <v>2</v>
      </c>
      <c r="E5" s="38" t="s">
        <v>7</v>
      </c>
      <c r="F5" s="38" t="s">
        <v>2</v>
      </c>
      <c r="G5" s="38" t="s">
        <v>2</v>
      </c>
      <c r="H5" s="38" t="s">
        <v>2</v>
      </c>
      <c r="J5" s="48" t="s">
        <v>2</v>
      </c>
      <c r="K5">
        <f>COUNTIF($B$5:$H$95,J5)</f>
        <v>190</v>
      </c>
      <c r="L5" s="34">
        <f t="shared" ref="L5:L10" si="2">K5/$K$11</f>
        <v>0.82969432314410485</v>
      </c>
      <c r="M5" s="52">
        <f>B3</f>
        <v>44816</v>
      </c>
      <c r="O5" t="s">
        <v>44</v>
      </c>
      <c r="P5">
        <v>186</v>
      </c>
      <c r="Q5" s="52">
        <f>M5</f>
        <v>44816</v>
      </c>
    </row>
    <row r="6" spans="1:17" x14ac:dyDescent="0.25">
      <c r="A6" s="4">
        <v>2</v>
      </c>
      <c r="B6" s="38"/>
      <c r="C6" s="38"/>
      <c r="D6" s="38"/>
      <c r="E6" s="38"/>
      <c r="F6" s="38"/>
      <c r="G6" s="38"/>
      <c r="H6" s="38"/>
      <c r="J6" s="42" t="s">
        <v>5</v>
      </c>
      <c r="K6">
        <f>COUNTIF($B$5:$H$95,J6)</f>
        <v>3</v>
      </c>
      <c r="L6" s="35">
        <f t="shared" si="2"/>
        <v>1.3100436681222707E-2</v>
      </c>
      <c r="O6" t="s">
        <v>46</v>
      </c>
      <c r="P6">
        <f>SUM(K19:K25)</f>
        <v>13</v>
      </c>
    </row>
    <row r="7" spans="1:17" x14ac:dyDescent="0.25">
      <c r="A7" s="4">
        <v>3</v>
      </c>
      <c r="B7" s="38"/>
      <c r="C7" s="38"/>
      <c r="D7" s="38"/>
      <c r="E7" s="38"/>
      <c r="F7" s="38"/>
      <c r="G7" s="38"/>
      <c r="H7" s="38"/>
      <c r="J7" s="46" t="s">
        <v>6</v>
      </c>
      <c r="K7">
        <f t="shared" ref="K7:K10" si="3">COUNTIF($B$5:$H$95,J7)</f>
        <v>7</v>
      </c>
      <c r="L7" s="35">
        <f t="shared" si="2"/>
        <v>3.0567685589519649E-2</v>
      </c>
      <c r="O7" t="s">
        <v>45</v>
      </c>
      <c r="P7">
        <f>SUM(K29:K35)</f>
        <v>3</v>
      </c>
    </row>
    <row r="8" spans="1:17" x14ac:dyDescent="0.25">
      <c r="A8" s="4">
        <v>4</v>
      </c>
      <c r="B8" s="38"/>
      <c r="C8" s="38"/>
      <c r="D8" s="38"/>
      <c r="E8" s="38"/>
      <c r="F8" s="38"/>
      <c r="G8" s="38"/>
      <c r="H8" s="38"/>
      <c r="J8" s="47" t="s">
        <v>4</v>
      </c>
      <c r="K8">
        <f t="shared" si="3"/>
        <v>0</v>
      </c>
      <c r="L8" s="35">
        <f t="shared" si="2"/>
        <v>0</v>
      </c>
      <c r="O8" s="65" t="s">
        <v>17</v>
      </c>
      <c r="P8" s="65">
        <f>P5+P6-P7</f>
        <v>196</v>
      </c>
    </row>
    <row r="9" spans="1:17" x14ac:dyDescent="0.25">
      <c r="A9" s="4">
        <v>5</v>
      </c>
      <c r="B9" s="38"/>
      <c r="C9" s="38"/>
      <c r="D9" s="38"/>
      <c r="E9" s="38"/>
      <c r="F9" s="38"/>
      <c r="G9" s="38"/>
      <c r="H9" s="38" t="s">
        <v>2</v>
      </c>
      <c r="J9" s="45" t="s">
        <v>3</v>
      </c>
      <c r="K9">
        <f t="shared" si="3"/>
        <v>0</v>
      </c>
      <c r="L9" s="35">
        <f t="shared" si="2"/>
        <v>0</v>
      </c>
    </row>
    <row r="10" spans="1:17" x14ac:dyDescent="0.25">
      <c r="A10" s="4">
        <v>6</v>
      </c>
      <c r="B10" s="38"/>
      <c r="C10" s="38"/>
      <c r="D10" s="38"/>
      <c r="E10" s="38"/>
      <c r="F10" s="38"/>
      <c r="G10" s="38"/>
      <c r="H10" s="38" t="s">
        <v>2</v>
      </c>
      <c r="J10" s="43" t="s">
        <v>7</v>
      </c>
      <c r="K10">
        <f t="shared" si="3"/>
        <v>29</v>
      </c>
      <c r="L10" s="37">
        <f t="shared" si="2"/>
        <v>0.12663755458515283</v>
      </c>
      <c r="O10" t="s">
        <v>65</v>
      </c>
      <c r="P10">
        <f>P8</f>
        <v>196</v>
      </c>
    </row>
    <row r="11" spans="1:17" x14ac:dyDescent="0.25">
      <c r="A11" s="4">
        <v>7</v>
      </c>
      <c r="B11" s="38"/>
      <c r="C11" s="38" t="s">
        <v>7</v>
      </c>
      <c r="D11" s="38"/>
      <c r="E11" s="38"/>
      <c r="F11" s="38"/>
      <c r="G11" s="38"/>
      <c r="H11" s="38"/>
      <c r="J11" s="44" t="s">
        <v>17</v>
      </c>
      <c r="K11">
        <f>SUM(K5:K10)</f>
        <v>229</v>
      </c>
    </row>
    <row r="12" spans="1:17" x14ac:dyDescent="0.25">
      <c r="A12" s="4">
        <v>8</v>
      </c>
      <c r="B12" s="38" t="s">
        <v>2</v>
      </c>
      <c r="C12" s="38"/>
      <c r="D12" s="38" t="s">
        <v>2</v>
      </c>
      <c r="E12" s="38" t="s">
        <v>2</v>
      </c>
      <c r="F12" s="38" t="s">
        <v>2</v>
      </c>
      <c r="G12" s="38"/>
      <c r="H12" s="38"/>
    </row>
    <row r="13" spans="1:17" x14ac:dyDescent="0.25">
      <c r="A13" s="4">
        <v>9</v>
      </c>
      <c r="B13" s="38"/>
      <c r="C13" s="38" t="s">
        <v>2</v>
      </c>
      <c r="D13" s="38"/>
      <c r="E13" s="38"/>
      <c r="F13" s="38"/>
      <c r="G13" s="38"/>
      <c r="H13" s="38"/>
    </row>
    <row r="14" spans="1:17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7" x14ac:dyDescent="0.25">
      <c r="A15" s="4">
        <v>11</v>
      </c>
      <c r="B15" s="38" t="s">
        <v>2</v>
      </c>
      <c r="C15" s="38" t="s">
        <v>2</v>
      </c>
      <c r="D15" s="38" t="s">
        <v>2</v>
      </c>
      <c r="E15" s="38"/>
      <c r="F15" s="38" t="s">
        <v>2</v>
      </c>
      <c r="G15" s="38" t="s">
        <v>2</v>
      </c>
      <c r="H15" s="38"/>
    </row>
    <row r="16" spans="1:17" x14ac:dyDescent="0.25">
      <c r="A16" s="4">
        <v>12</v>
      </c>
      <c r="B16" s="38" t="s">
        <v>2</v>
      </c>
      <c r="C16" s="38"/>
      <c r="D16" s="38" t="s">
        <v>2</v>
      </c>
      <c r="E16" s="38" t="s">
        <v>2</v>
      </c>
      <c r="F16" s="38"/>
      <c r="G16" s="38" t="s">
        <v>6</v>
      </c>
      <c r="H16" s="38" t="s">
        <v>2</v>
      </c>
      <c r="O16" s="61"/>
    </row>
    <row r="17" spans="1:11" x14ac:dyDescent="0.25">
      <c r="A17" s="4">
        <v>13</v>
      </c>
      <c r="B17" s="38" t="s">
        <v>2</v>
      </c>
      <c r="C17" s="38" t="s">
        <v>2</v>
      </c>
      <c r="D17" s="38" t="s">
        <v>2</v>
      </c>
      <c r="E17" s="38" t="s">
        <v>2</v>
      </c>
      <c r="F17" s="38" t="s">
        <v>2</v>
      </c>
      <c r="G17" s="38" t="s">
        <v>2</v>
      </c>
      <c r="H17" s="38" t="s">
        <v>2</v>
      </c>
      <c r="I17" s="71" t="s">
        <v>46</v>
      </c>
      <c r="J17" s="72"/>
      <c r="K17" s="72"/>
    </row>
    <row r="18" spans="1:11" x14ac:dyDescent="0.25">
      <c r="A18" s="4">
        <v>14</v>
      </c>
      <c r="B18" s="38"/>
      <c r="C18" s="38" t="s">
        <v>2</v>
      </c>
      <c r="D18" s="38"/>
      <c r="E18" s="38" t="s">
        <v>2</v>
      </c>
      <c r="F18" s="38"/>
      <c r="G18" s="38" t="s">
        <v>2</v>
      </c>
      <c r="H18" s="38" t="s">
        <v>2</v>
      </c>
      <c r="I18" s="71" t="s">
        <v>54</v>
      </c>
      <c r="J18" s="72"/>
      <c r="K18" t="s">
        <v>32</v>
      </c>
    </row>
    <row r="19" spans="1:11" x14ac:dyDescent="0.25">
      <c r="A19" s="4">
        <v>15</v>
      </c>
      <c r="B19" s="38"/>
      <c r="C19" s="38"/>
      <c r="D19" s="38"/>
      <c r="E19" s="38"/>
      <c r="F19" s="38"/>
      <c r="G19" s="38"/>
      <c r="H19" s="38"/>
      <c r="I19" s="40" t="s">
        <v>47</v>
      </c>
      <c r="J19" s="40" t="str">
        <f>TEXT(B3,"ddd")</f>
        <v>seg</v>
      </c>
      <c r="K19" s="60">
        <v>1</v>
      </c>
    </row>
    <row r="20" spans="1:11" x14ac:dyDescent="0.25">
      <c r="A20" s="4">
        <v>16</v>
      </c>
      <c r="B20" s="38"/>
      <c r="C20" s="38"/>
      <c r="D20" s="38"/>
      <c r="E20" s="38"/>
      <c r="F20" s="38"/>
      <c r="G20" s="38"/>
      <c r="H20" s="38"/>
      <c r="I20" s="40" t="s">
        <v>48</v>
      </c>
      <c r="J20" s="40" t="str">
        <f>TEXT(C3,"ddd")</f>
        <v>ter</v>
      </c>
      <c r="K20" s="60">
        <v>2</v>
      </c>
    </row>
    <row r="21" spans="1:11" x14ac:dyDescent="0.25">
      <c r="A21" s="4">
        <v>17</v>
      </c>
      <c r="B21" s="38"/>
      <c r="C21" s="38"/>
      <c r="D21" s="38"/>
      <c r="E21" s="38"/>
      <c r="F21" s="38"/>
      <c r="G21" s="38"/>
      <c r="H21" s="38"/>
      <c r="I21" s="40" t="s">
        <v>49</v>
      </c>
      <c r="J21" s="40" t="str">
        <f>TEXT(D3,"ddd")</f>
        <v>qua</v>
      </c>
      <c r="K21" s="60"/>
    </row>
    <row r="22" spans="1:11" x14ac:dyDescent="0.25">
      <c r="A22" s="4">
        <v>18</v>
      </c>
      <c r="B22" s="38"/>
      <c r="C22" s="38"/>
      <c r="D22" s="38"/>
      <c r="E22" s="38"/>
      <c r="F22" s="38"/>
      <c r="G22" s="38"/>
      <c r="H22" s="38"/>
      <c r="I22" s="40" t="s">
        <v>50</v>
      </c>
      <c r="J22" s="40" t="str">
        <f>TEXT(E3,"ddd")</f>
        <v>qui</v>
      </c>
      <c r="K22" s="60">
        <v>1</v>
      </c>
    </row>
    <row r="23" spans="1:11" x14ac:dyDescent="0.25">
      <c r="A23" s="4">
        <v>19</v>
      </c>
      <c r="B23" s="38" t="s">
        <v>7</v>
      </c>
      <c r="C23" s="38"/>
      <c r="D23" s="38"/>
      <c r="E23" s="38"/>
      <c r="F23" s="38"/>
      <c r="G23" s="38"/>
      <c r="H23" s="38"/>
      <c r="I23" s="40" t="s">
        <v>51</v>
      </c>
      <c r="J23" s="40" t="str">
        <f>TEXT(F3,"ddd")</f>
        <v>sex</v>
      </c>
      <c r="K23" s="60">
        <v>2</v>
      </c>
    </row>
    <row r="24" spans="1:11" x14ac:dyDescent="0.25">
      <c r="A24" s="4">
        <v>20</v>
      </c>
      <c r="B24" s="38"/>
      <c r="C24" s="38"/>
      <c r="D24" s="38"/>
      <c r="E24" s="38"/>
      <c r="F24" s="38"/>
      <c r="G24" s="38"/>
      <c r="H24" s="38"/>
      <c r="I24" s="40" t="s">
        <v>52</v>
      </c>
      <c r="J24" s="40" t="str">
        <f>TEXT(G3,"ddd")</f>
        <v>sáb</v>
      </c>
      <c r="K24" s="60">
        <v>2</v>
      </c>
    </row>
    <row r="25" spans="1:11" x14ac:dyDescent="0.25">
      <c r="A25" s="4">
        <v>21</v>
      </c>
      <c r="B25" s="38" t="s">
        <v>2</v>
      </c>
      <c r="C25" s="38" t="s">
        <v>2</v>
      </c>
      <c r="D25" s="38"/>
      <c r="E25" s="38"/>
      <c r="F25" s="38"/>
      <c r="G25" s="38"/>
      <c r="H25" s="38"/>
      <c r="I25" s="40" t="s">
        <v>53</v>
      </c>
      <c r="J25" s="40" t="str">
        <f>TEXT(H3,"ddd")</f>
        <v>dom</v>
      </c>
      <c r="K25" s="60">
        <v>5</v>
      </c>
    </row>
    <row r="26" spans="1:11" x14ac:dyDescent="0.25">
      <c r="A26" s="4">
        <v>22</v>
      </c>
      <c r="B26" s="38"/>
      <c r="C26" s="38"/>
      <c r="D26" s="38"/>
      <c r="E26" s="38"/>
      <c r="F26" s="38"/>
      <c r="G26" s="38"/>
      <c r="H26" s="38"/>
    </row>
    <row r="27" spans="1:11" x14ac:dyDescent="0.25">
      <c r="A27" s="4">
        <v>23</v>
      </c>
      <c r="B27" s="38" t="s">
        <v>2</v>
      </c>
      <c r="C27" s="38"/>
      <c r="D27" s="38" t="s">
        <v>2</v>
      </c>
      <c r="E27" s="38" t="s">
        <v>2</v>
      </c>
      <c r="F27" s="38" t="s">
        <v>2</v>
      </c>
      <c r="G27" s="38" t="s">
        <v>2</v>
      </c>
      <c r="H27" s="38" t="s">
        <v>2</v>
      </c>
      <c r="I27" s="71" t="s">
        <v>45</v>
      </c>
      <c r="J27" s="72"/>
      <c r="K27" s="72"/>
    </row>
    <row r="28" spans="1:11" x14ac:dyDescent="0.25">
      <c r="A28" s="4">
        <v>24</v>
      </c>
      <c r="B28" s="38"/>
      <c r="C28" s="38" t="s">
        <v>2</v>
      </c>
      <c r="D28" s="38"/>
      <c r="E28" s="38" t="s">
        <v>2</v>
      </c>
      <c r="F28" s="38"/>
      <c r="G28" s="38" t="s">
        <v>2</v>
      </c>
      <c r="H28" s="38" t="s">
        <v>2</v>
      </c>
      <c r="I28" s="71" t="s">
        <v>54</v>
      </c>
      <c r="J28" s="72"/>
      <c r="K28" t="s">
        <v>32</v>
      </c>
    </row>
    <row r="29" spans="1:11" x14ac:dyDescent="0.25">
      <c r="A29" s="4">
        <v>25</v>
      </c>
      <c r="B29" s="38"/>
      <c r="C29" s="38" t="s">
        <v>2</v>
      </c>
      <c r="D29" s="38"/>
      <c r="E29" s="38" t="s">
        <v>5</v>
      </c>
      <c r="F29" s="38"/>
      <c r="G29" s="38" t="s">
        <v>2</v>
      </c>
      <c r="H29" s="38" t="s">
        <v>2</v>
      </c>
      <c r="I29" s="40" t="s">
        <v>47</v>
      </c>
      <c r="J29" s="40" t="str">
        <f t="shared" ref="J29:J35" si="4">J19</f>
        <v>seg</v>
      </c>
      <c r="K29" s="60"/>
    </row>
    <row r="30" spans="1:11" x14ac:dyDescent="0.25">
      <c r="A30" s="4">
        <v>26</v>
      </c>
      <c r="B30" s="38"/>
      <c r="C30" s="38" t="s">
        <v>2</v>
      </c>
      <c r="D30" s="38"/>
      <c r="E30" s="38" t="s">
        <v>2</v>
      </c>
      <c r="F30" s="38" t="s">
        <v>2</v>
      </c>
      <c r="G30" s="38" t="s">
        <v>2</v>
      </c>
      <c r="H30" s="38" t="s">
        <v>2</v>
      </c>
      <c r="I30" s="40" t="s">
        <v>48</v>
      </c>
      <c r="J30" s="40" t="str">
        <f t="shared" si="4"/>
        <v>ter</v>
      </c>
      <c r="K30" s="60"/>
    </row>
    <row r="31" spans="1:11" x14ac:dyDescent="0.25">
      <c r="A31" s="4">
        <v>27</v>
      </c>
      <c r="B31" s="38"/>
      <c r="C31" s="38"/>
      <c r="D31" s="38"/>
      <c r="E31" s="38"/>
      <c r="F31" s="38"/>
      <c r="G31" s="38"/>
      <c r="H31" s="38"/>
      <c r="I31" s="40" t="s">
        <v>49</v>
      </c>
      <c r="J31" s="40" t="str">
        <f t="shared" si="4"/>
        <v>qua</v>
      </c>
      <c r="K31" s="60"/>
    </row>
    <row r="32" spans="1:11" x14ac:dyDescent="0.25">
      <c r="A32" s="4">
        <v>28</v>
      </c>
      <c r="B32" s="38"/>
      <c r="C32" s="38"/>
      <c r="D32" s="38"/>
      <c r="E32" s="38"/>
      <c r="F32" s="38"/>
      <c r="G32" s="38"/>
      <c r="H32" s="38"/>
      <c r="I32" s="40" t="s">
        <v>50</v>
      </c>
      <c r="J32" s="40" t="str">
        <f t="shared" si="4"/>
        <v>qui</v>
      </c>
      <c r="K32" s="60"/>
    </row>
    <row r="33" spans="1:11" x14ac:dyDescent="0.25">
      <c r="A33" s="4">
        <v>29</v>
      </c>
      <c r="B33" s="38" t="s">
        <v>2</v>
      </c>
      <c r="C33" s="38"/>
      <c r="D33" s="38" t="s">
        <v>2</v>
      </c>
      <c r="E33" s="38"/>
      <c r="F33" s="38" t="s">
        <v>2</v>
      </c>
      <c r="G33" s="38"/>
      <c r="H33" s="38" t="s">
        <v>2</v>
      </c>
      <c r="I33" s="40" t="s">
        <v>51</v>
      </c>
      <c r="J33" s="40" t="str">
        <f t="shared" si="4"/>
        <v>sex</v>
      </c>
      <c r="K33" s="60">
        <v>1</v>
      </c>
    </row>
    <row r="34" spans="1:11" x14ac:dyDescent="0.25">
      <c r="A34" s="4">
        <v>30</v>
      </c>
      <c r="B34" s="38" t="s">
        <v>5</v>
      </c>
      <c r="C34" s="38" t="s">
        <v>2</v>
      </c>
      <c r="D34" s="38" t="s">
        <v>7</v>
      </c>
      <c r="E34" s="38" t="s">
        <v>7</v>
      </c>
      <c r="F34" s="38" t="s">
        <v>7</v>
      </c>
      <c r="G34" s="38" t="s">
        <v>2</v>
      </c>
      <c r="H34" s="38" t="s">
        <v>2</v>
      </c>
      <c r="I34" s="40" t="s">
        <v>52</v>
      </c>
      <c r="J34" s="40" t="str">
        <f t="shared" si="4"/>
        <v>sáb</v>
      </c>
      <c r="K34" s="60">
        <v>1</v>
      </c>
    </row>
    <row r="35" spans="1:11" x14ac:dyDescent="0.25">
      <c r="A35" s="4">
        <v>31</v>
      </c>
      <c r="B35" s="38"/>
      <c r="C35" s="38" t="s">
        <v>7</v>
      </c>
      <c r="D35" s="38" t="s">
        <v>7</v>
      </c>
      <c r="E35" s="38"/>
      <c r="F35" s="38" t="s">
        <v>2</v>
      </c>
      <c r="G35" s="38" t="s">
        <v>2</v>
      </c>
      <c r="H35" s="38" t="s">
        <v>2</v>
      </c>
      <c r="I35" s="40" t="s">
        <v>53</v>
      </c>
      <c r="J35" s="40" t="str">
        <f t="shared" si="4"/>
        <v>dom</v>
      </c>
      <c r="K35" s="60">
        <v>1</v>
      </c>
    </row>
    <row r="36" spans="1:11" x14ac:dyDescent="0.25">
      <c r="A36" s="4">
        <v>32</v>
      </c>
      <c r="B36" s="38" t="s">
        <v>2</v>
      </c>
      <c r="C36" s="38"/>
      <c r="D36" s="38" t="s">
        <v>2</v>
      </c>
      <c r="E36" s="38" t="s">
        <v>7</v>
      </c>
      <c r="F36" s="38" t="s">
        <v>5</v>
      </c>
      <c r="G36" s="38" t="s">
        <v>2</v>
      </c>
      <c r="H36" s="38" t="s">
        <v>2</v>
      </c>
    </row>
    <row r="37" spans="1:11" x14ac:dyDescent="0.25">
      <c r="A37" s="4">
        <v>33</v>
      </c>
      <c r="B37" s="38" t="s">
        <v>7</v>
      </c>
      <c r="C37" s="38"/>
      <c r="D37" s="38" t="s">
        <v>7</v>
      </c>
      <c r="E37" s="38" t="s">
        <v>2</v>
      </c>
      <c r="F37" s="38" t="s">
        <v>2</v>
      </c>
      <c r="G37" s="38" t="s">
        <v>2</v>
      </c>
      <c r="H37" s="38" t="s">
        <v>2</v>
      </c>
    </row>
    <row r="38" spans="1:11" x14ac:dyDescent="0.25">
      <c r="A38" s="4">
        <v>34</v>
      </c>
      <c r="B38" s="38"/>
      <c r="C38" s="38"/>
      <c r="D38" s="38"/>
      <c r="E38" s="38"/>
      <c r="F38" s="38"/>
      <c r="G38" s="38"/>
      <c r="H38" s="38"/>
    </row>
    <row r="39" spans="1:11" x14ac:dyDescent="0.25">
      <c r="A39" s="4">
        <v>35</v>
      </c>
      <c r="B39" s="38"/>
      <c r="C39" s="38" t="s">
        <v>2</v>
      </c>
      <c r="D39" s="38"/>
      <c r="E39" s="38" t="s">
        <v>2</v>
      </c>
      <c r="F39" s="38"/>
      <c r="G39" s="38" t="s">
        <v>2</v>
      </c>
      <c r="H39" s="38"/>
    </row>
    <row r="40" spans="1:11" x14ac:dyDescent="0.25">
      <c r="A40" s="4">
        <v>36</v>
      </c>
      <c r="B40" s="38" t="s">
        <v>2</v>
      </c>
      <c r="C40" s="38" t="s">
        <v>2</v>
      </c>
      <c r="D40" s="38" t="s">
        <v>2</v>
      </c>
      <c r="E40" s="38"/>
      <c r="F40" s="38"/>
      <c r="G40" s="38"/>
      <c r="H40" s="38" t="s">
        <v>2</v>
      </c>
    </row>
    <row r="41" spans="1:11" x14ac:dyDescent="0.25">
      <c r="A41" s="4">
        <v>37</v>
      </c>
      <c r="B41" s="38"/>
      <c r="C41" s="38" t="s">
        <v>2</v>
      </c>
      <c r="D41" s="38"/>
      <c r="E41" s="38" t="s">
        <v>2</v>
      </c>
      <c r="F41" s="38"/>
      <c r="G41" s="38" t="s">
        <v>2</v>
      </c>
      <c r="H41" s="38"/>
    </row>
    <row r="42" spans="1:11" x14ac:dyDescent="0.25">
      <c r="A42" s="4">
        <v>38</v>
      </c>
      <c r="B42" s="38"/>
      <c r="C42" s="38"/>
      <c r="D42" s="38"/>
      <c r="E42" s="38"/>
      <c r="F42" s="38"/>
      <c r="G42" s="38" t="s">
        <v>2</v>
      </c>
      <c r="H42" s="38" t="s">
        <v>2</v>
      </c>
    </row>
    <row r="43" spans="1:11" x14ac:dyDescent="0.25">
      <c r="A43" s="4">
        <v>39</v>
      </c>
      <c r="B43" s="38"/>
      <c r="C43" s="38"/>
      <c r="D43" s="38"/>
      <c r="E43" s="38"/>
      <c r="F43" s="38"/>
      <c r="G43" s="38"/>
      <c r="H43" s="38"/>
    </row>
    <row r="44" spans="1:11" x14ac:dyDescent="0.25">
      <c r="A44" s="4">
        <v>40</v>
      </c>
      <c r="B44" s="38"/>
      <c r="C44" s="38"/>
      <c r="D44" s="38"/>
      <c r="E44" s="38"/>
      <c r="F44" s="38"/>
      <c r="G44" s="38"/>
      <c r="H44" s="38"/>
    </row>
    <row r="45" spans="1:11" x14ac:dyDescent="0.25">
      <c r="A45" s="4">
        <v>41</v>
      </c>
      <c r="B45" s="38"/>
      <c r="C45" s="38"/>
      <c r="D45" s="38"/>
      <c r="E45" s="38"/>
      <c r="F45" s="38"/>
      <c r="G45" s="38"/>
      <c r="H45" s="38"/>
    </row>
    <row r="46" spans="1:11" x14ac:dyDescent="0.25">
      <c r="A46" s="4">
        <v>42</v>
      </c>
      <c r="B46" s="38"/>
      <c r="C46" s="38"/>
      <c r="D46" s="38"/>
      <c r="E46" s="38"/>
      <c r="F46" s="38"/>
      <c r="G46" s="38"/>
      <c r="H46" s="38"/>
    </row>
    <row r="47" spans="1:11" x14ac:dyDescent="0.25">
      <c r="A47" s="4">
        <v>43</v>
      </c>
      <c r="B47" s="38"/>
      <c r="C47" s="38" t="s">
        <v>2</v>
      </c>
      <c r="D47" s="38"/>
      <c r="E47" s="38" t="s">
        <v>2</v>
      </c>
      <c r="F47" s="38" t="s">
        <v>2</v>
      </c>
      <c r="G47" s="38" t="s">
        <v>2</v>
      </c>
      <c r="H47" s="38" t="s">
        <v>2</v>
      </c>
    </row>
    <row r="48" spans="1:11" x14ac:dyDescent="0.25">
      <c r="A48" s="4">
        <v>44</v>
      </c>
      <c r="B48" s="38"/>
      <c r="C48" s="38"/>
      <c r="D48" s="38"/>
      <c r="E48" s="38"/>
      <c r="F48" s="38"/>
      <c r="G48" s="38"/>
      <c r="H48" s="38"/>
    </row>
    <row r="49" spans="1:11" x14ac:dyDescent="0.25">
      <c r="A49" s="4">
        <v>45</v>
      </c>
      <c r="B49" s="38" t="s">
        <v>2</v>
      </c>
      <c r="C49" s="38" t="s">
        <v>2</v>
      </c>
      <c r="D49" s="38" t="s">
        <v>2</v>
      </c>
      <c r="E49" s="38" t="s">
        <v>2</v>
      </c>
      <c r="F49" s="38" t="s">
        <v>2</v>
      </c>
      <c r="G49" s="38" t="s">
        <v>2</v>
      </c>
      <c r="H49" s="38" t="s">
        <v>2</v>
      </c>
    </row>
    <row r="50" spans="1:11" x14ac:dyDescent="0.25">
      <c r="A50" s="4">
        <v>46</v>
      </c>
      <c r="B50" s="38" t="s">
        <v>2</v>
      </c>
      <c r="C50" s="38" t="s">
        <v>2</v>
      </c>
      <c r="D50" s="38" t="s">
        <v>2</v>
      </c>
      <c r="E50" s="38" t="s">
        <v>2</v>
      </c>
      <c r="F50" s="38" t="s">
        <v>2</v>
      </c>
      <c r="G50" s="38" t="s">
        <v>2</v>
      </c>
      <c r="H50" s="38" t="s">
        <v>2</v>
      </c>
    </row>
    <row r="51" spans="1:11" x14ac:dyDescent="0.25">
      <c r="A51" s="4">
        <v>47</v>
      </c>
      <c r="B51" s="38" t="s">
        <v>2</v>
      </c>
      <c r="C51" s="38" t="s">
        <v>2</v>
      </c>
      <c r="D51" s="38" t="s">
        <v>2</v>
      </c>
      <c r="E51" s="38" t="s">
        <v>2</v>
      </c>
      <c r="F51" s="38" t="s">
        <v>2</v>
      </c>
      <c r="G51" s="38" t="s">
        <v>2</v>
      </c>
      <c r="H51" s="38" t="s">
        <v>2</v>
      </c>
    </row>
    <row r="52" spans="1:11" x14ac:dyDescent="0.25">
      <c r="A52" s="4">
        <v>48</v>
      </c>
      <c r="B52" s="38" t="s">
        <v>2</v>
      </c>
      <c r="C52" s="38" t="s">
        <v>2</v>
      </c>
      <c r="D52" s="38" t="s">
        <v>2</v>
      </c>
      <c r="E52" s="38" t="s">
        <v>2</v>
      </c>
      <c r="F52" s="38" t="s">
        <v>2</v>
      </c>
      <c r="G52" s="38" t="s">
        <v>2</v>
      </c>
      <c r="H52" s="38" t="s">
        <v>2</v>
      </c>
    </row>
    <row r="53" spans="1:11" x14ac:dyDescent="0.25">
      <c r="A53" s="4">
        <v>49</v>
      </c>
      <c r="B53" s="38" t="s">
        <v>2</v>
      </c>
      <c r="C53" s="38" t="s">
        <v>2</v>
      </c>
      <c r="D53" s="38" t="s">
        <v>2</v>
      </c>
      <c r="E53" s="38" t="s">
        <v>2</v>
      </c>
      <c r="F53" s="38" t="s">
        <v>2</v>
      </c>
      <c r="G53" s="38" t="s">
        <v>2</v>
      </c>
      <c r="H53" s="38" t="s">
        <v>2</v>
      </c>
      <c r="K53" t="s">
        <v>68</v>
      </c>
    </row>
    <row r="54" spans="1:11" x14ac:dyDescent="0.25">
      <c r="A54" s="4">
        <v>50</v>
      </c>
      <c r="B54" s="38" t="s">
        <v>7</v>
      </c>
      <c r="C54" s="38"/>
      <c r="D54" s="38" t="s">
        <v>7</v>
      </c>
      <c r="E54" s="38"/>
      <c r="F54" s="38" t="s">
        <v>2</v>
      </c>
      <c r="G54" s="38"/>
      <c r="H54" s="38" t="s">
        <v>2</v>
      </c>
    </row>
    <row r="55" spans="1:11" x14ac:dyDescent="0.25">
      <c r="A55" s="4">
        <v>51</v>
      </c>
      <c r="B55" s="38"/>
      <c r="C55" s="38" t="s">
        <v>2</v>
      </c>
      <c r="D55" s="38"/>
      <c r="E55" s="38" t="s">
        <v>2</v>
      </c>
      <c r="F55" s="38"/>
      <c r="G55" s="38" t="s">
        <v>2</v>
      </c>
      <c r="H55" s="38" t="s">
        <v>2</v>
      </c>
    </row>
    <row r="56" spans="1:11" x14ac:dyDescent="0.25">
      <c r="A56" s="4">
        <v>52</v>
      </c>
      <c r="B56" s="38" t="s">
        <v>7</v>
      </c>
      <c r="C56" s="38" t="s">
        <v>2</v>
      </c>
      <c r="D56" s="38" t="s">
        <v>7</v>
      </c>
      <c r="E56" s="38" t="s">
        <v>2</v>
      </c>
      <c r="F56" s="38"/>
      <c r="G56" s="38" t="s">
        <v>2</v>
      </c>
      <c r="H56" s="38"/>
    </row>
    <row r="57" spans="1:11" x14ac:dyDescent="0.25">
      <c r="A57" s="4">
        <v>53</v>
      </c>
      <c r="B57" s="38"/>
      <c r="C57" s="38"/>
      <c r="D57" s="38"/>
      <c r="E57" s="38"/>
      <c r="F57" s="38" t="s">
        <v>2</v>
      </c>
      <c r="G57" s="38" t="s">
        <v>2</v>
      </c>
      <c r="H57" s="38" t="s">
        <v>2</v>
      </c>
    </row>
    <row r="58" spans="1:11" x14ac:dyDescent="0.25">
      <c r="A58" s="4">
        <v>54</v>
      </c>
      <c r="B58" s="38"/>
      <c r="C58" s="38" t="s">
        <v>2</v>
      </c>
      <c r="D58" s="38" t="s">
        <v>2</v>
      </c>
      <c r="E58" s="38"/>
      <c r="F58" s="38" t="s">
        <v>7</v>
      </c>
      <c r="G58" s="38"/>
      <c r="H58" s="38" t="s">
        <v>2</v>
      </c>
    </row>
    <row r="59" spans="1:11" x14ac:dyDescent="0.25">
      <c r="A59" s="4">
        <v>55</v>
      </c>
      <c r="B59" s="38" t="s">
        <v>6</v>
      </c>
      <c r="C59" s="38" t="s">
        <v>6</v>
      </c>
      <c r="D59" s="38"/>
      <c r="E59" s="38"/>
      <c r="F59" s="38"/>
      <c r="G59" s="38" t="s">
        <v>2</v>
      </c>
      <c r="H59" s="38" t="s">
        <v>2</v>
      </c>
    </row>
    <row r="60" spans="1:11" x14ac:dyDescent="0.25">
      <c r="A60" s="4">
        <v>56</v>
      </c>
      <c r="B60" s="38" t="s">
        <v>2</v>
      </c>
      <c r="C60" s="38" t="s">
        <v>2</v>
      </c>
      <c r="D60" s="38" t="s">
        <v>2</v>
      </c>
      <c r="E60" s="38" t="s">
        <v>2</v>
      </c>
      <c r="F60" s="38" t="s">
        <v>2</v>
      </c>
      <c r="G60" s="38" t="s">
        <v>2</v>
      </c>
      <c r="H60" s="38" t="s">
        <v>2</v>
      </c>
    </row>
    <row r="61" spans="1:11" x14ac:dyDescent="0.25">
      <c r="A61" s="4">
        <v>73</v>
      </c>
      <c r="B61" s="38"/>
      <c r="C61" s="38" t="s">
        <v>7</v>
      </c>
      <c r="D61" s="38"/>
      <c r="E61" s="38"/>
      <c r="F61" s="38"/>
      <c r="G61" s="38"/>
      <c r="H61" s="38"/>
    </row>
    <row r="62" spans="1:11" x14ac:dyDescent="0.25">
      <c r="A62" s="4">
        <v>74</v>
      </c>
      <c r="B62" s="38" t="s">
        <v>7</v>
      </c>
      <c r="C62" s="38" t="s">
        <v>7</v>
      </c>
      <c r="D62" s="38"/>
      <c r="E62" s="38"/>
      <c r="F62" s="38"/>
      <c r="G62" s="38"/>
      <c r="H62" s="38"/>
    </row>
    <row r="63" spans="1:11" x14ac:dyDescent="0.25">
      <c r="A63" s="4">
        <v>101</v>
      </c>
      <c r="B63" s="39" t="s">
        <v>2</v>
      </c>
      <c r="C63" s="39" t="s">
        <v>6</v>
      </c>
      <c r="D63" s="38" t="s">
        <v>6</v>
      </c>
      <c r="E63" s="38" t="s">
        <v>2</v>
      </c>
      <c r="F63" s="38" t="s">
        <v>2</v>
      </c>
      <c r="G63" s="38" t="s">
        <v>7</v>
      </c>
      <c r="H63" s="38" t="s">
        <v>2</v>
      </c>
    </row>
    <row r="64" spans="1:11" x14ac:dyDescent="0.25">
      <c r="A64" s="4">
        <v>102</v>
      </c>
      <c r="B64" s="38"/>
      <c r="C64" s="38"/>
      <c r="D64" s="38"/>
      <c r="E64" s="38"/>
      <c r="F64" s="38"/>
      <c r="G64" s="38"/>
      <c r="H64" s="38"/>
    </row>
    <row r="65" spans="1:8" x14ac:dyDescent="0.25">
      <c r="A65" s="4">
        <v>103</v>
      </c>
      <c r="B65" s="38" t="s">
        <v>2</v>
      </c>
      <c r="C65" s="38" t="s">
        <v>2</v>
      </c>
      <c r="D65" s="38" t="s">
        <v>2</v>
      </c>
      <c r="E65" s="38" t="s">
        <v>2</v>
      </c>
      <c r="F65" s="38" t="s">
        <v>2</v>
      </c>
      <c r="G65" s="38" t="s">
        <v>7</v>
      </c>
      <c r="H65" s="38" t="s">
        <v>2</v>
      </c>
    </row>
    <row r="66" spans="1:8" x14ac:dyDescent="0.25">
      <c r="A66" s="4">
        <v>104</v>
      </c>
      <c r="B66" s="38" t="s">
        <v>2</v>
      </c>
      <c r="C66" s="38" t="s">
        <v>2</v>
      </c>
      <c r="D66" s="38" t="s">
        <v>2</v>
      </c>
      <c r="E66" s="38" t="s">
        <v>2</v>
      </c>
      <c r="F66" s="38" t="s">
        <v>2</v>
      </c>
      <c r="G66" s="38" t="s">
        <v>2</v>
      </c>
      <c r="H66" s="38" t="s">
        <v>2</v>
      </c>
    </row>
    <row r="67" spans="1:8" x14ac:dyDescent="0.25">
      <c r="A67" s="4">
        <v>105</v>
      </c>
      <c r="B67" s="38"/>
      <c r="C67" s="38"/>
      <c r="D67" s="38"/>
      <c r="E67" s="38"/>
      <c r="F67" s="38"/>
      <c r="G67" s="38"/>
      <c r="H67" s="38"/>
    </row>
    <row r="68" spans="1:8" x14ac:dyDescent="0.25">
      <c r="A68" s="4">
        <v>106</v>
      </c>
      <c r="B68" s="38" t="s">
        <v>2</v>
      </c>
      <c r="C68" s="38" t="s">
        <v>2</v>
      </c>
      <c r="D68" s="38"/>
      <c r="E68" s="38"/>
      <c r="F68" s="38"/>
      <c r="G68" s="38"/>
      <c r="H68" s="38"/>
    </row>
    <row r="69" spans="1:8" x14ac:dyDescent="0.25">
      <c r="A69" s="4">
        <v>107</v>
      </c>
      <c r="B69" s="38"/>
      <c r="C69" s="38"/>
      <c r="D69" s="38"/>
      <c r="E69" s="38"/>
      <c r="F69" s="38"/>
      <c r="G69" s="38"/>
      <c r="H69" s="38"/>
    </row>
    <row r="70" spans="1:8" x14ac:dyDescent="0.25">
      <c r="A70" s="4">
        <v>108</v>
      </c>
      <c r="B70" s="38"/>
      <c r="C70" s="38"/>
      <c r="D70" s="38"/>
      <c r="E70" s="38"/>
      <c r="F70" s="38"/>
      <c r="G70" s="38"/>
      <c r="H70" s="38"/>
    </row>
    <row r="71" spans="1:8" x14ac:dyDescent="0.25">
      <c r="A71" s="4">
        <v>109</v>
      </c>
      <c r="B71" s="38"/>
      <c r="C71" s="38"/>
      <c r="D71" s="38"/>
      <c r="E71" s="38" t="s">
        <v>2</v>
      </c>
      <c r="F71" s="38" t="s">
        <v>2</v>
      </c>
      <c r="G71" s="38"/>
      <c r="H71" s="38"/>
    </row>
    <row r="72" spans="1:8" x14ac:dyDescent="0.25">
      <c r="A72" s="4">
        <v>110</v>
      </c>
      <c r="B72" s="38"/>
      <c r="C72" s="38"/>
      <c r="D72" s="38"/>
      <c r="E72" s="38"/>
      <c r="F72" s="38"/>
      <c r="G72" s="38"/>
      <c r="H72" s="38" t="s">
        <v>2</v>
      </c>
    </row>
    <row r="73" spans="1:8" x14ac:dyDescent="0.25">
      <c r="A73" s="4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4">
        <v>112</v>
      </c>
      <c r="B74" s="38" t="s">
        <v>2</v>
      </c>
      <c r="C74" s="38" t="s">
        <v>7</v>
      </c>
      <c r="D74" s="38" t="s">
        <v>7</v>
      </c>
      <c r="E74" s="38" t="s">
        <v>7</v>
      </c>
      <c r="F74" s="38" t="s">
        <v>7</v>
      </c>
      <c r="G74" s="38" t="s">
        <v>6</v>
      </c>
      <c r="H74" s="38" t="s">
        <v>6</v>
      </c>
    </row>
    <row r="75" spans="1:8" x14ac:dyDescent="0.25">
      <c r="A75" s="4">
        <v>113</v>
      </c>
      <c r="B75" s="38"/>
      <c r="C75" s="38"/>
      <c r="D75" s="38"/>
      <c r="E75" s="38"/>
      <c r="F75" s="38"/>
      <c r="G75" s="38"/>
      <c r="H75" s="38"/>
    </row>
    <row r="76" spans="1:8" x14ac:dyDescent="0.25">
      <c r="A76" s="4">
        <v>114</v>
      </c>
      <c r="B76" s="38" t="s">
        <v>2</v>
      </c>
      <c r="C76" s="38" t="s">
        <v>7</v>
      </c>
      <c r="D76" s="38" t="s">
        <v>7</v>
      </c>
      <c r="E76" s="38" t="s">
        <v>7</v>
      </c>
      <c r="F76" s="38" t="s">
        <v>2</v>
      </c>
      <c r="G76" s="38" t="s">
        <v>7</v>
      </c>
      <c r="H76" s="38" t="s">
        <v>2</v>
      </c>
    </row>
    <row r="77" spans="1:8" x14ac:dyDescent="0.25">
      <c r="A77" s="4">
        <v>115</v>
      </c>
      <c r="B77" s="38"/>
      <c r="C77" s="38"/>
      <c r="D77" s="38"/>
      <c r="E77" s="38"/>
      <c r="F77" s="38"/>
      <c r="G77" s="38"/>
      <c r="H77" s="38"/>
    </row>
    <row r="78" spans="1:8" x14ac:dyDescent="0.25">
      <c r="A78" s="4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4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4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4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4">
        <v>120</v>
      </c>
      <c r="B82" s="38"/>
      <c r="C82" s="38" t="s">
        <v>2</v>
      </c>
      <c r="D82" s="38"/>
      <c r="E82" s="38" t="s">
        <v>2</v>
      </c>
      <c r="F82" s="38"/>
      <c r="G82" s="38" t="s">
        <v>2</v>
      </c>
      <c r="H82" s="38"/>
    </row>
    <row r="83" spans="1:8" x14ac:dyDescent="0.25">
      <c r="A83" s="4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4">
        <v>122</v>
      </c>
      <c r="B84" s="38" t="s">
        <v>2</v>
      </c>
      <c r="C84" s="38"/>
      <c r="D84" s="38" t="s">
        <v>2</v>
      </c>
      <c r="E84" s="38" t="s">
        <v>2</v>
      </c>
      <c r="F84" s="38"/>
      <c r="G84" s="38" t="s">
        <v>2</v>
      </c>
      <c r="H84" s="38"/>
    </row>
    <row r="85" spans="1:8" x14ac:dyDescent="0.25">
      <c r="A85" s="4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4">
        <v>124</v>
      </c>
      <c r="B86" s="38"/>
      <c r="C86" s="38" t="s">
        <v>2</v>
      </c>
      <c r="D86" s="38" t="s">
        <v>2</v>
      </c>
      <c r="E86" s="38"/>
      <c r="F86" s="38" t="s">
        <v>2</v>
      </c>
      <c r="G86" s="38"/>
      <c r="H86" s="38" t="s">
        <v>2</v>
      </c>
    </row>
    <row r="87" spans="1:8" x14ac:dyDescent="0.25">
      <c r="A87" s="4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4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4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4">
        <v>128</v>
      </c>
      <c r="B90" s="38"/>
      <c r="C90" s="38"/>
      <c r="D90" s="38"/>
      <c r="E90" s="38"/>
      <c r="F90" s="38"/>
      <c r="G90" s="38"/>
      <c r="H90" s="38"/>
    </row>
    <row r="91" spans="1:8" x14ac:dyDescent="0.25">
      <c r="A91" s="4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4">
        <v>130</v>
      </c>
      <c r="B92" s="38"/>
      <c r="C92" s="38"/>
      <c r="D92" s="38"/>
      <c r="E92" s="38"/>
      <c r="F92" s="38"/>
      <c r="G92" s="38"/>
      <c r="H92" s="38"/>
    </row>
    <row r="93" spans="1:8" x14ac:dyDescent="0.25">
      <c r="A93" s="4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4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4">
        <v>133</v>
      </c>
      <c r="B95" s="38" t="s">
        <v>2</v>
      </c>
      <c r="C95" s="38" t="s">
        <v>2</v>
      </c>
      <c r="D95" s="38" t="s">
        <v>2</v>
      </c>
      <c r="E95" s="38" t="s">
        <v>2</v>
      </c>
      <c r="F95" s="38" t="s">
        <v>2</v>
      </c>
      <c r="G95" s="38" t="s">
        <v>2</v>
      </c>
      <c r="H95" s="38" t="s">
        <v>2</v>
      </c>
    </row>
  </sheetData>
  <mergeCells count="5">
    <mergeCell ref="A1:H2"/>
    <mergeCell ref="I17:K17"/>
    <mergeCell ref="I18:J18"/>
    <mergeCell ref="I27:K27"/>
    <mergeCell ref="I28:J28"/>
  </mergeCells>
  <conditionalFormatting sqref="I5:I16 I29:I60 I19:I26 F15:F18 F91:F94 B81:E95 D62 F62:I62 C61:I61 B57:E60 B5:E55 C56:E56 B63:H80">
    <cfRule type="cellIs" dxfId="492" priority="61" operator="equal">
      <formula>"Energia"</formula>
    </cfRule>
    <cfRule type="cellIs" dxfId="491" priority="63" operator="equal">
      <formula>"Operação"</formula>
    </cfRule>
    <cfRule type="cellIs" dxfId="490" priority="64" operator="equal">
      <formula>"Chuva"</formula>
    </cfRule>
    <cfRule type="cellIs" dxfId="489" priority="65" operator="equal">
      <formula>"Elétrico"</formula>
    </cfRule>
    <cfRule type="cellIs" dxfId="488" priority="66" operator="equal">
      <formula>"Mecânico"</formula>
    </cfRule>
    <cfRule type="cellIs" dxfId="487" priority="67" operator="equal">
      <formula>"Ok"</formula>
    </cfRule>
  </conditionalFormatting>
  <conditionalFormatting sqref="I5:I16 I29:I60 I19:I26 F15:F18 F91:F94 B81:E95 D62 F62:I62 C61:I61 B57:E60 B5:E55 C56:E56 B63:H80">
    <cfRule type="cellIs" dxfId="486" priority="62" operator="equal">
      <formula>"Feito"</formula>
    </cfRule>
  </conditionalFormatting>
  <conditionalFormatting sqref="J7">
    <cfRule type="iconSet" priority="60">
      <iconSet iconSet="3Arrows">
        <cfvo type="percent" val="0"/>
        <cfvo type="percent" val="33"/>
        <cfvo type="percent" val="67"/>
      </iconSet>
    </cfRule>
  </conditionalFormatting>
  <conditionalFormatting sqref="C13 B5:E11 H9:H10 H18 G81:G95 C89 B81:E87 H85:H86 H94 G5:G56">
    <cfRule type="cellIs" dxfId="485" priority="59" operator="equal">
      <formula>"Energia"</formula>
    </cfRule>
  </conditionalFormatting>
  <conditionalFormatting sqref="G56 G81:H95 G5:H55 G57:H60">
    <cfRule type="cellIs" dxfId="484" priority="52" operator="equal">
      <formula>"Energia"</formula>
    </cfRule>
    <cfRule type="cellIs" dxfId="483" priority="54" operator="equal">
      <formula>"Operação"</formula>
    </cfRule>
    <cfRule type="cellIs" dxfId="482" priority="55" operator="equal">
      <formula>"Chuva"</formula>
    </cfRule>
    <cfRule type="cellIs" dxfId="481" priority="56" operator="equal">
      <formula>"Elétrico"</formula>
    </cfRule>
    <cfRule type="cellIs" dxfId="480" priority="57" operator="equal">
      <formula>"Mecânico"</formula>
    </cfRule>
    <cfRule type="cellIs" dxfId="479" priority="58" operator="equal">
      <formula>"Ok"</formula>
    </cfRule>
  </conditionalFormatting>
  <conditionalFormatting sqref="G56 G81:H95 G5:H55 G57:H60">
    <cfRule type="cellIs" dxfId="478" priority="53" operator="equal">
      <formula>"Feito"</formula>
    </cfRule>
  </conditionalFormatting>
  <conditionalFormatting sqref="F6:F11 F82:F87">
    <cfRule type="cellIs" dxfId="477" priority="51" operator="equal">
      <formula>"Energia"</formula>
    </cfRule>
  </conditionalFormatting>
  <conditionalFormatting sqref="F6:F14 F82:F90 F95 F19:F60">
    <cfRule type="cellIs" dxfId="476" priority="44" operator="equal">
      <formula>"Energia"</formula>
    </cfRule>
    <cfRule type="cellIs" dxfId="475" priority="46" operator="equal">
      <formula>"Operação"</formula>
    </cfRule>
    <cfRule type="cellIs" dxfId="474" priority="47" operator="equal">
      <formula>"Chuva"</formula>
    </cfRule>
    <cfRule type="cellIs" dxfId="473" priority="48" operator="equal">
      <formula>"Elétrico"</formula>
    </cfRule>
    <cfRule type="cellIs" dxfId="472" priority="49" operator="equal">
      <formula>"Mecânico"</formula>
    </cfRule>
    <cfRule type="cellIs" dxfId="471" priority="50" operator="equal">
      <formula>"Ok"</formula>
    </cfRule>
  </conditionalFormatting>
  <conditionalFormatting sqref="F6:F14 F82:F90 F95 F19:F60">
    <cfRule type="cellIs" dxfId="470" priority="45" operator="equal">
      <formula>"Feito"</formula>
    </cfRule>
  </conditionalFormatting>
  <conditionalFormatting sqref="F5 F81">
    <cfRule type="cellIs" dxfId="469" priority="37" operator="equal">
      <formula>"Energia"</formula>
    </cfRule>
    <cfRule type="cellIs" dxfId="468" priority="39" operator="equal">
      <formula>"Operação"</formula>
    </cfRule>
    <cfRule type="cellIs" dxfId="467" priority="40" operator="equal">
      <formula>"Chuva"</formula>
    </cfRule>
    <cfRule type="cellIs" dxfId="466" priority="41" operator="equal">
      <formula>"Elétrico"</formula>
    </cfRule>
    <cfRule type="cellIs" dxfId="465" priority="42" operator="equal">
      <formula>"Mecânico"</formula>
    </cfRule>
    <cfRule type="cellIs" dxfId="464" priority="43" operator="equal">
      <formula>"Ok"</formula>
    </cfRule>
  </conditionalFormatting>
  <conditionalFormatting sqref="F5 F81">
    <cfRule type="cellIs" dxfId="463" priority="38" operator="equal">
      <formula>"Feito"</formula>
    </cfRule>
  </conditionalFormatting>
  <conditionalFormatting sqref="F5 F81">
    <cfRule type="cellIs" dxfId="462" priority="36" operator="equal">
      <formula>"Energia"</formula>
    </cfRule>
  </conditionalFormatting>
  <conditionalFormatting sqref="H56">
    <cfRule type="cellIs" dxfId="461" priority="29" operator="equal">
      <formula>"Energia"</formula>
    </cfRule>
    <cfRule type="cellIs" dxfId="460" priority="31" operator="equal">
      <formula>"Operação"</formula>
    </cfRule>
    <cfRule type="cellIs" dxfId="459" priority="32" operator="equal">
      <formula>"Chuva"</formula>
    </cfRule>
    <cfRule type="cellIs" dxfId="458" priority="33" operator="equal">
      <formula>"Elétrico"</formula>
    </cfRule>
    <cfRule type="cellIs" dxfId="457" priority="34" operator="equal">
      <formula>"Mecânico"</formula>
    </cfRule>
    <cfRule type="cellIs" dxfId="456" priority="35" operator="equal">
      <formula>"Ok"</formula>
    </cfRule>
  </conditionalFormatting>
  <conditionalFormatting sqref="H56">
    <cfRule type="cellIs" dxfId="455" priority="30" operator="equal">
      <formula>"Feito"</formula>
    </cfRule>
  </conditionalFormatting>
  <conditionalFormatting sqref="B61">
    <cfRule type="cellIs" dxfId="454" priority="22" operator="equal">
      <formula>"Energia"</formula>
    </cfRule>
    <cfRule type="cellIs" dxfId="453" priority="24" operator="equal">
      <formula>"Operação"</formula>
    </cfRule>
    <cfRule type="cellIs" dxfId="452" priority="25" operator="equal">
      <formula>"Chuva"</formula>
    </cfRule>
    <cfRule type="cellIs" dxfId="451" priority="26" operator="equal">
      <formula>"Elétrico"</formula>
    </cfRule>
    <cfRule type="cellIs" dxfId="450" priority="27" operator="equal">
      <formula>"Mecânico"</formula>
    </cfRule>
    <cfRule type="cellIs" dxfId="449" priority="28" operator="equal">
      <formula>"Ok"</formula>
    </cfRule>
  </conditionalFormatting>
  <conditionalFormatting sqref="B61">
    <cfRule type="cellIs" dxfId="448" priority="23" operator="equal">
      <formula>"Feito"</formula>
    </cfRule>
  </conditionalFormatting>
  <conditionalFormatting sqref="B62:C62">
    <cfRule type="cellIs" dxfId="447" priority="15" operator="equal">
      <formula>"Energia"</formula>
    </cfRule>
    <cfRule type="cellIs" dxfId="446" priority="17" operator="equal">
      <formula>"Operação"</formula>
    </cfRule>
    <cfRule type="cellIs" dxfId="445" priority="18" operator="equal">
      <formula>"Chuva"</formula>
    </cfRule>
    <cfRule type="cellIs" dxfId="444" priority="19" operator="equal">
      <formula>"Elétrico"</formula>
    </cfRule>
    <cfRule type="cellIs" dxfId="443" priority="20" operator="equal">
      <formula>"Mecânico"</formula>
    </cfRule>
    <cfRule type="cellIs" dxfId="442" priority="21" operator="equal">
      <formula>"Ok"</formula>
    </cfRule>
  </conditionalFormatting>
  <conditionalFormatting sqref="B62:C62">
    <cfRule type="cellIs" dxfId="441" priority="16" operator="equal">
      <formula>"Feito"</formula>
    </cfRule>
  </conditionalFormatting>
  <conditionalFormatting sqref="B56">
    <cfRule type="cellIs" dxfId="440" priority="8" operator="equal">
      <formula>"Energia"</formula>
    </cfRule>
    <cfRule type="cellIs" dxfId="439" priority="10" operator="equal">
      <formula>"Operação"</formula>
    </cfRule>
    <cfRule type="cellIs" dxfId="438" priority="11" operator="equal">
      <formula>"Chuva"</formula>
    </cfRule>
    <cfRule type="cellIs" dxfId="437" priority="12" operator="equal">
      <formula>"Elétrico"</formula>
    </cfRule>
    <cfRule type="cellIs" dxfId="436" priority="13" operator="equal">
      <formula>"Mecânico"</formula>
    </cfRule>
    <cfRule type="cellIs" dxfId="435" priority="14" operator="equal">
      <formula>"Ok"</formula>
    </cfRule>
  </conditionalFormatting>
  <conditionalFormatting sqref="B56">
    <cfRule type="cellIs" dxfId="434" priority="9" operator="equal">
      <formula>"Feito"</formula>
    </cfRule>
  </conditionalFormatting>
  <conditionalFormatting sqref="E62">
    <cfRule type="cellIs" dxfId="433" priority="1" operator="equal">
      <formula>"Energia"</formula>
    </cfRule>
    <cfRule type="cellIs" dxfId="432" priority="3" operator="equal">
      <formula>"Operação"</formula>
    </cfRule>
    <cfRule type="cellIs" dxfId="431" priority="4" operator="equal">
      <formula>"Chuva"</formula>
    </cfRule>
    <cfRule type="cellIs" dxfId="430" priority="5" operator="equal">
      <formula>"Elétrico"</formula>
    </cfRule>
    <cfRule type="cellIs" dxfId="429" priority="6" operator="equal">
      <formula>"Mecânico"</formula>
    </cfRule>
    <cfRule type="cellIs" dxfId="428" priority="7" operator="equal">
      <formula>"Ok"</formula>
    </cfRule>
  </conditionalFormatting>
  <conditionalFormatting sqref="E62">
    <cfRule type="cellIs" dxfId="427" priority="2" operator="equal">
      <formula>"Feito"</formula>
    </cfRule>
  </conditionalFormatting>
  <dataValidations count="1">
    <dataValidation type="list" allowBlank="1" showInputMessage="1" showErrorMessage="1" sqref="I5:I16 J36:J60 I29:I62 I19:I26 B5:H95" xr:uid="{331F65CA-63E0-4E12-B7E5-0F7BB24E8108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2B02E-9216-4264-8730-E676A21B6A49}">
  <sheetPr>
    <tabColor theme="8"/>
  </sheetPr>
  <dimension ref="A1:Q95"/>
  <sheetViews>
    <sheetView showGridLines="0" zoomScale="130" zoomScaleNormal="130" workbookViewId="0">
      <pane ySplit="4" topLeftCell="A14" activePane="bottomLeft" state="frozen"/>
      <selection pane="bottomLeft" activeCell="I24" sqref="I2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77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4" t="s">
        <v>16</v>
      </c>
      <c r="B3" s="23">
        <v>44823</v>
      </c>
      <c r="C3" s="23">
        <f>B3+1</f>
        <v>44824</v>
      </c>
      <c r="D3" s="23">
        <f t="shared" ref="D3:H3" si="0">C3+1</f>
        <v>44825</v>
      </c>
      <c r="E3" s="23">
        <f t="shared" si="0"/>
        <v>44826</v>
      </c>
      <c r="F3" s="23">
        <f t="shared" si="0"/>
        <v>44827</v>
      </c>
      <c r="G3" s="23">
        <f t="shared" si="0"/>
        <v>44828</v>
      </c>
      <c r="H3" s="25">
        <f t="shared" si="0"/>
        <v>44829</v>
      </c>
      <c r="I3" s="3"/>
    </row>
    <row r="4" spans="1:17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  <c r="Q4" t="s">
        <v>34</v>
      </c>
    </row>
    <row r="5" spans="1:17" x14ac:dyDescent="0.25">
      <c r="A5" s="4">
        <v>1</v>
      </c>
      <c r="B5" s="38" t="s">
        <v>2</v>
      </c>
      <c r="C5" s="38" t="s">
        <v>2</v>
      </c>
      <c r="D5" s="38" t="s">
        <v>2</v>
      </c>
      <c r="E5" s="38" t="s">
        <v>2</v>
      </c>
      <c r="F5" s="38" t="s">
        <v>2</v>
      </c>
      <c r="G5" s="38" t="s">
        <v>2</v>
      </c>
      <c r="H5" s="38"/>
      <c r="J5" s="48" t="s">
        <v>2</v>
      </c>
      <c r="K5">
        <f>COUNTIF($B$5:$H$95,J5)</f>
        <v>142</v>
      </c>
      <c r="L5" s="34">
        <f t="shared" ref="L5:L10" si="2">K5/$K$11</f>
        <v>0.75531914893617025</v>
      </c>
      <c r="M5" s="52">
        <f>B3</f>
        <v>44823</v>
      </c>
      <c r="O5" t="s">
        <v>44</v>
      </c>
      <c r="P5">
        <v>237</v>
      </c>
      <c r="Q5" s="52">
        <f>M5</f>
        <v>44823</v>
      </c>
    </row>
    <row r="6" spans="1:17" x14ac:dyDescent="0.25">
      <c r="A6" s="4">
        <v>2</v>
      </c>
      <c r="B6" s="38"/>
      <c r="C6" s="38"/>
      <c r="D6" s="38"/>
      <c r="E6" s="38"/>
      <c r="F6" s="38"/>
      <c r="G6" s="38"/>
      <c r="H6" s="38"/>
      <c r="J6" s="42" t="s">
        <v>5</v>
      </c>
      <c r="K6">
        <f>COUNTIF($B$5:$H$95,J6)</f>
        <v>1</v>
      </c>
      <c r="L6" s="35">
        <f t="shared" si="2"/>
        <v>5.3191489361702126E-3</v>
      </c>
      <c r="O6" t="s">
        <v>46</v>
      </c>
      <c r="P6">
        <f>SUM(K19:K25)</f>
        <v>8</v>
      </c>
    </row>
    <row r="7" spans="1:17" x14ac:dyDescent="0.25">
      <c r="A7" s="4">
        <v>3</v>
      </c>
      <c r="B7" s="38"/>
      <c r="C7" s="38"/>
      <c r="D7" s="38"/>
      <c r="E7" s="38"/>
      <c r="F7" s="38"/>
      <c r="G7" s="38"/>
      <c r="H7" s="38"/>
      <c r="J7" s="46" t="s">
        <v>6</v>
      </c>
      <c r="K7">
        <f t="shared" ref="K7:K10" si="3">COUNTIF($B$5:$H$95,J7)</f>
        <v>4</v>
      </c>
      <c r="L7" s="35">
        <f t="shared" si="2"/>
        <v>2.1276595744680851E-2</v>
      </c>
      <c r="O7" t="s">
        <v>45</v>
      </c>
      <c r="P7">
        <f>SUM(K29:K35)</f>
        <v>43</v>
      </c>
    </row>
    <row r="8" spans="1:17" x14ac:dyDescent="0.25">
      <c r="A8" s="4">
        <v>4</v>
      </c>
      <c r="B8" s="38"/>
      <c r="C8" s="38"/>
      <c r="D8" s="38"/>
      <c r="E8" s="38"/>
      <c r="F8" s="38"/>
      <c r="G8" s="38"/>
      <c r="H8" s="38"/>
      <c r="J8" s="47" t="s">
        <v>4</v>
      </c>
      <c r="K8">
        <f t="shared" si="3"/>
        <v>9</v>
      </c>
      <c r="L8" s="35">
        <f t="shared" si="2"/>
        <v>4.7872340425531915E-2</v>
      </c>
      <c r="O8" s="65" t="s">
        <v>17</v>
      </c>
      <c r="P8" s="65">
        <f>P5+P6-P7</f>
        <v>202</v>
      </c>
    </row>
    <row r="9" spans="1:17" x14ac:dyDescent="0.25">
      <c r="A9" s="4">
        <v>5</v>
      </c>
      <c r="B9" s="38"/>
      <c r="C9" s="38"/>
      <c r="D9" s="38"/>
      <c r="E9" s="38"/>
      <c r="F9" s="38"/>
      <c r="G9" s="38"/>
      <c r="H9" s="38"/>
      <c r="J9" s="45" t="s">
        <v>3</v>
      </c>
      <c r="K9">
        <f t="shared" si="3"/>
        <v>6</v>
      </c>
      <c r="L9" s="35">
        <f t="shared" si="2"/>
        <v>3.1914893617021274E-2</v>
      </c>
    </row>
    <row r="10" spans="1:17" x14ac:dyDescent="0.25">
      <c r="A10" s="4">
        <v>6</v>
      </c>
      <c r="B10" s="38"/>
      <c r="C10" s="38"/>
      <c r="D10" s="38"/>
      <c r="E10" s="38"/>
      <c r="F10" s="38"/>
      <c r="G10" s="38"/>
      <c r="H10" s="38"/>
      <c r="J10" s="43" t="s">
        <v>7</v>
      </c>
      <c r="K10">
        <f t="shared" si="3"/>
        <v>26</v>
      </c>
      <c r="L10" s="37">
        <f t="shared" si="2"/>
        <v>0.13829787234042554</v>
      </c>
      <c r="O10" t="s">
        <v>65</v>
      </c>
      <c r="P10">
        <f>P8</f>
        <v>202</v>
      </c>
    </row>
    <row r="11" spans="1:17" x14ac:dyDescent="0.25">
      <c r="A11" s="4">
        <v>7</v>
      </c>
      <c r="B11" s="38"/>
      <c r="C11" s="38"/>
      <c r="D11" s="38"/>
      <c r="E11" s="38"/>
      <c r="F11" s="38"/>
      <c r="G11" s="38"/>
      <c r="H11" s="38"/>
      <c r="J11" s="44" t="s">
        <v>17</v>
      </c>
      <c r="K11">
        <f>SUM(K5:K10)</f>
        <v>188</v>
      </c>
    </row>
    <row r="12" spans="1:17" x14ac:dyDescent="0.25">
      <c r="A12" s="4">
        <v>8</v>
      </c>
      <c r="B12" s="38" t="s">
        <v>2</v>
      </c>
      <c r="C12" s="38"/>
      <c r="D12" s="38"/>
      <c r="E12" s="38"/>
      <c r="F12" s="38" t="s">
        <v>2</v>
      </c>
      <c r="G12" s="38"/>
      <c r="H12" s="38"/>
    </row>
    <row r="13" spans="1:17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7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7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7" x14ac:dyDescent="0.25">
      <c r="A16" s="4">
        <v>12</v>
      </c>
      <c r="B16" s="38" t="s">
        <v>2</v>
      </c>
      <c r="C16" s="38" t="s">
        <v>2</v>
      </c>
      <c r="D16" s="38"/>
      <c r="E16" s="38" t="s">
        <v>2</v>
      </c>
      <c r="F16" s="38"/>
      <c r="G16" s="38"/>
      <c r="H16" s="38"/>
      <c r="O16" s="61"/>
    </row>
    <row r="17" spans="1:13" x14ac:dyDescent="0.25">
      <c r="A17" s="4">
        <v>13</v>
      </c>
      <c r="B17" s="38" t="s">
        <v>2</v>
      </c>
      <c r="C17" s="38" t="s">
        <v>2</v>
      </c>
      <c r="D17" s="38"/>
      <c r="E17" s="38"/>
      <c r="F17" s="38" t="s">
        <v>2</v>
      </c>
      <c r="G17" s="38" t="s">
        <v>2</v>
      </c>
      <c r="H17" s="38"/>
      <c r="I17" s="71" t="s">
        <v>46</v>
      </c>
      <c r="J17" s="72"/>
      <c r="K17" s="72"/>
      <c r="M17" s="53"/>
    </row>
    <row r="18" spans="1:13" x14ac:dyDescent="0.25">
      <c r="A18" s="4">
        <v>14</v>
      </c>
      <c r="B18" s="38"/>
      <c r="C18" s="38" t="s">
        <v>2</v>
      </c>
      <c r="D18" s="38" t="s">
        <v>2</v>
      </c>
      <c r="E18" s="38"/>
      <c r="F18" s="38" t="s">
        <v>2</v>
      </c>
      <c r="G18" s="38" t="s">
        <v>2</v>
      </c>
      <c r="H18" s="38"/>
      <c r="I18" s="71" t="s">
        <v>54</v>
      </c>
      <c r="J18" s="72"/>
      <c r="K18" t="s">
        <v>32</v>
      </c>
    </row>
    <row r="19" spans="1:13" x14ac:dyDescent="0.25">
      <c r="A19" s="4">
        <v>15</v>
      </c>
      <c r="B19" s="38"/>
      <c r="C19" s="38"/>
      <c r="D19" s="38"/>
      <c r="E19" s="38"/>
      <c r="F19" s="38"/>
      <c r="G19" s="38"/>
      <c r="H19" s="38"/>
      <c r="I19" s="40" t="s">
        <v>47</v>
      </c>
      <c r="J19" s="40" t="str">
        <f>TEXT(B3,"ddd")</f>
        <v>seg</v>
      </c>
      <c r="K19" s="60"/>
    </row>
    <row r="20" spans="1:13" x14ac:dyDescent="0.25">
      <c r="A20" s="4">
        <v>16</v>
      </c>
      <c r="B20" s="38"/>
      <c r="C20" s="38"/>
      <c r="D20" s="38"/>
      <c r="E20" s="38"/>
      <c r="F20" s="38"/>
      <c r="G20" s="38"/>
      <c r="H20" s="38"/>
      <c r="I20" s="40" t="s">
        <v>48</v>
      </c>
      <c r="J20" s="40" t="str">
        <f>TEXT(C3,"ddd")</f>
        <v>ter</v>
      </c>
      <c r="K20" s="60"/>
    </row>
    <row r="21" spans="1:13" x14ac:dyDescent="0.25">
      <c r="A21" s="4">
        <v>17</v>
      </c>
      <c r="B21" s="38"/>
      <c r="C21" s="38"/>
      <c r="D21" s="38"/>
      <c r="E21" s="38"/>
      <c r="F21" s="38"/>
      <c r="G21" s="38"/>
      <c r="H21" s="38"/>
      <c r="I21" s="40" t="s">
        <v>49</v>
      </c>
      <c r="J21" s="40" t="str">
        <f>TEXT(D3,"ddd")</f>
        <v>qua</v>
      </c>
      <c r="K21" s="60"/>
    </row>
    <row r="22" spans="1:13" x14ac:dyDescent="0.25">
      <c r="A22" s="4">
        <v>18</v>
      </c>
      <c r="B22" s="38"/>
      <c r="C22" s="38"/>
      <c r="D22" s="38"/>
      <c r="E22" s="38"/>
      <c r="F22" s="38"/>
      <c r="G22" s="38"/>
      <c r="H22" s="38"/>
      <c r="I22" s="40" t="s">
        <v>50</v>
      </c>
      <c r="J22" s="40" t="str">
        <f>TEXT(E3,"ddd")</f>
        <v>qui</v>
      </c>
      <c r="K22" s="60">
        <v>1</v>
      </c>
    </row>
    <row r="23" spans="1:13" x14ac:dyDescent="0.25">
      <c r="A23" s="4">
        <v>19</v>
      </c>
      <c r="B23" s="38"/>
      <c r="C23" s="38"/>
      <c r="D23" s="38"/>
      <c r="E23" s="38"/>
      <c r="F23" s="38"/>
      <c r="G23" s="38"/>
      <c r="H23" s="38"/>
      <c r="I23" s="40" t="s">
        <v>51</v>
      </c>
      <c r="J23" s="40" t="str">
        <f>TEXT(F3,"ddd")</f>
        <v>sex</v>
      </c>
      <c r="K23" s="60">
        <v>2</v>
      </c>
    </row>
    <row r="24" spans="1:13" x14ac:dyDescent="0.25">
      <c r="A24" s="4">
        <v>20</v>
      </c>
      <c r="B24" s="38"/>
      <c r="C24" s="38"/>
      <c r="D24" s="38"/>
      <c r="E24" s="38"/>
      <c r="F24" s="38"/>
      <c r="G24" s="38"/>
      <c r="H24" s="38"/>
      <c r="I24" s="40" t="s">
        <v>52</v>
      </c>
      <c r="J24" s="40" t="str">
        <f>TEXT(G3,"ddd")</f>
        <v>sáb</v>
      </c>
      <c r="K24" s="60">
        <v>4</v>
      </c>
    </row>
    <row r="25" spans="1:13" x14ac:dyDescent="0.25">
      <c r="A25" s="4">
        <v>21</v>
      </c>
      <c r="B25" s="38"/>
      <c r="C25" s="38"/>
      <c r="D25" s="38"/>
      <c r="E25" s="38"/>
      <c r="F25" s="38"/>
      <c r="G25" s="38"/>
      <c r="H25" s="38"/>
      <c r="I25" s="40" t="s">
        <v>53</v>
      </c>
      <c r="J25" s="40" t="str">
        <f>TEXT(H3,"ddd")</f>
        <v>dom</v>
      </c>
      <c r="K25" s="60">
        <v>1</v>
      </c>
    </row>
    <row r="26" spans="1:13" x14ac:dyDescent="0.25">
      <c r="A26" s="4">
        <v>22</v>
      </c>
      <c r="B26" s="38"/>
      <c r="C26" s="38"/>
      <c r="D26" s="38"/>
      <c r="E26" s="38"/>
      <c r="F26" s="38"/>
      <c r="G26" s="38"/>
      <c r="H26" s="38"/>
    </row>
    <row r="27" spans="1:13" x14ac:dyDescent="0.25">
      <c r="A27" s="4">
        <v>23</v>
      </c>
      <c r="B27" s="38" t="s">
        <v>2</v>
      </c>
      <c r="C27" s="38" t="s">
        <v>2</v>
      </c>
      <c r="D27" s="38" t="s">
        <v>2</v>
      </c>
      <c r="E27" s="38" t="s">
        <v>5</v>
      </c>
      <c r="F27" s="38" t="s">
        <v>7</v>
      </c>
      <c r="G27" s="38" t="s">
        <v>2</v>
      </c>
      <c r="H27" s="38"/>
      <c r="I27" s="71" t="s">
        <v>45</v>
      </c>
      <c r="J27" s="72"/>
      <c r="K27" s="72"/>
    </row>
    <row r="28" spans="1:13" x14ac:dyDescent="0.25">
      <c r="A28" s="4">
        <v>24</v>
      </c>
      <c r="B28" s="38" t="s">
        <v>2</v>
      </c>
      <c r="C28" s="38" t="s">
        <v>2</v>
      </c>
      <c r="D28" s="38" t="s">
        <v>2</v>
      </c>
      <c r="E28" s="38" t="s">
        <v>2</v>
      </c>
      <c r="F28" s="38"/>
      <c r="G28" s="38" t="s">
        <v>2</v>
      </c>
      <c r="H28" s="38"/>
      <c r="I28" s="71" t="s">
        <v>54</v>
      </c>
      <c r="J28" s="72"/>
      <c r="K28" t="s">
        <v>32</v>
      </c>
    </row>
    <row r="29" spans="1:13" x14ac:dyDescent="0.25">
      <c r="A29" s="4">
        <v>25</v>
      </c>
      <c r="B29" s="38"/>
      <c r="C29" s="38" t="s">
        <v>2</v>
      </c>
      <c r="D29" s="38"/>
      <c r="E29" s="38" t="s">
        <v>2</v>
      </c>
      <c r="F29" s="38"/>
      <c r="G29" s="38" t="s">
        <v>3</v>
      </c>
      <c r="H29" s="38"/>
      <c r="I29" s="40" t="s">
        <v>47</v>
      </c>
      <c r="J29" s="40" t="str">
        <f t="shared" ref="J29:J35" si="4">J19</f>
        <v>seg</v>
      </c>
      <c r="K29" s="60"/>
    </row>
    <row r="30" spans="1:13" x14ac:dyDescent="0.25">
      <c r="A30" s="4">
        <v>26</v>
      </c>
      <c r="B30" s="38"/>
      <c r="C30" s="38" t="s">
        <v>2</v>
      </c>
      <c r="D30" s="38" t="s">
        <v>2</v>
      </c>
      <c r="E30" s="38" t="s">
        <v>2</v>
      </c>
      <c r="F30" s="38" t="s">
        <v>2</v>
      </c>
      <c r="G30" s="38" t="s">
        <v>2</v>
      </c>
      <c r="H30" s="38"/>
      <c r="I30" s="40" t="s">
        <v>48</v>
      </c>
      <c r="J30" s="40" t="str">
        <f t="shared" si="4"/>
        <v>ter</v>
      </c>
      <c r="K30" s="60">
        <v>2</v>
      </c>
    </row>
    <row r="31" spans="1:13" x14ac:dyDescent="0.25">
      <c r="A31" s="4">
        <v>27</v>
      </c>
      <c r="B31" s="38"/>
      <c r="C31" s="38"/>
      <c r="D31" s="38"/>
      <c r="E31" s="38"/>
      <c r="F31" s="38"/>
      <c r="G31" s="38"/>
      <c r="H31" s="38"/>
      <c r="I31" s="40" t="s">
        <v>49</v>
      </c>
      <c r="J31" s="40" t="str">
        <f t="shared" si="4"/>
        <v>qua</v>
      </c>
      <c r="K31" s="60"/>
    </row>
    <row r="32" spans="1:13" x14ac:dyDescent="0.25">
      <c r="A32" s="4">
        <v>28</v>
      </c>
      <c r="B32" s="38"/>
      <c r="C32" s="38"/>
      <c r="D32" s="38"/>
      <c r="E32" s="38"/>
      <c r="F32" s="38"/>
      <c r="G32" s="38"/>
      <c r="H32" s="38"/>
      <c r="I32" s="40" t="s">
        <v>50</v>
      </c>
      <c r="J32" s="40" t="str">
        <f t="shared" si="4"/>
        <v>qui</v>
      </c>
      <c r="K32" s="60">
        <v>2</v>
      </c>
    </row>
    <row r="33" spans="1:11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2</v>
      </c>
      <c r="F33" s="38" t="s">
        <v>2</v>
      </c>
      <c r="G33" s="38"/>
      <c r="H33" s="38"/>
      <c r="I33" s="40" t="s">
        <v>51</v>
      </c>
      <c r="J33" s="40" t="str">
        <f t="shared" si="4"/>
        <v>sex</v>
      </c>
      <c r="K33" s="60">
        <v>7</v>
      </c>
    </row>
    <row r="34" spans="1:11" x14ac:dyDescent="0.25">
      <c r="A34" s="4">
        <v>30</v>
      </c>
      <c r="B34" s="38" t="s">
        <v>2</v>
      </c>
      <c r="C34" s="38" t="s">
        <v>2</v>
      </c>
      <c r="D34" s="38" t="s">
        <v>2</v>
      </c>
      <c r="E34" s="38" t="s">
        <v>2</v>
      </c>
      <c r="F34" s="38" t="s">
        <v>7</v>
      </c>
      <c r="G34" s="38" t="s">
        <v>2</v>
      </c>
      <c r="H34" s="38"/>
      <c r="I34" s="40" t="s">
        <v>52</v>
      </c>
      <c r="J34" s="40" t="str">
        <f t="shared" si="4"/>
        <v>sáb</v>
      </c>
      <c r="K34" s="60"/>
    </row>
    <row r="35" spans="1:11" x14ac:dyDescent="0.25">
      <c r="A35" s="4">
        <v>31</v>
      </c>
      <c r="B35" s="38" t="s">
        <v>2</v>
      </c>
      <c r="C35" s="38" t="s">
        <v>2</v>
      </c>
      <c r="D35" s="38" t="s">
        <v>2</v>
      </c>
      <c r="E35" s="38" t="s">
        <v>2</v>
      </c>
      <c r="F35" s="38" t="s">
        <v>7</v>
      </c>
      <c r="G35" s="38" t="s">
        <v>2</v>
      </c>
      <c r="H35" s="38"/>
      <c r="I35" s="40" t="s">
        <v>53</v>
      </c>
      <c r="J35" s="40" t="str">
        <f t="shared" si="4"/>
        <v>dom</v>
      </c>
      <c r="K35" s="60">
        <v>32</v>
      </c>
    </row>
    <row r="36" spans="1:11" x14ac:dyDescent="0.25">
      <c r="A36" s="4">
        <v>32</v>
      </c>
      <c r="B36" s="38" t="s">
        <v>2</v>
      </c>
      <c r="C36" s="38" t="s">
        <v>7</v>
      </c>
      <c r="D36" s="38" t="s">
        <v>2</v>
      </c>
      <c r="E36" s="38" t="s">
        <v>7</v>
      </c>
      <c r="F36" s="38" t="s">
        <v>2</v>
      </c>
      <c r="G36" s="38" t="s">
        <v>3</v>
      </c>
      <c r="H36" s="38"/>
    </row>
    <row r="37" spans="1:11" x14ac:dyDescent="0.25">
      <c r="A37" s="4">
        <v>33</v>
      </c>
      <c r="B37" s="38" t="s">
        <v>2</v>
      </c>
      <c r="C37" s="38" t="s">
        <v>2</v>
      </c>
      <c r="D37" s="38" t="s">
        <v>2</v>
      </c>
      <c r="E37" s="38" t="s">
        <v>2</v>
      </c>
      <c r="F37" s="38" t="s">
        <v>7</v>
      </c>
      <c r="G37" s="38" t="s">
        <v>2</v>
      </c>
      <c r="H37" s="38"/>
    </row>
    <row r="38" spans="1:11" x14ac:dyDescent="0.25">
      <c r="A38" s="4">
        <v>34</v>
      </c>
      <c r="B38" s="38"/>
      <c r="C38" s="38"/>
      <c r="D38" s="38"/>
      <c r="E38" s="38"/>
      <c r="F38" s="38"/>
      <c r="G38" s="38"/>
      <c r="H38" s="38"/>
    </row>
    <row r="39" spans="1:11" x14ac:dyDescent="0.25">
      <c r="A39" s="4">
        <v>35</v>
      </c>
      <c r="B39" s="38" t="s">
        <v>2</v>
      </c>
      <c r="C39" s="38"/>
      <c r="D39" s="38" t="s">
        <v>2</v>
      </c>
      <c r="E39" s="38"/>
      <c r="F39" s="38"/>
      <c r="G39" s="38"/>
      <c r="H39" s="38"/>
    </row>
    <row r="40" spans="1:11" x14ac:dyDescent="0.25">
      <c r="A40" s="4">
        <v>36</v>
      </c>
      <c r="B40" s="38"/>
      <c r="C40" s="38" t="s">
        <v>2</v>
      </c>
      <c r="D40" s="38"/>
      <c r="E40" s="38" t="s">
        <v>2</v>
      </c>
      <c r="F40" s="38"/>
      <c r="G40" s="38" t="s">
        <v>2</v>
      </c>
      <c r="H40" s="38"/>
    </row>
    <row r="41" spans="1:11" x14ac:dyDescent="0.25">
      <c r="A41" s="4">
        <v>37</v>
      </c>
      <c r="B41" s="38" t="s">
        <v>2</v>
      </c>
      <c r="C41" s="38"/>
      <c r="D41" s="38" t="s">
        <v>2</v>
      </c>
      <c r="E41" s="38"/>
      <c r="F41" s="38"/>
      <c r="G41" s="38"/>
      <c r="H41" s="38"/>
    </row>
    <row r="42" spans="1:11" x14ac:dyDescent="0.25">
      <c r="A42" s="4">
        <v>38</v>
      </c>
      <c r="B42" s="38"/>
      <c r="C42" s="38" t="s">
        <v>2</v>
      </c>
      <c r="D42" s="38"/>
      <c r="E42" s="38" t="s">
        <v>2</v>
      </c>
      <c r="F42" s="38" t="s">
        <v>2</v>
      </c>
      <c r="G42" s="38"/>
      <c r="H42" s="38"/>
    </row>
    <row r="43" spans="1:11" x14ac:dyDescent="0.25">
      <c r="A43" s="4">
        <v>39</v>
      </c>
      <c r="B43" s="38"/>
      <c r="C43" s="38"/>
      <c r="D43" s="38"/>
      <c r="E43" s="38"/>
      <c r="F43" s="38"/>
      <c r="G43" s="38"/>
      <c r="H43" s="38"/>
    </row>
    <row r="44" spans="1:11" x14ac:dyDescent="0.25">
      <c r="A44" s="4">
        <v>40</v>
      </c>
      <c r="B44" s="38"/>
      <c r="C44" s="38"/>
      <c r="D44" s="38"/>
      <c r="E44" s="38"/>
      <c r="F44" s="38"/>
      <c r="G44" s="38"/>
      <c r="H44" s="38"/>
    </row>
    <row r="45" spans="1:11" x14ac:dyDescent="0.25">
      <c r="A45" s="4">
        <v>41</v>
      </c>
      <c r="B45" s="38"/>
      <c r="C45" s="38"/>
      <c r="D45" s="38"/>
      <c r="E45" s="38"/>
      <c r="F45" s="38"/>
      <c r="G45" s="38"/>
      <c r="H45" s="38"/>
    </row>
    <row r="46" spans="1:11" x14ac:dyDescent="0.25">
      <c r="A46" s="4">
        <v>42</v>
      </c>
      <c r="B46" s="38"/>
      <c r="C46" s="38"/>
      <c r="D46" s="38"/>
      <c r="E46" s="38"/>
      <c r="F46" s="38"/>
      <c r="G46" s="38"/>
      <c r="H46" s="38"/>
    </row>
    <row r="47" spans="1:11" x14ac:dyDescent="0.25">
      <c r="A47" s="4">
        <v>43</v>
      </c>
      <c r="B47" s="38" t="s">
        <v>2</v>
      </c>
      <c r="C47" s="38" t="s">
        <v>2</v>
      </c>
      <c r="D47" s="38" t="s">
        <v>2</v>
      </c>
      <c r="E47" s="38" t="s">
        <v>7</v>
      </c>
      <c r="F47" s="38" t="s">
        <v>2</v>
      </c>
      <c r="G47" s="38" t="s">
        <v>2</v>
      </c>
      <c r="H47" s="38"/>
    </row>
    <row r="48" spans="1:11" x14ac:dyDescent="0.25">
      <c r="A48" s="4">
        <v>44</v>
      </c>
      <c r="B48" s="38"/>
      <c r="C48" s="38"/>
      <c r="D48" s="38"/>
      <c r="E48" s="38"/>
      <c r="F48" s="38"/>
      <c r="G48" s="38"/>
      <c r="H48" s="38"/>
    </row>
    <row r="49" spans="1:11" x14ac:dyDescent="0.25">
      <c r="A49" s="4">
        <v>45</v>
      </c>
      <c r="B49" s="38"/>
      <c r="C49" s="38" t="s">
        <v>4</v>
      </c>
      <c r="D49" s="38" t="s">
        <v>2</v>
      </c>
      <c r="E49" s="38" t="s">
        <v>2</v>
      </c>
      <c r="F49" s="38" t="s">
        <v>2</v>
      </c>
      <c r="G49" s="38" t="s">
        <v>2</v>
      </c>
      <c r="H49" s="38"/>
    </row>
    <row r="50" spans="1:11" x14ac:dyDescent="0.25">
      <c r="A50" s="4">
        <v>46</v>
      </c>
      <c r="B50" s="38"/>
      <c r="C50" s="38" t="s">
        <v>4</v>
      </c>
      <c r="D50" s="38" t="s">
        <v>2</v>
      </c>
      <c r="E50" s="38" t="s">
        <v>2</v>
      </c>
      <c r="F50" s="38"/>
      <c r="G50" s="38" t="s">
        <v>2</v>
      </c>
      <c r="H50" s="38"/>
    </row>
    <row r="51" spans="1:11" x14ac:dyDescent="0.25">
      <c r="A51" s="4">
        <v>47</v>
      </c>
      <c r="B51" s="38"/>
      <c r="C51" s="38" t="s">
        <v>4</v>
      </c>
      <c r="D51" s="38"/>
      <c r="E51" s="38" t="s">
        <v>7</v>
      </c>
      <c r="F51" s="38"/>
      <c r="G51" s="38" t="s">
        <v>2</v>
      </c>
      <c r="H51" s="38"/>
    </row>
    <row r="52" spans="1:11" x14ac:dyDescent="0.25">
      <c r="A52" s="4">
        <v>48</v>
      </c>
      <c r="B52" s="38" t="s">
        <v>2</v>
      </c>
      <c r="C52" s="38" t="s">
        <v>4</v>
      </c>
      <c r="D52" s="38" t="s">
        <v>7</v>
      </c>
      <c r="E52" s="38"/>
      <c r="F52" s="38"/>
      <c r="G52" s="38" t="s">
        <v>3</v>
      </c>
      <c r="H52" s="38"/>
    </row>
    <row r="53" spans="1:11" x14ac:dyDescent="0.25">
      <c r="A53" s="4">
        <v>49</v>
      </c>
      <c r="B53" s="38" t="s">
        <v>2</v>
      </c>
      <c r="C53" s="38" t="s">
        <v>4</v>
      </c>
      <c r="D53" s="38" t="s">
        <v>7</v>
      </c>
      <c r="E53" s="38" t="s">
        <v>2</v>
      </c>
      <c r="F53" s="38"/>
      <c r="G53" s="38" t="s">
        <v>2</v>
      </c>
      <c r="H53" s="38"/>
      <c r="K53" t="s">
        <v>68</v>
      </c>
    </row>
    <row r="54" spans="1:11" x14ac:dyDescent="0.25">
      <c r="A54" s="4">
        <v>50</v>
      </c>
      <c r="B54" s="38"/>
      <c r="C54" s="38" t="s">
        <v>4</v>
      </c>
      <c r="D54" s="38"/>
      <c r="E54" s="38" t="s">
        <v>2</v>
      </c>
      <c r="F54" s="38" t="s">
        <v>2</v>
      </c>
      <c r="G54" s="38"/>
      <c r="H54" s="38"/>
    </row>
    <row r="55" spans="1:11" x14ac:dyDescent="0.25">
      <c r="A55" s="4">
        <v>51</v>
      </c>
      <c r="B55" s="38" t="s">
        <v>2</v>
      </c>
      <c r="C55" s="38"/>
      <c r="D55" s="38"/>
      <c r="E55" s="38"/>
      <c r="F55" s="38" t="s">
        <v>2</v>
      </c>
      <c r="G55" s="38" t="s">
        <v>3</v>
      </c>
      <c r="H55" s="38"/>
    </row>
    <row r="56" spans="1:11" x14ac:dyDescent="0.25">
      <c r="A56" s="4">
        <v>52</v>
      </c>
      <c r="B56" s="38" t="s">
        <v>2</v>
      </c>
      <c r="C56" s="38" t="s">
        <v>4</v>
      </c>
      <c r="D56" s="38" t="s">
        <v>2</v>
      </c>
      <c r="E56" s="38" t="s">
        <v>2</v>
      </c>
      <c r="F56" s="38"/>
      <c r="G56" s="38" t="s">
        <v>2</v>
      </c>
      <c r="H56" s="38"/>
    </row>
    <row r="57" spans="1:11" x14ac:dyDescent="0.25">
      <c r="A57" s="4">
        <v>53</v>
      </c>
      <c r="B57" s="38" t="s">
        <v>2</v>
      </c>
      <c r="C57" s="38" t="s">
        <v>4</v>
      </c>
      <c r="D57" s="38" t="s">
        <v>2</v>
      </c>
      <c r="E57" s="38" t="s">
        <v>2</v>
      </c>
      <c r="F57" s="38" t="s">
        <v>2</v>
      </c>
      <c r="G57" s="38" t="s">
        <v>3</v>
      </c>
      <c r="H57" s="38"/>
    </row>
    <row r="58" spans="1:11" x14ac:dyDescent="0.25">
      <c r="A58" s="4">
        <v>54</v>
      </c>
      <c r="B58" s="38" t="s">
        <v>2</v>
      </c>
      <c r="C58" s="38"/>
      <c r="D58" s="38"/>
      <c r="E58" s="38" t="s">
        <v>7</v>
      </c>
      <c r="F58" s="38"/>
      <c r="G58" s="38" t="s">
        <v>3</v>
      </c>
      <c r="H58" s="38"/>
    </row>
    <row r="59" spans="1:11" x14ac:dyDescent="0.25">
      <c r="A59" s="4">
        <v>55</v>
      </c>
      <c r="B59" s="38" t="s">
        <v>2</v>
      </c>
      <c r="C59" s="38"/>
      <c r="D59" s="38" t="s">
        <v>2</v>
      </c>
      <c r="E59" s="38" t="s">
        <v>2</v>
      </c>
      <c r="F59" s="38" t="s">
        <v>2</v>
      </c>
      <c r="G59" s="38" t="s">
        <v>2</v>
      </c>
      <c r="H59" s="38"/>
    </row>
    <row r="60" spans="1:11" x14ac:dyDescent="0.25">
      <c r="A60" s="4">
        <v>56</v>
      </c>
      <c r="B60" s="38"/>
      <c r="C60" s="38" t="s">
        <v>4</v>
      </c>
      <c r="D60" s="38" t="s">
        <v>2</v>
      </c>
      <c r="E60" s="38" t="s">
        <v>2</v>
      </c>
      <c r="F60" s="38"/>
      <c r="G60" s="38" t="s">
        <v>2</v>
      </c>
      <c r="H60" s="38"/>
    </row>
    <row r="61" spans="1:11" x14ac:dyDescent="0.25">
      <c r="A61" s="4">
        <v>73</v>
      </c>
      <c r="B61" s="38"/>
      <c r="C61" s="38"/>
      <c r="D61" s="38"/>
      <c r="E61" s="38"/>
      <c r="F61" s="38"/>
      <c r="G61" s="38"/>
      <c r="H61" s="38"/>
    </row>
    <row r="62" spans="1:11" x14ac:dyDescent="0.25">
      <c r="A62" s="4">
        <v>74</v>
      </c>
      <c r="B62" s="38"/>
      <c r="C62" s="38"/>
      <c r="D62" s="38"/>
      <c r="E62" s="38"/>
      <c r="F62" s="38"/>
      <c r="G62" s="38"/>
      <c r="H62" s="38"/>
    </row>
    <row r="63" spans="1:11" x14ac:dyDescent="0.25">
      <c r="A63" s="4">
        <v>101</v>
      </c>
      <c r="B63" s="39" t="s">
        <v>7</v>
      </c>
      <c r="C63" s="39" t="s">
        <v>7</v>
      </c>
      <c r="D63" s="38" t="s">
        <v>2</v>
      </c>
      <c r="E63" s="39" t="s">
        <v>7</v>
      </c>
      <c r="F63" s="39" t="s">
        <v>7</v>
      </c>
      <c r="G63" s="38" t="s">
        <v>2</v>
      </c>
      <c r="H63" s="38" t="s">
        <v>2</v>
      </c>
    </row>
    <row r="64" spans="1:11" x14ac:dyDescent="0.25">
      <c r="A64" s="4">
        <v>102</v>
      </c>
      <c r="B64" s="38"/>
      <c r="C64" s="38"/>
      <c r="D64" s="38"/>
      <c r="E64" s="38"/>
      <c r="F64" s="38"/>
      <c r="G64" s="38"/>
      <c r="H64" s="38" t="s">
        <v>2</v>
      </c>
    </row>
    <row r="65" spans="1:8" x14ac:dyDescent="0.25">
      <c r="A65" s="4">
        <v>103</v>
      </c>
      <c r="B65" s="39" t="s">
        <v>7</v>
      </c>
      <c r="C65" s="39" t="s">
        <v>7</v>
      </c>
      <c r="D65" s="39" t="s">
        <v>7</v>
      </c>
      <c r="E65" s="39" t="s">
        <v>7</v>
      </c>
      <c r="F65" s="39" t="s">
        <v>7</v>
      </c>
      <c r="G65" s="38" t="s">
        <v>2</v>
      </c>
      <c r="H65" s="38" t="s">
        <v>2</v>
      </c>
    </row>
    <row r="66" spans="1:8" x14ac:dyDescent="0.25">
      <c r="A66" s="4">
        <v>104</v>
      </c>
      <c r="B66" s="38" t="s">
        <v>2</v>
      </c>
      <c r="C66" s="38" t="s">
        <v>2</v>
      </c>
      <c r="D66" s="39" t="s">
        <v>7</v>
      </c>
      <c r="E66" s="39" t="s">
        <v>7</v>
      </c>
      <c r="F66" s="39" t="s">
        <v>7</v>
      </c>
      <c r="G66" s="38" t="s">
        <v>2</v>
      </c>
      <c r="H66" s="38" t="s">
        <v>2</v>
      </c>
    </row>
    <row r="67" spans="1:8" x14ac:dyDescent="0.25">
      <c r="A67" s="4">
        <v>105</v>
      </c>
      <c r="B67" s="38"/>
      <c r="C67" s="38"/>
      <c r="D67" s="38"/>
      <c r="E67" s="38" t="s">
        <v>2</v>
      </c>
      <c r="F67" s="38" t="s">
        <v>2</v>
      </c>
      <c r="G67" s="38"/>
      <c r="H67" s="38"/>
    </row>
    <row r="68" spans="1:8" x14ac:dyDescent="0.25">
      <c r="A68" s="4">
        <v>106</v>
      </c>
      <c r="B68" s="38"/>
      <c r="C68" s="38"/>
      <c r="D68" s="38"/>
      <c r="E68" s="38"/>
      <c r="F68" s="38"/>
      <c r="G68" s="38"/>
      <c r="H68" s="38"/>
    </row>
    <row r="69" spans="1:8" x14ac:dyDescent="0.25">
      <c r="A69" s="4">
        <v>107</v>
      </c>
      <c r="B69" s="38"/>
      <c r="C69" s="38"/>
      <c r="D69" s="38"/>
      <c r="E69" s="38" t="s">
        <v>2</v>
      </c>
      <c r="F69" s="38"/>
      <c r="G69" s="38" t="s">
        <v>2</v>
      </c>
      <c r="H69" s="38"/>
    </row>
    <row r="70" spans="1:8" x14ac:dyDescent="0.25">
      <c r="A70" s="4">
        <v>108</v>
      </c>
      <c r="B70" s="38"/>
      <c r="C70" s="38"/>
      <c r="D70" s="38"/>
      <c r="E70" s="38"/>
      <c r="F70" s="38"/>
      <c r="G70" s="38"/>
      <c r="H70" s="38"/>
    </row>
    <row r="71" spans="1:8" x14ac:dyDescent="0.25">
      <c r="A71" s="4">
        <v>109</v>
      </c>
      <c r="B71" s="38"/>
      <c r="C71" s="38"/>
      <c r="D71" s="38"/>
      <c r="E71" s="38"/>
      <c r="F71" s="38"/>
      <c r="G71" s="38"/>
      <c r="H71" s="38"/>
    </row>
    <row r="72" spans="1:8" x14ac:dyDescent="0.25">
      <c r="A72" s="4">
        <v>110</v>
      </c>
      <c r="B72" s="38" t="s">
        <v>2</v>
      </c>
      <c r="C72" s="38"/>
      <c r="D72" s="38"/>
      <c r="E72" s="38"/>
      <c r="F72" s="38"/>
      <c r="G72" s="38"/>
      <c r="H72" s="38"/>
    </row>
    <row r="73" spans="1:8" x14ac:dyDescent="0.25">
      <c r="A73" s="4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4">
        <v>112</v>
      </c>
      <c r="B74" s="38" t="s">
        <v>6</v>
      </c>
      <c r="C74" s="38" t="s">
        <v>2</v>
      </c>
      <c r="D74" s="38" t="s">
        <v>2</v>
      </c>
      <c r="E74" s="38" t="s">
        <v>2</v>
      </c>
      <c r="F74" s="38" t="s">
        <v>2</v>
      </c>
      <c r="G74" s="38" t="s">
        <v>2</v>
      </c>
      <c r="H74" s="38" t="s">
        <v>2</v>
      </c>
    </row>
    <row r="75" spans="1:8" x14ac:dyDescent="0.25">
      <c r="A75" s="4">
        <v>113</v>
      </c>
      <c r="B75" s="38"/>
      <c r="C75" s="38"/>
      <c r="D75" s="38"/>
      <c r="E75" s="38"/>
      <c r="F75" s="38"/>
      <c r="G75" s="38"/>
      <c r="H75" s="38"/>
    </row>
    <row r="76" spans="1:8" x14ac:dyDescent="0.25">
      <c r="A76" s="4">
        <v>114</v>
      </c>
      <c r="B76" s="38" t="s">
        <v>6</v>
      </c>
      <c r="C76" s="38" t="s">
        <v>2</v>
      </c>
      <c r="D76" s="38" t="s">
        <v>2</v>
      </c>
      <c r="E76" s="39" t="s">
        <v>7</v>
      </c>
      <c r="F76" s="38" t="s">
        <v>2</v>
      </c>
      <c r="G76" s="38" t="s">
        <v>2</v>
      </c>
      <c r="H76" s="38" t="s">
        <v>2</v>
      </c>
    </row>
    <row r="77" spans="1:8" x14ac:dyDescent="0.25">
      <c r="A77" s="4">
        <v>115</v>
      </c>
      <c r="B77" s="38"/>
      <c r="C77" s="38"/>
      <c r="D77" s="38"/>
      <c r="E77" s="38"/>
      <c r="F77" s="38"/>
      <c r="G77" s="38"/>
      <c r="H77" s="38"/>
    </row>
    <row r="78" spans="1:8" x14ac:dyDescent="0.25">
      <c r="A78" s="4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4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4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4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4">
        <v>120</v>
      </c>
      <c r="B82" s="38" t="s">
        <v>6</v>
      </c>
      <c r="C82" s="38"/>
      <c r="D82" s="38" t="s">
        <v>2</v>
      </c>
      <c r="E82" s="38"/>
      <c r="F82" s="38"/>
      <c r="G82" s="38" t="s">
        <v>2</v>
      </c>
      <c r="H82" s="38"/>
    </row>
    <row r="83" spans="1:8" x14ac:dyDescent="0.25">
      <c r="A83" s="4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4">
        <v>122</v>
      </c>
      <c r="B84" s="38" t="s">
        <v>6</v>
      </c>
      <c r="C84" s="38"/>
      <c r="D84" s="38" t="s">
        <v>2</v>
      </c>
      <c r="E84" s="38"/>
      <c r="F84" s="38"/>
      <c r="G84" s="38" t="s">
        <v>2</v>
      </c>
      <c r="H84" s="38"/>
    </row>
    <row r="85" spans="1:8" x14ac:dyDescent="0.25">
      <c r="A85" s="4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4">
        <v>124</v>
      </c>
      <c r="B86" s="38"/>
      <c r="C86" s="38" t="s">
        <v>2</v>
      </c>
      <c r="D86" s="38" t="s">
        <v>2</v>
      </c>
      <c r="E86" s="38"/>
      <c r="F86" s="38"/>
      <c r="G86" s="38" t="s">
        <v>2</v>
      </c>
      <c r="H86" s="38"/>
    </row>
    <row r="87" spans="1:8" x14ac:dyDescent="0.25">
      <c r="A87" s="4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4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4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4">
        <v>128</v>
      </c>
      <c r="B90" s="38"/>
      <c r="C90" s="38"/>
      <c r="D90" s="38"/>
      <c r="E90" s="38"/>
      <c r="F90" s="38"/>
      <c r="G90" s="38"/>
      <c r="H90" s="38"/>
    </row>
    <row r="91" spans="1:8" x14ac:dyDescent="0.25">
      <c r="A91" s="4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4">
        <v>130</v>
      </c>
      <c r="B92" s="38"/>
      <c r="C92" s="38"/>
      <c r="D92" s="38"/>
      <c r="E92" s="38"/>
      <c r="F92" s="38"/>
      <c r="G92" s="38"/>
      <c r="H92" s="38"/>
    </row>
    <row r="93" spans="1:8" x14ac:dyDescent="0.25">
      <c r="A93" s="4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4">
        <v>132</v>
      </c>
      <c r="B94" s="38"/>
      <c r="C94" s="38"/>
      <c r="D94" s="38"/>
      <c r="E94" s="38" t="s">
        <v>7</v>
      </c>
      <c r="F94" s="38"/>
      <c r="G94" s="38"/>
      <c r="H94" s="38"/>
    </row>
    <row r="95" spans="1:8" x14ac:dyDescent="0.25">
      <c r="A95" s="4">
        <v>133</v>
      </c>
      <c r="B95" s="38" t="s">
        <v>2</v>
      </c>
      <c r="C95" s="38" t="s">
        <v>2</v>
      </c>
      <c r="D95" s="38"/>
      <c r="E95" s="38" t="s">
        <v>7</v>
      </c>
      <c r="F95" s="38" t="s">
        <v>2</v>
      </c>
      <c r="G95" s="38"/>
      <c r="H95" s="38"/>
    </row>
  </sheetData>
  <mergeCells count="5">
    <mergeCell ref="A1:H2"/>
    <mergeCell ref="I17:K17"/>
    <mergeCell ref="I18:J18"/>
    <mergeCell ref="I27:K27"/>
    <mergeCell ref="I28:J28"/>
  </mergeCells>
  <conditionalFormatting sqref="I5:I16 I29:I60 I19:I26 F15:F18 F91:F94 D62 F62:I62 C61:I61 C56:E56 B57:E60 B5:F5 B6:E55 B81:E95 B63:H80">
    <cfRule type="cellIs" dxfId="426" priority="64" operator="equal">
      <formula>"Energia"</formula>
    </cfRule>
    <cfRule type="cellIs" dxfId="425" priority="66" operator="equal">
      <formula>"Operação"</formula>
    </cfRule>
    <cfRule type="cellIs" dxfId="424" priority="67" operator="equal">
      <formula>"Chuva"</formula>
    </cfRule>
    <cfRule type="cellIs" dxfId="423" priority="68" operator="equal">
      <formula>"Elétrico"</formula>
    </cfRule>
    <cfRule type="cellIs" dxfId="422" priority="69" operator="equal">
      <formula>"Mecânico"</formula>
    </cfRule>
    <cfRule type="cellIs" dxfId="421" priority="70" operator="equal">
      <formula>"Ok"</formula>
    </cfRule>
  </conditionalFormatting>
  <conditionalFormatting sqref="I5:I16 I29:I60 I19:I26 F15:F18 F91:F94 D62 F62:I62 C61:I61 C56:E56 B57:E60 B5:F5 B6:E55 B81:E95 B63:H80">
    <cfRule type="cellIs" dxfId="420" priority="65" operator="equal">
      <formula>"Feito"</formula>
    </cfRule>
  </conditionalFormatting>
  <conditionalFormatting sqref="J7">
    <cfRule type="iconSet" priority="63">
      <iconSet iconSet="3Arrows">
        <cfvo type="percent" val="0"/>
        <cfvo type="percent" val="33"/>
        <cfvo type="percent" val="67"/>
      </iconSet>
    </cfRule>
  </conditionalFormatting>
  <conditionalFormatting sqref="C13 H9:H10 H18 G81:G95 C89 H85:H86 H94 G5:G56 B81:E87 B6:E11 B5:F5">
    <cfRule type="cellIs" dxfId="419" priority="62" operator="equal">
      <formula>"Energia"</formula>
    </cfRule>
  </conditionalFormatting>
  <conditionalFormatting sqref="G56 G81:H95 G5:H55 G57:H60">
    <cfRule type="cellIs" dxfId="418" priority="55" operator="equal">
      <formula>"Energia"</formula>
    </cfRule>
    <cfRule type="cellIs" dxfId="417" priority="57" operator="equal">
      <formula>"Operação"</formula>
    </cfRule>
    <cfRule type="cellIs" dxfId="416" priority="58" operator="equal">
      <formula>"Chuva"</formula>
    </cfRule>
    <cfRule type="cellIs" dxfId="415" priority="59" operator="equal">
      <formula>"Elétrico"</formula>
    </cfRule>
    <cfRule type="cellIs" dxfId="414" priority="60" operator="equal">
      <formula>"Mecânico"</formula>
    </cfRule>
    <cfRule type="cellIs" dxfId="413" priority="61" operator="equal">
      <formula>"Ok"</formula>
    </cfRule>
  </conditionalFormatting>
  <conditionalFormatting sqref="G56 G81:H95 G5:H55 G57:H60">
    <cfRule type="cellIs" dxfId="412" priority="56" operator="equal">
      <formula>"Feito"</formula>
    </cfRule>
  </conditionalFormatting>
  <conditionalFormatting sqref="F6:F11 F82:F87">
    <cfRule type="cellIs" dxfId="411" priority="54" operator="equal">
      <formula>"Energia"</formula>
    </cfRule>
  </conditionalFormatting>
  <conditionalFormatting sqref="F6:F14 F82:F90 F95 F19:F60">
    <cfRule type="cellIs" dxfId="410" priority="47" operator="equal">
      <formula>"Energia"</formula>
    </cfRule>
    <cfRule type="cellIs" dxfId="409" priority="49" operator="equal">
      <formula>"Operação"</formula>
    </cfRule>
    <cfRule type="cellIs" dxfId="408" priority="50" operator="equal">
      <formula>"Chuva"</formula>
    </cfRule>
    <cfRule type="cellIs" dxfId="407" priority="51" operator="equal">
      <formula>"Elétrico"</formula>
    </cfRule>
    <cfRule type="cellIs" dxfId="406" priority="52" operator="equal">
      <formula>"Mecânico"</formula>
    </cfRule>
    <cfRule type="cellIs" dxfId="405" priority="53" operator="equal">
      <formula>"Ok"</formula>
    </cfRule>
  </conditionalFormatting>
  <conditionalFormatting sqref="F6:F14 F82:F90 F95 F19:F60">
    <cfRule type="cellIs" dxfId="404" priority="48" operator="equal">
      <formula>"Feito"</formula>
    </cfRule>
  </conditionalFormatting>
  <conditionalFormatting sqref="F81">
    <cfRule type="cellIs" dxfId="403" priority="40" operator="equal">
      <formula>"Energia"</formula>
    </cfRule>
    <cfRule type="cellIs" dxfId="402" priority="42" operator="equal">
      <formula>"Operação"</formula>
    </cfRule>
    <cfRule type="cellIs" dxfId="401" priority="43" operator="equal">
      <formula>"Chuva"</formula>
    </cfRule>
    <cfRule type="cellIs" dxfId="400" priority="44" operator="equal">
      <formula>"Elétrico"</formula>
    </cfRule>
    <cfRule type="cellIs" dxfId="399" priority="45" operator="equal">
      <formula>"Mecânico"</formula>
    </cfRule>
    <cfRule type="cellIs" dxfId="398" priority="46" operator="equal">
      <formula>"Ok"</formula>
    </cfRule>
  </conditionalFormatting>
  <conditionalFormatting sqref="F81">
    <cfRule type="cellIs" dxfId="397" priority="41" operator="equal">
      <formula>"Feito"</formula>
    </cfRule>
  </conditionalFormatting>
  <conditionalFormatting sqref="F81">
    <cfRule type="cellIs" dxfId="396" priority="39" operator="equal">
      <formula>"Energia"</formula>
    </cfRule>
  </conditionalFormatting>
  <conditionalFormatting sqref="H56">
    <cfRule type="cellIs" dxfId="395" priority="32" operator="equal">
      <formula>"Energia"</formula>
    </cfRule>
    <cfRule type="cellIs" dxfId="394" priority="34" operator="equal">
      <formula>"Operação"</formula>
    </cfRule>
    <cfRule type="cellIs" dxfId="393" priority="35" operator="equal">
      <formula>"Chuva"</formula>
    </cfRule>
    <cfRule type="cellIs" dxfId="392" priority="36" operator="equal">
      <formula>"Elétrico"</formula>
    </cfRule>
    <cfRule type="cellIs" dxfId="391" priority="37" operator="equal">
      <formula>"Mecânico"</formula>
    </cfRule>
    <cfRule type="cellIs" dxfId="390" priority="38" operator="equal">
      <formula>"Ok"</formula>
    </cfRule>
  </conditionalFormatting>
  <conditionalFormatting sqref="H56">
    <cfRule type="cellIs" dxfId="389" priority="33" operator="equal">
      <formula>"Feito"</formula>
    </cfRule>
  </conditionalFormatting>
  <conditionalFormatting sqref="B61">
    <cfRule type="cellIs" dxfId="388" priority="25" operator="equal">
      <formula>"Energia"</formula>
    </cfRule>
    <cfRule type="cellIs" dxfId="387" priority="27" operator="equal">
      <formula>"Operação"</formula>
    </cfRule>
    <cfRule type="cellIs" dxfId="386" priority="28" operator="equal">
      <formula>"Chuva"</formula>
    </cfRule>
    <cfRule type="cellIs" dxfId="385" priority="29" operator="equal">
      <formula>"Elétrico"</formula>
    </cfRule>
    <cfRule type="cellIs" dxfId="384" priority="30" operator="equal">
      <formula>"Mecânico"</formula>
    </cfRule>
    <cfRule type="cellIs" dxfId="383" priority="31" operator="equal">
      <formula>"Ok"</formula>
    </cfRule>
  </conditionalFormatting>
  <conditionalFormatting sqref="B61">
    <cfRule type="cellIs" dxfId="382" priority="26" operator="equal">
      <formula>"Feito"</formula>
    </cfRule>
  </conditionalFormatting>
  <conditionalFormatting sqref="B62:C62">
    <cfRule type="cellIs" dxfId="381" priority="18" operator="equal">
      <formula>"Energia"</formula>
    </cfRule>
    <cfRule type="cellIs" dxfId="380" priority="20" operator="equal">
      <formula>"Operação"</formula>
    </cfRule>
    <cfRule type="cellIs" dxfId="379" priority="21" operator="equal">
      <formula>"Chuva"</formula>
    </cfRule>
    <cfRule type="cellIs" dxfId="378" priority="22" operator="equal">
      <formula>"Elétrico"</formula>
    </cfRule>
    <cfRule type="cellIs" dxfId="377" priority="23" operator="equal">
      <formula>"Mecânico"</formula>
    </cfRule>
    <cfRule type="cellIs" dxfId="376" priority="24" operator="equal">
      <formula>"Ok"</formula>
    </cfRule>
  </conditionalFormatting>
  <conditionalFormatting sqref="B62:C62">
    <cfRule type="cellIs" dxfId="375" priority="19" operator="equal">
      <formula>"Feito"</formula>
    </cfRule>
  </conditionalFormatting>
  <conditionalFormatting sqref="B56">
    <cfRule type="cellIs" dxfId="374" priority="11" operator="equal">
      <formula>"Energia"</formula>
    </cfRule>
    <cfRule type="cellIs" dxfId="373" priority="13" operator="equal">
      <formula>"Operação"</formula>
    </cfRule>
    <cfRule type="cellIs" dxfId="372" priority="14" operator="equal">
      <formula>"Chuva"</formula>
    </cfRule>
    <cfRule type="cellIs" dxfId="371" priority="15" operator="equal">
      <formula>"Elétrico"</formula>
    </cfRule>
    <cfRule type="cellIs" dxfId="370" priority="16" operator="equal">
      <formula>"Mecânico"</formula>
    </cfRule>
    <cfRule type="cellIs" dxfId="369" priority="17" operator="equal">
      <formula>"Ok"</formula>
    </cfRule>
  </conditionalFormatting>
  <conditionalFormatting sqref="B56">
    <cfRule type="cellIs" dxfId="368" priority="12" operator="equal">
      <formula>"Feito"</formula>
    </cfRule>
  </conditionalFormatting>
  <conditionalFormatting sqref="E62">
    <cfRule type="cellIs" dxfId="367" priority="4" operator="equal">
      <formula>"Energia"</formula>
    </cfRule>
    <cfRule type="cellIs" dxfId="366" priority="6" operator="equal">
      <formula>"Operação"</formula>
    </cfRule>
    <cfRule type="cellIs" dxfId="365" priority="7" operator="equal">
      <formula>"Chuva"</formula>
    </cfRule>
    <cfRule type="cellIs" dxfId="364" priority="8" operator="equal">
      <formula>"Elétrico"</formula>
    </cfRule>
    <cfRule type="cellIs" dxfId="363" priority="9" operator="equal">
      <formula>"Mecânico"</formula>
    </cfRule>
    <cfRule type="cellIs" dxfId="362" priority="10" operator="equal">
      <formula>"Ok"</formula>
    </cfRule>
  </conditionalFormatting>
  <conditionalFormatting sqref="E62">
    <cfRule type="cellIs" dxfId="361" priority="5" operator="equal">
      <formula>"Feito"</formula>
    </cfRule>
  </conditionalFormatting>
  <conditionalFormatting sqref="B95">
    <cfRule type="cellIs" dxfId="360" priority="3" operator="equal">
      <formula>"Energia"</formula>
    </cfRule>
  </conditionalFormatting>
  <conditionalFormatting sqref="B74">
    <cfRule type="cellIs" dxfId="359" priority="2" operator="equal">
      <formula>"Energia"</formula>
    </cfRule>
  </conditionalFormatting>
  <conditionalFormatting sqref="B76">
    <cfRule type="cellIs" dxfId="358" priority="1" operator="equal">
      <formula>"Energia"</formula>
    </cfRule>
  </conditionalFormatting>
  <dataValidations count="1">
    <dataValidation type="list" allowBlank="1" showInputMessage="1" showErrorMessage="1" sqref="I5:I16 J36:J60 I29:I62 I19:I26 B5:H95" xr:uid="{C67484C6-D929-4114-832D-0A1E87DD8200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3B0C7-40FE-472F-8D02-D2836099E99C}">
  <sheetPr>
    <tabColor theme="8"/>
  </sheetPr>
  <dimension ref="A1:Q95"/>
  <sheetViews>
    <sheetView showGridLines="0" zoomScaleNormal="100" workbookViewId="0">
      <pane ySplit="4" topLeftCell="A5" activePane="bottomLeft" state="frozen"/>
      <selection pane="bottomLeft" activeCell="N19" sqref="N19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79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4" t="s">
        <v>16</v>
      </c>
      <c r="B3" s="23">
        <v>44830</v>
      </c>
      <c r="C3" s="23">
        <f>B3+1</f>
        <v>44831</v>
      </c>
      <c r="D3" s="23">
        <f t="shared" ref="D3:H3" si="0">C3+1</f>
        <v>44832</v>
      </c>
      <c r="E3" s="23">
        <f t="shared" si="0"/>
        <v>44833</v>
      </c>
      <c r="F3" s="23">
        <f t="shared" si="0"/>
        <v>44834</v>
      </c>
      <c r="G3" s="23">
        <f t="shared" si="0"/>
        <v>44835</v>
      </c>
      <c r="H3" s="25">
        <f t="shared" si="0"/>
        <v>44836</v>
      </c>
      <c r="I3" s="3"/>
    </row>
    <row r="4" spans="1:17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  <c r="Q4" t="s">
        <v>34</v>
      </c>
    </row>
    <row r="5" spans="1:17" x14ac:dyDescent="0.25">
      <c r="A5" s="4">
        <v>1</v>
      </c>
      <c r="B5" s="38"/>
      <c r="C5" s="38" t="s">
        <v>7</v>
      </c>
      <c r="D5" s="38" t="s">
        <v>7</v>
      </c>
      <c r="E5" s="38" t="s">
        <v>2</v>
      </c>
      <c r="F5" s="38" t="s">
        <v>2</v>
      </c>
      <c r="G5" s="38" t="s">
        <v>2</v>
      </c>
      <c r="H5" s="38" t="s">
        <v>2</v>
      </c>
      <c r="J5" s="48" t="s">
        <v>2</v>
      </c>
      <c r="K5">
        <f>COUNTIF($B$5:$H$95,J5)</f>
        <v>157</v>
      </c>
      <c r="L5" s="34">
        <f t="shared" ref="L5:L10" si="2">K5/$K$11</f>
        <v>0.84408602150537637</v>
      </c>
      <c r="M5" s="52">
        <f>B3</f>
        <v>44830</v>
      </c>
      <c r="O5" t="s">
        <v>44</v>
      </c>
      <c r="P5">
        <v>200</v>
      </c>
      <c r="Q5" s="52">
        <f>M5</f>
        <v>44830</v>
      </c>
    </row>
    <row r="6" spans="1:17" x14ac:dyDescent="0.25">
      <c r="A6" s="4">
        <v>2</v>
      </c>
      <c r="B6" s="38"/>
      <c r="C6" s="38"/>
      <c r="D6" s="38"/>
      <c r="E6" s="38"/>
      <c r="F6" s="38"/>
      <c r="G6" s="38"/>
      <c r="H6" s="38"/>
      <c r="J6" s="42" t="s">
        <v>5</v>
      </c>
      <c r="K6">
        <f>COUNTIF($B$5:$H$95,J6)</f>
        <v>1</v>
      </c>
      <c r="L6" s="35">
        <f t="shared" si="2"/>
        <v>5.3763440860215058E-3</v>
      </c>
      <c r="O6" t="s">
        <v>46</v>
      </c>
      <c r="P6">
        <f>SUM(K19:K25)</f>
        <v>6</v>
      </c>
    </row>
    <row r="7" spans="1:17" x14ac:dyDescent="0.25">
      <c r="A7" s="4">
        <v>3</v>
      </c>
      <c r="B7" s="38"/>
      <c r="C7" s="38"/>
      <c r="D7" s="38"/>
      <c r="E7" s="38"/>
      <c r="F7" s="38"/>
      <c r="G7" s="38"/>
      <c r="H7" s="38"/>
      <c r="J7" s="46" t="s">
        <v>6</v>
      </c>
      <c r="K7">
        <f t="shared" ref="K7:K10" si="3">COUNTIF($B$5:$H$95,J7)</f>
        <v>2</v>
      </c>
      <c r="L7" s="35">
        <f t="shared" si="2"/>
        <v>1.0752688172043012E-2</v>
      </c>
      <c r="O7" t="s">
        <v>45</v>
      </c>
      <c r="P7">
        <f>SUM(K29:K35)</f>
        <v>8</v>
      </c>
    </row>
    <row r="8" spans="1:17" x14ac:dyDescent="0.25">
      <c r="A8" s="4">
        <v>4</v>
      </c>
      <c r="B8" s="38"/>
      <c r="C8" s="38"/>
      <c r="D8" s="38"/>
      <c r="E8" s="38"/>
      <c r="F8" s="38"/>
      <c r="G8" s="38"/>
      <c r="H8" s="38"/>
      <c r="J8" s="47" t="s">
        <v>4</v>
      </c>
      <c r="K8">
        <f t="shared" si="3"/>
        <v>0</v>
      </c>
      <c r="L8" s="35">
        <f t="shared" si="2"/>
        <v>0</v>
      </c>
      <c r="O8" s="65" t="s">
        <v>17</v>
      </c>
      <c r="P8" s="65">
        <f>P5+P6-P7</f>
        <v>198</v>
      </c>
    </row>
    <row r="9" spans="1:17" x14ac:dyDescent="0.25">
      <c r="A9" s="4">
        <v>5</v>
      </c>
      <c r="B9" s="38"/>
      <c r="C9" s="38"/>
      <c r="D9" s="38"/>
      <c r="E9" s="38"/>
      <c r="F9" s="38"/>
      <c r="G9" s="38"/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7" x14ac:dyDescent="0.25">
      <c r="A10" s="4">
        <v>6</v>
      </c>
      <c r="B10" s="38"/>
      <c r="C10" s="38"/>
      <c r="D10" s="38"/>
      <c r="E10" s="38"/>
      <c r="F10" s="38"/>
      <c r="G10" s="38"/>
      <c r="H10" s="38"/>
      <c r="J10" s="43" t="s">
        <v>7</v>
      </c>
      <c r="K10">
        <f t="shared" si="3"/>
        <v>26</v>
      </c>
      <c r="L10" s="37">
        <f t="shared" si="2"/>
        <v>0.13978494623655913</v>
      </c>
      <c r="O10" t="s">
        <v>65</v>
      </c>
      <c r="P10">
        <f>P8</f>
        <v>198</v>
      </c>
    </row>
    <row r="11" spans="1:17" x14ac:dyDescent="0.25">
      <c r="A11" s="4">
        <v>7</v>
      </c>
      <c r="B11" s="38"/>
      <c r="C11" s="38"/>
      <c r="D11" s="38"/>
      <c r="E11" s="38"/>
      <c r="F11" s="38"/>
      <c r="G11" s="38"/>
      <c r="H11" s="38"/>
      <c r="J11" s="44" t="s">
        <v>17</v>
      </c>
      <c r="K11">
        <f>SUM(K5:K10)</f>
        <v>186</v>
      </c>
    </row>
    <row r="12" spans="1:17" x14ac:dyDescent="0.25">
      <c r="A12" s="4">
        <v>8</v>
      </c>
      <c r="B12" s="38"/>
      <c r="C12" s="38"/>
      <c r="D12" s="38" t="s">
        <v>2</v>
      </c>
      <c r="E12" s="38"/>
      <c r="F12" s="38"/>
      <c r="G12" s="38" t="s">
        <v>2</v>
      </c>
      <c r="H12" s="38"/>
    </row>
    <row r="13" spans="1:17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7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7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7" x14ac:dyDescent="0.25">
      <c r="A16" s="4">
        <v>12</v>
      </c>
      <c r="B16" s="38"/>
      <c r="C16" s="38"/>
      <c r="D16" s="38"/>
      <c r="E16" s="38"/>
      <c r="F16" s="38"/>
      <c r="G16" s="38"/>
      <c r="H16" s="38"/>
      <c r="O16" s="61"/>
    </row>
    <row r="17" spans="1:13" x14ac:dyDescent="0.25">
      <c r="A17" s="4">
        <v>13</v>
      </c>
      <c r="B17" s="38"/>
      <c r="C17" s="38"/>
      <c r="D17" s="38"/>
      <c r="E17" s="38"/>
      <c r="F17" s="38" t="s">
        <v>2</v>
      </c>
      <c r="G17" s="38"/>
      <c r="H17" s="38"/>
      <c r="I17" s="71" t="s">
        <v>46</v>
      </c>
      <c r="J17" s="72"/>
      <c r="K17" s="72"/>
      <c r="M17" s="53"/>
    </row>
    <row r="18" spans="1:13" x14ac:dyDescent="0.25">
      <c r="A18" s="4">
        <v>14</v>
      </c>
      <c r="B18" s="38"/>
      <c r="C18" s="38"/>
      <c r="D18" s="38" t="s">
        <v>2</v>
      </c>
      <c r="E18" s="38"/>
      <c r="F18" s="38"/>
      <c r="G18" s="38" t="s">
        <v>2</v>
      </c>
      <c r="H18" s="38"/>
      <c r="I18" s="71" t="s">
        <v>54</v>
      </c>
      <c r="J18" s="72"/>
      <c r="K18" t="s">
        <v>32</v>
      </c>
    </row>
    <row r="19" spans="1:13" x14ac:dyDescent="0.25">
      <c r="A19" s="4">
        <v>15</v>
      </c>
      <c r="B19" s="38"/>
      <c r="C19" s="38"/>
      <c r="D19" s="38"/>
      <c r="E19" s="38"/>
      <c r="F19" s="38"/>
      <c r="G19" s="38"/>
      <c r="H19" s="38"/>
      <c r="I19" s="40" t="s">
        <v>47</v>
      </c>
      <c r="J19" s="40" t="str">
        <f>TEXT(B3,"ddd")</f>
        <v>seg</v>
      </c>
      <c r="K19" s="60"/>
    </row>
    <row r="20" spans="1:13" x14ac:dyDescent="0.25">
      <c r="A20" s="4">
        <v>16</v>
      </c>
      <c r="B20" s="38"/>
      <c r="C20" s="38"/>
      <c r="D20" s="38"/>
      <c r="E20" s="38"/>
      <c r="F20" s="38"/>
      <c r="G20" s="38"/>
      <c r="H20" s="38"/>
      <c r="I20" s="40" t="s">
        <v>48</v>
      </c>
      <c r="J20" s="40" t="str">
        <f>TEXT(C3,"ddd")</f>
        <v>ter</v>
      </c>
      <c r="K20" s="60">
        <v>1</v>
      </c>
    </row>
    <row r="21" spans="1:13" x14ac:dyDescent="0.25">
      <c r="A21" s="4">
        <v>17</v>
      </c>
      <c r="B21" s="38"/>
      <c r="C21" s="38"/>
      <c r="D21" s="38"/>
      <c r="E21" s="38"/>
      <c r="F21" s="38"/>
      <c r="G21" s="38"/>
      <c r="H21" s="38"/>
      <c r="I21" s="40" t="s">
        <v>49</v>
      </c>
      <c r="J21" s="40" t="str">
        <f>TEXT(D3,"ddd")</f>
        <v>qua</v>
      </c>
      <c r="K21" s="60">
        <v>2</v>
      </c>
    </row>
    <row r="22" spans="1:13" x14ac:dyDescent="0.25">
      <c r="A22" s="4">
        <v>18</v>
      </c>
      <c r="B22" s="38"/>
      <c r="C22" s="38"/>
      <c r="D22" s="38"/>
      <c r="E22" s="38"/>
      <c r="F22" s="38"/>
      <c r="G22" s="38"/>
      <c r="H22" s="38"/>
      <c r="I22" s="40" t="s">
        <v>50</v>
      </c>
      <c r="J22" s="40" t="str">
        <f>TEXT(E3,"ddd")</f>
        <v>qui</v>
      </c>
      <c r="K22" s="60">
        <v>1</v>
      </c>
    </row>
    <row r="23" spans="1:13" x14ac:dyDescent="0.25">
      <c r="A23" s="4">
        <v>19</v>
      </c>
      <c r="B23" s="38"/>
      <c r="C23" s="38"/>
      <c r="D23" s="38"/>
      <c r="E23" s="38"/>
      <c r="F23" s="38" t="s">
        <v>7</v>
      </c>
      <c r="G23" s="38"/>
      <c r="H23" s="38"/>
      <c r="I23" s="40" t="s">
        <v>51</v>
      </c>
      <c r="J23" s="40" t="str">
        <f>TEXT(F3,"ddd")</f>
        <v>sex</v>
      </c>
      <c r="K23" s="60"/>
    </row>
    <row r="24" spans="1:13" x14ac:dyDescent="0.25">
      <c r="A24" s="4">
        <v>20</v>
      </c>
      <c r="B24" s="38"/>
      <c r="C24" s="38"/>
      <c r="D24" s="38"/>
      <c r="E24" s="38"/>
      <c r="F24" s="38"/>
      <c r="G24" s="38"/>
      <c r="H24" s="38"/>
      <c r="I24" s="40" t="s">
        <v>52</v>
      </c>
      <c r="J24" s="40" t="str">
        <f>TEXT(G3,"ddd")</f>
        <v>sáb</v>
      </c>
      <c r="K24" s="60">
        <v>1</v>
      </c>
    </row>
    <row r="25" spans="1:13" x14ac:dyDescent="0.25">
      <c r="A25" s="4">
        <v>21</v>
      </c>
      <c r="B25" s="38"/>
      <c r="C25" s="38"/>
      <c r="D25" s="38"/>
      <c r="E25" s="38"/>
      <c r="F25" s="38"/>
      <c r="G25" s="38"/>
      <c r="H25" s="38"/>
      <c r="I25" s="40" t="s">
        <v>53</v>
      </c>
      <c r="J25" s="40" t="str">
        <f>TEXT(H3,"ddd")</f>
        <v>dom</v>
      </c>
      <c r="K25" s="60">
        <v>1</v>
      </c>
    </row>
    <row r="26" spans="1:13" x14ac:dyDescent="0.25">
      <c r="A26" s="4">
        <v>22</v>
      </c>
      <c r="B26" s="38"/>
      <c r="C26" s="38"/>
      <c r="D26" s="38"/>
      <c r="E26" s="38"/>
      <c r="F26" s="38"/>
      <c r="G26" s="38"/>
      <c r="H26" s="38"/>
    </row>
    <row r="27" spans="1:13" x14ac:dyDescent="0.25">
      <c r="A27" s="4">
        <v>23</v>
      </c>
      <c r="B27" s="38"/>
      <c r="C27" s="38" t="s">
        <v>7</v>
      </c>
      <c r="D27" s="38" t="s">
        <v>2</v>
      </c>
      <c r="E27" s="38" t="s">
        <v>7</v>
      </c>
      <c r="F27" s="38" t="s">
        <v>2</v>
      </c>
      <c r="G27" s="38" t="s">
        <v>2</v>
      </c>
      <c r="H27" s="38" t="s">
        <v>2</v>
      </c>
      <c r="I27" s="71" t="s">
        <v>45</v>
      </c>
      <c r="J27" s="72"/>
      <c r="K27" s="72"/>
    </row>
    <row r="28" spans="1:13" x14ac:dyDescent="0.25">
      <c r="A28" s="4">
        <v>24</v>
      </c>
      <c r="B28" s="38"/>
      <c r="C28" s="38" t="s">
        <v>2</v>
      </c>
      <c r="D28" s="38" t="s">
        <v>7</v>
      </c>
      <c r="E28" s="38" t="s">
        <v>7</v>
      </c>
      <c r="F28" s="38" t="s">
        <v>7</v>
      </c>
      <c r="G28" s="38" t="s">
        <v>7</v>
      </c>
      <c r="H28" s="38" t="s">
        <v>2</v>
      </c>
      <c r="I28" s="71" t="s">
        <v>54</v>
      </c>
      <c r="J28" s="72"/>
      <c r="K28" t="s">
        <v>32</v>
      </c>
    </row>
    <row r="29" spans="1:13" x14ac:dyDescent="0.25">
      <c r="A29" s="4">
        <v>25</v>
      </c>
      <c r="B29" s="38"/>
      <c r="C29" s="38" t="s">
        <v>2</v>
      </c>
      <c r="D29" s="38" t="s">
        <v>2</v>
      </c>
      <c r="E29" s="38" t="s">
        <v>2</v>
      </c>
      <c r="F29" s="38" t="s">
        <v>2</v>
      </c>
      <c r="G29" s="38" t="s">
        <v>2</v>
      </c>
      <c r="H29" s="38" t="s">
        <v>2</v>
      </c>
      <c r="I29" s="40" t="s">
        <v>47</v>
      </c>
      <c r="J29" s="40" t="str">
        <f t="shared" ref="J29:J35" si="4">J19</f>
        <v>seg</v>
      </c>
      <c r="K29" s="60"/>
    </row>
    <row r="30" spans="1:13" x14ac:dyDescent="0.25">
      <c r="A30" s="4">
        <v>26</v>
      </c>
      <c r="B30" s="38"/>
      <c r="C30" s="38" t="s">
        <v>6</v>
      </c>
      <c r="D30" s="38" t="s">
        <v>6</v>
      </c>
      <c r="E30" s="38" t="s">
        <v>2</v>
      </c>
      <c r="F30" s="38" t="s">
        <v>7</v>
      </c>
      <c r="G30" s="38" t="s">
        <v>2</v>
      </c>
      <c r="H30" s="38" t="s">
        <v>2</v>
      </c>
      <c r="I30" s="40" t="s">
        <v>48</v>
      </c>
      <c r="J30" s="40" t="str">
        <f t="shared" si="4"/>
        <v>ter</v>
      </c>
      <c r="K30" s="60">
        <v>4</v>
      </c>
    </row>
    <row r="31" spans="1:13" x14ac:dyDescent="0.25">
      <c r="A31" s="4">
        <v>27</v>
      </c>
      <c r="B31" s="38"/>
      <c r="C31" s="38"/>
      <c r="D31" s="38"/>
      <c r="E31" s="38"/>
      <c r="F31" s="38"/>
      <c r="G31" s="38"/>
      <c r="H31" s="38"/>
      <c r="I31" s="40" t="s">
        <v>49</v>
      </c>
      <c r="J31" s="40" t="str">
        <f t="shared" si="4"/>
        <v>qua</v>
      </c>
      <c r="K31" s="60">
        <v>3</v>
      </c>
    </row>
    <row r="32" spans="1:13" x14ac:dyDescent="0.25">
      <c r="A32" s="4">
        <v>28</v>
      </c>
      <c r="B32" s="38"/>
      <c r="C32" s="38"/>
      <c r="D32" s="38"/>
      <c r="E32" s="38"/>
      <c r="F32" s="38"/>
      <c r="G32" s="38"/>
      <c r="H32" s="38"/>
      <c r="I32" s="40" t="s">
        <v>50</v>
      </c>
      <c r="J32" s="40" t="str">
        <f t="shared" si="4"/>
        <v>qui</v>
      </c>
      <c r="K32" s="60"/>
    </row>
    <row r="33" spans="1:11" x14ac:dyDescent="0.25">
      <c r="A33" s="4">
        <v>29</v>
      </c>
      <c r="B33" s="38"/>
      <c r="C33" s="38" t="s">
        <v>2</v>
      </c>
      <c r="D33" s="38"/>
      <c r="E33" s="38" t="s">
        <v>2</v>
      </c>
      <c r="F33" s="38"/>
      <c r="G33" s="38" t="s">
        <v>2</v>
      </c>
      <c r="H33" s="38" t="s">
        <v>2</v>
      </c>
      <c r="I33" s="40" t="s">
        <v>51</v>
      </c>
      <c r="J33" s="40" t="str">
        <f t="shared" si="4"/>
        <v>sex</v>
      </c>
      <c r="K33" s="60"/>
    </row>
    <row r="34" spans="1:11" x14ac:dyDescent="0.25">
      <c r="A34" s="4">
        <v>30</v>
      </c>
      <c r="B34" s="38"/>
      <c r="C34" s="38" t="s">
        <v>2</v>
      </c>
      <c r="D34" s="38" t="s">
        <v>2</v>
      </c>
      <c r="E34" s="38" t="s">
        <v>2</v>
      </c>
      <c r="F34" s="38" t="s">
        <v>2</v>
      </c>
      <c r="G34" s="38" t="s">
        <v>2</v>
      </c>
      <c r="H34" s="38" t="s">
        <v>7</v>
      </c>
      <c r="I34" s="40" t="s">
        <v>52</v>
      </c>
      <c r="J34" s="40" t="str">
        <f t="shared" si="4"/>
        <v>sáb</v>
      </c>
      <c r="K34" s="60"/>
    </row>
    <row r="35" spans="1:11" x14ac:dyDescent="0.25">
      <c r="A35" s="4">
        <v>31</v>
      </c>
      <c r="B35" s="38"/>
      <c r="C35" s="38" t="s">
        <v>7</v>
      </c>
      <c r="D35" s="38" t="s">
        <v>2</v>
      </c>
      <c r="E35" s="38"/>
      <c r="F35" s="38" t="s">
        <v>2</v>
      </c>
      <c r="G35" s="38" t="s">
        <v>2</v>
      </c>
      <c r="H35" s="38" t="s">
        <v>2</v>
      </c>
      <c r="I35" s="40" t="s">
        <v>53</v>
      </c>
      <c r="J35" s="40" t="str">
        <f t="shared" si="4"/>
        <v>dom</v>
      </c>
      <c r="K35" s="60">
        <v>1</v>
      </c>
    </row>
    <row r="36" spans="1:11" x14ac:dyDescent="0.25">
      <c r="A36" s="4">
        <v>32</v>
      </c>
      <c r="B36" s="38"/>
      <c r="C36" s="38" t="s">
        <v>2</v>
      </c>
      <c r="D36" s="38" t="s">
        <v>2</v>
      </c>
      <c r="E36" s="38" t="s">
        <v>7</v>
      </c>
      <c r="F36" s="38" t="s">
        <v>2</v>
      </c>
      <c r="G36" s="38" t="s">
        <v>2</v>
      </c>
      <c r="H36" s="38" t="s">
        <v>2</v>
      </c>
    </row>
    <row r="37" spans="1:11" x14ac:dyDescent="0.25">
      <c r="A37" s="4">
        <v>33</v>
      </c>
      <c r="B37" s="38"/>
      <c r="C37" s="38" t="s">
        <v>5</v>
      </c>
      <c r="D37" s="38" t="s">
        <v>2</v>
      </c>
      <c r="E37" s="38" t="s">
        <v>2</v>
      </c>
      <c r="F37" s="38" t="s">
        <v>7</v>
      </c>
      <c r="G37" s="38" t="s">
        <v>2</v>
      </c>
      <c r="H37" s="38" t="s">
        <v>2</v>
      </c>
    </row>
    <row r="38" spans="1:11" x14ac:dyDescent="0.25">
      <c r="A38" s="4">
        <v>34</v>
      </c>
      <c r="B38" s="38"/>
      <c r="C38" s="38"/>
      <c r="D38" s="38"/>
      <c r="E38" s="38"/>
      <c r="F38" s="38"/>
      <c r="G38" s="38"/>
      <c r="H38" s="38"/>
    </row>
    <row r="39" spans="1:11" x14ac:dyDescent="0.25">
      <c r="A39" s="4">
        <v>35</v>
      </c>
      <c r="B39" s="38"/>
      <c r="C39" s="38"/>
      <c r="D39" s="38"/>
      <c r="E39" s="38"/>
      <c r="F39" s="38"/>
      <c r="G39" s="38"/>
      <c r="H39" s="38"/>
    </row>
    <row r="40" spans="1:11" x14ac:dyDescent="0.25">
      <c r="A40" s="4">
        <v>36</v>
      </c>
      <c r="B40" s="38" t="s">
        <v>7</v>
      </c>
      <c r="C40" s="38"/>
      <c r="D40" s="38"/>
      <c r="E40" s="38" t="s">
        <v>2</v>
      </c>
      <c r="F40" s="38"/>
      <c r="G40" s="38"/>
      <c r="H40" s="38"/>
    </row>
    <row r="41" spans="1:11" x14ac:dyDescent="0.25">
      <c r="A41" s="4">
        <v>37</v>
      </c>
      <c r="B41" s="38"/>
      <c r="C41" s="38"/>
      <c r="D41" s="38"/>
      <c r="E41" s="38"/>
      <c r="F41" s="38"/>
      <c r="G41" s="38"/>
      <c r="H41" s="38"/>
    </row>
    <row r="42" spans="1:11" x14ac:dyDescent="0.25">
      <c r="A42" s="4">
        <v>38</v>
      </c>
      <c r="B42" s="38"/>
      <c r="C42" s="38"/>
      <c r="D42" s="38"/>
      <c r="E42" s="38"/>
      <c r="F42" s="38"/>
      <c r="G42" s="38"/>
      <c r="H42" s="38"/>
    </row>
    <row r="43" spans="1:11" x14ac:dyDescent="0.25">
      <c r="A43" s="4">
        <v>39</v>
      </c>
      <c r="B43" s="38"/>
      <c r="C43" s="38"/>
      <c r="D43" s="38"/>
      <c r="E43" s="38"/>
      <c r="F43" s="38"/>
      <c r="G43" s="38"/>
      <c r="H43" s="38"/>
    </row>
    <row r="44" spans="1:11" x14ac:dyDescent="0.25">
      <c r="A44" s="4">
        <v>40</v>
      </c>
      <c r="B44" s="38"/>
      <c r="C44" s="38"/>
      <c r="D44" s="38"/>
      <c r="E44" s="38"/>
      <c r="F44" s="38"/>
      <c r="G44" s="38"/>
      <c r="H44" s="38"/>
    </row>
    <row r="45" spans="1:11" x14ac:dyDescent="0.25">
      <c r="A45" s="4">
        <v>41</v>
      </c>
      <c r="B45" s="38"/>
      <c r="C45" s="38"/>
      <c r="D45" s="38"/>
      <c r="E45" s="38"/>
      <c r="F45" s="38"/>
      <c r="G45" s="38"/>
      <c r="H45" s="38"/>
    </row>
    <row r="46" spans="1:11" x14ac:dyDescent="0.25">
      <c r="A46" s="4">
        <v>42</v>
      </c>
      <c r="B46" s="38"/>
      <c r="C46" s="38"/>
      <c r="D46" s="38"/>
      <c r="E46" s="38"/>
      <c r="F46" s="38"/>
      <c r="G46" s="38"/>
      <c r="H46" s="38"/>
    </row>
    <row r="47" spans="1:11" x14ac:dyDescent="0.25">
      <c r="A47" s="4">
        <v>43</v>
      </c>
      <c r="B47" s="38"/>
      <c r="C47" s="38" t="s">
        <v>2</v>
      </c>
      <c r="D47" s="38" t="s">
        <v>2</v>
      </c>
      <c r="E47" s="38" t="s">
        <v>2</v>
      </c>
      <c r="F47" s="38" t="s">
        <v>2</v>
      </c>
      <c r="G47" s="38" t="s">
        <v>2</v>
      </c>
      <c r="H47" s="38" t="s">
        <v>2</v>
      </c>
    </row>
    <row r="48" spans="1:11" x14ac:dyDescent="0.25">
      <c r="A48" s="4">
        <v>44</v>
      </c>
      <c r="B48" s="38"/>
      <c r="C48" s="38"/>
      <c r="D48" s="38"/>
      <c r="E48" s="38"/>
      <c r="F48" s="38"/>
      <c r="G48" s="38"/>
      <c r="H48" s="38"/>
    </row>
    <row r="49" spans="1:11" x14ac:dyDescent="0.25">
      <c r="A49" s="4">
        <v>45</v>
      </c>
      <c r="B49" s="38"/>
      <c r="C49" s="38" t="s">
        <v>7</v>
      </c>
      <c r="D49" s="38" t="s">
        <v>2</v>
      </c>
      <c r="E49" s="38" t="s">
        <v>2</v>
      </c>
      <c r="F49" s="38" t="s">
        <v>2</v>
      </c>
      <c r="G49" s="38" t="s">
        <v>2</v>
      </c>
      <c r="H49" s="38" t="s">
        <v>2</v>
      </c>
    </row>
    <row r="50" spans="1:11" x14ac:dyDescent="0.25">
      <c r="A50" s="4">
        <v>46</v>
      </c>
      <c r="B50" s="38"/>
      <c r="C50" s="38"/>
      <c r="D50" s="38" t="s">
        <v>2</v>
      </c>
      <c r="E50" s="38" t="s">
        <v>2</v>
      </c>
      <c r="F50" s="38" t="s">
        <v>2</v>
      </c>
      <c r="G50" s="38" t="s">
        <v>2</v>
      </c>
      <c r="H50" s="38" t="s">
        <v>2</v>
      </c>
    </row>
    <row r="51" spans="1:11" x14ac:dyDescent="0.25">
      <c r="A51" s="4">
        <v>47</v>
      </c>
      <c r="B51" s="38"/>
      <c r="C51" s="38"/>
      <c r="D51" s="38" t="s">
        <v>2</v>
      </c>
      <c r="E51" s="38" t="s">
        <v>2</v>
      </c>
      <c r="F51" s="38" t="s">
        <v>7</v>
      </c>
      <c r="G51" s="38" t="s">
        <v>7</v>
      </c>
      <c r="H51" s="38" t="s">
        <v>2</v>
      </c>
    </row>
    <row r="52" spans="1:11" x14ac:dyDescent="0.25">
      <c r="A52" s="4">
        <v>48</v>
      </c>
      <c r="B52" s="38"/>
      <c r="C52" s="38"/>
      <c r="D52" s="38"/>
      <c r="E52" s="38"/>
      <c r="F52" s="38" t="s">
        <v>2</v>
      </c>
      <c r="G52" s="38"/>
      <c r="H52" s="38"/>
    </row>
    <row r="53" spans="1:11" x14ac:dyDescent="0.25">
      <c r="A53" s="4">
        <v>49</v>
      </c>
      <c r="B53" s="38"/>
      <c r="C53" s="38"/>
      <c r="D53" s="38" t="s">
        <v>2</v>
      </c>
      <c r="E53" s="38" t="s">
        <v>2</v>
      </c>
      <c r="F53" s="38" t="s">
        <v>2</v>
      </c>
      <c r="G53" s="38" t="s">
        <v>2</v>
      </c>
      <c r="H53" s="38" t="s">
        <v>2</v>
      </c>
      <c r="K53" t="s">
        <v>68</v>
      </c>
    </row>
    <row r="54" spans="1:11" x14ac:dyDescent="0.25">
      <c r="A54" s="4">
        <v>50</v>
      </c>
      <c r="B54" s="38"/>
      <c r="C54" s="38" t="s">
        <v>2</v>
      </c>
      <c r="D54" s="38"/>
      <c r="E54" s="38" t="s">
        <v>2</v>
      </c>
      <c r="F54" s="38"/>
      <c r="G54" s="38" t="s">
        <v>2</v>
      </c>
      <c r="H54" s="38"/>
    </row>
    <row r="55" spans="1:11" x14ac:dyDescent="0.25">
      <c r="A55" s="4">
        <v>51</v>
      </c>
      <c r="B55" s="38"/>
      <c r="C55" s="38"/>
      <c r="D55" s="38" t="s">
        <v>2</v>
      </c>
      <c r="E55" s="38"/>
      <c r="F55" s="38" t="s">
        <v>2</v>
      </c>
      <c r="G55" s="38"/>
      <c r="H55" s="38" t="s">
        <v>2</v>
      </c>
    </row>
    <row r="56" spans="1:11" x14ac:dyDescent="0.25">
      <c r="A56" s="4">
        <v>52</v>
      </c>
      <c r="B56" s="38"/>
      <c r="C56" s="38" t="s">
        <v>7</v>
      </c>
      <c r="D56" s="38" t="s">
        <v>2</v>
      </c>
      <c r="E56" s="38" t="s">
        <v>2</v>
      </c>
      <c r="F56" s="38" t="s">
        <v>2</v>
      </c>
      <c r="G56" s="38" t="s">
        <v>2</v>
      </c>
      <c r="H56" s="38" t="s">
        <v>2</v>
      </c>
    </row>
    <row r="57" spans="1:11" x14ac:dyDescent="0.25">
      <c r="A57" s="4">
        <v>53</v>
      </c>
      <c r="B57" s="38" t="s">
        <v>2</v>
      </c>
      <c r="C57" s="38" t="s">
        <v>2</v>
      </c>
      <c r="D57" s="38" t="s">
        <v>7</v>
      </c>
      <c r="E57" s="38" t="s">
        <v>2</v>
      </c>
      <c r="F57" s="38" t="s">
        <v>2</v>
      </c>
      <c r="G57" s="38"/>
      <c r="H57" s="38" t="s">
        <v>2</v>
      </c>
    </row>
    <row r="58" spans="1:11" x14ac:dyDescent="0.25">
      <c r="A58" s="4">
        <v>54</v>
      </c>
      <c r="B58" s="38"/>
      <c r="C58" s="38" t="s">
        <v>2</v>
      </c>
      <c r="D58" s="38"/>
      <c r="E58" s="38" t="s">
        <v>2</v>
      </c>
      <c r="F58" s="38"/>
      <c r="G58" s="38" t="s">
        <v>2</v>
      </c>
      <c r="H58" s="38"/>
    </row>
    <row r="59" spans="1:11" x14ac:dyDescent="0.25">
      <c r="A59" s="4">
        <v>55</v>
      </c>
      <c r="B59" s="38" t="s">
        <v>7</v>
      </c>
      <c r="C59" s="38" t="s">
        <v>2</v>
      </c>
      <c r="D59" s="38" t="s">
        <v>2</v>
      </c>
      <c r="E59" s="38" t="s">
        <v>2</v>
      </c>
      <c r="F59" s="38" t="s">
        <v>7</v>
      </c>
      <c r="G59" s="38" t="s">
        <v>2</v>
      </c>
      <c r="H59" s="38" t="s">
        <v>2</v>
      </c>
    </row>
    <row r="60" spans="1:11" x14ac:dyDescent="0.25">
      <c r="A60" s="4">
        <v>56</v>
      </c>
      <c r="B60" s="38" t="s">
        <v>2</v>
      </c>
      <c r="C60" s="38"/>
      <c r="D60" s="38" t="s">
        <v>7</v>
      </c>
      <c r="E60" s="38"/>
      <c r="F60" s="38" t="s">
        <v>2</v>
      </c>
      <c r="G60" s="38" t="s">
        <v>2</v>
      </c>
      <c r="H60" s="38" t="s">
        <v>2</v>
      </c>
    </row>
    <row r="61" spans="1:11" x14ac:dyDescent="0.25">
      <c r="A61" s="4">
        <v>73</v>
      </c>
      <c r="B61" s="38"/>
      <c r="C61" s="38"/>
      <c r="D61" s="38"/>
      <c r="E61" s="38"/>
      <c r="F61" s="38"/>
      <c r="G61" s="38"/>
      <c r="H61" s="38"/>
    </row>
    <row r="62" spans="1:11" x14ac:dyDescent="0.25">
      <c r="A62" s="4">
        <v>74</v>
      </c>
      <c r="B62" s="38"/>
      <c r="C62" s="38"/>
      <c r="D62" s="38"/>
      <c r="E62" s="38"/>
      <c r="F62" s="38"/>
      <c r="G62" s="38"/>
      <c r="H62" s="38"/>
    </row>
    <row r="63" spans="1:11" x14ac:dyDescent="0.25">
      <c r="A63" s="4">
        <v>101</v>
      </c>
      <c r="B63" s="39" t="s">
        <v>2</v>
      </c>
      <c r="C63" s="39" t="s">
        <v>2</v>
      </c>
      <c r="D63" s="38" t="s">
        <v>2</v>
      </c>
      <c r="E63" s="39" t="s">
        <v>2</v>
      </c>
      <c r="F63" s="39" t="s">
        <v>2</v>
      </c>
      <c r="G63" s="38" t="s">
        <v>2</v>
      </c>
      <c r="H63" s="38" t="s">
        <v>2</v>
      </c>
    </row>
    <row r="64" spans="1:11" x14ac:dyDescent="0.25">
      <c r="A64" s="4">
        <v>102</v>
      </c>
      <c r="B64" s="38"/>
      <c r="C64" s="38" t="s">
        <v>2</v>
      </c>
      <c r="D64" s="38" t="s">
        <v>2</v>
      </c>
      <c r="E64" s="38" t="s">
        <v>2</v>
      </c>
      <c r="F64" s="38"/>
      <c r="G64" s="38"/>
      <c r="H64" s="38"/>
    </row>
    <row r="65" spans="1:8" x14ac:dyDescent="0.25">
      <c r="A65" s="4">
        <v>103</v>
      </c>
      <c r="B65" s="39" t="s">
        <v>2</v>
      </c>
      <c r="C65" s="39" t="s">
        <v>2</v>
      </c>
      <c r="D65" s="39" t="s">
        <v>2</v>
      </c>
      <c r="E65" s="38" t="s">
        <v>2</v>
      </c>
      <c r="F65" s="39" t="s">
        <v>2</v>
      </c>
      <c r="G65" s="38" t="s">
        <v>2</v>
      </c>
      <c r="H65" s="38" t="s">
        <v>2</v>
      </c>
    </row>
    <row r="66" spans="1:8" x14ac:dyDescent="0.25">
      <c r="A66" s="4">
        <v>104</v>
      </c>
      <c r="B66" s="39" t="s">
        <v>2</v>
      </c>
      <c r="C66" s="38" t="s">
        <v>2</v>
      </c>
      <c r="D66" s="39" t="s">
        <v>2</v>
      </c>
      <c r="E66" s="38" t="s">
        <v>2</v>
      </c>
      <c r="F66" s="39" t="s">
        <v>2</v>
      </c>
      <c r="G66" s="38" t="s">
        <v>2</v>
      </c>
      <c r="H66" s="38" t="s">
        <v>2</v>
      </c>
    </row>
    <row r="67" spans="1:8" x14ac:dyDescent="0.25">
      <c r="A67" s="4">
        <v>105</v>
      </c>
      <c r="B67" s="38"/>
      <c r="C67" s="38"/>
      <c r="D67" s="38"/>
      <c r="E67" s="38"/>
      <c r="F67" s="38"/>
      <c r="G67" s="38"/>
      <c r="H67" s="38"/>
    </row>
    <row r="68" spans="1:8" x14ac:dyDescent="0.25">
      <c r="A68" s="4">
        <v>106</v>
      </c>
      <c r="B68" s="38"/>
      <c r="C68" s="38"/>
      <c r="D68" s="38"/>
      <c r="E68" s="38"/>
      <c r="F68" s="38"/>
      <c r="G68" s="38"/>
      <c r="H68" s="38"/>
    </row>
    <row r="69" spans="1:8" x14ac:dyDescent="0.25">
      <c r="A69" s="4">
        <v>107</v>
      </c>
      <c r="B69" s="38"/>
      <c r="C69" s="38"/>
      <c r="D69" s="38"/>
      <c r="E69" s="38"/>
      <c r="F69" s="38"/>
      <c r="G69" s="38"/>
      <c r="H69" s="38"/>
    </row>
    <row r="70" spans="1:8" x14ac:dyDescent="0.25">
      <c r="A70" s="4">
        <v>108</v>
      </c>
      <c r="B70" s="38"/>
      <c r="C70" s="38"/>
      <c r="D70" s="38" t="s">
        <v>2</v>
      </c>
      <c r="E70" s="38"/>
      <c r="F70" s="38"/>
      <c r="G70" s="38" t="s">
        <v>2</v>
      </c>
      <c r="H70" s="38" t="s">
        <v>2</v>
      </c>
    </row>
    <row r="71" spans="1:8" x14ac:dyDescent="0.25">
      <c r="A71" s="4">
        <v>109</v>
      </c>
      <c r="B71" s="38"/>
      <c r="C71" s="38"/>
      <c r="D71" s="38"/>
      <c r="E71" s="38"/>
      <c r="F71" s="38"/>
      <c r="G71" s="38"/>
      <c r="H71" s="38"/>
    </row>
    <row r="72" spans="1:8" x14ac:dyDescent="0.25">
      <c r="A72" s="4">
        <v>110</v>
      </c>
      <c r="B72" s="38"/>
      <c r="C72" s="38"/>
      <c r="D72" s="38"/>
      <c r="E72" s="38"/>
      <c r="F72" s="38"/>
      <c r="G72" s="38"/>
      <c r="H72" s="38"/>
    </row>
    <row r="73" spans="1:8" x14ac:dyDescent="0.25">
      <c r="A73" s="4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4">
        <v>112</v>
      </c>
      <c r="B74" s="38" t="s">
        <v>2</v>
      </c>
      <c r="C74" s="38"/>
      <c r="D74" s="38" t="s">
        <v>2</v>
      </c>
      <c r="E74" s="38" t="s">
        <v>2</v>
      </c>
      <c r="F74" s="38" t="s">
        <v>7</v>
      </c>
      <c r="G74" s="38" t="s">
        <v>2</v>
      </c>
      <c r="H74" s="38" t="s">
        <v>2</v>
      </c>
    </row>
    <row r="75" spans="1:8" x14ac:dyDescent="0.25">
      <c r="A75" s="4">
        <v>113</v>
      </c>
      <c r="B75" s="38"/>
      <c r="C75" s="38"/>
      <c r="D75" s="38"/>
      <c r="E75" s="38"/>
      <c r="F75" s="38"/>
      <c r="G75" s="38"/>
      <c r="H75" s="38"/>
    </row>
    <row r="76" spans="1:8" x14ac:dyDescent="0.25">
      <c r="A76" s="4">
        <v>114</v>
      </c>
      <c r="B76" s="38" t="s">
        <v>2</v>
      </c>
      <c r="C76" s="38" t="s">
        <v>7</v>
      </c>
      <c r="D76" s="38" t="s">
        <v>2</v>
      </c>
      <c r="E76" s="39" t="s">
        <v>2</v>
      </c>
      <c r="F76" s="38" t="s">
        <v>7</v>
      </c>
      <c r="G76" s="38" t="s">
        <v>2</v>
      </c>
      <c r="H76" s="38" t="s">
        <v>2</v>
      </c>
    </row>
    <row r="77" spans="1:8" x14ac:dyDescent="0.25">
      <c r="A77" s="4">
        <v>115</v>
      </c>
      <c r="B77" s="38"/>
      <c r="C77" s="38"/>
      <c r="D77" s="38"/>
      <c r="E77" s="38"/>
      <c r="F77" s="38"/>
      <c r="G77" s="38"/>
      <c r="H77" s="38"/>
    </row>
    <row r="78" spans="1:8" x14ac:dyDescent="0.25">
      <c r="A78" s="4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4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4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4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4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4">
        <v>121</v>
      </c>
      <c r="B83" s="38"/>
      <c r="C83" s="38" t="s">
        <v>2</v>
      </c>
      <c r="D83" s="38"/>
      <c r="E83" s="38" t="s">
        <v>2</v>
      </c>
      <c r="F83" s="38"/>
      <c r="G83" s="38" t="s">
        <v>2</v>
      </c>
      <c r="H83" s="38" t="s">
        <v>2</v>
      </c>
    </row>
    <row r="84" spans="1:8" x14ac:dyDescent="0.25">
      <c r="A84" s="4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4">
        <v>123</v>
      </c>
      <c r="B85" s="38"/>
      <c r="C85" s="38" t="s">
        <v>2</v>
      </c>
      <c r="D85" s="38"/>
      <c r="E85" s="38"/>
      <c r="F85" s="38" t="s">
        <v>2</v>
      </c>
      <c r="G85" s="38" t="s">
        <v>2</v>
      </c>
      <c r="H85" s="38" t="s">
        <v>2</v>
      </c>
    </row>
    <row r="86" spans="1:8" x14ac:dyDescent="0.25">
      <c r="A86" s="4">
        <v>124</v>
      </c>
      <c r="B86" s="38" t="s">
        <v>2</v>
      </c>
      <c r="C86" s="38"/>
      <c r="D86" s="38" t="s">
        <v>2</v>
      </c>
      <c r="E86" s="38"/>
      <c r="F86" s="38" t="s">
        <v>2</v>
      </c>
      <c r="G86" s="38" t="s">
        <v>2</v>
      </c>
      <c r="H86" s="38" t="s">
        <v>2</v>
      </c>
    </row>
    <row r="87" spans="1:8" x14ac:dyDescent="0.25">
      <c r="A87" s="4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4">
        <v>126</v>
      </c>
      <c r="B88" s="38"/>
      <c r="C88" s="38"/>
      <c r="D88" s="38"/>
      <c r="E88" s="38"/>
      <c r="F88" s="38" t="s">
        <v>2</v>
      </c>
      <c r="G88" s="38" t="s">
        <v>2</v>
      </c>
      <c r="H88" s="38" t="s">
        <v>2</v>
      </c>
    </row>
    <row r="89" spans="1:8" x14ac:dyDescent="0.25">
      <c r="A89" s="4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4">
        <v>128</v>
      </c>
      <c r="B90" s="38"/>
      <c r="C90" s="38"/>
      <c r="D90" s="38"/>
      <c r="E90" s="38"/>
      <c r="F90" s="38"/>
      <c r="G90" s="38"/>
      <c r="H90" s="38"/>
    </row>
    <row r="91" spans="1:8" x14ac:dyDescent="0.25">
      <c r="A91" s="4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4">
        <v>130</v>
      </c>
      <c r="B92" s="38"/>
      <c r="C92" s="38"/>
      <c r="D92" s="38"/>
      <c r="E92" s="38"/>
      <c r="F92" s="38"/>
      <c r="G92" s="38"/>
      <c r="H92" s="38"/>
    </row>
    <row r="93" spans="1:8" x14ac:dyDescent="0.25">
      <c r="A93" s="4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4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4">
        <v>133</v>
      </c>
      <c r="B95" s="38" t="s">
        <v>2</v>
      </c>
      <c r="C95" s="38" t="s">
        <v>2</v>
      </c>
      <c r="D95" s="38"/>
      <c r="E95" s="38" t="s">
        <v>2</v>
      </c>
      <c r="F95" s="38" t="s">
        <v>2</v>
      </c>
      <c r="G95" s="38"/>
      <c r="H95" s="38"/>
    </row>
  </sheetData>
  <mergeCells count="5">
    <mergeCell ref="A1:H2"/>
    <mergeCell ref="I17:K17"/>
    <mergeCell ref="I18:J18"/>
    <mergeCell ref="I27:K27"/>
    <mergeCell ref="I28:J28"/>
  </mergeCells>
  <conditionalFormatting sqref="I5:I16 I19:I26 F15:F18 F91:F94 D62 F62:G62 C61:G61 B81:E95 I29:I62 B5:F5 B6:E60 F28:G28 B63:G80">
    <cfRule type="cellIs" dxfId="357" priority="73" operator="equal">
      <formula>"Energia"</formula>
    </cfRule>
    <cfRule type="cellIs" dxfId="356" priority="75" operator="equal">
      <formula>"Operação"</formula>
    </cfRule>
    <cfRule type="cellIs" dxfId="355" priority="76" operator="equal">
      <formula>"Chuva"</formula>
    </cfRule>
    <cfRule type="cellIs" dxfId="354" priority="77" operator="equal">
      <formula>"Elétrico"</formula>
    </cfRule>
    <cfRule type="cellIs" dxfId="353" priority="78" operator="equal">
      <formula>"Mecânico"</formula>
    </cfRule>
    <cfRule type="cellIs" dxfId="352" priority="79" operator="equal">
      <formula>"Ok"</formula>
    </cfRule>
  </conditionalFormatting>
  <conditionalFormatting sqref="I5:I16 I19:I26 F15:F18 F91:F94 D62 F62:G62 C61:G61 B81:E95 I29:I62 B5:F5 B6:E60 F28:G28 B63:G80">
    <cfRule type="cellIs" dxfId="351" priority="74" operator="equal">
      <formula>"Feito"</formula>
    </cfRule>
  </conditionalFormatting>
  <conditionalFormatting sqref="J7">
    <cfRule type="iconSet" priority="72">
      <iconSet iconSet="3Arrows">
        <cfvo type="percent" val="0"/>
        <cfvo type="percent" val="33"/>
        <cfvo type="percent" val="67"/>
      </iconSet>
    </cfRule>
  </conditionalFormatting>
  <conditionalFormatting sqref="C13 H9:H10 G81:G95 C89 G5:G27 B81:E87 B6:E11 B5:F5 G29 G31:G50 G52:G56">
    <cfRule type="cellIs" dxfId="350" priority="71" operator="equal">
      <formula>"Energia"</formula>
    </cfRule>
  </conditionalFormatting>
  <conditionalFormatting sqref="G81:G95 G5:H15 G16:G27 H16:H33 G29 G31:G50 G52:G60 H35:H95">
    <cfRule type="cellIs" dxfId="349" priority="64" operator="equal">
      <formula>"Energia"</formula>
    </cfRule>
    <cfRule type="cellIs" dxfId="348" priority="66" operator="equal">
      <formula>"Operação"</formula>
    </cfRule>
    <cfRule type="cellIs" dxfId="347" priority="67" operator="equal">
      <formula>"Chuva"</formula>
    </cfRule>
    <cfRule type="cellIs" dxfId="346" priority="68" operator="equal">
      <formula>"Elétrico"</formula>
    </cfRule>
    <cfRule type="cellIs" dxfId="345" priority="69" operator="equal">
      <formula>"Mecânico"</formula>
    </cfRule>
    <cfRule type="cellIs" dxfId="344" priority="70" operator="equal">
      <formula>"Ok"</formula>
    </cfRule>
  </conditionalFormatting>
  <conditionalFormatting sqref="G81:G95 G5:H15 G16:G27 H16:H33 G29 G31:G50 G52:G60 H35:H95">
    <cfRule type="cellIs" dxfId="343" priority="65" operator="equal">
      <formula>"Feito"</formula>
    </cfRule>
  </conditionalFormatting>
  <conditionalFormatting sqref="F6:F11 F82:F87">
    <cfRule type="cellIs" dxfId="342" priority="63" operator="equal">
      <formula>"Energia"</formula>
    </cfRule>
  </conditionalFormatting>
  <conditionalFormatting sqref="F6:F14 F82:F90 F95 F19:F27 F29:F60 G30 G51">
    <cfRule type="cellIs" dxfId="341" priority="56" operator="equal">
      <formula>"Energia"</formula>
    </cfRule>
    <cfRule type="cellIs" dxfId="340" priority="58" operator="equal">
      <formula>"Operação"</formula>
    </cfRule>
    <cfRule type="cellIs" dxfId="339" priority="59" operator="equal">
      <formula>"Chuva"</formula>
    </cfRule>
    <cfRule type="cellIs" dxfId="338" priority="60" operator="equal">
      <formula>"Elétrico"</formula>
    </cfRule>
    <cfRule type="cellIs" dxfId="337" priority="61" operator="equal">
      <formula>"Mecânico"</formula>
    </cfRule>
    <cfRule type="cellIs" dxfId="336" priority="62" operator="equal">
      <formula>"Ok"</formula>
    </cfRule>
  </conditionalFormatting>
  <conditionalFormatting sqref="F6:F14 F82:F90 F95 F19:F27 F29:F60 G30 G51">
    <cfRule type="cellIs" dxfId="335" priority="57" operator="equal">
      <formula>"Feito"</formula>
    </cfRule>
  </conditionalFormatting>
  <conditionalFormatting sqref="F81">
    <cfRule type="cellIs" dxfId="334" priority="49" operator="equal">
      <formula>"Energia"</formula>
    </cfRule>
    <cfRule type="cellIs" dxfId="333" priority="51" operator="equal">
      <formula>"Operação"</formula>
    </cfRule>
    <cfRule type="cellIs" dxfId="332" priority="52" operator="equal">
      <formula>"Chuva"</formula>
    </cfRule>
    <cfRule type="cellIs" dxfId="331" priority="53" operator="equal">
      <formula>"Elétrico"</formula>
    </cfRule>
    <cfRule type="cellIs" dxfId="330" priority="54" operator="equal">
      <formula>"Mecânico"</formula>
    </cfRule>
    <cfRule type="cellIs" dxfId="329" priority="55" operator="equal">
      <formula>"Ok"</formula>
    </cfRule>
  </conditionalFormatting>
  <conditionalFormatting sqref="F81">
    <cfRule type="cellIs" dxfId="328" priority="50" operator="equal">
      <formula>"Feito"</formula>
    </cfRule>
  </conditionalFormatting>
  <conditionalFormatting sqref="F81">
    <cfRule type="cellIs" dxfId="327" priority="48" operator="equal">
      <formula>"Energia"</formula>
    </cfRule>
  </conditionalFormatting>
  <conditionalFormatting sqref="B61">
    <cfRule type="cellIs" dxfId="326" priority="34" operator="equal">
      <formula>"Energia"</formula>
    </cfRule>
    <cfRule type="cellIs" dxfId="325" priority="36" operator="equal">
      <formula>"Operação"</formula>
    </cfRule>
    <cfRule type="cellIs" dxfId="324" priority="37" operator="equal">
      <formula>"Chuva"</formula>
    </cfRule>
    <cfRule type="cellIs" dxfId="323" priority="38" operator="equal">
      <formula>"Elétrico"</formula>
    </cfRule>
    <cfRule type="cellIs" dxfId="322" priority="39" operator="equal">
      <formula>"Mecânico"</formula>
    </cfRule>
    <cfRule type="cellIs" dxfId="321" priority="40" operator="equal">
      <formula>"Ok"</formula>
    </cfRule>
  </conditionalFormatting>
  <conditionalFormatting sqref="B61">
    <cfRule type="cellIs" dxfId="320" priority="35" operator="equal">
      <formula>"Feito"</formula>
    </cfRule>
  </conditionalFormatting>
  <conditionalFormatting sqref="B62:C62">
    <cfRule type="cellIs" dxfId="319" priority="27" operator="equal">
      <formula>"Energia"</formula>
    </cfRule>
    <cfRule type="cellIs" dxfId="318" priority="29" operator="equal">
      <formula>"Operação"</formula>
    </cfRule>
    <cfRule type="cellIs" dxfId="317" priority="30" operator="equal">
      <formula>"Chuva"</formula>
    </cfRule>
    <cfRule type="cellIs" dxfId="316" priority="31" operator="equal">
      <formula>"Elétrico"</formula>
    </cfRule>
    <cfRule type="cellIs" dxfId="315" priority="32" operator="equal">
      <formula>"Mecânico"</formula>
    </cfRule>
    <cfRule type="cellIs" dxfId="314" priority="33" operator="equal">
      <formula>"Ok"</formula>
    </cfRule>
  </conditionalFormatting>
  <conditionalFormatting sqref="B62:C62">
    <cfRule type="cellIs" dxfId="313" priority="28" operator="equal">
      <formula>"Feito"</formula>
    </cfRule>
  </conditionalFormatting>
  <conditionalFormatting sqref="C56">
    <cfRule type="cellIs" dxfId="312" priority="20" operator="equal">
      <formula>"Energia"</formula>
    </cfRule>
    <cfRule type="cellIs" dxfId="311" priority="22" operator="equal">
      <formula>"Operação"</formula>
    </cfRule>
    <cfRule type="cellIs" dxfId="310" priority="23" operator="equal">
      <formula>"Chuva"</formula>
    </cfRule>
    <cfRule type="cellIs" dxfId="309" priority="24" operator="equal">
      <formula>"Elétrico"</formula>
    </cfRule>
    <cfRule type="cellIs" dxfId="308" priority="25" operator="equal">
      <formula>"Mecânico"</formula>
    </cfRule>
    <cfRule type="cellIs" dxfId="307" priority="26" operator="equal">
      <formula>"Ok"</formula>
    </cfRule>
  </conditionalFormatting>
  <conditionalFormatting sqref="C56">
    <cfRule type="cellIs" dxfId="306" priority="21" operator="equal">
      <formula>"Feito"</formula>
    </cfRule>
  </conditionalFormatting>
  <conditionalFormatting sqref="E62">
    <cfRule type="cellIs" dxfId="305" priority="13" operator="equal">
      <formula>"Energia"</formula>
    </cfRule>
    <cfRule type="cellIs" dxfId="304" priority="15" operator="equal">
      <formula>"Operação"</formula>
    </cfRule>
    <cfRule type="cellIs" dxfId="303" priority="16" operator="equal">
      <formula>"Chuva"</formula>
    </cfRule>
    <cfRule type="cellIs" dxfId="302" priority="17" operator="equal">
      <formula>"Elétrico"</formula>
    </cfRule>
    <cfRule type="cellIs" dxfId="301" priority="18" operator="equal">
      <formula>"Mecânico"</formula>
    </cfRule>
    <cfRule type="cellIs" dxfId="300" priority="19" operator="equal">
      <formula>"Ok"</formula>
    </cfRule>
  </conditionalFormatting>
  <conditionalFormatting sqref="E62">
    <cfRule type="cellIs" dxfId="299" priority="14" operator="equal">
      <formula>"Feito"</formula>
    </cfRule>
  </conditionalFormatting>
  <conditionalFormatting sqref="B95">
    <cfRule type="cellIs" dxfId="298" priority="12" operator="equal">
      <formula>"Energia"</formula>
    </cfRule>
  </conditionalFormatting>
  <conditionalFormatting sqref="B74">
    <cfRule type="cellIs" dxfId="297" priority="11" operator="equal">
      <formula>"Energia"</formula>
    </cfRule>
  </conditionalFormatting>
  <conditionalFormatting sqref="B76">
    <cfRule type="cellIs" dxfId="296" priority="10" operator="equal">
      <formula>"Energia"</formula>
    </cfRule>
  </conditionalFormatting>
  <conditionalFormatting sqref="C27">
    <cfRule type="cellIs" dxfId="295" priority="9" operator="equal">
      <formula>"Energia"</formula>
    </cfRule>
  </conditionalFormatting>
  <conditionalFormatting sqref="D60">
    <cfRule type="cellIs" dxfId="294" priority="8" operator="equal">
      <formula>"Energia"</formula>
    </cfRule>
  </conditionalFormatting>
  <conditionalFormatting sqref="H34">
    <cfRule type="cellIs" dxfId="293" priority="1" operator="equal">
      <formula>"Energia"</formula>
    </cfRule>
    <cfRule type="cellIs" dxfId="292" priority="3" operator="equal">
      <formula>"Operação"</formula>
    </cfRule>
    <cfRule type="cellIs" dxfId="291" priority="4" operator="equal">
      <formula>"Chuva"</formula>
    </cfRule>
    <cfRule type="cellIs" dxfId="290" priority="5" operator="equal">
      <formula>"Elétrico"</formula>
    </cfRule>
    <cfRule type="cellIs" dxfId="289" priority="6" operator="equal">
      <formula>"Mecânico"</formula>
    </cfRule>
    <cfRule type="cellIs" dxfId="288" priority="7" operator="equal">
      <formula>"Ok"</formula>
    </cfRule>
  </conditionalFormatting>
  <conditionalFormatting sqref="H34">
    <cfRule type="cellIs" dxfId="287" priority="2" operator="equal">
      <formula>"Feito"</formula>
    </cfRule>
  </conditionalFormatting>
  <dataValidations count="1">
    <dataValidation type="list" allowBlank="1" showInputMessage="1" showErrorMessage="1" sqref="I5:I16 J36:J60 I29:I62 I19:I26 B5:H95" xr:uid="{856CE72B-C873-4891-A2EA-1137E857F9AB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04758-C0BC-4169-9EE5-F0BD421DFF50}">
  <sheetPr>
    <tabColor theme="8"/>
  </sheetPr>
  <dimension ref="A1:Q95"/>
  <sheetViews>
    <sheetView showGridLines="0" zoomScaleNormal="100" workbookViewId="0">
      <pane ySplit="4" topLeftCell="A5" activePane="bottomLeft" state="frozen"/>
      <selection pane="bottomLeft" activeCell="M19" sqref="M19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80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4" t="s">
        <v>16</v>
      </c>
      <c r="B3" s="23">
        <v>44837</v>
      </c>
      <c r="C3" s="23">
        <f>B3+1</f>
        <v>44838</v>
      </c>
      <c r="D3" s="23">
        <f t="shared" ref="D3:H3" si="0">C3+1</f>
        <v>44839</v>
      </c>
      <c r="E3" s="23">
        <f t="shared" si="0"/>
        <v>44840</v>
      </c>
      <c r="F3" s="23">
        <f t="shared" si="0"/>
        <v>44841</v>
      </c>
      <c r="G3" s="23">
        <f t="shared" si="0"/>
        <v>44842</v>
      </c>
      <c r="H3" s="25">
        <f t="shared" si="0"/>
        <v>44843</v>
      </c>
      <c r="I3" s="3"/>
    </row>
    <row r="4" spans="1:17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  <c r="Q4" t="s">
        <v>34</v>
      </c>
    </row>
    <row r="5" spans="1:17" x14ac:dyDescent="0.25">
      <c r="A5" s="4">
        <v>1</v>
      </c>
      <c r="B5" s="38" t="s">
        <v>2</v>
      </c>
      <c r="C5" s="38" t="s">
        <v>2</v>
      </c>
      <c r="D5" s="38" t="s">
        <v>2</v>
      </c>
      <c r="E5" s="38" t="s">
        <v>7</v>
      </c>
      <c r="F5" s="38" t="s">
        <v>2</v>
      </c>
      <c r="G5" s="38" t="s">
        <v>2</v>
      </c>
      <c r="H5" s="38" t="s">
        <v>2</v>
      </c>
      <c r="J5" s="48" t="s">
        <v>2</v>
      </c>
      <c r="K5">
        <f>COUNTIF($B$5:$H$95,J5)</f>
        <v>185</v>
      </c>
      <c r="L5" s="34">
        <f t="shared" ref="L5:L10" si="2">K5/$K$11</f>
        <v>0.8258928571428571</v>
      </c>
      <c r="M5" s="52">
        <f>B3</f>
        <v>44837</v>
      </c>
      <c r="O5" t="s">
        <v>44</v>
      </c>
      <c r="P5">
        <v>243</v>
      </c>
      <c r="Q5" s="52">
        <f>M5</f>
        <v>44837</v>
      </c>
    </row>
    <row r="6" spans="1:17" x14ac:dyDescent="0.25">
      <c r="A6" s="4">
        <v>2</v>
      </c>
      <c r="B6" s="38"/>
      <c r="C6" s="38"/>
      <c r="D6" s="38"/>
      <c r="E6" s="38"/>
      <c r="F6" s="38" t="s">
        <v>2</v>
      </c>
      <c r="G6" s="38" t="s">
        <v>2</v>
      </c>
      <c r="H6" s="38" t="s">
        <v>2</v>
      </c>
      <c r="J6" s="42" t="s">
        <v>5</v>
      </c>
      <c r="K6">
        <f>COUNTIF($B$5:$H$95,J6)</f>
        <v>12</v>
      </c>
      <c r="L6" s="35">
        <f t="shared" si="2"/>
        <v>5.3571428571428568E-2</v>
      </c>
      <c r="O6" t="s">
        <v>46</v>
      </c>
      <c r="P6">
        <f>SUM(K19:K25)</f>
        <v>1</v>
      </c>
    </row>
    <row r="7" spans="1:17" x14ac:dyDescent="0.25">
      <c r="A7" s="4">
        <v>3</v>
      </c>
      <c r="B7" s="38"/>
      <c r="C7" s="38"/>
      <c r="D7" s="38"/>
      <c r="E7" s="38"/>
      <c r="F7" s="38"/>
      <c r="G7" s="38" t="s">
        <v>2</v>
      </c>
      <c r="H7" s="38"/>
      <c r="J7" s="46" t="s">
        <v>6</v>
      </c>
      <c r="K7">
        <f t="shared" ref="K7:K10" si="3">COUNTIF($B$5:$H$95,J7)</f>
        <v>3</v>
      </c>
      <c r="L7" s="35">
        <f t="shared" si="2"/>
        <v>1.3392857142857142E-2</v>
      </c>
      <c r="O7" t="s">
        <v>45</v>
      </c>
      <c r="P7">
        <f>SUM(K29:K35)</f>
        <v>5</v>
      </c>
    </row>
    <row r="8" spans="1:17" x14ac:dyDescent="0.25">
      <c r="A8" s="4">
        <v>4</v>
      </c>
      <c r="B8" s="38"/>
      <c r="C8" s="38"/>
      <c r="D8" s="38"/>
      <c r="E8" s="38"/>
      <c r="F8" s="38"/>
      <c r="G8" s="38" t="s">
        <v>2</v>
      </c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  <c r="O8" s="65" t="s">
        <v>17</v>
      </c>
      <c r="P8" s="65">
        <f>P5+P6-P7</f>
        <v>239</v>
      </c>
    </row>
    <row r="9" spans="1:17" x14ac:dyDescent="0.25">
      <c r="A9" s="4">
        <v>5</v>
      </c>
      <c r="B9" s="38"/>
      <c r="C9" s="38"/>
      <c r="D9" s="38"/>
      <c r="E9" s="38"/>
      <c r="F9" s="38"/>
      <c r="G9" s="38"/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7" x14ac:dyDescent="0.25">
      <c r="A10" s="4">
        <v>6</v>
      </c>
      <c r="B10" s="38"/>
      <c r="C10" s="38"/>
      <c r="D10" s="38"/>
      <c r="E10" s="38"/>
      <c r="F10" s="38"/>
      <c r="G10" s="38"/>
      <c r="H10" s="38"/>
      <c r="J10" s="43" t="s">
        <v>7</v>
      </c>
      <c r="K10">
        <f t="shared" si="3"/>
        <v>24</v>
      </c>
      <c r="L10" s="37">
        <f t="shared" si="2"/>
        <v>0.10714285714285714</v>
      </c>
      <c r="O10" t="s">
        <v>65</v>
      </c>
      <c r="P10">
        <f>P8</f>
        <v>239</v>
      </c>
    </row>
    <row r="11" spans="1:17" x14ac:dyDescent="0.25">
      <c r="A11" s="4">
        <v>7</v>
      </c>
      <c r="B11" s="38"/>
      <c r="C11" s="38"/>
      <c r="D11" s="38"/>
      <c r="E11" s="38"/>
      <c r="F11" s="38"/>
      <c r="G11" s="38"/>
      <c r="H11" s="38"/>
      <c r="J11" s="44" t="s">
        <v>17</v>
      </c>
      <c r="K11">
        <f>SUM(K5:K10)</f>
        <v>224</v>
      </c>
    </row>
    <row r="12" spans="1:17" x14ac:dyDescent="0.25">
      <c r="A12" s="4">
        <v>8</v>
      </c>
      <c r="B12" s="38"/>
      <c r="C12" s="38" t="s">
        <v>2</v>
      </c>
      <c r="D12" s="38"/>
      <c r="E12" s="38"/>
      <c r="F12" s="38"/>
      <c r="G12" s="38"/>
      <c r="H12" s="38" t="s">
        <v>2</v>
      </c>
    </row>
    <row r="13" spans="1:17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7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7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7" x14ac:dyDescent="0.25">
      <c r="A16" s="4">
        <v>12</v>
      </c>
      <c r="B16" s="38"/>
      <c r="C16" s="38"/>
      <c r="D16" s="38"/>
      <c r="E16" s="38"/>
      <c r="F16" s="38"/>
      <c r="G16" s="38"/>
      <c r="H16" s="38"/>
      <c r="O16" s="61"/>
    </row>
    <row r="17" spans="1:13" x14ac:dyDescent="0.25">
      <c r="A17" s="4">
        <v>13</v>
      </c>
      <c r="B17" s="38" t="s">
        <v>2</v>
      </c>
      <c r="C17" s="38"/>
      <c r="D17" s="38"/>
      <c r="E17" s="38" t="s">
        <v>2</v>
      </c>
      <c r="F17" s="38"/>
      <c r="G17" s="38"/>
      <c r="H17" s="38"/>
      <c r="I17" s="71" t="s">
        <v>46</v>
      </c>
      <c r="J17" s="72"/>
      <c r="K17" s="72"/>
      <c r="M17" s="53"/>
    </row>
    <row r="18" spans="1:13" x14ac:dyDescent="0.25">
      <c r="A18" s="4">
        <v>14</v>
      </c>
      <c r="B18" s="38" t="s">
        <v>2</v>
      </c>
      <c r="C18" s="38"/>
      <c r="D18" s="38"/>
      <c r="E18" s="38"/>
      <c r="F18" s="38" t="s">
        <v>2</v>
      </c>
      <c r="G18" s="38"/>
      <c r="H18" s="38" t="s">
        <v>2</v>
      </c>
      <c r="I18" s="71" t="s">
        <v>54</v>
      </c>
      <c r="J18" s="72"/>
      <c r="K18" t="s">
        <v>32</v>
      </c>
    </row>
    <row r="19" spans="1:13" x14ac:dyDescent="0.25">
      <c r="A19" s="4">
        <v>15</v>
      </c>
      <c r="B19" s="38"/>
      <c r="C19" s="38"/>
      <c r="D19" s="38"/>
      <c r="E19" s="38"/>
      <c r="F19" s="38"/>
      <c r="G19" s="38"/>
      <c r="H19" s="38"/>
      <c r="I19" s="40" t="s">
        <v>47</v>
      </c>
      <c r="J19" s="40" t="str">
        <f>TEXT(B3,"ddd")</f>
        <v>seg</v>
      </c>
      <c r="K19" s="60"/>
    </row>
    <row r="20" spans="1:13" x14ac:dyDescent="0.25">
      <c r="A20" s="4">
        <v>16</v>
      </c>
      <c r="B20" s="38"/>
      <c r="C20" s="38"/>
      <c r="D20" s="38"/>
      <c r="E20" s="38"/>
      <c r="F20" s="38"/>
      <c r="G20" s="38"/>
      <c r="H20" s="38"/>
      <c r="I20" s="40" t="s">
        <v>48</v>
      </c>
      <c r="J20" s="40" t="str">
        <f>TEXT(C3,"ddd")</f>
        <v>ter</v>
      </c>
      <c r="K20" s="60"/>
    </row>
    <row r="21" spans="1:13" x14ac:dyDescent="0.25">
      <c r="A21" s="4">
        <v>17</v>
      </c>
      <c r="B21" s="38"/>
      <c r="C21" s="38"/>
      <c r="D21" s="38"/>
      <c r="E21" s="38"/>
      <c r="F21" s="38"/>
      <c r="G21" s="38"/>
      <c r="H21" s="38"/>
      <c r="I21" s="40" t="s">
        <v>49</v>
      </c>
      <c r="J21" s="40" t="str">
        <f>TEXT(D3,"ddd")</f>
        <v>qua</v>
      </c>
      <c r="K21" s="60"/>
    </row>
    <row r="22" spans="1:13" x14ac:dyDescent="0.25">
      <c r="A22" s="4">
        <v>18</v>
      </c>
      <c r="B22" s="38"/>
      <c r="C22" s="38"/>
      <c r="D22" s="38"/>
      <c r="E22" s="38"/>
      <c r="F22" s="38"/>
      <c r="G22" s="38"/>
      <c r="H22" s="38"/>
      <c r="I22" s="40" t="s">
        <v>50</v>
      </c>
      <c r="J22" s="40" t="str">
        <f>TEXT(E3,"ddd")</f>
        <v>qui</v>
      </c>
      <c r="K22" s="60">
        <v>1</v>
      </c>
    </row>
    <row r="23" spans="1:13" x14ac:dyDescent="0.25">
      <c r="A23" s="4">
        <v>19</v>
      </c>
      <c r="B23" s="38" t="s">
        <v>2</v>
      </c>
      <c r="C23" s="38"/>
      <c r="D23" s="38"/>
      <c r="E23" s="38" t="s">
        <v>7</v>
      </c>
      <c r="F23" s="38"/>
      <c r="G23" s="38"/>
      <c r="H23" s="38"/>
      <c r="I23" s="40" t="s">
        <v>51</v>
      </c>
      <c r="J23" s="40" t="str">
        <f>TEXT(F3,"ddd")</f>
        <v>sex</v>
      </c>
      <c r="K23" s="60"/>
    </row>
    <row r="24" spans="1:13" x14ac:dyDescent="0.25">
      <c r="A24" s="4">
        <v>20</v>
      </c>
      <c r="B24" s="38"/>
      <c r="C24" s="38"/>
      <c r="D24" s="38"/>
      <c r="E24" s="38"/>
      <c r="F24" s="38"/>
      <c r="G24" s="38"/>
      <c r="H24" s="38"/>
      <c r="I24" s="40" t="s">
        <v>52</v>
      </c>
      <c r="J24" s="40" t="str">
        <f>TEXT(G3,"ddd")</f>
        <v>sáb</v>
      </c>
      <c r="K24" s="60"/>
    </row>
    <row r="25" spans="1:13" x14ac:dyDescent="0.25">
      <c r="A25" s="4">
        <v>21</v>
      </c>
      <c r="B25" s="38"/>
      <c r="C25" s="38"/>
      <c r="D25" s="38"/>
      <c r="E25" s="38"/>
      <c r="F25" s="38"/>
      <c r="G25" s="38"/>
      <c r="H25" s="38"/>
      <c r="I25" s="40" t="s">
        <v>53</v>
      </c>
      <c r="J25" s="40" t="str">
        <f>TEXT(H3,"ddd")</f>
        <v>dom</v>
      </c>
      <c r="K25" s="60"/>
    </row>
    <row r="26" spans="1:13" x14ac:dyDescent="0.25">
      <c r="A26" s="4">
        <v>22</v>
      </c>
      <c r="B26" s="38"/>
      <c r="C26" s="38"/>
      <c r="D26" s="38"/>
      <c r="E26" s="38"/>
      <c r="F26" s="38"/>
      <c r="G26" s="38" t="s">
        <v>2</v>
      </c>
      <c r="H26" s="38" t="s">
        <v>2</v>
      </c>
    </row>
    <row r="27" spans="1:13" x14ac:dyDescent="0.25">
      <c r="A27" s="4">
        <v>23</v>
      </c>
      <c r="B27" s="38" t="s">
        <v>7</v>
      </c>
      <c r="C27" s="38" t="s">
        <v>7</v>
      </c>
      <c r="D27" s="38" t="s">
        <v>5</v>
      </c>
      <c r="E27" s="38" t="s">
        <v>5</v>
      </c>
      <c r="F27" s="38" t="s">
        <v>2</v>
      </c>
      <c r="G27" s="38" t="s">
        <v>2</v>
      </c>
      <c r="H27" s="38" t="s">
        <v>2</v>
      </c>
      <c r="I27" s="71" t="s">
        <v>45</v>
      </c>
      <c r="J27" s="72"/>
      <c r="K27" s="72"/>
    </row>
    <row r="28" spans="1:13" x14ac:dyDescent="0.25">
      <c r="A28" s="4">
        <v>24</v>
      </c>
      <c r="B28" s="38" t="s">
        <v>2</v>
      </c>
      <c r="C28" s="38"/>
      <c r="D28" s="38" t="s">
        <v>5</v>
      </c>
      <c r="E28" s="38" t="s">
        <v>5</v>
      </c>
      <c r="F28" s="38" t="s">
        <v>2</v>
      </c>
      <c r="G28" s="38" t="s">
        <v>2</v>
      </c>
      <c r="H28" s="38" t="s">
        <v>2</v>
      </c>
      <c r="I28" s="71" t="s">
        <v>54</v>
      </c>
      <c r="J28" s="72"/>
      <c r="K28" t="s">
        <v>32</v>
      </c>
    </row>
    <row r="29" spans="1:13" x14ac:dyDescent="0.25">
      <c r="A29" s="4">
        <v>25</v>
      </c>
      <c r="B29" s="38" t="s">
        <v>2</v>
      </c>
      <c r="C29" s="38" t="s">
        <v>2</v>
      </c>
      <c r="D29" s="38" t="s">
        <v>2</v>
      </c>
      <c r="E29" s="38"/>
      <c r="F29" s="38" t="s">
        <v>2</v>
      </c>
      <c r="G29" s="38" t="s">
        <v>2</v>
      </c>
      <c r="H29" s="38" t="s">
        <v>2</v>
      </c>
      <c r="I29" s="40" t="s">
        <v>47</v>
      </c>
      <c r="J29" s="40" t="str">
        <f t="shared" ref="J29:J35" si="4">J19</f>
        <v>seg</v>
      </c>
      <c r="K29" s="60"/>
    </row>
    <row r="30" spans="1:13" x14ac:dyDescent="0.25">
      <c r="A30" s="4">
        <v>26</v>
      </c>
      <c r="B30" s="38" t="s">
        <v>2</v>
      </c>
      <c r="C30" s="38" t="s">
        <v>2</v>
      </c>
      <c r="D30" s="38" t="s">
        <v>2</v>
      </c>
      <c r="E30" s="38" t="s">
        <v>5</v>
      </c>
      <c r="F30" s="38" t="s">
        <v>7</v>
      </c>
      <c r="G30" s="38" t="s">
        <v>2</v>
      </c>
      <c r="H30" s="38" t="s">
        <v>2</v>
      </c>
      <c r="I30" s="40" t="s">
        <v>48</v>
      </c>
      <c r="J30" s="40" t="str">
        <f t="shared" si="4"/>
        <v>ter</v>
      </c>
      <c r="K30" s="60">
        <v>1</v>
      </c>
    </row>
    <row r="31" spans="1:13" x14ac:dyDescent="0.25">
      <c r="A31" s="4">
        <v>27</v>
      </c>
      <c r="B31" s="38"/>
      <c r="C31" s="38"/>
      <c r="D31" s="38"/>
      <c r="E31" s="38"/>
      <c r="F31" s="38"/>
      <c r="G31" s="38"/>
      <c r="H31" s="38"/>
      <c r="I31" s="40" t="s">
        <v>49</v>
      </c>
      <c r="J31" s="40" t="str">
        <f t="shared" si="4"/>
        <v>qua</v>
      </c>
      <c r="K31" s="60">
        <v>2</v>
      </c>
    </row>
    <row r="32" spans="1:13" x14ac:dyDescent="0.25">
      <c r="A32" s="4">
        <v>28</v>
      </c>
      <c r="B32" s="38"/>
      <c r="C32" s="38"/>
      <c r="D32" s="38"/>
      <c r="E32" s="38"/>
      <c r="F32" s="38" t="s">
        <v>7</v>
      </c>
      <c r="G32" s="38" t="s">
        <v>2</v>
      </c>
      <c r="H32" s="38" t="s">
        <v>2</v>
      </c>
      <c r="I32" s="40" t="s">
        <v>50</v>
      </c>
      <c r="J32" s="40" t="str">
        <f t="shared" si="4"/>
        <v>qui</v>
      </c>
      <c r="K32" s="60">
        <v>2</v>
      </c>
    </row>
    <row r="33" spans="1:11" x14ac:dyDescent="0.25">
      <c r="A33" s="4">
        <v>29</v>
      </c>
      <c r="B33" s="38" t="s">
        <v>2</v>
      </c>
      <c r="C33" s="38"/>
      <c r="D33" s="38" t="s">
        <v>2</v>
      </c>
      <c r="E33" s="38"/>
      <c r="F33" s="38" t="s">
        <v>2</v>
      </c>
      <c r="G33" s="38" t="s">
        <v>2</v>
      </c>
      <c r="H33" s="38" t="s">
        <v>2</v>
      </c>
      <c r="I33" s="40" t="s">
        <v>51</v>
      </c>
      <c r="J33" s="40" t="str">
        <f t="shared" si="4"/>
        <v>sex</v>
      </c>
      <c r="K33" s="60"/>
    </row>
    <row r="34" spans="1:11" x14ac:dyDescent="0.25">
      <c r="A34" s="4">
        <v>30</v>
      </c>
      <c r="B34" s="38" t="s">
        <v>7</v>
      </c>
      <c r="C34" s="38" t="s">
        <v>7</v>
      </c>
      <c r="D34" s="38" t="s">
        <v>5</v>
      </c>
      <c r="E34" s="38" t="s">
        <v>5</v>
      </c>
      <c r="F34" s="38" t="s">
        <v>7</v>
      </c>
      <c r="G34" s="38" t="s">
        <v>2</v>
      </c>
      <c r="H34" s="38" t="s">
        <v>2</v>
      </c>
      <c r="I34" s="40" t="s">
        <v>52</v>
      </c>
      <c r="J34" s="40" t="str">
        <f t="shared" si="4"/>
        <v>sáb</v>
      </c>
      <c r="K34" s="60"/>
    </row>
    <row r="35" spans="1:11" x14ac:dyDescent="0.25">
      <c r="A35" s="4">
        <v>31</v>
      </c>
      <c r="B35" s="38" t="s">
        <v>2</v>
      </c>
      <c r="C35" s="38" t="s">
        <v>5</v>
      </c>
      <c r="D35" s="38" t="s">
        <v>5</v>
      </c>
      <c r="E35" s="38" t="s">
        <v>5</v>
      </c>
      <c r="F35" s="38" t="s">
        <v>7</v>
      </c>
      <c r="G35" s="38" t="s">
        <v>7</v>
      </c>
      <c r="H35" s="38" t="s">
        <v>2</v>
      </c>
      <c r="I35" s="40" t="s">
        <v>53</v>
      </c>
      <c r="J35" s="40" t="str">
        <f t="shared" si="4"/>
        <v>dom</v>
      </c>
      <c r="K35" s="60"/>
    </row>
    <row r="36" spans="1:11" x14ac:dyDescent="0.25">
      <c r="A36" s="4">
        <v>32</v>
      </c>
      <c r="B36" s="38" t="s">
        <v>2</v>
      </c>
      <c r="C36" s="38" t="s">
        <v>2</v>
      </c>
      <c r="D36" s="38" t="s">
        <v>2</v>
      </c>
      <c r="E36" s="38" t="s">
        <v>5</v>
      </c>
      <c r="F36" s="38" t="s">
        <v>7</v>
      </c>
      <c r="G36" s="38" t="s">
        <v>2</v>
      </c>
      <c r="H36" s="38" t="s">
        <v>2</v>
      </c>
    </row>
    <row r="37" spans="1:11" x14ac:dyDescent="0.25">
      <c r="A37" s="4">
        <v>33</v>
      </c>
      <c r="B37" s="38" t="s">
        <v>2</v>
      </c>
      <c r="C37" s="38" t="s">
        <v>2</v>
      </c>
      <c r="D37" s="38" t="s">
        <v>2</v>
      </c>
      <c r="E37" s="38" t="s">
        <v>5</v>
      </c>
      <c r="F37" s="38" t="s">
        <v>7</v>
      </c>
      <c r="G37" s="38" t="s">
        <v>2</v>
      </c>
      <c r="H37" s="38" t="s">
        <v>2</v>
      </c>
    </row>
    <row r="38" spans="1:11" x14ac:dyDescent="0.25">
      <c r="A38" s="4">
        <v>34</v>
      </c>
      <c r="B38" s="38"/>
      <c r="C38" s="38"/>
      <c r="D38" s="38"/>
      <c r="E38" s="38"/>
      <c r="F38" s="38"/>
      <c r="G38" s="38"/>
      <c r="H38" s="38"/>
    </row>
    <row r="39" spans="1:11" x14ac:dyDescent="0.25">
      <c r="A39" s="4">
        <v>35</v>
      </c>
      <c r="B39" s="38"/>
      <c r="C39" s="38"/>
      <c r="D39" s="38"/>
      <c r="E39" s="38"/>
      <c r="F39" s="38"/>
      <c r="G39" s="38"/>
      <c r="H39" s="38"/>
    </row>
    <row r="40" spans="1:11" x14ac:dyDescent="0.25">
      <c r="A40" s="4">
        <v>36</v>
      </c>
      <c r="B40" s="38"/>
      <c r="C40" s="38"/>
      <c r="D40" s="38" t="s">
        <v>6</v>
      </c>
      <c r="E40" s="38"/>
      <c r="F40" s="38"/>
      <c r="G40" s="38" t="s">
        <v>2</v>
      </c>
      <c r="H40" s="38"/>
    </row>
    <row r="41" spans="1:11" x14ac:dyDescent="0.25">
      <c r="A41" s="4">
        <v>37</v>
      </c>
      <c r="B41" s="38"/>
      <c r="C41" s="38"/>
      <c r="D41" s="38"/>
      <c r="E41" s="38"/>
      <c r="F41" s="38"/>
      <c r="G41" s="38"/>
      <c r="H41" s="38"/>
    </row>
    <row r="42" spans="1:11" x14ac:dyDescent="0.25">
      <c r="A42" s="4">
        <v>38</v>
      </c>
      <c r="B42" s="38"/>
      <c r="C42" s="38"/>
      <c r="D42" s="38"/>
      <c r="E42" s="38"/>
      <c r="F42" s="38"/>
      <c r="G42" s="38"/>
      <c r="H42" s="38"/>
    </row>
    <row r="43" spans="1:11" x14ac:dyDescent="0.25">
      <c r="A43" s="4">
        <v>39</v>
      </c>
      <c r="B43" s="38"/>
      <c r="C43" s="38"/>
      <c r="D43" s="38"/>
      <c r="E43" s="38"/>
      <c r="F43" s="38"/>
      <c r="G43" s="38"/>
      <c r="H43" s="38"/>
    </row>
    <row r="44" spans="1:11" x14ac:dyDescent="0.25">
      <c r="A44" s="4">
        <v>40</v>
      </c>
      <c r="B44" s="38"/>
      <c r="C44" s="38"/>
      <c r="D44" s="38"/>
      <c r="E44" s="38"/>
      <c r="F44" s="38"/>
      <c r="G44" s="38"/>
      <c r="H44" s="38"/>
    </row>
    <row r="45" spans="1:11" x14ac:dyDescent="0.25">
      <c r="A45" s="4">
        <v>41</v>
      </c>
      <c r="B45" s="38"/>
      <c r="C45" s="38"/>
      <c r="D45" s="38"/>
      <c r="E45" s="38"/>
      <c r="F45" s="38"/>
      <c r="G45" s="38"/>
      <c r="H45" s="38"/>
    </row>
    <row r="46" spans="1:11" x14ac:dyDescent="0.25">
      <c r="A46" s="4">
        <v>42</v>
      </c>
      <c r="B46" s="38"/>
      <c r="C46" s="38"/>
      <c r="D46" s="38"/>
      <c r="E46" s="38"/>
      <c r="F46" s="38"/>
      <c r="G46" s="38"/>
      <c r="H46" s="38"/>
    </row>
    <row r="47" spans="1:11" x14ac:dyDescent="0.25">
      <c r="A47" s="4">
        <v>43</v>
      </c>
      <c r="B47" s="38" t="s">
        <v>2</v>
      </c>
      <c r="C47" s="38" t="s">
        <v>2</v>
      </c>
      <c r="D47" s="38" t="s">
        <v>2</v>
      </c>
      <c r="E47" s="38" t="s">
        <v>2</v>
      </c>
      <c r="F47" s="38" t="s">
        <v>2</v>
      </c>
      <c r="G47" s="38" t="s">
        <v>2</v>
      </c>
      <c r="H47" s="38" t="s">
        <v>2</v>
      </c>
    </row>
    <row r="48" spans="1:11" x14ac:dyDescent="0.25">
      <c r="A48" s="4">
        <v>44</v>
      </c>
      <c r="B48" s="38"/>
      <c r="C48" s="38"/>
      <c r="D48" s="38"/>
      <c r="E48" s="38"/>
      <c r="F48" s="38"/>
      <c r="G48" s="38"/>
      <c r="H48" s="38"/>
    </row>
    <row r="49" spans="1:11" x14ac:dyDescent="0.25">
      <c r="A49" s="4">
        <v>45</v>
      </c>
      <c r="B49" s="38" t="s">
        <v>2</v>
      </c>
      <c r="C49" s="38" t="s">
        <v>7</v>
      </c>
      <c r="D49" s="38" t="s">
        <v>2</v>
      </c>
      <c r="E49" s="38" t="s">
        <v>2</v>
      </c>
      <c r="F49" s="38" t="s">
        <v>2</v>
      </c>
      <c r="G49" s="38" t="s">
        <v>2</v>
      </c>
      <c r="H49" s="38" t="s">
        <v>2</v>
      </c>
    </row>
    <row r="50" spans="1:11" x14ac:dyDescent="0.25">
      <c r="A50" s="4">
        <v>46</v>
      </c>
      <c r="B50" s="38" t="s">
        <v>2</v>
      </c>
      <c r="C50" s="38" t="s">
        <v>2</v>
      </c>
      <c r="D50" s="38" t="s">
        <v>2</v>
      </c>
      <c r="E50" s="38" t="s">
        <v>2</v>
      </c>
      <c r="F50" s="38" t="s">
        <v>2</v>
      </c>
      <c r="G50" s="38" t="s">
        <v>2</v>
      </c>
      <c r="H50" s="38" t="s">
        <v>2</v>
      </c>
    </row>
    <row r="51" spans="1:11" x14ac:dyDescent="0.25">
      <c r="A51" s="4">
        <v>47</v>
      </c>
      <c r="B51" s="38" t="s">
        <v>2</v>
      </c>
      <c r="C51" s="38" t="s">
        <v>2</v>
      </c>
      <c r="D51" s="38" t="s">
        <v>2</v>
      </c>
      <c r="E51" s="38" t="s">
        <v>7</v>
      </c>
      <c r="F51" s="38" t="s">
        <v>2</v>
      </c>
      <c r="G51" s="38" t="s">
        <v>2</v>
      </c>
      <c r="H51" s="38" t="s">
        <v>2</v>
      </c>
    </row>
    <row r="52" spans="1:11" x14ac:dyDescent="0.25">
      <c r="A52" s="4">
        <v>48</v>
      </c>
      <c r="B52" s="38"/>
      <c r="C52" s="38" t="s">
        <v>2</v>
      </c>
      <c r="D52" s="38" t="s">
        <v>2</v>
      </c>
      <c r="E52" s="38"/>
      <c r="F52" s="38" t="s">
        <v>2</v>
      </c>
      <c r="G52" s="38" t="s">
        <v>2</v>
      </c>
      <c r="H52" s="38"/>
    </row>
    <row r="53" spans="1:11" x14ac:dyDescent="0.25">
      <c r="A53" s="4">
        <v>49</v>
      </c>
      <c r="B53" s="38"/>
      <c r="C53" s="38"/>
      <c r="D53" s="38" t="s">
        <v>7</v>
      </c>
      <c r="E53" s="38"/>
      <c r="F53" s="38"/>
      <c r="G53" s="38"/>
      <c r="H53" s="38" t="s">
        <v>2</v>
      </c>
      <c r="K53" t="s">
        <v>68</v>
      </c>
    </row>
    <row r="54" spans="1:11" x14ac:dyDescent="0.25">
      <c r="A54" s="4">
        <v>50</v>
      </c>
      <c r="B54" s="38" t="s">
        <v>2</v>
      </c>
      <c r="C54" s="38" t="s">
        <v>7</v>
      </c>
      <c r="D54" s="38" t="s">
        <v>2</v>
      </c>
      <c r="E54" s="38" t="s">
        <v>2</v>
      </c>
      <c r="F54" s="38" t="s">
        <v>2</v>
      </c>
      <c r="G54" s="38" t="s">
        <v>2</v>
      </c>
      <c r="H54" s="38" t="s">
        <v>2</v>
      </c>
    </row>
    <row r="55" spans="1:11" x14ac:dyDescent="0.25">
      <c r="A55" s="4">
        <v>51</v>
      </c>
      <c r="B55" s="38"/>
      <c r="C55" s="38" t="s">
        <v>2</v>
      </c>
      <c r="D55" s="38" t="s">
        <v>2</v>
      </c>
      <c r="E55" s="38" t="s">
        <v>2</v>
      </c>
      <c r="F55" s="38" t="s">
        <v>2</v>
      </c>
      <c r="G55" s="38" t="s">
        <v>2</v>
      </c>
      <c r="H55" s="38" t="s">
        <v>2</v>
      </c>
    </row>
    <row r="56" spans="1:11" x14ac:dyDescent="0.25">
      <c r="A56" s="4">
        <v>52</v>
      </c>
      <c r="B56" s="38" t="s">
        <v>2</v>
      </c>
      <c r="C56" s="38" t="s">
        <v>2</v>
      </c>
      <c r="D56" s="38" t="s">
        <v>2</v>
      </c>
      <c r="E56" s="38" t="s">
        <v>2</v>
      </c>
      <c r="F56" s="38" t="s">
        <v>2</v>
      </c>
      <c r="G56" s="38" t="s">
        <v>2</v>
      </c>
      <c r="H56" s="38" t="s">
        <v>6</v>
      </c>
    </row>
    <row r="57" spans="1:11" x14ac:dyDescent="0.25">
      <c r="A57" s="4">
        <v>53</v>
      </c>
      <c r="B57" s="38"/>
      <c r="C57" s="38" t="s">
        <v>2</v>
      </c>
      <c r="D57" s="38"/>
      <c r="E57" s="38" t="s">
        <v>7</v>
      </c>
      <c r="F57" s="38" t="s">
        <v>2</v>
      </c>
      <c r="G57" s="38" t="s">
        <v>2</v>
      </c>
      <c r="H57" s="38" t="s">
        <v>2</v>
      </c>
    </row>
    <row r="58" spans="1:11" x14ac:dyDescent="0.25">
      <c r="A58" s="4">
        <v>54</v>
      </c>
      <c r="B58" s="38" t="s">
        <v>2</v>
      </c>
      <c r="C58" s="38"/>
      <c r="D58" s="38" t="s">
        <v>2</v>
      </c>
      <c r="E58" s="38"/>
      <c r="F58" s="38" t="s">
        <v>2</v>
      </c>
      <c r="G58" s="38"/>
      <c r="H58" s="38"/>
    </row>
    <row r="59" spans="1:11" x14ac:dyDescent="0.25">
      <c r="A59" s="4">
        <v>55</v>
      </c>
      <c r="B59" s="38" t="s">
        <v>2</v>
      </c>
      <c r="C59" s="38"/>
      <c r="D59" s="38" t="s">
        <v>2</v>
      </c>
      <c r="E59" s="38" t="s">
        <v>7</v>
      </c>
      <c r="F59" s="38" t="s">
        <v>2</v>
      </c>
      <c r="G59" s="38" t="s">
        <v>2</v>
      </c>
      <c r="H59" s="38"/>
    </row>
    <row r="60" spans="1:11" x14ac:dyDescent="0.25">
      <c r="A60" s="4">
        <v>56</v>
      </c>
      <c r="B60" s="38"/>
      <c r="C60" s="38" t="s">
        <v>2</v>
      </c>
      <c r="D60" s="38"/>
      <c r="E60" s="38"/>
      <c r="F60" s="38"/>
      <c r="G60" s="38" t="s">
        <v>2</v>
      </c>
      <c r="H60" s="38"/>
    </row>
    <row r="61" spans="1:11" x14ac:dyDescent="0.25">
      <c r="A61" s="4">
        <v>73</v>
      </c>
      <c r="B61" s="38"/>
      <c r="C61" s="38"/>
      <c r="D61" s="38"/>
      <c r="E61" s="38"/>
      <c r="F61" s="38"/>
      <c r="G61" s="38"/>
      <c r="H61" s="38"/>
    </row>
    <row r="62" spans="1:11" x14ac:dyDescent="0.25">
      <c r="A62" s="4">
        <v>74</v>
      </c>
      <c r="B62" s="38"/>
      <c r="C62" s="38"/>
      <c r="D62" s="38"/>
      <c r="E62" s="38"/>
      <c r="F62" s="38"/>
      <c r="G62" s="38"/>
      <c r="H62" s="38"/>
    </row>
    <row r="63" spans="1:11" x14ac:dyDescent="0.25">
      <c r="A63" s="4">
        <v>101</v>
      </c>
      <c r="B63" s="39" t="s">
        <v>6</v>
      </c>
      <c r="C63" s="39" t="s">
        <v>2</v>
      </c>
      <c r="D63" s="38" t="s">
        <v>2</v>
      </c>
      <c r="E63" s="39" t="s">
        <v>2</v>
      </c>
      <c r="F63" s="39" t="s">
        <v>7</v>
      </c>
      <c r="G63" s="38" t="s">
        <v>2</v>
      </c>
      <c r="H63" s="38" t="s">
        <v>2</v>
      </c>
    </row>
    <row r="64" spans="1:11" x14ac:dyDescent="0.25">
      <c r="A64" s="4">
        <v>102</v>
      </c>
      <c r="B64" s="38" t="s">
        <v>2</v>
      </c>
      <c r="C64" s="38"/>
      <c r="D64" s="38"/>
      <c r="E64" s="38"/>
      <c r="F64" s="38"/>
      <c r="G64" s="38"/>
      <c r="H64" s="38"/>
    </row>
    <row r="65" spans="1:8" x14ac:dyDescent="0.25">
      <c r="A65" s="4">
        <v>103</v>
      </c>
      <c r="B65" s="39" t="s">
        <v>2</v>
      </c>
      <c r="C65" s="39" t="s">
        <v>2</v>
      </c>
      <c r="D65" s="39" t="s">
        <v>2</v>
      </c>
      <c r="E65" s="38" t="s">
        <v>2</v>
      </c>
      <c r="F65" s="39" t="s">
        <v>2</v>
      </c>
      <c r="G65" s="38" t="s">
        <v>2</v>
      </c>
      <c r="H65" s="38" t="s">
        <v>2</v>
      </c>
    </row>
    <row r="66" spans="1:8" x14ac:dyDescent="0.25">
      <c r="A66" s="4">
        <v>104</v>
      </c>
      <c r="B66" s="39" t="s">
        <v>2</v>
      </c>
      <c r="C66" s="38" t="s">
        <v>2</v>
      </c>
      <c r="D66" s="39" t="s">
        <v>2</v>
      </c>
      <c r="E66" s="38" t="s">
        <v>2</v>
      </c>
      <c r="F66" s="39" t="s">
        <v>2</v>
      </c>
      <c r="G66" s="38" t="s">
        <v>2</v>
      </c>
      <c r="H66" s="38" t="s">
        <v>2</v>
      </c>
    </row>
    <row r="67" spans="1:8" x14ac:dyDescent="0.25">
      <c r="A67" s="4">
        <v>105</v>
      </c>
      <c r="B67" s="38"/>
      <c r="C67" s="38"/>
      <c r="D67" s="38"/>
      <c r="E67" s="38"/>
      <c r="F67" s="38"/>
      <c r="G67" s="38"/>
      <c r="H67" s="38"/>
    </row>
    <row r="68" spans="1:8" x14ac:dyDescent="0.25">
      <c r="A68" s="4">
        <v>106</v>
      </c>
      <c r="B68" s="38"/>
      <c r="C68" s="38" t="s">
        <v>7</v>
      </c>
      <c r="D68" s="38"/>
      <c r="E68" s="38" t="s">
        <v>7</v>
      </c>
      <c r="F68" s="38" t="s">
        <v>2</v>
      </c>
      <c r="G68" s="38"/>
      <c r="H68" s="38" t="s">
        <v>2</v>
      </c>
    </row>
    <row r="69" spans="1:8" x14ac:dyDescent="0.25">
      <c r="A69" s="4">
        <v>107</v>
      </c>
      <c r="B69" s="38"/>
      <c r="C69" s="38"/>
      <c r="D69" s="38"/>
      <c r="E69" s="38"/>
      <c r="F69" s="38"/>
      <c r="G69" s="38"/>
      <c r="H69" s="38"/>
    </row>
    <row r="70" spans="1:8" x14ac:dyDescent="0.25">
      <c r="A70" s="4">
        <v>108</v>
      </c>
      <c r="B70" s="38" t="s">
        <v>2</v>
      </c>
      <c r="C70" s="38"/>
      <c r="D70" s="38" t="s">
        <v>2</v>
      </c>
      <c r="E70" s="38" t="s">
        <v>2</v>
      </c>
      <c r="F70" s="38"/>
      <c r="G70" s="38"/>
      <c r="H70" s="38" t="s">
        <v>2</v>
      </c>
    </row>
    <row r="71" spans="1:8" x14ac:dyDescent="0.25">
      <c r="A71" s="4">
        <v>109</v>
      </c>
      <c r="B71" s="38"/>
      <c r="C71" s="38"/>
      <c r="D71" s="38"/>
      <c r="E71" s="38"/>
      <c r="F71" s="38"/>
      <c r="G71" s="38"/>
      <c r="H71" s="38"/>
    </row>
    <row r="72" spans="1:8" x14ac:dyDescent="0.25">
      <c r="A72" s="4">
        <v>110</v>
      </c>
      <c r="B72" s="38"/>
      <c r="C72" s="38"/>
      <c r="D72" s="38"/>
      <c r="E72" s="38"/>
      <c r="F72" s="38"/>
      <c r="G72" s="38"/>
      <c r="H72" s="38" t="s">
        <v>2</v>
      </c>
    </row>
    <row r="73" spans="1:8" x14ac:dyDescent="0.25">
      <c r="A73" s="4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4">
        <v>112</v>
      </c>
      <c r="B74" s="38" t="s">
        <v>2</v>
      </c>
      <c r="C74" s="38" t="s">
        <v>2</v>
      </c>
      <c r="D74" s="38" t="s">
        <v>2</v>
      </c>
      <c r="E74" s="38" t="s">
        <v>2</v>
      </c>
      <c r="F74" s="38" t="s">
        <v>2</v>
      </c>
      <c r="G74" s="38" t="s">
        <v>2</v>
      </c>
      <c r="H74" s="38" t="s">
        <v>2</v>
      </c>
    </row>
    <row r="75" spans="1:8" x14ac:dyDescent="0.25">
      <c r="A75" s="4">
        <v>113</v>
      </c>
      <c r="B75" s="38"/>
      <c r="C75" s="38"/>
      <c r="D75" s="38"/>
      <c r="E75" s="38"/>
      <c r="F75" s="38"/>
      <c r="G75" s="38"/>
      <c r="H75" s="38"/>
    </row>
    <row r="76" spans="1:8" x14ac:dyDescent="0.25">
      <c r="A76" s="4">
        <v>114</v>
      </c>
      <c r="B76" s="38" t="s">
        <v>2</v>
      </c>
      <c r="C76" s="38" t="s">
        <v>2</v>
      </c>
      <c r="D76" s="38" t="s">
        <v>7</v>
      </c>
      <c r="E76" s="38" t="s">
        <v>2</v>
      </c>
      <c r="F76" s="39" t="s">
        <v>7</v>
      </c>
      <c r="G76" s="38" t="s">
        <v>2</v>
      </c>
      <c r="H76" s="38" t="s">
        <v>2</v>
      </c>
    </row>
    <row r="77" spans="1:8" x14ac:dyDescent="0.25">
      <c r="A77" s="4">
        <v>115</v>
      </c>
      <c r="B77" s="38"/>
      <c r="C77" s="38"/>
      <c r="D77" s="38"/>
      <c r="E77" s="38"/>
      <c r="F77" s="38"/>
      <c r="G77" s="38"/>
      <c r="H77" s="38"/>
    </row>
    <row r="78" spans="1:8" x14ac:dyDescent="0.25">
      <c r="A78" s="4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4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4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4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4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4">
        <v>121</v>
      </c>
      <c r="B83" s="38" t="s">
        <v>2</v>
      </c>
      <c r="C83" s="38" t="s">
        <v>2</v>
      </c>
      <c r="D83" s="38" t="s">
        <v>2</v>
      </c>
      <c r="E83" s="38" t="s">
        <v>2</v>
      </c>
      <c r="F83" s="38"/>
      <c r="G83" s="38"/>
      <c r="H83" s="38"/>
    </row>
    <row r="84" spans="1:8" x14ac:dyDescent="0.25">
      <c r="A84" s="4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4">
        <v>123</v>
      </c>
      <c r="B85" s="38"/>
      <c r="C85" s="38" t="s">
        <v>2</v>
      </c>
      <c r="D85" s="38" t="s">
        <v>2</v>
      </c>
      <c r="E85" s="38" t="s">
        <v>2</v>
      </c>
      <c r="F85" s="38"/>
      <c r="G85" s="38"/>
      <c r="H85" s="38" t="s">
        <v>2</v>
      </c>
    </row>
    <row r="86" spans="1:8" x14ac:dyDescent="0.25">
      <c r="A86" s="4">
        <v>124</v>
      </c>
      <c r="B86" s="38"/>
      <c r="C86" s="38" t="s">
        <v>2</v>
      </c>
      <c r="D86" s="38" t="s">
        <v>2</v>
      </c>
      <c r="E86" s="38" t="s">
        <v>2</v>
      </c>
      <c r="F86" s="38"/>
      <c r="G86" s="38"/>
      <c r="H86" s="38" t="s">
        <v>2</v>
      </c>
    </row>
    <row r="87" spans="1:8" x14ac:dyDescent="0.25">
      <c r="A87" s="4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4">
        <v>126</v>
      </c>
      <c r="B88" s="38" t="s">
        <v>2</v>
      </c>
      <c r="C88" s="38" t="s">
        <v>2</v>
      </c>
      <c r="D88" s="38" t="s">
        <v>2</v>
      </c>
      <c r="E88" s="38" t="s">
        <v>2</v>
      </c>
      <c r="F88" s="38"/>
      <c r="G88" s="38"/>
      <c r="H88" s="38" t="s">
        <v>2</v>
      </c>
    </row>
    <row r="89" spans="1:8" x14ac:dyDescent="0.25">
      <c r="A89" s="4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4">
        <v>128</v>
      </c>
      <c r="B90" s="38"/>
      <c r="C90" s="38"/>
      <c r="D90" s="38"/>
      <c r="E90" s="38"/>
      <c r="F90" s="38"/>
      <c r="G90" s="38"/>
      <c r="H90" s="38"/>
    </row>
    <row r="91" spans="1:8" x14ac:dyDescent="0.25">
      <c r="A91" s="4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4">
        <v>130</v>
      </c>
      <c r="B92" s="38"/>
      <c r="C92" s="38"/>
      <c r="D92" s="38"/>
      <c r="E92" s="38"/>
      <c r="F92" s="38"/>
      <c r="G92" s="38"/>
      <c r="H92" s="38"/>
    </row>
    <row r="93" spans="1:8" x14ac:dyDescent="0.25">
      <c r="A93" s="4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4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4">
        <v>133</v>
      </c>
      <c r="B95" s="38" t="s">
        <v>2</v>
      </c>
      <c r="C95" s="38" t="s">
        <v>2</v>
      </c>
      <c r="D95" s="38"/>
      <c r="E95" s="38" t="s">
        <v>2</v>
      </c>
      <c r="F95" s="38" t="s">
        <v>2</v>
      </c>
      <c r="G95" s="38" t="s">
        <v>2</v>
      </c>
      <c r="H95" s="38"/>
    </row>
  </sheetData>
  <mergeCells count="5">
    <mergeCell ref="A1:H2"/>
    <mergeCell ref="I17:K17"/>
    <mergeCell ref="I18:J18"/>
    <mergeCell ref="I27:K27"/>
    <mergeCell ref="I28:J28"/>
  </mergeCells>
  <conditionalFormatting sqref="I5:I16 I19:I26 F15:F18 F91:F94 D62 F62:G62 C61:G61 B81:E95 I29:I62 B5:F5 F28 B6:E60 B63:G80">
    <cfRule type="cellIs" dxfId="286" priority="73" operator="equal">
      <formula>"Energia"</formula>
    </cfRule>
    <cfRule type="cellIs" dxfId="285" priority="75" operator="equal">
      <formula>"Operação"</formula>
    </cfRule>
    <cfRule type="cellIs" dxfId="284" priority="76" operator="equal">
      <formula>"Chuva"</formula>
    </cfRule>
    <cfRule type="cellIs" dxfId="283" priority="77" operator="equal">
      <formula>"Elétrico"</formula>
    </cfRule>
    <cfRule type="cellIs" dxfId="282" priority="78" operator="equal">
      <formula>"Mecânico"</formula>
    </cfRule>
    <cfRule type="cellIs" dxfId="281" priority="79" operator="equal">
      <formula>"Ok"</formula>
    </cfRule>
  </conditionalFormatting>
  <conditionalFormatting sqref="I5:I16 I19:I26 F15:F18 F91:F94 D62 F62:G62 C61:G61 B81:E95 I29:I62 B5:F5 F28 B6:E60 B63:G80">
    <cfRule type="cellIs" dxfId="280" priority="74" operator="equal">
      <formula>"Feito"</formula>
    </cfRule>
  </conditionalFormatting>
  <conditionalFormatting sqref="J7">
    <cfRule type="iconSet" priority="72">
      <iconSet iconSet="3Arrows">
        <cfvo type="percent" val="0"/>
        <cfvo type="percent" val="33"/>
        <cfvo type="percent" val="67"/>
      </iconSet>
    </cfRule>
  </conditionalFormatting>
  <conditionalFormatting sqref="C13 H9:H10 G81:G95 C89 B81:E87 B6:E11 B5:F5 G5:G34 G36:G57">
    <cfRule type="cellIs" dxfId="279" priority="71" operator="equal">
      <formula>"Energia"</formula>
    </cfRule>
  </conditionalFormatting>
  <conditionalFormatting sqref="G81:G95 G5:H15 G16:G34 G36:G60 H16:H95">
    <cfRule type="cellIs" dxfId="278" priority="64" operator="equal">
      <formula>"Energia"</formula>
    </cfRule>
    <cfRule type="cellIs" dxfId="277" priority="66" operator="equal">
      <formula>"Operação"</formula>
    </cfRule>
    <cfRule type="cellIs" dxfId="276" priority="67" operator="equal">
      <formula>"Chuva"</formula>
    </cfRule>
    <cfRule type="cellIs" dxfId="275" priority="68" operator="equal">
      <formula>"Elétrico"</formula>
    </cfRule>
    <cfRule type="cellIs" dxfId="274" priority="69" operator="equal">
      <formula>"Mecânico"</formula>
    </cfRule>
    <cfRule type="cellIs" dxfId="273" priority="70" operator="equal">
      <formula>"Ok"</formula>
    </cfRule>
  </conditionalFormatting>
  <conditionalFormatting sqref="G81:G95 G5:H15 G16:G34 G36:G60 H16:H95">
    <cfRule type="cellIs" dxfId="272" priority="65" operator="equal">
      <formula>"Feito"</formula>
    </cfRule>
  </conditionalFormatting>
  <conditionalFormatting sqref="F6:F11 F82:F87">
    <cfRule type="cellIs" dxfId="271" priority="63" operator="equal">
      <formula>"Energia"</formula>
    </cfRule>
  </conditionalFormatting>
  <conditionalFormatting sqref="F6:F14 F82:F90 F95 F19:F27 F29:F60">
    <cfRule type="cellIs" dxfId="270" priority="56" operator="equal">
      <formula>"Energia"</formula>
    </cfRule>
    <cfRule type="cellIs" dxfId="269" priority="58" operator="equal">
      <formula>"Operação"</formula>
    </cfRule>
    <cfRule type="cellIs" dxfId="268" priority="59" operator="equal">
      <formula>"Chuva"</formula>
    </cfRule>
    <cfRule type="cellIs" dxfId="267" priority="60" operator="equal">
      <formula>"Elétrico"</formula>
    </cfRule>
    <cfRule type="cellIs" dxfId="266" priority="61" operator="equal">
      <formula>"Mecânico"</formula>
    </cfRule>
    <cfRule type="cellIs" dxfId="265" priority="62" operator="equal">
      <formula>"Ok"</formula>
    </cfRule>
  </conditionalFormatting>
  <conditionalFormatting sqref="F6:F14 F82:F90 F95 F19:F27 F29:F60">
    <cfRule type="cellIs" dxfId="264" priority="57" operator="equal">
      <formula>"Feito"</formula>
    </cfRule>
  </conditionalFormatting>
  <conditionalFormatting sqref="F81">
    <cfRule type="cellIs" dxfId="263" priority="49" operator="equal">
      <formula>"Energia"</formula>
    </cfRule>
    <cfRule type="cellIs" dxfId="262" priority="51" operator="equal">
      <formula>"Operação"</formula>
    </cfRule>
    <cfRule type="cellIs" dxfId="261" priority="52" operator="equal">
      <formula>"Chuva"</formula>
    </cfRule>
    <cfRule type="cellIs" dxfId="260" priority="53" operator="equal">
      <formula>"Elétrico"</formula>
    </cfRule>
    <cfRule type="cellIs" dxfId="259" priority="54" operator="equal">
      <formula>"Mecânico"</formula>
    </cfRule>
    <cfRule type="cellIs" dxfId="258" priority="55" operator="equal">
      <formula>"Ok"</formula>
    </cfRule>
  </conditionalFormatting>
  <conditionalFormatting sqref="F81">
    <cfRule type="cellIs" dxfId="257" priority="50" operator="equal">
      <formula>"Feito"</formula>
    </cfRule>
  </conditionalFormatting>
  <conditionalFormatting sqref="F81">
    <cfRule type="cellIs" dxfId="256" priority="48" operator="equal">
      <formula>"Energia"</formula>
    </cfRule>
  </conditionalFormatting>
  <conditionalFormatting sqref="B61">
    <cfRule type="cellIs" dxfId="255" priority="41" operator="equal">
      <formula>"Energia"</formula>
    </cfRule>
    <cfRule type="cellIs" dxfId="254" priority="43" operator="equal">
      <formula>"Operação"</formula>
    </cfRule>
    <cfRule type="cellIs" dxfId="253" priority="44" operator="equal">
      <formula>"Chuva"</formula>
    </cfRule>
    <cfRule type="cellIs" dxfId="252" priority="45" operator="equal">
      <formula>"Elétrico"</formula>
    </cfRule>
    <cfRule type="cellIs" dxfId="251" priority="46" operator="equal">
      <formula>"Mecânico"</formula>
    </cfRule>
    <cfRule type="cellIs" dxfId="250" priority="47" operator="equal">
      <formula>"Ok"</formula>
    </cfRule>
  </conditionalFormatting>
  <conditionalFormatting sqref="B61">
    <cfRule type="cellIs" dxfId="249" priority="42" operator="equal">
      <formula>"Feito"</formula>
    </cfRule>
  </conditionalFormatting>
  <conditionalFormatting sqref="B62:C62">
    <cfRule type="cellIs" dxfId="248" priority="34" operator="equal">
      <formula>"Energia"</formula>
    </cfRule>
    <cfRule type="cellIs" dxfId="247" priority="36" operator="equal">
      <formula>"Operação"</formula>
    </cfRule>
    <cfRule type="cellIs" dxfId="246" priority="37" operator="equal">
      <formula>"Chuva"</formula>
    </cfRule>
    <cfRule type="cellIs" dxfId="245" priority="38" operator="equal">
      <formula>"Elétrico"</formula>
    </cfRule>
    <cfRule type="cellIs" dxfId="244" priority="39" operator="equal">
      <formula>"Mecânico"</formula>
    </cfRule>
    <cfRule type="cellIs" dxfId="243" priority="40" operator="equal">
      <formula>"Ok"</formula>
    </cfRule>
  </conditionalFormatting>
  <conditionalFormatting sqref="B62:C62">
    <cfRule type="cellIs" dxfId="242" priority="35" operator="equal">
      <formula>"Feito"</formula>
    </cfRule>
  </conditionalFormatting>
  <conditionalFormatting sqref="C56">
    <cfRule type="cellIs" dxfId="241" priority="27" operator="equal">
      <formula>"Energia"</formula>
    </cfRule>
    <cfRule type="cellIs" dxfId="240" priority="29" operator="equal">
      <formula>"Operação"</formula>
    </cfRule>
    <cfRule type="cellIs" dxfId="239" priority="30" operator="equal">
      <formula>"Chuva"</formula>
    </cfRule>
    <cfRule type="cellIs" dxfId="238" priority="31" operator="equal">
      <formula>"Elétrico"</formula>
    </cfRule>
    <cfRule type="cellIs" dxfId="237" priority="32" operator="equal">
      <formula>"Mecânico"</formula>
    </cfRule>
    <cfRule type="cellIs" dxfId="236" priority="33" operator="equal">
      <formula>"Ok"</formula>
    </cfRule>
  </conditionalFormatting>
  <conditionalFormatting sqref="C56">
    <cfRule type="cellIs" dxfId="235" priority="28" operator="equal">
      <formula>"Feito"</formula>
    </cfRule>
  </conditionalFormatting>
  <conditionalFormatting sqref="E62">
    <cfRule type="cellIs" dxfId="234" priority="20" operator="equal">
      <formula>"Energia"</formula>
    </cfRule>
    <cfRule type="cellIs" dxfId="233" priority="22" operator="equal">
      <formula>"Operação"</formula>
    </cfRule>
    <cfRule type="cellIs" dxfId="232" priority="23" operator="equal">
      <formula>"Chuva"</formula>
    </cfRule>
    <cfRule type="cellIs" dxfId="231" priority="24" operator="equal">
      <formula>"Elétrico"</formula>
    </cfRule>
    <cfRule type="cellIs" dxfId="230" priority="25" operator="equal">
      <formula>"Mecânico"</formula>
    </cfRule>
    <cfRule type="cellIs" dxfId="229" priority="26" operator="equal">
      <formula>"Ok"</formula>
    </cfRule>
  </conditionalFormatting>
  <conditionalFormatting sqref="E62">
    <cfRule type="cellIs" dxfId="228" priority="21" operator="equal">
      <formula>"Feito"</formula>
    </cfRule>
  </conditionalFormatting>
  <conditionalFormatting sqref="B95">
    <cfRule type="cellIs" dxfId="227" priority="19" operator="equal">
      <formula>"Energia"</formula>
    </cfRule>
  </conditionalFormatting>
  <conditionalFormatting sqref="B74">
    <cfRule type="cellIs" dxfId="226" priority="18" operator="equal">
      <formula>"Energia"</formula>
    </cfRule>
  </conditionalFormatting>
  <conditionalFormatting sqref="B76">
    <cfRule type="cellIs" dxfId="225" priority="17" operator="equal">
      <formula>"Energia"</formula>
    </cfRule>
  </conditionalFormatting>
  <conditionalFormatting sqref="C27">
    <cfRule type="cellIs" dxfId="224" priority="16" operator="equal">
      <formula>"Energia"</formula>
    </cfRule>
  </conditionalFormatting>
  <conditionalFormatting sqref="D60">
    <cfRule type="cellIs" dxfId="223" priority="15" operator="equal">
      <formula>"Energia"</formula>
    </cfRule>
  </conditionalFormatting>
  <conditionalFormatting sqref="G35">
    <cfRule type="cellIs" dxfId="222" priority="1" operator="equal">
      <formula>"Energia"</formula>
    </cfRule>
    <cfRule type="cellIs" dxfId="221" priority="3" operator="equal">
      <formula>"Operação"</formula>
    </cfRule>
    <cfRule type="cellIs" dxfId="220" priority="4" operator="equal">
      <formula>"Chuva"</formula>
    </cfRule>
    <cfRule type="cellIs" dxfId="219" priority="5" operator="equal">
      <formula>"Elétrico"</formula>
    </cfRule>
    <cfRule type="cellIs" dxfId="218" priority="6" operator="equal">
      <formula>"Mecânico"</formula>
    </cfRule>
    <cfRule type="cellIs" dxfId="217" priority="7" operator="equal">
      <formula>"Ok"</formula>
    </cfRule>
  </conditionalFormatting>
  <conditionalFormatting sqref="G35">
    <cfRule type="cellIs" dxfId="216" priority="2" operator="equal">
      <formula>"Feito"</formula>
    </cfRule>
  </conditionalFormatting>
  <dataValidations count="1">
    <dataValidation type="list" allowBlank="1" showInputMessage="1" showErrorMessage="1" sqref="I5:I16 J36:J60 I29:I62 I19:I26 B5:H95" xr:uid="{58D3D26C-5816-413C-A7E2-F2259BE35DE9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C151-A4F6-4D7C-8760-3FBBA0299B9A}">
  <sheetPr>
    <tabColor theme="8"/>
  </sheetPr>
  <dimension ref="A1:Q95"/>
  <sheetViews>
    <sheetView showGridLines="0" zoomScaleNormal="100" workbookViewId="0">
      <pane ySplit="4" topLeftCell="A5" activePane="bottomLeft" state="frozen"/>
      <selection pane="bottomLeft" activeCell="K5" sqref="K5:K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81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4" t="s">
        <v>16</v>
      </c>
      <c r="B3" s="23">
        <v>44844</v>
      </c>
      <c r="C3" s="23">
        <f>B3+1</f>
        <v>44845</v>
      </c>
      <c r="D3" s="23">
        <f t="shared" ref="D3:H3" si="0">C3+1</f>
        <v>44846</v>
      </c>
      <c r="E3" s="23">
        <f t="shared" si="0"/>
        <v>44847</v>
      </c>
      <c r="F3" s="23">
        <f t="shared" si="0"/>
        <v>44848</v>
      </c>
      <c r="G3" s="23">
        <f t="shared" si="0"/>
        <v>44849</v>
      </c>
      <c r="H3" s="25">
        <f t="shared" si="0"/>
        <v>44850</v>
      </c>
      <c r="I3" s="3"/>
    </row>
    <row r="4" spans="1:17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  <c r="Q4" t="s">
        <v>34</v>
      </c>
    </row>
    <row r="5" spans="1:17" x14ac:dyDescent="0.25">
      <c r="A5" s="4">
        <v>1</v>
      </c>
      <c r="B5" s="38" t="s">
        <v>2</v>
      </c>
      <c r="C5" s="38" t="s">
        <v>2</v>
      </c>
      <c r="D5" s="38" t="s">
        <v>2</v>
      </c>
      <c r="E5" s="38" t="s">
        <v>2</v>
      </c>
      <c r="F5" s="38" t="s">
        <v>2</v>
      </c>
      <c r="G5" s="38" t="s">
        <v>2</v>
      </c>
      <c r="H5" s="38" t="s">
        <v>2</v>
      </c>
      <c r="J5" s="48" t="s">
        <v>2</v>
      </c>
      <c r="K5">
        <f>COUNTIF($B$5:$H$95,J5)</f>
        <v>212</v>
      </c>
      <c r="L5" s="34">
        <f t="shared" ref="L5:L10" si="2">K5/$K$11</f>
        <v>0.77655677655677657</v>
      </c>
      <c r="M5" s="52">
        <f>B3</f>
        <v>44844</v>
      </c>
      <c r="O5" t="s">
        <v>44</v>
      </c>
      <c r="P5">
        <v>0</v>
      </c>
      <c r="Q5" s="52">
        <f>M5</f>
        <v>44844</v>
      </c>
    </row>
    <row r="6" spans="1:17" x14ac:dyDescent="0.25">
      <c r="A6" s="4">
        <v>2</v>
      </c>
      <c r="B6" s="38"/>
      <c r="C6" s="38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  <c r="J6" s="42" t="s">
        <v>5</v>
      </c>
      <c r="K6">
        <f>COUNTIF($B$5:$H$95,J6)</f>
        <v>4</v>
      </c>
      <c r="L6" s="35">
        <f t="shared" si="2"/>
        <v>1.4652014652014652E-2</v>
      </c>
      <c r="O6" t="s">
        <v>46</v>
      </c>
      <c r="P6">
        <f>SUM(K19:K25)</f>
        <v>8</v>
      </c>
    </row>
    <row r="7" spans="1:17" x14ac:dyDescent="0.25">
      <c r="A7" s="4">
        <v>3</v>
      </c>
      <c r="B7" s="38" t="s">
        <v>2</v>
      </c>
      <c r="C7" s="38" t="s">
        <v>6</v>
      </c>
      <c r="D7" s="38" t="s">
        <v>2</v>
      </c>
      <c r="E7" s="38" t="s">
        <v>2</v>
      </c>
      <c r="F7" s="38" t="s">
        <v>2</v>
      </c>
      <c r="G7" s="38" t="s">
        <v>2</v>
      </c>
      <c r="H7" s="38" t="s">
        <v>2</v>
      </c>
      <c r="J7" s="46" t="s">
        <v>6</v>
      </c>
      <c r="K7">
        <f t="shared" ref="K7:K10" si="3">COUNTIF($B$5:$H$95,J7)</f>
        <v>13</v>
      </c>
      <c r="L7" s="35">
        <f t="shared" si="2"/>
        <v>4.7619047619047616E-2</v>
      </c>
      <c r="O7" t="s">
        <v>45</v>
      </c>
      <c r="P7">
        <f>SUM(K29:K35)</f>
        <v>5</v>
      </c>
    </row>
    <row r="8" spans="1:17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 t="s">
        <v>2</v>
      </c>
      <c r="G8" s="38" t="s">
        <v>2</v>
      </c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  <c r="O8" s="65" t="s">
        <v>17</v>
      </c>
      <c r="P8" s="65">
        <f>P5+P6-P7</f>
        <v>3</v>
      </c>
    </row>
    <row r="9" spans="1:17" x14ac:dyDescent="0.25">
      <c r="A9" s="4">
        <v>5</v>
      </c>
      <c r="B9" s="38"/>
      <c r="C9" s="38"/>
      <c r="D9" s="38"/>
      <c r="E9" s="38"/>
      <c r="F9" s="38"/>
      <c r="G9" s="38" t="s">
        <v>2</v>
      </c>
      <c r="H9" s="38" t="s">
        <v>7</v>
      </c>
      <c r="J9" s="45" t="s">
        <v>3</v>
      </c>
      <c r="K9">
        <f t="shared" si="3"/>
        <v>0</v>
      </c>
      <c r="L9" s="35">
        <f t="shared" si="2"/>
        <v>0</v>
      </c>
    </row>
    <row r="10" spans="1:17" x14ac:dyDescent="0.25">
      <c r="A10" s="4">
        <v>6</v>
      </c>
      <c r="B10" s="38"/>
      <c r="C10" s="38"/>
      <c r="D10" s="38"/>
      <c r="E10" s="38"/>
      <c r="F10" s="38"/>
      <c r="G10" s="38" t="s">
        <v>2</v>
      </c>
      <c r="H10" s="38" t="s">
        <v>7</v>
      </c>
      <c r="J10" s="43" t="s">
        <v>7</v>
      </c>
      <c r="K10">
        <f t="shared" si="3"/>
        <v>44</v>
      </c>
      <c r="L10" s="37">
        <f t="shared" si="2"/>
        <v>0.16117216117216118</v>
      </c>
      <c r="O10" t="s">
        <v>65</v>
      </c>
      <c r="P10">
        <f>P8</f>
        <v>3</v>
      </c>
    </row>
    <row r="11" spans="1:17" x14ac:dyDescent="0.25">
      <c r="A11" s="4">
        <v>7</v>
      </c>
      <c r="B11" s="38"/>
      <c r="C11" s="38"/>
      <c r="D11" s="38"/>
      <c r="E11" s="38"/>
      <c r="F11" s="38"/>
      <c r="G11" s="38"/>
      <c r="H11" s="38" t="s">
        <v>7</v>
      </c>
      <c r="J11" s="44" t="s">
        <v>17</v>
      </c>
      <c r="K11">
        <f>SUM(K5:K10)</f>
        <v>273</v>
      </c>
    </row>
    <row r="12" spans="1:17" x14ac:dyDescent="0.25">
      <c r="A12" s="4">
        <v>8</v>
      </c>
      <c r="B12" s="38"/>
      <c r="C12" s="38"/>
      <c r="D12" s="38"/>
      <c r="E12" s="38"/>
      <c r="F12" s="38" t="s">
        <v>2</v>
      </c>
      <c r="G12" s="38"/>
      <c r="H12" s="38"/>
    </row>
    <row r="13" spans="1:17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7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7" x14ac:dyDescent="0.25">
      <c r="A15" s="4">
        <v>11</v>
      </c>
      <c r="B15" s="38"/>
      <c r="C15" s="38" t="s">
        <v>7</v>
      </c>
      <c r="D15" s="38" t="s">
        <v>7</v>
      </c>
      <c r="E15" s="38"/>
      <c r="F15" s="38"/>
      <c r="G15" s="38"/>
      <c r="H15" s="38"/>
    </row>
    <row r="16" spans="1:17" x14ac:dyDescent="0.25">
      <c r="A16" s="4">
        <v>12</v>
      </c>
      <c r="B16" s="38"/>
      <c r="C16" s="38"/>
      <c r="D16" s="38"/>
      <c r="E16" s="38"/>
      <c r="F16" s="38"/>
      <c r="G16" s="38" t="s">
        <v>2</v>
      </c>
      <c r="H16" s="38"/>
      <c r="O16" s="61"/>
    </row>
    <row r="17" spans="1:13" x14ac:dyDescent="0.25">
      <c r="A17" s="4">
        <v>13</v>
      </c>
      <c r="B17" s="38"/>
      <c r="C17" s="38"/>
      <c r="D17" s="38"/>
      <c r="E17" s="38"/>
      <c r="F17" s="38"/>
      <c r="G17" s="38"/>
      <c r="H17" s="38"/>
      <c r="I17" s="71" t="s">
        <v>46</v>
      </c>
      <c r="J17" s="72"/>
      <c r="K17" s="72"/>
      <c r="M17" s="53"/>
    </row>
    <row r="18" spans="1:13" x14ac:dyDescent="0.25">
      <c r="A18" s="4">
        <v>14</v>
      </c>
      <c r="B18" s="38"/>
      <c r="C18" s="38"/>
      <c r="D18" s="38"/>
      <c r="E18" s="38"/>
      <c r="F18" s="38"/>
      <c r="G18" s="38"/>
      <c r="H18" s="38" t="s">
        <v>7</v>
      </c>
      <c r="I18" s="71" t="s">
        <v>54</v>
      </c>
      <c r="J18" s="72"/>
      <c r="K18" t="s">
        <v>32</v>
      </c>
    </row>
    <row r="19" spans="1:13" x14ac:dyDescent="0.25">
      <c r="A19" s="4">
        <v>15</v>
      </c>
      <c r="B19" s="38"/>
      <c r="C19" s="38"/>
      <c r="D19" s="38"/>
      <c r="E19" s="38"/>
      <c r="F19" s="38"/>
      <c r="G19" s="38"/>
      <c r="H19" s="38"/>
      <c r="I19" s="40" t="s">
        <v>47</v>
      </c>
      <c r="J19" s="40" t="str">
        <f>TEXT(B3,"ddd")</f>
        <v>seg</v>
      </c>
      <c r="K19" s="60"/>
    </row>
    <row r="20" spans="1:13" x14ac:dyDescent="0.25">
      <c r="A20" s="4">
        <v>16</v>
      </c>
      <c r="B20" s="38"/>
      <c r="C20" s="38"/>
      <c r="D20" s="38"/>
      <c r="E20" s="38"/>
      <c r="F20" s="38"/>
      <c r="G20" s="38"/>
      <c r="H20" s="38"/>
      <c r="I20" s="40" t="s">
        <v>48</v>
      </c>
      <c r="J20" s="40" t="str">
        <f>TEXT(C3,"ddd")</f>
        <v>ter</v>
      </c>
      <c r="K20" s="60"/>
    </row>
    <row r="21" spans="1:13" x14ac:dyDescent="0.25">
      <c r="A21" s="4">
        <v>17</v>
      </c>
      <c r="B21" s="38"/>
      <c r="C21" s="38"/>
      <c r="D21" s="38"/>
      <c r="E21" s="38"/>
      <c r="F21" s="38"/>
      <c r="G21" s="38"/>
      <c r="H21" s="38"/>
      <c r="I21" s="40" t="s">
        <v>49</v>
      </c>
      <c r="J21" s="40" t="str">
        <f>TEXT(D3,"ddd")</f>
        <v>qua</v>
      </c>
      <c r="K21" s="60"/>
    </row>
    <row r="22" spans="1:13" x14ac:dyDescent="0.25">
      <c r="A22" s="4">
        <v>18</v>
      </c>
      <c r="B22" s="38"/>
      <c r="C22" s="38"/>
      <c r="D22" s="38"/>
      <c r="E22" s="38"/>
      <c r="F22" s="38"/>
      <c r="G22" s="38"/>
      <c r="H22" s="38"/>
      <c r="I22" s="40" t="s">
        <v>50</v>
      </c>
      <c r="J22" s="40" t="str">
        <f>TEXT(E3,"ddd")</f>
        <v>qui</v>
      </c>
      <c r="K22" s="60"/>
    </row>
    <row r="23" spans="1:13" x14ac:dyDescent="0.25">
      <c r="A23" s="4">
        <v>19</v>
      </c>
      <c r="B23" s="38"/>
      <c r="C23" s="38"/>
      <c r="D23" s="38" t="s">
        <v>2</v>
      </c>
      <c r="E23" s="38"/>
      <c r="F23" s="38"/>
      <c r="G23" s="38" t="s">
        <v>2</v>
      </c>
      <c r="H23" s="38"/>
      <c r="I23" s="40" t="s">
        <v>51</v>
      </c>
      <c r="J23" s="40" t="str">
        <f>TEXT(F3,"ddd")</f>
        <v>sex</v>
      </c>
      <c r="K23" s="60"/>
    </row>
    <row r="24" spans="1:13" x14ac:dyDescent="0.25">
      <c r="A24" s="4">
        <v>20</v>
      </c>
      <c r="B24" s="38"/>
      <c r="C24" s="38"/>
      <c r="D24" s="38"/>
      <c r="E24" s="38"/>
      <c r="F24" s="38"/>
      <c r="G24" s="38"/>
      <c r="H24" s="38"/>
      <c r="I24" s="40" t="s">
        <v>52</v>
      </c>
      <c r="J24" s="40" t="str">
        <f>TEXT(G3,"ddd")</f>
        <v>sáb</v>
      </c>
      <c r="K24" s="60">
        <v>3</v>
      </c>
    </row>
    <row r="25" spans="1:13" x14ac:dyDescent="0.25">
      <c r="A25" s="4">
        <v>21</v>
      </c>
      <c r="B25" s="38"/>
      <c r="C25" s="38"/>
      <c r="D25" s="38"/>
      <c r="E25" s="38"/>
      <c r="F25" s="38"/>
      <c r="G25" s="38"/>
      <c r="H25" s="38"/>
      <c r="I25" s="40" t="s">
        <v>53</v>
      </c>
      <c r="J25" s="40" t="str">
        <f>TEXT(H3,"ddd")</f>
        <v>dom</v>
      </c>
      <c r="K25" s="60">
        <v>5</v>
      </c>
    </row>
    <row r="26" spans="1:13" x14ac:dyDescent="0.25">
      <c r="A26" s="4">
        <v>22</v>
      </c>
      <c r="B26" s="38" t="s">
        <v>6</v>
      </c>
      <c r="C26" s="38" t="s">
        <v>2</v>
      </c>
      <c r="D26" s="38" t="s">
        <v>2</v>
      </c>
      <c r="E26" s="38" t="s">
        <v>2</v>
      </c>
      <c r="F26" s="38" t="s">
        <v>2</v>
      </c>
      <c r="G26" s="38" t="s">
        <v>2</v>
      </c>
      <c r="H26" s="38" t="s">
        <v>2</v>
      </c>
    </row>
    <row r="27" spans="1:13" x14ac:dyDescent="0.25">
      <c r="A27" s="4">
        <v>23</v>
      </c>
      <c r="B27" s="38" t="s">
        <v>6</v>
      </c>
      <c r="C27" s="38" t="s">
        <v>7</v>
      </c>
      <c r="D27" s="38" t="s">
        <v>7</v>
      </c>
      <c r="E27" s="38" t="s">
        <v>2</v>
      </c>
      <c r="F27" s="38" t="s">
        <v>2</v>
      </c>
      <c r="G27" s="38" t="s">
        <v>2</v>
      </c>
      <c r="H27" s="38" t="s">
        <v>2</v>
      </c>
      <c r="I27" s="71" t="s">
        <v>45</v>
      </c>
      <c r="J27" s="72"/>
      <c r="K27" s="72"/>
    </row>
    <row r="28" spans="1:13" x14ac:dyDescent="0.25">
      <c r="A28" s="4">
        <v>24</v>
      </c>
      <c r="B28" s="38" t="s">
        <v>7</v>
      </c>
      <c r="C28" s="38"/>
      <c r="D28" s="38" t="s">
        <v>2</v>
      </c>
      <c r="E28" s="38"/>
      <c r="F28" s="38" t="s">
        <v>7</v>
      </c>
      <c r="G28" s="38"/>
      <c r="H28" s="38" t="s">
        <v>2</v>
      </c>
      <c r="I28" s="71" t="s">
        <v>54</v>
      </c>
      <c r="J28" s="72"/>
      <c r="K28" t="s">
        <v>32</v>
      </c>
    </row>
    <row r="29" spans="1:13" x14ac:dyDescent="0.25">
      <c r="A29" s="4">
        <v>25</v>
      </c>
      <c r="B29" s="38" t="s">
        <v>2</v>
      </c>
      <c r="C29" s="38" t="s">
        <v>2</v>
      </c>
      <c r="D29" s="38" t="s">
        <v>2</v>
      </c>
      <c r="E29" s="38" t="s">
        <v>2</v>
      </c>
      <c r="F29" s="38" t="s">
        <v>5</v>
      </c>
      <c r="G29" s="38" t="s">
        <v>5</v>
      </c>
      <c r="H29" s="38" t="s">
        <v>2</v>
      </c>
      <c r="I29" s="40" t="s">
        <v>47</v>
      </c>
      <c r="J29" s="40" t="str">
        <f t="shared" ref="J29:J35" si="4">J19</f>
        <v>seg</v>
      </c>
      <c r="K29" s="60">
        <v>2</v>
      </c>
    </row>
    <row r="30" spans="1:13" x14ac:dyDescent="0.25">
      <c r="A30" s="4">
        <v>26</v>
      </c>
      <c r="B30" s="38" t="s">
        <v>2</v>
      </c>
      <c r="C30" s="38" t="s">
        <v>7</v>
      </c>
      <c r="D30" s="38" t="s">
        <v>7</v>
      </c>
      <c r="E30" s="38" t="s">
        <v>2</v>
      </c>
      <c r="F30" s="38" t="s">
        <v>7</v>
      </c>
      <c r="G30" s="38" t="s">
        <v>2</v>
      </c>
      <c r="H30" s="38" t="s">
        <v>7</v>
      </c>
      <c r="I30" s="40" t="s">
        <v>48</v>
      </c>
      <c r="J30" s="40" t="str">
        <f t="shared" si="4"/>
        <v>ter</v>
      </c>
      <c r="K30" s="60">
        <v>1</v>
      </c>
    </row>
    <row r="31" spans="1:13" x14ac:dyDescent="0.25">
      <c r="A31" s="4">
        <v>27</v>
      </c>
      <c r="B31" s="38"/>
      <c r="C31" s="38"/>
      <c r="D31" s="38"/>
      <c r="E31" s="38"/>
      <c r="F31" s="38"/>
      <c r="G31" s="38"/>
      <c r="H31" s="38" t="s">
        <v>7</v>
      </c>
      <c r="I31" s="40" t="s">
        <v>49</v>
      </c>
      <c r="J31" s="40" t="str">
        <f t="shared" si="4"/>
        <v>qua</v>
      </c>
      <c r="K31" s="60">
        <v>1</v>
      </c>
    </row>
    <row r="32" spans="1:13" x14ac:dyDescent="0.25">
      <c r="A32" s="4">
        <v>28</v>
      </c>
      <c r="B32" s="38" t="s">
        <v>2</v>
      </c>
      <c r="C32" s="38" t="s">
        <v>2</v>
      </c>
      <c r="D32" s="38" t="s">
        <v>2</v>
      </c>
      <c r="E32" s="38" t="s">
        <v>2</v>
      </c>
      <c r="F32" s="38" t="s">
        <v>5</v>
      </c>
      <c r="G32" s="38" t="s">
        <v>2</v>
      </c>
      <c r="H32" s="38" t="s">
        <v>7</v>
      </c>
      <c r="I32" s="40" t="s">
        <v>50</v>
      </c>
      <c r="J32" s="40" t="str">
        <f t="shared" si="4"/>
        <v>qui</v>
      </c>
      <c r="K32" s="60"/>
    </row>
    <row r="33" spans="1:11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2</v>
      </c>
      <c r="F33" s="38" t="s">
        <v>2</v>
      </c>
      <c r="G33" s="38" t="s">
        <v>2</v>
      </c>
      <c r="H33" s="38" t="s">
        <v>2</v>
      </c>
      <c r="I33" s="40" t="s">
        <v>51</v>
      </c>
      <c r="J33" s="40" t="str">
        <f t="shared" si="4"/>
        <v>sex</v>
      </c>
      <c r="K33" s="60"/>
    </row>
    <row r="34" spans="1:11" x14ac:dyDescent="0.25">
      <c r="A34" s="4">
        <v>30</v>
      </c>
      <c r="B34" s="38" t="s">
        <v>2</v>
      </c>
      <c r="C34" s="38" t="s">
        <v>7</v>
      </c>
      <c r="D34" s="38" t="s">
        <v>2</v>
      </c>
      <c r="E34" s="38" t="s">
        <v>2</v>
      </c>
      <c r="F34" s="38" t="s">
        <v>7</v>
      </c>
      <c r="G34" s="38" t="s">
        <v>2</v>
      </c>
      <c r="H34" s="38" t="s">
        <v>7</v>
      </c>
      <c r="I34" s="40" t="s">
        <v>52</v>
      </c>
      <c r="J34" s="40" t="str">
        <f t="shared" si="4"/>
        <v>sáb</v>
      </c>
      <c r="K34" s="60"/>
    </row>
    <row r="35" spans="1:11" x14ac:dyDescent="0.25">
      <c r="A35" s="4">
        <v>31</v>
      </c>
      <c r="B35" s="38" t="s">
        <v>2</v>
      </c>
      <c r="C35" s="38" t="s">
        <v>2</v>
      </c>
      <c r="D35" s="38" t="s">
        <v>2</v>
      </c>
      <c r="E35" s="38" t="s">
        <v>2</v>
      </c>
      <c r="F35" s="38" t="s">
        <v>2</v>
      </c>
      <c r="G35" s="38" t="s">
        <v>7</v>
      </c>
      <c r="H35" s="38" t="s">
        <v>7</v>
      </c>
      <c r="I35" s="40" t="s">
        <v>53</v>
      </c>
      <c r="J35" s="40" t="str">
        <f t="shared" si="4"/>
        <v>dom</v>
      </c>
      <c r="K35" s="60">
        <v>1</v>
      </c>
    </row>
    <row r="36" spans="1:11" x14ac:dyDescent="0.25">
      <c r="A36" s="4">
        <v>32</v>
      </c>
      <c r="B36" s="38" t="s">
        <v>2</v>
      </c>
      <c r="C36" s="38" t="s">
        <v>2</v>
      </c>
      <c r="D36" s="38" t="s">
        <v>2</v>
      </c>
      <c r="E36" s="38" t="s">
        <v>2</v>
      </c>
      <c r="F36" s="38" t="s">
        <v>7</v>
      </c>
      <c r="G36" s="38" t="s">
        <v>2</v>
      </c>
      <c r="H36" s="38" t="s">
        <v>2</v>
      </c>
    </row>
    <row r="37" spans="1:11" x14ac:dyDescent="0.25">
      <c r="A37" s="4">
        <v>33</v>
      </c>
      <c r="B37" s="38" t="s">
        <v>2</v>
      </c>
      <c r="C37" s="38" t="s">
        <v>2</v>
      </c>
      <c r="D37" s="38" t="s">
        <v>2</v>
      </c>
      <c r="E37" s="38" t="s">
        <v>2</v>
      </c>
      <c r="F37" s="38" t="s">
        <v>2</v>
      </c>
      <c r="G37" s="38" t="s">
        <v>2</v>
      </c>
      <c r="H37" s="38" t="s">
        <v>2</v>
      </c>
    </row>
    <row r="38" spans="1:11" x14ac:dyDescent="0.25">
      <c r="A38" s="4">
        <v>34</v>
      </c>
      <c r="B38" s="38"/>
      <c r="C38" s="38"/>
      <c r="D38" s="38"/>
      <c r="E38" s="38"/>
      <c r="F38" s="38"/>
      <c r="G38" s="38"/>
      <c r="H38" s="38"/>
    </row>
    <row r="39" spans="1:11" x14ac:dyDescent="0.25">
      <c r="A39" s="4">
        <v>35</v>
      </c>
      <c r="B39" s="38"/>
      <c r="C39" s="38"/>
      <c r="D39" s="38"/>
      <c r="E39" s="38"/>
      <c r="F39" s="38"/>
      <c r="G39" s="38"/>
      <c r="H39" s="38"/>
    </row>
    <row r="40" spans="1:11" x14ac:dyDescent="0.25">
      <c r="A40" s="4">
        <v>36</v>
      </c>
      <c r="B40" s="38"/>
      <c r="C40" s="38"/>
      <c r="D40" s="38"/>
      <c r="E40" s="38"/>
      <c r="F40" s="38"/>
      <c r="G40" s="38"/>
      <c r="H40" s="38" t="s">
        <v>2</v>
      </c>
    </row>
    <row r="41" spans="1:11" x14ac:dyDescent="0.25">
      <c r="A41" s="4">
        <v>37</v>
      </c>
      <c r="B41" s="38"/>
      <c r="C41" s="38" t="s">
        <v>2</v>
      </c>
      <c r="D41" s="38"/>
      <c r="E41" s="38" t="s">
        <v>2</v>
      </c>
      <c r="F41" s="38" t="s">
        <v>2</v>
      </c>
      <c r="G41" s="38" t="s">
        <v>2</v>
      </c>
      <c r="H41" s="38" t="s">
        <v>2</v>
      </c>
    </row>
    <row r="42" spans="1:11" x14ac:dyDescent="0.25">
      <c r="A42" s="4">
        <v>38</v>
      </c>
      <c r="B42" s="38"/>
      <c r="C42" s="38"/>
      <c r="D42" s="38"/>
      <c r="E42" s="38"/>
      <c r="F42" s="38" t="s">
        <v>2</v>
      </c>
      <c r="G42" s="38" t="s">
        <v>2</v>
      </c>
      <c r="H42" s="38" t="s">
        <v>2</v>
      </c>
    </row>
    <row r="43" spans="1:11" x14ac:dyDescent="0.25">
      <c r="A43" s="4">
        <v>39</v>
      </c>
      <c r="B43" s="38"/>
      <c r="C43" s="38"/>
      <c r="D43" s="38"/>
      <c r="E43" s="38"/>
      <c r="F43" s="38"/>
      <c r="G43" s="38"/>
      <c r="H43" s="38"/>
    </row>
    <row r="44" spans="1:11" x14ac:dyDescent="0.25">
      <c r="A44" s="4">
        <v>40</v>
      </c>
      <c r="B44" s="38"/>
      <c r="C44" s="38"/>
      <c r="D44" s="38"/>
      <c r="E44" s="38"/>
      <c r="F44" s="38"/>
      <c r="G44" s="38"/>
      <c r="H44" s="38"/>
    </row>
    <row r="45" spans="1:11" x14ac:dyDescent="0.25">
      <c r="A45" s="4">
        <v>41</v>
      </c>
      <c r="B45" s="38"/>
      <c r="C45" s="38"/>
      <c r="D45" s="38"/>
      <c r="E45" s="38"/>
      <c r="F45" s="38"/>
      <c r="G45" s="38"/>
      <c r="H45" s="38"/>
    </row>
    <row r="46" spans="1:11" x14ac:dyDescent="0.25">
      <c r="A46" s="4">
        <v>42</v>
      </c>
      <c r="B46" s="38"/>
      <c r="C46" s="38"/>
      <c r="D46" s="38"/>
      <c r="E46" s="38" t="s">
        <v>2</v>
      </c>
      <c r="F46" s="38" t="s">
        <v>2</v>
      </c>
      <c r="G46" s="38" t="s">
        <v>2</v>
      </c>
      <c r="H46" s="38" t="s">
        <v>2</v>
      </c>
    </row>
    <row r="47" spans="1:11" x14ac:dyDescent="0.25">
      <c r="A47" s="4">
        <v>43</v>
      </c>
      <c r="B47" s="38" t="s">
        <v>7</v>
      </c>
      <c r="C47" s="38" t="s">
        <v>7</v>
      </c>
      <c r="D47" s="38" t="s">
        <v>7</v>
      </c>
      <c r="E47" s="38" t="s">
        <v>2</v>
      </c>
      <c r="F47" s="38" t="s">
        <v>2</v>
      </c>
      <c r="G47" s="38" t="s">
        <v>2</v>
      </c>
      <c r="H47" s="38" t="s">
        <v>7</v>
      </c>
    </row>
    <row r="48" spans="1:11" x14ac:dyDescent="0.25">
      <c r="A48" s="4">
        <v>44</v>
      </c>
      <c r="B48" s="38" t="s">
        <v>7</v>
      </c>
      <c r="C48" s="38" t="s">
        <v>7</v>
      </c>
      <c r="D48" s="38"/>
      <c r="E48" s="38"/>
      <c r="F48" s="38"/>
      <c r="G48" s="38" t="s">
        <v>2</v>
      </c>
      <c r="H48" s="38"/>
    </row>
    <row r="49" spans="1:11" x14ac:dyDescent="0.25">
      <c r="A49" s="4">
        <v>45</v>
      </c>
      <c r="B49" s="38" t="s">
        <v>7</v>
      </c>
      <c r="C49" s="38" t="s">
        <v>7</v>
      </c>
      <c r="D49" s="38" t="s">
        <v>2</v>
      </c>
      <c r="E49" s="38" t="s">
        <v>2</v>
      </c>
      <c r="F49" s="38" t="s">
        <v>2</v>
      </c>
      <c r="G49" s="38" t="s">
        <v>2</v>
      </c>
      <c r="H49" s="38" t="s">
        <v>2</v>
      </c>
    </row>
    <row r="50" spans="1:11" x14ac:dyDescent="0.25">
      <c r="A50" s="4">
        <v>46</v>
      </c>
      <c r="B50" s="38" t="s">
        <v>2</v>
      </c>
      <c r="C50" s="38" t="s">
        <v>2</v>
      </c>
      <c r="D50" s="38" t="s">
        <v>2</v>
      </c>
      <c r="E50" s="38" t="s">
        <v>2</v>
      </c>
      <c r="F50" s="38" t="s">
        <v>2</v>
      </c>
      <c r="G50" s="38" t="s">
        <v>2</v>
      </c>
      <c r="H50" s="38" t="s">
        <v>2</v>
      </c>
    </row>
    <row r="51" spans="1:11" x14ac:dyDescent="0.25">
      <c r="A51" s="4">
        <v>47</v>
      </c>
      <c r="B51" s="38" t="s">
        <v>6</v>
      </c>
      <c r="C51" s="38" t="s">
        <v>2</v>
      </c>
      <c r="D51" s="38" t="s">
        <v>2</v>
      </c>
      <c r="E51" s="38"/>
      <c r="F51" s="38"/>
      <c r="G51" s="38"/>
      <c r="H51" s="38" t="s">
        <v>2</v>
      </c>
    </row>
    <row r="52" spans="1:11" x14ac:dyDescent="0.25">
      <c r="A52" s="4">
        <v>48</v>
      </c>
      <c r="B52" s="38"/>
      <c r="C52" s="38"/>
      <c r="D52" s="38" t="s">
        <v>7</v>
      </c>
      <c r="E52" s="38" t="s">
        <v>2</v>
      </c>
      <c r="F52" s="38"/>
      <c r="G52" s="38"/>
      <c r="H52" s="38" t="s">
        <v>2</v>
      </c>
    </row>
    <row r="53" spans="1:11" x14ac:dyDescent="0.25">
      <c r="A53" s="4">
        <v>49</v>
      </c>
      <c r="B53" s="38"/>
      <c r="C53" s="38"/>
      <c r="D53" s="38" t="s">
        <v>7</v>
      </c>
      <c r="E53" s="38"/>
      <c r="F53" s="38"/>
      <c r="G53" s="38" t="s">
        <v>2</v>
      </c>
      <c r="H53" s="38" t="s">
        <v>2</v>
      </c>
      <c r="K53" t="s">
        <v>68</v>
      </c>
    </row>
    <row r="54" spans="1:11" x14ac:dyDescent="0.25">
      <c r="A54" s="4">
        <v>50</v>
      </c>
      <c r="B54" s="38" t="s">
        <v>6</v>
      </c>
      <c r="C54" s="38" t="s">
        <v>2</v>
      </c>
      <c r="D54" s="38" t="s">
        <v>2</v>
      </c>
      <c r="E54" s="38"/>
      <c r="F54" s="38" t="s">
        <v>2</v>
      </c>
      <c r="G54" s="38" t="s">
        <v>2</v>
      </c>
      <c r="H54" s="38" t="s">
        <v>2</v>
      </c>
    </row>
    <row r="55" spans="1:11" x14ac:dyDescent="0.25">
      <c r="A55" s="4">
        <v>51</v>
      </c>
      <c r="B55" s="38" t="s">
        <v>6</v>
      </c>
      <c r="C55" s="38" t="s">
        <v>7</v>
      </c>
      <c r="D55" s="38" t="s">
        <v>2</v>
      </c>
      <c r="E55" s="38" t="s">
        <v>2</v>
      </c>
      <c r="F55" s="38"/>
      <c r="G55" s="38" t="s">
        <v>2</v>
      </c>
      <c r="H55" s="38" t="s">
        <v>2</v>
      </c>
    </row>
    <row r="56" spans="1:11" x14ac:dyDescent="0.25">
      <c r="A56" s="4">
        <v>52</v>
      </c>
      <c r="B56" s="38" t="s">
        <v>6</v>
      </c>
      <c r="C56" s="38" t="s">
        <v>6</v>
      </c>
      <c r="D56" s="38" t="s">
        <v>7</v>
      </c>
      <c r="E56" s="38" t="s">
        <v>7</v>
      </c>
      <c r="F56" s="38" t="s">
        <v>2</v>
      </c>
      <c r="G56" s="38" t="s">
        <v>2</v>
      </c>
      <c r="H56" s="38" t="s">
        <v>2</v>
      </c>
    </row>
    <row r="57" spans="1:11" x14ac:dyDescent="0.25">
      <c r="A57" s="4">
        <v>53</v>
      </c>
      <c r="B57" s="38" t="s">
        <v>6</v>
      </c>
      <c r="C57" s="38"/>
      <c r="D57" s="38"/>
      <c r="E57" s="38"/>
      <c r="F57" s="38"/>
      <c r="G57" s="38"/>
      <c r="H57" s="38"/>
    </row>
    <row r="58" spans="1:11" x14ac:dyDescent="0.25">
      <c r="A58" s="4">
        <v>54</v>
      </c>
      <c r="B58" s="38" t="s">
        <v>6</v>
      </c>
      <c r="C58" s="38" t="s">
        <v>7</v>
      </c>
      <c r="D58" s="38" t="s">
        <v>5</v>
      </c>
      <c r="E58" s="38" t="s">
        <v>2</v>
      </c>
      <c r="F58" s="38"/>
      <c r="G58" s="38"/>
      <c r="H58" s="38" t="s">
        <v>2</v>
      </c>
    </row>
    <row r="59" spans="1:11" x14ac:dyDescent="0.25">
      <c r="A59" s="4">
        <v>55</v>
      </c>
      <c r="B59" s="38" t="s">
        <v>6</v>
      </c>
      <c r="C59" s="38" t="s">
        <v>7</v>
      </c>
      <c r="D59" s="38"/>
      <c r="E59" s="38" t="s">
        <v>2</v>
      </c>
      <c r="F59" s="38"/>
      <c r="G59" s="38" t="s">
        <v>2</v>
      </c>
      <c r="H59" s="38"/>
    </row>
    <row r="60" spans="1:11" x14ac:dyDescent="0.25">
      <c r="A60" s="4">
        <v>56</v>
      </c>
      <c r="B60" s="38" t="s">
        <v>6</v>
      </c>
      <c r="C60" s="38"/>
      <c r="D60" s="38" t="s">
        <v>2</v>
      </c>
      <c r="E60" s="38" t="s">
        <v>2</v>
      </c>
      <c r="F60" s="38"/>
      <c r="G60" s="38" t="s">
        <v>2</v>
      </c>
      <c r="H60" s="38"/>
    </row>
    <row r="61" spans="1:11" x14ac:dyDescent="0.25">
      <c r="A61" s="4">
        <v>73</v>
      </c>
      <c r="B61" s="38"/>
      <c r="C61" s="38"/>
      <c r="D61" s="38"/>
      <c r="E61" s="38"/>
      <c r="F61" s="38"/>
      <c r="G61" s="38"/>
      <c r="H61" s="38"/>
    </row>
    <row r="62" spans="1:11" x14ac:dyDescent="0.25">
      <c r="A62" s="4">
        <v>74</v>
      </c>
      <c r="B62" s="38"/>
      <c r="C62" s="38"/>
      <c r="D62" s="38"/>
      <c r="E62" s="38"/>
      <c r="F62" s="38"/>
      <c r="G62" s="38"/>
      <c r="H62" s="38"/>
    </row>
    <row r="63" spans="1:11" x14ac:dyDescent="0.25">
      <c r="A63" s="4">
        <v>101</v>
      </c>
      <c r="B63" s="39" t="s">
        <v>2</v>
      </c>
      <c r="C63" s="39" t="s">
        <v>7</v>
      </c>
      <c r="D63" s="38" t="s">
        <v>2</v>
      </c>
      <c r="E63" s="39" t="s">
        <v>2</v>
      </c>
      <c r="F63" s="39" t="s">
        <v>2</v>
      </c>
      <c r="G63" s="38" t="s">
        <v>7</v>
      </c>
      <c r="H63" s="38" t="s">
        <v>7</v>
      </c>
    </row>
    <row r="64" spans="1:11" x14ac:dyDescent="0.25">
      <c r="A64" s="4">
        <v>102</v>
      </c>
      <c r="B64" s="38"/>
      <c r="C64" s="38"/>
      <c r="D64" s="38"/>
      <c r="E64" s="38"/>
      <c r="F64" s="38"/>
      <c r="G64" s="38"/>
      <c r="H64" s="38"/>
    </row>
    <row r="65" spans="1:8" x14ac:dyDescent="0.25">
      <c r="A65" s="4">
        <v>103</v>
      </c>
      <c r="B65" s="39" t="s">
        <v>2</v>
      </c>
      <c r="C65" s="39" t="s">
        <v>7</v>
      </c>
      <c r="D65" s="39" t="s">
        <v>2</v>
      </c>
      <c r="E65" s="38" t="s">
        <v>2</v>
      </c>
      <c r="F65" s="39" t="s">
        <v>7</v>
      </c>
      <c r="G65" s="38" t="s">
        <v>2</v>
      </c>
      <c r="H65" s="38" t="s">
        <v>7</v>
      </c>
    </row>
    <row r="66" spans="1:8" x14ac:dyDescent="0.25">
      <c r="A66" s="4">
        <v>104</v>
      </c>
      <c r="B66" s="39" t="s">
        <v>6</v>
      </c>
      <c r="C66" s="39" t="s">
        <v>2</v>
      </c>
      <c r="D66" s="39" t="s">
        <v>2</v>
      </c>
      <c r="E66" s="39" t="s">
        <v>7</v>
      </c>
      <c r="F66" s="39" t="s">
        <v>2</v>
      </c>
      <c r="G66" s="38" t="s">
        <v>2</v>
      </c>
      <c r="H66" s="38"/>
    </row>
    <row r="67" spans="1:8" x14ac:dyDescent="0.25">
      <c r="A67" s="4">
        <v>105</v>
      </c>
      <c r="B67" s="38"/>
      <c r="C67" s="38"/>
      <c r="D67" s="38"/>
      <c r="E67" s="38"/>
      <c r="F67" s="38"/>
      <c r="G67" s="38" t="s">
        <v>2</v>
      </c>
      <c r="H67" s="38" t="s">
        <v>2</v>
      </c>
    </row>
    <row r="68" spans="1:8" x14ac:dyDescent="0.25">
      <c r="A68" s="4">
        <v>106</v>
      </c>
      <c r="B68" s="38" t="s">
        <v>2</v>
      </c>
      <c r="C68" s="38" t="s">
        <v>2</v>
      </c>
      <c r="D68" s="38" t="s">
        <v>2</v>
      </c>
      <c r="E68" s="38" t="s">
        <v>2</v>
      </c>
      <c r="F68" s="38" t="s">
        <v>2</v>
      </c>
      <c r="G68" s="38" t="s">
        <v>2</v>
      </c>
      <c r="H68" s="38" t="s">
        <v>2</v>
      </c>
    </row>
    <row r="69" spans="1:8" x14ac:dyDescent="0.25">
      <c r="A69" s="4">
        <v>107</v>
      </c>
      <c r="B69" s="38"/>
      <c r="C69" s="38"/>
      <c r="D69" s="38" t="s">
        <v>2</v>
      </c>
      <c r="E69" s="38" t="s">
        <v>2</v>
      </c>
      <c r="F69" s="38" t="s">
        <v>2</v>
      </c>
      <c r="G69" s="38" t="s">
        <v>2</v>
      </c>
      <c r="H69" s="38" t="s">
        <v>2</v>
      </c>
    </row>
    <row r="70" spans="1:8" x14ac:dyDescent="0.25">
      <c r="A70" s="4">
        <v>108</v>
      </c>
      <c r="B70" s="38"/>
      <c r="C70" s="38" t="s">
        <v>2</v>
      </c>
      <c r="D70" s="38" t="s">
        <v>2</v>
      </c>
      <c r="E70" s="38" t="s">
        <v>2</v>
      </c>
      <c r="F70" s="38" t="s">
        <v>2</v>
      </c>
      <c r="G70" s="38" t="s">
        <v>2</v>
      </c>
      <c r="H70" s="38" t="s">
        <v>2</v>
      </c>
    </row>
    <row r="71" spans="1:8" x14ac:dyDescent="0.25">
      <c r="A71" s="4">
        <v>109</v>
      </c>
      <c r="B71" s="38" t="s">
        <v>2</v>
      </c>
      <c r="C71" s="38" t="s">
        <v>2</v>
      </c>
      <c r="D71" s="38" t="s">
        <v>2</v>
      </c>
      <c r="E71" s="38" t="s">
        <v>2</v>
      </c>
      <c r="F71" s="38" t="s">
        <v>2</v>
      </c>
      <c r="G71" s="38" t="s">
        <v>2</v>
      </c>
      <c r="H71" s="38" t="s">
        <v>2</v>
      </c>
    </row>
    <row r="72" spans="1:8" x14ac:dyDescent="0.25">
      <c r="A72" s="4">
        <v>110</v>
      </c>
      <c r="B72" s="38" t="s">
        <v>2</v>
      </c>
      <c r="C72" s="38" t="s">
        <v>2</v>
      </c>
      <c r="D72" s="38" t="s">
        <v>2</v>
      </c>
      <c r="E72" s="38" t="s">
        <v>2</v>
      </c>
      <c r="F72" s="38" t="s">
        <v>2</v>
      </c>
      <c r="G72" s="38" t="s">
        <v>2</v>
      </c>
      <c r="H72" s="38" t="s">
        <v>2</v>
      </c>
    </row>
    <row r="73" spans="1:8" x14ac:dyDescent="0.25">
      <c r="A73" s="4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4">
        <v>112</v>
      </c>
      <c r="B74" s="38" t="s">
        <v>2</v>
      </c>
      <c r="C74" s="38" t="s">
        <v>2</v>
      </c>
      <c r="D74" s="38" t="s">
        <v>2</v>
      </c>
      <c r="E74" s="38" t="s">
        <v>2</v>
      </c>
      <c r="F74" s="38" t="s">
        <v>2</v>
      </c>
      <c r="G74" s="38" t="s">
        <v>2</v>
      </c>
      <c r="H74" s="38" t="s">
        <v>2</v>
      </c>
    </row>
    <row r="75" spans="1:8" x14ac:dyDescent="0.25">
      <c r="A75" s="4">
        <v>113</v>
      </c>
      <c r="B75" s="38"/>
      <c r="C75" s="38"/>
      <c r="D75" s="38"/>
      <c r="E75" s="38"/>
      <c r="F75" s="38"/>
      <c r="G75" s="38"/>
      <c r="H75" s="38"/>
    </row>
    <row r="76" spans="1:8" x14ac:dyDescent="0.25">
      <c r="A76" s="4">
        <v>114</v>
      </c>
      <c r="B76" s="38" t="s">
        <v>2</v>
      </c>
      <c r="C76" s="38" t="s">
        <v>2</v>
      </c>
      <c r="D76" s="38" t="s">
        <v>2</v>
      </c>
      <c r="E76" s="38" t="s">
        <v>2</v>
      </c>
      <c r="F76" s="39" t="s">
        <v>2</v>
      </c>
      <c r="G76" s="38" t="s">
        <v>2</v>
      </c>
      <c r="H76" s="38" t="s">
        <v>2</v>
      </c>
    </row>
    <row r="77" spans="1:8" x14ac:dyDescent="0.25">
      <c r="A77" s="4">
        <v>115</v>
      </c>
      <c r="B77" s="38"/>
      <c r="C77" s="38"/>
      <c r="D77" s="38"/>
      <c r="E77" s="38"/>
      <c r="F77" s="38"/>
      <c r="G77" s="38"/>
      <c r="H77" s="38"/>
    </row>
    <row r="78" spans="1:8" x14ac:dyDescent="0.25">
      <c r="A78" s="4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4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4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4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4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4">
        <v>121</v>
      </c>
      <c r="B83" s="38" t="s">
        <v>2</v>
      </c>
      <c r="C83" s="38"/>
      <c r="D83" s="38"/>
      <c r="E83" s="38" t="s">
        <v>2</v>
      </c>
      <c r="F83" s="38"/>
      <c r="G83" s="38"/>
      <c r="H83" s="38"/>
    </row>
    <row r="84" spans="1:8" x14ac:dyDescent="0.25">
      <c r="A84" s="4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4">
        <v>123</v>
      </c>
      <c r="B85" s="38"/>
      <c r="C85" s="38"/>
      <c r="D85" s="38" t="s">
        <v>2</v>
      </c>
      <c r="E85" s="38"/>
      <c r="F85" s="38"/>
      <c r="G85" s="38" t="s">
        <v>2</v>
      </c>
      <c r="H85" s="38"/>
    </row>
    <row r="86" spans="1:8" x14ac:dyDescent="0.25">
      <c r="A86" s="4">
        <v>124</v>
      </c>
      <c r="B86" s="38" t="s">
        <v>2</v>
      </c>
      <c r="C86" s="38" t="s">
        <v>2</v>
      </c>
      <c r="D86" s="38"/>
      <c r="E86" s="38"/>
      <c r="F86" s="38"/>
      <c r="G86" s="38"/>
      <c r="H86" s="38"/>
    </row>
    <row r="87" spans="1:8" x14ac:dyDescent="0.25">
      <c r="A87" s="4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4">
        <v>126</v>
      </c>
      <c r="B88" s="38" t="s">
        <v>2</v>
      </c>
      <c r="C88" s="38"/>
      <c r="D88" s="38"/>
      <c r="E88" s="38" t="s">
        <v>2</v>
      </c>
      <c r="F88" s="38"/>
      <c r="G88" s="38"/>
      <c r="H88" s="38"/>
    </row>
    <row r="89" spans="1:8" x14ac:dyDescent="0.25">
      <c r="A89" s="4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4">
        <v>128</v>
      </c>
      <c r="B90" s="38"/>
      <c r="C90" s="38"/>
      <c r="D90" s="38"/>
      <c r="E90" s="38"/>
      <c r="F90" s="38"/>
      <c r="G90" s="38"/>
      <c r="H90" s="38"/>
    </row>
    <row r="91" spans="1:8" x14ac:dyDescent="0.25">
      <c r="A91" s="4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4">
        <v>130</v>
      </c>
      <c r="B92" s="38"/>
      <c r="C92" s="38"/>
      <c r="D92" s="38"/>
      <c r="E92" s="38"/>
      <c r="F92" s="38"/>
      <c r="G92" s="38"/>
      <c r="H92" s="38"/>
    </row>
    <row r="93" spans="1:8" x14ac:dyDescent="0.25">
      <c r="A93" s="4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4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4">
        <v>133</v>
      </c>
      <c r="B95" s="38"/>
      <c r="C95" s="38" t="s">
        <v>2</v>
      </c>
      <c r="D95" s="38"/>
      <c r="E95" s="38"/>
      <c r="F95" s="38" t="s">
        <v>2</v>
      </c>
      <c r="G95" s="38"/>
      <c r="H95" s="38" t="s">
        <v>2</v>
      </c>
    </row>
  </sheetData>
  <mergeCells count="5">
    <mergeCell ref="A1:H2"/>
    <mergeCell ref="I17:K17"/>
    <mergeCell ref="I18:J18"/>
    <mergeCell ref="I27:K27"/>
    <mergeCell ref="I28:J28"/>
  </mergeCells>
  <conditionalFormatting sqref="I5:I16 I19:I26 F15:F18 F91:F94 D62 F62:G62 C61:G61 I29:I62 B9:E60 B5:F8 F28 D81:E95 B63:C95 D63:G80">
    <cfRule type="cellIs" dxfId="215" priority="110" operator="equal">
      <formula>"Energia"</formula>
    </cfRule>
    <cfRule type="cellIs" dxfId="214" priority="112" operator="equal">
      <formula>"Operação"</formula>
    </cfRule>
    <cfRule type="cellIs" dxfId="213" priority="113" operator="equal">
      <formula>"Chuva"</formula>
    </cfRule>
    <cfRule type="cellIs" dxfId="212" priority="114" operator="equal">
      <formula>"Elétrico"</formula>
    </cfRule>
    <cfRule type="cellIs" dxfId="211" priority="115" operator="equal">
      <formula>"Mecânico"</formula>
    </cfRule>
    <cfRule type="cellIs" dxfId="210" priority="116" operator="equal">
      <formula>"Ok"</formula>
    </cfRule>
  </conditionalFormatting>
  <conditionalFormatting sqref="I5:I16 I19:I26 F15:F18 F91:F94 D62 F62:G62 C61:G61 I29:I62 B9:E60 B5:F8 F28 D81:E95 B63:C95 D63:G80">
    <cfRule type="cellIs" dxfId="209" priority="111" operator="equal">
      <formula>"Feito"</formula>
    </cfRule>
  </conditionalFormatting>
  <conditionalFormatting sqref="J7">
    <cfRule type="iconSet" priority="109">
      <iconSet iconSet="3Arrows">
        <cfvo type="percent" val="0"/>
        <cfvo type="percent" val="33"/>
        <cfvo type="percent" val="67"/>
      </iconSet>
    </cfRule>
  </conditionalFormatting>
  <conditionalFormatting sqref="C13 G81:G95 B9:E11 B5:F8 G5:G34 G36:G60 H5:H11 B81:E87">
    <cfRule type="cellIs" dxfId="208" priority="108" operator="equal">
      <formula>"Energia"</formula>
    </cfRule>
  </conditionalFormatting>
  <conditionalFormatting sqref="G81:G95 G16:G34 G36:G60 G5:H15 H16:H46 H48:H62 H64 H66:H95">
    <cfRule type="cellIs" dxfId="207" priority="101" operator="equal">
      <formula>"Energia"</formula>
    </cfRule>
    <cfRule type="cellIs" dxfId="206" priority="103" operator="equal">
      <formula>"Operação"</formula>
    </cfRule>
    <cfRule type="cellIs" dxfId="205" priority="104" operator="equal">
      <formula>"Chuva"</formula>
    </cfRule>
    <cfRule type="cellIs" dxfId="204" priority="105" operator="equal">
      <formula>"Elétrico"</formula>
    </cfRule>
    <cfRule type="cellIs" dxfId="203" priority="106" operator="equal">
      <formula>"Mecânico"</formula>
    </cfRule>
    <cfRule type="cellIs" dxfId="202" priority="107" operator="equal">
      <formula>"Ok"</formula>
    </cfRule>
  </conditionalFormatting>
  <conditionalFormatting sqref="G81:G95 G16:G34 G36:G60 G5:H15 H16:H46 H48:H62 H64 H66:H95">
    <cfRule type="cellIs" dxfId="201" priority="102" operator="equal">
      <formula>"Feito"</formula>
    </cfRule>
  </conditionalFormatting>
  <conditionalFormatting sqref="F9:F11 F82:F87">
    <cfRule type="cellIs" dxfId="200" priority="100" operator="equal">
      <formula>"Energia"</formula>
    </cfRule>
  </conditionalFormatting>
  <conditionalFormatting sqref="F9:F14 F82:F90 F95 F19:F27 F29 F31:F60">
    <cfRule type="cellIs" dxfId="199" priority="93" operator="equal">
      <formula>"Energia"</formula>
    </cfRule>
    <cfRule type="cellIs" dxfId="198" priority="95" operator="equal">
      <formula>"Operação"</formula>
    </cfRule>
    <cfRule type="cellIs" dxfId="197" priority="96" operator="equal">
      <formula>"Chuva"</formula>
    </cfRule>
    <cfRule type="cellIs" dxfId="196" priority="97" operator="equal">
      <formula>"Elétrico"</formula>
    </cfRule>
    <cfRule type="cellIs" dxfId="195" priority="98" operator="equal">
      <formula>"Mecânico"</formula>
    </cfRule>
    <cfRule type="cellIs" dxfId="194" priority="99" operator="equal">
      <formula>"Ok"</formula>
    </cfRule>
  </conditionalFormatting>
  <conditionalFormatting sqref="F9:F14 F82:F90 F95 F19:F27 F29 F31:F60">
    <cfRule type="cellIs" dxfId="193" priority="94" operator="equal">
      <formula>"Feito"</formula>
    </cfRule>
  </conditionalFormatting>
  <conditionalFormatting sqref="F81">
    <cfRule type="cellIs" dxfId="192" priority="86" operator="equal">
      <formula>"Energia"</formula>
    </cfRule>
    <cfRule type="cellIs" dxfId="191" priority="88" operator="equal">
      <formula>"Operação"</formula>
    </cfRule>
    <cfRule type="cellIs" dxfId="190" priority="89" operator="equal">
      <formula>"Chuva"</formula>
    </cfRule>
    <cfRule type="cellIs" dxfId="189" priority="90" operator="equal">
      <formula>"Elétrico"</formula>
    </cfRule>
    <cfRule type="cellIs" dxfId="188" priority="91" operator="equal">
      <formula>"Mecânico"</formula>
    </cfRule>
    <cfRule type="cellIs" dxfId="187" priority="92" operator="equal">
      <formula>"Ok"</formula>
    </cfRule>
  </conditionalFormatting>
  <conditionalFormatting sqref="F81">
    <cfRule type="cellIs" dxfId="186" priority="87" operator="equal">
      <formula>"Feito"</formula>
    </cfRule>
  </conditionalFormatting>
  <conditionalFormatting sqref="F81">
    <cfRule type="cellIs" dxfId="185" priority="85" operator="equal">
      <formula>"Energia"</formula>
    </cfRule>
  </conditionalFormatting>
  <conditionalFormatting sqref="B61">
    <cfRule type="cellIs" dxfId="184" priority="78" operator="equal">
      <formula>"Energia"</formula>
    </cfRule>
    <cfRule type="cellIs" dxfId="183" priority="80" operator="equal">
      <formula>"Operação"</formula>
    </cfRule>
    <cfRule type="cellIs" dxfId="182" priority="81" operator="equal">
      <formula>"Chuva"</formula>
    </cfRule>
    <cfRule type="cellIs" dxfId="181" priority="82" operator="equal">
      <formula>"Elétrico"</formula>
    </cfRule>
    <cfRule type="cellIs" dxfId="180" priority="83" operator="equal">
      <formula>"Mecânico"</formula>
    </cfRule>
    <cfRule type="cellIs" dxfId="179" priority="84" operator="equal">
      <formula>"Ok"</formula>
    </cfRule>
  </conditionalFormatting>
  <conditionalFormatting sqref="B61">
    <cfRule type="cellIs" dxfId="178" priority="79" operator="equal">
      <formula>"Feito"</formula>
    </cfRule>
  </conditionalFormatting>
  <conditionalFormatting sqref="B62:C62">
    <cfRule type="cellIs" dxfId="177" priority="71" operator="equal">
      <formula>"Energia"</formula>
    </cfRule>
    <cfRule type="cellIs" dxfId="176" priority="73" operator="equal">
      <formula>"Operação"</formula>
    </cfRule>
    <cfRule type="cellIs" dxfId="175" priority="74" operator="equal">
      <formula>"Chuva"</formula>
    </cfRule>
    <cfRule type="cellIs" dxfId="174" priority="75" operator="equal">
      <formula>"Elétrico"</formula>
    </cfRule>
    <cfRule type="cellIs" dxfId="173" priority="76" operator="equal">
      <formula>"Mecânico"</formula>
    </cfRule>
    <cfRule type="cellIs" dxfId="172" priority="77" operator="equal">
      <formula>"Ok"</formula>
    </cfRule>
  </conditionalFormatting>
  <conditionalFormatting sqref="B62:C62">
    <cfRule type="cellIs" dxfId="171" priority="72" operator="equal">
      <formula>"Feito"</formula>
    </cfRule>
  </conditionalFormatting>
  <conditionalFormatting sqref="C56">
    <cfRule type="cellIs" dxfId="170" priority="64" operator="equal">
      <formula>"Energia"</formula>
    </cfRule>
    <cfRule type="cellIs" dxfId="169" priority="66" operator="equal">
      <formula>"Operação"</formula>
    </cfRule>
    <cfRule type="cellIs" dxfId="168" priority="67" operator="equal">
      <formula>"Chuva"</formula>
    </cfRule>
    <cfRule type="cellIs" dxfId="167" priority="68" operator="equal">
      <formula>"Elétrico"</formula>
    </cfRule>
    <cfRule type="cellIs" dxfId="166" priority="69" operator="equal">
      <formula>"Mecânico"</formula>
    </cfRule>
    <cfRule type="cellIs" dxfId="165" priority="70" operator="equal">
      <formula>"Ok"</formula>
    </cfRule>
  </conditionalFormatting>
  <conditionalFormatting sqref="C56">
    <cfRule type="cellIs" dxfId="164" priority="65" operator="equal">
      <formula>"Feito"</formula>
    </cfRule>
  </conditionalFormatting>
  <conditionalFormatting sqref="E62">
    <cfRule type="cellIs" dxfId="163" priority="57" operator="equal">
      <formula>"Energia"</formula>
    </cfRule>
    <cfRule type="cellIs" dxfId="162" priority="59" operator="equal">
      <formula>"Operação"</formula>
    </cfRule>
    <cfRule type="cellIs" dxfId="161" priority="60" operator="equal">
      <formula>"Chuva"</formula>
    </cfRule>
    <cfRule type="cellIs" dxfId="160" priority="61" operator="equal">
      <formula>"Elétrico"</formula>
    </cfRule>
    <cfRule type="cellIs" dxfId="159" priority="62" operator="equal">
      <formula>"Mecânico"</formula>
    </cfRule>
    <cfRule type="cellIs" dxfId="158" priority="63" operator="equal">
      <formula>"Ok"</formula>
    </cfRule>
  </conditionalFormatting>
  <conditionalFormatting sqref="E62">
    <cfRule type="cellIs" dxfId="157" priority="58" operator="equal">
      <formula>"Feito"</formula>
    </cfRule>
  </conditionalFormatting>
  <conditionalFormatting sqref="B95:C95">
    <cfRule type="cellIs" dxfId="156" priority="56" operator="equal">
      <formula>"Energia"</formula>
    </cfRule>
  </conditionalFormatting>
  <conditionalFormatting sqref="B74:C74">
    <cfRule type="cellIs" dxfId="155" priority="55" operator="equal">
      <formula>"Energia"</formula>
    </cfRule>
  </conditionalFormatting>
  <conditionalFormatting sqref="B76:C76">
    <cfRule type="cellIs" dxfId="154" priority="54" operator="equal">
      <formula>"Energia"</formula>
    </cfRule>
  </conditionalFormatting>
  <conditionalFormatting sqref="C27:D27">
    <cfRule type="cellIs" dxfId="153" priority="53" operator="equal">
      <formula>"Energia"</formula>
    </cfRule>
  </conditionalFormatting>
  <conditionalFormatting sqref="D60">
    <cfRule type="cellIs" dxfId="152" priority="52" operator="equal">
      <formula>"Energia"</formula>
    </cfRule>
  </conditionalFormatting>
  <conditionalFormatting sqref="C30:D30">
    <cfRule type="cellIs" dxfId="151" priority="44" operator="equal">
      <formula>"Energia"</formula>
    </cfRule>
  </conditionalFormatting>
  <conditionalFormatting sqref="C34">
    <cfRule type="cellIs" dxfId="150" priority="43" operator="equal">
      <formula>"Energia"</formula>
    </cfRule>
  </conditionalFormatting>
  <conditionalFormatting sqref="F28">
    <cfRule type="cellIs" dxfId="149" priority="42" operator="equal">
      <formula>"Energia"</formula>
    </cfRule>
  </conditionalFormatting>
  <conditionalFormatting sqref="F30">
    <cfRule type="cellIs" dxfId="148" priority="35" operator="equal">
      <formula>"Energia"</formula>
    </cfRule>
    <cfRule type="cellIs" dxfId="147" priority="37" operator="equal">
      <formula>"Operação"</formula>
    </cfRule>
    <cfRule type="cellIs" dxfId="146" priority="38" operator="equal">
      <formula>"Chuva"</formula>
    </cfRule>
    <cfRule type="cellIs" dxfId="145" priority="39" operator="equal">
      <formula>"Elétrico"</formula>
    </cfRule>
    <cfRule type="cellIs" dxfId="144" priority="40" operator="equal">
      <formula>"Mecânico"</formula>
    </cfRule>
    <cfRule type="cellIs" dxfId="143" priority="41" operator="equal">
      <formula>"Ok"</formula>
    </cfRule>
  </conditionalFormatting>
  <conditionalFormatting sqref="F30">
    <cfRule type="cellIs" dxfId="142" priority="36" operator="equal">
      <formula>"Feito"</formula>
    </cfRule>
  </conditionalFormatting>
  <conditionalFormatting sqref="F30">
    <cfRule type="cellIs" dxfId="141" priority="34" operator="equal">
      <formula>"Energia"</formula>
    </cfRule>
  </conditionalFormatting>
  <conditionalFormatting sqref="G35">
    <cfRule type="cellIs" dxfId="140" priority="27" operator="equal">
      <formula>"Energia"</formula>
    </cfRule>
    <cfRule type="cellIs" dxfId="139" priority="29" operator="equal">
      <formula>"Operação"</formula>
    </cfRule>
    <cfRule type="cellIs" dxfId="138" priority="30" operator="equal">
      <formula>"Chuva"</formula>
    </cfRule>
    <cfRule type="cellIs" dxfId="137" priority="31" operator="equal">
      <formula>"Elétrico"</formula>
    </cfRule>
    <cfRule type="cellIs" dxfId="136" priority="32" operator="equal">
      <formula>"Mecânico"</formula>
    </cfRule>
    <cfRule type="cellIs" dxfId="135" priority="33" operator="equal">
      <formula>"Ok"</formula>
    </cfRule>
  </conditionalFormatting>
  <conditionalFormatting sqref="G35">
    <cfRule type="cellIs" dxfId="134" priority="28" operator="equal">
      <formula>"Feito"</formula>
    </cfRule>
  </conditionalFormatting>
  <conditionalFormatting sqref="G35">
    <cfRule type="cellIs" dxfId="133" priority="26" operator="equal">
      <formula>"Energia"</formula>
    </cfRule>
  </conditionalFormatting>
  <conditionalFormatting sqref="H18">
    <cfRule type="cellIs" dxfId="132" priority="25" operator="equal">
      <formula>"Energia"</formula>
    </cfRule>
  </conditionalFormatting>
  <conditionalFormatting sqref="H30">
    <cfRule type="cellIs" dxfId="131" priority="24" operator="equal">
      <formula>"Energia"</formula>
    </cfRule>
  </conditionalFormatting>
  <conditionalFormatting sqref="H31">
    <cfRule type="cellIs" dxfId="130" priority="23" operator="equal">
      <formula>"Energia"</formula>
    </cfRule>
  </conditionalFormatting>
  <conditionalFormatting sqref="H47">
    <cfRule type="cellIs" dxfId="129" priority="16" operator="equal">
      <formula>"Energia"</formula>
    </cfRule>
    <cfRule type="cellIs" dxfId="128" priority="18" operator="equal">
      <formula>"Operação"</formula>
    </cfRule>
    <cfRule type="cellIs" dxfId="127" priority="19" operator="equal">
      <formula>"Chuva"</formula>
    </cfRule>
    <cfRule type="cellIs" dxfId="126" priority="20" operator="equal">
      <formula>"Elétrico"</formula>
    </cfRule>
    <cfRule type="cellIs" dxfId="125" priority="21" operator="equal">
      <formula>"Mecânico"</formula>
    </cfRule>
    <cfRule type="cellIs" dxfId="124" priority="22" operator="equal">
      <formula>"Ok"</formula>
    </cfRule>
  </conditionalFormatting>
  <conditionalFormatting sqref="H47">
    <cfRule type="cellIs" dxfId="123" priority="17" operator="equal">
      <formula>"Feito"</formula>
    </cfRule>
  </conditionalFormatting>
  <conditionalFormatting sqref="H47">
    <cfRule type="cellIs" dxfId="122" priority="15" operator="equal">
      <formula>"Energia"</formula>
    </cfRule>
  </conditionalFormatting>
  <conditionalFormatting sqref="H63">
    <cfRule type="cellIs" dxfId="121" priority="8" operator="equal">
      <formula>"Energia"</formula>
    </cfRule>
    <cfRule type="cellIs" dxfId="120" priority="10" operator="equal">
      <formula>"Operação"</formula>
    </cfRule>
    <cfRule type="cellIs" dxfId="119" priority="11" operator="equal">
      <formula>"Chuva"</formula>
    </cfRule>
    <cfRule type="cellIs" dxfId="118" priority="12" operator="equal">
      <formula>"Elétrico"</formula>
    </cfRule>
    <cfRule type="cellIs" dxfId="117" priority="13" operator="equal">
      <formula>"Mecânico"</formula>
    </cfRule>
    <cfRule type="cellIs" dxfId="116" priority="14" operator="equal">
      <formula>"Ok"</formula>
    </cfRule>
  </conditionalFormatting>
  <conditionalFormatting sqref="H63">
    <cfRule type="cellIs" dxfId="115" priority="9" operator="equal">
      <formula>"Feito"</formula>
    </cfRule>
  </conditionalFormatting>
  <conditionalFormatting sqref="H65">
    <cfRule type="cellIs" dxfId="114" priority="1" operator="equal">
      <formula>"Energia"</formula>
    </cfRule>
    <cfRule type="cellIs" dxfId="113" priority="3" operator="equal">
      <formula>"Operação"</formula>
    </cfRule>
    <cfRule type="cellIs" dxfId="112" priority="4" operator="equal">
      <formula>"Chuva"</formula>
    </cfRule>
    <cfRule type="cellIs" dxfId="111" priority="5" operator="equal">
      <formula>"Elétrico"</formula>
    </cfRule>
    <cfRule type="cellIs" dxfId="110" priority="6" operator="equal">
      <formula>"Mecânico"</formula>
    </cfRule>
    <cfRule type="cellIs" dxfId="109" priority="7" operator="equal">
      <formula>"Ok"</formula>
    </cfRule>
  </conditionalFormatting>
  <conditionalFormatting sqref="H65">
    <cfRule type="cellIs" dxfId="108" priority="2" operator="equal">
      <formula>"Feito"</formula>
    </cfRule>
  </conditionalFormatting>
  <dataValidations count="1">
    <dataValidation type="list" allowBlank="1" showInputMessage="1" showErrorMessage="1" sqref="I5:I16 J36:J60 I29:I62 I19:I26 B5:H95" xr:uid="{FB685479-B125-43B7-920F-7805D800846F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C216-E523-44A2-92E8-A20C65562176}">
  <sheetPr>
    <tabColor theme="8"/>
  </sheetPr>
  <dimension ref="A1:Q95"/>
  <sheetViews>
    <sheetView showGridLines="0" zoomScaleNormal="100" workbookViewId="0">
      <pane ySplit="4" topLeftCell="A62" activePane="bottomLeft" state="frozen"/>
      <selection pane="bottomLeft" activeCell="L66" sqref="L6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6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82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4" t="s">
        <v>16</v>
      </c>
      <c r="B3" s="23">
        <v>44851</v>
      </c>
      <c r="C3" s="23">
        <f>B3+1</f>
        <v>44852</v>
      </c>
      <c r="D3" s="23">
        <f t="shared" ref="D3:H3" si="0">C3+1</f>
        <v>44853</v>
      </c>
      <c r="E3" s="23">
        <f t="shared" si="0"/>
        <v>44854</v>
      </c>
      <c r="F3" s="23">
        <f t="shared" si="0"/>
        <v>44855</v>
      </c>
      <c r="G3" s="23">
        <f t="shared" si="0"/>
        <v>44856</v>
      </c>
      <c r="H3" s="25">
        <f t="shared" si="0"/>
        <v>44857</v>
      </c>
      <c r="I3" s="3"/>
    </row>
    <row r="4" spans="1:17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  <c r="K4" t="s">
        <v>32</v>
      </c>
      <c r="L4" t="s">
        <v>33</v>
      </c>
      <c r="M4" t="s">
        <v>34</v>
      </c>
      <c r="Q4" t="s">
        <v>34</v>
      </c>
    </row>
    <row r="5" spans="1:17" x14ac:dyDescent="0.25">
      <c r="A5" s="4">
        <v>1</v>
      </c>
      <c r="B5" s="38" t="s">
        <v>2</v>
      </c>
      <c r="C5" s="38" t="s">
        <v>2</v>
      </c>
      <c r="D5" s="38" t="s">
        <v>2</v>
      </c>
      <c r="E5" s="38" t="s">
        <v>2</v>
      </c>
      <c r="F5" s="38" t="s">
        <v>2</v>
      </c>
      <c r="G5" s="38" t="s">
        <v>2</v>
      </c>
      <c r="H5" s="38" t="s">
        <v>2</v>
      </c>
      <c r="J5" s="48" t="s">
        <v>2</v>
      </c>
      <c r="K5">
        <f>COUNTIF($B$5:$H$95,J5)</f>
        <v>267</v>
      </c>
      <c r="L5" s="34">
        <f t="shared" ref="L5:L10" si="2">K5/$K$11</f>
        <v>0.84493670886075944</v>
      </c>
      <c r="M5" s="52">
        <f>B3</f>
        <v>44851</v>
      </c>
      <c r="O5" t="s">
        <v>44</v>
      </c>
      <c r="P5">
        <v>295</v>
      </c>
      <c r="Q5" s="52">
        <f>M5</f>
        <v>44851</v>
      </c>
    </row>
    <row r="6" spans="1:17" x14ac:dyDescent="0.25">
      <c r="A6" s="4">
        <v>2</v>
      </c>
      <c r="B6" s="38" t="s">
        <v>2</v>
      </c>
      <c r="C6" s="38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  <c r="J6" s="42" t="s">
        <v>5</v>
      </c>
      <c r="K6">
        <f>COUNTIF($B$5:$H$95,J6)</f>
        <v>8</v>
      </c>
      <c r="L6" s="35">
        <f t="shared" si="2"/>
        <v>2.5316455696202531E-2</v>
      </c>
      <c r="O6" t="s">
        <v>46</v>
      </c>
      <c r="P6">
        <f>SUM(K19:K25)</f>
        <v>7</v>
      </c>
    </row>
    <row r="7" spans="1:17" x14ac:dyDescent="0.25">
      <c r="A7" s="4">
        <v>3</v>
      </c>
      <c r="B7" s="38" t="s">
        <v>2</v>
      </c>
      <c r="C7" s="38" t="s">
        <v>2</v>
      </c>
      <c r="D7" s="38" t="s">
        <v>2</v>
      </c>
      <c r="E7" s="38" t="s">
        <v>2</v>
      </c>
      <c r="F7" s="38" t="s">
        <v>2</v>
      </c>
      <c r="G7" s="38" t="s">
        <v>2</v>
      </c>
      <c r="H7" s="38" t="s">
        <v>2</v>
      </c>
      <c r="J7" s="46" t="s">
        <v>6</v>
      </c>
      <c r="K7">
        <f t="shared" ref="K7:K10" si="3">COUNTIF($B$5:$H$95,J7)</f>
        <v>3</v>
      </c>
      <c r="L7" s="35">
        <f t="shared" si="2"/>
        <v>9.4936708860759497E-3</v>
      </c>
      <c r="O7" t="s">
        <v>45</v>
      </c>
      <c r="P7">
        <f>SUM(K29:K35)</f>
        <v>0</v>
      </c>
    </row>
    <row r="8" spans="1:17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 t="s">
        <v>2</v>
      </c>
      <c r="G8" s="38" t="s">
        <v>2</v>
      </c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  <c r="O8" s="65" t="s">
        <v>17</v>
      </c>
      <c r="P8" s="65">
        <f>P5+P6-P7</f>
        <v>302</v>
      </c>
    </row>
    <row r="9" spans="1:17" x14ac:dyDescent="0.25">
      <c r="A9" s="4">
        <v>5</v>
      </c>
      <c r="B9" s="38" t="s">
        <v>2</v>
      </c>
      <c r="C9" s="38" t="s">
        <v>2</v>
      </c>
      <c r="D9" s="38" t="s">
        <v>2</v>
      </c>
      <c r="E9" s="38" t="s">
        <v>2</v>
      </c>
      <c r="F9" s="38" t="s">
        <v>2</v>
      </c>
      <c r="G9" s="38" t="s">
        <v>2</v>
      </c>
      <c r="H9" s="38" t="s">
        <v>2</v>
      </c>
      <c r="J9" s="45" t="s">
        <v>3</v>
      </c>
      <c r="K9">
        <f t="shared" si="3"/>
        <v>0</v>
      </c>
      <c r="L9" s="35">
        <f t="shared" si="2"/>
        <v>0</v>
      </c>
    </row>
    <row r="10" spans="1:17" x14ac:dyDescent="0.25">
      <c r="A10" s="4">
        <v>6</v>
      </c>
      <c r="B10" s="38"/>
      <c r="C10" s="38" t="s">
        <v>2</v>
      </c>
      <c r="D10" s="38"/>
      <c r="E10" s="38" t="s">
        <v>2</v>
      </c>
      <c r="F10" s="38" t="s">
        <v>2</v>
      </c>
      <c r="G10" s="38" t="s">
        <v>2</v>
      </c>
      <c r="H10" s="38" t="s">
        <v>2</v>
      </c>
      <c r="J10" s="43" t="s">
        <v>7</v>
      </c>
      <c r="K10">
        <f t="shared" si="3"/>
        <v>38</v>
      </c>
      <c r="L10" s="37">
        <f t="shared" si="2"/>
        <v>0.12025316455696203</v>
      </c>
      <c r="O10" t="s">
        <v>65</v>
      </c>
      <c r="P10">
        <f>P8</f>
        <v>302</v>
      </c>
    </row>
    <row r="11" spans="1:17" x14ac:dyDescent="0.25">
      <c r="A11" s="4">
        <v>7</v>
      </c>
      <c r="B11" s="38"/>
      <c r="C11" s="38" t="s">
        <v>7</v>
      </c>
      <c r="D11" s="38"/>
      <c r="E11" s="38" t="s">
        <v>2</v>
      </c>
      <c r="F11" s="38" t="s">
        <v>2</v>
      </c>
      <c r="G11" s="38" t="s">
        <v>2</v>
      </c>
      <c r="H11" s="38" t="s">
        <v>2</v>
      </c>
      <c r="J11" s="44" t="s">
        <v>17</v>
      </c>
      <c r="K11">
        <f>SUM(K5:K10)</f>
        <v>316</v>
      </c>
    </row>
    <row r="12" spans="1:17" x14ac:dyDescent="0.25">
      <c r="A12" s="4">
        <v>8</v>
      </c>
      <c r="B12" s="38" t="s">
        <v>2</v>
      </c>
      <c r="C12" s="38"/>
      <c r="D12" s="38"/>
      <c r="E12" s="38"/>
      <c r="F12" s="38"/>
      <c r="G12" s="38"/>
      <c r="H12" s="38" t="s">
        <v>2</v>
      </c>
    </row>
    <row r="13" spans="1:17" x14ac:dyDescent="0.25">
      <c r="A13" s="4">
        <v>9</v>
      </c>
      <c r="B13" s="38"/>
      <c r="C13" s="38"/>
      <c r="D13" s="38"/>
      <c r="E13" s="38"/>
      <c r="F13" s="38" t="s">
        <v>2</v>
      </c>
      <c r="G13" s="38" t="s">
        <v>2</v>
      </c>
      <c r="H13" s="38" t="s">
        <v>2</v>
      </c>
    </row>
    <row r="14" spans="1:17" x14ac:dyDescent="0.25">
      <c r="A14" s="4">
        <v>10</v>
      </c>
      <c r="B14" s="38"/>
      <c r="C14" s="38"/>
      <c r="D14" s="38"/>
      <c r="E14" s="38"/>
      <c r="F14" s="38" t="s">
        <v>2</v>
      </c>
      <c r="G14" s="38" t="s">
        <v>2</v>
      </c>
      <c r="H14" s="38" t="s">
        <v>2</v>
      </c>
    </row>
    <row r="15" spans="1:17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7" x14ac:dyDescent="0.25">
      <c r="A16" s="4">
        <v>12</v>
      </c>
      <c r="B16" s="38"/>
      <c r="C16" s="38"/>
      <c r="D16" s="38"/>
      <c r="E16" s="38"/>
      <c r="F16" s="38"/>
      <c r="G16" s="38"/>
      <c r="H16" s="38" t="s">
        <v>2</v>
      </c>
      <c r="O16" s="61"/>
    </row>
    <row r="17" spans="1:13" x14ac:dyDescent="0.25">
      <c r="A17" s="4">
        <v>13</v>
      </c>
      <c r="B17" s="38"/>
      <c r="C17" s="38"/>
      <c r="D17" s="38"/>
      <c r="E17" s="38"/>
      <c r="F17" s="38"/>
      <c r="G17" s="38"/>
      <c r="H17" s="38"/>
      <c r="I17" s="71" t="s">
        <v>46</v>
      </c>
      <c r="J17" s="72"/>
      <c r="K17" s="72"/>
      <c r="M17" s="53"/>
    </row>
    <row r="18" spans="1:13" x14ac:dyDescent="0.25">
      <c r="A18" s="4">
        <v>14</v>
      </c>
      <c r="B18" s="38"/>
      <c r="C18" s="38"/>
      <c r="D18" s="38" t="s">
        <v>2</v>
      </c>
      <c r="E18" s="38" t="s">
        <v>7</v>
      </c>
      <c r="F18" s="38"/>
      <c r="G18" s="38"/>
      <c r="H18" s="38"/>
      <c r="I18" s="71" t="s">
        <v>54</v>
      </c>
      <c r="J18" s="72"/>
      <c r="K18" t="s">
        <v>32</v>
      </c>
    </row>
    <row r="19" spans="1:13" x14ac:dyDescent="0.25">
      <c r="A19" s="4">
        <v>15</v>
      </c>
      <c r="B19" s="38"/>
      <c r="C19" s="38"/>
      <c r="D19" s="38"/>
      <c r="E19" s="38"/>
      <c r="F19" s="38"/>
      <c r="G19" s="38"/>
      <c r="H19" s="38"/>
      <c r="I19" s="68" t="s">
        <v>47</v>
      </c>
      <c r="J19" s="68" t="str">
        <f>TEXT(B3,"ddd")</f>
        <v>seg</v>
      </c>
      <c r="K19" s="60"/>
    </row>
    <row r="20" spans="1:13" x14ac:dyDescent="0.25">
      <c r="A20" s="4">
        <v>16</v>
      </c>
      <c r="B20" s="38"/>
      <c r="C20" s="38"/>
      <c r="D20" s="38"/>
      <c r="E20" s="38"/>
      <c r="F20" s="38"/>
      <c r="G20" s="38"/>
      <c r="H20" s="38"/>
      <c r="I20" s="68" t="s">
        <v>48</v>
      </c>
      <c r="J20" s="68" t="str">
        <f>TEXT(C3,"ddd")</f>
        <v>ter</v>
      </c>
      <c r="K20" s="60"/>
    </row>
    <row r="21" spans="1:13" x14ac:dyDescent="0.25">
      <c r="A21" s="4">
        <v>17</v>
      </c>
      <c r="B21" s="38"/>
      <c r="C21" s="38"/>
      <c r="D21" s="38"/>
      <c r="E21" s="38"/>
      <c r="F21" s="38"/>
      <c r="G21" s="38"/>
      <c r="H21" s="38"/>
      <c r="I21" s="68" t="s">
        <v>49</v>
      </c>
      <c r="J21" s="68" t="str">
        <f>TEXT(D3,"ddd")</f>
        <v>qua</v>
      </c>
      <c r="K21" s="60">
        <v>2</v>
      </c>
    </row>
    <row r="22" spans="1:13" x14ac:dyDescent="0.25">
      <c r="A22" s="4">
        <v>18</v>
      </c>
      <c r="B22" s="38"/>
      <c r="C22" s="38"/>
      <c r="D22" s="38"/>
      <c r="E22" s="38"/>
      <c r="F22" s="38"/>
      <c r="G22" s="38"/>
      <c r="H22" s="38"/>
      <c r="I22" s="68" t="s">
        <v>50</v>
      </c>
      <c r="J22" s="68" t="str">
        <f>TEXT(E3,"ddd")</f>
        <v>qui</v>
      </c>
      <c r="K22" s="60">
        <v>3</v>
      </c>
    </row>
    <row r="23" spans="1:13" x14ac:dyDescent="0.25">
      <c r="A23" s="4">
        <v>19</v>
      </c>
      <c r="B23" s="38"/>
      <c r="C23" s="38" t="s">
        <v>5</v>
      </c>
      <c r="D23" s="38" t="s">
        <v>7</v>
      </c>
      <c r="E23" s="38" t="s">
        <v>7</v>
      </c>
      <c r="F23" s="38"/>
      <c r="G23" s="38"/>
      <c r="H23" s="38"/>
      <c r="I23" s="68" t="s">
        <v>51</v>
      </c>
      <c r="J23" s="68" t="str">
        <f>TEXT(F3,"ddd")</f>
        <v>sex</v>
      </c>
      <c r="K23" s="60">
        <v>2</v>
      </c>
    </row>
    <row r="24" spans="1:13" x14ac:dyDescent="0.25">
      <c r="A24" s="4">
        <v>20</v>
      </c>
      <c r="B24" s="38"/>
      <c r="C24" s="38"/>
      <c r="D24" s="38"/>
      <c r="E24" s="38"/>
      <c r="F24" s="38"/>
      <c r="G24" s="38"/>
      <c r="H24" s="38"/>
      <c r="I24" s="68" t="s">
        <v>52</v>
      </c>
      <c r="J24" s="68" t="str">
        <f>TEXT(G3,"ddd")</f>
        <v>sáb</v>
      </c>
      <c r="K24" s="60"/>
    </row>
    <row r="25" spans="1:13" x14ac:dyDescent="0.25">
      <c r="A25" s="4">
        <v>21</v>
      </c>
      <c r="B25" s="38"/>
      <c r="C25" s="38"/>
      <c r="D25" s="38"/>
      <c r="E25" s="38"/>
      <c r="F25" s="38"/>
      <c r="G25" s="38"/>
      <c r="H25" s="38"/>
      <c r="I25" s="68" t="s">
        <v>53</v>
      </c>
      <c r="J25" s="68" t="str">
        <f>TEXT(H3,"ddd")</f>
        <v>dom</v>
      </c>
      <c r="K25" s="60"/>
    </row>
    <row r="26" spans="1:13" x14ac:dyDescent="0.25">
      <c r="A26" s="4">
        <v>22</v>
      </c>
      <c r="B26" s="38" t="s">
        <v>2</v>
      </c>
      <c r="C26" s="38" t="s">
        <v>2</v>
      </c>
      <c r="D26" s="38"/>
      <c r="E26" s="38"/>
      <c r="F26" s="38" t="s">
        <v>7</v>
      </c>
      <c r="G26" s="38"/>
      <c r="H26" s="38"/>
    </row>
    <row r="27" spans="1:13" x14ac:dyDescent="0.25">
      <c r="A27" s="4">
        <v>23</v>
      </c>
      <c r="B27" s="38" t="s">
        <v>2</v>
      </c>
      <c r="C27" s="38" t="s">
        <v>2</v>
      </c>
      <c r="D27" s="38" t="s">
        <v>2</v>
      </c>
      <c r="E27" s="38" t="s">
        <v>7</v>
      </c>
      <c r="F27" s="38" t="s">
        <v>2</v>
      </c>
      <c r="G27" s="38" t="s">
        <v>2</v>
      </c>
      <c r="H27" s="38" t="s">
        <v>2</v>
      </c>
      <c r="I27" s="71" t="s">
        <v>45</v>
      </c>
      <c r="J27" s="72"/>
      <c r="K27" s="72"/>
    </row>
    <row r="28" spans="1:13" x14ac:dyDescent="0.25">
      <c r="A28" s="4">
        <v>24</v>
      </c>
      <c r="B28" s="38" t="s">
        <v>2</v>
      </c>
      <c r="C28" s="38" t="s">
        <v>7</v>
      </c>
      <c r="D28" s="38" t="s">
        <v>7</v>
      </c>
      <c r="E28" s="38"/>
      <c r="F28" s="38" t="s">
        <v>7</v>
      </c>
      <c r="G28" s="38"/>
      <c r="H28" s="38" t="s">
        <v>2</v>
      </c>
      <c r="I28" s="71" t="s">
        <v>54</v>
      </c>
      <c r="J28" s="72"/>
      <c r="K28" t="s">
        <v>32</v>
      </c>
    </row>
    <row r="29" spans="1:13" x14ac:dyDescent="0.25">
      <c r="A29" s="4">
        <v>25</v>
      </c>
      <c r="B29" s="38" t="s">
        <v>2</v>
      </c>
      <c r="C29" s="38" t="s">
        <v>2</v>
      </c>
      <c r="D29" s="38" t="s">
        <v>2</v>
      </c>
      <c r="E29" s="38" t="s">
        <v>2</v>
      </c>
      <c r="F29" s="38" t="s">
        <v>2</v>
      </c>
      <c r="G29" s="38" t="s">
        <v>2</v>
      </c>
      <c r="H29" s="38" t="s">
        <v>2</v>
      </c>
      <c r="I29" s="68" t="s">
        <v>47</v>
      </c>
      <c r="J29" s="68" t="str">
        <f t="shared" ref="J29:J35" si="4">J19</f>
        <v>seg</v>
      </c>
      <c r="K29" s="60"/>
    </row>
    <row r="30" spans="1:13" x14ac:dyDescent="0.25">
      <c r="A30" s="4">
        <v>26</v>
      </c>
      <c r="B30" s="38" t="s">
        <v>7</v>
      </c>
      <c r="C30" s="38" t="s">
        <v>7</v>
      </c>
      <c r="D30" s="38" t="s">
        <v>2</v>
      </c>
      <c r="E30" s="38" t="s">
        <v>2</v>
      </c>
      <c r="F30" s="38" t="s">
        <v>2</v>
      </c>
      <c r="G30" s="38" t="s">
        <v>2</v>
      </c>
      <c r="H30" s="38" t="s">
        <v>2</v>
      </c>
      <c r="I30" s="68" t="s">
        <v>48</v>
      </c>
      <c r="J30" s="68" t="str">
        <f t="shared" si="4"/>
        <v>ter</v>
      </c>
      <c r="K30" s="60"/>
    </row>
    <row r="31" spans="1:13" x14ac:dyDescent="0.25">
      <c r="A31" s="4">
        <v>27</v>
      </c>
      <c r="B31" s="38"/>
      <c r="C31" s="38"/>
      <c r="D31" s="38" t="s">
        <v>2</v>
      </c>
      <c r="E31" s="38" t="s">
        <v>2</v>
      </c>
      <c r="F31" s="38" t="s">
        <v>2</v>
      </c>
      <c r="G31" s="38"/>
      <c r="H31" s="38"/>
      <c r="I31" s="68" t="s">
        <v>49</v>
      </c>
      <c r="J31" s="68" t="str">
        <f t="shared" si="4"/>
        <v>qua</v>
      </c>
      <c r="K31" s="60"/>
    </row>
    <row r="32" spans="1:13" x14ac:dyDescent="0.25">
      <c r="A32" s="4">
        <v>28</v>
      </c>
      <c r="B32" s="38" t="s">
        <v>5</v>
      </c>
      <c r="C32" s="38" t="s">
        <v>5</v>
      </c>
      <c r="D32" s="38" t="s">
        <v>5</v>
      </c>
      <c r="E32" s="38" t="s">
        <v>5</v>
      </c>
      <c r="F32" s="38" t="s">
        <v>2</v>
      </c>
      <c r="G32" s="38" t="s">
        <v>2</v>
      </c>
      <c r="H32" s="38" t="s">
        <v>2</v>
      </c>
      <c r="I32" s="68" t="s">
        <v>50</v>
      </c>
      <c r="J32" s="68" t="str">
        <f t="shared" si="4"/>
        <v>qui</v>
      </c>
      <c r="K32" s="60"/>
    </row>
    <row r="33" spans="1:11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2</v>
      </c>
      <c r="F33" s="38" t="s">
        <v>2</v>
      </c>
      <c r="G33" s="38" t="s">
        <v>2</v>
      </c>
      <c r="H33" s="38" t="s">
        <v>2</v>
      </c>
      <c r="I33" s="68" t="s">
        <v>51</v>
      </c>
      <c r="J33" s="68" t="str">
        <f t="shared" si="4"/>
        <v>sex</v>
      </c>
      <c r="K33" s="60"/>
    </row>
    <row r="34" spans="1:11" x14ac:dyDescent="0.25">
      <c r="A34" s="4">
        <v>30</v>
      </c>
      <c r="B34" s="38" t="s">
        <v>7</v>
      </c>
      <c r="C34" s="38" t="s">
        <v>7</v>
      </c>
      <c r="D34" s="38" t="s">
        <v>7</v>
      </c>
      <c r="E34" s="38" t="s">
        <v>7</v>
      </c>
      <c r="F34" s="38" t="s">
        <v>2</v>
      </c>
      <c r="G34" s="38" t="s">
        <v>2</v>
      </c>
      <c r="H34" s="38" t="s">
        <v>2</v>
      </c>
      <c r="I34" s="68" t="s">
        <v>52</v>
      </c>
      <c r="J34" s="68" t="str">
        <f t="shared" si="4"/>
        <v>sáb</v>
      </c>
      <c r="K34" s="60"/>
    </row>
    <row r="35" spans="1:11" x14ac:dyDescent="0.25">
      <c r="A35" s="4">
        <v>31</v>
      </c>
      <c r="B35" s="38" t="s">
        <v>2</v>
      </c>
      <c r="C35" s="38" t="s">
        <v>2</v>
      </c>
      <c r="D35" s="38" t="s">
        <v>2</v>
      </c>
      <c r="E35" s="38" t="s">
        <v>2</v>
      </c>
      <c r="F35" s="38" t="s">
        <v>2</v>
      </c>
      <c r="G35" s="38" t="s">
        <v>2</v>
      </c>
      <c r="H35" s="38" t="s">
        <v>2</v>
      </c>
      <c r="I35" s="68" t="s">
        <v>53</v>
      </c>
      <c r="J35" s="68" t="str">
        <f t="shared" si="4"/>
        <v>dom</v>
      </c>
      <c r="K35" s="60"/>
    </row>
    <row r="36" spans="1:11" x14ac:dyDescent="0.25">
      <c r="A36" s="4">
        <v>32</v>
      </c>
      <c r="B36" s="38" t="s">
        <v>2</v>
      </c>
      <c r="C36" s="38" t="s">
        <v>2</v>
      </c>
      <c r="D36" s="38" t="s">
        <v>2</v>
      </c>
      <c r="E36" s="38" t="s">
        <v>2</v>
      </c>
      <c r="F36" s="38" t="s">
        <v>2</v>
      </c>
      <c r="G36" s="38" t="s">
        <v>2</v>
      </c>
      <c r="H36" s="38" t="s">
        <v>2</v>
      </c>
    </row>
    <row r="37" spans="1:11" x14ac:dyDescent="0.25">
      <c r="A37" s="4">
        <v>33</v>
      </c>
      <c r="B37" s="38" t="s">
        <v>7</v>
      </c>
      <c r="C37" s="38" t="s">
        <v>2</v>
      </c>
      <c r="D37" s="38" t="s">
        <v>2</v>
      </c>
      <c r="E37" s="38" t="s">
        <v>7</v>
      </c>
      <c r="F37" s="38" t="s">
        <v>2</v>
      </c>
      <c r="G37" s="38" t="s">
        <v>2</v>
      </c>
      <c r="H37" s="38" t="s">
        <v>2</v>
      </c>
    </row>
    <row r="38" spans="1:11" x14ac:dyDescent="0.25">
      <c r="A38" s="4">
        <v>34</v>
      </c>
      <c r="B38" s="38"/>
      <c r="C38" s="38"/>
      <c r="D38" s="38"/>
      <c r="E38" s="38"/>
      <c r="F38" s="38"/>
      <c r="G38" s="38"/>
      <c r="H38" s="38"/>
    </row>
    <row r="39" spans="1:11" x14ac:dyDescent="0.25">
      <c r="A39" s="4">
        <v>35</v>
      </c>
      <c r="B39" s="38" t="s">
        <v>2</v>
      </c>
      <c r="C39" s="38"/>
      <c r="D39" s="38" t="s">
        <v>2</v>
      </c>
      <c r="E39" s="38"/>
      <c r="F39" s="38" t="s">
        <v>2</v>
      </c>
      <c r="G39" s="38" t="s">
        <v>2</v>
      </c>
      <c r="H39" s="38" t="s">
        <v>2</v>
      </c>
    </row>
    <row r="40" spans="1:11" x14ac:dyDescent="0.25">
      <c r="A40" s="4">
        <v>36</v>
      </c>
      <c r="B40" s="38" t="s">
        <v>2</v>
      </c>
      <c r="C40" s="38" t="s">
        <v>2</v>
      </c>
      <c r="D40" s="38" t="s">
        <v>2</v>
      </c>
      <c r="E40" s="38" t="s">
        <v>2</v>
      </c>
      <c r="F40" s="38" t="s">
        <v>2</v>
      </c>
      <c r="G40" s="38" t="s">
        <v>2</v>
      </c>
      <c r="H40" s="38" t="s">
        <v>2</v>
      </c>
    </row>
    <row r="41" spans="1:11" x14ac:dyDescent="0.25">
      <c r="A41" s="4">
        <v>37</v>
      </c>
      <c r="B41" s="38" t="s">
        <v>2</v>
      </c>
      <c r="C41" s="38" t="s">
        <v>2</v>
      </c>
      <c r="D41" s="38" t="s">
        <v>2</v>
      </c>
      <c r="E41" s="38" t="s">
        <v>2</v>
      </c>
      <c r="F41" s="38" t="s">
        <v>2</v>
      </c>
      <c r="G41" s="38" t="s">
        <v>2</v>
      </c>
      <c r="H41" s="38"/>
    </row>
    <row r="42" spans="1:11" x14ac:dyDescent="0.25">
      <c r="A42" s="4">
        <v>38</v>
      </c>
      <c r="B42" s="38" t="s">
        <v>2</v>
      </c>
      <c r="C42" s="38" t="s">
        <v>2</v>
      </c>
      <c r="D42" s="38" t="s">
        <v>2</v>
      </c>
      <c r="E42" s="38" t="s">
        <v>2</v>
      </c>
      <c r="F42" s="38" t="s">
        <v>2</v>
      </c>
      <c r="G42" s="38" t="s">
        <v>2</v>
      </c>
      <c r="H42" s="38" t="s">
        <v>2</v>
      </c>
    </row>
    <row r="43" spans="1:11" x14ac:dyDescent="0.25">
      <c r="A43" s="4">
        <v>39</v>
      </c>
      <c r="B43" s="38"/>
      <c r="C43" s="38"/>
      <c r="D43" s="38"/>
      <c r="E43" s="38"/>
      <c r="F43" s="38"/>
      <c r="G43" s="38"/>
      <c r="H43" s="38"/>
    </row>
    <row r="44" spans="1:11" x14ac:dyDescent="0.25">
      <c r="A44" s="4">
        <v>40</v>
      </c>
      <c r="B44" s="38"/>
      <c r="C44" s="38"/>
      <c r="D44" s="38"/>
      <c r="E44" s="38"/>
      <c r="F44" s="38"/>
      <c r="G44" s="38"/>
      <c r="H44" s="38"/>
    </row>
    <row r="45" spans="1:11" x14ac:dyDescent="0.25">
      <c r="A45" s="4">
        <v>41</v>
      </c>
      <c r="B45" s="38"/>
      <c r="C45" s="38"/>
      <c r="D45" s="38"/>
      <c r="E45" s="38"/>
      <c r="F45" s="38"/>
      <c r="G45" s="38"/>
      <c r="H45" s="38"/>
    </row>
    <row r="46" spans="1:11" x14ac:dyDescent="0.25">
      <c r="A46" s="4">
        <v>42</v>
      </c>
      <c r="B46" s="38" t="s">
        <v>2</v>
      </c>
      <c r="C46" s="38" t="s">
        <v>2</v>
      </c>
      <c r="D46" s="38" t="s">
        <v>2</v>
      </c>
      <c r="E46" s="38" t="s">
        <v>2</v>
      </c>
      <c r="F46" s="38" t="s">
        <v>2</v>
      </c>
      <c r="G46" s="38" t="s">
        <v>2</v>
      </c>
      <c r="H46" s="38"/>
    </row>
    <row r="47" spans="1:11" x14ac:dyDescent="0.25">
      <c r="A47" s="4">
        <v>43</v>
      </c>
      <c r="B47" s="38" t="s">
        <v>7</v>
      </c>
      <c r="C47" s="38" t="s">
        <v>7</v>
      </c>
      <c r="D47" s="38" t="s">
        <v>2</v>
      </c>
      <c r="E47" s="38" t="s">
        <v>2</v>
      </c>
      <c r="F47" s="38" t="s">
        <v>2</v>
      </c>
      <c r="G47" s="38" t="s">
        <v>2</v>
      </c>
      <c r="H47" s="38" t="s">
        <v>7</v>
      </c>
    </row>
    <row r="48" spans="1:11" x14ac:dyDescent="0.25">
      <c r="A48" s="4">
        <v>44</v>
      </c>
      <c r="B48" s="38" t="s">
        <v>2</v>
      </c>
      <c r="C48" s="38"/>
      <c r="D48" s="38"/>
      <c r="E48" s="38"/>
      <c r="F48" s="38"/>
      <c r="G48" s="38"/>
      <c r="H48" s="38"/>
    </row>
    <row r="49" spans="1:11" x14ac:dyDescent="0.25">
      <c r="A49" s="4">
        <v>45</v>
      </c>
      <c r="B49" s="38" t="s">
        <v>2</v>
      </c>
      <c r="C49" s="38" t="s">
        <v>2</v>
      </c>
      <c r="D49" s="38" t="s">
        <v>7</v>
      </c>
      <c r="E49" s="38" t="s">
        <v>7</v>
      </c>
      <c r="F49" s="38" t="s">
        <v>2</v>
      </c>
      <c r="G49" s="38" t="s">
        <v>2</v>
      </c>
      <c r="H49" s="38" t="s">
        <v>2</v>
      </c>
    </row>
    <row r="50" spans="1:11" x14ac:dyDescent="0.25">
      <c r="A50" s="4">
        <v>46</v>
      </c>
      <c r="B50" s="38" t="s">
        <v>2</v>
      </c>
      <c r="C50" s="38" t="s">
        <v>2</v>
      </c>
      <c r="D50" s="38" t="s">
        <v>2</v>
      </c>
      <c r="E50" s="38"/>
      <c r="F50" s="38" t="s">
        <v>2</v>
      </c>
      <c r="G50" s="38" t="s">
        <v>7</v>
      </c>
      <c r="H50" s="38" t="s">
        <v>2</v>
      </c>
    </row>
    <row r="51" spans="1:11" x14ac:dyDescent="0.25">
      <c r="A51" s="4">
        <v>47</v>
      </c>
      <c r="B51" s="38"/>
      <c r="C51" s="38"/>
      <c r="D51" s="38"/>
      <c r="E51" s="38" t="s">
        <v>2</v>
      </c>
      <c r="F51" s="38" t="s">
        <v>2</v>
      </c>
      <c r="G51" s="38"/>
      <c r="H51" s="38" t="s">
        <v>2</v>
      </c>
    </row>
    <row r="52" spans="1:11" x14ac:dyDescent="0.25">
      <c r="A52" s="4">
        <v>48</v>
      </c>
      <c r="B52" s="38"/>
      <c r="C52" s="38" t="s">
        <v>7</v>
      </c>
      <c r="D52" s="38" t="s">
        <v>7</v>
      </c>
      <c r="E52" s="38"/>
      <c r="F52" s="38" t="s">
        <v>2</v>
      </c>
      <c r="G52" s="38"/>
      <c r="H52" s="38" t="s">
        <v>2</v>
      </c>
    </row>
    <row r="53" spans="1:11" x14ac:dyDescent="0.25">
      <c r="A53" s="4">
        <v>49</v>
      </c>
      <c r="B53" s="38"/>
      <c r="C53" s="38"/>
      <c r="D53" s="38" t="s">
        <v>2</v>
      </c>
      <c r="E53" s="38"/>
      <c r="F53" s="38"/>
      <c r="G53" s="38"/>
      <c r="H53" s="38" t="s">
        <v>2</v>
      </c>
      <c r="K53" t="s">
        <v>68</v>
      </c>
    </row>
    <row r="54" spans="1:11" x14ac:dyDescent="0.25">
      <c r="A54" s="4">
        <v>50</v>
      </c>
      <c r="B54" s="38" t="s">
        <v>7</v>
      </c>
      <c r="C54" s="38" t="s">
        <v>2</v>
      </c>
      <c r="D54" s="38" t="s">
        <v>2</v>
      </c>
      <c r="E54" s="38" t="s">
        <v>2</v>
      </c>
      <c r="F54" s="38" t="s">
        <v>2</v>
      </c>
      <c r="G54" s="38" t="s">
        <v>2</v>
      </c>
      <c r="H54" s="38" t="s">
        <v>2</v>
      </c>
    </row>
    <row r="55" spans="1:11" x14ac:dyDescent="0.25">
      <c r="A55" s="4">
        <v>51</v>
      </c>
      <c r="B55" s="38" t="s">
        <v>2</v>
      </c>
      <c r="C55" s="38" t="s">
        <v>2</v>
      </c>
      <c r="D55" s="38" t="s">
        <v>2</v>
      </c>
      <c r="E55" s="38" t="s">
        <v>2</v>
      </c>
      <c r="F55" s="38" t="s">
        <v>2</v>
      </c>
      <c r="G55" s="38" t="s">
        <v>2</v>
      </c>
      <c r="H55" s="38" t="s">
        <v>2</v>
      </c>
    </row>
    <row r="56" spans="1:11" x14ac:dyDescent="0.25">
      <c r="A56" s="4">
        <v>52</v>
      </c>
      <c r="B56" s="38" t="s">
        <v>2</v>
      </c>
      <c r="C56" s="38" t="s">
        <v>2</v>
      </c>
      <c r="D56" s="38" t="s">
        <v>2</v>
      </c>
      <c r="E56" s="38" t="s">
        <v>2</v>
      </c>
      <c r="F56" s="38" t="s">
        <v>2</v>
      </c>
      <c r="G56" s="38" t="s">
        <v>2</v>
      </c>
      <c r="H56" s="38" t="s">
        <v>2</v>
      </c>
    </row>
    <row r="57" spans="1:11" x14ac:dyDescent="0.25">
      <c r="A57" s="4">
        <v>53</v>
      </c>
      <c r="B57" s="38" t="s">
        <v>2</v>
      </c>
      <c r="C57" s="38" t="s">
        <v>2</v>
      </c>
      <c r="D57" s="38" t="s">
        <v>2</v>
      </c>
      <c r="E57" s="38" t="s">
        <v>2</v>
      </c>
      <c r="F57" s="38" t="s">
        <v>2</v>
      </c>
      <c r="G57" s="38" t="s">
        <v>2</v>
      </c>
      <c r="H57" s="38"/>
    </row>
    <row r="58" spans="1:11" x14ac:dyDescent="0.25">
      <c r="A58" s="4">
        <v>54</v>
      </c>
      <c r="B58" s="38" t="s">
        <v>7</v>
      </c>
      <c r="C58" s="38" t="s">
        <v>2</v>
      </c>
      <c r="D58" s="38" t="s">
        <v>2</v>
      </c>
      <c r="E58" s="38" t="s">
        <v>2</v>
      </c>
      <c r="F58" s="38" t="s">
        <v>2</v>
      </c>
      <c r="G58" s="38" t="s">
        <v>2</v>
      </c>
      <c r="H58" s="38" t="s">
        <v>2</v>
      </c>
    </row>
    <row r="59" spans="1:11" x14ac:dyDescent="0.25">
      <c r="A59" s="4">
        <v>55</v>
      </c>
      <c r="B59" s="38"/>
      <c r="C59" s="38" t="s">
        <v>6</v>
      </c>
      <c r="D59" s="38" t="s">
        <v>2</v>
      </c>
      <c r="E59" s="38" t="s">
        <v>2</v>
      </c>
      <c r="F59" s="38" t="s">
        <v>2</v>
      </c>
      <c r="G59" s="38" t="s">
        <v>2</v>
      </c>
      <c r="H59" s="38" t="s">
        <v>2</v>
      </c>
    </row>
    <row r="60" spans="1:11" x14ac:dyDescent="0.25">
      <c r="A60" s="4">
        <v>56</v>
      </c>
      <c r="B60" s="38"/>
      <c r="C60" s="38" t="s">
        <v>2</v>
      </c>
      <c r="D60" s="38"/>
      <c r="E60" s="38" t="s">
        <v>2</v>
      </c>
      <c r="F60" s="38" t="s">
        <v>2</v>
      </c>
      <c r="G60" s="38" t="s">
        <v>2</v>
      </c>
      <c r="H60" s="38"/>
    </row>
    <row r="61" spans="1:11" x14ac:dyDescent="0.25">
      <c r="A61" s="4">
        <v>73</v>
      </c>
      <c r="B61" s="38"/>
      <c r="C61" s="38"/>
      <c r="D61" s="38"/>
      <c r="E61" s="38"/>
      <c r="F61" s="38"/>
      <c r="G61" s="38"/>
      <c r="H61" s="38"/>
    </row>
    <row r="62" spans="1:11" x14ac:dyDescent="0.25">
      <c r="A62" s="4">
        <v>74</v>
      </c>
      <c r="B62" s="38"/>
      <c r="C62" s="38"/>
      <c r="D62" s="38"/>
      <c r="E62" s="38"/>
      <c r="F62" s="38"/>
      <c r="G62" s="38"/>
      <c r="H62" s="38"/>
    </row>
    <row r="63" spans="1:11" x14ac:dyDescent="0.25">
      <c r="A63" s="4">
        <v>101</v>
      </c>
      <c r="B63" s="39" t="s">
        <v>2</v>
      </c>
      <c r="C63" s="39" t="s">
        <v>7</v>
      </c>
      <c r="D63" s="38" t="s">
        <v>2</v>
      </c>
      <c r="E63" s="39" t="s">
        <v>2</v>
      </c>
      <c r="F63" s="39" t="s">
        <v>7</v>
      </c>
      <c r="G63" s="38" t="s">
        <v>2</v>
      </c>
      <c r="H63" s="38" t="s">
        <v>2</v>
      </c>
    </row>
    <row r="64" spans="1:11" x14ac:dyDescent="0.25">
      <c r="A64" s="4">
        <v>102</v>
      </c>
      <c r="B64" s="38"/>
      <c r="C64" s="38"/>
      <c r="D64" s="38"/>
      <c r="E64" s="38"/>
      <c r="F64" s="38"/>
      <c r="G64" s="38"/>
      <c r="H64" s="38"/>
    </row>
    <row r="65" spans="1:8" x14ac:dyDescent="0.25">
      <c r="A65" s="4">
        <v>103</v>
      </c>
      <c r="B65" s="39" t="s">
        <v>7</v>
      </c>
      <c r="C65" s="39" t="s">
        <v>7</v>
      </c>
      <c r="D65" s="39" t="s">
        <v>2</v>
      </c>
      <c r="E65" s="38" t="s">
        <v>2</v>
      </c>
      <c r="F65" s="39" t="s">
        <v>2</v>
      </c>
      <c r="G65" s="38" t="s">
        <v>2</v>
      </c>
      <c r="H65" s="39" t="s">
        <v>7</v>
      </c>
    </row>
    <row r="66" spans="1:8" x14ac:dyDescent="0.25">
      <c r="A66" s="4">
        <v>104</v>
      </c>
      <c r="B66" s="39" t="s">
        <v>7</v>
      </c>
      <c r="C66" s="39" t="s">
        <v>7</v>
      </c>
      <c r="D66" s="39" t="s">
        <v>2</v>
      </c>
      <c r="E66" s="38" t="s">
        <v>2</v>
      </c>
      <c r="F66" s="39" t="s">
        <v>7</v>
      </c>
      <c r="G66" s="38" t="s">
        <v>2</v>
      </c>
      <c r="H66" s="38" t="s">
        <v>2</v>
      </c>
    </row>
    <row r="67" spans="1:8" x14ac:dyDescent="0.25">
      <c r="A67" s="4">
        <v>105</v>
      </c>
      <c r="B67" s="38" t="s">
        <v>2</v>
      </c>
      <c r="C67" s="38" t="s">
        <v>2</v>
      </c>
      <c r="D67" s="38" t="s">
        <v>2</v>
      </c>
      <c r="E67" s="38" t="s">
        <v>2</v>
      </c>
      <c r="F67" s="38" t="s">
        <v>2</v>
      </c>
      <c r="G67" s="38" t="s">
        <v>2</v>
      </c>
      <c r="H67" s="38" t="s">
        <v>2</v>
      </c>
    </row>
    <row r="68" spans="1:8" x14ac:dyDescent="0.25">
      <c r="A68" s="4">
        <v>106</v>
      </c>
      <c r="B68" s="38" t="s">
        <v>2</v>
      </c>
      <c r="C68" s="38" t="s">
        <v>2</v>
      </c>
      <c r="D68" s="38"/>
      <c r="E68" s="38" t="s">
        <v>2</v>
      </c>
      <c r="F68" s="38"/>
      <c r="G68" s="38" t="s">
        <v>2</v>
      </c>
      <c r="H68" s="38"/>
    </row>
    <row r="69" spans="1:8" x14ac:dyDescent="0.25">
      <c r="A69" s="4">
        <v>107</v>
      </c>
      <c r="B69" s="38" t="s">
        <v>6</v>
      </c>
      <c r="C69" s="38" t="s">
        <v>2</v>
      </c>
      <c r="D69" s="38" t="s">
        <v>2</v>
      </c>
      <c r="E69" s="38" t="s">
        <v>2</v>
      </c>
      <c r="F69" s="38" t="s">
        <v>2</v>
      </c>
      <c r="G69" s="38" t="s">
        <v>2</v>
      </c>
      <c r="H69" s="38"/>
    </row>
    <row r="70" spans="1:8" x14ac:dyDescent="0.25">
      <c r="A70" s="4">
        <v>108</v>
      </c>
      <c r="B70" s="38"/>
      <c r="C70" s="38" t="s">
        <v>2</v>
      </c>
      <c r="D70" s="38" t="s">
        <v>2</v>
      </c>
      <c r="E70" s="38"/>
      <c r="F70" s="38" t="s">
        <v>2</v>
      </c>
      <c r="G70" s="38"/>
      <c r="H70" s="38" t="s">
        <v>2</v>
      </c>
    </row>
    <row r="71" spans="1:8" x14ac:dyDescent="0.25">
      <c r="A71" s="4">
        <v>109</v>
      </c>
      <c r="B71" s="38" t="s">
        <v>6</v>
      </c>
      <c r="C71" s="38" t="s">
        <v>2</v>
      </c>
      <c r="D71" s="38"/>
      <c r="E71" s="38" t="s">
        <v>2</v>
      </c>
      <c r="F71" s="38"/>
      <c r="G71" s="38" t="s">
        <v>2</v>
      </c>
      <c r="H71" s="38"/>
    </row>
    <row r="72" spans="1:8" x14ac:dyDescent="0.25">
      <c r="A72" s="4">
        <v>110</v>
      </c>
      <c r="B72" s="38" t="s">
        <v>2</v>
      </c>
      <c r="C72" s="38" t="s">
        <v>2</v>
      </c>
      <c r="D72" s="38" t="s">
        <v>2</v>
      </c>
      <c r="E72" s="38"/>
      <c r="F72" s="38" t="s">
        <v>2</v>
      </c>
      <c r="G72" s="38"/>
      <c r="H72" s="38" t="s">
        <v>2</v>
      </c>
    </row>
    <row r="73" spans="1:8" x14ac:dyDescent="0.25">
      <c r="A73" s="4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4">
        <v>112</v>
      </c>
      <c r="B74" s="38" t="s">
        <v>2</v>
      </c>
      <c r="C74" s="39" t="s">
        <v>7</v>
      </c>
      <c r="D74" s="38" t="s">
        <v>2</v>
      </c>
      <c r="E74" s="38" t="s">
        <v>2</v>
      </c>
      <c r="F74" s="38" t="s">
        <v>2</v>
      </c>
      <c r="G74" s="38" t="s">
        <v>2</v>
      </c>
      <c r="H74" s="38" t="s">
        <v>2</v>
      </c>
    </row>
    <row r="75" spans="1:8" x14ac:dyDescent="0.25">
      <c r="A75" s="4">
        <v>113</v>
      </c>
      <c r="B75" s="38"/>
      <c r="C75" s="38"/>
      <c r="D75" s="38"/>
      <c r="E75" s="38"/>
      <c r="F75" s="38"/>
      <c r="G75" s="38"/>
      <c r="H75" s="38"/>
    </row>
    <row r="76" spans="1:8" x14ac:dyDescent="0.25">
      <c r="A76" s="4">
        <v>114</v>
      </c>
      <c r="B76" s="38" t="s">
        <v>2</v>
      </c>
      <c r="C76" s="39" t="s">
        <v>7</v>
      </c>
      <c r="D76" s="38" t="s">
        <v>2</v>
      </c>
      <c r="E76" s="38" t="s">
        <v>2</v>
      </c>
      <c r="F76" s="39" t="s">
        <v>2</v>
      </c>
      <c r="G76" s="38" t="s">
        <v>2</v>
      </c>
      <c r="H76" s="38" t="s">
        <v>2</v>
      </c>
    </row>
    <row r="77" spans="1:8" x14ac:dyDescent="0.25">
      <c r="A77" s="4">
        <v>115</v>
      </c>
      <c r="B77" s="38"/>
      <c r="C77" s="38"/>
      <c r="D77" s="38"/>
      <c r="E77" s="38"/>
      <c r="F77" s="38"/>
      <c r="G77" s="38"/>
      <c r="H77" s="38"/>
    </row>
    <row r="78" spans="1:8" x14ac:dyDescent="0.25">
      <c r="A78" s="4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4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4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4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4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4">
        <v>121</v>
      </c>
      <c r="B83" s="38" t="s">
        <v>2</v>
      </c>
      <c r="C83" s="38" t="s">
        <v>7</v>
      </c>
      <c r="D83" s="38"/>
      <c r="E83" s="38" t="s">
        <v>2</v>
      </c>
      <c r="F83" s="38"/>
      <c r="G83" s="38" t="s">
        <v>2</v>
      </c>
      <c r="H83" s="38"/>
    </row>
    <row r="84" spans="1:8" x14ac:dyDescent="0.25">
      <c r="A84" s="4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4">
        <v>123</v>
      </c>
      <c r="B85" s="38"/>
      <c r="C85" s="38" t="s">
        <v>2</v>
      </c>
      <c r="D85" s="38" t="s">
        <v>2</v>
      </c>
      <c r="E85" s="38"/>
      <c r="F85" s="38" t="s">
        <v>5</v>
      </c>
      <c r="G85" s="38"/>
      <c r="H85" s="38" t="s">
        <v>2</v>
      </c>
    </row>
    <row r="86" spans="1:8" x14ac:dyDescent="0.25">
      <c r="A86" s="4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4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4">
        <v>126</v>
      </c>
      <c r="B88" s="38" t="s">
        <v>2</v>
      </c>
      <c r="C88" s="38"/>
      <c r="D88" s="38"/>
      <c r="E88" s="38" t="s">
        <v>2</v>
      </c>
      <c r="F88" s="38"/>
      <c r="G88" s="38" t="s">
        <v>2</v>
      </c>
      <c r="H88" s="38"/>
    </row>
    <row r="89" spans="1:8" x14ac:dyDescent="0.25">
      <c r="A89" s="4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4">
        <v>128</v>
      </c>
      <c r="B90" s="38"/>
      <c r="C90" s="38"/>
      <c r="D90" s="38"/>
      <c r="E90" s="38"/>
      <c r="F90" s="38"/>
      <c r="G90" s="38"/>
      <c r="H90" s="38"/>
    </row>
    <row r="91" spans="1:8" x14ac:dyDescent="0.25">
      <c r="A91" s="4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4">
        <v>130</v>
      </c>
      <c r="B92" s="38"/>
      <c r="C92" s="38"/>
      <c r="D92" s="38"/>
      <c r="E92" s="38"/>
      <c r="F92" s="38"/>
      <c r="G92" s="38"/>
      <c r="H92" s="38"/>
    </row>
    <row r="93" spans="1:8" x14ac:dyDescent="0.25">
      <c r="A93" s="4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4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4">
        <v>133</v>
      </c>
      <c r="B95" s="38"/>
      <c r="C95" s="38" t="s">
        <v>5</v>
      </c>
      <c r="D95" s="38" t="s">
        <v>5</v>
      </c>
      <c r="E95" s="38"/>
      <c r="F95" s="38"/>
      <c r="G95" s="38"/>
      <c r="H95" s="38"/>
    </row>
  </sheetData>
  <mergeCells count="5">
    <mergeCell ref="A1:H2"/>
    <mergeCell ref="I17:K17"/>
    <mergeCell ref="I18:J18"/>
    <mergeCell ref="I27:K27"/>
    <mergeCell ref="I28:J28"/>
  </mergeCells>
  <conditionalFormatting sqref="I5:I16 I19:I26 F15:F18 F91:F94 D62 F62:G62 I29:I62 B5:F5 F28 D81:E95 B6:E60 F6:F11 C61:H61 D63:G80 H64 B63:C95">
    <cfRule type="cellIs" dxfId="107" priority="125" operator="equal">
      <formula>"Energia"</formula>
    </cfRule>
    <cfRule type="cellIs" dxfId="106" priority="127" operator="equal">
      <formula>"Operação"</formula>
    </cfRule>
    <cfRule type="cellIs" dxfId="105" priority="128" operator="equal">
      <formula>"Chuva"</formula>
    </cfRule>
    <cfRule type="cellIs" dxfId="104" priority="129" operator="equal">
      <formula>"Elétrico"</formula>
    </cfRule>
    <cfRule type="cellIs" dxfId="103" priority="130" operator="equal">
      <formula>"Mecânico"</formula>
    </cfRule>
    <cfRule type="cellIs" dxfId="102" priority="131" operator="equal">
      <formula>"Ok"</formula>
    </cfRule>
  </conditionalFormatting>
  <conditionalFormatting sqref="I5:I16 I19:I26 F15:F18 F91:F94 D62 F62:G62 I29:I62 B5:F5 F28 D81:E95 B6:E60 F6:F11 C61:H61 D63:G80 H64 B63:C95">
    <cfRule type="cellIs" dxfId="101" priority="126" operator="equal">
      <formula>"Feito"</formula>
    </cfRule>
  </conditionalFormatting>
  <conditionalFormatting sqref="J7">
    <cfRule type="iconSet" priority="124">
      <iconSet iconSet="3Arrows">
        <cfvo type="percent" val="0"/>
        <cfvo type="percent" val="33"/>
        <cfvo type="percent" val="67"/>
      </iconSet>
    </cfRule>
  </conditionalFormatting>
  <conditionalFormatting sqref="C13 G81:G95 B81:E87 B5:F11 G5:H49 H50 G51:H60">
    <cfRule type="cellIs" dxfId="100" priority="123" operator="equal">
      <formula>"Energia"</formula>
    </cfRule>
  </conditionalFormatting>
  <conditionalFormatting sqref="G81:G95 H66:H95 H62 G5:H49 H50 G51:H60">
    <cfRule type="cellIs" dxfId="99" priority="116" operator="equal">
      <formula>"Energia"</formula>
    </cfRule>
    <cfRule type="cellIs" dxfId="98" priority="118" operator="equal">
      <formula>"Operação"</formula>
    </cfRule>
    <cfRule type="cellIs" dxfId="97" priority="119" operator="equal">
      <formula>"Chuva"</formula>
    </cfRule>
    <cfRule type="cellIs" dxfId="96" priority="120" operator="equal">
      <formula>"Elétrico"</formula>
    </cfRule>
    <cfRule type="cellIs" dxfId="95" priority="121" operator="equal">
      <formula>"Mecânico"</formula>
    </cfRule>
    <cfRule type="cellIs" dxfId="94" priority="122" operator="equal">
      <formula>"Ok"</formula>
    </cfRule>
  </conditionalFormatting>
  <conditionalFormatting sqref="G81:G95 H66:H95 H62 G5:H49 H50 G51:H60">
    <cfRule type="cellIs" dxfId="93" priority="117" operator="equal">
      <formula>"Feito"</formula>
    </cfRule>
  </conditionalFormatting>
  <conditionalFormatting sqref="F82:F84 F86:F87">
    <cfRule type="cellIs" dxfId="92" priority="115" operator="equal">
      <formula>"Energia"</formula>
    </cfRule>
  </conditionalFormatting>
  <conditionalFormatting sqref="F12:F14 F82:F84 F95 F19:F27 F86:F90 F29:F60">
    <cfRule type="cellIs" dxfId="91" priority="108" operator="equal">
      <formula>"Energia"</formula>
    </cfRule>
    <cfRule type="cellIs" dxfId="90" priority="110" operator="equal">
      <formula>"Operação"</formula>
    </cfRule>
    <cfRule type="cellIs" dxfId="89" priority="111" operator="equal">
      <formula>"Chuva"</formula>
    </cfRule>
    <cfRule type="cellIs" dxfId="88" priority="112" operator="equal">
      <formula>"Elétrico"</formula>
    </cfRule>
    <cfRule type="cellIs" dxfId="87" priority="113" operator="equal">
      <formula>"Mecânico"</formula>
    </cfRule>
    <cfRule type="cellIs" dxfId="86" priority="114" operator="equal">
      <formula>"Ok"</formula>
    </cfRule>
  </conditionalFormatting>
  <conditionalFormatting sqref="F12:F14 F82:F84 F95 F19:F27 F86:F90 F29:F60">
    <cfRule type="cellIs" dxfId="85" priority="109" operator="equal">
      <formula>"Feito"</formula>
    </cfRule>
  </conditionalFormatting>
  <conditionalFormatting sqref="F81">
    <cfRule type="cellIs" dxfId="84" priority="101" operator="equal">
      <formula>"Energia"</formula>
    </cfRule>
    <cfRule type="cellIs" dxfId="83" priority="103" operator="equal">
      <formula>"Operação"</formula>
    </cfRule>
    <cfRule type="cellIs" dxfId="82" priority="104" operator="equal">
      <formula>"Chuva"</formula>
    </cfRule>
    <cfRule type="cellIs" dxfId="81" priority="105" operator="equal">
      <formula>"Elétrico"</formula>
    </cfRule>
    <cfRule type="cellIs" dxfId="80" priority="106" operator="equal">
      <formula>"Mecânico"</formula>
    </cfRule>
    <cfRule type="cellIs" dxfId="79" priority="107" operator="equal">
      <formula>"Ok"</formula>
    </cfRule>
  </conditionalFormatting>
  <conditionalFormatting sqref="F81">
    <cfRule type="cellIs" dxfId="78" priority="102" operator="equal">
      <formula>"Feito"</formula>
    </cfRule>
  </conditionalFormatting>
  <conditionalFormatting sqref="F81">
    <cfRule type="cellIs" dxfId="77" priority="100" operator="equal">
      <formula>"Energia"</formula>
    </cfRule>
  </conditionalFormatting>
  <conditionalFormatting sqref="B61">
    <cfRule type="cellIs" dxfId="76" priority="93" operator="equal">
      <formula>"Energia"</formula>
    </cfRule>
    <cfRule type="cellIs" dxfId="75" priority="95" operator="equal">
      <formula>"Operação"</formula>
    </cfRule>
    <cfRule type="cellIs" dxfId="74" priority="96" operator="equal">
      <formula>"Chuva"</formula>
    </cfRule>
    <cfRule type="cellIs" dxfId="73" priority="97" operator="equal">
      <formula>"Elétrico"</formula>
    </cfRule>
    <cfRule type="cellIs" dxfId="72" priority="98" operator="equal">
      <formula>"Mecânico"</formula>
    </cfRule>
    <cfRule type="cellIs" dxfId="71" priority="99" operator="equal">
      <formula>"Ok"</formula>
    </cfRule>
  </conditionalFormatting>
  <conditionalFormatting sqref="B61">
    <cfRule type="cellIs" dxfId="70" priority="94" operator="equal">
      <formula>"Feito"</formula>
    </cfRule>
  </conditionalFormatting>
  <conditionalFormatting sqref="B62:C62">
    <cfRule type="cellIs" dxfId="69" priority="86" operator="equal">
      <formula>"Energia"</formula>
    </cfRule>
    <cfRule type="cellIs" dxfId="68" priority="88" operator="equal">
      <formula>"Operação"</formula>
    </cfRule>
    <cfRule type="cellIs" dxfId="67" priority="89" operator="equal">
      <formula>"Chuva"</formula>
    </cfRule>
    <cfRule type="cellIs" dxfId="66" priority="90" operator="equal">
      <formula>"Elétrico"</formula>
    </cfRule>
    <cfRule type="cellIs" dxfId="65" priority="91" operator="equal">
      <formula>"Mecânico"</formula>
    </cfRule>
    <cfRule type="cellIs" dxfId="64" priority="92" operator="equal">
      <formula>"Ok"</formula>
    </cfRule>
  </conditionalFormatting>
  <conditionalFormatting sqref="B62:C62">
    <cfRule type="cellIs" dxfId="63" priority="87" operator="equal">
      <formula>"Feito"</formula>
    </cfRule>
  </conditionalFormatting>
  <conditionalFormatting sqref="C56">
    <cfRule type="cellIs" dxfId="62" priority="79" operator="equal">
      <formula>"Energia"</formula>
    </cfRule>
    <cfRule type="cellIs" dxfId="61" priority="81" operator="equal">
      <formula>"Operação"</formula>
    </cfRule>
    <cfRule type="cellIs" dxfId="60" priority="82" operator="equal">
      <formula>"Chuva"</formula>
    </cfRule>
    <cfRule type="cellIs" dxfId="59" priority="83" operator="equal">
      <formula>"Elétrico"</formula>
    </cfRule>
    <cfRule type="cellIs" dxfId="58" priority="84" operator="equal">
      <formula>"Mecânico"</formula>
    </cfRule>
    <cfRule type="cellIs" dxfId="57" priority="85" operator="equal">
      <formula>"Ok"</formula>
    </cfRule>
  </conditionalFormatting>
  <conditionalFormatting sqref="C56">
    <cfRule type="cellIs" dxfId="56" priority="80" operator="equal">
      <formula>"Feito"</formula>
    </cfRule>
  </conditionalFormatting>
  <conditionalFormatting sqref="E62">
    <cfRule type="cellIs" dxfId="55" priority="72" operator="equal">
      <formula>"Energia"</formula>
    </cfRule>
    <cfRule type="cellIs" dxfId="54" priority="74" operator="equal">
      <formula>"Operação"</formula>
    </cfRule>
    <cfRule type="cellIs" dxfId="53" priority="75" operator="equal">
      <formula>"Chuva"</formula>
    </cfRule>
    <cfRule type="cellIs" dxfId="52" priority="76" operator="equal">
      <formula>"Elétrico"</formula>
    </cfRule>
    <cfRule type="cellIs" dxfId="51" priority="77" operator="equal">
      <formula>"Mecânico"</formula>
    </cfRule>
    <cfRule type="cellIs" dxfId="50" priority="78" operator="equal">
      <formula>"Ok"</formula>
    </cfRule>
  </conditionalFormatting>
  <conditionalFormatting sqref="E62">
    <cfRule type="cellIs" dxfId="49" priority="73" operator="equal">
      <formula>"Feito"</formula>
    </cfRule>
  </conditionalFormatting>
  <conditionalFormatting sqref="B95:C95">
    <cfRule type="cellIs" dxfId="48" priority="71" operator="equal">
      <formula>"Energia"</formula>
    </cfRule>
  </conditionalFormatting>
  <conditionalFormatting sqref="B74:C74">
    <cfRule type="cellIs" dxfId="47" priority="70" operator="equal">
      <formula>"Energia"</formula>
    </cfRule>
  </conditionalFormatting>
  <conditionalFormatting sqref="B76:C76">
    <cfRule type="cellIs" dxfId="46" priority="69" operator="equal">
      <formula>"Energia"</formula>
    </cfRule>
  </conditionalFormatting>
  <conditionalFormatting sqref="C27:D27">
    <cfRule type="cellIs" dxfId="45" priority="68" operator="equal">
      <formula>"Energia"</formula>
    </cfRule>
  </conditionalFormatting>
  <conditionalFormatting sqref="D60">
    <cfRule type="cellIs" dxfId="44" priority="67" operator="equal">
      <formula>"Energia"</formula>
    </cfRule>
  </conditionalFormatting>
  <conditionalFormatting sqref="C30:D30">
    <cfRule type="cellIs" dxfId="43" priority="66" operator="equal">
      <formula>"Energia"</formula>
    </cfRule>
  </conditionalFormatting>
  <conditionalFormatting sqref="C34">
    <cfRule type="cellIs" dxfId="42" priority="65" operator="equal">
      <formula>"Energia"</formula>
    </cfRule>
  </conditionalFormatting>
  <conditionalFormatting sqref="F28">
    <cfRule type="cellIs" dxfId="41" priority="64" operator="equal">
      <formula>"Energia"</formula>
    </cfRule>
  </conditionalFormatting>
  <conditionalFormatting sqref="H63">
    <cfRule type="cellIs" dxfId="40" priority="30" operator="equal">
      <formula>"Energia"</formula>
    </cfRule>
    <cfRule type="cellIs" dxfId="39" priority="32" operator="equal">
      <formula>"Operação"</formula>
    </cfRule>
    <cfRule type="cellIs" dxfId="38" priority="33" operator="equal">
      <formula>"Chuva"</formula>
    </cfRule>
    <cfRule type="cellIs" dxfId="37" priority="34" operator="equal">
      <formula>"Elétrico"</formula>
    </cfRule>
    <cfRule type="cellIs" dxfId="36" priority="35" operator="equal">
      <formula>"Mecânico"</formula>
    </cfRule>
    <cfRule type="cellIs" dxfId="35" priority="36" operator="equal">
      <formula>"Ok"</formula>
    </cfRule>
  </conditionalFormatting>
  <conditionalFormatting sqref="H63">
    <cfRule type="cellIs" dxfId="34" priority="31" operator="equal">
      <formula>"Feito"</formula>
    </cfRule>
  </conditionalFormatting>
  <conditionalFormatting sqref="F85">
    <cfRule type="cellIs" dxfId="33" priority="16" operator="equal">
      <formula>"Energia"</formula>
    </cfRule>
    <cfRule type="cellIs" dxfId="32" priority="18" operator="equal">
      <formula>"Operação"</formula>
    </cfRule>
    <cfRule type="cellIs" dxfId="31" priority="19" operator="equal">
      <formula>"Chuva"</formula>
    </cfRule>
    <cfRule type="cellIs" dxfId="30" priority="20" operator="equal">
      <formula>"Elétrico"</formula>
    </cfRule>
    <cfRule type="cellIs" dxfId="29" priority="21" operator="equal">
      <formula>"Mecânico"</formula>
    </cfRule>
    <cfRule type="cellIs" dxfId="28" priority="22" operator="equal">
      <formula>"Ok"</formula>
    </cfRule>
  </conditionalFormatting>
  <conditionalFormatting sqref="F85">
    <cfRule type="cellIs" dxfId="27" priority="17" operator="equal">
      <formula>"Feito"</formula>
    </cfRule>
  </conditionalFormatting>
  <conditionalFormatting sqref="G50">
    <cfRule type="cellIs" dxfId="26" priority="8" operator="equal">
      <formula>"Energia"</formula>
    </cfRule>
    <cfRule type="cellIs" dxfId="25" priority="10" operator="equal">
      <formula>"Operação"</formula>
    </cfRule>
    <cfRule type="cellIs" dxfId="24" priority="11" operator="equal">
      <formula>"Chuva"</formula>
    </cfRule>
    <cfRule type="cellIs" dxfId="23" priority="12" operator="equal">
      <formula>"Elétrico"</formula>
    </cfRule>
    <cfRule type="cellIs" dxfId="22" priority="13" operator="equal">
      <formula>"Mecânico"</formula>
    </cfRule>
    <cfRule type="cellIs" dxfId="21" priority="14" operator="equal">
      <formula>"Ok"</formula>
    </cfRule>
  </conditionalFormatting>
  <conditionalFormatting sqref="G50">
    <cfRule type="cellIs" dxfId="20" priority="9" operator="equal">
      <formula>"Feito"</formula>
    </cfRule>
  </conditionalFormatting>
  <conditionalFormatting sqref="H65">
    <cfRule type="cellIs" dxfId="19" priority="1" operator="equal">
      <formula>"Energia"</formula>
    </cfRule>
    <cfRule type="cellIs" dxfId="18" priority="3" operator="equal">
      <formula>"Operação"</formula>
    </cfRule>
    <cfRule type="cellIs" dxfId="17" priority="4" operator="equal">
      <formula>"Chuva"</formula>
    </cfRule>
    <cfRule type="cellIs" dxfId="16" priority="5" operator="equal">
      <formula>"Elétrico"</formula>
    </cfRule>
    <cfRule type="cellIs" dxfId="15" priority="6" operator="equal">
      <formula>"Mecânico"</formula>
    </cfRule>
    <cfRule type="cellIs" dxfId="14" priority="7" operator="equal">
      <formula>"Ok"</formula>
    </cfRule>
  </conditionalFormatting>
  <conditionalFormatting sqref="H65">
    <cfRule type="cellIs" dxfId="13" priority="2" operator="equal">
      <formula>"Feito"</formula>
    </cfRule>
  </conditionalFormatting>
  <dataValidations count="1">
    <dataValidation type="list" allowBlank="1" showInputMessage="1" showErrorMessage="1" sqref="I5:I16 J36:J60 I29:I62 I19:I26 B5:H95" xr:uid="{1FBF13EE-8F7A-4DC0-BBB8-1BC7715EBAE3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FC03-9737-4B97-8A6A-EE1EBAFF60D6}">
  <dimension ref="A1:F867"/>
  <sheetViews>
    <sheetView topLeftCell="A513" workbookViewId="0">
      <selection activeCell="D539" sqref="D539"/>
    </sheetView>
  </sheetViews>
  <sheetFormatPr defaultRowHeight="15" x14ac:dyDescent="0.25"/>
  <cols>
    <col min="1" max="1" width="13.140625" style="59" bestFit="1" customWidth="1"/>
    <col min="2" max="2" width="15.140625" style="59" customWidth="1"/>
    <col min="3" max="3" width="10.7109375" style="52" bestFit="1" customWidth="1"/>
    <col min="4" max="4" width="10.85546875" style="58" customWidth="1"/>
    <col min="5" max="5" width="10.7109375" style="58" customWidth="1"/>
    <col min="6" max="6" width="11.7109375" style="58" bestFit="1" customWidth="1"/>
  </cols>
  <sheetData>
    <row r="1" spans="1:6" ht="14.25" customHeight="1" x14ac:dyDescent="0.25">
      <c r="A1" s="59" t="s">
        <v>62</v>
      </c>
      <c r="B1" s="59" t="s">
        <v>32</v>
      </c>
      <c r="C1" s="52" t="s">
        <v>34</v>
      </c>
      <c r="D1" s="58" t="s">
        <v>40</v>
      </c>
      <c r="E1" s="58" t="s">
        <v>78</v>
      </c>
      <c r="F1" s="58" t="s">
        <v>41</v>
      </c>
    </row>
    <row r="2" spans="1:6" x14ac:dyDescent="0.25">
      <c r="A2" s="59" t="s">
        <v>2</v>
      </c>
      <c r="B2" s="59">
        <v>81</v>
      </c>
      <c r="C2" s="52">
        <v>44182</v>
      </c>
      <c r="D2" s="66">
        <f>YEAR((C2))</f>
        <v>2020</v>
      </c>
      <c r="E2" s="66" t="str">
        <f>TEXT(Tabela2[[#This Row],[Semana]],"mmmm")</f>
        <v>dezembro</v>
      </c>
      <c r="F2" t="str">
        <f>IF(MONTH(Tabela2[[#This Row],[Semana]])&lt;=6,"1ª Semestre","2ª Semestre")</f>
        <v>2ª Semestre</v>
      </c>
    </row>
    <row r="3" spans="1:6" x14ac:dyDescent="0.25">
      <c r="A3" s="59" t="s">
        <v>5</v>
      </c>
      <c r="B3" s="59">
        <v>12</v>
      </c>
      <c r="C3" s="52">
        <v>44182</v>
      </c>
      <c r="D3" s="66">
        <f t="shared" ref="D3:D66" si="0">YEAR((C3))</f>
        <v>2020</v>
      </c>
      <c r="E3" s="66" t="str">
        <f>TEXT(Tabela2[[#This Row],[Semana]],"mmmm")</f>
        <v>dezembro</v>
      </c>
      <c r="F3" t="str">
        <f>IF(MONTH(Tabela2[[#This Row],[Semana]])&lt;=6,"1ª Semestre","2ª Semestre")</f>
        <v>2ª Semestre</v>
      </c>
    </row>
    <row r="4" spans="1:6" x14ac:dyDescent="0.25">
      <c r="A4" s="59" t="s">
        <v>6</v>
      </c>
      <c r="B4" s="59">
        <v>3</v>
      </c>
      <c r="C4" s="52">
        <v>44182</v>
      </c>
      <c r="D4" s="66">
        <f t="shared" si="0"/>
        <v>2020</v>
      </c>
      <c r="E4" s="66" t="str">
        <f>TEXT(Tabela2[[#This Row],[Semana]],"mmmm")</f>
        <v>dezembro</v>
      </c>
      <c r="F4" t="str">
        <f>IF(MONTH(Tabela2[[#This Row],[Semana]])&lt;=6,"1ª Semestre","2ª Semestre")</f>
        <v>2ª Semestre</v>
      </c>
    </row>
    <row r="5" spans="1:6" x14ac:dyDescent="0.25">
      <c r="A5" s="59" t="s">
        <v>4</v>
      </c>
      <c r="B5" s="59">
        <v>12</v>
      </c>
      <c r="C5" s="52">
        <v>44182</v>
      </c>
      <c r="D5" s="66">
        <f t="shared" si="0"/>
        <v>2020</v>
      </c>
      <c r="E5" s="66" t="str">
        <f>TEXT(Tabela2[[#This Row],[Semana]],"mmmm")</f>
        <v>dezembro</v>
      </c>
      <c r="F5" t="str">
        <f>IF(MONTH(Tabela2[[#This Row],[Semana]])&lt;=6,"1ª Semestre","2ª Semestre")</f>
        <v>2ª Semestre</v>
      </c>
    </row>
    <row r="6" spans="1:6" x14ac:dyDescent="0.25">
      <c r="A6" s="59" t="s">
        <v>3</v>
      </c>
      <c r="B6" s="59">
        <v>24</v>
      </c>
      <c r="C6" s="52">
        <v>44182</v>
      </c>
      <c r="D6" s="66">
        <f t="shared" si="0"/>
        <v>2020</v>
      </c>
      <c r="E6" s="66" t="str">
        <f>TEXT(Tabela2[[#This Row],[Semana]],"mmmm")</f>
        <v>dezembro</v>
      </c>
      <c r="F6" t="str">
        <f>IF(MONTH(Tabela2[[#This Row],[Semana]])&lt;=6,"1ª Semestre","2ª Semestre")</f>
        <v>2ª Semestre</v>
      </c>
    </row>
    <row r="7" spans="1:6" x14ac:dyDescent="0.25">
      <c r="A7" s="59" t="s">
        <v>7</v>
      </c>
      <c r="B7" s="59">
        <v>2</v>
      </c>
      <c r="C7" s="52">
        <v>44182</v>
      </c>
      <c r="D7" s="66">
        <f t="shared" si="0"/>
        <v>2020</v>
      </c>
      <c r="E7" s="66" t="str">
        <f>TEXT(Tabela2[[#This Row],[Semana]],"mmmm")</f>
        <v>dezembro</v>
      </c>
      <c r="F7" t="str">
        <f>IF(MONTH(Tabela2[[#This Row],[Semana]])&lt;=6,"1ª Semestre","2ª Semestre")</f>
        <v>2ª Semestre</v>
      </c>
    </row>
    <row r="8" spans="1:6" x14ac:dyDescent="0.25">
      <c r="A8" s="59" t="s">
        <v>2</v>
      </c>
      <c r="B8" s="59">
        <v>101</v>
      </c>
      <c r="C8" s="52">
        <v>44190</v>
      </c>
      <c r="D8" s="66">
        <f t="shared" si="0"/>
        <v>2020</v>
      </c>
      <c r="E8" s="66" t="str">
        <f>TEXT(Tabela2[[#This Row],[Semana]],"mmmm")</f>
        <v>dezembro</v>
      </c>
      <c r="F8" t="str">
        <f>IF(MONTH(Tabela2[[#This Row],[Semana]])&lt;=6,"1ª Semestre","2ª Semestre")</f>
        <v>2ª Semestre</v>
      </c>
    </row>
    <row r="9" spans="1:6" x14ac:dyDescent="0.25">
      <c r="A9" s="59" t="s">
        <v>5</v>
      </c>
      <c r="B9" s="59">
        <v>10</v>
      </c>
      <c r="C9" s="52">
        <v>44190</v>
      </c>
      <c r="D9" s="66">
        <f t="shared" si="0"/>
        <v>2020</v>
      </c>
      <c r="E9" s="66" t="str">
        <f>TEXT(Tabela2[[#This Row],[Semana]],"mmmm")</f>
        <v>dezembro</v>
      </c>
      <c r="F9" t="str">
        <f>IF(MONTH(Tabela2[[#This Row],[Semana]])&lt;=6,"1ª Semestre","2ª Semestre")</f>
        <v>2ª Semestre</v>
      </c>
    </row>
    <row r="10" spans="1:6" x14ac:dyDescent="0.25">
      <c r="A10" s="59" t="s">
        <v>6</v>
      </c>
      <c r="B10" s="59">
        <v>6</v>
      </c>
      <c r="C10" s="52">
        <v>44190</v>
      </c>
      <c r="D10" s="66">
        <f t="shared" si="0"/>
        <v>2020</v>
      </c>
      <c r="E10" s="66" t="str">
        <f>TEXT(Tabela2[[#This Row],[Semana]],"mmmm")</f>
        <v>dezembro</v>
      </c>
      <c r="F10" t="str">
        <f>IF(MONTH(Tabela2[[#This Row],[Semana]])&lt;=6,"1ª Semestre","2ª Semestre")</f>
        <v>2ª Semestre</v>
      </c>
    </row>
    <row r="11" spans="1:6" x14ac:dyDescent="0.25">
      <c r="A11" s="59" t="s">
        <v>4</v>
      </c>
      <c r="B11" s="59">
        <v>2</v>
      </c>
      <c r="C11" s="52">
        <v>44190</v>
      </c>
      <c r="D11" s="66">
        <f t="shared" si="0"/>
        <v>2020</v>
      </c>
      <c r="E11" s="66" t="str">
        <f>TEXT(Tabela2[[#This Row],[Semana]],"mmmm")</f>
        <v>dezembro</v>
      </c>
      <c r="F11" t="str">
        <f>IF(MONTH(Tabela2[[#This Row],[Semana]])&lt;=6,"1ª Semestre","2ª Semestre")</f>
        <v>2ª Semestre</v>
      </c>
    </row>
    <row r="12" spans="1:6" x14ac:dyDescent="0.25">
      <c r="A12" s="59" t="s">
        <v>3</v>
      </c>
      <c r="B12" s="59">
        <v>0</v>
      </c>
      <c r="C12" s="52">
        <v>44190</v>
      </c>
      <c r="D12" s="66">
        <f t="shared" si="0"/>
        <v>2020</v>
      </c>
      <c r="E12" s="66" t="str">
        <f>TEXT(Tabela2[[#This Row],[Semana]],"mmmm")</f>
        <v>dezembro</v>
      </c>
      <c r="F12" t="str">
        <f>IF(MONTH(Tabela2[[#This Row],[Semana]])&lt;=6,"1ª Semestre","2ª Semestre")</f>
        <v>2ª Semestre</v>
      </c>
    </row>
    <row r="13" spans="1:6" x14ac:dyDescent="0.25">
      <c r="A13" s="59" t="s">
        <v>7</v>
      </c>
      <c r="B13" s="59">
        <v>7</v>
      </c>
      <c r="C13" s="52">
        <v>44190</v>
      </c>
      <c r="D13" s="66">
        <f t="shared" si="0"/>
        <v>2020</v>
      </c>
      <c r="E13" s="66" t="str">
        <f>TEXT(Tabela2[[#This Row],[Semana]],"mmmm")</f>
        <v>dezembro</v>
      </c>
      <c r="F13" t="str">
        <f>IF(MONTH(Tabela2[[#This Row],[Semana]])&lt;=6,"1ª Semestre","2ª Semestre")</f>
        <v>2ª Semestre</v>
      </c>
    </row>
    <row r="14" spans="1:6" x14ac:dyDescent="0.25">
      <c r="A14" s="59" t="s">
        <v>2</v>
      </c>
      <c r="B14" s="59">
        <v>38</v>
      </c>
      <c r="C14" s="52">
        <v>44198</v>
      </c>
      <c r="D14" s="66">
        <f t="shared" si="0"/>
        <v>2021</v>
      </c>
      <c r="E14" s="66" t="str">
        <f>TEXT(Tabela2[[#This Row],[Semana]],"mmmm")</f>
        <v>janeiro</v>
      </c>
      <c r="F14" t="str">
        <f>IF(MONTH(Tabela2[[#This Row],[Semana]])&lt;=6,"1ª Semestre","2ª Semestre")</f>
        <v>1ª Semestre</v>
      </c>
    </row>
    <row r="15" spans="1:6" x14ac:dyDescent="0.25">
      <c r="A15" s="59" t="s">
        <v>5</v>
      </c>
      <c r="B15" s="59">
        <v>12</v>
      </c>
      <c r="C15" s="52">
        <v>44198</v>
      </c>
      <c r="D15" s="66">
        <f t="shared" si="0"/>
        <v>2021</v>
      </c>
      <c r="E15" s="66" t="str">
        <f>TEXT(Tabela2[[#This Row],[Semana]],"mmmm")</f>
        <v>janeiro</v>
      </c>
      <c r="F15" t="str">
        <f>IF(MONTH(Tabela2[[#This Row],[Semana]])&lt;=6,"1ª Semestre","2ª Semestre")</f>
        <v>1ª Semestre</v>
      </c>
    </row>
    <row r="16" spans="1:6" x14ac:dyDescent="0.25">
      <c r="A16" s="59" t="s">
        <v>6</v>
      </c>
      <c r="B16" s="59">
        <v>12</v>
      </c>
      <c r="C16" s="52">
        <v>44198</v>
      </c>
      <c r="D16" s="66">
        <f t="shared" si="0"/>
        <v>2021</v>
      </c>
      <c r="E16" s="66" t="str">
        <f>TEXT(Tabela2[[#This Row],[Semana]],"mmmm")</f>
        <v>janeiro</v>
      </c>
      <c r="F16" t="str">
        <f>IF(MONTH(Tabela2[[#This Row],[Semana]])&lt;=6,"1ª Semestre","2ª Semestre")</f>
        <v>1ª Semestre</v>
      </c>
    </row>
    <row r="17" spans="1:6" x14ac:dyDescent="0.25">
      <c r="A17" s="59" t="s">
        <v>4</v>
      </c>
      <c r="B17" s="59">
        <v>0</v>
      </c>
      <c r="C17" s="52">
        <v>44198</v>
      </c>
      <c r="D17" s="66">
        <f t="shared" si="0"/>
        <v>2021</v>
      </c>
      <c r="E17" s="66" t="str">
        <f>TEXT(Tabela2[[#This Row],[Semana]],"mmmm")</f>
        <v>janeiro</v>
      </c>
      <c r="F17" t="str">
        <f>IF(MONTH(Tabela2[[#This Row],[Semana]])&lt;=6,"1ª Semestre","2ª Semestre")</f>
        <v>1ª Semestre</v>
      </c>
    </row>
    <row r="18" spans="1:6" x14ac:dyDescent="0.25">
      <c r="A18" s="59" t="s">
        <v>3</v>
      </c>
      <c r="B18" s="59">
        <v>39</v>
      </c>
      <c r="C18" s="52">
        <v>44198</v>
      </c>
      <c r="D18" s="66">
        <f t="shared" si="0"/>
        <v>2021</v>
      </c>
      <c r="E18" s="66" t="str">
        <f>TEXT(Tabela2[[#This Row],[Semana]],"mmmm")</f>
        <v>janeiro</v>
      </c>
      <c r="F18" t="str">
        <f>IF(MONTH(Tabela2[[#This Row],[Semana]])&lt;=6,"1ª Semestre","2ª Semestre")</f>
        <v>1ª Semestre</v>
      </c>
    </row>
    <row r="19" spans="1:6" x14ac:dyDescent="0.25">
      <c r="A19" s="59" t="s">
        <v>7</v>
      </c>
      <c r="B19" s="59">
        <v>8</v>
      </c>
      <c r="C19" s="52">
        <v>44198</v>
      </c>
      <c r="D19" s="66">
        <f t="shared" si="0"/>
        <v>2021</v>
      </c>
      <c r="E19" s="66" t="str">
        <f>TEXT(Tabela2[[#This Row],[Semana]],"mmmm")</f>
        <v>janeiro</v>
      </c>
      <c r="F19" t="str">
        <f>IF(MONTH(Tabela2[[#This Row],[Semana]])&lt;=6,"1ª Semestre","2ª Semestre")</f>
        <v>1ª Semestre</v>
      </c>
    </row>
    <row r="20" spans="1:6" x14ac:dyDescent="0.25">
      <c r="A20" s="59" t="s">
        <v>2</v>
      </c>
      <c r="B20" s="59">
        <v>38</v>
      </c>
      <c r="C20" s="52">
        <v>44210</v>
      </c>
      <c r="D20" s="66">
        <f t="shared" si="0"/>
        <v>2021</v>
      </c>
      <c r="E20" s="66" t="str">
        <f>TEXT(Tabela2[[#This Row],[Semana]],"mmmm")</f>
        <v>janeiro</v>
      </c>
      <c r="F20" t="str">
        <f>IF(MONTH(Tabela2[[#This Row],[Semana]])&lt;=6,"1ª Semestre","2ª Semestre")</f>
        <v>1ª Semestre</v>
      </c>
    </row>
    <row r="21" spans="1:6" x14ac:dyDescent="0.25">
      <c r="A21" s="59" t="s">
        <v>5</v>
      </c>
      <c r="B21" s="59">
        <v>13</v>
      </c>
      <c r="C21" s="52">
        <v>44210</v>
      </c>
      <c r="D21" s="66">
        <f t="shared" si="0"/>
        <v>2021</v>
      </c>
      <c r="E21" s="66" t="str">
        <f>TEXT(Tabela2[[#This Row],[Semana]],"mmmm")</f>
        <v>janeiro</v>
      </c>
      <c r="F21" t="str">
        <f>IF(MONTH(Tabela2[[#This Row],[Semana]])&lt;=6,"1ª Semestre","2ª Semestre")</f>
        <v>1ª Semestre</v>
      </c>
    </row>
    <row r="22" spans="1:6" x14ac:dyDescent="0.25">
      <c r="A22" s="59" t="s">
        <v>6</v>
      </c>
      <c r="B22" s="59">
        <v>9</v>
      </c>
      <c r="C22" s="52">
        <v>44210</v>
      </c>
      <c r="D22" s="66">
        <f t="shared" si="0"/>
        <v>2021</v>
      </c>
      <c r="E22" s="66" t="str">
        <f>TEXT(Tabela2[[#This Row],[Semana]],"mmmm")</f>
        <v>janeiro</v>
      </c>
      <c r="F22" t="str">
        <f>IF(MONTH(Tabela2[[#This Row],[Semana]])&lt;=6,"1ª Semestre","2ª Semestre")</f>
        <v>1ª Semestre</v>
      </c>
    </row>
    <row r="23" spans="1:6" x14ac:dyDescent="0.25">
      <c r="A23" s="59" t="s">
        <v>4</v>
      </c>
      <c r="B23" s="59">
        <v>0</v>
      </c>
      <c r="C23" s="52">
        <v>44210</v>
      </c>
      <c r="D23" s="66">
        <f t="shared" si="0"/>
        <v>2021</v>
      </c>
      <c r="E23" s="66" t="str">
        <f>TEXT(Tabela2[[#This Row],[Semana]],"mmmm")</f>
        <v>janeiro</v>
      </c>
      <c r="F23" t="str">
        <f>IF(MONTH(Tabela2[[#This Row],[Semana]])&lt;=6,"1ª Semestre","2ª Semestre")</f>
        <v>1ª Semestre</v>
      </c>
    </row>
    <row r="24" spans="1:6" x14ac:dyDescent="0.25">
      <c r="A24" s="59" t="s">
        <v>3</v>
      </c>
      <c r="B24" s="59">
        <v>0</v>
      </c>
      <c r="C24" s="52">
        <v>44210</v>
      </c>
      <c r="D24" s="66">
        <f t="shared" si="0"/>
        <v>2021</v>
      </c>
      <c r="E24" s="66" t="str">
        <f>TEXT(Tabela2[[#This Row],[Semana]],"mmmm")</f>
        <v>janeiro</v>
      </c>
      <c r="F24" t="str">
        <f>IF(MONTH(Tabela2[[#This Row],[Semana]])&lt;=6,"1ª Semestre","2ª Semestre")</f>
        <v>1ª Semestre</v>
      </c>
    </row>
    <row r="25" spans="1:6" x14ac:dyDescent="0.25">
      <c r="A25" s="59" t="s">
        <v>7</v>
      </c>
      <c r="B25" s="59">
        <v>1</v>
      </c>
      <c r="C25" s="52">
        <v>44210</v>
      </c>
      <c r="D25" s="66">
        <f t="shared" si="0"/>
        <v>2021</v>
      </c>
      <c r="E25" s="66" t="str">
        <f>TEXT(Tabela2[[#This Row],[Semana]],"mmmm")</f>
        <v>janeiro</v>
      </c>
      <c r="F25" t="str">
        <f>IF(MONTH(Tabela2[[#This Row],[Semana]])&lt;=6,"1ª Semestre","2ª Semestre")</f>
        <v>1ª Semestre</v>
      </c>
    </row>
    <row r="26" spans="1:6" x14ac:dyDescent="0.25">
      <c r="A26" s="59" t="s">
        <v>2</v>
      </c>
      <c r="B26" s="59">
        <v>118</v>
      </c>
      <c r="C26" s="52">
        <v>44218</v>
      </c>
      <c r="D26" s="66">
        <f t="shared" si="0"/>
        <v>2021</v>
      </c>
      <c r="E26" s="66" t="str">
        <f>TEXT(Tabela2[[#This Row],[Semana]],"mmmm")</f>
        <v>janeiro</v>
      </c>
      <c r="F26" t="str">
        <f>IF(MONTH(Tabela2[[#This Row],[Semana]])&lt;=6,"1ª Semestre","2ª Semestre")</f>
        <v>1ª Semestre</v>
      </c>
    </row>
    <row r="27" spans="1:6" x14ac:dyDescent="0.25">
      <c r="A27" s="59" t="s">
        <v>5</v>
      </c>
      <c r="B27" s="59">
        <v>19</v>
      </c>
      <c r="C27" s="52">
        <v>44218</v>
      </c>
      <c r="D27" s="66">
        <f t="shared" si="0"/>
        <v>2021</v>
      </c>
      <c r="E27" s="66" t="str">
        <f>TEXT(Tabela2[[#This Row],[Semana]],"mmmm")</f>
        <v>janeiro</v>
      </c>
      <c r="F27" t="str">
        <f>IF(MONTH(Tabela2[[#This Row],[Semana]])&lt;=6,"1ª Semestre","2ª Semestre")</f>
        <v>1ª Semestre</v>
      </c>
    </row>
    <row r="28" spans="1:6" x14ac:dyDescent="0.25">
      <c r="A28" s="59" t="s">
        <v>6</v>
      </c>
      <c r="B28" s="59">
        <v>4</v>
      </c>
      <c r="C28" s="52">
        <v>44218</v>
      </c>
      <c r="D28" s="66">
        <f t="shared" si="0"/>
        <v>2021</v>
      </c>
      <c r="E28" s="66" t="str">
        <f>TEXT(Tabela2[[#This Row],[Semana]],"mmmm")</f>
        <v>janeiro</v>
      </c>
      <c r="F28" t="str">
        <f>IF(MONTH(Tabela2[[#This Row],[Semana]])&lt;=6,"1ª Semestre","2ª Semestre")</f>
        <v>1ª Semestre</v>
      </c>
    </row>
    <row r="29" spans="1:6" x14ac:dyDescent="0.25">
      <c r="A29" s="59" t="s">
        <v>4</v>
      </c>
      <c r="B29" s="59">
        <v>19</v>
      </c>
      <c r="C29" s="52">
        <v>44218</v>
      </c>
      <c r="D29" s="66">
        <f t="shared" si="0"/>
        <v>2021</v>
      </c>
      <c r="E29" s="66" t="str">
        <f>TEXT(Tabela2[[#This Row],[Semana]],"mmmm")</f>
        <v>janeiro</v>
      </c>
      <c r="F29" t="str">
        <f>IF(MONTH(Tabela2[[#This Row],[Semana]])&lt;=6,"1ª Semestre","2ª Semestre")</f>
        <v>1ª Semestre</v>
      </c>
    </row>
    <row r="30" spans="1:6" x14ac:dyDescent="0.25">
      <c r="A30" s="59" t="s">
        <v>3</v>
      </c>
      <c r="B30" s="59">
        <v>0</v>
      </c>
      <c r="C30" s="52">
        <v>44218</v>
      </c>
      <c r="D30" s="66">
        <f t="shared" si="0"/>
        <v>2021</v>
      </c>
      <c r="E30" s="66" t="str">
        <f>TEXT(Tabela2[[#This Row],[Semana]],"mmmm")</f>
        <v>janeiro</v>
      </c>
      <c r="F30" t="str">
        <f>IF(MONTH(Tabela2[[#This Row],[Semana]])&lt;=6,"1ª Semestre","2ª Semestre")</f>
        <v>1ª Semestre</v>
      </c>
    </row>
    <row r="31" spans="1:6" x14ac:dyDescent="0.25">
      <c r="A31" s="59" t="s">
        <v>7</v>
      </c>
      <c r="B31" s="59">
        <v>19</v>
      </c>
      <c r="C31" s="52">
        <v>44218</v>
      </c>
      <c r="D31" s="66">
        <f t="shared" si="0"/>
        <v>2021</v>
      </c>
      <c r="E31" s="66" t="str">
        <f>TEXT(Tabela2[[#This Row],[Semana]],"mmmm")</f>
        <v>janeiro</v>
      </c>
      <c r="F31" t="str">
        <f>IF(MONTH(Tabela2[[#This Row],[Semana]])&lt;=6,"1ª Semestre","2ª Semestre")</f>
        <v>1ª Semestre</v>
      </c>
    </row>
    <row r="32" spans="1:6" x14ac:dyDescent="0.25">
      <c r="A32" s="59" t="s">
        <v>2</v>
      </c>
      <c r="B32" s="59">
        <v>122</v>
      </c>
      <c r="C32" s="52">
        <v>44226</v>
      </c>
      <c r="D32" s="66">
        <f t="shared" si="0"/>
        <v>2021</v>
      </c>
      <c r="E32" s="66" t="str">
        <f>TEXT(Tabela2[[#This Row],[Semana]],"mmmm")</f>
        <v>janeiro</v>
      </c>
      <c r="F32" t="str">
        <f>IF(MONTH(Tabela2[[#This Row],[Semana]])&lt;=6,"1ª Semestre","2ª Semestre")</f>
        <v>1ª Semestre</v>
      </c>
    </row>
    <row r="33" spans="1:6" x14ac:dyDescent="0.25">
      <c r="A33" s="59" t="s">
        <v>5</v>
      </c>
      <c r="B33" s="59">
        <v>12</v>
      </c>
      <c r="C33" s="52">
        <v>44226</v>
      </c>
      <c r="D33" s="66">
        <f t="shared" si="0"/>
        <v>2021</v>
      </c>
      <c r="E33" s="66" t="str">
        <f>TEXT(Tabela2[[#This Row],[Semana]],"mmmm")</f>
        <v>janeiro</v>
      </c>
      <c r="F33" t="str">
        <f>IF(MONTH(Tabela2[[#This Row],[Semana]])&lt;=6,"1ª Semestre","2ª Semestre")</f>
        <v>1ª Semestre</v>
      </c>
    </row>
    <row r="34" spans="1:6" x14ac:dyDescent="0.25">
      <c r="A34" s="59" t="s">
        <v>6</v>
      </c>
      <c r="B34" s="59">
        <v>0</v>
      </c>
      <c r="C34" s="52">
        <v>44226</v>
      </c>
      <c r="D34" s="66">
        <f t="shared" si="0"/>
        <v>2021</v>
      </c>
      <c r="E34" s="66" t="str">
        <f>TEXT(Tabela2[[#This Row],[Semana]],"mmmm")</f>
        <v>janeiro</v>
      </c>
      <c r="F34" t="str">
        <f>IF(MONTH(Tabela2[[#This Row],[Semana]])&lt;=6,"1ª Semestre","2ª Semestre")</f>
        <v>1ª Semestre</v>
      </c>
    </row>
    <row r="35" spans="1:6" x14ac:dyDescent="0.25">
      <c r="A35" s="59" t="s">
        <v>4</v>
      </c>
      <c r="B35" s="59">
        <v>18</v>
      </c>
      <c r="C35" s="52">
        <v>44226</v>
      </c>
      <c r="D35" s="66">
        <f t="shared" si="0"/>
        <v>2021</v>
      </c>
      <c r="E35" s="66" t="str">
        <f>TEXT(Tabela2[[#This Row],[Semana]],"mmmm")</f>
        <v>janeiro</v>
      </c>
      <c r="F35" t="str">
        <f>IF(MONTH(Tabela2[[#This Row],[Semana]])&lt;=6,"1ª Semestre","2ª Semestre")</f>
        <v>1ª Semestre</v>
      </c>
    </row>
    <row r="36" spans="1:6" x14ac:dyDescent="0.25">
      <c r="A36" s="59" t="s">
        <v>3</v>
      </c>
      <c r="B36" s="59">
        <v>2</v>
      </c>
      <c r="C36" s="52">
        <v>44226</v>
      </c>
      <c r="D36" s="66">
        <f t="shared" si="0"/>
        <v>2021</v>
      </c>
      <c r="E36" s="66" t="str">
        <f>TEXT(Tabela2[[#This Row],[Semana]],"mmmm")</f>
        <v>janeiro</v>
      </c>
      <c r="F36" t="str">
        <f>IF(MONTH(Tabela2[[#This Row],[Semana]])&lt;=6,"1ª Semestre","2ª Semestre")</f>
        <v>1ª Semestre</v>
      </c>
    </row>
    <row r="37" spans="1:6" x14ac:dyDescent="0.25">
      <c r="A37" s="59" t="s">
        <v>7</v>
      </c>
      <c r="B37" s="59">
        <v>21</v>
      </c>
      <c r="C37" s="52">
        <v>44226</v>
      </c>
      <c r="D37" s="66">
        <f t="shared" si="0"/>
        <v>2021</v>
      </c>
      <c r="E37" s="66" t="str">
        <f>TEXT(Tabela2[[#This Row],[Semana]],"mmmm")</f>
        <v>janeiro</v>
      </c>
      <c r="F37" t="str">
        <f>IF(MONTH(Tabela2[[#This Row],[Semana]])&lt;=6,"1ª Semestre","2ª Semestre")</f>
        <v>1ª Semestre</v>
      </c>
    </row>
    <row r="38" spans="1:6" x14ac:dyDescent="0.25">
      <c r="A38" s="59" t="s">
        <v>2</v>
      </c>
      <c r="B38" s="59">
        <v>10</v>
      </c>
      <c r="C38" s="52">
        <v>44234</v>
      </c>
      <c r="D38" s="66">
        <f t="shared" si="0"/>
        <v>2021</v>
      </c>
      <c r="E38" s="66" t="str">
        <f>TEXT(Tabela2[[#This Row],[Semana]],"mmmm")</f>
        <v>fevereiro</v>
      </c>
      <c r="F38" t="str">
        <f>IF(MONTH(Tabela2[[#This Row],[Semana]])&lt;=6,"1ª Semestre","2ª Semestre")</f>
        <v>1ª Semestre</v>
      </c>
    </row>
    <row r="39" spans="1:6" x14ac:dyDescent="0.25">
      <c r="A39" s="59" t="s">
        <v>5</v>
      </c>
      <c r="B39" s="59">
        <v>2</v>
      </c>
      <c r="C39" s="52">
        <v>44234</v>
      </c>
      <c r="D39" s="66">
        <f t="shared" si="0"/>
        <v>2021</v>
      </c>
      <c r="E39" s="66" t="str">
        <f>TEXT(Tabela2[[#This Row],[Semana]],"mmmm")</f>
        <v>fevereiro</v>
      </c>
      <c r="F39" t="str">
        <f>IF(MONTH(Tabela2[[#This Row],[Semana]])&lt;=6,"1ª Semestre","2ª Semestre")</f>
        <v>1ª Semestre</v>
      </c>
    </row>
    <row r="40" spans="1:6" x14ac:dyDescent="0.25">
      <c r="A40" s="59" t="s">
        <v>6</v>
      </c>
      <c r="B40" s="59">
        <v>1</v>
      </c>
      <c r="C40" s="52">
        <v>44234</v>
      </c>
      <c r="D40" s="66">
        <f t="shared" si="0"/>
        <v>2021</v>
      </c>
      <c r="E40" s="66" t="str">
        <f>TEXT(Tabela2[[#This Row],[Semana]],"mmmm")</f>
        <v>fevereiro</v>
      </c>
      <c r="F40" t="str">
        <f>IF(MONTH(Tabela2[[#This Row],[Semana]])&lt;=6,"1ª Semestre","2ª Semestre")</f>
        <v>1ª Semestre</v>
      </c>
    </row>
    <row r="41" spans="1:6" x14ac:dyDescent="0.25">
      <c r="A41" s="59" t="s">
        <v>4</v>
      </c>
      <c r="B41" s="59">
        <v>0</v>
      </c>
      <c r="C41" s="52">
        <v>44234</v>
      </c>
      <c r="D41" s="66">
        <f t="shared" si="0"/>
        <v>2021</v>
      </c>
      <c r="E41" s="66" t="str">
        <f>TEXT(Tabela2[[#This Row],[Semana]],"mmmm")</f>
        <v>fevereiro</v>
      </c>
      <c r="F41" t="str">
        <f>IF(MONTH(Tabela2[[#This Row],[Semana]])&lt;=6,"1ª Semestre","2ª Semestre")</f>
        <v>1ª Semestre</v>
      </c>
    </row>
    <row r="42" spans="1:6" x14ac:dyDescent="0.25">
      <c r="A42" s="59" t="s">
        <v>3</v>
      </c>
      <c r="B42" s="59">
        <v>26</v>
      </c>
      <c r="C42" s="52">
        <v>44234</v>
      </c>
      <c r="D42" s="66">
        <f t="shared" si="0"/>
        <v>2021</v>
      </c>
      <c r="E42" s="66" t="str">
        <f>TEXT(Tabela2[[#This Row],[Semana]],"mmmm")</f>
        <v>fevereiro</v>
      </c>
      <c r="F42" t="str">
        <f>IF(MONTH(Tabela2[[#This Row],[Semana]])&lt;=6,"1ª Semestre","2ª Semestre")</f>
        <v>1ª Semestre</v>
      </c>
    </row>
    <row r="43" spans="1:6" x14ac:dyDescent="0.25">
      <c r="A43" s="59" t="s">
        <v>7</v>
      </c>
      <c r="B43" s="59">
        <v>1</v>
      </c>
      <c r="C43" s="52">
        <v>44234</v>
      </c>
      <c r="D43" s="66">
        <f t="shared" si="0"/>
        <v>2021</v>
      </c>
      <c r="E43" s="66" t="str">
        <f>TEXT(Tabela2[[#This Row],[Semana]],"mmmm")</f>
        <v>fevereiro</v>
      </c>
      <c r="F43" t="str">
        <f>IF(MONTH(Tabela2[[#This Row],[Semana]])&lt;=6,"1ª Semestre","2ª Semestre")</f>
        <v>1ª Semestre</v>
      </c>
    </row>
    <row r="44" spans="1:6" x14ac:dyDescent="0.25">
      <c r="A44" s="59" t="s">
        <v>2</v>
      </c>
      <c r="B44" s="59">
        <v>9</v>
      </c>
      <c r="C44" s="52">
        <v>44242</v>
      </c>
      <c r="D44" s="66">
        <f t="shared" si="0"/>
        <v>2021</v>
      </c>
      <c r="E44" s="66" t="str">
        <f>TEXT(Tabela2[[#This Row],[Semana]],"mmmm")</f>
        <v>fevereiro</v>
      </c>
      <c r="F44" t="str">
        <f>IF(MONTH(Tabela2[[#This Row],[Semana]])&lt;=6,"1ª Semestre","2ª Semestre")</f>
        <v>1ª Semestre</v>
      </c>
    </row>
    <row r="45" spans="1:6" x14ac:dyDescent="0.25">
      <c r="A45" s="59" t="s">
        <v>5</v>
      </c>
      <c r="B45" s="59">
        <v>6</v>
      </c>
      <c r="C45" s="52">
        <v>44242</v>
      </c>
      <c r="D45" s="66">
        <f t="shared" si="0"/>
        <v>2021</v>
      </c>
      <c r="E45" s="66" t="str">
        <f>TEXT(Tabela2[[#This Row],[Semana]],"mmmm")</f>
        <v>fevereiro</v>
      </c>
      <c r="F45" t="str">
        <f>IF(MONTH(Tabela2[[#This Row],[Semana]])&lt;=6,"1ª Semestre","2ª Semestre")</f>
        <v>1ª Semestre</v>
      </c>
    </row>
    <row r="46" spans="1:6" x14ac:dyDescent="0.25">
      <c r="A46" s="59" t="s">
        <v>6</v>
      </c>
      <c r="B46" s="59">
        <v>0</v>
      </c>
      <c r="C46" s="52">
        <v>44242</v>
      </c>
      <c r="D46" s="66">
        <f t="shared" si="0"/>
        <v>2021</v>
      </c>
      <c r="E46" s="66" t="str">
        <f>TEXT(Tabela2[[#This Row],[Semana]],"mmmm")</f>
        <v>fevereiro</v>
      </c>
      <c r="F46" t="str">
        <f>IF(MONTH(Tabela2[[#This Row],[Semana]])&lt;=6,"1ª Semestre","2ª Semestre")</f>
        <v>1ª Semestre</v>
      </c>
    </row>
    <row r="47" spans="1:6" x14ac:dyDescent="0.25">
      <c r="A47" s="59" t="s">
        <v>4</v>
      </c>
      <c r="B47" s="59">
        <v>0</v>
      </c>
      <c r="C47" s="52">
        <v>44242</v>
      </c>
      <c r="D47" s="66">
        <f t="shared" si="0"/>
        <v>2021</v>
      </c>
      <c r="E47" s="66" t="str">
        <f>TEXT(Tabela2[[#This Row],[Semana]],"mmmm")</f>
        <v>fevereiro</v>
      </c>
      <c r="F47" t="str">
        <f>IF(MONTH(Tabela2[[#This Row],[Semana]])&lt;=6,"1ª Semestre","2ª Semestre")</f>
        <v>1ª Semestre</v>
      </c>
    </row>
    <row r="48" spans="1:6" x14ac:dyDescent="0.25">
      <c r="A48" s="59" t="s">
        <v>3</v>
      </c>
      <c r="B48" s="59">
        <v>1</v>
      </c>
      <c r="C48" s="52">
        <v>44242</v>
      </c>
      <c r="D48" s="66">
        <f t="shared" si="0"/>
        <v>2021</v>
      </c>
      <c r="E48" s="66" t="str">
        <f>TEXT(Tabela2[[#This Row],[Semana]],"mmmm")</f>
        <v>fevereiro</v>
      </c>
      <c r="F48" t="str">
        <f>IF(MONTH(Tabela2[[#This Row],[Semana]])&lt;=6,"1ª Semestre","2ª Semestre")</f>
        <v>1ª Semestre</v>
      </c>
    </row>
    <row r="49" spans="1:6" x14ac:dyDescent="0.25">
      <c r="A49" s="59" t="s">
        <v>7</v>
      </c>
      <c r="B49" s="59">
        <v>2</v>
      </c>
      <c r="C49" s="52">
        <v>44242</v>
      </c>
      <c r="D49" s="66">
        <f t="shared" si="0"/>
        <v>2021</v>
      </c>
      <c r="E49" s="66" t="str">
        <f>TEXT(Tabela2[[#This Row],[Semana]],"mmmm")</f>
        <v>fevereiro</v>
      </c>
      <c r="F49" t="str">
        <f>IF(MONTH(Tabela2[[#This Row],[Semana]])&lt;=6,"1ª Semestre","2ª Semestre")</f>
        <v>1ª Semestre</v>
      </c>
    </row>
    <row r="50" spans="1:6" x14ac:dyDescent="0.25">
      <c r="A50" s="59" t="s">
        <v>2</v>
      </c>
      <c r="B50" s="59">
        <v>14</v>
      </c>
      <c r="C50" s="52">
        <v>44250</v>
      </c>
      <c r="D50" s="66">
        <f t="shared" si="0"/>
        <v>2021</v>
      </c>
      <c r="E50" s="66" t="str">
        <f>TEXT(Tabela2[[#This Row],[Semana]],"mmmm")</f>
        <v>fevereiro</v>
      </c>
      <c r="F50" t="str">
        <f>IF(MONTH(Tabela2[[#This Row],[Semana]])&lt;=6,"1ª Semestre","2ª Semestre")</f>
        <v>1ª Semestre</v>
      </c>
    </row>
    <row r="51" spans="1:6" x14ac:dyDescent="0.25">
      <c r="A51" s="59" t="s">
        <v>5</v>
      </c>
      <c r="B51" s="59">
        <v>1</v>
      </c>
      <c r="C51" s="52">
        <v>44250</v>
      </c>
      <c r="D51" s="66">
        <f t="shared" si="0"/>
        <v>2021</v>
      </c>
      <c r="E51" s="66" t="str">
        <f>TEXT(Tabela2[[#This Row],[Semana]],"mmmm")</f>
        <v>fevereiro</v>
      </c>
      <c r="F51" t="str">
        <f>IF(MONTH(Tabela2[[#This Row],[Semana]])&lt;=6,"1ª Semestre","2ª Semestre")</f>
        <v>1ª Semestre</v>
      </c>
    </row>
    <row r="52" spans="1:6" x14ac:dyDescent="0.25">
      <c r="A52" s="59" t="s">
        <v>6</v>
      </c>
      <c r="B52" s="59">
        <v>1</v>
      </c>
      <c r="C52" s="52">
        <v>44250</v>
      </c>
      <c r="D52" s="66">
        <f t="shared" si="0"/>
        <v>2021</v>
      </c>
      <c r="E52" s="66" t="str">
        <f>TEXT(Tabela2[[#This Row],[Semana]],"mmmm")</f>
        <v>fevereiro</v>
      </c>
      <c r="F52" t="str">
        <f>IF(MONTH(Tabela2[[#This Row],[Semana]])&lt;=6,"1ª Semestre","2ª Semestre")</f>
        <v>1ª Semestre</v>
      </c>
    </row>
    <row r="53" spans="1:6" x14ac:dyDescent="0.25">
      <c r="A53" s="59" t="s">
        <v>4</v>
      </c>
      <c r="B53" s="59">
        <v>0</v>
      </c>
      <c r="C53" s="52">
        <v>44250</v>
      </c>
      <c r="D53" s="66">
        <f t="shared" si="0"/>
        <v>2021</v>
      </c>
      <c r="E53" s="66" t="str">
        <f>TEXT(Tabela2[[#This Row],[Semana]],"mmmm")</f>
        <v>fevereiro</v>
      </c>
      <c r="F53" t="str">
        <f>IF(MONTH(Tabela2[[#This Row],[Semana]])&lt;=6,"1ª Semestre","2ª Semestre")</f>
        <v>1ª Semestre</v>
      </c>
    </row>
    <row r="54" spans="1:6" x14ac:dyDescent="0.25">
      <c r="A54" s="59" t="s">
        <v>3</v>
      </c>
      <c r="B54" s="59">
        <v>1</v>
      </c>
      <c r="C54" s="52">
        <v>44250</v>
      </c>
      <c r="D54" s="66">
        <f t="shared" si="0"/>
        <v>2021</v>
      </c>
      <c r="E54" s="66" t="str">
        <f>TEXT(Tabela2[[#This Row],[Semana]],"mmmm")</f>
        <v>fevereiro</v>
      </c>
      <c r="F54" t="str">
        <f>IF(MONTH(Tabela2[[#This Row],[Semana]])&lt;=6,"1ª Semestre","2ª Semestre")</f>
        <v>1ª Semestre</v>
      </c>
    </row>
    <row r="55" spans="1:6" x14ac:dyDescent="0.25">
      <c r="A55" s="59" t="s">
        <v>7</v>
      </c>
      <c r="B55" s="59">
        <v>0</v>
      </c>
      <c r="C55" s="52">
        <v>44250</v>
      </c>
      <c r="D55" s="66">
        <f t="shared" si="0"/>
        <v>2021</v>
      </c>
      <c r="E55" s="66" t="str">
        <f>TEXT(Tabela2[[#This Row],[Semana]],"mmmm")</f>
        <v>fevereiro</v>
      </c>
      <c r="F55" t="str">
        <f>IF(MONTH(Tabela2[[#This Row],[Semana]])&lt;=6,"1ª Semestre","2ª Semestre")</f>
        <v>1ª Semestre</v>
      </c>
    </row>
    <row r="56" spans="1:6" x14ac:dyDescent="0.25">
      <c r="A56" s="59" t="s">
        <v>2</v>
      </c>
      <c r="B56" s="59">
        <v>75</v>
      </c>
      <c r="C56" s="52">
        <v>44258</v>
      </c>
      <c r="D56" s="66">
        <f t="shared" si="0"/>
        <v>2021</v>
      </c>
      <c r="E56" s="66" t="str">
        <f>TEXT(Tabela2[[#This Row],[Semana]],"mmmm")</f>
        <v>março</v>
      </c>
      <c r="F56" t="str">
        <f>IF(MONTH(Tabela2[[#This Row],[Semana]])&lt;=6,"1ª Semestre","2ª Semestre")</f>
        <v>1ª Semestre</v>
      </c>
    </row>
    <row r="57" spans="1:6" x14ac:dyDescent="0.25">
      <c r="A57" s="59" t="s">
        <v>5</v>
      </c>
      <c r="B57" s="59">
        <v>12</v>
      </c>
      <c r="C57" s="52">
        <v>44258</v>
      </c>
      <c r="D57" s="66">
        <f t="shared" si="0"/>
        <v>2021</v>
      </c>
      <c r="E57" s="66" t="str">
        <f>TEXT(Tabela2[[#This Row],[Semana]],"mmmm")</f>
        <v>março</v>
      </c>
      <c r="F57" t="str">
        <f>IF(MONTH(Tabela2[[#This Row],[Semana]])&lt;=6,"1ª Semestre","2ª Semestre")</f>
        <v>1ª Semestre</v>
      </c>
    </row>
    <row r="58" spans="1:6" x14ac:dyDescent="0.25">
      <c r="A58" s="59" t="s">
        <v>6</v>
      </c>
      <c r="B58" s="59">
        <v>15</v>
      </c>
      <c r="C58" s="52">
        <v>44258</v>
      </c>
      <c r="D58" s="66">
        <f t="shared" si="0"/>
        <v>2021</v>
      </c>
      <c r="E58" s="66" t="str">
        <f>TEXT(Tabela2[[#This Row],[Semana]],"mmmm")</f>
        <v>março</v>
      </c>
      <c r="F58" t="str">
        <f>IF(MONTH(Tabela2[[#This Row],[Semana]])&lt;=6,"1ª Semestre","2ª Semestre")</f>
        <v>1ª Semestre</v>
      </c>
    </row>
    <row r="59" spans="1:6" x14ac:dyDescent="0.25">
      <c r="A59" s="59" t="s">
        <v>4</v>
      </c>
      <c r="B59" s="59">
        <v>2</v>
      </c>
      <c r="C59" s="52">
        <v>44258</v>
      </c>
      <c r="D59" s="66">
        <f t="shared" si="0"/>
        <v>2021</v>
      </c>
      <c r="E59" s="66" t="str">
        <f>TEXT(Tabela2[[#This Row],[Semana]],"mmmm")</f>
        <v>março</v>
      </c>
      <c r="F59" t="str">
        <f>IF(MONTH(Tabela2[[#This Row],[Semana]])&lt;=6,"1ª Semestre","2ª Semestre")</f>
        <v>1ª Semestre</v>
      </c>
    </row>
    <row r="60" spans="1:6" x14ac:dyDescent="0.25">
      <c r="A60" s="59" t="s">
        <v>3</v>
      </c>
      <c r="B60" s="59">
        <v>11</v>
      </c>
      <c r="C60" s="52">
        <v>44258</v>
      </c>
      <c r="D60" s="66">
        <f t="shared" si="0"/>
        <v>2021</v>
      </c>
      <c r="E60" s="66" t="str">
        <f>TEXT(Tabela2[[#This Row],[Semana]],"mmmm")</f>
        <v>março</v>
      </c>
      <c r="F60" t="str">
        <f>IF(MONTH(Tabela2[[#This Row],[Semana]])&lt;=6,"1ª Semestre","2ª Semestre")</f>
        <v>1ª Semestre</v>
      </c>
    </row>
    <row r="61" spans="1:6" x14ac:dyDescent="0.25">
      <c r="A61" s="59" t="s">
        <v>7</v>
      </c>
      <c r="B61" s="59">
        <v>12</v>
      </c>
      <c r="C61" s="52">
        <v>44258</v>
      </c>
      <c r="D61" s="66">
        <f t="shared" si="0"/>
        <v>2021</v>
      </c>
      <c r="E61" s="66" t="str">
        <f>TEXT(Tabela2[[#This Row],[Semana]],"mmmm")</f>
        <v>março</v>
      </c>
      <c r="F61" t="str">
        <f>IF(MONTH(Tabela2[[#This Row],[Semana]])&lt;=6,"1ª Semestre","2ª Semestre")</f>
        <v>1ª Semestre</v>
      </c>
    </row>
    <row r="62" spans="1:6" x14ac:dyDescent="0.25">
      <c r="A62" s="59" t="s">
        <v>2</v>
      </c>
      <c r="B62" s="59">
        <v>93</v>
      </c>
      <c r="C62" s="52">
        <v>44266</v>
      </c>
      <c r="D62" s="66">
        <f t="shared" si="0"/>
        <v>2021</v>
      </c>
      <c r="E62" s="66" t="str">
        <f>TEXT(Tabela2[[#This Row],[Semana]],"mmmm")</f>
        <v>março</v>
      </c>
      <c r="F62" t="str">
        <f>IF(MONTH(Tabela2[[#This Row],[Semana]])&lt;=6,"1ª Semestre","2ª Semestre")</f>
        <v>1ª Semestre</v>
      </c>
    </row>
    <row r="63" spans="1:6" x14ac:dyDescent="0.25">
      <c r="A63" s="59" t="s">
        <v>5</v>
      </c>
      <c r="B63" s="59">
        <v>9</v>
      </c>
      <c r="C63" s="52">
        <v>44266</v>
      </c>
      <c r="D63" s="66">
        <f t="shared" si="0"/>
        <v>2021</v>
      </c>
      <c r="E63" s="66" t="str">
        <f>TEXT(Tabela2[[#This Row],[Semana]],"mmmm")</f>
        <v>março</v>
      </c>
      <c r="F63" t="str">
        <f>IF(MONTH(Tabela2[[#This Row],[Semana]])&lt;=6,"1ª Semestre","2ª Semestre")</f>
        <v>1ª Semestre</v>
      </c>
    </row>
    <row r="64" spans="1:6" x14ac:dyDescent="0.25">
      <c r="A64" s="59" t="s">
        <v>6</v>
      </c>
      <c r="B64" s="59">
        <v>8</v>
      </c>
      <c r="C64" s="52">
        <v>44266</v>
      </c>
      <c r="D64" s="66">
        <f t="shared" si="0"/>
        <v>2021</v>
      </c>
      <c r="E64" s="66" t="str">
        <f>TEXT(Tabela2[[#This Row],[Semana]],"mmmm")</f>
        <v>março</v>
      </c>
      <c r="F64" t="str">
        <f>IF(MONTH(Tabela2[[#This Row],[Semana]])&lt;=6,"1ª Semestre","2ª Semestre")</f>
        <v>1ª Semestre</v>
      </c>
    </row>
    <row r="65" spans="1:6" x14ac:dyDescent="0.25">
      <c r="A65" s="59" t="s">
        <v>4</v>
      </c>
      <c r="B65" s="59">
        <v>9</v>
      </c>
      <c r="C65" s="52">
        <v>44266</v>
      </c>
      <c r="D65" s="66">
        <f t="shared" si="0"/>
        <v>2021</v>
      </c>
      <c r="E65" s="66" t="str">
        <f>TEXT(Tabela2[[#This Row],[Semana]],"mmmm")</f>
        <v>março</v>
      </c>
      <c r="F65" t="str">
        <f>IF(MONTH(Tabela2[[#This Row],[Semana]])&lt;=6,"1ª Semestre","2ª Semestre")</f>
        <v>1ª Semestre</v>
      </c>
    </row>
    <row r="66" spans="1:6" x14ac:dyDescent="0.25">
      <c r="A66" s="59" t="s">
        <v>3</v>
      </c>
      <c r="B66" s="59">
        <v>0</v>
      </c>
      <c r="C66" s="52">
        <v>44266</v>
      </c>
      <c r="D66" s="66">
        <f t="shared" si="0"/>
        <v>2021</v>
      </c>
      <c r="E66" s="66" t="str">
        <f>TEXT(Tabela2[[#This Row],[Semana]],"mmmm")</f>
        <v>março</v>
      </c>
      <c r="F66" t="str">
        <f>IF(MONTH(Tabela2[[#This Row],[Semana]])&lt;=6,"1ª Semestre","2ª Semestre")</f>
        <v>1ª Semestre</v>
      </c>
    </row>
    <row r="67" spans="1:6" x14ac:dyDescent="0.25">
      <c r="A67" s="59" t="s">
        <v>7</v>
      </c>
      <c r="B67" s="59">
        <v>11</v>
      </c>
      <c r="C67" s="52">
        <v>44266</v>
      </c>
      <c r="D67" s="66">
        <f t="shared" ref="D67:D130" si="1">YEAR((C67))</f>
        <v>2021</v>
      </c>
      <c r="E67" s="66" t="str">
        <f>TEXT(Tabela2[[#This Row],[Semana]],"mmmm")</f>
        <v>março</v>
      </c>
      <c r="F67" t="str">
        <f>IF(MONTH(Tabela2[[#This Row],[Semana]])&lt;=6,"1ª Semestre","2ª Semestre")</f>
        <v>1ª Semestre</v>
      </c>
    </row>
    <row r="68" spans="1:6" x14ac:dyDescent="0.25">
      <c r="A68" s="59" t="s">
        <v>2</v>
      </c>
      <c r="B68" s="59">
        <v>113</v>
      </c>
      <c r="C68" s="52">
        <v>44274</v>
      </c>
      <c r="D68" s="66">
        <f t="shared" si="1"/>
        <v>2021</v>
      </c>
      <c r="E68" s="66" t="str">
        <f>TEXT(Tabela2[[#This Row],[Semana]],"mmmm")</f>
        <v>março</v>
      </c>
      <c r="F68" t="str">
        <f>IF(MONTH(Tabela2[[#This Row],[Semana]])&lt;=6,"1ª Semestre","2ª Semestre")</f>
        <v>1ª Semestre</v>
      </c>
    </row>
    <row r="69" spans="1:6" x14ac:dyDescent="0.25">
      <c r="A69" s="59" t="s">
        <v>5</v>
      </c>
      <c r="B69" s="59">
        <v>23</v>
      </c>
      <c r="C69" s="52">
        <v>44274</v>
      </c>
      <c r="D69" s="66">
        <f t="shared" si="1"/>
        <v>2021</v>
      </c>
      <c r="E69" s="66" t="str">
        <f>TEXT(Tabela2[[#This Row],[Semana]],"mmmm")</f>
        <v>março</v>
      </c>
      <c r="F69" t="str">
        <f>IF(MONTH(Tabela2[[#This Row],[Semana]])&lt;=6,"1ª Semestre","2ª Semestre")</f>
        <v>1ª Semestre</v>
      </c>
    </row>
    <row r="70" spans="1:6" x14ac:dyDescent="0.25">
      <c r="A70" s="59" t="s">
        <v>6</v>
      </c>
      <c r="B70" s="59">
        <v>18</v>
      </c>
      <c r="C70" s="52">
        <v>44274</v>
      </c>
      <c r="D70" s="66">
        <f t="shared" si="1"/>
        <v>2021</v>
      </c>
      <c r="E70" s="66" t="str">
        <f>TEXT(Tabela2[[#This Row],[Semana]],"mmmm")</f>
        <v>março</v>
      </c>
      <c r="F70" t="str">
        <f>IF(MONTH(Tabela2[[#This Row],[Semana]])&lt;=6,"1ª Semestre","2ª Semestre")</f>
        <v>1ª Semestre</v>
      </c>
    </row>
    <row r="71" spans="1:6" x14ac:dyDescent="0.25">
      <c r="A71" s="59" t="s">
        <v>4</v>
      </c>
      <c r="B71" s="59">
        <v>0</v>
      </c>
      <c r="C71" s="52">
        <v>44274</v>
      </c>
      <c r="D71" s="66">
        <f t="shared" si="1"/>
        <v>2021</v>
      </c>
      <c r="E71" s="66" t="str">
        <f>TEXT(Tabela2[[#This Row],[Semana]],"mmmm")</f>
        <v>março</v>
      </c>
      <c r="F71" t="str">
        <f>IF(MONTH(Tabela2[[#This Row],[Semana]])&lt;=6,"1ª Semestre","2ª Semestre")</f>
        <v>1ª Semestre</v>
      </c>
    </row>
    <row r="72" spans="1:6" x14ac:dyDescent="0.25">
      <c r="A72" s="59" t="s">
        <v>3</v>
      </c>
      <c r="B72" s="59">
        <v>0</v>
      </c>
      <c r="C72" s="52">
        <v>44274</v>
      </c>
      <c r="D72" s="66">
        <f t="shared" si="1"/>
        <v>2021</v>
      </c>
      <c r="E72" s="66" t="str">
        <f>TEXT(Tabela2[[#This Row],[Semana]],"mmmm")</f>
        <v>março</v>
      </c>
      <c r="F72" t="str">
        <f>IF(MONTH(Tabela2[[#This Row],[Semana]])&lt;=6,"1ª Semestre","2ª Semestre")</f>
        <v>1ª Semestre</v>
      </c>
    </row>
    <row r="73" spans="1:6" x14ac:dyDescent="0.25">
      <c r="A73" s="59" t="s">
        <v>7</v>
      </c>
      <c r="B73" s="59">
        <v>37</v>
      </c>
      <c r="C73" s="52">
        <v>44274</v>
      </c>
      <c r="D73" s="66">
        <f t="shared" si="1"/>
        <v>2021</v>
      </c>
      <c r="E73" s="66" t="str">
        <f>TEXT(Tabela2[[#This Row],[Semana]],"mmmm")</f>
        <v>março</v>
      </c>
      <c r="F73" t="str">
        <f>IF(MONTH(Tabela2[[#This Row],[Semana]])&lt;=6,"1ª Semestre","2ª Semestre")</f>
        <v>1ª Semestre</v>
      </c>
    </row>
    <row r="74" spans="1:6" x14ac:dyDescent="0.25">
      <c r="A74" s="59" t="s">
        <v>2</v>
      </c>
      <c r="B74" s="59">
        <v>139</v>
      </c>
      <c r="C74" s="52">
        <v>44282</v>
      </c>
      <c r="D74" s="66">
        <f t="shared" si="1"/>
        <v>2021</v>
      </c>
      <c r="E74" s="66" t="str">
        <f>TEXT(Tabela2[[#This Row],[Semana]],"mmmm")</f>
        <v>março</v>
      </c>
      <c r="F74" t="str">
        <f>IF(MONTH(Tabela2[[#This Row],[Semana]])&lt;=6,"1ª Semestre","2ª Semestre")</f>
        <v>1ª Semestre</v>
      </c>
    </row>
    <row r="75" spans="1:6" x14ac:dyDescent="0.25">
      <c r="A75" s="59" t="s">
        <v>5</v>
      </c>
      <c r="B75" s="59">
        <v>23</v>
      </c>
      <c r="C75" s="52">
        <v>44282</v>
      </c>
      <c r="D75" s="66">
        <f t="shared" si="1"/>
        <v>2021</v>
      </c>
      <c r="E75" s="66" t="str">
        <f>TEXT(Tabela2[[#This Row],[Semana]],"mmmm")</f>
        <v>março</v>
      </c>
      <c r="F75" t="str">
        <f>IF(MONTH(Tabela2[[#This Row],[Semana]])&lt;=6,"1ª Semestre","2ª Semestre")</f>
        <v>1ª Semestre</v>
      </c>
    </row>
    <row r="76" spans="1:6" x14ac:dyDescent="0.25">
      <c r="A76" s="59" t="s">
        <v>6</v>
      </c>
      <c r="B76" s="59">
        <v>5</v>
      </c>
      <c r="C76" s="52">
        <v>44282</v>
      </c>
      <c r="D76" s="66">
        <f t="shared" si="1"/>
        <v>2021</v>
      </c>
      <c r="E76" s="66" t="str">
        <f>TEXT(Tabela2[[#This Row],[Semana]],"mmmm")</f>
        <v>março</v>
      </c>
      <c r="F76" t="str">
        <f>IF(MONTH(Tabela2[[#This Row],[Semana]])&lt;=6,"1ª Semestre","2ª Semestre")</f>
        <v>1ª Semestre</v>
      </c>
    </row>
    <row r="77" spans="1:6" x14ac:dyDescent="0.25">
      <c r="A77" s="59" t="s">
        <v>4</v>
      </c>
      <c r="B77" s="59">
        <v>0</v>
      </c>
      <c r="C77" s="52">
        <v>44282</v>
      </c>
      <c r="D77" s="66">
        <f t="shared" si="1"/>
        <v>2021</v>
      </c>
      <c r="E77" s="66" t="str">
        <f>TEXT(Tabela2[[#This Row],[Semana]],"mmmm")</f>
        <v>março</v>
      </c>
      <c r="F77" t="str">
        <f>IF(MONTH(Tabela2[[#This Row],[Semana]])&lt;=6,"1ª Semestre","2ª Semestre")</f>
        <v>1ª Semestre</v>
      </c>
    </row>
    <row r="78" spans="1:6" x14ac:dyDescent="0.25">
      <c r="A78" s="59" t="s">
        <v>3</v>
      </c>
      <c r="B78" s="59">
        <v>0</v>
      </c>
      <c r="C78" s="52">
        <v>44282</v>
      </c>
      <c r="D78" s="66">
        <f t="shared" si="1"/>
        <v>2021</v>
      </c>
      <c r="E78" s="66" t="str">
        <f>TEXT(Tabela2[[#This Row],[Semana]],"mmmm")</f>
        <v>março</v>
      </c>
      <c r="F78" t="str">
        <f>IF(MONTH(Tabela2[[#This Row],[Semana]])&lt;=6,"1ª Semestre","2ª Semestre")</f>
        <v>1ª Semestre</v>
      </c>
    </row>
    <row r="79" spans="1:6" x14ac:dyDescent="0.25">
      <c r="A79" s="59" t="s">
        <v>7</v>
      </c>
      <c r="B79" s="59">
        <v>47</v>
      </c>
      <c r="C79" s="52">
        <v>44282</v>
      </c>
      <c r="D79" s="66">
        <f t="shared" si="1"/>
        <v>2021</v>
      </c>
      <c r="E79" s="66" t="str">
        <f>TEXT(Tabela2[[#This Row],[Semana]],"mmmm")</f>
        <v>março</v>
      </c>
      <c r="F79" t="str">
        <f>IF(MONTH(Tabela2[[#This Row],[Semana]])&lt;=6,"1ª Semestre","2ª Semestre")</f>
        <v>1ª Semestre</v>
      </c>
    </row>
    <row r="80" spans="1:6" x14ac:dyDescent="0.25">
      <c r="A80" s="59" t="s">
        <v>2</v>
      </c>
      <c r="B80" s="59">
        <v>49</v>
      </c>
      <c r="C80" s="52">
        <v>44290</v>
      </c>
      <c r="D80" s="66">
        <f t="shared" si="1"/>
        <v>2021</v>
      </c>
      <c r="E80" s="66" t="str">
        <f>TEXT(Tabela2[[#This Row],[Semana]],"mmmm")</f>
        <v>abril</v>
      </c>
      <c r="F80" t="str">
        <f>IF(MONTH(Tabela2[[#This Row],[Semana]])&lt;=6,"1ª Semestre","2ª Semestre")</f>
        <v>1ª Semestre</v>
      </c>
    </row>
    <row r="81" spans="1:6" x14ac:dyDescent="0.25">
      <c r="A81" s="59" t="s">
        <v>5</v>
      </c>
      <c r="B81" s="59">
        <v>41</v>
      </c>
      <c r="C81" s="52">
        <v>44290</v>
      </c>
      <c r="D81" s="66">
        <f t="shared" si="1"/>
        <v>2021</v>
      </c>
      <c r="E81" s="66" t="str">
        <f>TEXT(Tabela2[[#This Row],[Semana]],"mmmm")</f>
        <v>abril</v>
      </c>
      <c r="F81" t="str">
        <f>IF(MONTH(Tabela2[[#This Row],[Semana]])&lt;=6,"1ª Semestre","2ª Semestre")</f>
        <v>1ª Semestre</v>
      </c>
    </row>
    <row r="82" spans="1:6" x14ac:dyDescent="0.25">
      <c r="A82" s="59" t="s">
        <v>6</v>
      </c>
      <c r="B82" s="59">
        <v>7</v>
      </c>
      <c r="C82" s="52">
        <v>44290</v>
      </c>
      <c r="D82" s="66">
        <f t="shared" si="1"/>
        <v>2021</v>
      </c>
      <c r="E82" s="66" t="str">
        <f>TEXT(Tabela2[[#This Row],[Semana]],"mmmm")</f>
        <v>abril</v>
      </c>
      <c r="F82" t="str">
        <f>IF(MONTH(Tabela2[[#This Row],[Semana]])&lt;=6,"1ª Semestre","2ª Semestre")</f>
        <v>1ª Semestre</v>
      </c>
    </row>
    <row r="83" spans="1:6" x14ac:dyDescent="0.25">
      <c r="A83" s="59" t="s">
        <v>4</v>
      </c>
      <c r="B83" s="59">
        <v>0</v>
      </c>
      <c r="C83" s="52">
        <v>44290</v>
      </c>
      <c r="D83" s="66">
        <f t="shared" si="1"/>
        <v>2021</v>
      </c>
      <c r="E83" s="66" t="str">
        <f>TEXT(Tabela2[[#This Row],[Semana]],"mmmm")</f>
        <v>abril</v>
      </c>
      <c r="F83" t="str">
        <f>IF(MONTH(Tabela2[[#This Row],[Semana]])&lt;=6,"1ª Semestre","2ª Semestre")</f>
        <v>1ª Semestre</v>
      </c>
    </row>
    <row r="84" spans="1:6" x14ac:dyDescent="0.25">
      <c r="A84" s="59" t="s">
        <v>3</v>
      </c>
      <c r="B84" s="59">
        <v>34</v>
      </c>
      <c r="C84" s="52">
        <v>44290</v>
      </c>
      <c r="D84" s="66">
        <f t="shared" si="1"/>
        <v>2021</v>
      </c>
      <c r="E84" s="66" t="str">
        <f>TEXT(Tabela2[[#This Row],[Semana]],"mmmm")</f>
        <v>abril</v>
      </c>
      <c r="F84" t="str">
        <f>IF(MONTH(Tabela2[[#This Row],[Semana]])&lt;=6,"1ª Semestre","2ª Semestre")</f>
        <v>1ª Semestre</v>
      </c>
    </row>
    <row r="85" spans="1:6" x14ac:dyDescent="0.25">
      <c r="A85" s="59" t="s">
        <v>7</v>
      </c>
      <c r="B85" s="59">
        <v>15</v>
      </c>
      <c r="C85" s="52">
        <v>44290</v>
      </c>
      <c r="D85" s="66">
        <f t="shared" si="1"/>
        <v>2021</v>
      </c>
      <c r="E85" s="66" t="str">
        <f>TEXT(Tabela2[[#This Row],[Semana]],"mmmm")</f>
        <v>abril</v>
      </c>
      <c r="F85" t="str">
        <f>IF(MONTH(Tabela2[[#This Row],[Semana]])&lt;=6,"1ª Semestre","2ª Semestre")</f>
        <v>1ª Semestre</v>
      </c>
    </row>
    <row r="86" spans="1:6" x14ac:dyDescent="0.25">
      <c r="A86" s="59" t="s">
        <v>2</v>
      </c>
      <c r="B86" s="59">
        <v>20</v>
      </c>
      <c r="C86" s="52">
        <v>44298</v>
      </c>
      <c r="D86" s="66">
        <f t="shared" si="1"/>
        <v>2021</v>
      </c>
      <c r="E86" s="66" t="str">
        <f>TEXT(Tabela2[[#This Row],[Semana]],"mmmm")</f>
        <v>abril</v>
      </c>
      <c r="F86" t="str">
        <f>IF(MONTH(Tabela2[[#This Row],[Semana]])&lt;=6,"1ª Semestre","2ª Semestre")</f>
        <v>1ª Semestre</v>
      </c>
    </row>
    <row r="87" spans="1:6" x14ac:dyDescent="0.25">
      <c r="A87" s="59" t="s">
        <v>5</v>
      </c>
      <c r="B87" s="59">
        <v>6</v>
      </c>
      <c r="C87" s="52">
        <v>44298</v>
      </c>
      <c r="D87" s="66">
        <f t="shared" si="1"/>
        <v>2021</v>
      </c>
      <c r="E87" s="66" t="str">
        <f>TEXT(Tabela2[[#This Row],[Semana]],"mmmm")</f>
        <v>abril</v>
      </c>
      <c r="F87" t="str">
        <f>IF(MONTH(Tabela2[[#This Row],[Semana]])&lt;=6,"1ª Semestre","2ª Semestre")</f>
        <v>1ª Semestre</v>
      </c>
    </row>
    <row r="88" spans="1:6" x14ac:dyDescent="0.25">
      <c r="A88" s="59" t="s">
        <v>6</v>
      </c>
      <c r="B88" s="59">
        <v>1</v>
      </c>
      <c r="C88" s="52">
        <v>44298</v>
      </c>
      <c r="D88" s="66">
        <f t="shared" si="1"/>
        <v>2021</v>
      </c>
      <c r="E88" s="66" t="str">
        <f>TEXT(Tabela2[[#This Row],[Semana]],"mmmm")</f>
        <v>abril</v>
      </c>
      <c r="F88" t="str">
        <f>IF(MONTH(Tabela2[[#This Row],[Semana]])&lt;=6,"1ª Semestre","2ª Semestre")</f>
        <v>1ª Semestre</v>
      </c>
    </row>
    <row r="89" spans="1:6" x14ac:dyDescent="0.25">
      <c r="A89" s="59" t="s">
        <v>4</v>
      </c>
      <c r="B89" s="59">
        <v>0</v>
      </c>
      <c r="C89" s="52">
        <v>44298</v>
      </c>
      <c r="D89" s="66">
        <f t="shared" si="1"/>
        <v>2021</v>
      </c>
      <c r="E89" s="66" t="str">
        <f>TEXT(Tabela2[[#This Row],[Semana]],"mmmm")</f>
        <v>abril</v>
      </c>
      <c r="F89" t="str">
        <f>IF(MONTH(Tabela2[[#This Row],[Semana]])&lt;=6,"1ª Semestre","2ª Semestre")</f>
        <v>1ª Semestre</v>
      </c>
    </row>
    <row r="90" spans="1:6" x14ac:dyDescent="0.25">
      <c r="A90" s="59" t="s">
        <v>3</v>
      </c>
      <c r="B90" s="59">
        <v>38</v>
      </c>
      <c r="C90" s="52">
        <v>44298</v>
      </c>
      <c r="D90" s="66">
        <f t="shared" si="1"/>
        <v>2021</v>
      </c>
      <c r="E90" s="66" t="str">
        <f>TEXT(Tabela2[[#This Row],[Semana]],"mmmm")</f>
        <v>abril</v>
      </c>
      <c r="F90" t="str">
        <f>IF(MONTH(Tabela2[[#This Row],[Semana]])&lt;=6,"1ª Semestre","2ª Semestre")</f>
        <v>1ª Semestre</v>
      </c>
    </row>
    <row r="91" spans="1:6" x14ac:dyDescent="0.25">
      <c r="A91" s="59" t="s">
        <v>7</v>
      </c>
      <c r="B91" s="59">
        <v>12</v>
      </c>
      <c r="C91" s="52">
        <v>44298</v>
      </c>
      <c r="D91" s="66">
        <f t="shared" si="1"/>
        <v>2021</v>
      </c>
      <c r="E91" s="66" t="str">
        <f>TEXT(Tabela2[[#This Row],[Semana]],"mmmm")</f>
        <v>abril</v>
      </c>
      <c r="F91" t="str">
        <f>IF(MONTH(Tabela2[[#This Row],[Semana]])&lt;=6,"1ª Semestre","2ª Semestre")</f>
        <v>1ª Semestre</v>
      </c>
    </row>
    <row r="92" spans="1:6" x14ac:dyDescent="0.25">
      <c r="A92" s="59" t="s">
        <v>2</v>
      </c>
      <c r="B92" s="59">
        <v>86</v>
      </c>
      <c r="C92" s="52">
        <v>44316</v>
      </c>
      <c r="D92" s="66">
        <f t="shared" si="1"/>
        <v>2021</v>
      </c>
      <c r="E92" s="66" t="str">
        <f>TEXT(Tabela2[[#This Row],[Semana]],"mmmm")</f>
        <v>abril</v>
      </c>
      <c r="F92" t="str">
        <f>IF(MONTH(Tabela2[[#This Row],[Semana]])&lt;=6,"1ª Semestre","2ª Semestre")</f>
        <v>1ª Semestre</v>
      </c>
    </row>
    <row r="93" spans="1:6" x14ac:dyDescent="0.25">
      <c r="A93" s="59" t="s">
        <v>5</v>
      </c>
      <c r="B93" s="59">
        <v>7</v>
      </c>
      <c r="C93" s="52">
        <v>44316</v>
      </c>
      <c r="D93" s="66">
        <f t="shared" si="1"/>
        <v>2021</v>
      </c>
      <c r="E93" s="66" t="str">
        <f>TEXT(Tabela2[[#This Row],[Semana]],"mmmm")</f>
        <v>abril</v>
      </c>
      <c r="F93" t="str">
        <f>IF(MONTH(Tabela2[[#This Row],[Semana]])&lt;=6,"1ª Semestre","2ª Semestre")</f>
        <v>1ª Semestre</v>
      </c>
    </row>
    <row r="94" spans="1:6" x14ac:dyDescent="0.25">
      <c r="A94" s="59" t="s">
        <v>6</v>
      </c>
      <c r="B94" s="59">
        <v>4</v>
      </c>
      <c r="C94" s="52">
        <v>44316</v>
      </c>
      <c r="D94" s="66">
        <f t="shared" si="1"/>
        <v>2021</v>
      </c>
      <c r="E94" s="66" t="str">
        <f>TEXT(Tabela2[[#This Row],[Semana]],"mmmm")</f>
        <v>abril</v>
      </c>
      <c r="F94" t="str">
        <f>IF(MONTH(Tabela2[[#This Row],[Semana]])&lt;=6,"1ª Semestre","2ª Semestre")</f>
        <v>1ª Semestre</v>
      </c>
    </row>
    <row r="95" spans="1:6" x14ac:dyDescent="0.25">
      <c r="A95" s="59" t="s">
        <v>4</v>
      </c>
      <c r="B95" s="59">
        <v>0</v>
      </c>
      <c r="C95" s="52">
        <v>44316</v>
      </c>
      <c r="D95" s="66">
        <f t="shared" si="1"/>
        <v>2021</v>
      </c>
      <c r="E95" s="66" t="str">
        <f>TEXT(Tabela2[[#This Row],[Semana]],"mmmm")</f>
        <v>abril</v>
      </c>
      <c r="F95" t="str">
        <f>IF(MONTH(Tabela2[[#This Row],[Semana]])&lt;=6,"1ª Semestre","2ª Semestre")</f>
        <v>1ª Semestre</v>
      </c>
    </row>
    <row r="96" spans="1:6" x14ac:dyDescent="0.25">
      <c r="A96" s="59" t="s">
        <v>3</v>
      </c>
      <c r="B96" s="59">
        <v>0</v>
      </c>
      <c r="C96" s="52">
        <v>44316</v>
      </c>
      <c r="D96" s="66">
        <f t="shared" si="1"/>
        <v>2021</v>
      </c>
      <c r="E96" s="66" t="str">
        <f>TEXT(Tabela2[[#This Row],[Semana]],"mmmm")</f>
        <v>abril</v>
      </c>
      <c r="F96" t="str">
        <f>IF(MONTH(Tabela2[[#This Row],[Semana]])&lt;=6,"1ª Semestre","2ª Semestre")</f>
        <v>1ª Semestre</v>
      </c>
    </row>
    <row r="97" spans="1:6" x14ac:dyDescent="0.25">
      <c r="A97" s="59" t="s">
        <v>7</v>
      </c>
      <c r="B97" s="59">
        <v>45</v>
      </c>
      <c r="C97" s="52">
        <v>44316</v>
      </c>
      <c r="D97" s="66">
        <f t="shared" si="1"/>
        <v>2021</v>
      </c>
      <c r="E97" s="66" t="str">
        <f>TEXT(Tabela2[[#This Row],[Semana]],"mmmm")</f>
        <v>abril</v>
      </c>
      <c r="F97" t="str">
        <f>IF(MONTH(Tabela2[[#This Row],[Semana]])&lt;=6,"1ª Semestre","2ª Semestre")</f>
        <v>1ª Semestre</v>
      </c>
    </row>
    <row r="98" spans="1:6" x14ac:dyDescent="0.25">
      <c r="A98" s="59" t="s">
        <v>2</v>
      </c>
      <c r="B98" s="59">
        <v>109</v>
      </c>
      <c r="C98" s="52">
        <v>44324</v>
      </c>
      <c r="D98" s="66">
        <f t="shared" si="1"/>
        <v>2021</v>
      </c>
      <c r="E98" s="66" t="str">
        <f>TEXT(Tabela2[[#This Row],[Semana]],"mmmm")</f>
        <v>maio</v>
      </c>
      <c r="F98" t="str">
        <f>IF(MONTH(Tabela2[[#This Row],[Semana]])&lt;=6,"1ª Semestre","2ª Semestre")</f>
        <v>1ª Semestre</v>
      </c>
    </row>
    <row r="99" spans="1:6" x14ac:dyDescent="0.25">
      <c r="A99" s="59" t="s">
        <v>5</v>
      </c>
      <c r="B99" s="59">
        <v>19</v>
      </c>
      <c r="C99" s="52">
        <v>44324</v>
      </c>
      <c r="D99" s="66">
        <f t="shared" si="1"/>
        <v>2021</v>
      </c>
      <c r="E99" s="66" t="str">
        <f>TEXT(Tabela2[[#This Row],[Semana]],"mmmm")</f>
        <v>maio</v>
      </c>
      <c r="F99" t="str">
        <f>IF(MONTH(Tabela2[[#This Row],[Semana]])&lt;=6,"1ª Semestre","2ª Semestre")</f>
        <v>1ª Semestre</v>
      </c>
    </row>
    <row r="100" spans="1:6" x14ac:dyDescent="0.25">
      <c r="A100" s="59" t="s">
        <v>6</v>
      </c>
      <c r="B100" s="59">
        <v>3</v>
      </c>
      <c r="C100" s="52">
        <v>44324</v>
      </c>
      <c r="D100" s="66">
        <f t="shared" si="1"/>
        <v>2021</v>
      </c>
      <c r="E100" s="66" t="str">
        <f>TEXT(Tabela2[[#This Row],[Semana]],"mmmm")</f>
        <v>maio</v>
      </c>
      <c r="F100" t="str">
        <f>IF(MONTH(Tabela2[[#This Row],[Semana]])&lt;=6,"1ª Semestre","2ª Semestre")</f>
        <v>1ª Semestre</v>
      </c>
    </row>
    <row r="101" spans="1:6" x14ac:dyDescent="0.25">
      <c r="A101" s="59" t="s">
        <v>4</v>
      </c>
      <c r="B101" s="59">
        <v>0</v>
      </c>
      <c r="C101" s="52">
        <v>44324</v>
      </c>
      <c r="D101" s="66">
        <f t="shared" si="1"/>
        <v>2021</v>
      </c>
      <c r="E101" s="66" t="str">
        <f>TEXT(Tabela2[[#This Row],[Semana]],"mmmm")</f>
        <v>maio</v>
      </c>
      <c r="F101" t="str">
        <f>IF(MONTH(Tabela2[[#This Row],[Semana]])&lt;=6,"1ª Semestre","2ª Semestre")</f>
        <v>1ª Semestre</v>
      </c>
    </row>
    <row r="102" spans="1:6" x14ac:dyDescent="0.25">
      <c r="A102" s="59" t="s">
        <v>3</v>
      </c>
      <c r="B102" s="59">
        <v>0</v>
      </c>
      <c r="C102" s="52">
        <v>44324</v>
      </c>
      <c r="D102" s="66">
        <f t="shared" si="1"/>
        <v>2021</v>
      </c>
      <c r="E102" s="66" t="str">
        <f>TEXT(Tabela2[[#This Row],[Semana]],"mmmm")</f>
        <v>maio</v>
      </c>
      <c r="F102" t="str">
        <f>IF(MONTH(Tabela2[[#This Row],[Semana]])&lt;=6,"1ª Semestre","2ª Semestre")</f>
        <v>1ª Semestre</v>
      </c>
    </row>
    <row r="103" spans="1:6" x14ac:dyDescent="0.25">
      <c r="A103" s="59" t="s">
        <v>7</v>
      </c>
      <c r="B103" s="59">
        <v>37</v>
      </c>
      <c r="C103" s="52">
        <v>44324</v>
      </c>
      <c r="D103" s="66">
        <f t="shared" si="1"/>
        <v>2021</v>
      </c>
      <c r="E103" s="66" t="str">
        <f>TEXT(Tabela2[[#This Row],[Semana]],"mmmm")</f>
        <v>maio</v>
      </c>
      <c r="F103" t="str">
        <f>IF(MONTH(Tabela2[[#This Row],[Semana]])&lt;=6,"1ª Semestre","2ª Semestre")</f>
        <v>1ª Semestre</v>
      </c>
    </row>
    <row r="104" spans="1:6" x14ac:dyDescent="0.25">
      <c r="A104" s="59" t="s">
        <v>2</v>
      </c>
      <c r="B104" s="59">
        <v>113</v>
      </c>
      <c r="C104" s="52">
        <v>44332</v>
      </c>
      <c r="D104" s="66">
        <f t="shared" si="1"/>
        <v>2021</v>
      </c>
      <c r="E104" s="66" t="str">
        <f>TEXT(Tabela2[[#This Row],[Semana]],"mmmm")</f>
        <v>maio</v>
      </c>
      <c r="F104" t="str">
        <f>IF(MONTH(Tabela2[[#This Row],[Semana]])&lt;=6,"1ª Semestre","2ª Semestre")</f>
        <v>1ª Semestre</v>
      </c>
    </row>
    <row r="105" spans="1:6" x14ac:dyDescent="0.25">
      <c r="A105" s="59" t="s">
        <v>5</v>
      </c>
      <c r="B105" s="59">
        <v>6</v>
      </c>
      <c r="C105" s="52">
        <v>44332</v>
      </c>
      <c r="D105" s="66">
        <f t="shared" si="1"/>
        <v>2021</v>
      </c>
      <c r="E105" s="66" t="str">
        <f>TEXT(Tabela2[[#This Row],[Semana]],"mmmm")</f>
        <v>maio</v>
      </c>
      <c r="F105" t="str">
        <f>IF(MONTH(Tabela2[[#This Row],[Semana]])&lt;=6,"1ª Semestre","2ª Semestre")</f>
        <v>1ª Semestre</v>
      </c>
    </row>
    <row r="106" spans="1:6" x14ac:dyDescent="0.25">
      <c r="A106" s="59" t="s">
        <v>6</v>
      </c>
      <c r="B106" s="59">
        <v>5</v>
      </c>
      <c r="C106" s="52">
        <v>44332</v>
      </c>
      <c r="D106" s="66">
        <f t="shared" si="1"/>
        <v>2021</v>
      </c>
      <c r="E106" s="66" t="str">
        <f>TEXT(Tabela2[[#This Row],[Semana]],"mmmm")</f>
        <v>maio</v>
      </c>
      <c r="F106" t="str">
        <f>IF(MONTH(Tabela2[[#This Row],[Semana]])&lt;=6,"1ª Semestre","2ª Semestre")</f>
        <v>1ª Semestre</v>
      </c>
    </row>
    <row r="107" spans="1:6" x14ac:dyDescent="0.25">
      <c r="A107" s="59" t="s">
        <v>4</v>
      </c>
      <c r="B107" s="59">
        <v>0</v>
      </c>
      <c r="C107" s="52">
        <v>44332</v>
      </c>
      <c r="D107" s="66">
        <f t="shared" si="1"/>
        <v>2021</v>
      </c>
      <c r="E107" s="66" t="str">
        <f>TEXT(Tabela2[[#This Row],[Semana]],"mmmm")</f>
        <v>maio</v>
      </c>
      <c r="F107" t="str">
        <f>IF(MONTH(Tabela2[[#This Row],[Semana]])&lt;=6,"1ª Semestre","2ª Semestre")</f>
        <v>1ª Semestre</v>
      </c>
    </row>
    <row r="108" spans="1:6" x14ac:dyDescent="0.25">
      <c r="A108" s="59" t="s">
        <v>3</v>
      </c>
      <c r="B108" s="59">
        <v>0</v>
      </c>
      <c r="C108" s="52">
        <v>44332</v>
      </c>
      <c r="D108" s="66">
        <f t="shared" si="1"/>
        <v>2021</v>
      </c>
      <c r="E108" s="66" t="str">
        <f>TEXT(Tabela2[[#This Row],[Semana]],"mmmm")</f>
        <v>maio</v>
      </c>
      <c r="F108" t="str">
        <f>IF(MONTH(Tabela2[[#This Row],[Semana]])&lt;=6,"1ª Semestre","2ª Semestre")</f>
        <v>1ª Semestre</v>
      </c>
    </row>
    <row r="109" spans="1:6" x14ac:dyDescent="0.25">
      <c r="A109" s="59" t="s">
        <v>7</v>
      </c>
      <c r="B109" s="59">
        <v>41</v>
      </c>
      <c r="C109" s="52">
        <v>44332</v>
      </c>
      <c r="D109" s="66">
        <f t="shared" si="1"/>
        <v>2021</v>
      </c>
      <c r="E109" s="66" t="str">
        <f>TEXT(Tabela2[[#This Row],[Semana]],"mmmm")</f>
        <v>maio</v>
      </c>
      <c r="F109" t="str">
        <f>IF(MONTH(Tabela2[[#This Row],[Semana]])&lt;=6,"1ª Semestre","2ª Semestre")</f>
        <v>1ª Semestre</v>
      </c>
    </row>
    <row r="110" spans="1:6" x14ac:dyDescent="0.25">
      <c r="A110" s="59" t="s">
        <v>2</v>
      </c>
      <c r="B110" s="59">
        <v>119</v>
      </c>
      <c r="C110" s="52">
        <v>44340</v>
      </c>
      <c r="D110" s="66">
        <f t="shared" si="1"/>
        <v>2021</v>
      </c>
      <c r="E110" s="66" t="str">
        <f>TEXT(Tabela2[[#This Row],[Semana]],"mmmm")</f>
        <v>maio</v>
      </c>
      <c r="F110" t="str">
        <f>IF(MONTH(Tabela2[[#This Row],[Semana]])&lt;=6,"1ª Semestre","2ª Semestre")</f>
        <v>1ª Semestre</v>
      </c>
    </row>
    <row r="111" spans="1:6" x14ac:dyDescent="0.25">
      <c r="A111" s="59" t="s">
        <v>5</v>
      </c>
      <c r="B111" s="59">
        <v>9</v>
      </c>
      <c r="C111" s="52">
        <v>44340</v>
      </c>
      <c r="D111" s="66">
        <f t="shared" si="1"/>
        <v>2021</v>
      </c>
      <c r="E111" s="66" t="str">
        <f>TEXT(Tabela2[[#This Row],[Semana]],"mmmm")</f>
        <v>maio</v>
      </c>
      <c r="F111" t="str">
        <f>IF(MONTH(Tabela2[[#This Row],[Semana]])&lt;=6,"1ª Semestre","2ª Semestre")</f>
        <v>1ª Semestre</v>
      </c>
    </row>
    <row r="112" spans="1:6" x14ac:dyDescent="0.25">
      <c r="A112" s="59" t="s">
        <v>6</v>
      </c>
      <c r="B112" s="59">
        <v>1</v>
      </c>
      <c r="C112" s="52">
        <v>44340</v>
      </c>
      <c r="D112" s="66">
        <f t="shared" si="1"/>
        <v>2021</v>
      </c>
      <c r="E112" s="66" t="str">
        <f>TEXT(Tabela2[[#This Row],[Semana]],"mmmm")</f>
        <v>maio</v>
      </c>
      <c r="F112" t="str">
        <f>IF(MONTH(Tabela2[[#This Row],[Semana]])&lt;=6,"1ª Semestre","2ª Semestre")</f>
        <v>1ª Semestre</v>
      </c>
    </row>
    <row r="113" spans="1:6" x14ac:dyDescent="0.25">
      <c r="A113" s="59" t="s">
        <v>4</v>
      </c>
      <c r="B113" s="59">
        <v>0</v>
      </c>
      <c r="C113" s="52">
        <v>44340</v>
      </c>
      <c r="D113" s="66">
        <f t="shared" si="1"/>
        <v>2021</v>
      </c>
      <c r="E113" s="66" t="str">
        <f>TEXT(Tabela2[[#This Row],[Semana]],"mmmm")</f>
        <v>maio</v>
      </c>
      <c r="F113" t="str">
        <f>IF(MONTH(Tabela2[[#This Row],[Semana]])&lt;=6,"1ª Semestre","2ª Semestre")</f>
        <v>1ª Semestre</v>
      </c>
    </row>
    <row r="114" spans="1:6" x14ac:dyDescent="0.25">
      <c r="A114" s="59" t="s">
        <v>3</v>
      </c>
      <c r="B114" s="59">
        <v>0</v>
      </c>
      <c r="C114" s="52">
        <v>44340</v>
      </c>
      <c r="D114" s="66">
        <f t="shared" si="1"/>
        <v>2021</v>
      </c>
      <c r="E114" s="66" t="str">
        <f>TEXT(Tabela2[[#This Row],[Semana]],"mmmm")</f>
        <v>maio</v>
      </c>
      <c r="F114" t="str">
        <f>IF(MONTH(Tabela2[[#This Row],[Semana]])&lt;=6,"1ª Semestre","2ª Semestre")</f>
        <v>1ª Semestre</v>
      </c>
    </row>
    <row r="115" spans="1:6" x14ac:dyDescent="0.25">
      <c r="A115" s="59" t="s">
        <v>7</v>
      </c>
      <c r="B115" s="59">
        <v>20</v>
      </c>
      <c r="C115" s="52">
        <v>44340</v>
      </c>
      <c r="D115" s="66">
        <f t="shared" si="1"/>
        <v>2021</v>
      </c>
      <c r="E115" s="66" t="str">
        <f>TEXT(Tabela2[[#This Row],[Semana]],"mmmm")</f>
        <v>maio</v>
      </c>
      <c r="F115" t="str">
        <f>IF(MONTH(Tabela2[[#This Row],[Semana]])&lt;=6,"1ª Semestre","2ª Semestre")</f>
        <v>1ª Semestre</v>
      </c>
    </row>
    <row r="116" spans="1:6" x14ac:dyDescent="0.25">
      <c r="A116" s="59" t="s">
        <v>2</v>
      </c>
      <c r="B116" s="59">
        <v>113</v>
      </c>
      <c r="C116" s="52">
        <v>44348</v>
      </c>
      <c r="D116" s="66">
        <f t="shared" si="1"/>
        <v>2021</v>
      </c>
      <c r="E116" s="66" t="str">
        <f>TEXT(Tabela2[[#This Row],[Semana]],"mmmm")</f>
        <v>junho</v>
      </c>
      <c r="F116" t="str">
        <f>IF(MONTH(Tabela2[[#This Row],[Semana]])&lt;=6,"1ª Semestre","2ª Semestre")</f>
        <v>1ª Semestre</v>
      </c>
    </row>
    <row r="117" spans="1:6" x14ac:dyDescent="0.25">
      <c r="A117" s="59" t="s">
        <v>5</v>
      </c>
      <c r="B117" s="59">
        <v>7</v>
      </c>
      <c r="C117" s="52">
        <v>44348</v>
      </c>
      <c r="D117" s="66">
        <f t="shared" si="1"/>
        <v>2021</v>
      </c>
      <c r="E117" s="66" t="str">
        <f>TEXT(Tabela2[[#This Row],[Semana]],"mmmm")</f>
        <v>junho</v>
      </c>
      <c r="F117" t="str">
        <f>IF(MONTH(Tabela2[[#This Row],[Semana]])&lt;=6,"1ª Semestre","2ª Semestre")</f>
        <v>1ª Semestre</v>
      </c>
    </row>
    <row r="118" spans="1:6" x14ac:dyDescent="0.25">
      <c r="A118" s="59" t="s">
        <v>6</v>
      </c>
      <c r="B118" s="59">
        <v>0</v>
      </c>
      <c r="C118" s="52">
        <v>44348</v>
      </c>
      <c r="D118" s="66">
        <f t="shared" si="1"/>
        <v>2021</v>
      </c>
      <c r="E118" s="66" t="str">
        <f>TEXT(Tabela2[[#This Row],[Semana]],"mmmm")</f>
        <v>junho</v>
      </c>
      <c r="F118" t="str">
        <f>IF(MONTH(Tabela2[[#This Row],[Semana]])&lt;=6,"1ª Semestre","2ª Semestre")</f>
        <v>1ª Semestre</v>
      </c>
    </row>
    <row r="119" spans="1:6" x14ac:dyDescent="0.25">
      <c r="A119" s="59" t="s">
        <v>4</v>
      </c>
      <c r="B119" s="59">
        <v>0</v>
      </c>
      <c r="C119" s="52">
        <v>44348</v>
      </c>
      <c r="D119" s="66">
        <f t="shared" si="1"/>
        <v>2021</v>
      </c>
      <c r="E119" s="66" t="str">
        <f>TEXT(Tabela2[[#This Row],[Semana]],"mmmm")</f>
        <v>junho</v>
      </c>
      <c r="F119" t="str">
        <f>IF(MONTH(Tabela2[[#This Row],[Semana]])&lt;=6,"1ª Semestre","2ª Semestre")</f>
        <v>1ª Semestre</v>
      </c>
    </row>
    <row r="120" spans="1:6" x14ac:dyDescent="0.25">
      <c r="A120" s="59" t="s">
        <v>3</v>
      </c>
      <c r="B120" s="59">
        <v>0</v>
      </c>
      <c r="C120" s="52">
        <v>44348</v>
      </c>
      <c r="D120" s="66">
        <f t="shared" si="1"/>
        <v>2021</v>
      </c>
      <c r="E120" s="66" t="str">
        <f>TEXT(Tabela2[[#This Row],[Semana]],"mmmm")</f>
        <v>junho</v>
      </c>
      <c r="F120" t="str">
        <f>IF(MONTH(Tabela2[[#This Row],[Semana]])&lt;=6,"1ª Semestre","2ª Semestre")</f>
        <v>1ª Semestre</v>
      </c>
    </row>
    <row r="121" spans="1:6" x14ac:dyDescent="0.25">
      <c r="A121" s="59" t="s">
        <v>7</v>
      </c>
      <c r="B121" s="59">
        <v>26</v>
      </c>
      <c r="C121" s="52">
        <v>44348</v>
      </c>
      <c r="D121" s="66">
        <f t="shared" si="1"/>
        <v>2021</v>
      </c>
      <c r="E121" s="66" t="str">
        <f>TEXT(Tabela2[[#This Row],[Semana]],"mmmm")</f>
        <v>junho</v>
      </c>
      <c r="F121" t="str">
        <f>IF(MONTH(Tabela2[[#This Row],[Semana]])&lt;=6,"1ª Semestre","2ª Semestre")</f>
        <v>1ª Semestre</v>
      </c>
    </row>
    <row r="122" spans="1:6" x14ac:dyDescent="0.25">
      <c r="A122" s="59" t="s">
        <v>2</v>
      </c>
      <c r="B122" s="59">
        <v>92</v>
      </c>
      <c r="C122" s="52">
        <v>44356</v>
      </c>
      <c r="D122" s="66">
        <f t="shared" si="1"/>
        <v>2021</v>
      </c>
      <c r="E122" s="66" t="str">
        <f>TEXT(Tabela2[[#This Row],[Semana]],"mmmm")</f>
        <v>junho</v>
      </c>
      <c r="F122" t="str">
        <f>IF(MONTH(Tabela2[[#This Row],[Semana]])&lt;=6,"1ª Semestre","2ª Semestre")</f>
        <v>1ª Semestre</v>
      </c>
    </row>
    <row r="123" spans="1:6" x14ac:dyDescent="0.25">
      <c r="A123" s="59" t="s">
        <v>5</v>
      </c>
      <c r="B123" s="59">
        <v>5</v>
      </c>
      <c r="C123" s="52">
        <v>44356</v>
      </c>
      <c r="D123" s="66">
        <f t="shared" si="1"/>
        <v>2021</v>
      </c>
      <c r="E123" s="66" t="str">
        <f>TEXT(Tabela2[[#This Row],[Semana]],"mmmm")</f>
        <v>junho</v>
      </c>
      <c r="F123" t="str">
        <f>IF(MONTH(Tabela2[[#This Row],[Semana]])&lt;=6,"1ª Semestre","2ª Semestre")</f>
        <v>1ª Semestre</v>
      </c>
    </row>
    <row r="124" spans="1:6" x14ac:dyDescent="0.25">
      <c r="A124" s="59" t="s">
        <v>6</v>
      </c>
      <c r="B124" s="59">
        <v>4</v>
      </c>
      <c r="C124" s="52">
        <v>44356</v>
      </c>
      <c r="D124" s="66">
        <f t="shared" si="1"/>
        <v>2021</v>
      </c>
      <c r="E124" s="66" t="str">
        <f>TEXT(Tabela2[[#This Row],[Semana]],"mmmm")</f>
        <v>junho</v>
      </c>
      <c r="F124" t="str">
        <f>IF(MONTH(Tabela2[[#This Row],[Semana]])&lt;=6,"1ª Semestre","2ª Semestre")</f>
        <v>1ª Semestre</v>
      </c>
    </row>
    <row r="125" spans="1:6" x14ac:dyDescent="0.25">
      <c r="A125" s="59" t="s">
        <v>4</v>
      </c>
      <c r="B125" s="59">
        <v>7</v>
      </c>
      <c r="C125" s="52">
        <v>44356</v>
      </c>
      <c r="D125" s="66">
        <f t="shared" si="1"/>
        <v>2021</v>
      </c>
      <c r="E125" s="66" t="str">
        <f>TEXT(Tabela2[[#This Row],[Semana]],"mmmm")</f>
        <v>junho</v>
      </c>
      <c r="F125" t="str">
        <f>IF(MONTH(Tabela2[[#This Row],[Semana]])&lt;=6,"1ª Semestre","2ª Semestre")</f>
        <v>1ª Semestre</v>
      </c>
    </row>
    <row r="126" spans="1:6" x14ac:dyDescent="0.25">
      <c r="A126" s="59" t="s">
        <v>3</v>
      </c>
      <c r="B126" s="59">
        <v>7</v>
      </c>
      <c r="C126" s="52">
        <v>44356</v>
      </c>
      <c r="D126" s="66">
        <f t="shared" si="1"/>
        <v>2021</v>
      </c>
      <c r="E126" s="66" t="str">
        <f>TEXT(Tabela2[[#This Row],[Semana]],"mmmm")</f>
        <v>junho</v>
      </c>
      <c r="F126" t="str">
        <f>IF(MONTH(Tabela2[[#This Row],[Semana]])&lt;=6,"1ª Semestre","2ª Semestre")</f>
        <v>1ª Semestre</v>
      </c>
    </row>
    <row r="127" spans="1:6" x14ac:dyDescent="0.25">
      <c r="A127" s="59" t="s">
        <v>7</v>
      </c>
      <c r="B127" s="59">
        <v>14</v>
      </c>
      <c r="C127" s="52">
        <v>44356</v>
      </c>
      <c r="D127" s="66">
        <f t="shared" si="1"/>
        <v>2021</v>
      </c>
      <c r="E127" s="66" t="str">
        <f>TEXT(Tabela2[[#This Row],[Semana]],"mmmm")</f>
        <v>junho</v>
      </c>
      <c r="F127" t="str">
        <f>IF(MONTH(Tabela2[[#This Row],[Semana]])&lt;=6,"1ª Semestre","2ª Semestre")</f>
        <v>1ª Semestre</v>
      </c>
    </row>
    <row r="128" spans="1:6" x14ac:dyDescent="0.25">
      <c r="A128" s="59" t="s">
        <v>2</v>
      </c>
      <c r="B128" s="59">
        <v>93</v>
      </c>
      <c r="C128" s="52">
        <v>44364</v>
      </c>
      <c r="D128" s="66">
        <f t="shared" si="1"/>
        <v>2021</v>
      </c>
      <c r="E128" s="66" t="str">
        <f>TEXT(Tabela2[[#This Row],[Semana]],"mmmm")</f>
        <v>junho</v>
      </c>
      <c r="F128" t="str">
        <f>IF(MONTH(Tabela2[[#This Row],[Semana]])&lt;=6,"1ª Semestre","2ª Semestre")</f>
        <v>1ª Semestre</v>
      </c>
    </row>
    <row r="129" spans="1:6" x14ac:dyDescent="0.25">
      <c r="A129" s="59" t="s">
        <v>5</v>
      </c>
      <c r="B129" s="59">
        <v>5</v>
      </c>
      <c r="C129" s="52">
        <v>44364</v>
      </c>
      <c r="D129" s="66">
        <f t="shared" si="1"/>
        <v>2021</v>
      </c>
      <c r="E129" s="66" t="str">
        <f>TEXT(Tabela2[[#This Row],[Semana]],"mmmm")</f>
        <v>junho</v>
      </c>
      <c r="F129" t="str">
        <f>IF(MONTH(Tabela2[[#This Row],[Semana]])&lt;=6,"1ª Semestre","2ª Semestre")</f>
        <v>1ª Semestre</v>
      </c>
    </row>
    <row r="130" spans="1:6" x14ac:dyDescent="0.25">
      <c r="A130" s="59" t="s">
        <v>6</v>
      </c>
      <c r="B130" s="59">
        <v>3</v>
      </c>
      <c r="C130" s="52">
        <v>44364</v>
      </c>
      <c r="D130" s="66">
        <f t="shared" si="1"/>
        <v>2021</v>
      </c>
      <c r="E130" s="66" t="str">
        <f>TEXT(Tabela2[[#This Row],[Semana]],"mmmm")</f>
        <v>junho</v>
      </c>
      <c r="F130" t="str">
        <f>IF(MONTH(Tabela2[[#This Row],[Semana]])&lt;=6,"1ª Semestre","2ª Semestre")</f>
        <v>1ª Semestre</v>
      </c>
    </row>
    <row r="131" spans="1:6" x14ac:dyDescent="0.25">
      <c r="A131" s="59" t="s">
        <v>4</v>
      </c>
      <c r="B131" s="59">
        <v>0</v>
      </c>
      <c r="C131" s="52">
        <v>44364</v>
      </c>
      <c r="D131" s="66">
        <f t="shared" ref="D131:D194" si="2">YEAR((C131))</f>
        <v>2021</v>
      </c>
      <c r="E131" s="66" t="str">
        <f>TEXT(Tabela2[[#This Row],[Semana]],"mmmm")</f>
        <v>junho</v>
      </c>
      <c r="F131" t="str">
        <f>IF(MONTH(Tabela2[[#This Row],[Semana]])&lt;=6,"1ª Semestre","2ª Semestre")</f>
        <v>1ª Semestre</v>
      </c>
    </row>
    <row r="132" spans="1:6" x14ac:dyDescent="0.25">
      <c r="A132" s="59" t="s">
        <v>3</v>
      </c>
      <c r="B132" s="59">
        <v>0</v>
      </c>
      <c r="C132" s="52">
        <v>44364</v>
      </c>
      <c r="D132" s="66">
        <f t="shared" si="2"/>
        <v>2021</v>
      </c>
      <c r="E132" s="66" t="str">
        <f>TEXT(Tabela2[[#This Row],[Semana]],"mmmm")</f>
        <v>junho</v>
      </c>
      <c r="F132" t="str">
        <f>IF(MONTH(Tabela2[[#This Row],[Semana]])&lt;=6,"1ª Semestre","2ª Semestre")</f>
        <v>1ª Semestre</v>
      </c>
    </row>
    <row r="133" spans="1:6" x14ac:dyDescent="0.25">
      <c r="A133" s="59" t="s">
        <v>7</v>
      </c>
      <c r="B133" s="59">
        <v>14</v>
      </c>
      <c r="C133" s="52">
        <v>44364</v>
      </c>
      <c r="D133" s="66">
        <f t="shared" si="2"/>
        <v>2021</v>
      </c>
      <c r="E133" s="66" t="str">
        <f>TEXT(Tabela2[[#This Row],[Semana]],"mmmm")</f>
        <v>junho</v>
      </c>
      <c r="F133" t="str">
        <f>IF(MONTH(Tabela2[[#This Row],[Semana]])&lt;=6,"1ª Semestre","2ª Semestre")</f>
        <v>1ª Semestre</v>
      </c>
    </row>
    <row r="134" spans="1:6" x14ac:dyDescent="0.25">
      <c r="A134" s="59" t="s">
        <v>2</v>
      </c>
      <c r="B134" s="59">
        <v>95</v>
      </c>
      <c r="C134" s="52">
        <v>44372</v>
      </c>
      <c r="D134" s="66">
        <f t="shared" si="2"/>
        <v>2021</v>
      </c>
      <c r="E134" s="66" t="str">
        <f>TEXT(Tabela2[[#This Row],[Semana]],"mmmm")</f>
        <v>junho</v>
      </c>
      <c r="F134" t="str">
        <f>IF(MONTH(Tabela2[[#This Row],[Semana]])&lt;=6,"1ª Semestre","2ª Semestre")</f>
        <v>1ª Semestre</v>
      </c>
    </row>
    <row r="135" spans="1:6" x14ac:dyDescent="0.25">
      <c r="A135" s="59" t="s">
        <v>5</v>
      </c>
      <c r="B135" s="59">
        <v>9</v>
      </c>
      <c r="C135" s="52">
        <v>44372</v>
      </c>
      <c r="D135" s="66">
        <f t="shared" si="2"/>
        <v>2021</v>
      </c>
      <c r="E135" s="66" t="str">
        <f>TEXT(Tabela2[[#This Row],[Semana]],"mmmm")</f>
        <v>junho</v>
      </c>
      <c r="F135" t="str">
        <f>IF(MONTH(Tabela2[[#This Row],[Semana]])&lt;=6,"1ª Semestre","2ª Semestre")</f>
        <v>1ª Semestre</v>
      </c>
    </row>
    <row r="136" spans="1:6" x14ac:dyDescent="0.25">
      <c r="A136" s="59" t="s">
        <v>6</v>
      </c>
      <c r="B136" s="59">
        <v>5</v>
      </c>
      <c r="C136" s="52">
        <v>44372</v>
      </c>
      <c r="D136" s="66">
        <f t="shared" si="2"/>
        <v>2021</v>
      </c>
      <c r="E136" s="66" t="str">
        <f>TEXT(Tabela2[[#This Row],[Semana]],"mmmm")</f>
        <v>junho</v>
      </c>
      <c r="F136" t="str">
        <f>IF(MONTH(Tabela2[[#This Row],[Semana]])&lt;=6,"1ª Semestre","2ª Semestre")</f>
        <v>1ª Semestre</v>
      </c>
    </row>
    <row r="137" spans="1:6" x14ac:dyDescent="0.25">
      <c r="A137" s="59" t="s">
        <v>4</v>
      </c>
      <c r="B137" s="59">
        <v>0</v>
      </c>
      <c r="C137" s="52">
        <v>44372</v>
      </c>
      <c r="D137" s="66">
        <f t="shared" si="2"/>
        <v>2021</v>
      </c>
      <c r="E137" s="66" t="str">
        <f>TEXT(Tabela2[[#This Row],[Semana]],"mmmm")</f>
        <v>junho</v>
      </c>
      <c r="F137" t="str">
        <f>IF(MONTH(Tabela2[[#This Row],[Semana]])&lt;=6,"1ª Semestre","2ª Semestre")</f>
        <v>1ª Semestre</v>
      </c>
    </row>
    <row r="138" spans="1:6" x14ac:dyDescent="0.25">
      <c r="A138" s="59" t="s">
        <v>3</v>
      </c>
      <c r="B138" s="59">
        <v>0</v>
      </c>
      <c r="C138" s="52">
        <v>44372</v>
      </c>
      <c r="D138" s="66">
        <f t="shared" si="2"/>
        <v>2021</v>
      </c>
      <c r="E138" s="66" t="str">
        <f>TEXT(Tabela2[[#This Row],[Semana]],"mmmm")</f>
        <v>junho</v>
      </c>
      <c r="F138" t="str">
        <f>IF(MONTH(Tabela2[[#This Row],[Semana]])&lt;=6,"1ª Semestre","2ª Semestre")</f>
        <v>1ª Semestre</v>
      </c>
    </row>
    <row r="139" spans="1:6" x14ac:dyDescent="0.25">
      <c r="A139" s="59" t="s">
        <v>7</v>
      </c>
      <c r="B139" s="59">
        <v>15</v>
      </c>
      <c r="C139" s="52">
        <v>44372</v>
      </c>
      <c r="D139" s="66">
        <f t="shared" si="2"/>
        <v>2021</v>
      </c>
      <c r="E139" s="66" t="str">
        <f>TEXT(Tabela2[[#This Row],[Semana]],"mmmm")</f>
        <v>junho</v>
      </c>
      <c r="F139" t="str">
        <f>IF(MONTH(Tabela2[[#This Row],[Semana]])&lt;=6,"1ª Semestre","2ª Semestre")</f>
        <v>1ª Semestre</v>
      </c>
    </row>
    <row r="140" spans="1:6" x14ac:dyDescent="0.25">
      <c r="A140" s="59" t="s">
        <v>2</v>
      </c>
      <c r="B140" s="59">
        <v>80</v>
      </c>
      <c r="C140" s="52">
        <v>44380</v>
      </c>
      <c r="D140" s="66">
        <f t="shared" si="2"/>
        <v>2021</v>
      </c>
      <c r="E140" s="66" t="str">
        <f>TEXT(Tabela2[[#This Row],[Semana]],"mmmm")</f>
        <v>julho</v>
      </c>
      <c r="F140" t="str">
        <f>IF(MONTH(Tabela2[[#This Row],[Semana]])&lt;=6,"1ª Semestre","2ª Semestre")</f>
        <v>2ª Semestre</v>
      </c>
    </row>
    <row r="141" spans="1:6" x14ac:dyDescent="0.25">
      <c r="A141" s="59" t="s">
        <v>5</v>
      </c>
      <c r="B141" s="59">
        <v>5</v>
      </c>
      <c r="C141" s="52">
        <v>44380</v>
      </c>
      <c r="D141" s="66">
        <f t="shared" si="2"/>
        <v>2021</v>
      </c>
      <c r="E141" s="66" t="str">
        <f>TEXT(Tabela2[[#This Row],[Semana]],"mmmm")</f>
        <v>julho</v>
      </c>
      <c r="F141" t="str">
        <f>IF(MONTH(Tabela2[[#This Row],[Semana]])&lt;=6,"1ª Semestre","2ª Semestre")</f>
        <v>2ª Semestre</v>
      </c>
    </row>
    <row r="142" spans="1:6" x14ac:dyDescent="0.25">
      <c r="A142" s="59" t="s">
        <v>6</v>
      </c>
      <c r="B142" s="59">
        <v>3</v>
      </c>
      <c r="C142" s="52">
        <v>44380</v>
      </c>
      <c r="D142" s="66">
        <f t="shared" si="2"/>
        <v>2021</v>
      </c>
      <c r="E142" s="66" t="str">
        <f>TEXT(Tabela2[[#This Row],[Semana]],"mmmm")</f>
        <v>julho</v>
      </c>
      <c r="F142" t="str">
        <f>IF(MONTH(Tabela2[[#This Row],[Semana]])&lt;=6,"1ª Semestre","2ª Semestre")</f>
        <v>2ª Semestre</v>
      </c>
    </row>
    <row r="143" spans="1:6" x14ac:dyDescent="0.25">
      <c r="A143" s="59" t="s">
        <v>4</v>
      </c>
      <c r="B143" s="59">
        <v>0</v>
      </c>
      <c r="C143" s="52">
        <v>44380</v>
      </c>
      <c r="D143" s="66">
        <f t="shared" si="2"/>
        <v>2021</v>
      </c>
      <c r="E143" s="66" t="str">
        <f>TEXT(Tabela2[[#This Row],[Semana]],"mmmm")</f>
        <v>julho</v>
      </c>
      <c r="F143" t="str">
        <f>IF(MONTH(Tabela2[[#This Row],[Semana]])&lt;=6,"1ª Semestre","2ª Semestre")</f>
        <v>2ª Semestre</v>
      </c>
    </row>
    <row r="144" spans="1:6" x14ac:dyDescent="0.25">
      <c r="A144" s="59" t="s">
        <v>3</v>
      </c>
      <c r="B144" s="59">
        <v>0</v>
      </c>
      <c r="C144" s="52">
        <v>44380</v>
      </c>
      <c r="D144" s="66">
        <f t="shared" si="2"/>
        <v>2021</v>
      </c>
      <c r="E144" s="66" t="str">
        <f>TEXT(Tabela2[[#This Row],[Semana]],"mmmm")</f>
        <v>julho</v>
      </c>
      <c r="F144" t="str">
        <f>IF(MONTH(Tabela2[[#This Row],[Semana]])&lt;=6,"1ª Semestre","2ª Semestre")</f>
        <v>2ª Semestre</v>
      </c>
    </row>
    <row r="145" spans="1:6" x14ac:dyDescent="0.25">
      <c r="A145" s="59" t="s">
        <v>7</v>
      </c>
      <c r="B145" s="59">
        <v>22</v>
      </c>
      <c r="C145" s="52">
        <v>44380</v>
      </c>
      <c r="D145" s="66">
        <f t="shared" si="2"/>
        <v>2021</v>
      </c>
      <c r="E145" s="66" t="str">
        <f>TEXT(Tabela2[[#This Row],[Semana]],"mmmm")</f>
        <v>julho</v>
      </c>
      <c r="F145" t="str">
        <f>IF(MONTH(Tabela2[[#This Row],[Semana]])&lt;=6,"1ª Semestre","2ª Semestre")</f>
        <v>2ª Semestre</v>
      </c>
    </row>
    <row r="146" spans="1:6" x14ac:dyDescent="0.25">
      <c r="A146" s="59" t="s">
        <v>2</v>
      </c>
      <c r="B146" s="59">
        <v>79</v>
      </c>
      <c r="C146" s="52">
        <v>44388</v>
      </c>
      <c r="D146" s="66">
        <f t="shared" si="2"/>
        <v>2021</v>
      </c>
      <c r="E146" s="66" t="str">
        <f>TEXT(Tabela2[[#This Row],[Semana]],"mmmm")</f>
        <v>julho</v>
      </c>
      <c r="F146" t="str">
        <f>IF(MONTH(Tabela2[[#This Row],[Semana]])&lt;=6,"1ª Semestre","2ª Semestre")</f>
        <v>2ª Semestre</v>
      </c>
    </row>
    <row r="147" spans="1:6" x14ac:dyDescent="0.25">
      <c r="A147" s="59" t="s">
        <v>5</v>
      </c>
      <c r="B147" s="59">
        <v>7</v>
      </c>
      <c r="C147" s="52">
        <v>44388</v>
      </c>
      <c r="D147" s="66">
        <f t="shared" si="2"/>
        <v>2021</v>
      </c>
      <c r="E147" s="66" t="str">
        <f>TEXT(Tabela2[[#This Row],[Semana]],"mmmm")</f>
        <v>julho</v>
      </c>
      <c r="F147" t="str">
        <f>IF(MONTH(Tabela2[[#This Row],[Semana]])&lt;=6,"1ª Semestre","2ª Semestre")</f>
        <v>2ª Semestre</v>
      </c>
    </row>
    <row r="148" spans="1:6" x14ac:dyDescent="0.25">
      <c r="A148" s="59" t="s">
        <v>6</v>
      </c>
      <c r="B148" s="59">
        <v>3</v>
      </c>
      <c r="C148" s="52">
        <v>44388</v>
      </c>
      <c r="D148" s="66">
        <f t="shared" si="2"/>
        <v>2021</v>
      </c>
      <c r="E148" s="66" t="str">
        <f>TEXT(Tabela2[[#This Row],[Semana]],"mmmm")</f>
        <v>julho</v>
      </c>
      <c r="F148" t="str">
        <f>IF(MONTH(Tabela2[[#This Row],[Semana]])&lt;=6,"1ª Semestre","2ª Semestre")</f>
        <v>2ª Semestre</v>
      </c>
    </row>
    <row r="149" spans="1:6" x14ac:dyDescent="0.25">
      <c r="A149" s="59" t="s">
        <v>4</v>
      </c>
      <c r="B149" s="59">
        <v>0</v>
      </c>
      <c r="C149" s="52">
        <v>44388</v>
      </c>
      <c r="D149" s="66">
        <f t="shared" si="2"/>
        <v>2021</v>
      </c>
      <c r="E149" s="66" t="str">
        <f>TEXT(Tabela2[[#This Row],[Semana]],"mmmm")</f>
        <v>julho</v>
      </c>
      <c r="F149" t="str">
        <f>IF(MONTH(Tabela2[[#This Row],[Semana]])&lt;=6,"1ª Semestre","2ª Semestre")</f>
        <v>2ª Semestre</v>
      </c>
    </row>
    <row r="150" spans="1:6" x14ac:dyDescent="0.25">
      <c r="A150" s="59" t="s">
        <v>3</v>
      </c>
      <c r="B150" s="59">
        <v>0</v>
      </c>
      <c r="C150" s="52">
        <v>44388</v>
      </c>
      <c r="D150" s="66">
        <f t="shared" si="2"/>
        <v>2021</v>
      </c>
      <c r="E150" s="66" t="str">
        <f>TEXT(Tabela2[[#This Row],[Semana]],"mmmm")</f>
        <v>julho</v>
      </c>
      <c r="F150" t="str">
        <f>IF(MONTH(Tabela2[[#This Row],[Semana]])&lt;=6,"1ª Semestre","2ª Semestre")</f>
        <v>2ª Semestre</v>
      </c>
    </row>
    <row r="151" spans="1:6" x14ac:dyDescent="0.25">
      <c r="A151" s="59" t="s">
        <v>7</v>
      </c>
      <c r="B151" s="59">
        <v>30</v>
      </c>
      <c r="C151" s="52">
        <v>44388</v>
      </c>
      <c r="D151" s="66">
        <f t="shared" si="2"/>
        <v>2021</v>
      </c>
      <c r="E151" s="66" t="str">
        <f>TEXT(Tabela2[[#This Row],[Semana]],"mmmm")</f>
        <v>julho</v>
      </c>
      <c r="F151" t="str">
        <f>IF(MONTH(Tabela2[[#This Row],[Semana]])&lt;=6,"1ª Semestre","2ª Semestre")</f>
        <v>2ª Semestre</v>
      </c>
    </row>
    <row r="152" spans="1:6" x14ac:dyDescent="0.25">
      <c r="A152" s="59" t="s">
        <v>2</v>
      </c>
      <c r="B152" s="59">
        <v>92</v>
      </c>
      <c r="C152" s="52">
        <v>44396</v>
      </c>
      <c r="D152" s="66">
        <f t="shared" si="2"/>
        <v>2021</v>
      </c>
      <c r="E152" s="66" t="str">
        <f>TEXT(Tabela2[[#This Row],[Semana]],"mmmm")</f>
        <v>julho</v>
      </c>
      <c r="F152" t="str">
        <f>IF(MONTH(Tabela2[[#This Row],[Semana]])&lt;=6,"1ª Semestre","2ª Semestre")</f>
        <v>2ª Semestre</v>
      </c>
    </row>
    <row r="153" spans="1:6" x14ac:dyDescent="0.25">
      <c r="A153" s="59" t="s">
        <v>5</v>
      </c>
      <c r="B153" s="59">
        <v>8</v>
      </c>
      <c r="C153" s="52">
        <v>44396</v>
      </c>
      <c r="D153" s="66">
        <f t="shared" si="2"/>
        <v>2021</v>
      </c>
      <c r="E153" s="66" t="str">
        <f>TEXT(Tabela2[[#This Row],[Semana]],"mmmm")</f>
        <v>julho</v>
      </c>
      <c r="F153" t="str">
        <f>IF(MONTH(Tabela2[[#This Row],[Semana]])&lt;=6,"1ª Semestre","2ª Semestre")</f>
        <v>2ª Semestre</v>
      </c>
    </row>
    <row r="154" spans="1:6" x14ac:dyDescent="0.25">
      <c r="A154" s="59" t="s">
        <v>6</v>
      </c>
      <c r="B154" s="59">
        <v>2</v>
      </c>
      <c r="C154" s="52">
        <v>44396</v>
      </c>
      <c r="D154" s="66">
        <f t="shared" si="2"/>
        <v>2021</v>
      </c>
      <c r="E154" s="66" t="str">
        <f>TEXT(Tabela2[[#This Row],[Semana]],"mmmm")</f>
        <v>julho</v>
      </c>
      <c r="F154" t="str">
        <f>IF(MONTH(Tabela2[[#This Row],[Semana]])&lt;=6,"1ª Semestre","2ª Semestre")</f>
        <v>2ª Semestre</v>
      </c>
    </row>
    <row r="155" spans="1:6" x14ac:dyDescent="0.25">
      <c r="A155" s="59" t="s">
        <v>4</v>
      </c>
      <c r="B155" s="59">
        <v>3</v>
      </c>
      <c r="C155" s="52">
        <v>44396</v>
      </c>
      <c r="D155" s="66">
        <f t="shared" si="2"/>
        <v>2021</v>
      </c>
      <c r="E155" s="66" t="str">
        <f>TEXT(Tabela2[[#This Row],[Semana]],"mmmm")</f>
        <v>julho</v>
      </c>
      <c r="F155" t="str">
        <f>IF(MONTH(Tabela2[[#This Row],[Semana]])&lt;=6,"1ª Semestre","2ª Semestre")</f>
        <v>2ª Semestre</v>
      </c>
    </row>
    <row r="156" spans="1:6" x14ac:dyDescent="0.25">
      <c r="A156" s="59" t="s">
        <v>3</v>
      </c>
      <c r="B156" s="59">
        <v>0</v>
      </c>
      <c r="C156" s="52">
        <v>44396</v>
      </c>
      <c r="D156" s="66">
        <f t="shared" si="2"/>
        <v>2021</v>
      </c>
      <c r="E156" s="66" t="str">
        <f>TEXT(Tabela2[[#This Row],[Semana]],"mmmm")</f>
        <v>julho</v>
      </c>
      <c r="F156" t="str">
        <f>IF(MONTH(Tabela2[[#This Row],[Semana]])&lt;=6,"1ª Semestre","2ª Semestre")</f>
        <v>2ª Semestre</v>
      </c>
    </row>
    <row r="157" spans="1:6" x14ac:dyDescent="0.25">
      <c r="A157" s="59" t="s">
        <v>7</v>
      </c>
      <c r="B157" s="59">
        <v>20</v>
      </c>
      <c r="C157" s="52">
        <v>44396</v>
      </c>
      <c r="D157" s="66">
        <f t="shared" si="2"/>
        <v>2021</v>
      </c>
      <c r="E157" s="66" t="str">
        <f>TEXT(Tabela2[[#This Row],[Semana]],"mmmm")</f>
        <v>julho</v>
      </c>
      <c r="F157" t="str">
        <f>IF(MONTH(Tabela2[[#This Row],[Semana]])&lt;=6,"1ª Semestre","2ª Semestre")</f>
        <v>2ª Semestre</v>
      </c>
    </row>
    <row r="158" spans="1:6" x14ac:dyDescent="0.25">
      <c r="A158" s="59" t="s">
        <v>2</v>
      </c>
      <c r="B158" s="59">
        <v>83</v>
      </c>
      <c r="C158" s="52">
        <v>44404</v>
      </c>
      <c r="D158" s="66">
        <f t="shared" si="2"/>
        <v>2021</v>
      </c>
      <c r="E158" s="66" t="str">
        <f>TEXT(Tabela2[[#This Row],[Semana]],"mmmm")</f>
        <v>julho</v>
      </c>
      <c r="F158" t="str">
        <f>IF(MONTH(Tabela2[[#This Row],[Semana]])&lt;=6,"1ª Semestre","2ª Semestre")</f>
        <v>2ª Semestre</v>
      </c>
    </row>
    <row r="159" spans="1:6" x14ac:dyDescent="0.25">
      <c r="A159" s="59" t="s">
        <v>5</v>
      </c>
      <c r="B159" s="59">
        <v>2</v>
      </c>
      <c r="C159" s="52">
        <v>44404</v>
      </c>
      <c r="D159" s="66">
        <f t="shared" si="2"/>
        <v>2021</v>
      </c>
      <c r="E159" s="66" t="str">
        <f>TEXT(Tabela2[[#This Row],[Semana]],"mmmm")</f>
        <v>julho</v>
      </c>
      <c r="F159" t="str">
        <f>IF(MONTH(Tabela2[[#This Row],[Semana]])&lt;=6,"1ª Semestre","2ª Semestre")</f>
        <v>2ª Semestre</v>
      </c>
    </row>
    <row r="160" spans="1:6" x14ac:dyDescent="0.25">
      <c r="A160" s="59" t="s">
        <v>6</v>
      </c>
      <c r="B160" s="59">
        <v>0</v>
      </c>
      <c r="C160" s="52">
        <v>44404</v>
      </c>
      <c r="D160" s="66">
        <f t="shared" si="2"/>
        <v>2021</v>
      </c>
      <c r="E160" s="66" t="str">
        <f>TEXT(Tabela2[[#This Row],[Semana]],"mmmm")</f>
        <v>julho</v>
      </c>
      <c r="F160" t="str">
        <f>IF(MONTH(Tabela2[[#This Row],[Semana]])&lt;=6,"1ª Semestre","2ª Semestre")</f>
        <v>2ª Semestre</v>
      </c>
    </row>
    <row r="161" spans="1:6" x14ac:dyDescent="0.25">
      <c r="A161" s="59" t="s">
        <v>4</v>
      </c>
      <c r="B161" s="59">
        <v>0</v>
      </c>
      <c r="C161" s="52">
        <v>44404</v>
      </c>
      <c r="D161" s="66">
        <f t="shared" si="2"/>
        <v>2021</v>
      </c>
      <c r="E161" s="66" t="str">
        <f>TEXT(Tabela2[[#This Row],[Semana]],"mmmm")</f>
        <v>julho</v>
      </c>
      <c r="F161" t="str">
        <f>IF(MONTH(Tabela2[[#This Row],[Semana]])&lt;=6,"1ª Semestre","2ª Semestre")</f>
        <v>2ª Semestre</v>
      </c>
    </row>
    <row r="162" spans="1:6" x14ac:dyDescent="0.25">
      <c r="A162" s="59" t="s">
        <v>3</v>
      </c>
      <c r="B162" s="59">
        <v>0</v>
      </c>
      <c r="C162" s="52">
        <v>44404</v>
      </c>
      <c r="D162" s="66">
        <f t="shared" si="2"/>
        <v>2021</v>
      </c>
      <c r="E162" s="66" t="str">
        <f>TEXT(Tabela2[[#This Row],[Semana]],"mmmm")</f>
        <v>julho</v>
      </c>
      <c r="F162" t="str">
        <f>IF(MONTH(Tabela2[[#This Row],[Semana]])&lt;=6,"1ª Semestre","2ª Semestre")</f>
        <v>2ª Semestre</v>
      </c>
    </row>
    <row r="163" spans="1:6" x14ac:dyDescent="0.25">
      <c r="A163" s="59" t="s">
        <v>7</v>
      </c>
      <c r="B163" s="59">
        <v>18</v>
      </c>
      <c r="C163" s="52">
        <v>44404</v>
      </c>
      <c r="D163" s="66">
        <f t="shared" si="2"/>
        <v>2021</v>
      </c>
      <c r="E163" s="66" t="str">
        <f>TEXT(Tabela2[[#This Row],[Semana]],"mmmm")</f>
        <v>julho</v>
      </c>
      <c r="F163" t="str">
        <f>IF(MONTH(Tabela2[[#This Row],[Semana]])&lt;=6,"1ª Semestre","2ª Semestre")</f>
        <v>2ª Semestre</v>
      </c>
    </row>
    <row r="164" spans="1:6" x14ac:dyDescent="0.25">
      <c r="A164" s="59" t="s">
        <v>2</v>
      </c>
      <c r="B164" s="59">
        <v>102</v>
      </c>
      <c r="C164" s="52">
        <v>44412</v>
      </c>
      <c r="D164" s="66">
        <f t="shared" si="2"/>
        <v>2021</v>
      </c>
      <c r="E164" s="66" t="str">
        <f>TEXT(Tabela2[[#This Row],[Semana]],"mmmm")</f>
        <v>agosto</v>
      </c>
      <c r="F164" t="str">
        <f>IF(MONTH(Tabela2[[#This Row],[Semana]])&lt;=6,"1ª Semestre","2ª Semestre")</f>
        <v>2ª Semestre</v>
      </c>
    </row>
    <row r="165" spans="1:6" x14ac:dyDescent="0.25">
      <c r="A165" s="59" t="s">
        <v>5</v>
      </c>
      <c r="B165" s="59">
        <v>6</v>
      </c>
      <c r="C165" s="52">
        <v>44412</v>
      </c>
      <c r="D165" s="66">
        <f t="shared" si="2"/>
        <v>2021</v>
      </c>
      <c r="E165" s="66" t="str">
        <f>TEXT(Tabela2[[#This Row],[Semana]],"mmmm")</f>
        <v>agosto</v>
      </c>
      <c r="F165" t="str">
        <f>IF(MONTH(Tabela2[[#This Row],[Semana]])&lt;=6,"1ª Semestre","2ª Semestre")</f>
        <v>2ª Semestre</v>
      </c>
    </row>
    <row r="166" spans="1:6" x14ac:dyDescent="0.25">
      <c r="A166" s="59" t="s">
        <v>6</v>
      </c>
      <c r="B166" s="59">
        <v>3</v>
      </c>
      <c r="C166" s="52">
        <v>44412</v>
      </c>
      <c r="D166" s="66">
        <f t="shared" si="2"/>
        <v>2021</v>
      </c>
      <c r="E166" s="66" t="str">
        <f>TEXT(Tabela2[[#This Row],[Semana]],"mmmm")</f>
        <v>agosto</v>
      </c>
      <c r="F166" t="str">
        <f>IF(MONTH(Tabela2[[#This Row],[Semana]])&lt;=6,"1ª Semestre","2ª Semestre")</f>
        <v>2ª Semestre</v>
      </c>
    </row>
    <row r="167" spans="1:6" x14ac:dyDescent="0.25">
      <c r="A167" s="59" t="s">
        <v>4</v>
      </c>
      <c r="B167" s="59">
        <v>0</v>
      </c>
      <c r="C167" s="52">
        <v>44412</v>
      </c>
      <c r="D167" s="66">
        <f t="shared" si="2"/>
        <v>2021</v>
      </c>
      <c r="E167" s="66" t="str">
        <f>TEXT(Tabela2[[#This Row],[Semana]],"mmmm")</f>
        <v>agosto</v>
      </c>
      <c r="F167" t="str">
        <f>IF(MONTH(Tabela2[[#This Row],[Semana]])&lt;=6,"1ª Semestre","2ª Semestre")</f>
        <v>2ª Semestre</v>
      </c>
    </row>
    <row r="168" spans="1:6" x14ac:dyDescent="0.25">
      <c r="A168" s="59" t="s">
        <v>3</v>
      </c>
      <c r="B168" s="59">
        <v>0</v>
      </c>
      <c r="C168" s="52">
        <v>44412</v>
      </c>
      <c r="D168" s="66">
        <f t="shared" si="2"/>
        <v>2021</v>
      </c>
      <c r="E168" s="66" t="str">
        <f>TEXT(Tabela2[[#This Row],[Semana]],"mmmm")</f>
        <v>agosto</v>
      </c>
      <c r="F168" t="str">
        <f>IF(MONTH(Tabela2[[#This Row],[Semana]])&lt;=6,"1ª Semestre","2ª Semestre")</f>
        <v>2ª Semestre</v>
      </c>
    </row>
    <row r="169" spans="1:6" x14ac:dyDescent="0.25">
      <c r="A169" s="59" t="s">
        <v>7</v>
      </c>
      <c r="B169" s="59">
        <v>22</v>
      </c>
      <c r="C169" s="52">
        <v>44412</v>
      </c>
      <c r="D169" s="66">
        <f t="shared" si="2"/>
        <v>2021</v>
      </c>
      <c r="E169" s="66" t="str">
        <f>TEXT(Tabela2[[#This Row],[Semana]],"mmmm")</f>
        <v>agosto</v>
      </c>
      <c r="F169" t="str">
        <f>IF(MONTH(Tabela2[[#This Row],[Semana]])&lt;=6,"1ª Semestre","2ª Semestre")</f>
        <v>2ª Semestre</v>
      </c>
    </row>
    <row r="170" spans="1:6" x14ac:dyDescent="0.25">
      <c r="A170" s="59" t="s">
        <v>2</v>
      </c>
      <c r="B170" s="59">
        <v>98</v>
      </c>
      <c r="C170" s="52">
        <v>44420</v>
      </c>
      <c r="D170" s="66">
        <f t="shared" si="2"/>
        <v>2021</v>
      </c>
      <c r="E170" s="66" t="str">
        <f>TEXT(Tabela2[[#This Row],[Semana]],"mmmm")</f>
        <v>agosto</v>
      </c>
      <c r="F170" t="str">
        <f>IF(MONTH(Tabela2[[#This Row],[Semana]])&lt;=6,"1ª Semestre","2ª Semestre")</f>
        <v>2ª Semestre</v>
      </c>
    </row>
    <row r="171" spans="1:6" x14ac:dyDescent="0.25">
      <c r="A171" s="59" t="s">
        <v>5</v>
      </c>
      <c r="B171" s="59">
        <v>11</v>
      </c>
      <c r="C171" s="52">
        <v>44420</v>
      </c>
      <c r="D171" s="66">
        <f t="shared" si="2"/>
        <v>2021</v>
      </c>
      <c r="E171" s="66" t="str">
        <f>TEXT(Tabela2[[#This Row],[Semana]],"mmmm")</f>
        <v>agosto</v>
      </c>
      <c r="F171" t="str">
        <f>IF(MONTH(Tabela2[[#This Row],[Semana]])&lt;=6,"1ª Semestre","2ª Semestre")</f>
        <v>2ª Semestre</v>
      </c>
    </row>
    <row r="172" spans="1:6" x14ac:dyDescent="0.25">
      <c r="A172" s="59" t="s">
        <v>6</v>
      </c>
      <c r="B172" s="59">
        <v>7</v>
      </c>
      <c r="C172" s="52">
        <v>44420</v>
      </c>
      <c r="D172" s="66">
        <f t="shared" si="2"/>
        <v>2021</v>
      </c>
      <c r="E172" s="66" t="str">
        <f>TEXT(Tabela2[[#This Row],[Semana]],"mmmm")</f>
        <v>agosto</v>
      </c>
      <c r="F172" t="str">
        <f>IF(MONTH(Tabela2[[#This Row],[Semana]])&lt;=6,"1ª Semestre","2ª Semestre")</f>
        <v>2ª Semestre</v>
      </c>
    </row>
    <row r="173" spans="1:6" x14ac:dyDescent="0.25">
      <c r="A173" s="59" t="s">
        <v>4</v>
      </c>
      <c r="B173" s="59">
        <v>0</v>
      </c>
      <c r="C173" s="52">
        <v>44420</v>
      </c>
      <c r="D173" s="66">
        <f t="shared" si="2"/>
        <v>2021</v>
      </c>
      <c r="E173" s="66" t="str">
        <f>TEXT(Tabela2[[#This Row],[Semana]],"mmmm")</f>
        <v>agosto</v>
      </c>
      <c r="F173" t="str">
        <f>IF(MONTH(Tabela2[[#This Row],[Semana]])&lt;=6,"1ª Semestre","2ª Semestre")</f>
        <v>2ª Semestre</v>
      </c>
    </row>
    <row r="174" spans="1:6" x14ac:dyDescent="0.25">
      <c r="A174" s="59" t="s">
        <v>3</v>
      </c>
      <c r="B174" s="59">
        <v>0</v>
      </c>
      <c r="C174" s="52">
        <v>44420</v>
      </c>
      <c r="D174" s="66">
        <f t="shared" si="2"/>
        <v>2021</v>
      </c>
      <c r="E174" s="66" t="str">
        <f>TEXT(Tabela2[[#This Row],[Semana]],"mmmm")</f>
        <v>agosto</v>
      </c>
      <c r="F174" t="str">
        <f>IF(MONTH(Tabela2[[#This Row],[Semana]])&lt;=6,"1ª Semestre","2ª Semestre")</f>
        <v>2ª Semestre</v>
      </c>
    </row>
    <row r="175" spans="1:6" x14ac:dyDescent="0.25">
      <c r="A175" s="59" t="s">
        <v>7</v>
      </c>
      <c r="B175" s="59">
        <v>19</v>
      </c>
      <c r="C175" s="52">
        <v>44420</v>
      </c>
      <c r="D175" s="66">
        <f t="shared" si="2"/>
        <v>2021</v>
      </c>
      <c r="E175" s="66" t="str">
        <f>TEXT(Tabela2[[#This Row],[Semana]],"mmmm")</f>
        <v>agosto</v>
      </c>
      <c r="F175" t="str">
        <f>IF(MONTH(Tabela2[[#This Row],[Semana]])&lt;=6,"1ª Semestre","2ª Semestre")</f>
        <v>2ª Semestre</v>
      </c>
    </row>
    <row r="176" spans="1:6" x14ac:dyDescent="0.25">
      <c r="A176" s="59" t="s">
        <v>2</v>
      </c>
      <c r="B176" s="59">
        <v>112</v>
      </c>
      <c r="C176" s="52">
        <v>44428</v>
      </c>
      <c r="D176" s="66">
        <f t="shared" si="2"/>
        <v>2021</v>
      </c>
      <c r="E176" s="66" t="str">
        <f>TEXT(Tabela2[[#This Row],[Semana]],"mmmm")</f>
        <v>agosto</v>
      </c>
      <c r="F176" t="str">
        <f>IF(MONTH(Tabela2[[#This Row],[Semana]])&lt;=6,"1ª Semestre","2ª Semestre")</f>
        <v>2ª Semestre</v>
      </c>
    </row>
    <row r="177" spans="1:6" x14ac:dyDescent="0.25">
      <c r="A177" s="59" t="s">
        <v>5</v>
      </c>
      <c r="B177" s="59">
        <v>4</v>
      </c>
      <c r="C177" s="52">
        <v>44428</v>
      </c>
      <c r="D177" s="66">
        <f t="shared" si="2"/>
        <v>2021</v>
      </c>
      <c r="E177" s="66" t="str">
        <f>TEXT(Tabela2[[#This Row],[Semana]],"mmmm")</f>
        <v>agosto</v>
      </c>
      <c r="F177" t="str">
        <f>IF(MONTH(Tabela2[[#This Row],[Semana]])&lt;=6,"1ª Semestre","2ª Semestre")</f>
        <v>2ª Semestre</v>
      </c>
    </row>
    <row r="178" spans="1:6" x14ac:dyDescent="0.25">
      <c r="A178" s="59" t="s">
        <v>6</v>
      </c>
      <c r="B178" s="59">
        <v>3</v>
      </c>
      <c r="C178" s="52">
        <v>44428</v>
      </c>
      <c r="D178" s="66">
        <f t="shared" si="2"/>
        <v>2021</v>
      </c>
      <c r="E178" s="66" t="str">
        <f>TEXT(Tabela2[[#This Row],[Semana]],"mmmm")</f>
        <v>agosto</v>
      </c>
      <c r="F178" t="str">
        <f>IF(MONTH(Tabela2[[#This Row],[Semana]])&lt;=6,"1ª Semestre","2ª Semestre")</f>
        <v>2ª Semestre</v>
      </c>
    </row>
    <row r="179" spans="1:6" x14ac:dyDescent="0.25">
      <c r="A179" s="59" t="s">
        <v>4</v>
      </c>
      <c r="B179" s="59">
        <v>0</v>
      </c>
      <c r="C179" s="52">
        <v>44428</v>
      </c>
      <c r="D179" s="66">
        <f t="shared" si="2"/>
        <v>2021</v>
      </c>
      <c r="E179" s="66" t="str">
        <f>TEXT(Tabela2[[#This Row],[Semana]],"mmmm")</f>
        <v>agosto</v>
      </c>
      <c r="F179" t="str">
        <f>IF(MONTH(Tabela2[[#This Row],[Semana]])&lt;=6,"1ª Semestre","2ª Semestre")</f>
        <v>2ª Semestre</v>
      </c>
    </row>
    <row r="180" spans="1:6" x14ac:dyDescent="0.25">
      <c r="A180" s="59" t="s">
        <v>3</v>
      </c>
      <c r="B180" s="59">
        <v>0</v>
      </c>
      <c r="C180" s="52">
        <v>44428</v>
      </c>
      <c r="D180" s="66">
        <f t="shared" si="2"/>
        <v>2021</v>
      </c>
      <c r="E180" s="66" t="str">
        <f>TEXT(Tabela2[[#This Row],[Semana]],"mmmm")</f>
        <v>agosto</v>
      </c>
      <c r="F180" t="str">
        <f>IF(MONTH(Tabela2[[#This Row],[Semana]])&lt;=6,"1ª Semestre","2ª Semestre")</f>
        <v>2ª Semestre</v>
      </c>
    </row>
    <row r="181" spans="1:6" x14ac:dyDescent="0.25">
      <c r="A181" s="59" t="s">
        <v>7</v>
      </c>
      <c r="B181" s="59">
        <v>28</v>
      </c>
      <c r="C181" s="52">
        <v>44428</v>
      </c>
      <c r="D181" s="66">
        <f t="shared" si="2"/>
        <v>2021</v>
      </c>
      <c r="E181" s="66" t="str">
        <f>TEXT(Tabela2[[#This Row],[Semana]],"mmmm")</f>
        <v>agosto</v>
      </c>
      <c r="F181" t="str">
        <f>IF(MONTH(Tabela2[[#This Row],[Semana]])&lt;=6,"1ª Semestre","2ª Semestre")</f>
        <v>2ª Semestre</v>
      </c>
    </row>
    <row r="182" spans="1:6" x14ac:dyDescent="0.25">
      <c r="A182" s="59" t="s">
        <v>2</v>
      </c>
      <c r="B182" s="59">
        <v>153</v>
      </c>
      <c r="C182" s="52">
        <v>44436</v>
      </c>
      <c r="D182" s="66">
        <f t="shared" si="2"/>
        <v>2021</v>
      </c>
      <c r="E182" s="66" t="str">
        <f>TEXT(Tabela2[[#This Row],[Semana]],"mmmm")</f>
        <v>agosto</v>
      </c>
      <c r="F182" t="str">
        <f>IF(MONTH(Tabela2[[#This Row],[Semana]])&lt;=6,"1ª Semestre","2ª Semestre")</f>
        <v>2ª Semestre</v>
      </c>
    </row>
    <row r="183" spans="1:6" x14ac:dyDescent="0.25">
      <c r="A183" s="59" t="s">
        <v>5</v>
      </c>
      <c r="B183" s="59">
        <v>7</v>
      </c>
      <c r="C183" s="52">
        <v>44436</v>
      </c>
      <c r="D183" s="66">
        <f t="shared" si="2"/>
        <v>2021</v>
      </c>
      <c r="E183" s="66" t="str">
        <f>TEXT(Tabela2[[#This Row],[Semana]],"mmmm")</f>
        <v>agosto</v>
      </c>
      <c r="F183" t="str">
        <f>IF(MONTH(Tabela2[[#This Row],[Semana]])&lt;=6,"1ª Semestre","2ª Semestre")</f>
        <v>2ª Semestre</v>
      </c>
    </row>
    <row r="184" spans="1:6" x14ac:dyDescent="0.25">
      <c r="A184" s="59" t="s">
        <v>6</v>
      </c>
      <c r="B184" s="59">
        <v>1</v>
      </c>
      <c r="C184" s="52">
        <v>44436</v>
      </c>
      <c r="D184" s="66">
        <f t="shared" si="2"/>
        <v>2021</v>
      </c>
      <c r="E184" s="66" t="str">
        <f>TEXT(Tabela2[[#This Row],[Semana]],"mmmm")</f>
        <v>agosto</v>
      </c>
      <c r="F184" t="str">
        <f>IF(MONTH(Tabela2[[#This Row],[Semana]])&lt;=6,"1ª Semestre","2ª Semestre")</f>
        <v>2ª Semestre</v>
      </c>
    </row>
    <row r="185" spans="1:6" x14ac:dyDescent="0.25">
      <c r="A185" s="59" t="s">
        <v>4</v>
      </c>
      <c r="B185" s="59">
        <v>0</v>
      </c>
      <c r="C185" s="52">
        <v>44436</v>
      </c>
      <c r="D185" s="66">
        <f t="shared" si="2"/>
        <v>2021</v>
      </c>
      <c r="E185" s="66" t="str">
        <f>TEXT(Tabela2[[#This Row],[Semana]],"mmmm")</f>
        <v>agosto</v>
      </c>
      <c r="F185" t="str">
        <f>IF(MONTH(Tabela2[[#This Row],[Semana]])&lt;=6,"1ª Semestre","2ª Semestre")</f>
        <v>2ª Semestre</v>
      </c>
    </row>
    <row r="186" spans="1:6" x14ac:dyDescent="0.25">
      <c r="A186" s="59" t="s">
        <v>3</v>
      </c>
      <c r="B186" s="59">
        <v>0</v>
      </c>
      <c r="C186" s="52">
        <v>44436</v>
      </c>
      <c r="D186" s="66">
        <f t="shared" si="2"/>
        <v>2021</v>
      </c>
      <c r="E186" s="66" t="str">
        <f>TEXT(Tabela2[[#This Row],[Semana]],"mmmm")</f>
        <v>agosto</v>
      </c>
      <c r="F186" t="str">
        <f>IF(MONTH(Tabela2[[#This Row],[Semana]])&lt;=6,"1ª Semestre","2ª Semestre")</f>
        <v>2ª Semestre</v>
      </c>
    </row>
    <row r="187" spans="1:6" x14ac:dyDescent="0.25">
      <c r="A187" s="59" t="s">
        <v>7</v>
      </c>
      <c r="B187" s="59">
        <v>36</v>
      </c>
      <c r="C187" s="52">
        <v>44436</v>
      </c>
      <c r="D187" s="66">
        <f t="shared" si="2"/>
        <v>2021</v>
      </c>
      <c r="E187" s="66" t="str">
        <f>TEXT(Tabela2[[#This Row],[Semana]],"mmmm")</f>
        <v>agosto</v>
      </c>
      <c r="F187" t="str">
        <f>IF(MONTH(Tabela2[[#This Row],[Semana]])&lt;=6,"1ª Semestre","2ª Semestre")</f>
        <v>2ª Semestre</v>
      </c>
    </row>
    <row r="188" spans="1:6" x14ac:dyDescent="0.25">
      <c r="A188" s="59" t="s">
        <v>2</v>
      </c>
      <c r="B188" s="59">
        <v>194</v>
      </c>
      <c r="C188" s="52">
        <v>44444</v>
      </c>
      <c r="D188" s="66">
        <f t="shared" si="2"/>
        <v>2021</v>
      </c>
      <c r="E188" s="66" t="str">
        <f>TEXT(Tabela2[[#This Row],[Semana]],"mmmm")</f>
        <v>setembro</v>
      </c>
      <c r="F188" t="str">
        <f>IF(MONTH(Tabela2[[#This Row],[Semana]])&lt;=6,"1ª Semestre","2ª Semestre")</f>
        <v>2ª Semestre</v>
      </c>
    </row>
    <row r="189" spans="1:6" x14ac:dyDescent="0.25">
      <c r="A189" s="59" t="s">
        <v>5</v>
      </c>
      <c r="B189" s="59">
        <v>4</v>
      </c>
      <c r="C189" s="52">
        <v>44444</v>
      </c>
      <c r="D189" s="66">
        <f t="shared" si="2"/>
        <v>2021</v>
      </c>
      <c r="E189" s="66" t="str">
        <f>TEXT(Tabela2[[#This Row],[Semana]],"mmmm")</f>
        <v>setembro</v>
      </c>
      <c r="F189" t="str">
        <f>IF(MONTH(Tabela2[[#This Row],[Semana]])&lt;=6,"1ª Semestre","2ª Semestre")</f>
        <v>2ª Semestre</v>
      </c>
    </row>
    <row r="190" spans="1:6" x14ac:dyDescent="0.25">
      <c r="A190" s="59" t="s">
        <v>6</v>
      </c>
      <c r="B190" s="59">
        <v>2</v>
      </c>
      <c r="C190" s="52">
        <v>44444</v>
      </c>
      <c r="D190" s="66">
        <f t="shared" si="2"/>
        <v>2021</v>
      </c>
      <c r="E190" s="66" t="str">
        <f>TEXT(Tabela2[[#This Row],[Semana]],"mmmm")</f>
        <v>setembro</v>
      </c>
      <c r="F190" t="str">
        <f>IF(MONTH(Tabela2[[#This Row],[Semana]])&lt;=6,"1ª Semestre","2ª Semestre")</f>
        <v>2ª Semestre</v>
      </c>
    </row>
    <row r="191" spans="1:6" x14ac:dyDescent="0.25">
      <c r="A191" s="59" t="s">
        <v>4</v>
      </c>
      <c r="B191" s="59">
        <v>0</v>
      </c>
      <c r="C191" s="52">
        <v>44444</v>
      </c>
      <c r="D191" s="66">
        <f t="shared" si="2"/>
        <v>2021</v>
      </c>
      <c r="E191" s="66" t="str">
        <f>TEXT(Tabela2[[#This Row],[Semana]],"mmmm")</f>
        <v>setembro</v>
      </c>
      <c r="F191" t="str">
        <f>IF(MONTH(Tabela2[[#This Row],[Semana]])&lt;=6,"1ª Semestre","2ª Semestre")</f>
        <v>2ª Semestre</v>
      </c>
    </row>
    <row r="192" spans="1:6" x14ac:dyDescent="0.25">
      <c r="A192" s="59" t="s">
        <v>3</v>
      </c>
      <c r="B192" s="59">
        <v>0</v>
      </c>
      <c r="C192" s="52">
        <v>44444</v>
      </c>
      <c r="D192" s="66">
        <f t="shared" si="2"/>
        <v>2021</v>
      </c>
      <c r="E192" s="66" t="str">
        <f>TEXT(Tabela2[[#This Row],[Semana]],"mmmm")</f>
        <v>setembro</v>
      </c>
      <c r="F192" t="str">
        <f>IF(MONTH(Tabela2[[#This Row],[Semana]])&lt;=6,"1ª Semestre","2ª Semestre")</f>
        <v>2ª Semestre</v>
      </c>
    </row>
    <row r="193" spans="1:6" x14ac:dyDescent="0.25">
      <c r="A193" s="59" t="s">
        <v>7</v>
      </c>
      <c r="B193" s="59">
        <v>18</v>
      </c>
      <c r="C193" s="52">
        <v>44444</v>
      </c>
      <c r="D193" s="66">
        <f t="shared" si="2"/>
        <v>2021</v>
      </c>
      <c r="E193" s="66" t="str">
        <f>TEXT(Tabela2[[#This Row],[Semana]],"mmmm")</f>
        <v>setembro</v>
      </c>
      <c r="F193" t="str">
        <f>IF(MONTH(Tabela2[[#This Row],[Semana]])&lt;=6,"1ª Semestre","2ª Semestre")</f>
        <v>2ª Semestre</v>
      </c>
    </row>
    <row r="194" spans="1:6" x14ac:dyDescent="0.25">
      <c r="A194" s="59" t="s">
        <v>2</v>
      </c>
      <c r="B194" s="59">
        <v>156</v>
      </c>
      <c r="C194" s="52">
        <v>44452</v>
      </c>
      <c r="D194" s="66">
        <f t="shared" si="2"/>
        <v>2021</v>
      </c>
      <c r="E194" s="66" t="str">
        <f>TEXT(Tabela2[[#This Row],[Semana]],"mmmm")</f>
        <v>setembro</v>
      </c>
      <c r="F194" t="str">
        <f>IF(MONTH(Tabela2[[#This Row],[Semana]])&lt;=6,"1ª Semestre","2ª Semestre")</f>
        <v>2ª Semestre</v>
      </c>
    </row>
    <row r="195" spans="1:6" x14ac:dyDescent="0.25">
      <c r="A195" s="59" t="s">
        <v>5</v>
      </c>
      <c r="B195" s="59">
        <v>7</v>
      </c>
      <c r="C195" s="52">
        <v>44452</v>
      </c>
      <c r="D195" s="66">
        <f t="shared" ref="D195:D258" si="3">YEAR((C195))</f>
        <v>2021</v>
      </c>
      <c r="E195" s="66" t="str">
        <f>TEXT(Tabela2[[#This Row],[Semana]],"mmmm")</f>
        <v>setembro</v>
      </c>
      <c r="F195" t="str">
        <f>IF(MONTH(Tabela2[[#This Row],[Semana]])&lt;=6,"1ª Semestre","2ª Semestre")</f>
        <v>2ª Semestre</v>
      </c>
    </row>
    <row r="196" spans="1:6" x14ac:dyDescent="0.25">
      <c r="A196" s="59" t="s">
        <v>6</v>
      </c>
      <c r="B196" s="59">
        <v>6</v>
      </c>
      <c r="C196" s="52">
        <v>44452</v>
      </c>
      <c r="D196" s="66">
        <f t="shared" si="3"/>
        <v>2021</v>
      </c>
      <c r="E196" s="66" t="str">
        <f>TEXT(Tabela2[[#This Row],[Semana]],"mmmm")</f>
        <v>setembro</v>
      </c>
      <c r="F196" t="str">
        <f>IF(MONTH(Tabela2[[#This Row],[Semana]])&lt;=6,"1ª Semestre","2ª Semestre")</f>
        <v>2ª Semestre</v>
      </c>
    </row>
    <row r="197" spans="1:6" x14ac:dyDescent="0.25">
      <c r="A197" s="59" t="s">
        <v>4</v>
      </c>
      <c r="B197" s="59">
        <v>0</v>
      </c>
      <c r="C197" s="52">
        <v>44452</v>
      </c>
      <c r="D197" s="66">
        <f t="shared" si="3"/>
        <v>2021</v>
      </c>
      <c r="E197" s="66" t="str">
        <f>TEXT(Tabela2[[#This Row],[Semana]],"mmmm")</f>
        <v>setembro</v>
      </c>
      <c r="F197" t="str">
        <f>IF(MONTH(Tabela2[[#This Row],[Semana]])&lt;=6,"1ª Semestre","2ª Semestre")</f>
        <v>2ª Semestre</v>
      </c>
    </row>
    <row r="198" spans="1:6" x14ac:dyDescent="0.25">
      <c r="A198" s="59" t="s">
        <v>3</v>
      </c>
      <c r="B198" s="59">
        <v>0</v>
      </c>
      <c r="C198" s="52">
        <v>44452</v>
      </c>
      <c r="D198" s="66">
        <f t="shared" si="3"/>
        <v>2021</v>
      </c>
      <c r="E198" s="66" t="str">
        <f>TEXT(Tabela2[[#This Row],[Semana]],"mmmm")</f>
        <v>setembro</v>
      </c>
      <c r="F198" t="str">
        <f>IF(MONTH(Tabela2[[#This Row],[Semana]])&lt;=6,"1ª Semestre","2ª Semestre")</f>
        <v>2ª Semestre</v>
      </c>
    </row>
    <row r="199" spans="1:6" x14ac:dyDescent="0.25">
      <c r="A199" s="59" t="s">
        <v>7</v>
      </c>
      <c r="B199" s="59">
        <v>20</v>
      </c>
      <c r="C199" s="52">
        <v>44452</v>
      </c>
      <c r="D199" s="66">
        <f t="shared" si="3"/>
        <v>2021</v>
      </c>
      <c r="E199" s="66" t="str">
        <f>TEXT(Tabela2[[#This Row],[Semana]],"mmmm")</f>
        <v>setembro</v>
      </c>
      <c r="F199" t="str">
        <f>IF(MONTH(Tabela2[[#This Row],[Semana]])&lt;=6,"1ª Semestre","2ª Semestre")</f>
        <v>2ª Semestre</v>
      </c>
    </row>
    <row r="200" spans="1:6" x14ac:dyDescent="0.25">
      <c r="A200" s="59" t="s">
        <v>2</v>
      </c>
      <c r="B200" s="59">
        <v>127</v>
      </c>
      <c r="C200" s="52">
        <v>44459</v>
      </c>
      <c r="D200" s="66">
        <f t="shared" si="3"/>
        <v>2021</v>
      </c>
      <c r="E200" s="66" t="str">
        <f>TEXT(Tabela2[[#This Row],[Semana]],"mmmm")</f>
        <v>setembro</v>
      </c>
      <c r="F200" t="str">
        <f>IF(MONTH(Tabela2[[#This Row],[Semana]])&lt;=6,"1ª Semestre","2ª Semestre")</f>
        <v>2ª Semestre</v>
      </c>
    </row>
    <row r="201" spans="1:6" x14ac:dyDescent="0.25">
      <c r="A201" s="59" t="s">
        <v>5</v>
      </c>
      <c r="B201" s="59">
        <v>3</v>
      </c>
      <c r="C201" s="52">
        <v>44459</v>
      </c>
      <c r="D201" s="66">
        <f t="shared" si="3"/>
        <v>2021</v>
      </c>
      <c r="E201" s="66" t="str">
        <f>TEXT(Tabela2[[#This Row],[Semana]],"mmmm")</f>
        <v>setembro</v>
      </c>
      <c r="F201" t="str">
        <f>IF(MONTH(Tabela2[[#This Row],[Semana]])&lt;=6,"1ª Semestre","2ª Semestre")</f>
        <v>2ª Semestre</v>
      </c>
    </row>
    <row r="202" spans="1:6" x14ac:dyDescent="0.25">
      <c r="A202" s="59" t="s">
        <v>6</v>
      </c>
      <c r="B202" s="59">
        <v>4</v>
      </c>
      <c r="C202" s="52">
        <v>44459</v>
      </c>
      <c r="D202" s="66">
        <f t="shared" si="3"/>
        <v>2021</v>
      </c>
      <c r="E202" s="66" t="str">
        <f>TEXT(Tabela2[[#This Row],[Semana]],"mmmm")</f>
        <v>setembro</v>
      </c>
      <c r="F202" t="str">
        <f>IF(MONTH(Tabela2[[#This Row],[Semana]])&lt;=6,"1ª Semestre","2ª Semestre")</f>
        <v>2ª Semestre</v>
      </c>
    </row>
    <row r="203" spans="1:6" x14ac:dyDescent="0.25">
      <c r="A203" s="59" t="s">
        <v>4</v>
      </c>
      <c r="B203" s="59">
        <v>0</v>
      </c>
      <c r="C203" s="52">
        <v>44459</v>
      </c>
      <c r="D203" s="66">
        <f t="shared" si="3"/>
        <v>2021</v>
      </c>
      <c r="E203" s="66" t="str">
        <f>TEXT(Tabela2[[#This Row],[Semana]],"mmmm")</f>
        <v>setembro</v>
      </c>
      <c r="F203" t="str">
        <f>IF(MONTH(Tabela2[[#This Row],[Semana]])&lt;=6,"1ª Semestre","2ª Semestre")</f>
        <v>2ª Semestre</v>
      </c>
    </row>
    <row r="204" spans="1:6" x14ac:dyDescent="0.25">
      <c r="A204" s="59" t="s">
        <v>3</v>
      </c>
      <c r="B204" s="59">
        <v>0</v>
      </c>
      <c r="C204" s="52">
        <v>44459</v>
      </c>
      <c r="D204" s="66">
        <f t="shared" si="3"/>
        <v>2021</v>
      </c>
      <c r="E204" s="66" t="str">
        <f>TEXT(Tabela2[[#This Row],[Semana]],"mmmm")</f>
        <v>setembro</v>
      </c>
      <c r="F204" t="str">
        <f>IF(MONTH(Tabela2[[#This Row],[Semana]])&lt;=6,"1ª Semestre","2ª Semestre")</f>
        <v>2ª Semestre</v>
      </c>
    </row>
    <row r="205" spans="1:6" x14ac:dyDescent="0.25">
      <c r="A205" s="59" t="s">
        <v>7</v>
      </c>
      <c r="B205" s="59">
        <v>26</v>
      </c>
      <c r="C205" s="52">
        <v>44459</v>
      </c>
      <c r="D205" s="66">
        <f t="shared" si="3"/>
        <v>2021</v>
      </c>
      <c r="E205" s="66" t="str">
        <f>TEXT(Tabela2[[#This Row],[Semana]],"mmmm")</f>
        <v>setembro</v>
      </c>
      <c r="F205" t="str">
        <f>IF(MONTH(Tabela2[[#This Row],[Semana]])&lt;=6,"1ª Semestre","2ª Semestre")</f>
        <v>2ª Semestre</v>
      </c>
    </row>
    <row r="206" spans="1:6" x14ac:dyDescent="0.25">
      <c r="A206" s="59" t="s">
        <v>2</v>
      </c>
      <c r="B206" s="59">
        <v>152</v>
      </c>
      <c r="C206" s="52">
        <v>44466</v>
      </c>
      <c r="D206" s="66">
        <f t="shared" si="3"/>
        <v>2021</v>
      </c>
      <c r="E206" s="66" t="str">
        <f>TEXT(Tabela2[[#This Row],[Semana]],"mmmm")</f>
        <v>setembro</v>
      </c>
      <c r="F206" t="str">
        <f>IF(MONTH(Tabela2[[#This Row],[Semana]])&lt;=6,"1ª Semestre","2ª Semestre")</f>
        <v>2ª Semestre</v>
      </c>
    </row>
    <row r="207" spans="1:6" x14ac:dyDescent="0.25">
      <c r="A207" s="59" t="s">
        <v>5</v>
      </c>
      <c r="B207" s="59">
        <v>4</v>
      </c>
      <c r="C207" s="52">
        <v>44466</v>
      </c>
      <c r="D207" s="66">
        <f t="shared" si="3"/>
        <v>2021</v>
      </c>
      <c r="E207" s="66" t="str">
        <f>TEXT(Tabela2[[#This Row],[Semana]],"mmmm")</f>
        <v>setembro</v>
      </c>
      <c r="F207" t="str">
        <f>IF(MONTH(Tabela2[[#This Row],[Semana]])&lt;=6,"1ª Semestre","2ª Semestre")</f>
        <v>2ª Semestre</v>
      </c>
    </row>
    <row r="208" spans="1:6" x14ac:dyDescent="0.25">
      <c r="A208" s="59" t="s">
        <v>6</v>
      </c>
      <c r="B208" s="59">
        <v>2</v>
      </c>
      <c r="C208" s="52">
        <v>44466</v>
      </c>
      <c r="D208" s="66">
        <f t="shared" si="3"/>
        <v>2021</v>
      </c>
      <c r="E208" s="66" t="str">
        <f>TEXT(Tabela2[[#This Row],[Semana]],"mmmm")</f>
        <v>setembro</v>
      </c>
      <c r="F208" t="str">
        <f>IF(MONTH(Tabela2[[#This Row],[Semana]])&lt;=6,"1ª Semestre","2ª Semestre")</f>
        <v>2ª Semestre</v>
      </c>
    </row>
    <row r="209" spans="1:6" x14ac:dyDescent="0.25">
      <c r="A209" s="59" t="s">
        <v>4</v>
      </c>
      <c r="B209" s="59">
        <v>0</v>
      </c>
      <c r="C209" s="52">
        <v>44466</v>
      </c>
      <c r="D209" s="66">
        <f t="shared" si="3"/>
        <v>2021</v>
      </c>
      <c r="E209" s="66" t="str">
        <f>TEXT(Tabela2[[#This Row],[Semana]],"mmmm")</f>
        <v>setembro</v>
      </c>
      <c r="F209" t="str">
        <f>IF(MONTH(Tabela2[[#This Row],[Semana]])&lt;=6,"1ª Semestre","2ª Semestre")</f>
        <v>2ª Semestre</v>
      </c>
    </row>
    <row r="210" spans="1:6" x14ac:dyDescent="0.25">
      <c r="A210" s="59" t="s">
        <v>3</v>
      </c>
      <c r="B210" s="59">
        <v>0</v>
      </c>
      <c r="C210" s="52">
        <v>44466</v>
      </c>
      <c r="D210" s="66">
        <f t="shared" si="3"/>
        <v>2021</v>
      </c>
      <c r="E210" s="66" t="str">
        <f>TEXT(Tabela2[[#This Row],[Semana]],"mmmm")</f>
        <v>setembro</v>
      </c>
      <c r="F210" t="str">
        <f>IF(MONTH(Tabela2[[#This Row],[Semana]])&lt;=6,"1ª Semestre","2ª Semestre")</f>
        <v>2ª Semestre</v>
      </c>
    </row>
    <row r="211" spans="1:6" x14ac:dyDescent="0.25">
      <c r="A211" s="59" t="s">
        <v>7</v>
      </c>
      <c r="B211" s="59">
        <v>36</v>
      </c>
      <c r="C211" s="52">
        <v>44466</v>
      </c>
      <c r="D211" s="66">
        <f t="shared" si="3"/>
        <v>2021</v>
      </c>
      <c r="E211" s="66" t="str">
        <f>TEXT(Tabela2[[#This Row],[Semana]],"mmmm")</f>
        <v>setembro</v>
      </c>
      <c r="F211" t="str">
        <f>IF(MONTH(Tabela2[[#This Row],[Semana]])&lt;=6,"1ª Semestre","2ª Semestre")</f>
        <v>2ª Semestre</v>
      </c>
    </row>
    <row r="212" spans="1:6" x14ac:dyDescent="0.25">
      <c r="A212" s="59" t="s">
        <v>2</v>
      </c>
      <c r="B212" s="59">
        <v>170</v>
      </c>
      <c r="C212" s="52">
        <v>44473</v>
      </c>
      <c r="D212" s="66">
        <f t="shared" si="3"/>
        <v>2021</v>
      </c>
      <c r="E212" s="66" t="str">
        <f>TEXT(Tabela2[[#This Row],[Semana]],"mmmm")</f>
        <v>outubro</v>
      </c>
      <c r="F212" t="str">
        <f>IF(MONTH(Tabela2[[#This Row],[Semana]])&lt;=6,"1ª Semestre","2ª Semestre")</f>
        <v>2ª Semestre</v>
      </c>
    </row>
    <row r="213" spans="1:6" x14ac:dyDescent="0.25">
      <c r="A213" s="59" t="s">
        <v>5</v>
      </c>
      <c r="B213" s="59">
        <v>4</v>
      </c>
      <c r="C213" s="52">
        <v>44473</v>
      </c>
      <c r="D213" s="66">
        <f t="shared" si="3"/>
        <v>2021</v>
      </c>
      <c r="E213" s="66" t="str">
        <f>TEXT(Tabela2[[#This Row],[Semana]],"mmmm")</f>
        <v>outubro</v>
      </c>
      <c r="F213" t="str">
        <f>IF(MONTH(Tabela2[[#This Row],[Semana]])&lt;=6,"1ª Semestre","2ª Semestre")</f>
        <v>2ª Semestre</v>
      </c>
    </row>
    <row r="214" spans="1:6" x14ac:dyDescent="0.25">
      <c r="A214" s="59" t="s">
        <v>6</v>
      </c>
      <c r="B214" s="59">
        <v>0</v>
      </c>
      <c r="C214" s="52">
        <v>44473</v>
      </c>
      <c r="D214" s="66">
        <f t="shared" si="3"/>
        <v>2021</v>
      </c>
      <c r="E214" s="66" t="str">
        <f>TEXT(Tabela2[[#This Row],[Semana]],"mmmm")</f>
        <v>outubro</v>
      </c>
      <c r="F214" t="str">
        <f>IF(MONTH(Tabela2[[#This Row],[Semana]])&lt;=6,"1ª Semestre","2ª Semestre")</f>
        <v>2ª Semestre</v>
      </c>
    </row>
    <row r="215" spans="1:6" x14ac:dyDescent="0.25">
      <c r="A215" s="59" t="s">
        <v>4</v>
      </c>
      <c r="B215" s="59">
        <v>0</v>
      </c>
      <c r="C215" s="52">
        <v>44473</v>
      </c>
      <c r="D215" s="66">
        <f t="shared" si="3"/>
        <v>2021</v>
      </c>
      <c r="E215" s="66" t="str">
        <f>TEXT(Tabela2[[#This Row],[Semana]],"mmmm")</f>
        <v>outubro</v>
      </c>
      <c r="F215" t="str">
        <f>IF(MONTH(Tabela2[[#This Row],[Semana]])&lt;=6,"1ª Semestre","2ª Semestre")</f>
        <v>2ª Semestre</v>
      </c>
    </row>
    <row r="216" spans="1:6" x14ac:dyDescent="0.25">
      <c r="A216" s="59" t="s">
        <v>3</v>
      </c>
      <c r="B216" s="59">
        <v>0</v>
      </c>
      <c r="C216" s="52">
        <v>44473</v>
      </c>
      <c r="D216" s="66">
        <f t="shared" si="3"/>
        <v>2021</v>
      </c>
      <c r="E216" s="66" t="str">
        <f>TEXT(Tabela2[[#This Row],[Semana]],"mmmm")</f>
        <v>outubro</v>
      </c>
      <c r="F216" t="str">
        <f>IF(MONTH(Tabela2[[#This Row],[Semana]])&lt;=6,"1ª Semestre","2ª Semestre")</f>
        <v>2ª Semestre</v>
      </c>
    </row>
    <row r="217" spans="1:6" x14ac:dyDescent="0.25">
      <c r="A217" s="59" t="s">
        <v>7</v>
      </c>
      <c r="B217" s="59">
        <v>21</v>
      </c>
      <c r="C217" s="52">
        <v>44473</v>
      </c>
      <c r="D217" s="66">
        <f t="shared" si="3"/>
        <v>2021</v>
      </c>
      <c r="E217" s="66" t="str">
        <f>TEXT(Tabela2[[#This Row],[Semana]],"mmmm")</f>
        <v>outubro</v>
      </c>
      <c r="F217" t="str">
        <f>IF(MONTH(Tabela2[[#This Row],[Semana]])&lt;=6,"1ª Semestre","2ª Semestre")</f>
        <v>2ª Semestre</v>
      </c>
    </row>
    <row r="218" spans="1:6" x14ac:dyDescent="0.25">
      <c r="A218" s="59" t="s">
        <v>2</v>
      </c>
      <c r="B218" s="59">
        <v>20</v>
      </c>
      <c r="C218" s="52">
        <v>44480</v>
      </c>
      <c r="D218" s="66">
        <f t="shared" si="3"/>
        <v>2021</v>
      </c>
      <c r="E218" s="66" t="str">
        <f>TEXT(Tabela2[[#This Row],[Semana]],"mmmm")</f>
        <v>outubro</v>
      </c>
      <c r="F218" t="str">
        <f>IF(MONTH(Tabela2[[#This Row],[Semana]])&lt;=6,"1ª Semestre","2ª Semestre")</f>
        <v>2ª Semestre</v>
      </c>
    </row>
    <row r="219" spans="1:6" x14ac:dyDescent="0.25">
      <c r="A219" s="59" t="s">
        <v>5</v>
      </c>
      <c r="B219" s="59">
        <v>2</v>
      </c>
      <c r="C219" s="52">
        <v>44480</v>
      </c>
      <c r="D219" s="66">
        <f t="shared" si="3"/>
        <v>2021</v>
      </c>
      <c r="E219" s="66" t="str">
        <f>TEXT(Tabela2[[#This Row],[Semana]],"mmmm")</f>
        <v>outubro</v>
      </c>
      <c r="F219" t="str">
        <f>IF(MONTH(Tabela2[[#This Row],[Semana]])&lt;=6,"1ª Semestre","2ª Semestre")</f>
        <v>2ª Semestre</v>
      </c>
    </row>
    <row r="220" spans="1:6" x14ac:dyDescent="0.25">
      <c r="A220" s="59" t="s">
        <v>6</v>
      </c>
      <c r="B220" s="59">
        <v>0</v>
      </c>
      <c r="C220" s="52">
        <v>44480</v>
      </c>
      <c r="D220" s="66">
        <f t="shared" si="3"/>
        <v>2021</v>
      </c>
      <c r="E220" s="66" t="str">
        <f>TEXT(Tabela2[[#This Row],[Semana]],"mmmm")</f>
        <v>outubro</v>
      </c>
      <c r="F220" t="str">
        <f>IF(MONTH(Tabela2[[#This Row],[Semana]])&lt;=6,"1ª Semestre","2ª Semestre")</f>
        <v>2ª Semestre</v>
      </c>
    </row>
    <row r="221" spans="1:6" x14ac:dyDescent="0.25">
      <c r="A221" s="59" t="s">
        <v>4</v>
      </c>
      <c r="B221" s="59">
        <v>2</v>
      </c>
      <c r="C221" s="52">
        <v>44480</v>
      </c>
      <c r="D221" s="66">
        <f t="shared" si="3"/>
        <v>2021</v>
      </c>
      <c r="E221" s="66" t="str">
        <f>TEXT(Tabela2[[#This Row],[Semana]],"mmmm")</f>
        <v>outubro</v>
      </c>
      <c r="F221" t="str">
        <f>IF(MONTH(Tabela2[[#This Row],[Semana]])&lt;=6,"1ª Semestre","2ª Semestre")</f>
        <v>2ª Semestre</v>
      </c>
    </row>
    <row r="222" spans="1:6" x14ac:dyDescent="0.25">
      <c r="A222" s="59" t="s">
        <v>3</v>
      </c>
      <c r="B222" s="59">
        <v>40</v>
      </c>
      <c r="C222" s="52">
        <v>44480</v>
      </c>
      <c r="D222" s="66">
        <f t="shared" si="3"/>
        <v>2021</v>
      </c>
      <c r="E222" s="66" t="str">
        <f>TEXT(Tabela2[[#This Row],[Semana]],"mmmm")</f>
        <v>outubro</v>
      </c>
      <c r="F222" t="str">
        <f>IF(MONTH(Tabela2[[#This Row],[Semana]])&lt;=6,"1ª Semestre","2ª Semestre")</f>
        <v>2ª Semestre</v>
      </c>
    </row>
    <row r="223" spans="1:6" x14ac:dyDescent="0.25">
      <c r="A223" s="59" t="s">
        <v>7</v>
      </c>
      <c r="B223" s="59">
        <v>1</v>
      </c>
      <c r="C223" s="52">
        <v>44480</v>
      </c>
      <c r="D223" s="66">
        <f t="shared" si="3"/>
        <v>2021</v>
      </c>
      <c r="E223" s="66" t="str">
        <f>TEXT(Tabela2[[#This Row],[Semana]],"mmmm")</f>
        <v>outubro</v>
      </c>
      <c r="F223" t="str">
        <f>IF(MONTH(Tabela2[[#This Row],[Semana]])&lt;=6,"1ª Semestre","2ª Semestre")</f>
        <v>2ª Semestre</v>
      </c>
    </row>
    <row r="224" spans="1:6" x14ac:dyDescent="0.25">
      <c r="A224" s="59" t="s">
        <v>2</v>
      </c>
      <c r="B224" s="59">
        <v>7</v>
      </c>
      <c r="C224" s="52">
        <v>44487</v>
      </c>
      <c r="D224" s="66">
        <f t="shared" si="3"/>
        <v>2021</v>
      </c>
      <c r="E224" s="66" t="str">
        <f>TEXT(Tabela2[[#This Row],[Semana]],"mmmm")</f>
        <v>outubro</v>
      </c>
      <c r="F224" t="str">
        <f>IF(MONTH(Tabela2[[#This Row],[Semana]])&lt;=6,"1ª Semestre","2ª Semestre")</f>
        <v>2ª Semestre</v>
      </c>
    </row>
    <row r="225" spans="1:6" x14ac:dyDescent="0.25">
      <c r="A225" s="59" t="s">
        <v>5</v>
      </c>
      <c r="B225" s="59">
        <v>0</v>
      </c>
      <c r="C225" s="52">
        <v>44487</v>
      </c>
      <c r="D225" s="66">
        <f t="shared" si="3"/>
        <v>2021</v>
      </c>
      <c r="E225" s="66" t="str">
        <f>TEXT(Tabela2[[#This Row],[Semana]],"mmmm")</f>
        <v>outubro</v>
      </c>
      <c r="F225" t="str">
        <f>IF(MONTH(Tabela2[[#This Row],[Semana]])&lt;=6,"1ª Semestre","2ª Semestre")</f>
        <v>2ª Semestre</v>
      </c>
    </row>
    <row r="226" spans="1:6" x14ac:dyDescent="0.25">
      <c r="A226" s="59" t="s">
        <v>6</v>
      </c>
      <c r="B226" s="59">
        <v>0</v>
      </c>
      <c r="C226" s="52">
        <v>44487</v>
      </c>
      <c r="D226" s="66">
        <f t="shared" si="3"/>
        <v>2021</v>
      </c>
      <c r="E226" s="66" t="str">
        <f>TEXT(Tabela2[[#This Row],[Semana]],"mmmm")</f>
        <v>outubro</v>
      </c>
      <c r="F226" t="str">
        <f>IF(MONTH(Tabela2[[#This Row],[Semana]])&lt;=6,"1ª Semestre","2ª Semestre")</f>
        <v>2ª Semestre</v>
      </c>
    </row>
    <row r="227" spans="1:6" x14ac:dyDescent="0.25">
      <c r="A227" s="59" t="s">
        <v>4</v>
      </c>
      <c r="B227" s="59">
        <v>0</v>
      </c>
      <c r="C227" s="52">
        <v>44487</v>
      </c>
      <c r="D227" s="66">
        <f t="shared" si="3"/>
        <v>2021</v>
      </c>
      <c r="E227" s="66" t="str">
        <f>TEXT(Tabela2[[#This Row],[Semana]],"mmmm")</f>
        <v>outubro</v>
      </c>
      <c r="F227" t="str">
        <f>IF(MONTH(Tabela2[[#This Row],[Semana]])&lt;=6,"1ª Semestre","2ª Semestre")</f>
        <v>2ª Semestre</v>
      </c>
    </row>
    <row r="228" spans="1:6" x14ac:dyDescent="0.25">
      <c r="A228" s="59" t="s">
        <v>3</v>
      </c>
      <c r="B228" s="59">
        <v>109</v>
      </c>
      <c r="C228" s="52">
        <v>44487</v>
      </c>
      <c r="D228" s="66">
        <f t="shared" si="3"/>
        <v>2021</v>
      </c>
      <c r="E228" s="66" t="str">
        <f>TEXT(Tabela2[[#This Row],[Semana]],"mmmm")</f>
        <v>outubro</v>
      </c>
      <c r="F228" t="str">
        <f>IF(MONTH(Tabela2[[#This Row],[Semana]])&lt;=6,"1ª Semestre","2ª Semestre")</f>
        <v>2ª Semestre</v>
      </c>
    </row>
    <row r="229" spans="1:6" x14ac:dyDescent="0.25">
      <c r="A229" s="59" t="s">
        <v>7</v>
      </c>
      <c r="B229" s="59">
        <v>1</v>
      </c>
      <c r="C229" s="52">
        <v>44487</v>
      </c>
      <c r="D229" s="66">
        <f t="shared" si="3"/>
        <v>2021</v>
      </c>
      <c r="E229" s="66" t="str">
        <f>TEXT(Tabela2[[#This Row],[Semana]],"mmmm")</f>
        <v>outubro</v>
      </c>
      <c r="F229" t="str">
        <f>IF(MONTH(Tabela2[[#This Row],[Semana]])&lt;=6,"1ª Semestre","2ª Semestre")</f>
        <v>2ª Semestre</v>
      </c>
    </row>
    <row r="230" spans="1:6" x14ac:dyDescent="0.25">
      <c r="A230" s="59" t="s">
        <v>2</v>
      </c>
      <c r="B230" s="59">
        <v>69</v>
      </c>
      <c r="C230" s="52">
        <v>44494</v>
      </c>
      <c r="D230" s="66">
        <f t="shared" si="3"/>
        <v>2021</v>
      </c>
      <c r="E230" s="66" t="str">
        <f>TEXT(Tabela2[[#This Row],[Semana]],"mmmm")</f>
        <v>outubro</v>
      </c>
      <c r="F230" t="str">
        <f>IF(MONTH(Tabela2[[#This Row],[Semana]])&lt;=6,"1ª Semestre","2ª Semestre")</f>
        <v>2ª Semestre</v>
      </c>
    </row>
    <row r="231" spans="1:6" x14ac:dyDescent="0.25">
      <c r="A231" s="59" t="s">
        <v>5</v>
      </c>
      <c r="B231" s="59">
        <v>5</v>
      </c>
      <c r="C231" s="52">
        <v>44494</v>
      </c>
      <c r="D231" s="66">
        <f t="shared" si="3"/>
        <v>2021</v>
      </c>
      <c r="E231" s="66" t="str">
        <f>TEXT(Tabela2[[#This Row],[Semana]],"mmmm")</f>
        <v>outubro</v>
      </c>
      <c r="F231" t="str">
        <f>IF(MONTH(Tabela2[[#This Row],[Semana]])&lt;=6,"1ª Semestre","2ª Semestre")</f>
        <v>2ª Semestre</v>
      </c>
    </row>
    <row r="232" spans="1:6" x14ac:dyDescent="0.25">
      <c r="A232" s="59" t="s">
        <v>6</v>
      </c>
      <c r="B232" s="59">
        <v>4</v>
      </c>
      <c r="C232" s="52">
        <v>44494</v>
      </c>
      <c r="D232" s="66">
        <f t="shared" si="3"/>
        <v>2021</v>
      </c>
      <c r="E232" s="66" t="str">
        <f>TEXT(Tabela2[[#This Row],[Semana]],"mmmm")</f>
        <v>outubro</v>
      </c>
      <c r="F232" t="str">
        <f>IF(MONTH(Tabela2[[#This Row],[Semana]])&lt;=6,"1ª Semestre","2ª Semestre")</f>
        <v>2ª Semestre</v>
      </c>
    </row>
    <row r="233" spans="1:6" x14ac:dyDescent="0.25">
      <c r="A233" s="59" t="s">
        <v>4</v>
      </c>
      <c r="B233" s="59">
        <v>0</v>
      </c>
      <c r="C233" s="52">
        <v>44494</v>
      </c>
      <c r="D233" s="66">
        <f t="shared" si="3"/>
        <v>2021</v>
      </c>
      <c r="E233" s="66" t="str">
        <f>TEXT(Tabela2[[#This Row],[Semana]],"mmmm")</f>
        <v>outubro</v>
      </c>
      <c r="F233" t="str">
        <f>IF(MONTH(Tabela2[[#This Row],[Semana]])&lt;=6,"1ª Semestre","2ª Semestre")</f>
        <v>2ª Semestre</v>
      </c>
    </row>
    <row r="234" spans="1:6" x14ac:dyDescent="0.25">
      <c r="A234" s="59" t="s">
        <v>3</v>
      </c>
      <c r="B234" s="59">
        <v>7</v>
      </c>
      <c r="C234" s="52">
        <v>44494</v>
      </c>
      <c r="D234" s="66">
        <f t="shared" si="3"/>
        <v>2021</v>
      </c>
      <c r="E234" s="66" t="str">
        <f>TEXT(Tabela2[[#This Row],[Semana]],"mmmm")</f>
        <v>outubro</v>
      </c>
      <c r="F234" t="str">
        <f>IF(MONTH(Tabela2[[#This Row],[Semana]])&lt;=6,"1ª Semestre","2ª Semestre")</f>
        <v>2ª Semestre</v>
      </c>
    </row>
    <row r="235" spans="1:6" x14ac:dyDescent="0.25">
      <c r="A235" s="59" t="s">
        <v>7</v>
      </c>
      <c r="B235" s="59">
        <v>28</v>
      </c>
      <c r="C235" s="52">
        <v>44494</v>
      </c>
      <c r="D235" s="66">
        <f t="shared" si="3"/>
        <v>2021</v>
      </c>
      <c r="E235" s="66" t="str">
        <f>TEXT(Tabela2[[#This Row],[Semana]],"mmmm")</f>
        <v>outubro</v>
      </c>
      <c r="F235" t="str">
        <f>IF(MONTH(Tabela2[[#This Row],[Semana]])&lt;=6,"1ª Semestre","2ª Semestre")</f>
        <v>2ª Semestre</v>
      </c>
    </row>
    <row r="236" spans="1:6" x14ac:dyDescent="0.25">
      <c r="A236" s="59" t="s">
        <v>2</v>
      </c>
      <c r="B236" s="59">
        <v>85</v>
      </c>
      <c r="C236" s="52">
        <v>44501</v>
      </c>
      <c r="D236" s="66">
        <f t="shared" si="3"/>
        <v>2021</v>
      </c>
      <c r="E236" s="66" t="str">
        <f>TEXT(Tabela2[[#This Row],[Semana]],"mmmm")</f>
        <v>novembro</v>
      </c>
      <c r="F236" t="str">
        <f>IF(MONTH(Tabela2[[#This Row],[Semana]])&lt;=6,"1ª Semestre","2ª Semestre")</f>
        <v>2ª Semestre</v>
      </c>
    </row>
    <row r="237" spans="1:6" x14ac:dyDescent="0.25">
      <c r="A237" s="59" t="s">
        <v>5</v>
      </c>
      <c r="B237" s="59">
        <v>4</v>
      </c>
      <c r="C237" s="52">
        <v>44501</v>
      </c>
      <c r="D237" s="66">
        <f t="shared" si="3"/>
        <v>2021</v>
      </c>
      <c r="E237" s="66" t="str">
        <f>TEXT(Tabela2[[#This Row],[Semana]],"mmmm")</f>
        <v>novembro</v>
      </c>
      <c r="F237" t="str">
        <f>IF(MONTH(Tabela2[[#This Row],[Semana]])&lt;=6,"1ª Semestre","2ª Semestre")</f>
        <v>2ª Semestre</v>
      </c>
    </row>
    <row r="238" spans="1:6" x14ac:dyDescent="0.25">
      <c r="A238" s="59" t="s">
        <v>6</v>
      </c>
      <c r="B238" s="59">
        <v>8</v>
      </c>
      <c r="C238" s="52">
        <v>44501</v>
      </c>
      <c r="D238" s="66">
        <f t="shared" si="3"/>
        <v>2021</v>
      </c>
      <c r="E238" s="66" t="str">
        <f>TEXT(Tabela2[[#This Row],[Semana]],"mmmm")</f>
        <v>novembro</v>
      </c>
      <c r="F238" t="str">
        <f>IF(MONTH(Tabela2[[#This Row],[Semana]])&lt;=6,"1ª Semestre","2ª Semestre")</f>
        <v>2ª Semestre</v>
      </c>
    </row>
    <row r="239" spans="1:6" x14ac:dyDescent="0.25">
      <c r="A239" s="59" t="s">
        <v>4</v>
      </c>
      <c r="B239" s="59">
        <v>0</v>
      </c>
      <c r="C239" s="52">
        <v>44501</v>
      </c>
      <c r="D239" s="66">
        <f t="shared" si="3"/>
        <v>2021</v>
      </c>
      <c r="E239" s="66" t="str">
        <f>TEXT(Tabela2[[#This Row],[Semana]],"mmmm")</f>
        <v>novembro</v>
      </c>
      <c r="F239" t="str">
        <f>IF(MONTH(Tabela2[[#This Row],[Semana]])&lt;=6,"1ª Semestre","2ª Semestre")</f>
        <v>2ª Semestre</v>
      </c>
    </row>
    <row r="240" spans="1:6" x14ac:dyDescent="0.25">
      <c r="A240" s="59" t="s">
        <v>3</v>
      </c>
      <c r="B240" s="59">
        <v>5</v>
      </c>
      <c r="C240" s="52">
        <v>44501</v>
      </c>
      <c r="D240" s="66">
        <f t="shared" si="3"/>
        <v>2021</v>
      </c>
      <c r="E240" s="66" t="str">
        <f>TEXT(Tabela2[[#This Row],[Semana]],"mmmm")</f>
        <v>novembro</v>
      </c>
      <c r="F240" t="str">
        <f>IF(MONTH(Tabela2[[#This Row],[Semana]])&lt;=6,"1ª Semestre","2ª Semestre")</f>
        <v>2ª Semestre</v>
      </c>
    </row>
    <row r="241" spans="1:6" x14ac:dyDescent="0.25">
      <c r="A241" s="59" t="s">
        <v>7</v>
      </c>
      <c r="B241" s="59">
        <v>20</v>
      </c>
      <c r="C241" s="52">
        <v>44501</v>
      </c>
      <c r="D241" s="66">
        <f t="shared" si="3"/>
        <v>2021</v>
      </c>
      <c r="E241" s="66" t="str">
        <f>TEXT(Tabela2[[#This Row],[Semana]],"mmmm")</f>
        <v>novembro</v>
      </c>
      <c r="F241" t="str">
        <f>IF(MONTH(Tabela2[[#This Row],[Semana]])&lt;=6,"1ª Semestre","2ª Semestre")</f>
        <v>2ª Semestre</v>
      </c>
    </row>
    <row r="242" spans="1:6" x14ac:dyDescent="0.25">
      <c r="A242" s="59" t="s">
        <v>2</v>
      </c>
      <c r="B242" s="59">
        <v>3</v>
      </c>
      <c r="C242" s="52">
        <v>44508</v>
      </c>
      <c r="D242" s="66">
        <f t="shared" si="3"/>
        <v>2021</v>
      </c>
      <c r="E242" s="66" t="str">
        <f>TEXT(Tabela2[[#This Row],[Semana]],"mmmm")</f>
        <v>novembro</v>
      </c>
      <c r="F242" t="str">
        <f>IF(MONTH(Tabela2[[#This Row],[Semana]])&lt;=6,"1ª Semestre","2ª Semestre")</f>
        <v>2ª Semestre</v>
      </c>
    </row>
    <row r="243" spans="1:6" x14ac:dyDescent="0.25">
      <c r="A243" s="59" t="s">
        <v>5</v>
      </c>
      <c r="B243" s="59">
        <v>0</v>
      </c>
      <c r="C243" s="52">
        <v>44508</v>
      </c>
      <c r="D243" s="66">
        <f t="shared" si="3"/>
        <v>2021</v>
      </c>
      <c r="E243" s="66" t="str">
        <f>TEXT(Tabela2[[#This Row],[Semana]],"mmmm")</f>
        <v>novembro</v>
      </c>
      <c r="F243" t="str">
        <f>IF(MONTH(Tabela2[[#This Row],[Semana]])&lt;=6,"1ª Semestre","2ª Semestre")</f>
        <v>2ª Semestre</v>
      </c>
    </row>
    <row r="244" spans="1:6" x14ac:dyDescent="0.25">
      <c r="A244" s="59" t="s">
        <v>6</v>
      </c>
      <c r="B244" s="59">
        <v>2</v>
      </c>
      <c r="C244" s="52">
        <v>44508</v>
      </c>
      <c r="D244" s="66">
        <f t="shared" si="3"/>
        <v>2021</v>
      </c>
      <c r="E244" s="66" t="str">
        <f>TEXT(Tabela2[[#This Row],[Semana]],"mmmm")</f>
        <v>novembro</v>
      </c>
      <c r="F244" t="str">
        <f>IF(MONTH(Tabela2[[#This Row],[Semana]])&lt;=6,"1ª Semestre","2ª Semestre")</f>
        <v>2ª Semestre</v>
      </c>
    </row>
    <row r="245" spans="1:6" x14ac:dyDescent="0.25">
      <c r="A245" s="59" t="s">
        <v>4</v>
      </c>
      <c r="B245" s="59">
        <v>0</v>
      </c>
      <c r="C245" s="52">
        <v>44508</v>
      </c>
      <c r="D245" s="66">
        <f t="shared" si="3"/>
        <v>2021</v>
      </c>
      <c r="E245" s="66" t="str">
        <f>TEXT(Tabela2[[#This Row],[Semana]],"mmmm")</f>
        <v>novembro</v>
      </c>
      <c r="F245" t="str">
        <f>IF(MONTH(Tabela2[[#This Row],[Semana]])&lt;=6,"1ª Semestre","2ª Semestre")</f>
        <v>2ª Semestre</v>
      </c>
    </row>
    <row r="246" spans="1:6" x14ac:dyDescent="0.25">
      <c r="A246" s="59" t="s">
        <v>3</v>
      </c>
      <c r="B246" s="59">
        <v>5</v>
      </c>
      <c r="C246" s="52">
        <v>44508</v>
      </c>
      <c r="D246" s="66">
        <f t="shared" si="3"/>
        <v>2021</v>
      </c>
      <c r="E246" s="66" t="str">
        <f>TEXT(Tabela2[[#This Row],[Semana]],"mmmm")</f>
        <v>novembro</v>
      </c>
      <c r="F246" t="str">
        <f>IF(MONTH(Tabela2[[#This Row],[Semana]])&lt;=6,"1ª Semestre","2ª Semestre")</f>
        <v>2ª Semestre</v>
      </c>
    </row>
    <row r="247" spans="1:6" x14ac:dyDescent="0.25">
      <c r="A247" s="59" t="s">
        <v>7</v>
      </c>
      <c r="B247" s="59">
        <v>6</v>
      </c>
      <c r="C247" s="52">
        <v>44508</v>
      </c>
      <c r="D247" s="66">
        <f t="shared" si="3"/>
        <v>2021</v>
      </c>
      <c r="E247" s="66" t="str">
        <f>TEXT(Tabela2[[#This Row],[Semana]],"mmmm")</f>
        <v>novembro</v>
      </c>
      <c r="F247" t="str">
        <f>IF(MONTH(Tabela2[[#This Row],[Semana]])&lt;=6,"1ª Semestre","2ª Semestre")</f>
        <v>2ª Semestre</v>
      </c>
    </row>
    <row r="248" spans="1:6" x14ac:dyDescent="0.25">
      <c r="A248" s="59" t="s">
        <v>2</v>
      </c>
      <c r="B248" s="59">
        <v>11</v>
      </c>
      <c r="C248" s="52">
        <v>44515</v>
      </c>
      <c r="D248" s="66">
        <f t="shared" si="3"/>
        <v>2021</v>
      </c>
      <c r="E248" s="66" t="str">
        <f>TEXT(Tabela2[[#This Row],[Semana]],"mmmm")</f>
        <v>novembro</v>
      </c>
      <c r="F248" t="str">
        <f>IF(MONTH(Tabela2[[#This Row],[Semana]])&lt;=6,"1ª Semestre","2ª Semestre")</f>
        <v>2ª Semestre</v>
      </c>
    </row>
    <row r="249" spans="1:6" x14ac:dyDescent="0.25">
      <c r="A249" s="59" t="s">
        <v>5</v>
      </c>
      <c r="B249" s="59">
        <v>0</v>
      </c>
      <c r="C249" s="52">
        <v>44515</v>
      </c>
      <c r="D249" s="66">
        <f t="shared" si="3"/>
        <v>2021</v>
      </c>
      <c r="E249" s="66" t="str">
        <f>TEXT(Tabela2[[#This Row],[Semana]],"mmmm")</f>
        <v>novembro</v>
      </c>
      <c r="F249" t="str">
        <f>IF(MONTH(Tabela2[[#This Row],[Semana]])&lt;=6,"1ª Semestre","2ª Semestre")</f>
        <v>2ª Semestre</v>
      </c>
    </row>
    <row r="250" spans="1:6" x14ac:dyDescent="0.25">
      <c r="A250" s="59" t="s">
        <v>6</v>
      </c>
      <c r="B250" s="59">
        <v>2</v>
      </c>
      <c r="C250" s="52">
        <v>44515</v>
      </c>
      <c r="D250" s="66">
        <f t="shared" si="3"/>
        <v>2021</v>
      </c>
      <c r="E250" s="66" t="str">
        <f>TEXT(Tabela2[[#This Row],[Semana]],"mmmm")</f>
        <v>novembro</v>
      </c>
      <c r="F250" t="str">
        <f>IF(MONTH(Tabela2[[#This Row],[Semana]])&lt;=6,"1ª Semestre","2ª Semestre")</f>
        <v>2ª Semestre</v>
      </c>
    </row>
    <row r="251" spans="1:6" x14ac:dyDescent="0.25">
      <c r="A251" s="59" t="s">
        <v>4</v>
      </c>
      <c r="B251" s="59">
        <v>0</v>
      </c>
      <c r="C251" s="52">
        <v>44515</v>
      </c>
      <c r="D251" s="66">
        <f t="shared" si="3"/>
        <v>2021</v>
      </c>
      <c r="E251" s="66" t="str">
        <f>TEXT(Tabela2[[#This Row],[Semana]],"mmmm")</f>
        <v>novembro</v>
      </c>
      <c r="F251" t="str">
        <f>IF(MONTH(Tabela2[[#This Row],[Semana]])&lt;=6,"1ª Semestre","2ª Semestre")</f>
        <v>2ª Semestre</v>
      </c>
    </row>
    <row r="252" spans="1:6" x14ac:dyDescent="0.25">
      <c r="A252" s="59" t="s">
        <v>3</v>
      </c>
      <c r="B252" s="59">
        <v>13</v>
      </c>
      <c r="C252" s="52">
        <v>44515</v>
      </c>
      <c r="D252" s="66">
        <f t="shared" si="3"/>
        <v>2021</v>
      </c>
      <c r="E252" s="66" t="str">
        <f>TEXT(Tabela2[[#This Row],[Semana]],"mmmm")</f>
        <v>novembro</v>
      </c>
      <c r="F252" t="str">
        <f>IF(MONTH(Tabela2[[#This Row],[Semana]])&lt;=6,"1ª Semestre","2ª Semestre")</f>
        <v>2ª Semestre</v>
      </c>
    </row>
    <row r="253" spans="1:6" x14ac:dyDescent="0.25">
      <c r="A253" s="59" t="s">
        <v>7</v>
      </c>
      <c r="B253" s="59">
        <v>1</v>
      </c>
      <c r="C253" s="52">
        <v>44515</v>
      </c>
      <c r="D253" s="66">
        <f t="shared" si="3"/>
        <v>2021</v>
      </c>
      <c r="E253" s="66" t="str">
        <f>TEXT(Tabela2[[#This Row],[Semana]],"mmmm")</f>
        <v>novembro</v>
      </c>
      <c r="F253" t="str">
        <f>IF(MONTH(Tabela2[[#This Row],[Semana]])&lt;=6,"1ª Semestre","2ª Semestre")</f>
        <v>2ª Semestre</v>
      </c>
    </row>
    <row r="254" spans="1:6" x14ac:dyDescent="0.25">
      <c r="A254" s="59" t="s">
        <v>2</v>
      </c>
      <c r="B254" s="59">
        <v>26</v>
      </c>
      <c r="C254" s="52">
        <v>44522</v>
      </c>
      <c r="D254" s="66">
        <f t="shared" si="3"/>
        <v>2021</v>
      </c>
      <c r="E254" s="66" t="str">
        <f>TEXT(Tabela2[[#This Row],[Semana]],"mmmm")</f>
        <v>novembro</v>
      </c>
      <c r="F254" t="str">
        <f>IF(MONTH(Tabela2[[#This Row],[Semana]])&lt;=6,"1ª Semestre","2ª Semestre")</f>
        <v>2ª Semestre</v>
      </c>
    </row>
    <row r="255" spans="1:6" x14ac:dyDescent="0.25">
      <c r="A255" s="59" t="s">
        <v>5</v>
      </c>
      <c r="B255" s="59">
        <v>0</v>
      </c>
      <c r="C255" s="52">
        <v>44522</v>
      </c>
      <c r="D255" s="66">
        <f t="shared" si="3"/>
        <v>2021</v>
      </c>
      <c r="E255" s="66" t="str">
        <f>TEXT(Tabela2[[#This Row],[Semana]],"mmmm")</f>
        <v>novembro</v>
      </c>
      <c r="F255" t="str">
        <f>IF(MONTH(Tabela2[[#This Row],[Semana]])&lt;=6,"1ª Semestre","2ª Semestre")</f>
        <v>2ª Semestre</v>
      </c>
    </row>
    <row r="256" spans="1:6" x14ac:dyDescent="0.25">
      <c r="A256" s="59" t="s">
        <v>6</v>
      </c>
      <c r="B256" s="59">
        <v>1</v>
      </c>
      <c r="C256" s="52">
        <v>44522</v>
      </c>
      <c r="D256" s="66">
        <f t="shared" si="3"/>
        <v>2021</v>
      </c>
      <c r="E256" s="66" t="str">
        <f>TEXT(Tabela2[[#This Row],[Semana]],"mmmm")</f>
        <v>novembro</v>
      </c>
      <c r="F256" t="str">
        <f>IF(MONTH(Tabela2[[#This Row],[Semana]])&lt;=6,"1ª Semestre","2ª Semestre")</f>
        <v>2ª Semestre</v>
      </c>
    </row>
    <row r="257" spans="1:6" x14ac:dyDescent="0.25">
      <c r="A257" s="59" t="s">
        <v>4</v>
      </c>
      <c r="B257" s="59">
        <v>0</v>
      </c>
      <c r="C257" s="52">
        <v>44522</v>
      </c>
      <c r="D257" s="66">
        <f t="shared" si="3"/>
        <v>2021</v>
      </c>
      <c r="E257" s="66" t="str">
        <f>TEXT(Tabela2[[#This Row],[Semana]],"mmmm")</f>
        <v>novembro</v>
      </c>
      <c r="F257" t="str">
        <f>IF(MONTH(Tabela2[[#This Row],[Semana]])&lt;=6,"1ª Semestre","2ª Semestre")</f>
        <v>2ª Semestre</v>
      </c>
    </row>
    <row r="258" spans="1:6" x14ac:dyDescent="0.25">
      <c r="A258" s="59" t="s">
        <v>3</v>
      </c>
      <c r="B258" s="59">
        <v>22</v>
      </c>
      <c r="C258" s="52">
        <v>44522</v>
      </c>
      <c r="D258" s="66">
        <f t="shared" si="3"/>
        <v>2021</v>
      </c>
      <c r="E258" s="66" t="str">
        <f>TEXT(Tabela2[[#This Row],[Semana]],"mmmm")</f>
        <v>novembro</v>
      </c>
      <c r="F258" t="str">
        <f>IF(MONTH(Tabela2[[#This Row],[Semana]])&lt;=6,"1ª Semestre","2ª Semestre")</f>
        <v>2ª Semestre</v>
      </c>
    </row>
    <row r="259" spans="1:6" x14ac:dyDescent="0.25">
      <c r="A259" s="59" t="s">
        <v>7</v>
      </c>
      <c r="B259" s="59">
        <v>6</v>
      </c>
      <c r="C259" s="52">
        <v>44522</v>
      </c>
      <c r="D259" s="66">
        <f t="shared" ref="D259:D322" si="4">YEAR((C259))</f>
        <v>2021</v>
      </c>
      <c r="E259" s="66" t="str">
        <f>TEXT(Tabela2[[#This Row],[Semana]],"mmmm")</f>
        <v>novembro</v>
      </c>
      <c r="F259" t="str">
        <f>IF(MONTH(Tabela2[[#This Row],[Semana]])&lt;=6,"1ª Semestre","2ª Semestre")</f>
        <v>2ª Semestre</v>
      </c>
    </row>
    <row r="260" spans="1:6" x14ac:dyDescent="0.25">
      <c r="A260" s="59" t="s">
        <v>2</v>
      </c>
      <c r="B260" s="59">
        <v>17</v>
      </c>
      <c r="C260" s="52">
        <v>44529</v>
      </c>
      <c r="D260" s="66">
        <f t="shared" si="4"/>
        <v>2021</v>
      </c>
      <c r="E260" s="66" t="str">
        <f>TEXT(Tabela2[[#This Row],[Semana]],"mmmm")</f>
        <v>novembro</v>
      </c>
      <c r="F260" t="str">
        <f>IF(MONTH(Tabela2[[#This Row],[Semana]])&lt;=6,"1ª Semestre","2ª Semestre")</f>
        <v>2ª Semestre</v>
      </c>
    </row>
    <row r="261" spans="1:6" x14ac:dyDescent="0.25">
      <c r="A261" s="59" t="s">
        <v>5</v>
      </c>
      <c r="B261" s="59">
        <v>0</v>
      </c>
      <c r="C261" s="52">
        <v>44529</v>
      </c>
      <c r="D261" s="66">
        <f t="shared" si="4"/>
        <v>2021</v>
      </c>
      <c r="E261" s="66" t="str">
        <f>TEXT(Tabela2[[#This Row],[Semana]],"mmmm")</f>
        <v>novembro</v>
      </c>
      <c r="F261" t="str">
        <f>IF(MONTH(Tabela2[[#This Row],[Semana]])&lt;=6,"1ª Semestre","2ª Semestre")</f>
        <v>2ª Semestre</v>
      </c>
    </row>
    <row r="262" spans="1:6" x14ac:dyDescent="0.25">
      <c r="A262" s="59" t="s">
        <v>6</v>
      </c>
      <c r="B262" s="59">
        <v>0</v>
      </c>
      <c r="C262" s="52">
        <v>44529</v>
      </c>
      <c r="D262" s="66">
        <f t="shared" si="4"/>
        <v>2021</v>
      </c>
      <c r="E262" s="66" t="str">
        <f>TEXT(Tabela2[[#This Row],[Semana]],"mmmm")</f>
        <v>novembro</v>
      </c>
      <c r="F262" t="str">
        <f>IF(MONTH(Tabela2[[#This Row],[Semana]])&lt;=6,"1ª Semestre","2ª Semestre")</f>
        <v>2ª Semestre</v>
      </c>
    </row>
    <row r="263" spans="1:6" x14ac:dyDescent="0.25">
      <c r="A263" s="59" t="s">
        <v>4</v>
      </c>
      <c r="B263" s="59">
        <v>2</v>
      </c>
      <c r="C263" s="52">
        <v>44529</v>
      </c>
      <c r="D263" s="66">
        <f t="shared" si="4"/>
        <v>2021</v>
      </c>
      <c r="E263" s="66" t="str">
        <f>TEXT(Tabela2[[#This Row],[Semana]],"mmmm")</f>
        <v>novembro</v>
      </c>
      <c r="F263" t="str">
        <f>IF(MONTH(Tabela2[[#This Row],[Semana]])&lt;=6,"1ª Semestre","2ª Semestre")</f>
        <v>2ª Semestre</v>
      </c>
    </row>
    <row r="264" spans="1:6" x14ac:dyDescent="0.25">
      <c r="A264" s="59" t="s">
        <v>3</v>
      </c>
      <c r="B264" s="59">
        <v>38</v>
      </c>
      <c r="C264" s="52">
        <v>44529</v>
      </c>
      <c r="D264" s="66">
        <f t="shared" si="4"/>
        <v>2021</v>
      </c>
      <c r="E264" s="66" t="str">
        <f>TEXT(Tabela2[[#This Row],[Semana]],"mmmm")</f>
        <v>novembro</v>
      </c>
      <c r="F264" t="str">
        <f>IF(MONTH(Tabela2[[#This Row],[Semana]])&lt;=6,"1ª Semestre","2ª Semestre")</f>
        <v>2ª Semestre</v>
      </c>
    </row>
    <row r="265" spans="1:6" x14ac:dyDescent="0.25">
      <c r="A265" s="59" t="s">
        <v>7</v>
      </c>
      <c r="B265" s="59">
        <v>7</v>
      </c>
      <c r="C265" s="52">
        <v>44529</v>
      </c>
      <c r="D265" s="66">
        <f t="shared" si="4"/>
        <v>2021</v>
      </c>
      <c r="E265" s="66" t="str">
        <f>TEXT(Tabela2[[#This Row],[Semana]],"mmmm")</f>
        <v>novembro</v>
      </c>
      <c r="F265" t="str">
        <f>IF(MONTH(Tabela2[[#This Row],[Semana]])&lt;=6,"1ª Semestre","2ª Semestre")</f>
        <v>2ª Semestre</v>
      </c>
    </row>
    <row r="266" spans="1:6" x14ac:dyDescent="0.25">
      <c r="A266" s="59" t="s">
        <v>2</v>
      </c>
      <c r="B266" s="59">
        <v>3</v>
      </c>
      <c r="C266" s="52">
        <v>44564</v>
      </c>
      <c r="D266" s="66">
        <f t="shared" si="4"/>
        <v>2022</v>
      </c>
      <c r="E266" s="66" t="str">
        <f>TEXT(Tabela2[[#This Row],[Semana]],"mmmm")</f>
        <v>janeiro</v>
      </c>
      <c r="F266" t="str">
        <f>IF(MONTH(Tabela2[[#This Row],[Semana]])&lt;=6,"1ª Semestre","2ª Semestre")</f>
        <v>1ª Semestre</v>
      </c>
    </row>
    <row r="267" spans="1:6" x14ac:dyDescent="0.25">
      <c r="A267" s="59" t="s">
        <v>5</v>
      </c>
      <c r="B267" s="59">
        <v>0</v>
      </c>
      <c r="C267" s="52">
        <v>44564</v>
      </c>
      <c r="D267" s="66">
        <f t="shared" si="4"/>
        <v>2022</v>
      </c>
      <c r="E267" s="66" t="str">
        <f>TEXT(Tabela2[[#This Row],[Semana]],"mmmm")</f>
        <v>janeiro</v>
      </c>
      <c r="F267" t="str">
        <f>IF(MONTH(Tabela2[[#This Row],[Semana]])&lt;=6,"1ª Semestre","2ª Semestre")</f>
        <v>1ª Semestre</v>
      </c>
    </row>
    <row r="268" spans="1:6" x14ac:dyDescent="0.25">
      <c r="A268" s="59" t="s">
        <v>6</v>
      </c>
      <c r="B268" s="59">
        <v>2</v>
      </c>
      <c r="C268" s="52">
        <v>44564</v>
      </c>
      <c r="D268" s="66">
        <f t="shared" si="4"/>
        <v>2022</v>
      </c>
      <c r="E268" s="66" t="str">
        <f>TEXT(Tabela2[[#This Row],[Semana]],"mmmm")</f>
        <v>janeiro</v>
      </c>
      <c r="F268" t="str">
        <f>IF(MONTH(Tabela2[[#This Row],[Semana]])&lt;=6,"1ª Semestre","2ª Semestre")</f>
        <v>1ª Semestre</v>
      </c>
    </row>
    <row r="269" spans="1:6" x14ac:dyDescent="0.25">
      <c r="A269" s="59" t="s">
        <v>4</v>
      </c>
      <c r="B269" s="59">
        <v>0</v>
      </c>
      <c r="C269" s="52">
        <v>44564</v>
      </c>
      <c r="D269" s="66">
        <f t="shared" si="4"/>
        <v>2022</v>
      </c>
      <c r="E269" s="66" t="str">
        <f>TEXT(Tabela2[[#This Row],[Semana]],"mmmm")</f>
        <v>janeiro</v>
      </c>
      <c r="F269" t="str">
        <f>IF(MONTH(Tabela2[[#This Row],[Semana]])&lt;=6,"1ª Semestre","2ª Semestre")</f>
        <v>1ª Semestre</v>
      </c>
    </row>
    <row r="270" spans="1:6" x14ac:dyDescent="0.25">
      <c r="A270" s="59" t="s">
        <v>3</v>
      </c>
      <c r="B270" s="59">
        <v>0</v>
      </c>
      <c r="C270" s="52">
        <v>44564</v>
      </c>
      <c r="D270" s="66">
        <f t="shared" si="4"/>
        <v>2022</v>
      </c>
      <c r="E270" s="66" t="str">
        <f>TEXT(Tabela2[[#This Row],[Semana]],"mmmm")</f>
        <v>janeiro</v>
      </c>
      <c r="F270" t="str">
        <f>IF(MONTH(Tabela2[[#This Row],[Semana]])&lt;=6,"1ª Semestre","2ª Semestre")</f>
        <v>1ª Semestre</v>
      </c>
    </row>
    <row r="271" spans="1:6" x14ac:dyDescent="0.25">
      <c r="A271" s="59" t="s">
        <v>7</v>
      </c>
      <c r="B271" s="59">
        <v>0</v>
      </c>
      <c r="C271" s="52">
        <v>44564</v>
      </c>
      <c r="D271" s="66">
        <f t="shared" si="4"/>
        <v>2022</v>
      </c>
      <c r="E271" s="66" t="str">
        <f>TEXT(Tabela2[[#This Row],[Semana]],"mmmm")</f>
        <v>janeiro</v>
      </c>
      <c r="F271" t="str">
        <f>IF(MONTH(Tabela2[[#This Row],[Semana]])&lt;=6,"1ª Semestre","2ª Semestre")</f>
        <v>1ª Semestre</v>
      </c>
    </row>
    <row r="272" spans="1:6" x14ac:dyDescent="0.25">
      <c r="A272" s="59" t="s">
        <v>2</v>
      </c>
      <c r="B272" s="59">
        <v>5</v>
      </c>
      <c r="C272" s="52">
        <v>44571</v>
      </c>
      <c r="D272" s="66">
        <f t="shared" si="4"/>
        <v>2022</v>
      </c>
      <c r="E272" s="66" t="str">
        <f>TEXT(Tabela2[[#This Row],[Semana]],"mmmm")</f>
        <v>janeiro</v>
      </c>
      <c r="F272" t="str">
        <f>IF(MONTH(Tabela2[[#This Row],[Semana]])&lt;=6,"1ª Semestre","2ª Semestre")</f>
        <v>1ª Semestre</v>
      </c>
    </row>
    <row r="273" spans="1:6" x14ac:dyDescent="0.25">
      <c r="A273" s="59" t="s">
        <v>5</v>
      </c>
      <c r="B273" s="59">
        <v>1</v>
      </c>
      <c r="C273" s="52">
        <v>44571</v>
      </c>
      <c r="D273" s="66">
        <f t="shared" si="4"/>
        <v>2022</v>
      </c>
      <c r="E273" s="66" t="str">
        <f>TEXT(Tabela2[[#This Row],[Semana]],"mmmm")</f>
        <v>janeiro</v>
      </c>
      <c r="F273" t="str">
        <f>IF(MONTH(Tabela2[[#This Row],[Semana]])&lt;=6,"1ª Semestre","2ª Semestre")</f>
        <v>1ª Semestre</v>
      </c>
    </row>
    <row r="274" spans="1:6" x14ac:dyDescent="0.25">
      <c r="A274" s="59" t="s">
        <v>6</v>
      </c>
      <c r="B274" s="59">
        <v>0</v>
      </c>
      <c r="C274" s="52">
        <v>44571</v>
      </c>
      <c r="D274" s="66">
        <f t="shared" si="4"/>
        <v>2022</v>
      </c>
      <c r="E274" s="66" t="str">
        <f>TEXT(Tabela2[[#This Row],[Semana]],"mmmm")</f>
        <v>janeiro</v>
      </c>
      <c r="F274" t="str">
        <f>IF(MONTH(Tabela2[[#This Row],[Semana]])&lt;=6,"1ª Semestre","2ª Semestre")</f>
        <v>1ª Semestre</v>
      </c>
    </row>
    <row r="275" spans="1:6" x14ac:dyDescent="0.25">
      <c r="A275" s="59" t="s">
        <v>4</v>
      </c>
      <c r="B275" s="59">
        <v>0</v>
      </c>
      <c r="C275" s="52">
        <v>44571</v>
      </c>
      <c r="D275" s="66">
        <f t="shared" si="4"/>
        <v>2022</v>
      </c>
      <c r="E275" s="66" t="str">
        <f>TEXT(Tabela2[[#This Row],[Semana]],"mmmm")</f>
        <v>janeiro</v>
      </c>
      <c r="F275" t="str">
        <f>IF(MONTH(Tabela2[[#This Row],[Semana]])&lt;=6,"1ª Semestre","2ª Semestre")</f>
        <v>1ª Semestre</v>
      </c>
    </row>
    <row r="276" spans="1:6" x14ac:dyDescent="0.25">
      <c r="A276" s="59" t="s">
        <v>3</v>
      </c>
      <c r="B276" s="59">
        <v>0</v>
      </c>
      <c r="C276" s="52">
        <v>44571</v>
      </c>
      <c r="D276" s="66">
        <f t="shared" si="4"/>
        <v>2022</v>
      </c>
      <c r="E276" s="66" t="str">
        <f>TEXT(Tabela2[[#This Row],[Semana]],"mmmm")</f>
        <v>janeiro</v>
      </c>
      <c r="F276" t="str">
        <f>IF(MONTH(Tabela2[[#This Row],[Semana]])&lt;=6,"1ª Semestre","2ª Semestre")</f>
        <v>1ª Semestre</v>
      </c>
    </row>
    <row r="277" spans="1:6" x14ac:dyDescent="0.25">
      <c r="A277" s="59" t="s">
        <v>7</v>
      </c>
      <c r="B277" s="59">
        <v>2</v>
      </c>
      <c r="C277" s="52">
        <v>44571</v>
      </c>
      <c r="D277" s="66">
        <f t="shared" si="4"/>
        <v>2022</v>
      </c>
      <c r="E277" s="66" t="str">
        <f>TEXT(Tabela2[[#This Row],[Semana]],"mmmm")</f>
        <v>janeiro</v>
      </c>
      <c r="F277" t="str">
        <f>IF(MONTH(Tabela2[[#This Row],[Semana]])&lt;=6,"1ª Semestre","2ª Semestre")</f>
        <v>1ª Semestre</v>
      </c>
    </row>
    <row r="278" spans="1:6" x14ac:dyDescent="0.25">
      <c r="A278" s="59" t="s">
        <v>2</v>
      </c>
      <c r="B278" s="59">
        <v>99</v>
      </c>
      <c r="C278" s="52">
        <v>44578</v>
      </c>
      <c r="D278" s="66">
        <f t="shared" si="4"/>
        <v>2022</v>
      </c>
      <c r="E278" s="66" t="str">
        <f>TEXT(Tabela2[[#This Row],[Semana]],"mmmm")</f>
        <v>janeiro</v>
      </c>
      <c r="F278" t="str">
        <f>IF(MONTH(Tabela2[[#This Row],[Semana]])&lt;=6,"1ª Semestre","2ª Semestre")</f>
        <v>1ª Semestre</v>
      </c>
    </row>
    <row r="279" spans="1:6" x14ac:dyDescent="0.25">
      <c r="A279" s="59" t="s">
        <v>5</v>
      </c>
      <c r="B279" s="59">
        <v>11</v>
      </c>
      <c r="C279" s="52">
        <v>44578</v>
      </c>
      <c r="D279" s="66">
        <f t="shared" si="4"/>
        <v>2022</v>
      </c>
      <c r="E279" s="66" t="str">
        <f>TEXT(Tabela2[[#This Row],[Semana]],"mmmm")</f>
        <v>janeiro</v>
      </c>
      <c r="F279" t="str">
        <f>IF(MONTH(Tabela2[[#This Row],[Semana]])&lt;=6,"1ª Semestre","2ª Semestre")</f>
        <v>1ª Semestre</v>
      </c>
    </row>
    <row r="280" spans="1:6" x14ac:dyDescent="0.25">
      <c r="A280" s="59" t="s">
        <v>6</v>
      </c>
      <c r="B280" s="59">
        <v>8</v>
      </c>
      <c r="C280" s="52">
        <v>44578</v>
      </c>
      <c r="D280" s="66">
        <f t="shared" si="4"/>
        <v>2022</v>
      </c>
      <c r="E280" s="66" t="str">
        <f>TEXT(Tabela2[[#This Row],[Semana]],"mmmm")</f>
        <v>janeiro</v>
      </c>
      <c r="F280" t="str">
        <f>IF(MONTH(Tabela2[[#This Row],[Semana]])&lt;=6,"1ª Semestre","2ª Semestre")</f>
        <v>1ª Semestre</v>
      </c>
    </row>
    <row r="281" spans="1:6" x14ac:dyDescent="0.25">
      <c r="A281" s="59" t="s">
        <v>4</v>
      </c>
      <c r="B281" s="59">
        <v>0</v>
      </c>
      <c r="C281" s="52">
        <v>44578</v>
      </c>
      <c r="D281" s="66">
        <f t="shared" si="4"/>
        <v>2022</v>
      </c>
      <c r="E281" s="66" t="str">
        <f>TEXT(Tabela2[[#This Row],[Semana]],"mmmm")</f>
        <v>janeiro</v>
      </c>
      <c r="F281" t="str">
        <f>IF(MONTH(Tabela2[[#This Row],[Semana]])&lt;=6,"1ª Semestre","2ª Semestre")</f>
        <v>1ª Semestre</v>
      </c>
    </row>
    <row r="282" spans="1:6" x14ac:dyDescent="0.25">
      <c r="A282" s="59" t="s">
        <v>3</v>
      </c>
      <c r="B282" s="59">
        <v>5</v>
      </c>
      <c r="C282" s="52">
        <v>44578</v>
      </c>
      <c r="D282" s="66">
        <f t="shared" si="4"/>
        <v>2022</v>
      </c>
      <c r="E282" s="66" t="str">
        <f>TEXT(Tabela2[[#This Row],[Semana]],"mmmm")</f>
        <v>janeiro</v>
      </c>
      <c r="F282" t="str">
        <f>IF(MONTH(Tabela2[[#This Row],[Semana]])&lt;=6,"1ª Semestre","2ª Semestre")</f>
        <v>1ª Semestre</v>
      </c>
    </row>
    <row r="283" spans="1:6" x14ac:dyDescent="0.25">
      <c r="A283" s="59" t="s">
        <v>7</v>
      </c>
      <c r="B283" s="59">
        <v>46</v>
      </c>
      <c r="C283" s="52">
        <v>44578</v>
      </c>
      <c r="D283" s="66">
        <f t="shared" si="4"/>
        <v>2022</v>
      </c>
      <c r="E283" s="66" t="str">
        <f>TEXT(Tabela2[[#This Row],[Semana]],"mmmm")</f>
        <v>janeiro</v>
      </c>
      <c r="F283" t="str">
        <f>IF(MONTH(Tabela2[[#This Row],[Semana]])&lt;=6,"1ª Semestre","2ª Semestre")</f>
        <v>1ª Semestre</v>
      </c>
    </row>
    <row r="284" spans="1:6" x14ac:dyDescent="0.25">
      <c r="A284" s="59" t="s">
        <v>2</v>
      </c>
      <c r="B284" s="59">
        <v>80</v>
      </c>
      <c r="C284" s="52">
        <v>44585</v>
      </c>
      <c r="D284" s="66">
        <f t="shared" si="4"/>
        <v>2022</v>
      </c>
      <c r="E284" s="66" t="str">
        <f>TEXT(Tabela2[[#This Row],[Semana]],"mmmm")</f>
        <v>janeiro</v>
      </c>
      <c r="F284" t="str">
        <f>IF(MONTH(Tabela2[[#This Row],[Semana]])&lt;=6,"1ª Semestre","2ª Semestre")</f>
        <v>1ª Semestre</v>
      </c>
    </row>
    <row r="285" spans="1:6" x14ac:dyDescent="0.25">
      <c r="A285" s="59" t="s">
        <v>5</v>
      </c>
      <c r="B285" s="59">
        <v>18</v>
      </c>
      <c r="C285" s="52">
        <v>44585</v>
      </c>
      <c r="D285" s="66">
        <f t="shared" si="4"/>
        <v>2022</v>
      </c>
      <c r="E285" s="66" t="str">
        <f>TEXT(Tabela2[[#This Row],[Semana]],"mmmm")</f>
        <v>janeiro</v>
      </c>
      <c r="F285" t="str">
        <f>IF(MONTH(Tabela2[[#This Row],[Semana]])&lt;=6,"1ª Semestre","2ª Semestre")</f>
        <v>1ª Semestre</v>
      </c>
    </row>
    <row r="286" spans="1:6" x14ac:dyDescent="0.25">
      <c r="A286" s="59" t="s">
        <v>6</v>
      </c>
      <c r="B286" s="59">
        <v>24</v>
      </c>
      <c r="C286" s="52">
        <v>44585</v>
      </c>
      <c r="D286" s="66">
        <f t="shared" si="4"/>
        <v>2022</v>
      </c>
      <c r="E286" s="66" t="str">
        <f>TEXT(Tabela2[[#This Row],[Semana]],"mmmm")</f>
        <v>janeiro</v>
      </c>
      <c r="F286" t="str">
        <f>IF(MONTH(Tabela2[[#This Row],[Semana]])&lt;=6,"1ª Semestre","2ª Semestre")</f>
        <v>1ª Semestre</v>
      </c>
    </row>
    <row r="287" spans="1:6" x14ac:dyDescent="0.25">
      <c r="A287" s="59" t="s">
        <v>4</v>
      </c>
      <c r="B287" s="59">
        <v>0</v>
      </c>
      <c r="C287" s="52">
        <v>44585</v>
      </c>
      <c r="D287" s="66">
        <f t="shared" si="4"/>
        <v>2022</v>
      </c>
      <c r="E287" s="66" t="str">
        <f>TEXT(Tabela2[[#This Row],[Semana]],"mmmm")</f>
        <v>janeiro</v>
      </c>
      <c r="F287" t="str">
        <f>IF(MONTH(Tabela2[[#This Row],[Semana]])&lt;=6,"1ª Semestre","2ª Semestre")</f>
        <v>1ª Semestre</v>
      </c>
    </row>
    <row r="288" spans="1:6" x14ac:dyDescent="0.25">
      <c r="A288" s="59" t="s">
        <v>3</v>
      </c>
      <c r="B288" s="59">
        <v>31</v>
      </c>
      <c r="C288" s="52">
        <v>44585</v>
      </c>
      <c r="D288" s="66">
        <f t="shared" si="4"/>
        <v>2022</v>
      </c>
      <c r="E288" s="66" t="str">
        <f>TEXT(Tabela2[[#This Row],[Semana]],"mmmm")</f>
        <v>janeiro</v>
      </c>
      <c r="F288" t="str">
        <f>IF(MONTH(Tabela2[[#This Row],[Semana]])&lt;=6,"1ª Semestre","2ª Semestre")</f>
        <v>1ª Semestre</v>
      </c>
    </row>
    <row r="289" spans="1:6" x14ac:dyDescent="0.25">
      <c r="A289" s="59" t="s">
        <v>7</v>
      </c>
      <c r="B289" s="59">
        <v>15</v>
      </c>
      <c r="C289" s="52">
        <v>44585</v>
      </c>
      <c r="D289" s="66">
        <f t="shared" si="4"/>
        <v>2022</v>
      </c>
      <c r="E289" s="66" t="str">
        <f>TEXT(Tabela2[[#This Row],[Semana]],"mmmm")</f>
        <v>janeiro</v>
      </c>
      <c r="F289" t="str">
        <f>IF(MONTH(Tabela2[[#This Row],[Semana]])&lt;=6,"1ª Semestre","2ª Semestre")</f>
        <v>1ª Semestre</v>
      </c>
    </row>
    <row r="290" spans="1:6" x14ac:dyDescent="0.25">
      <c r="A290" s="59" t="s">
        <v>2</v>
      </c>
      <c r="B290" s="59">
        <v>111</v>
      </c>
      <c r="C290" s="52">
        <v>44592</v>
      </c>
      <c r="D290" s="66">
        <f t="shared" si="4"/>
        <v>2022</v>
      </c>
      <c r="E290" s="66" t="str">
        <f>TEXT(Tabela2[[#This Row],[Semana]],"mmmm")</f>
        <v>janeiro</v>
      </c>
      <c r="F290" t="str">
        <f>IF(MONTH(Tabela2[[#This Row],[Semana]])&lt;=6,"1ª Semestre","2ª Semestre")</f>
        <v>1ª Semestre</v>
      </c>
    </row>
    <row r="291" spans="1:6" x14ac:dyDescent="0.25">
      <c r="A291" s="59" t="s">
        <v>5</v>
      </c>
      <c r="B291" s="59">
        <v>7</v>
      </c>
      <c r="C291" s="52">
        <v>44592</v>
      </c>
      <c r="D291" s="66">
        <f t="shared" si="4"/>
        <v>2022</v>
      </c>
      <c r="E291" s="66" t="str">
        <f>TEXT(Tabela2[[#This Row],[Semana]],"mmmm")</f>
        <v>janeiro</v>
      </c>
      <c r="F291" t="str">
        <f>IF(MONTH(Tabela2[[#This Row],[Semana]])&lt;=6,"1ª Semestre","2ª Semestre")</f>
        <v>1ª Semestre</v>
      </c>
    </row>
    <row r="292" spans="1:6" x14ac:dyDescent="0.25">
      <c r="A292" s="59" t="s">
        <v>6</v>
      </c>
      <c r="B292" s="59">
        <v>35</v>
      </c>
      <c r="C292" s="52">
        <v>44592</v>
      </c>
      <c r="D292" s="66">
        <f t="shared" si="4"/>
        <v>2022</v>
      </c>
      <c r="E292" s="66" t="str">
        <f>TEXT(Tabela2[[#This Row],[Semana]],"mmmm")</f>
        <v>janeiro</v>
      </c>
      <c r="F292" t="str">
        <f>IF(MONTH(Tabela2[[#This Row],[Semana]])&lt;=6,"1ª Semestre","2ª Semestre")</f>
        <v>1ª Semestre</v>
      </c>
    </row>
    <row r="293" spans="1:6" x14ac:dyDescent="0.25">
      <c r="A293" s="59" t="s">
        <v>4</v>
      </c>
      <c r="B293" s="59">
        <v>0</v>
      </c>
      <c r="C293" s="52">
        <v>44592</v>
      </c>
      <c r="D293" s="66">
        <f t="shared" si="4"/>
        <v>2022</v>
      </c>
      <c r="E293" s="66" t="str">
        <f>TEXT(Tabela2[[#This Row],[Semana]],"mmmm")</f>
        <v>janeiro</v>
      </c>
      <c r="F293" t="str">
        <f>IF(MONTH(Tabela2[[#This Row],[Semana]])&lt;=6,"1ª Semestre","2ª Semestre")</f>
        <v>1ª Semestre</v>
      </c>
    </row>
    <row r="294" spans="1:6" x14ac:dyDescent="0.25">
      <c r="A294" s="59" t="s">
        <v>3</v>
      </c>
      <c r="B294" s="59">
        <v>16</v>
      </c>
      <c r="C294" s="52">
        <v>44592</v>
      </c>
      <c r="D294" s="66">
        <f t="shared" si="4"/>
        <v>2022</v>
      </c>
      <c r="E294" s="66" t="str">
        <f>TEXT(Tabela2[[#This Row],[Semana]],"mmmm")</f>
        <v>janeiro</v>
      </c>
      <c r="F294" t="str">
        <f>IF(MONTH(Tabela2[[#This Row],[Semana]])&lt;=6,"1ª Semestre","2ª Semestre")</f>
        <v>1ª Semestre</v>
      </c>
    </row>
    <row r="295" spans="1:6" x14ac:dyDescent="0.25">
      <c r="A295" s="59" t="s">
        <v>7</v>
      </c>
      <c r="B295" s="59">
        <v>8</v>
      </c>
      <c r="C295" s="52">
        <v>44592</v>
      </c>
      <c r="D295" s="66">
        <f t="shared" si="4"/>
        <v>2022</v>
      </c>
      <c r="E295" s="66" t="str">
        <f>TEXT(Tabela2[[#This Row],[Semana]],"mmmm")</f>
        <v>janeiro</v>
      </c>
      <c r="F295" t="str">
        <f>IF(MONTH(Tabela2[[#This Row],[Semana]])&lt;=6,"1ª Semestre","2ª Semestre")</f>
        <v>1ª Semestre</v>
      </c>
    </row>
    <row r="296" spans="1:6" x14ac:dyDescent="0.25">
      <c r="A296" s="59" t="s">
        <v>2</v>
      </c>
      <c r="B296" s="59">
        <v>8</v>
      </c>
      <c r="C296" s="52">
        <v>44599</v>
      </c>
      <c r="D296" s="66">
        <f t="shared" si="4"/>
        <v>2022</v>
      </c>
      <c r="E296" s="66" t="str">
        <f>TEXT(Tabela2[[#This Row],[Semana]],"mmmm")</f>
        <v>fevereiro</v>
      </c>
      <c r="F296" t="str">
        <f>IF(MONTH(Tabela2[[#This Row],[Semana]])&lt;=6,"1ª Semestre","2ª Semestre")</f>
        <v>1ª Semestre</v>
      </c>
    </row>
    <row r="297" spans="1:6" x14ac:dyDescent="0.25">
      <c r="A297" s="59" t="s">
        <v>5</v>
      </c>
      <c r="B297" s="59">
        <v>3</v>
      </c>
      <c r="C297" s="52">
        <v>44599</v>
      </c>
      <c r="D297" s="66">
        <f t="shared" si="4"/>
        <v>2022</v>
      </c>
      <c r="E297" s="66" t="str">
        <f>TEXT(Tabela2[[#This Row],[Semana]],"mmmm")</f>
        <v>fevereiro</v>
      </c>
      <c r="F297" t="str">
        <f>IF(MONTH(Tabela2[[#This Row],[Semana]])&lt;=6,"1ª Semestre","2ª Semestre")</f>
        <v>1ª Semestre</v>
      </c>
    </row>
    <row r="298" spans="1:6" x14ac:dyDescent="0.25">
      <c r="A298" s="59" t="s">
        <v>6</v>
      </c>
      <c r="B298" s="59">
        <v>2</v>
      </c>
      <c r="C298" s="52">
        <v>44599</v>
      </c>
      <c r="D298" s="66">
        <f t="shared" si="4"/>
        <v>2022</v>
      </c>
      <c r="E298" s="66" t="str">
        <f>TEXT(Tabela2[[#This Row],[Semana]],"mmmm")</f>
        <v>fevereiro</v>
      </c>
      <c r="F298" t="str">
        <f>IF(MONTH(Tabela2[[#This Row],[Semana]])&lt;=6,"1ª Semestre","2ª Semestre")</f>
        <v>1ª Semestre</v>
      </c>
    </row>
    <row r="299" spans="1:6" x14ac:dyDescent="0.25">
      <c r="A299" s="59" t="s">
        <v>4</v>
      </c>
      <c r="B299" s="59">
        <v>0</v>
      </c>
      <c r="C299" s="52">
        <v>44599</v>
      </c>
      <c r="D299" s="66">
        <f t="shared" si="4"/>
        <v>2022</v>
      </c>
      <c r="E299" s="66" t="str">
        <f>TEXT(Tabela2[[#This Row],[Semana]],"mmmm")</f>
        <v>fevereiro</v>
      </c>
      <c r="F299" t="str">
        <f>IF(MONTH(Tabela2[[#This Row],[Semana]])&lt;=6,"1ª Semestre","2ª Semestre")</f>
        <v>1ª Semestre</v>
      </c>
    </row>
    <row r="300" spans="1:6" x14ac:dyDescent="0.25">
      <c r="A300" s="59" t="s">
        <v>3</v>
      </c>
      <c r="B300" s="59">
        <v>1</v>
      </c>
      <c r="C300" s="52">
        <v>44599</v>
      </c>
      <c r="D300" s="66">
        <f t="shared" si="4"/>
        <v>2022</v>
      </c>
      <c r="E300" s="66" t="str">
        <f>TEXT(Tabela2[[#This Row],[Semana]],"mmmm")</f>
        <v>fevereiro</v>
      </c>
      <c r="F300" t="str">
        <f>IF(MONTH(Tabela2[[#This Row],[Semana]])&lt;=6,"1ª Semestre","2ª Semestre")</f>
        <v>1ª Semestre</v>
      </c>
    </row>
    <row r="301" spans="1:6" x14ac:dyDescent="0.25">
      <c r="A301" s="59" t="s">
        <v>7</v>
      </c>
      <c r="B301" s="59">
        <v>8</v>
      </c>
      <c r="C301" s="52">
        <v>44599</v>
      </c>
      <c r="D301" s="66">
        <f t="shared" si="4"/>
        <v>2022</v>
      </c>
      <c r="E301" s="66" t="str">
        <f>TEXT(Tabela2[[#This Row],[Semana]],"mmmm")</f>
        <v>fevereiro</v>
      </c>
      <c r="F301" t="str">
        <f>IF(MONTH(Tabela2[[#This Row],[Semana]])&lt;=6,"1ª Semestre","2ª Semestre")</f>
        <v>1ª Semestre</v>
      </c>
    </row>
    <row r="302" spans="1:6" x14ac:dyDescent="0.25">
      <c r="A302" s="59" t="s">
        <v>2</v>
      </c>
      <c r="B302" s="59">
        <v>10</v>
      </c>
      <c r="C302" s="52">
        <v>44606</v>
      </c>
      <c r="D302" s="66">
        <f t="shared" si="4"/>
        <v>2022</v>
      </c>
      <c r="E302" s="66" t="str">
        <f>TEXT(Tabela2[[#This Row],[Semana]],"mmmm")</f>
        <v>fevereiro</v>
      </c>
      <c r="F302" t="str">
        <f>IF(MONTH(Tabela2[[#This Row],[Semana]])&lt;=6,"1ª Semestre","2ª Semestre")</f>
        <v>1ª Semestre</v>
      </c>
    </row>
    <row r="303" spans="1:6" x14ac:dyDescent="0.25">
      <c r="A303" s="59" t="s">
        <v>5</v>
      </c>
      <c r="B303" s="59">
        <v>1</v>
      </c>
      <c r="C303" s="52">
        <v>44606</v>
      </c>
      <c r="D303" s="66">
        <f t="shared" si="4"/>
        <v>2022</v>
      </c>
      <c r="E303" s="66" t="str">
        <f>TEXT(Tabela2[[#This Row],[Semana]],"mmmm")</f>
        <v>fevereiro</v>
      </c>
      <c r="F303" t="str">
        <f>IF(MONTH(Tabela2[[#This Row],[Semana]])&lt;=6,"1ª Semestre","2ª Semestre")</f>
        <v>1ª Semestre</v>
      </c>
    </row>
    <row r="304" spans="1:6" x14ac:dyDescent="0.25">
      <c r="A304" s="59" t="s">
        <v>6</v>
      </c>
      <c r="B304" s="59">
        <v>0</v>
      </c>
      <c r="C304" s="52">
        <v>44606</v>
      </c>
      <c r="D304" s="66">
        <f t="shared" si="4"/>
        <v>2022</v>
      </c>
      <c r="E304" s="66" t="str">
        <f>TEXT(Tabela2[[#This Row],[Semana]],"mmmm")</f>
        <v>fevereiro</v>
      </c>
      <c r="F304" t="str">
        <f>IF(MONTH(Tabela2[[#This Row],[Semana]])&lt;=6,"1ª Semestre","2ª Semestre")</f>
        <v>1ª Semestre</v>
      </c>
    </row>
    <row r="305" spans="1:6" x14ac:dyDescent="0.25">
      <c r="A305" s="59" t="s">
        <v>4</v>
      </c>
      <c r="B305" s="59">
        <v>0</v>
      </c>
      <c r="C305" s="52">
        <v>44606</v>
      </c>
      <c r="D305" s="66">
        <f t="shared" si="4"/>
        <v>2022</v>
      </c>
      <c r="E305" s="66" t="str">
        <f>TEXT(Tabela2[[#This Row],[Semana]],"mmmm")</f>
        <v>fevereiro</v>
      </c>
      <c r="F305" t="str">
        <f>IF(MONTH(Tabela2[[#This Row],[Semana]])&lt;=6,"1ª Semestre","2ª Semestre")</f>
        <v>1ª Semestre</v>
      </c>
    </row>
    <row r="306" spans="1:6" x14ac:dyDescent="0.25">
      <c r="A306" s="59" t="s">
        <v>3</v>
      </c>
      <c r="B306" s="59">
        <v>4</v>
      </c>
      <c r="C306" s="52">
        <v>44606</v>
      </c>
      <c r="D306" s="66">
        <f t="shared" si="4"/>
        <v>2022</v>
      </c>
      <c r="E306" s="66" t="str">
        <f>TEXT(Tabela2[[#This Row],[Semana]],"mmmm")</f>
        <v>fevereiro</v>
      </c>
      <c r="F306" t="str">
        <f>IF(MONTH(Tabela2[[#This Row],[Semana]])&lt;=6,"1ª Semestre","2ª Semestre")</f>
        <v>1ª Semestre</v>
      </c>
    </row>
    <row r="307" spans="1:6" x14ac:dyDescent="0.25">
      <c r="A307" s="59" t="s">
        <v>7</v>
      </c>
      <c r="B307" s="59">
        <v>3</v>
      </c>
      <c r="C307" s="52">
        <v>44606</v>
      </c>
      <c r="D307" s="66">
        <f t="shared" si="4"/>
        <v>2022</v>
      </c>
      <c r="E307" s="66" t="str">
        <f>TEXT(Tabela2[[#This Row],[Semana]],"mmmm")</f>
        <v>fevereiro</v>
      </c>
      <c r="F307" t="str">
        <f>IF(MONTH(Tabela2[[#This Row],[Semana]])&lt;=6,"1ª Semestre","2ª Semestre")</f>
        <v>1ª Semestre</v>
      </c>
    </row>
    <row r="308" spans="1:6" x14ac:dyDescent="0.25">
      <c r="A308" s="59" t="s">
        <v>2</v>
      </c>
      <c r="B308" s="59">
        <v>79</v>
      </c>
      <c r="C308" s="52">
        <v>44613</v>
      </c>
      <c r="D308" s="66">
        <f t="shared" si="4"/>
        <v>2022</v>
      </c>
      <c r="E308" s="66" t="str">
        <f>TEXT(Tabela2[[#This Row],[Semana]],"mmmm")</f>
        <v>fevereiro</v>
      </c>
      <c r="F308" t="str">
        <f>IF(MONTH(Tabela2[[#This Row],[Semana]])&lt;=6,"1ª Semestre","2ª Semestre")</f>
        <v>1ª Semestre</v>
      </c>
    </row>
    <row r="309" spans="1:6" x14ac:dyDescent="0.25">
      <c r="A309" s="59" t="s">
        <v>5</v>
      </c>
      <c r="B309" s="59">
        <v>9</v>
      </c>
      <c r="C309" s="52">
        <v>44613</v>
      </c>
      <c r="D309" s="66">
        <f t="shared" si="4"/>
        <v>2022</v>
      </c>
      <c r="E309" s="66" t="str">
        <f>TEXT(Tabela2[[#This Row],[Semana]],"mmmm")</f>
        <v>fevereiro</v>
      </c>
      <c r="F309" t="str">
        <f>IF(MONTH(Tabela2[[#This Row],[Semana]])&lt;=6,"1ª Semestre","2ª Semestre")</f>
        <v>1ª Semestre</v>
      </c>
    </row>
    <row r="310" spans="1:6" x14ac:dyDescent="0.25">
      <c r="A310" s="59" t="s">
        <v>6</v>
      </c>
      <c r="B310" s="59">
        <v>16</v>
      </c>
      <c r="C310" s="52">
        <v>44613</v>
      </c>
      <c r="D310" s="66">
        <f t="shared" si="4"/>
        <v>2022</v>
      </c>
      <c r="E310" s="66" t="str">
        <f>TEXT(Tabela2[[#This Row],[Semana]],"mmmm")</f>
        <v>fevereiro</v>
      </c>
      <c r="F310" t="str">
        <f>IF(MONTH(Tabela2[[#This Row],[Semana]])&lt;=6,"1ª Semestre","2ª Semestre")</f>
        <v>1ª Semestre</v>
      </c>
    </row>
    <row r="311" spans="1:6" x14ac:dyDescent="0.25">
      <c r="A311" s="59" t="s">
        <v>4</v>
      </c>
      <c r="B311" s="59">
        <v>1</v>
      </c>
      <c r="C311" s="52">
        <v>44613</v>
      </c>
      <c r="D311" s="66">
        <f t="shared" si="4"/>
        <v>2022</v>
      </c>
      <c r="E311" s="66" t="str">
        <f>TEXT(Tabela2[[#This Row],[Semana]],"mmmm")</f>
        <v>fevereiro</v>
      </c>
      <c r="F311" t="str">
        <f>IF(MONTH(Tabela2[[#This Row],[Semana]])&lt;=6,"1ª Semestre","2ª Semestre")</f>
        <v>1ª Semestre</v>
      </c>
    </row>
    <row r="312" spans="1:6" x14ac:dyDescent="0.25">
      <c r="A312" s="59" t="s">
        <v>3</v>
      </c>
      <c r="B312" s="59">
        <v>1</v>
      </c>
      <c r="C312" s="52">
        <v>44613</v>
      </c>
      <c r="D312" s="66">
        <f t="shared" si="4"/>
        <v>2022</v>
      </c>
      <c r="E312" s="66" t="str">
        <f>TEXT(Tabela2[[#This Row],[Semana]],"mmmm")</f>
        <v>fevereiro</v>
      </c>
      <c r="F312" t="str">
        <f>IF(MONTH(Tabela2[[#This Row],[Semana]])&lt;=6,"1ª Semestre","2ª Semestre")</f>
        <v>1ª Semestre</v>
      </c>
    </row>
    <row r="313" spans="1:6" x14ac:dyDescent="0.25">
      <c r="A313" s="59" t="s">
        <v>7</v>
      </c>
      <c r="B313" s="59">
        <v>8</v>
      </c>
      <c r="C313" s="52">
        <v>44613</v>
      </c>
      <c r="D313" s="66">
        <f t="shared" si="4"/>
        <v>2022</v>
      </c>
      <c r="E313" s="66" t="str">
        <f>TEXT(Tabela2[[#This Row],[Semana]],"mmmm")</f>
        <v>fevereiro</v>
      </c>
      <c r="F313" t="str">
        <f>IF(MONTH(Tabela2[[#This Row],[Semana]])&lt;=6,"1ª Semestre","2ª Semestre")</f>
        <v>1ª Semestre</v>
      </c>
    </row>
    <row r="314" spans="1:6" x14ac:dyDescent="0.25">
      <c r="A314" s="59" t="s">
        <v>2</v>
      </c>
      <c r="B314" s="59">
        <v>137</v>
      </c>
      <c r="C314" s="52">
        <v>44620</v>
      </c>
      <c r="D314" s="66">
        <f t="shared" si="4"/>
        <v>2022</v>
      </c>
      <c r="E314" s="66" t="str">
        <f>TEXT(Tabela2[[#This Row],[Semana]],"mmmm")</f>
        <v>fevereiro</v>
      </c>
      <c r="F314" t="str">
        <f>IF(MONTH(Tabela2[[#This Row],[Semana]])&lt;=6,"1ª Semestre","2ª Semestre")</f>
        <v>1ª Semestre</v>
      </c>
    </row>
    <row r="315" spans="1:6" x14ac:dyDescent="0.25">
      <c r="A315" s="59" t="s">
        <v>5</v>
      </c>
      <c r="B315" s="59">
        <v>17</v>
      </c>
      <c r="C315" s="52">
        <v>44620</v>
      </c>
      <c r="D315" s="66">
        <f t="shared" si="4"/>
        <v>2022</v>
      </c>
      <c r="E315" s="66" t="str">
        <f>TEXT(Tabela2[[#This Row],[Semana]],"mmmm")</f>
        <v>fevereiro</v>
      </c>
      <c r="F315" t="str">
        <f>IF(MONTH(Tabela2[[#This Row],[Semana]])&lt;=6,"1ª Semestre","2ª Semestre")</f>
        <v>1ª Semestre</v>
      </c>
    </row>
    <row r="316" spans="1:6" x14ac:dyDescent="0.25">
      <c r="A316" s="59" t="s">
        <v>6</v>
      </c>
      <c r="B316" s="59">
        <v>14</v>
      </c>
      <c r="C316" s="52">
        <v>44620</v>
      </c>
      <c r="D316" s="66">
        <f t="shared" si="4"/>
        <v>2022</v>
      </c>
      <c r="E316" s="66" t="str">
        <f>TEXT(Tabela2[[#This Row],[Semana]],"mmmm")</f>
        <v>fevereiro</v>
      </c>
      <c r="F316" t="str">
        <f>IF(MONTH(Tabela2[[#This Row],[Semana]])&lt;=6,"1ª Semestre","2ª Semestre")</f>
        <v>1ª Semestre</v>
      </c>
    </row>
    <row r="317" spans="1:6" x14ac:dyDescent="0.25">
      <c r="A317" s="59" t="s">
        <v>4</v>
      </c>
      <c r="B317" s="59">
        <v>0</v>
      </c>
      <c r="C317" s="52">
        <v>44620</v>
      </c>
      <c r="D317" s="66">
        <f t="shared" si="4"/>
        <v>2022</v>
      </c>
      <c r="E317" s="66" t="str">
        <f>TEXT(Tabela2[[#This Row],[Semana]],"mmmm")</f>
        <v>fevereiro</v>
      </c>
      <c r="F317" t="str">
        <f>IF(MONTH(Tabela2[[#This Row],[Semana]])&lt;=6,"1ª Semestre","2ª Semestre")</f>
        <v>1ª Semestre</v>
      </c>
    </row>
    <row r="318" spans="1:6" x14ac:dyDescent="0.25">
      <c r="A318" s="59" t="s">
        <v>3</v>
      </c>
      <c r="B318" s="59">
        <v>17</v>
      </c>
      <c r="C318" s="52">
        <v>44620</v>
      </c>
      <c r="D318" s="66">
        <f t="shared" si="4"/>
        <v>2022</v>
      </c>
      <c r="E318" s="66" t="str">
        <f>TEXT(Tabela2[[#This Row],[Semana]],"mmmm")</f>
        <v>fevereiro</v>
      </c>
      <c r="F318" t="str">
        <f>IF(MONTH(Tabela2[[#This Row],[Semana]])&lt;=6,"1ª Semestre","2ª Semestre")</f>
        <v>1ª Semestre</v>
      </c>
    </row>
    <row r="319" spans="1:6" x14ac:dyDescent="0.25">
      <c r="A319" s="59" t="s">
        <v>7</v>
      </c>
      <c r="B319" s="59">
        <v>16</v>
      </c>
      <c r="C319" s="52">
        <v>44620</v>
      </c>
      <c r="D319" s="66">
        <f t="shared" si="4"/>
        <v>2022</v>
      </c>
      <c r="E319" s="66" t="str">
        <f>TEXT(Tabela2[[#This Row],[Semana]],"mmmm")</f>
        <v>fevereiro</v>
      </c>
      <c r="F319" t="str">
        <f>IF(MONTH(Tabela2[[#This Row],[Semana]])&lt;=6,"1ª Semestre","2ª Semestre")</f>
        <v>1ª Semestre</v>
      </c>
    </row>
    <row r="320" spans="1:6" x14ac:dyDescent="0.25">
      <c r="A320" s="59" t="s">
        <v>2</v>
      </c>
      <c r="B320" s="59">
        <v>149</v>
      </c>
      <c r="C320" s="52">
        <v>44627</v>
      </c>
      <c r="D320" s="66">
        <f t="shared" si="4"/>
        <v>2022</v>
      </c>
      <c r="E320" s="66" t="str">
        <f>TEXT(Tabela2[[#This Row],[Semana]],"mmmm")</f>
        <v>março</v>
      </c>
      <c r="F320" t="str">
        <f>IF(MONTH(Tabela2[[#This Row],[Semana]])&lt;=6,"1ª Semestre","2ª Semestre")</f>
        <v>1ª Semestre</v>
      </c>
    </row>
    <row r="321" spans="1:6" x14ac:dyDescent="0.25">
      <c r="A321" s="59" t="s">
        <v>5</v>
      </c>
      <c r="B321" s="59">
        <v>10</v>
      </c>
      <c r="C321" s="52">
        <v>44627</v>
      </c>
      <c r="D321" s="66">
        <f t="shared" si="4"/>
        <v>2022</v>
      </c>
      <c r="E321" s="66" t="str">
        <f>TEXT(Tabela2[[#This Row],[Semana]],"mmmm")</f>
        <v>março</v>
      </c>
      <c r="F321" t="str">
        <f>IF(MONTH(Tabela2[[#This Row],[Semana]])&lt;=6,"1ª Semestre","2ª Semestre")</f>
        <v>1ª Semestre</v>
      </c>
    </row>
    <row r="322" spans="1:6" x14ac:dyDescent="0.25">
      <c r="A322" s="59" t="s">
        <v>6</v>
      </c>
      <c r="B322" s="59">
        <v>7</v>
      </c>
      <c r="C322" s="52">
        <v>44627</v>
      </c>
      <c r="D322" s="66">
        <f t="shared" si="4"/>
        <v>2022</v>
      </c>
      <c r="E322" s="66" t="str">
        <f>TEXT(Tabela2[[#This Row],[Semana]],"mmmm")</f>
        <v>março</v>
      </c>
      <c r="F322" t="str">
        <f>IF(MONTH(Tabela2[[#This Row],[Semana]])&lt;=6,"1ª Semestre","2ª Semestre")</f>
        <v>1ª Semestre</v>
      </c>
    </row>
    <row r="323" spans="1:6" x14ac:dyDescent="0.25">
      <c r="A323" s="59" t="s">
        <v>4</v>
      </c>
      <c r="B323" s="59">
        <v>0</v>
      </c>
      <c r="C323" s="52">
        <v>44627</v>
      </c>
      <c r="D323" s="66">
        <f t="shared" ref="D323:D386" si="5">YEAR((C323))</f>
        <v>2022</v>
      </c>
      <c r="E323" s="66" t="str">
        <f>TEXT(Tabela2[[#This Row],[Semana]],"mmmm")</f>
        <v>março</v>
      </c>
      <c r="F323" t="str">
        <f>IF(MONTH(Tabela2[[#This Row],[Semana]])&lt;=6,"1ª Semestre","2ª Semestre")</f>
        <v>1ª Semestre</v>
      </c>
    </row>
    <row r="324" spans="1:6" x14ac:dyDescent="0.25">
      <c r="A324" s="59" t="s">
        <v>3</v>
      </c>
      <c r="B324" s="59">
        <v>0</v>
      </c>
      <c r="C324" s="52">
        <v>44627</v>
      </c>
      <c r="D324" s="66">
        <f t="shared" si="5"/>
        <v>2022</v>
      </c>
      <c r="E324" s="66" t="str">
        <f>TEXT(Tabela2[[#This Row],[Semana]],"mmmm")</f>
        <v>março</v>
      </c>
      <c r="F324" t="str">
        <f>IF(MONTH(Tabela2[[#This Row],[Semana]])&lt;=6,"1ª Semestre","2ª Semestre")</f>
        <v>1ª Semestre</v>
      </c>
    </row>
    <row r="325" spans="1:6" x14ac:dyDescent="0.25">
      <c r="A325" s="59" t="s">
        <v>7</v>
      </c>
      <c r="B325" s="59">
        <v>19</v>
      </c>
      <c r="C325" s="52">
        <v>44627</v>
      </c>
      <c r="D325" s="66">
        <f t="shared" si="5"/>
        <v>2022</v>
      </c>
      <c r="E325" s="66" t="str">
        <f>TEXT(Tabela2[[#This Row],[Semana]],"mmmm")</f>
        <v>março</v>
      </c>
      <c r="F325" t="str">
        <f>IF(MONTH(Tabela2[[#This Row],[Semana]])&lt;=6,"1ª Semestre","2ª Semestre")</f>
        <v>1ª Semestre</v>
      </c>
    </row>
    <row r="326" spans="1:6" x14ac:dyDescent="0.25">
      <c r="A326" s="59" t="s">
        <v>2</v>
      </c>
      <c r="B326" s="59">
        <v>105</v>
      </c>
      <c r="C326" s="52">
        <v>44634</v>
      </c>
      <c r="D326" s="66">
        <f t="shared" si="5"/>
        <v>2022</v>
      </c>
      <c r="E326" s="66" t="str">
        <f>TEXT(Tabela2[[#This Row],[Semana]],"mmmm")</f>
        <v>março</v>
      </c>
      <c r="F326" t="str">
        <f>IF(MONTH(Tabela2[[#This Row],[Semana]])&lt;=6,"1ª Semestre","2ª Semestre")</f>
        <v>1ª Semestre</v>
      </c>
    </row>
    <row r="327" spans="1:6" x14ac:dyDescent="0.25">
      <c r="A327" s="59" t="s">
        <v>5</v>
      </c>
      <c r="B327" s="59">
        <v>18</v>
      </c>
      <c r="C327" s="52">
        <v>44634</v>
      </c>
      <c r="D327" s="66">
        <f t="shared" si="5"/>
        <v>2022</v>
      </c>
      <c r="E327" s="66" t="str">
        <f>TEXT(Tabela2[[#This Row],[Semana]],"mmmm")</f>
        <v>março</v>
      </c>
      <c r="F327" t="str">
        <f>IF(MONTH(Tabela2[[#This Row],[Semana]])&lt;=6,"1ª Semestre","2ª Semestre")</f>
        <v>1ª Semestre</v>
      </c>
    </row>
    <row r="328" spans="1:6" x14ac:dyDescent="0.25">
      <c r="A328" s="59" t="s">
        <v>6</v>
      </c>
      <c r="B328" s="59">
        <v>13</v>
      </c>
      <c r="C328" s="52">
        <v>44634</v>
      </c>
      <c r="D328" s="66">
        <f t="shared" si="5"/>
        <v>2022</v>
      </c>
      <c r="E328" s="66" t="str">
        <f>TEXT(Tabela2[[#This Row],[Semana]],"mmmm")</f>
        <v>março</v>
      </c>
      <c r="F328" t="str">
        <f>IF(MONTH(Tabela2[[#This Row],[Semana]])&lt;=6,"1ª Semestre","2ª Semestre")</f>
        <v>1ª Semestre</v>
      </c>
    </row>
    <row r="329" spans="1:6" x14ac:dyDescent="0.25">
      <c r="A329" s="59" t="s">
        <v>4</v>
      </c>
      <c r="B329" s="59">
        <v>5</v>
      </c>
      <c r="C329" s="52">
        <v>44634</v>
      </c>
      <c r="D329" s="66">
        <f t="shared" si="5"/>
        <v>2022</v>
      </c>
      <c r="E329" s="66" t="str">
        <f>TEXT(Tabela2[[#This Row],[Semana]],"mmmm")</f>
        <v>março</v>
      </c>
      <c r="F329" t="str">
        <f>IF(MONTH(Tabela2[[#This Row],[Semana]])&lt;=6,"1ª Semestre","2ª Semestre")</f>
        <v>1ª Semestre</v>
      </c>
    </row>
    <row r="330" spans="1:6" x14ac:dyDescent="0.25">
      <c r="A330" s="59" t="s">
        <v>3</v>
      </c>
      <c r="B330" s="59">
        <v>5</v>
      </c>
      <c r="C330" s="52">
        <v>44634</v>
      </c>
      <c r="D330" s="66">
        <f t="shared" si="5"/>
        <v>2022</v>
      </c>
      <c r="E330" s="66" t="str">
        <f>TEXT(Tabela2[[#This Row],[Semana]],"mmmm")</f>
        <v>março</v>
      </c>
      <c r="F330" t="str">
        <f>IF(MONTH(Tabela2[[#This Row],[Semana]])&lt;=6,"1ª Semestre","2ª Semestre")</f>
        <v>1ª Semestre</v>
      </c>
    </row>
    <row r="331" spans="1:6" x14ac:dyDescent="0.25">
      <c r="A331" s="59" t="s">
        <v>7</v>
      </c>
      <c r="B331" s="59">
        <v>11</v>
      </c>
      <c r="C331" s="52">
        <v>44634</v>
      </c>
      <c r="D331" s="66">
        <f t="shared" si="5"/>
        <v>2022</v>
      </c>
      <c r="E331" s="66" t="str">
        <f>TEXT(Tabela2[[#This Row],[Semana]],"mmmm")</f>
        <v>março</v>
      </c>
      <c r="F331" t="str">
        <f>IF(MONTH(Tabela2[[#This Row],[Semana]])&lt;=6,"1ª Semestre","2ª Semestre")</f>
        <v>1ª Semestre</v>
      </c>
    </row>
    <row r="332" spans="1:6" x14ac:dyDescent="0.25">
      <c r="A332" s="59" t="s">
        <v>2</v>
      </c>
      <c r="B332" s="59">
        <v>161</v>
      </c>
      <c r="C332" s="52">
        <v>44641</v>
      </c>
      <c r="D332" s="66">
        <f t="shared" si="5"/>
        <v>2022</v>
      </c>
      <c r="E332" s="66" t="str">
        <f>TEXT(Tabela2[[#This Row],[Semana]],"mmmm")</f>
        <v>março</v>
      </c>
      <c r="F332" t="str">
        <f>IF(MONTH(Tabela2[[#This Row],[Semana]])&lt;=6,"1ª Semestre","2ª Semestre")</f>
        <v>1ª Semestre</v>
      </c>
    </row>
    <row r="333" spans="1:6" x14ac:dyDescent="0.25">
      <c r="A333" s="59" t="s">
        <v>5</v>
      </c>
      <c r="B333" s="59">
        <v>16</v>
      </c>
      <c r="C333" s="52">
        <v>44641</v>
      </c>
      <c r="D333" s="66">
        <f t="shared" si="5"/>
        <v>2022</v>
      </c>
      <c r="E333" s="66" t="str">
        <f>TEXT(Tabela2[[#This Row],[Semana]],"mmmm")</f>
        <v>março</v>
      </c>
      <c r="F333" t="str">
        <f>IF(MONTH(Tabela2[[#This Row],[Semana]])&lt;=6,"1ª Semestre","2ª Semestre")</f>
        <v>1ª Semestre</v>
      </c>
    </row>
    <row r="334" spans="1:6" x14ac:dyDescent="0.25">
      <c r="A334" s="59" t="s">
        <v>6</v>
      </c>
      <c r="B334" s="59">
        <v>6</v>
      </c>
      <c r="C334" s="52">
        <v>44641</v>
      </c>
      <c r="D334" s="66">
        <f t="shared" si="5"/>
        <v>2022</v>
      </c>
      <c r="E334" s="66" t="str">
        <f>TEXT(Tabela2[[#This Row],[Semana]],"mmmm")</f>
        <v>março</v>
      </c>
      <c r="F334" t="str">
        <f>IF(MONTH(Tabela2[[#This Row],[Semana]])&lt;=6,"1ª Semestre","2ª Semestre")</f>
        <v>1ª Semestre</v>
      </c>
    </row>
    <row r="335" spans="1:6" x14ac:dyDescent="0.25">
      <c r="A335" s="59" t="s">
        <v>4</v>
      </c>
      <c r="B335" s="59">
        <v>0</v>
      </c>
      <c r="C335" s="52">
        <v>44641</v>
      </c>
      <c r="D335" s="66">
        <f t="shared" si="5"/>
        <v>2022</v>
      </c>
      <c r="E335" s="66" t="str">
        <f>TEXT(Tabela2[[#This Row],[Semana]],"mmmm")</f>
        <v>março</v>
      </c>
      <c r="F335" t="str">
        <f>IF(MONTH(Tabela2[[#This Row],[Semana]])&lt;=6,"1ª Semestre","2ª Semestre")</f>
        <v>1ª Semestre</v>
      </c>
    </row>
    <row r="336" spans="1:6" x14ac:dyDescent="0.25">
      <c r="A336" s="59" t="s">
        <v>3</v>
      </c>
      <c r="B336" s="59">
        <v>0</v>
      </c>
      <c r="C336" s="52">
        <v>44641</v>
      </c>
      <c r="D336" s="66">
        <f t="shared" si="5"/>
        <v>2022</v>
      </c>
      <c r="E336" s="66" t="str">
        <f>TEXT(Tabela2[[#This Row],[Semana]],"mmmm")</f>
        <v>março</v>
      </c>
      <c r="F336" t="str">
        <f>IF(MONTH(Tabela2[[#This Row],[Semana]])&lt;=6,"1ª Semestre","2ª Semestre")</f>
        <v>1ª Semestre</v>
      </c>
    </row>
    <row r="337" spans="1:6" x14ac:dyDescent="0.25">
      <c r="A337" s="59" t="s">
        <v>7</v>
      </c>
      <c r="B337" s="59">
        <v>12</v>
      </c>
      <c r="C337" s="52">
        <v>44641</v>
      </c>
      <c r="D337" s="66">
        <f t="shared" si="5"/>
        <v>2022</v>
      </c>
      <c r="E337" s="66" t="str">
        <f>TEXT(Tabela2[[#This Row],[Semana]],"mmmm")</f>
        <v>março</v>
      </c>
      <c r="F337" t="str">
        <f>IF(MONTH(Tabela2[[#This Row],[Semana]])&lt;=6,"1ª Semestre","2ª Semestre")</f>
        <v>1ª Semestre</v>
      </c>
    </row>
    <row r="338" spans="1:6" x14ac:dyDescent="0.25">
      <c r="A338" s="59" t="s">
        <v>2</v>
      </c>
      <c r="B338" s="59">
        <v>173</v>
      </c>
      <c r="C338" s="52">
        <v>44648</v>
      </c>
      <c r="D338" s="66">
        <f t="shared" si="5"/>
        <v>2022</v>
      </c>
      <c r="E338" s="66" t="str">
        <f>TEXT(Tabela2[[#This Row],[Semana]],"mmmm")</f>
        <v>março</v>
      </c>
      <c r="F338" t="str">
        <f>IF(MONTH(Tabela2[[#This Row],[Semana]])&lt;=6,"1ª Semestre","2ª Semestre")</f>
        <v>1ª Semestre</v>
      </c>
    </row>
    <row r="339" spans="1:6" x14ac:dyDescent="0.25">
      <c r="A339" s="59" t="s">
        <v>5</v>
      </c>
      <c r="B339" s="59">
        <v>15</v>
      </c>
      <c r="C339" s="52">
        <v>44648</v>
      </c>
      <c r="D339" s="66">
        <f t="shared" si="5"/>
        <v>2022</v>
      </c>
      <c r="E339" s="66" t="str">
        <f>TEXT(Tabela2[[#This Row],[Semana]],"mmmm")</f>
        <v>março</v>
      </c>
      <c r="F339" t="str">
        <f>IF(MONTH(Tabela2[[#This Row],[Semana]])&lt;=6,"1ª Semestre","2ª Semestre")</f>
        <v>1ª Semestre</v>
      </c>
    </row>
    <row r="340" spans="1:6" x14ac:dyDescent="0.25">
      <c r="A340" s="59" t="s">
        <v>6</v>
      </c>
      <c r="B340" s="59">
        <v>7</v>
      </c>
      <c r="C340" s="52">
        <v>44648</v>
      </c>
      <c r="D340" s="66">
        <f t="shared" si="5"/>
        <v>2022</v>
      </c>
      <c r="E340" s="66" t="str">
        <f>TEXT(Tabela2[[#This Row],[Semana]],"mmmm")</f>
        <v>março</v>
      </c>
      <c r="F340" t="str">
        <f>IF(MONTH(Tabela2[[#This Row],[Semana]])&lt;=6,"1ª Semestre","2ª Semestre")</f>
        <v>1ª Semestre</v>
      </c>
    </row>
    <row r="341" spans="1:6" x14ac:dyDescent="0.25">
      <c r="A341" s="59" t="s">
        <v>4</v>
      </c>
      <c r="B341" s="59">
        <v>4</v>
      </c>
      <c r="C341" s="52">
        <v>44648</v>
      </c>
      <c r="D341" s="66">
        <f t="shared" si="5"/>
        <v>2022</v>
      </c>
      <c r="E341" s="66" t="str">
        <f>TEXT(Tabela2[[#This Row],[Semana]],"mmmm")</f>
        <v>março</v>
      </c>
      <c r="F341" t="str">
        <f>IF(MONTH(Tabela2[[#This Row],[Semana]])&lt;=6,"1ª Semestre","2ª Semestre")</f>
        <v>1ª Semestre</v>
      </c>
    </row>
    <row r="342" spans="1:6" x14ac:dyDescent="0.25">
      <c r="A342" s="59" t="s">
        <v>3</v>
      </c>
      <c r="B342" s="59">
        <v>0</v>
      </c>
      <c r="C342" s="52">
        <v>44648</v>
      </c>
      <c r="D342" s="66">
        <f t="shared" si="5"/>
        <v>2022</v>
      </c>
      <c r="E342" s="66" t="str">
        <f>TEXT(Tabela2[[#This Row],[Semana]],"mmmm")</f>
        <v>março</v>
      </c>
      <c r="F342" t="str">
        <f>IF(MONTH(Tabela2[[#This Row],[Semana]])&lt;=6,"1ª Semestre","2ª Semestre")</f>
        <v>1ª Semestre</v>
      </c>
    </row>
    <row r="343" spans="1:6" x14ac:dyDescent="0.25">
      <c r="A343" s="59" t="s">
        <v>7</v>
      </c>
      <c r="B343" s="59">
        <v>6</v>
      </c>
      <c r="C343" s="52">
        <v>44648</v>
      </c>
      <c r="D343" s="66">
        <f t="shared" si="5"/>
        <v>2022</v>
      </c>
      <c r="E343" s="66" t="str">
        <f>TEXT(Tabela2[[#This Row],[Semana]],"mmmm")</f>
        <v>março</v>
      </c>
      <c r="F343" t="str">
        <f>IF(MONTH(Tabela2[[#This Row],[Semana]])&lt;=6,"1ª Semestre","2ª Semestre")</f>
        <v>1ª Semestre</v>
      </c>
    </row>
    <row r="344" spans="1:6" x14ac:dyDescent="0.25">
      <c r="A344" s="59" t="s">
        <v>2</v>
      </c>
      <c r="B344" s="59">
        <v>209</v>
      </c>
      <c r="C344" s="52">
        <v>44655</v>
      </c>
      <c r="D344" s="66">
        <f t="shared" si="5"/>
        <v>2022</v>
      </c>
      <c r="E344" s="66" t="str">
        <f>TEXT(Tabela2[[#This Row],[Semana]],"mmmm")</f>
        <v>abril</v>
      </c>
      <c r="F344" t="str">
        <f>IF(MONTH(Tabela2[[#This Row],[Semana]])&lt;=6,"1ª Semestre","2ª Semestre")</f>
        <v>1ª Semestre</v>
      </c>
    </row>
    <row r="345" spans="1:6" x14ac:dyDescent="0.25">
      <c r="A345" s="59" t="s">
        <v>5</v>
      </c>
      <c r="B345" s="59">
        <v>17</v>
      </c>
      <c r="C345" s="52">
        <v>44655</v>
      </c>
      <c r="D345" s="66">
        <f t="shared" si="5"/>
        <v>2022</v>
      </c>
      <c r="E345" s="66" t="str">
        <f>TEXT(Tabela2[[#This Row],[Semana]],"mmmm")</f>
        <v>abril</v>
      </c>
      <c r="F345" t="str">
        <f>IF(MONTH(Tabela2[[#This Row],[Semana]])&lt;=6,"1ª Semestre","2ª Semestre")</f>
        <v>1ª Semestre</v>
      </c>
    </row>
    <row r="346" spans="1:6" x14ac:dyDescent="0.25">
      <c r="A346" s="59" t="s">
        <v>6</v>
      </c>
      <c r="B346" s="59">
        <v>7</v>
      </c>
      <c r="C346" s="52">
        <v>44655</v>
      </c>
      <c r="D346" s="66">
        <f t="shared" si="5"/>
        <v>2022</v>
      </c>
      <c r="E346" s="66" t="str">
        <f>TEXT(Tabela2[[#This Row],[Semana]],"mmmm")</f>
        <v>abril</v>
      </c>
      <c r="F346" t="str">
        <f>IF(MONTH(Tabela2[[#This Row],[Semana]])&lt;=6,"1ª Semestre","2ª Semestre")</f>
        <v>1ª Semestre</v>
      </c>
    </row>
    <row r="347" spans="1:6" x14ac:dyDescent="0.25">
      <c r="A347" s="59" t="s">
        <v>4</v>
      </c>
      <c r="B347" s="59">
        <v>0</v>
      </c>
      <c r="C347" s="52">
        <v>44655</v>
      </c>
      <c r="D347" s="66">
        <f t="shared" si="5"/>
        <v>2022</v>
      </c>
      <c r="E347" s="66" t="str">
        <f>TEXT(Tabela2[[#This Row],[Semana]],"mmmm")</f>
        <v>abril</v>
      </c>
      <c r="F347" t="str">
        <f>IF(MONTH(Tabela2[[#This Row],[Semana]])&lt;=6,"1ª Semestre","2ª Semestre")</f>
        <v>1ª Semestre</v>
      </c>
    </row>
    <row r="348" spans="1:6" x14ac:dyDescent="0.25">
      <c r="A348" s="59" t="s">
        <v>3</v>
      </c>
      <c r="B348" s="59">
        <v>0</v>
      </c>
      <c r="C348" s="52">
        <v>44655</v>
      </c>
      <c r="D348" s="66">
        <f t="shared" si="5"/>
        <v>2022</v>
      </c>
      <c r="E348" s="66" t="str">
        <f>TEXT(Tabela2[[#This Row],[Semana]],"mmmm")</f>
        <v>abril</v>
      </c>
      <c r="F348" t="str">
        <f>IF(MONTH(Tabela2[[#This Row],[Semana]])&lt;=6,"1ª Semestre","2ª Semestre")</f>
        <v>1ª Semestre</v>
      </c>
    </row>
    <row r="349" spans="1:6" x14ac:dyDescent="0.25">
      <c r="A349" s="59" t="s">
        <v>7</v>
      </c>
      <c r="B349" s="59">
        <v>6</v>
      </c>
      <c r="C349" s="52">
        <v>44655</v>
      </c>
      <c r="D349" s="66">
        <f t="shared" si="5"/>
        <v>2022</v>
      </c>
      <c r="E349" s="66" t="str">
        <f>TEXT(Tabela2[[#This Row],[Semana]],"mmmm")</f>
        <v>abril</v>
      </c>
      <c r="F349" t="str">
        <f>IF(MONTH(Tabela2[[#This Row],[Semana]])&lt;=6,"1ª Semestre","2ª Semestre")</f>
        <v>1ª Semestre</v>
      </c>
    </row>
    <row r="350" spans="1:6" x14ac:dyDescent="0.25">
      <c r="A350" s="59" t="s">
        <v>2</v>
      </c>
      <c r="B350" s="59">
        <v>205</v>
      </c>
      <c r="C350" s="52">
        <v>44662</v>
      </c>
      <c r="D350" s="66">
        <f t="shared" si="5"/>
        <v>2022</v>
      </c>
      <c r="E350" s="66" t="str">
        <f>TEXT(Tabela2[[#This Row],[Semana]],"mmmm")</f>
        <v>abril</v>
      </c>
      <c r="F350" t="str">
        <f>IF(MONTH(Tabela2[[#This Row],[Semana]])&lt;=6,"1ª Semestre","2ª Semestre")</f>
        <v>1ª Semestre</v>
      </c>
    </row>
    <row r="351" spans="1:6" x14ac:dyDescent="0.25">
      <c r="A351" s="59" t="s">
        <v>5</v>
      </c>
      <c r="B351" s="59">
        <v>25</v>
      </c>
      <c r="C351" s="52">
        <v>44662</v>
      </c>
      <c r="D351" s="66">
        <f t="shared" si="5"/>
        <v>2022</v>
      </c>
      <c r="E351" s="66" t="str">
        <f>TEXT(Tabela2[[#This Row],[Semana]],"mmmm")</f>
        <v>abril</v>
      </c>
      <c r="F351" t="str">
        <f>IF(MONTH(Tabela2[[#This Row],[Semana]])&lt;=6,"1ª Semestre","2ª Semestre")</f>
        <v>1ª Semestre</v>
      </c>
    </row>
    <row r="352" spans="1:6" x14ac:dyDescent="0.25">
      <c r="A352" s="59" t="s">
        <v>6</v>
      </c>
      <c r="B352" s="59">
        <v>19</v>
      </c>
      <c r="C352" s="52">
        <v>44662</v>
      </c>
      <c r="D352" s="66">
        <f t="shared" si="5"/>
        <v>2022</v>
      </c>
      <c r="E352" s="66" t="str">
        <f>TEXT(Tabela2[[#This Row],[Semana]],"mmmm")</f>
        <v>abril</v>
      </c>
      <c r="F352" t="str">
        <f>IF(MONTH(Tabela2[[#This Row],[Semana]])&lt;=6,"1ª Semestre","2ª Semestre")</f>
        <v>1ª Semestre</v>
      </c>
    </row>
    <row r="353" spans="1:6" x14ac:dyDescent="0.25">
      <c r="A353" s="59" t="s">
        <v>4</v>
      </c>
      <c r="B353" s="59">
        <v>0</v>
      </c>
      <c r="C353" s="52">
        <v>44662</v>
      </c>
      <c r="D353" s="66">
        <f t="shared" si="5"/>
        <v>2022</v>
      </c>
      <c r="E353" s="66" t="str">
        <f>TEXT(Tabela2[[#This Row],[Semana]],"mmmm")</f>
        <v>abril</v>
      </c>
      <c r="F353" t="str">
        <f>IF(MONTH(Tabela2[[#This Row],[Semana]])&lt;=6,"1ª Semestre","2ª Semestre")</f>
        <v>1ª Semestre</v>
      </c>
    </row>
    <row r="354" spans="1:6" x14ac:dyDescent="0.25">
      <c r="A354" s="59" t="s">
        <v>3</v>
      </c>
      <c r="B354" s="59">
        <v>11</v>
      </c>
      <c r="C354" s="52">
        <v>44662</v>
      </c>
      <c r="D354" s="66">
        <f t="shared" si="5"/>
        <v>2022</v>
      </c>
      <c r="E354" s="66" t="str">
        <f>TEXT(Tabela2[[#This Row],[Semana]],"mmmm")</f>
        <v>abril</v>
      </c>
      <c r="F354" t="str">
        <f>IF(MONTH(Tabela2[[#This Row],[Semana]])&lt;=6,"1ª Semestre","2ª Semestre")</f>
        <v>1ª Semestre</v>
      </c>
    </row>
    <row r="355" spans="1:6" x14ac:dyDescent="0.25">
      <c r="A355" s="59" t="s">
        <v>7</v>
      </c>
      <c r="B355" s="59">
        <v>2</v>
      </c>
      <c r="C355" s="52">
        <v>44662</v>
      </c>
      <c r="D355" s="66">
        <f t="shared" si="5"/>
        <v>2022</v>
      </c>
      <c r="E355" s="66" t="str">
        <f>TEXT(Tabela2[[#This Row],[Semana]],"mmmm")</f>
        <v>abril</v>
      </c>
      <c r="F355" t="str">
        <f>IF(MONTH(Tabela2[[#This Row],[Semana]])&lt;=6,"1ª Semestre","2ª Semestre")</f>
        <v>1ª Semestre</v>
      </c>
    </row>
    <row r="356" spans="1:6" x14ac:dyDescent="0.25">
      <c r="A356" s="59" t="s">
        <v>2</v>
      </c>
      <c r="B356" s="59">
        <v>178</v>
      </c>
      <c r="C356" s="52">
        <v>44669</v>
      </c>
      <c r="D356" s="66">
        <f t="shared" si="5"/>
        <v>2022</v>
      </c>
      <c r="E356" s="66" t="str">
        <f>TEXT(Tabela2[[#This Row],[Semana]],"mmmm")</f>
        <v>abril</v>
      </c>
      <c r="F356" t="str">
        <f>IF(MONTH(Tabela2[[#This Row],[Semana]])&lt;=6,"1ª Semestre","2ª Semestre")</f>
        <v>1ª Semestre</v>
      </c>
    </row>
    <row r="357" spans="1:6" x14ac:dyDescent="0.25">
      <c r="A357" s="59" t="s">
        <v>5</v>
      </c>
      <c r="B357" s="59">
        <v>26</v>
      </c>
      <c r="C357" s="52">
        <v>44669</v>
      </c>
      <c r="D357" s="66">
        <f t="shared" si="5"/>
        <v>2022</v>
      </c>
      <c r="E357" s="66" t="str">
        <f>TEXT(Tabela2[[#This Row],[Semana]],"mmmm")</f>
        <v>abril</v>
      </c>
      <c r="F357" t="str">
        <f>IF(MONTH(Tabela2[[#This Row],[Semana]])&lt;=6,"1ª Semestre","2ª Semestre")</f>
        <v>1ª Semestre</v>
      </c>
    </row>
    <row r="358" spans="1:6" x14ac:dyDescent="0.25">
      <c r="A358" s="59" t="s">
        <v>6</v>
      </c>
      <c r="B358" s="59">
        <v>5</v>
      </c>
      <c r="C358" s="52">
        <v>44669</v>
      </c>
      <c r="D358" s="66">
        <f t="shared" si="5"/>
        <v>2022</v>
      </c>
      <c r="E358" s="66" t="str">
        <f>TEXT(Tabela2[[#This Row],[Semana]],"mmmm")</f>
        <v>abril</v>
      </c>
      <c r="F358" t="str">
        <f>IF(MONTH(Tabela2[[#This Row],[Semana]])&lt;=6,"1ª Semestre","2ª Semestre")</f>
        <v>1ª Semestre</v>
      </c>
    </row>
    <row r="359" spans="1:6" x14ac:dyDescent="0.25">
      <c r="A359" s="59" t="s">
        <v>4</v>
      </c>
      <c r="B359" s="59">
        <v>0</v>
      </c>
      <c r="C359" s="52">
        <v>44669</v>
      </c>
      <c r="D359" s="66">
        <f t="shared" si="5"/>
        <v>2022</v>
      </c>
      <c r="E359" s="66" t="str">
        <f>TEXT(Tabela2[[#This Row],[Semana]],"mmmm")</f>
        <v>abril</v>
      </c>
      <c r="F359" t="str">
        <f>IF(MONTH(Tabela2[[#This Row],[Semana]])&lt;=6,"1ª Semestre","2ª Semestre")</f>
        <v>1ª Semestre</v>
      </c>
    </row>
    <row r="360" spans="1:6" x14ac:dyDescent="0.25">
      <c r="A360" s="59" t="s">
        <v>3</v>
      </c>
      <c r="B360" s="59">
        <v>0</v>
      </c>
      <c r="C360" s="52">
        <v>44669</v>
      </c>
      <c r="D360" s="66">
        <f t="shared" si="5"/>
        <v>2022</v>
      </c>
      <c r="E360" s="66" t="str">
        <f>TEXT(Tabela2[[#This Row],[Semana]],"mmmm")</f>
        <v>abril</v>
      </c>
      <c r="F360" t="str">
        <f>IF(MONTH(Tabela2[[#This Row],[Semana]])&lt;=6,"1ª Semestre","2ª Semestre")</f>
        <v>1ª Semestre</v>
      </c>
    </row>
    <row r="361" spans="1:6" x14ac:dyDescent="0.25">
      <c r="A361" s="59" t="s">
        <v>7</v>
      </c>
      <c r="B361" s="59">
        <v>2</v>
      </c>
      <c r="C361" s="52">
        <v>44669</v>
      </c>
      <c r="D361" s="66">
        <f t="shared" si="5"/>
        <v>2022</v>
      </c>
      <c r="E361" s="66" t="str">
        <f>TEXT(Tabela2[[#This Row],[Semana]],"mmmm")</f>
        <v>abril</v>
      </c>
      <c r="F361" t="str">
        <f>IF(MONTH(Tabela2[[#This Row],[Semana]])&lt;=6,"1ª Semestre","2ª Semestre")</f>
        <v>1ª Semestre</v>
      </c>
    </row>
    <row r="362" spans="1:6" x14ac:dyDescent="0.25">
      <c r="A362" s="59" t="s">
        <v>2</v>
      </c>
      <c r="B362" s="59">
        <v>227</v>
      </c>
      <c r="C362" s="52">
        <v>44676</v>
      </c>
      <c r="D362" s="66">
        <f t="shared" si="5"/>
        <v>2022</v>
      </c>
      <c r="E362" s="66" t="str">
        <f>TEXT(Tabela2[[#This Row],[Semana]],"mmmm")</f>
        <v>abril</v>
      </c>
      <c r="F362" t="str">
        <f>IF(MONTH(Tabela2[[#This Row],[Semana]])&lt;=6,"1ª Semestre","2ª Semestre")</f>
        <v>1ª Semestre</v>
      </c>
    </row>
    <row r="363" spans="1:6" x14ac:dyDescent="0.25">
      <c r="A363" s="59" t="s">
        <v>5</v>
      </c>
      <c r="B363" s="59">
        <v>30</v>
      </c>
      <c r="C363" s="52">
        <v>44676</v>
      </c>
      <c r="D363" s="66">
        <f t="shared" si="5"/>
        <v>2022</v>
      </c>
      <c r="E363" s="66" t="str">
        <f>TEXT(Tabela2[[#This Row],[Semana]],"mmmm")</f>
        <v>abril</v>
      </c>
      <c r="F363" t="str">
        <f>IF(MONTH(Tabela2[[#This Row],[Semana]])&lt;=6,"1ª Semestre","2ª Semestre")</f>
        <v>1ª Semestre</v>
      </c>
    </row>
    <row r="364" spans="1:6" x14ac:dyDescent="0.25">
      <c r="A364" s="59" t="s">
        <v>6</v>
      </c>
      <c r="B364" s="59">
        <v>9</v>
      </c>
      <c r="C364" s="52">
        <v>44676</v>
      </c>
      <c r="D364" s="66">
        <f t="shared" si="5"/>
        <v>2022</v>
      </c>
      <c r="E364" s="66" t="str">
        <f>TEXT(Tabela2[[#This Row],[Semana]],"mmmm")</f>
        <v>abril</v>
      </c>
      <c r="F364" t="str">
        <f>IF(MONTH(Tabela2[[#This Row],[Semana]])&lt;=6,"1ª Semestre","2ª Semestre")</f>
        <v>1ª Semestre</v>
      </c>
    </row>
    <row r="365" spans="1:6" x14ac:dyDescent="0.25">
      <c r="A365" s="59" t="s">
        <v>4</v>
      </c>
      <c r="B365" s="59">
        <v>0</v>
      </c>
      <c r="C365" s="52">
        <v>44676</v>
      </c>
      <c r="D365" s="66">
        <f t="shared" si="5"/>
        <v>2022</v>
      </c>
      <c r="E365" s="66" t="str">
        <f>TEXT(Tabela2[[#This Row],[Semana]],"mmmm")</f>
        <v>abril</v>
      </c>
      <c r="F365" t="str">
        <f>IF(MONTH(Tabela2[[#This Row],[Semana]])&lt;=6,"1ª Semestre","2ª Semestre")</f>
        <v>1ª Semestre</v>
      </c>
    </row>
    <row r="366" spans="1:6" x14ac:dyDescent="0.25">
      <c r="A366" s="59" t="s">
        <v>3</v>
      </c>
      <c r="B366" s="59">
        <v>0</v>
      </c>
      <c r="C366" s="52">
        <v>44676</v>
      </c>
      <c r="D366" s="66">
        <f t="shared" si="5"/>
        <v>2022</v>
      </c>
      <c r="E366" s="66" t="str">
        <f>TEXT(Tabela2[[#This Row],[Semana]],"mmmm")</f>
        <v>abril</v>
      </c>
      <c r="F366" t="str">
        <f>IF(MONTH(Tabela2[[#This Row],[Semana]])&lt;=6,"1ª Semestre","2ª Semestre")</f>
        <v>1ª Semestre</v>
      </c>
    </row>
    <row r="367" spans="1:6" x14ac:dyDescent="0.25">
      <c r="A367" s="59" t="s">
        <v>7</v>
      </c>
      <c r="B367" s="59">
        <v>8</v>
      </c>
      <c r="C367" s="52">
        <v>44676</v>
      </c>
      <c r="D367" s="66">
        <f t="shared" si="5"/>
        <v>2022</v>
      </c>
      <c r="E367" s="66" t="str">
        <f>TEXT(Tabela2[[#This Row],[Semana]],"mmmm")</f>
        <v>abril</v>
      </c>
      <c r="F367" t="str">
        <f>IF(MONTH(Tabela2[[#This Row],[Semana]])&lt;=6,"1ª Semestre","2ª Semestre")</f>
        <v>1ª Semestre</v>
      </c>
    </row>
    <row r="368" spans="1:6" x14ac:dyDescent="0.25">
      <c r="A368" s="59" t="s">
        <v>2</v>
      </c>
      <c r="B368" s="59">
        <v>215</v>
      </c>
      <c r="C368" s="52">
        <v>44683</v>
      </c>
      <c r="D368" s="66">
        <f t="shared" si="5"/>
        <v>2022</v>
      </c>
      <c r="E368" s="66" t="str">
        <f>TEXT(Tabela2[[#This Row],[Semana]],"mmmm")</f>
        <v>maio</v>
      </c>
      <c r="F368" t="str">
        <f>IF(MONTH(Tabela2[[#This Row],[Semana]])&lt;=6,"1ª Semestre","2ª Semestre")</f>
        <v>1ª Semestre</v>
      </c>
    </row>
    <row r="369" spans="1:6" x14ac:dyDescent="0.25">
      <c r="A369" s="59" t="s">
        <v>5</v>
      </c>
      <c r="B369" s="59">
        <v>17</v>
      </c>
      <c r="C369" s="52">
        <v>44683</v>
      </c>
      <c r="D369" s="66">
        <f t="shared" si="5"/>
        <v>2022</v>
      </c>
      <c r="E369" s="66" t="str">
        <f>TEXT(Tabela2[[#This Row],[Semana]],"mmmm")</f>
        <v>maio</v>
      </c>
      <c r="F369" t="str">
        <f>IF(MONTH(Tabela2[[#This Row],[Semana]])&lt;=6,"1ª Semestre","2ª Semestre")</f>
        <v>1ª Semestre</v>
      </c>
    </row>
    <row r="370" spans="1:6" x14ac:dyDescent="0.25">
      <c r="A370" s="59" t="s">
        <v>6</v>
      </c>
      <c r="B370" s="59">
        <v>3</v>
      </c>
      <c r="C370" s="52">
        <v>44683</v>
      </c>
      <c r="D370" s="66">
        <f t="shared" si="5"/>
        <v>2022</v>
      </c>
      <c r="E370" s="66" t="str">
        <f>TEXT(Tabela2[[#This Row],[Semana]],"mmmm")</f>
        <v>maio</v>
      </c>
      <c r="F370" t="str">
        <f>IF(MONTH(Tabela2[[#This Row],[Semana]])&lt;=6,"1ª Semestre","2ª Semestre")</f>
        <v>1ª Semestre</v>
      </c>
    </row>
    <row r="371" spans="1:6" x14ac:dyDescent="0.25">
      <c r="A371" s="59" t="s">
        <v>4</v>
      </c>
      <c r="B371" s="59">
        <v>0</v>
      </c>
      <c r="C371" s="52">
        <v>44683</v>
      </c>
      <c r="D371" s="66">
        <f t="shared" si="5"/>
        <v>2022</v>
      </c>
      <c r="E371" s="66" t="str">
        <f>TEXT(Tabela2[[#This Row],[Semana]],"mmmm")</f>
        <v>maio</v>
      </c>
      <c r="F371" t="str">
        <f>IF(MONTH(Tabela2[[#This Row],[Semana]])&lt;=6,"1ª Semestre","2ª Semestre")</f>
        <v>1ª Semestre</v>
      </c>
    </row>
    <row r="372" spans="1:6" x14ac:dyDescent="0.25">
      <c r="A372" s="59" t="s">
        <v>3</v>
      </c>
      <c r="B372" s="59">
        <v>0</v>
      </c>
      <c r="C372" s="52">
        <v>44683</v>
      </c>
      <c r="D372" s="66">
        <f t="shared" si="5"/>
        <v>2022</v>
      </c>
      <c r="E372" s="66" t="str">
        <f>TEXT(Tabela2[[#This Row],[Semana]],"mmmm")</f>
        <v>maio</v>
      </c>
      <c r="F372" t="str">
        <f>IF(MONTH(Tabela2[[#This Row],[Semana]])&lt;=6,"1ª Semestre","2ª Semestre")</f>
        <v>1ª Semestre</v>
      </c>
    </row>
    <row r="373" spans="1:6" x14ac:dyDescent="0.25">
      <c r="A373" s="59" t="s">
        <v>7</v>
      </c>
      <c r="B373" s="59">
        <v>17</v>
      </c>
      <c r="C373" s="52">
        <v>44683</v>
      </c>
      <c r="D373" s="66">
        <f t="shared" si="5"/>
        <v>2022</v>
      </c>
      <c r="E373" s="66" t="str">
        <f>TEXT(Tabela2[[#This Row],[Semana]],"mmmm")</f>
        <v>maio</v>
      </c>
      <c r="F373" t="str">
        <f>IF(MONTH(Tabela2[[#This Row],[Semana]])&lt;=6,"1ª Semestre","2ª Semestre")</f>
        <v>1ª Semestre</v>
      </c>
    </row>
    <row r="374" spans="1:6" x14ac:dyDescent="0.25">
      <c r="A374" s="59" t="s">
        <v>2</v>
      </c>
      <c r="B374" s="59">
        <v>227</v>
      </c>
      <c r="C374" s="52">
        <v>44689</v>
      </c>
      <c r="D374" s="66">
        <f t="shared" si="5"/>
        <v>2022</v>
      </c>
      <c r="E374" s="66" t="str">
        <f>TEXT(Tabela2[[#This Row],[Semana]],"mmmm")</f>
        <v>maio</v>
      </c>
      <c r="F374" t="str">
        <f>IF(MONTH(Tabela2[[#This Row],[Semana]])&lt;=6,"1ª Semestre","2ª Semestre")</f>
        <v>1ª Semestre</v>
      </c>
    </row>
    <row r="375" spans="1:6" x14ac:dyDescent="0.25">
      <c r="A375" s="59" t="s">
        <v>5</v>
      </c>
      <c r="B375" s="59">
        <v>7</v>
      </c>
      <c r="C375" s="52">
        <v>44689</v>
      </c>
      <c r="D375" s="66">
        <f t="shared" si="5"/>
        <v>2022</v>
      </c>
      <c r="E375" s="66" t="str">
        <f>TEXT(Tabela2[[#This Row],[Semana]],"mmmm")</f>
        <v>maio</v>
      </c>
      <c r="F375" t="str">
        <f>IF(MONTH(Tabela2[[#This Row],[Semana]])&lt;=6,"1ª Semestre","2ª Semestre")</f>
        <v>1ª Semestre</v>
      </c>
    </row>
    <row r="376" spans="1:6" x14ac:dyDescent="0.25">
      <c r="A376" s="59" t="s">
        <v>6</v>
      </c>
      <c r="B376" s="59">
        <v>3</v>
      </c>
      <c r="C376" s="52">
        <v>44689</v>
      </c>
      <c r="D376" s="66">
        <f t="shared" si="5"/>
        <v>2022</v>
      </c>
      <c r="E376" s="66" t="str">
        <f>TEXT(Tabela2[[#This Row],[Semana]],"mmmm")</f>
        <v>maio</v>
      </c>
      <c r="F376" t="str">
        <f>IF(MONTH(Tabela2[[#This Row],[Semana]])&lt;=6,"1ª Semestre","2ª Semestre")</f>
        <v>1ª Semestre</v>
      </c>
    </row>
    <row r="377" spans="1:6" x14ac:dyDescent="0.25">
      <c r="A377" s="59" t="s">
        <v>4</v>
      </c>
      <c r="B377" s="59">
        <v>0</v>
      </c>
      <c r="C377" s="52">
        <v>44689</v>
      </c>
      <c r="D377" s="66">
        <f t="shared" si="5"/>
        <v>2022</v>
      </c>
      <c r="E377" s="66" t="str">
        <f>TEXT(Tabela2[[#This Row],[Semana]],"mmmm")</f>
        <v>maio</v>
      </c>
      <c r="F377" t="str">
        <f>IF(MONTH(Tabela2[[#This Row],[Semana]])&lt;=6,"1ª Semestre","2ª Semestre")</f>
        <v>1ª Semestre</v>
      </c>
    </row>
    <row r="378" spans="1:6" x14ac:dyDescent="0.25">
      <c r="A378" s="59" t="s">
        <v>3</v>
      </c>
      <c r="B378" s="59">
        <v>0</v>
      </c>
      <c r="C378" s="52">
        <v>44689</v>
      </c>
      <c r="D378" s="66">
        <f t="shared" si="5"/>
        <v>2022</v>
      </c>
      <c r="E378" s="66" t="str">
        <f>TEXT(Tabela2[[#This Row],[Semana]],"mmmm")</f>
        <v>maio</v>
      </c>
      <c r="F378" t="str">
        <f>IF(MONTH(Tabela2[[#This Row],[Semana]])&lt;=6,"1ª Semestre","2ª Semestre")</f>
        <v>1ª Semestre</v>
      </c>
    </row>
    <row r="379" spans="1:6" x14ac:dyDescent="0.25">
      <c r="A379" s="59" t="s">
        <v>7</v>
      </c>
      <c r="B379" s="59">
        <v>11</v>
      </c>
      <c r="C379" s="52">
        <v>44689</v>
      </c>
      <c r="D379" s="66">
        <f t="shared" si="5"/>
        <v>2022</v>
      </c>
      <c r="E379" s="66" t="str">
        <f>TEXT(Tabela2[[#This Row],[Semana]],"mmmm")</f>
        <v>maio</v>
      </c>
      <c r="F379" t="str">
        <f>IF(MONTH(Tabela2[[#This Row],[Semana]])&lt;=6,"1ª Semestre","2ª Semestre")</f>
        <v>1ª Semestre</v>
      </c>
    </row>
    <row r="380" spans="1:6" x14ac:dyDescent="0.25">
      <c r="A380" s="59" t="s">
        <v>2</v>
      </c>
      <c r="B380" s="59">
        <v>199</v>
      </c>
      <c r="C380" s="52">
        <v>44697</v>
      </c>
      <c r="D380" s="66">
        <f t="shared" si="5"/>
        <v>2022</v>
      </c>
      <c r="E380" s="66" t="str">
        <f>TEXT(Tabela2[[#This Row],[Semana]],"mmmm")</f>
        <v>maio</v>
      </c>
      <c r="F380" t="str">
        <f>IF(MONTH(Tabela2[[#This Row],[Semana]])&lt;=6,"1ª Semestre","2ª Semestre")</f>
        <v>1ª Semestre</v>
      </c>
    </row>
    <row r="381" spans="1:6" x14ac:dyDescent="0.25">
      <c r="A381" s="59" t="s">
        <v>5</v>
      </c>
      <c r="B381" s="59">
        <v>7</v>
      </c>
      <c r="C381" s="52">
        <v>44697</v>
      </c>
      <c r="D381" s="66">
        <f t="shared" si="5"/>
        <v>2022</v>
      </c>
      <c r="E381" s="66" t="str">
        <f>TEXT(Tabela2[[#This Row],[Semana]],"mmmm")</f>
        <v>maio</v>
      </c>
      <c r="F381" t="str">
        <f>IF(MONTH(Tabela2[[#This Row],[Semana]])&lt;=6,"1ª Semestre","2ª Semestre")</f>
        <v>1ª Semestre</v>
      </c>
    </row>
    <row r="382" spans="1:6" x14ac:dyDescent="0.25">
      <c r="A382" s="59" t="s">
        <v>6</v>
      </c>
      <c r="B382" s="59">
        <v>8</v>
      </c>
      <c r="C382" s="52">
        <v>44697</v>
      </c>
      <c r="D382" s="66">
        <f t="shared" si="5"/>
        <v>2022</v>
      </c>
      <c r="E382" s="66" t="str">
        <f>TEXT(Tabela2[[#This Row],[Semana]],"mmmm")</f>
        <v>maio</v>
      </c>
      <c r="F382" t="str">
        <f>IF(MONTH(Tabela2[[#This Row],[Semana]])&lt;=6,"1ª Semestre","2ª Semestre")</f>
        <v>1ª Semestre</v>
      </c>
    </row>
    <row r="383" spans="1:6" x14ac:dyDescent="0.25">
      <c r="A383" s="59" t="s">
        <v>4</v>
      </c>
      <c r="B383" s="59">
        <v>0</v>
      </c>
      <c r="C383" s="52">
        <v>44697</v>
      </c>
      <c r="D383" s="66">
        <f t="shared" si="5"/>
        <v>2022</v>
      </c>
      <c r="E383" s="66" t="str">
        <f>TEXT(Tabela2[[#This Row],[Semana]],"mmmm")</f>
        <v>maio</v>
      </c>
      <c r="F383" t="str">
        <f>IF(MONTH(Tabela2[[#This Row],[Semana]])&lt;=6,"1ª Semestre","2ª Semestre")</f>
        <v>1ª Semestre</v>
      </c>
    </row>
    <row r="384" spans="1:6" x14ac:dyDescent="0.25">
      <c r="A384" s="59" t="s">
        <v>3</v>
      </c>
      <c r="B384" s="59">
        <v>0</v>
      </c>
      <c r="C384" s="52">
        <v>44697</v>
      </c>
      <c r="D384" s="66">
        <f t="shared" si="5"/>
        <v>2022</v>
      </c>
      <c r="E384" s="66" t="str">
        <f>TEXT(Tabela2[[#This Row],[Semana]],"mmmm")</f>
        <v>maio</v>
      </c>
      <c r="F384" t="str">
        <f>IF(MONTH(Tabela2[[#This Row],[Semana]])&lt;=6,"1ª Semestre","2ª Semestre")</f>
        <v>1ª Semestre</v>
      </c>
    </row>
    <row r="385" spans="1:6" x14ac:dyDescent="0.25">
      <c r="A385" s="59" t="s">
        <v>7</v>
      </c>
      <c r="B385" s="59">
        <v>11</v>
      </c>
      <c r="C385" s="52">
        <v>44697</v>
      </c>
      <c r="D385" s="66">
        <f t="shared" si="5"/>
        <v>2022</v>
      </c>
      <c r="E385" s="66" t="str">
        <f>TEXT(Tabela2[[#This Row],[Semana]],"mmmm")</f>
        <v>maio</v>
      </c>
      <c r="F385" t="str">
        <f>IF(MONTH(Tabela2[[#This Row],[Semana]])&lt;=6,"1ª Semestre","2ª Semestre")</f>
        <v>1ª Semestre</v>
      </c>
    </row>
    <row r="386" spans="1:6" x14ac:dyDescent="0.25">
      <c r="A386" s="59" t="s">
        <v>2</v>
      </c>
      <c r="B386" s="59">
        <v>197</v>
      </c>
      <c r="C386" s="52">
        <v>44704</v>
      </c>
      <c r="D386" s="66">
        <f t="shared" si="5"/>
        <v>2022</v>
      </c>
      <c r="E386" s="66" t="str">
        <f>TEXT(Tabela2[[#This Row],[Semana]],"mmmm")</f>
        <v>maio</v>
      </c>
      <c r="F386" t="str">
        <f>IF(MONTH(Tabela2[[#This Row],[Semana]])&lt;=6,"1ª Semestre","2ª Semestre")</f>
        <v>1ª Semestre</v>
      </c>
    </row>
    <row r="387" spans="1:6" x14ac:dyDescent="0.25">
      <c r="A387" s="59" t="s">
        <v>5</v>
      </c>
      <c r="B387" s="59">
        <v>20</v>
      </c>
      <c r="C387" s="52">
        <v>44704</v>
      </c>
      <c r="D387" s="66">
        <f t="shared" ref="D387:D450" si="6">YEAR((C387))</f>
        <v>2022</v>
      </c>
      <c r="E387" s="66" t="str">
        <f>TEXT(Tabela2[[#This Row],[Semana]],"mmmm")</f>
        <v>maio</v>
      </c>
      <c r="F387" t="str">
        <f>IF(MONTH(Tabela2[[#This Row],[Semana]])&lt;=6,"1ª Semestre","2ª Semestre")</f>
        <v>1ª Semestre</v>
      </c>
    </row>
    <row r="388" spans="1:6" x14ac:dyDescent="0.25">
      <c r="A388" s="59" t="s">
        <v>6</v>
      </c>
      <c r="B388" s="59">
        <v>5</v>
      </c>
      <c r="C388" s="52">
        <v>44704</v>
      </c>
      <c r="D388" s="66">
        <f t="shared" si="6"/>
        <v>2022</v>
      </c>
      <c r="E388" s="66" t="str">
        <f>TEXT(Tabela2[[#This Row],[Semana]],"mmmm")</f>
        <v>maio</v>
      </c>
      <c r="F388" t="str">
        <f>IF(MONTH(Tabela2[[#This Row],[Semana]])&lt;=6,"1ª Semestre","2ª Semestre")</f>
        <v>1ª Semestre</v>
      </c>
    </row>
    <row r="389" spans="1:6" x14ac:dyDescent="0.25">
      <c r="A389" s="59" t="s">
        <v>4</v>
      </c>
      <c r="B389" s="59">
        <v>0</v>
      </c>
      <c r="C389" s="52">
        <v>44704</v>
      </c>
      <c r="D389" s="66">
        <f t="shared" si="6"/>
        <v>2022</v>
      </c>
      <c r="E389" s="66" t="str">
        <f>TEXT(Tabela2[[#This Row],[Semana]],"mmmm")</f>
        <v>maio</v>
      </c>
      <c r="F389" t="str">
        <f>IF(MONTH(Tabela2[[#This Row],[Semana]])&lt;=6,"1ª Semestre","2ª Semestre")</f>
        <v>1ª Semestre</v>
      </c>
    </row>
    <row r="390" spans="1:6" x14ac:dyDescent="0.25">
      <c r="A390" s="59" t="s">
        <v>3</v>
      </c>
      <c r="B390" s="59">
        <v>0</v>
      </c>
      <c r="C390" s="52">
        <v>44704</v>
      </c>
      <c r="D390" s="66">
        <f t="shared" si="6"/>
        <v>2022</v>
      </c>
      <c r="E390" s="66" t="str">
        <f>TEXT(Tabela2[[#This Row],[Semana]],"mmmm")</f>
        <v>maio</v>
      </c>
      <c r="F390" t="str">
        <f>IF(MONTH(Tabela2[[#This Row],[Semana]])&lt;=6,"1ª Semestre","2ª Semestre")</f>
        <v>1ª Semestre</v>
      </c>
    </row>
    <row r="391" spans="1:6" x14ac:dyDescent="0.25">
      <c r="A391" s="59" t="s">
        <v>7</v>
      </c>
      <c r="B391" s="59">
        <v>11</v>
      </c>
      <c r="C391" s="52">
        <v>44704</v>
      </c>
      <c r="D391" s="66">
        <f t="shared" si="6"/>
        <v>2022</v>
      </c>
      <c r="E391" s="66" t="str">
        <f>TEXT(Tabela2[[#This Row],[Semana]],"mmmm")</f>
        <v>maio</v>
      </c>
      <c r="F391" t="str">
        <f>IF(MONTH(Tabela2[[#This Row],[Semana]])&lt;=6,"1ª Semestre","2ª Semestre")</f>
        <v>1ª Semestre</v>
      </c>
    </row>
    <row r="392" spans="1:6" x14ac:dyDescent="0.25">
      <c r="A392" s="59" t="s">
        <v>2</v>
      </c>
      <c r="B392" s="59">
        <v>196</v>
      </c>
      <c r="C392" s="52">
        <v>44711</v>
      </c>
      <c r="D392" s="66">
        <f t="shared" si="6"/>
        <v>2022</v>
      </c>
      <c r="E392" s="66" t="str">
        <f>TEXT(Tabela2[[#This Row],[Semana]],"mmmm")</f>
        <v>maio</v>
      </c>
      <c r="F392" t="str">
        <f>IF(MONTH(Tabela2[[#This Row],[Semana]])&lt;=6,"1ª Semestre","2ª Semestre")</f>
        <v>1ª Semestre</v>
      </c>
    </row>
    <row r="393" spans="1:6" x14ac:dyDescent="0.25">
      <c r="A393" s="59" t="s">
        <v>5</v>
      </c>
      <c r="B393" s="59">
        <v>5</v>
      </c>
      <c r="C393" s="52">
        <v>44711</v>
      </c>
      <c r="D393" s="66">
        <f t="shared" si="6"/>
        <v>2022</v>
      </c>
      <c r="E393" s="66" t="str">
        <f>TEXT(Tabela2[[#This Row],[Semana]],"mmmm")</f>
        <v>maio</v>
      </c>
      <c r="F393" t="str">
        <f>IF(MONTH(Tabela2[[#This Row],[Semana]])&lt;=6,"1ª Semestre","2ª Semestre")</f>
        <v>1ª Semestre</v>
      </c>
    </row>
    <row r="394" spans="1:6" x14ac:dyDescent="0.25">
      <c r="A394" s="59" t="s">
        <v>6</v>
      </c>
      <c r="B394" s="59">
        <v>7</v>
      </c>
      <c r="C394" s="52">
        <v>44711</v>
      </c>
      <c r="D394" s="66">
        <f t="shared" si="6"/>
        <v>2022</v>
      </c>
      <c r="E394" s="66" t="str">
        <f>TEXT(Tabela2[[#This Row],[Semana]],"mmmm")</f>
        <v>maio</v>
      </c>
      <c r="F394" t="str">
        <f>IF(MONTH(Tabela2[[#This Row],[Semana]])&lt;=6,"1ª Semestre","2ª Semestre")</f>
        <v>1ª Semestre</v>
      </c>
    </row>
    <row r="395" spans="1:6" x14ac:dyDescent="0.25">
      <c r="A395" s="59" t="s">
        <v>4</v>
      </c>
      <c r="B395" s="59">
        <v>0</v>
      </c>
      <c r="C395" s="52">
        <v>44711</v>
      </c>
      <c r="D395" s="66">
        <f t="shared" si="6"/>
        <v>2022</v>
      </c>
      <c r="E395" s="66" t="str">
        <f>TEXT(Tabela2[[#This Row],[Semana]],"mmmm")</f>
        <v>maio</v>
      </c>
      <c r="F395" t="str">
        <f>IF(MONTH(Tabela2[[#This Row],[Semana]])&lt;=6,"1ª Semestre","2ª Semestre")</f>
        <v>1ª Semestre</v>
      </c>
    </row>
    <row r="396" spans="1:6" x14ac:dyDescent="0.25">
      <c r="A396" s="59" t="s">
        <v>3</v>
      </c>
      <c r="B396" s="59">
        <v>0</v>
      </c>
      <c r="C396" s="52">
        <v>44711</v>
      </c>
      <c r="D396" s="66">
        <f t="shared" si="6"/>
        <v>2022</v>
      </c>
      <c r="E396" s="66" t="str">
        <f>TEXT(Tabela2[[#This Row],[Semana]],"mmmm")</f>
        <v>maio</v>
      </c>
      <c r="F396" t="str">
        <f>IF(MONTH(Tabela2[[#This Row],[Semana]])&lt;=6,"1ª Semestre","2ª Semestre")</f>
        <v>1ª Semestre</v>
      </c>
    </row>
    <row r="397" spans="1:6" x14ac:dyDescent="0.25">
      <c r="A397" s="59" t="s">
        <v>7</v>
      </c>
      <c r="B397" s="59">
        <v>9</v>
      </c>
      <c r="C397" s="52">
        <v>44711</v>
      </c>
      <c r="D397" s="66">
        <f t="shared" si="6"/>
        <v>2022</v>
      </c>
      <c r="E397" s="66" t="str">
        <f>TEXT(Tabela2[[#This Row],[Semana]],"mmmm")</f>
        <v>maio</v>
      </c>
      <c r="F397" t="str">
        <f>IF(MONTH(Tabela2[[#This Row],[Semana]])&lt;=6,"1ª Semestre","2ª Semestre")</f>
        <v>1ª Semestre</v>
      </c>
    </row>
    <row r="398" spans="1:6" x14ac:dyDescent="0.25">
      <c r="A398" s="59" t="s">
        <v>2</v>
      </c>
      <c r="B398" s="59">
        <v>187</v>
      </c>
      <c r="C398" s="52">
        <v>44718</v>
      </c>
      <c r="D398" s="66">
        <f t="shared" si="6"/>
        <v>2022</v>
      </c>
      <c r="E398" s="66" t="str">
        <f>TEXT(Tabela2[[#This Row],[Semana]],"mmmm")</f>
        <v>junho</v>
      </c>
      <c r="F398" t="str">
        <f>IF(MONTH(Tabela2[[#This Row],[Semana]])&lt;=6,"1ª Semestre","2ª Semestre")</f>
        <v>1ª Semestre</v>
      </c>
    </row>
    <row r="399" spans="1:6" x14ac:dyDescent="0.25">
      <c r="A399" s="59" t="s">
        <v>5</v>
      </c>
      <c r="B399" s="59">
        <v>4</v>
      </c>
      <c r="C399" s="52">
        <v>44718</v>
      </c>
      <c r="D399" s="66">
        <f t="shared" si="6"/>
        <v>2022</v>
      </c>
      <c r="E399" s="66" t="str">
        <f>TEXT(Tabela2[[#This Row],[Semana]],"mmmm")</f>
        <v>junho</v>
      </c>
      <c r="F399" t="str">
        <f>IF(MONTH(Tabela2[[#This Row],[Semana]])&lt;=6,"1ª Semestre","2ª Semestre")</f>
        <v>1ª Semestre</v>
      </c>
    </row>
    <row r="400" spans="1:6" x14ac:dyDescent="0.25">
      <c r="A400" s="59" t="s">
        <v>6</v>
      </c>
      <c r="B400" s="59">
        <v>6</v>
      </c>
      <c r="C400" s="52">
        <v>44718</v>
      </c>
      <c r="D400" s="66">
        <f t="shared" si="6"/>
        <v>2022</v>
      </c>
      <c r="E400" s="66" t="str">
        <f>TEXT(Tabela2[[#This Row],[Semana]],"mmmm")</f>
        <v>junho</v>
      </c>
      <c r="F400" t="str">
        <f>IF(MONTH(Tabela2[[#This Row],[Semana]])&lt;=6,"1ª Semestre","2ª Semestre")</f>
        <v>1ª Semestre</v>
      </c>
    </row>
    <row r="401" spans="1:6" x14ac:dyDescent="0.25">
      <c r="A401" s="59" t="s">
        <v>4</v>
      </c>
      <c r="B401" s="59">
        <v>0</v>
      </c>
      <c r="C401" s="52">
        <v>44718</v>
      </c>
      <c r="D401" s="66">
        <f t="shared" si="6"/>
        <v>2022</v>
      </c>
      <c r="E401" s="66" t="str">
        <f>TEXT(Tabela2[[#This Row],[Semana]],"mmmm")</f>
        <v>junho</v>
      </c>
      <c r="F401" t="str">
        <f>IF(MONTH(Tabela2[[#This Row],[Semana]])&lt;=6,"1ª Semestre","2ª Semestre")</f>
        <v>1ª Semestre</v>
      </c>
    </row>
    <row r="402" spans="1:6" x14ac:dyDescent="0.25">
      <c r="A402" s="59" t="s">
        <v>3</v>
      </c>
      <c r="B402" s="59">
        <v>0</v>
      </c>
      <c r="C402" s="52">
        <v>44718</v>
      </c>
      <c r="D402" s="66">
        <f t="shared" si="6"/>
        <v>2022</v>
      </c>
      <c r="E402" s="66" t="str">
        <f>TEXT(Tabela2[[#This Row],[Semana]],"mmmm")</f>
        <v>junho</v>
      </c>
      <c r="F402" t="str">
        <f>IF(MONTH(Tabela2[[#This Row],[Semana]])&lt;=6,"1ª Semestre","2ª Semestre")</f>
        <v>1ª Semestre</v>
      </c>
    </row>
    <row r="403" spans="1:6" x14ac:dyDescent="0.25">
      <c r="A403" s="59" t="s">
        <v>7</v>
      </c>
      <c r="B403" s="59">
        <v>6</v>
      </c>
      <c r="C403" s="52">
        <v>44718</v>
      </c>
      <c r="D403" s="66">
        <f t="shared" si="6"/>
        <v>2022</v>
      </c>
      <c r="E403" s="66" t="str">
        <f>TEXT(Tabela2[[#This Row],[Semana]],"mmmm")</f>
        <v>junho</v>
      </c>
      <c r="F403" t="str">
        <f>IF(MONTH(Tabela2[[#This Row],[Semana]])&lt;=6,"1ª Semestre","2ª Semestre")</f>
        <v>1ª Semestre</v>
      </c>
    </row>
    <row r="404" spans="1:6" x14ac:dyDescent="0.25">
      <c r="A404" s="59" t="s">
        <v>2</v>
      </c>
      <c r="B404" s="59">
        <v>171</v>
      </c>
      <c r="C404" s="52">
        <v>44725</v>
      </c>
      <c r="D404" s="66">
        <f t="shared" si="6"/>
        <v>2022</v>
      </c>
      <c r="E404" s="66" t="str">
        <f>TEXT(Tabela2[[#This Row],[Semana]],"mmmm")</f>
        <v>junho</v>
      </c>
      <c r="F404" t="str">
        <f>IF(MONTH(Tabela2[[#This Row],[Semana]])&lt;=6,"1ª Semestre","2ª Semestre")</f>
        <v>1ª Semestre</v>
      </c>
    </row>
    <row r="405" spans="1:6" x14ac:dyDescent="0.25">
      <c r="A405" s="59" t="s">
        <v>5</v>
      </c>
      <c r="B405" s="59">
        <v>4</v>
      </c>
      <c r="C405" s="52">
        <v>44725</v>
      </c>
      <c r="D405" s="66">
        <f t="shared" si="6"/>
        <v>2022</v>
      </c>
      <c r="E405" s="66" t="str">
        <f>TEXT(Tabela2[[#This Row],[Semana]],"mmmm")</f>
        <v>junho</v>
      </c>
      <c r="F405" t="str">
        <f>IF(MONTH(Tabela2[[#This Row],[Semana]])&lt;=6,"1ª Semestre","2ª Semestre")</f>
        <v>1ª Semestre</v>
      </c>
    </row>
    <row r="406" spans="1:6" x14ac:dyDescent="0.25">
      <c r="A406" s="59" t="s">
        <v>6</v>
      </c>
      <c r="B406" s="59">
        <v>13</v>
      </c>
      <c r="C406" s="52">
        <v>44725</v>
      </c>
      <c r="D406" s="66">
        <f t="shared" si="6"/>
        <v>2022</v>
      </c>
      <c r="E406" s="66" t="str">
        <f>TEXT(Tabela2[[#This Row],[Semana]],"mmmm")</f>
        <v>junho</v>
      </c>
      <c r="F406" t="str">
        <f>IF(MONTH(Tabela2[[#This Row],[Semana]])&lt;=6,"1ª Semestre","2ª Semestre")</f>
        <v>1ª Semestre</v>
      </c>
    </row>
    <row r="407" spans="1:6" x14ac:dyDescent="0.25">
      <c r="A407" s="59" t="s">
        <v>4</v>
      </c>
      <c r="B407" s="59">
        <v>0</v>
      </c>
      <c r="C407" s="52">
        <v>44725</v>
      </c>
      <c r="D407" s="66">
        <f t="shared" si="6"/>
        <v>2022</v>
      </c>
      <c r="E407" s="66" t="str">
        <f>TEXT(Tabela2[[#This Row],[Semana]],"mmmm")</f>
        <v>junho</v>
      </c>
      <c r="F407" t="str">
        <f>IF(MONTH(Tabela2[[#This Row],[Semana]])&lt;=6,"1ª Semestre","2ª Semestre")</f>
        <v>1ª Semestre</v>
      </c>
    </row>
    <row r="408" spans="1:6" x14ac:dyDescent="0.25">
      <c r="A408" s="59" t="s">
        <v>3</v>
      </c>
      <c r="B408" s="59">
        <v>0</v>
      </c>
      <c r="C408" s="52">
        <v>44725</v>
      </c>
      <c r="D408" s="66">
        <f t="shared" si="6"/>
        <v>2022</v>
      </c>
      <c r="E408" s="66" t="str">
        <f>TEXT(Tabela2[[#This Row],[Semana]],"mmmm")</f>
        <v>junho</v>
      </c>
      <c r="F408" t="str">
        <f>IF(MONTH(Tabela2[[#This Row],[Semana]])&lt;=6,"1ª Semestre","2ª Semestre")</f>
        <v>1ª Semestre</v>
      </c>
    </row>
    <row r="409" spans="1:6" x14ac:dyDescent="0.25">
      <c r="A409" s="59" t="s">
        <v>7</v>
      </c>
      <c r="B409" s="59">
        <v>11</v>
      </c>
      <c r="C409" s="52">
        <v>44725</v>
      </c>
      <c r="D409" s="66">
        <f t="shared" si="6"/>
        <v>2022</v>
      </c>
      <c r="E409" s="66" t="str">
        <f>TEXT(Tabela2[[#This Row],[Semana]],"mmmm")</f>
        <v>junho</v>
      </c>
      <c r="F409" t="str">
        <f>IF(MONTH(Tabela2[[#This Row],[Semana]])&lt;=6,"1ª Semestre","2ª Semestre")</f>
        <v>1ª Semestre</v>
      </c>
    </row>
    <row r="410" spans="1:6" x14ac:dyDescent="0.25">
      <c r="A410" s="59" t="s">
        <v>2</v>
      </c>
      <c r="B410" s="59">
        <v>149</v>
      </c>
      <c r="C410" s="52">
        <v>44732</v>
      </c>
      <c r="D410" s="66">
        <f t="shared" si="6"/>
        <v>2022</v>
      </c>
      <c r="E410" s="66" t="str">
        <f>TEXT(Tabela2[[#This Row],[Semana]],"mmmm")</f>
        <v>junho</v>
      </c>
      <c r="F410" t="str">
        <f>IF(MONTH(Tabela2[[#This Row],[Semana]])&lt;=6,"1ª Semestre","2ª Semestre")</f>
        <v>1ª Semestre</v>
      </c>
    </row>
    <row r="411" spans="1:6" x14ac:dyDescent="0.25">
      <c r="A411" s="59" t="s">
        <v>5</v>
      </c>
      <c r="B411" s="59">
        <v>8</v>
      </c>
      <c r="C411" s="52">
        <v>44732</v>
      </c>
      <c r="D411" s="66">
        <f t="shared" si="6"/>
        <v>2022</v>
      </c>
      <c r="E411" s="66" t="str">
        <f>TEXT(Tabela2[[#This Row],[Semana]],"mmmm")</f>
        <v>junho</v>
      </c>
      <c r="F411" t="str">
        <f>IF(MONTH(Tabela2[[#This Row],[Semana]])&lt;=6,"1ª Semestre","2ª Semestre")</f>
        <v>1ª Semestre</v>
      </c>
    </row>
    <row r="412" spans="1:6" x14ac:dyDescent="0.25">
      <c r="A412" s="59" t="s">
        <v>6</v>
      </c>
      <c r="B412" s="59">
        <v>2</v>
      </c>
      <c r="C412" s="52">
        <v>44732</v>
      </c>
      <c r="D412" s="66">
        <f t="shared" si="6"/>
        <v>2022</v>
      </c>
      <c r="E412" s="66" t="str">
        <f>TEXT(Tabela2[[#This Row],[Semana]],"mmmm")</f>
        <v>junho</v>
      </c>
      <c r="F412" t="str">
        <f>IF(MONTH(Tabela2[[#This Row],[Semana]])&lt;=6,"1ª Semestre","2ª Semestre")</f>
        <v>1ª Semestre</v>
      </c>
    </row>
    <row r="413" spans="1:6" x14ac:dyDescent="0.25">
      <c r="A413" s="59" t="s">
        <v>4</v>
      </c>
      <c r="B413" s="59">
        <v>5</v>
      </c>
      <c r="C413" s="52">
        <v>44732</v>
      </c>
      <c r="D413" s="66">
        <f t="shared" si="6"/>
        <v>2022</v>
      </c>
      <c r="E413" s="66" t="str">
        <f>TEXT(Tabela2[[#This Row],[Semana]],"mmmm")</f>
        <v>junho</v>
      </c>
      <c r="F413" t="str">
        <f>IF(MONTH(Tabela2[[#This Row],[Semana]])&lt;=6,"1ª Semestre","2ª Semestre")</f>
        <v>1ª Semestre</v>
      </c>
    </row>
    <row r="414" spans="1:6" x14ac:dyDescent="0.25">
      <c r="A414" s="59" t="s">
        <v>3</v>
      </c>
      <c r="B414" s="59">
        <v>0</v>
      </c>
      <c r="C414" s="52">
        <v>44732</v>
      </c>
      <c r="D414" s="66">
        <f t="shared" si="6"/>
        <v>2022</v>
      </c>
      <c r="E414" s="66" t="str">
        <f>TEXT(Tabela2[[#This Row],[Semana]],"mmmm")</f>
        <v>junho</v>
      </c>
      <c r="F414" t="str">
        <f>IF(MONTH(Tabela2[[#This Row],[Semana]])&lt;=6,"1ª Semestre","2ª Semestre")</f>
        <v>1ª Semestre</v>
      </c>
    </row>
    <row r="415" spans="1:6" x14ac:dyDescent="0.25">
      <c r="A415" s="59" t="s">
        <v>7</v>
      </c>
      <c r="B415" s="59">
        <v>7</v>
      </c>
      <c r="C415" s="52">
        <v>44732</v>
      </c>
      <c r="D415" s="66">
        <f t="shared" si="6"/>
        <v>2022</v>
      </c>
      <c r="E415" s="66" t="str">
        <f>TEXT(Tabela2[[#This Row],[Semana]],"mmmm")</f>
        <v>junho</v>
      </c>
      <c r="F415" t="str">
        <f>IF(MONTH(Tabela2[[#This Row],[Semana]])&lt;=6,"1ª Semestre","2ª Semestre")</f>
        <v>1ª Semestre</v>
      </c>
    </row>
    <row r="416" spans="1:6" x14ac:dyDescent="0.25">
      <c r="A416" s="59" t="s">
        <v>2</v>
      </c>
      <c r="B416" s="59">
        <v>127</v>
      </c>
      <c r="C416" s="52">
        <v>44739</v>
      </c>
      <c r="D416" s="66">
        <f t="shared" si="6"/>
        <v>2022</v>
      </c>
      <c r="E416" s="66" t="str">
        <f>TEXT(Tabela2[[#This Row],[Semana]],"mmmm")</f>
        <v>junho</v>
      </c>
      <c r="F416" t="str">
        <f>IF(MONTH(Tabela2[[#This Row],[Semana]])&lt;=6,"1ª Semestre","2ª Semestre")</f>
        <v>1ª Semestre</v>
      </c>
    </row>
    <row r="417" spans="1:6" x14ac:dyDescent="0.25">
      <c r="A417" s="59" t="s">
        <v>5</v>
      </c>
      <c r="B417" s="59">
        <v>9</v>
      </c>
      <c r="C417" s="52">
        <v>44739</v>
      </c>
      <c r="D417" s="66">
        <f t="shared" si="6"/>
        <v>2022</v>
      </c>
      <c r="E417" s="66" t="str">
        <f>TEXT(Tabela2[[#This Row],[Semana]],"mmmm")</f>
        <v>junho</v>
      </c>
      <c r="F417" t="str">
        <f>IF(MONTH(Tabela2[[#This Row],[Semana]])&lt;=6,"1ª Semestre","2ª Semestre")</f>
        <v>1ª Semestre</v>
      </c>
    </row>
    <row r="418" spans="1:6" x14ac:dyDescent="0.25">
      <c r="A418" s="59" t="s">
        <v>6</v>
      </c>
      <c r="B418" s="59">
        <v>4</v>
      </c>
      <c r="C418" s="52">
        <v>44739</v>
      </c>
      <c r="D418" s="66">
        <f t="shared" si="6"/>
        <v>2022</v>
      </c>
      <c r="E418" s="66" t="str">
        <f>TEXT(Tabela2[[#This Row],[Semana]],"mmmm")</f>
        <v>junho</v>
      </c>
      <c r="F418" t="str">
        <f>IF(MONTH(Tabela2[[#This Row],[Semana]])&lt;=6,"1ª Semestre","2ª Semestre")</f>
        <v>1ª Semestre</v>
      </c>
    </row>
    <row r="419" spans="1:6" x14ac:dyDescent="0.25">
      <c r="A419" s="59" t="s">
        <v>4</v>
      </c>
      <c r="B419" s="59">
        <v>0</v>
      </c>
      <c r="C419" s="52">
        <v>44739</v>
      </c>
      <c r="D419" s="66">
        <f t="shared" si="6"/>
        <v>2022</v>
      </c>
      <c r="E419" s="66" t="str">
        <f>TEXT(Tabela2[[#This Row],[Semana]],"mmmm")</f>
        <v>junho</v>
      </c>
      <c r="F419" t="str">
        <f>IF(MONTH(Tabela2[[#This Row],[Semana]])&lt;=6,"1ª Semestre","2ª Semestre")</f>
        <v>1ª Semestre</v>
      </c>
    </row>
    <row r="420" spans="1:6" x14ac:dyDescent="0.25">
      <c r="A420" s="59" t="s">
        <v>3</v>
      </c>
      <c r="B420" s="59">
        <v>0</v>
      </c>
      <c r="C420" s="52">
        <v>44739</v>
      </c>
      <c r="D420" s="66">
        <f t="shared" si="6"/>
        <v>2022</v>
      </c>
      <c r="E420" s="66" t="str">
        <f>TEXT(Tabela2[[#This Row],[Semana]],"mmmm")</f>
        <v>junho</v>
      </c>
      <c r="F420" t="str">
        <f>IF(MONTH(Tabela2[[#This Row],[Semana]])&lt;=6,"1ª Semestre","2ª Semestre")</f>
        <v>1ª Semestre</v>
      </c>
    </row>
    <row r="421" spans="1:6" x14ac:dyDescent="0.25">
      <c r="A421" s="59" t="s">
        <v>7</v>
      </c>
      <c r="B421" s="59">
        <v>9</v>
      </c>
      <c r="C421" s="52">
        <v>44739</v>
      </c>
      <c r="D421" s="66">
        <f t="shared" si="6"/>
        <v>2022</v>
      </c>
      <c r="E421" s="66" t="str">
        <f>TEXT(Tabela2[[#This Row],[Semana]],"mmmm")</f>
        <v>junho</v>
      </c>
      <c r="F421" t="str">
        <f>IF(MONTH(Tabela2[[#This Row],[Semana]])&lt;=6,"1ª Semestre","2ª Semestre")</f>
        <v>1ª Semestre</v>
      </c>
    </row>
    <row r="422" spans="1:6" x14ac:dyDescent="0.25">
      <c r="A422" s="59" t="s">
        <v>2</v>
      </c>
      <c r="B422" s="59">
        <v>140</v>
      </c>
      <c r="C422" s="52">
        <v>44746</v>
      </c>
      <c r="D422" s="66">
        <f>YEAR((C422))</f>
        <v>2022</v>
      </c>
      <c r="E422" s="66" t="str">
        <f>TEXT(Tabela2[[#This Row],[Semana]],"mmmm")</f>
        <v>julho</v>
      </c>
      <c r="F422" t="str">
        <f>IF(MONTH(Tabela2[[#This Row],[Semana]])&lt;=6,"1ª Semestre","2ª Semestre")</f>
        <v>2ª Semestre</v>
      </c>
    </row>
    <row r="423" spans="1:6" x14ac:dyDescent="0.25">
      <c r="A423" s="59" t="s">
        <v>5</v>
      </c>
      <c r="B423" s="59">
        <v>1</v>
      </c>
      <c r="C423" s="52">
        <v>44746</v>
      </c>
      <c r="D423" s="66">
        <f t="shared" si="6"/>
        <v>2022</v>
      </c>
      <c r="E423" s="66" t="str">
        <f>TEXT(Tabela2[[#This Row],[Semana]],"mmmm")</f>
        <v>julho</v>
      </c>
      <c r="F423" t="str">
        <f>IF(MONTH(Tabela2[[#This Row],[Semana]])&lt;=6,"1ª Semestre","2ª Semestre")</f>
        <v>2ª Semestre</v>
      </c>
    </row>
    <row r="424" spans="1:6" x14ac:dyDescent="0.25">
      <c r="A424" s="59" t="s">
        <v>6</v>
      </c>
      <c r="B424" s="59">
        <v>4</v>
      </c>
      <c r="C424" s="52">
        <v>44746</v>
      </c>
      <c r="D424" s="66">
        <f t="shared" si="6"/>
        <v>2022</v>
      </c>
      <c r="E424" s="66" t="str">
        <f>TEXT(Tabela2[[#This Row],[Semana]],"mmmm")</f>
        <v>julho</v>
      </c>
      <c r="F424" t="str">
        <f>IF(MONTH(Tabela2[[#This Row],[Semana]])&lt;=6,"1ª Semestre","2ª Semestre")</f>
        <v>2ª Semestre</v>
      </c>
    </row>
    <row r="425" spans="1:6" x14ac:dyDescent="0.25">
      <c r="A425" s="59" t="s">
        <v>4</v>
      </c>
      <c r="B425" s="59">
        <v>0</v>
      </c>
      <c r="C425" s="52">
        <v>44746</v>
      </c>
      <c r="D425" s="66">
        <f t="shared" si="6"/>
        <v>2022</v>
      </c>
      <c r="E425" s="66" t="str">
        <f>TEXT(Tabela2[[#This Row],[Semana]],"mmmm")</f>
        <v>julho</v>
      </c>
      <c r="F425" t="str">
        <f>IF(MONTH(Tabela2[[#This Row],[Semana]])&lt;=6,"1ª Semestre","2ª Semestre")</f>
        <v>2ª Semestre</v>
      </c>
    </row>
    <row r="426" spans="1:6" x14ac:dyDescent="0.25">
      <c r="A426" s="59" t="s">
        <v>3</v>
      </c>
      <c r="B426" s="59">
        <v>0</v>
      </c>
      <c r="C426" s="52">
        <v>44746</v>
      </c>
      <c r="D426" s="66">
        <f t="shared" si="6"/>
        <v>2022</v>
      </c>
      <c r="E426" s="66" t="str">
        <f>TEXT(Tabela2[[#This Row],[Semana]],"mmmm")</f>
        <v>julho</v>
      </c>
      <c r="F426" t="str">
        <f>IF(MONTH(Tabela2[[#This Row],[Semana]])&lt;=6,"1ª Semestre","2ª Semestre")</f>
        <v>2ª Semestre</v>
      </c>
    </row>
    <row r="427" spans="1:6" x14ac:dyDescent="0.25">
      <c r="A427" s="59" t="s">
        <v>7</v>
      </c>
      <c r="B427" s="59">
        <v>8</v>
      </c>
      <c r="C427" s="52">
        <v>44746</v>
      </c>
      <c r="D427" s="66">
        <f t="shared" si="6"/>
        <v>2022</v>
      </c>
      <c r="E427" s="66" t="str">
        <f>TEXT(Tabela2[[#This Row],[Semana]],"mmmm")</f>
        <v>julho</v>
      </c>
      <c r="F427" t="str">
        <f>IF(MONTH(Tabela2[[#This Row],[Semana]])&lt;=6,"1ª Semestre","2ª Semestre")</f>
        <v>2ª Semestre</v>
      </c>
    </row>
    <row r="428" spans="1:6" x14ac:dyDescent="0.25">
      <c r="A428" s="59" t="s">
        <v>2</v>
      </c>
      <c r="B428" s="59">
        <v>135</v>
      </c>
      <c r="C428" s="52">
        <v>44753</v>
      </c>
      <c r="D428" s="66">
        <f t="shared" si="6"/>
        <v>2022</v>
      </c>
      <c r="E428" s="66" t="str">
        <f>TEXT(Tabela2[[#This Row],[Semana]],"mmmm")</f>
        <v>julho</v>
      </c>
      <c r="F428" t="str">
        <f>IF(MONTH(Tabela2[[#This Row],[Semana]])&lt;=6,"1ª Semestre","2ª Semestre")</f>
        <v>2ª Semestre</v>
      </c>
    </row>
    <row r="429" spans="1:6" x14ac:dyDescent="0.25">
      <c r="A429" s="59" t="s">
        <v>5</v>
      </c>
      <c r="B429" s="59">
        <v>5</v>
      </c>
      <c r="C429" s="52">
        <v>44753</v>
      </c>
      <c r="D429" s="66">
        <f t="shared" si="6"/>
        <v>2022</v>
      </c>
      <c r="E429" s="66" t="str">
        <f>TEXT(Tabela2[[#This Row],[Semana]],"mmmm")</f>
        <v>julho</v>
      </c>
      <c r="F429" t="str">
        <f>IF(MONTH(Tabela2[[#This Row],[Semana]])&lt;=6,"1ª Semestre","2ª Semestre")</f>
        <v>2ª Semestre</v>
      </c>
    </row>
    <row r="430" spans="1:6" x14ac:dyDescent="0.25">
      <c r="A430" s="59" t="s">
        <v>6</v>
      </c>
      <c r="B430" s="59">
        <v>7</v>
      </c>
      <c r="C430" s="52">
        <v>44753</v>
      </c>
      <c r="D430" s="66">
        <f t="shared" si="6"/>
        <v>2022</v>
      </c>
      <c r="E430" s="66" t="str">
        <f>TEXT(Tabela2[[#This Row],[Semana]],"mmmm")</f>
        <v>julho</v>
      </c>
      <c r="F430" t="str">
        <f>IF(MONTH(Tabela2[[#This Row],[Semana]])&lt;=6,"1ª Semestre","2ª Semestre")</f>
        <v>2ª Semestre</v>
      </c>
    </row>
    <row r="431" spans="1:6" x14ac:dyDescent="0.25">
      <c r="A431" s="59" t="s">
        <v>4</v>
      </c>
      <c r="B431" s="59">
        <v>0</v>
      </c>
      <c r="C431" s="52">
        <v>44753</v>
      </c>
      <c r="D431" s="66">
        <f t="shared" si="6"/>
        <v>2022</v>
      </c>
      <c r="E431" s="66" t="str">
        <f>TEXT(Tabela2[[#This Row],[Semana]],"mmmm")</f>
        <v>julho</v>
      </c>
      <c r="F431" t="str">
        <f>IF(MONTH(Tabela2[[#This Row],[Semana]])&lt;=6,"1ª Semestre","2ª Semestre")</f>
        <v>2ª Semestre</v>
      </c>
    </row>
    <row r="432" spans="1:6" x14ac:dyDescent="0.25">
      <c r="A432" s="59" t="s">
        <v>3</v>
      </c>
      <c r="B432" s="59">
        <v>0</v>
      </c>
      <c r="C432" s="52">
        <v>44753</v>
      </c>
      <c r="D432" s="66">
        <f t="shared" si="6"/>
        <v>2022</v>
      </c>
      <c r="E432" s="66" t="str">
        <f>TEXT(Tabela2[[#This Row],[Semana]],"mmmm")</f>
        <v>julho</v>
      </c>
      <c r="F432" t="str">
        <f>IF(MONTH(Tabela2[[#This Row],[Semana]])&lt;=6,"1ª Semestre","2ª Semestre")</f>
        <v>2ª Semestre</v>
      </c>
    </row>
    <row r="433" spans="1:6" x14ac:dyDescent="0.25">
      <c r="A433" s="59" t="s">
        <v>7</v>
      </c>
      <c r="B433" s="59">
        <v>19</v>
      </c>
      <c r="C433" s="52">
        <v>44753</v>
      </c>
      <c r="D433" s="66">
        <f t="shared" si="6"/>
        <v>2022</v>
      </c>
      <c r="E433" s="66" t="str">
        <f>TEXT(Tabela2[[#This Row],[Semana]],"mmmm")</f>
        <v>julho</v>
      </c>
      <c r="F433" t="str">
        <f>IF(MONTH(Tabela2[[#This Row],[Semana]])&lt;=6,"1ª Semestre","2ª Semestre")</f>
        <v>2ª Semestre</v>
      </c>
    </row>
    <row r="434" spans="1:6" x14ac:dyDescent="0.25">
      <c r="A434" s="59" t="s">
        <v>44</v>
      </c>
      <c r="B434" s="59">
        <v>164</v>
      </c>
      <c r="C434" s="52">
        <v>44753</v>
      </c>
      <c r="D434" s="66">
        <f t="shared" si="6"/>
        <v>2022</v>
      </c>
      <c r="E434" s="66" t="str">
        <f>TEXT(Tabela2[[#This Row],[Semana]],"mmmm")</f>
        <v>julho</v>
      </c>
      <c r="F434" t="str">
        <f>IF(MONTH(Tabela2[[#This Row],[Semana]])&lt;=6,"1ª Semestre","2ª Semestre")</f>
        <v>2ª Semestre</v>
      </c>
    </row>
    <row r="435" spans="1:6" x14ac:dyDescent="0.25">
      <c r="A435" s="59" t="s">
        <v>46</v>
      </c>
      <c r="B435" s="59">
        <v>20</v>
      </c>
      <c r="C435" s="52">
        <v>44753</v>
      </c>
      <c r="D435" s="66">
        <f t="shared" si="6"/>
        <v>2022</v>
      </c>
      <c r="E435" s="66" t="str">
        <f>TEXT(Tabela2[[#This Row],[Semana]],"mmmm")</f>
        <v>julho</v>
      </c>
      <c r="F435" t="str">
        <f>IF(MONTH(Tabela2[[#This Row],[Semana]])&lt;=6,"1ª Semestre","2ª Semestre")</f>
        <v>2ª Semestre</v>
      </c>
    </row>
    <row r="436" spans="1:6" x14ac:dyDescent="0.25">
      <c r="A436" s="59" t="s">
        <v>45</v>
      </c>
      <c r="B436" s="59">
        <v>4</v>
      </c>
      <c r="C436" s="52">
        <v>44753</v>
      </c>
      <c r="D436" s="66">
        <f t="shared" si="6"/>
        <v>2022</v>
      </c>
      <c r="E436" s="66" t="str">
        <f>TEXT(Tabela2[[#This Row],[Semana]],"mmmm")</f>
        <v>julho</v>
      </c>
      <c r="F436" t="str">
        <f>IF(MONTH(Tabela2[[#This Row],[Semana]])&lt;=6,"1ª Semestre","2ª Semestre")</f>
        <v>2ª Semestre</v>
      </c>
    </row>
    <row r="437" spans="1:6" x14ac:dyDescent="0.25">
      <c r="A437" s="59" t="s">
        <v>2</v>
      </c>
      <c r="B437" s="59">
        <v>121</v>
      </c>
      <c r="C437" s="52">
        <v>44760</v>
      </c>
      <c r="D437" s="66">
        <f t="shared" si="6"/>
        <v>2022</v>
      </c>
      <c r="E437" s="66" t="str">
        <f>TEXT(Tabela2[[#This Row],[Semana]],"mmmm")</f>
        <v>julho</v>
      </c>
      <c r="F437" t="str">
        <f>IF(MONTH(Tabela2[[#This Row],[Semana]])&lt;=6,"1ª Semestre","2ª Semestre")</f>
        <v>2ª Semestre</v>
      </c>
    </row>
    <row r="438" spans="1:6" x14ac:dyDescent="0.25">
      <c r="A438" s="59" t="s">
        <v>5</v>
      </c>
      <c r="B438" s="59">
        <v>3</v>
      </c>
      <c r="C438" s="52">
        <v>44760</v>
      </c>
      <c r="D438" s="66">
        <f t="shared" si="6"/>
        <v>2022</v>
      </c>
      <c r="E438" s="66" t="str">
        <f>TEXT(Tabela2[[#This Row],[Semana]],"mmmm")</f>
        <v>julho</v>
      </c>
      <c r="F438" t="str">
        <f>IF(MONTH(Tabela2[[#This Row],[Semana]])&lt;=6,"1ª Semestre","2ª Semestre")</f>
        <v>2ª Semestre</v>
      </c>
    </row>
    <row r="439" spans="1:6" x14ac:dyDescent="0.25">
      <c r="A439" s="59" t="s">
        <v>6</v>
      </c>
      <c r="B439" s="59">
        <v>5</v>
      </c>
      <c r="C439" s="52">
        <v>44760</v>
      </c>
      <c r="D439" s="66">
        <f t="shared" si="6"/>
        <v>2022</v>
      </c>
      <c r="E439" s="66" t="str">
        <f>TEXT(Tabela2[[#This Row],[Semana]],"mmmm")</f>
        <v>julho</v>
      </c>
      <c r="F439" t="str">
        <f>IF(MONTH(Tabela2[[#This Row],[Semana]])&lt;=6,"1ª Semestre","2ª Semestre")</f>
        <v>2ª Semestre</v>
      </c>
    </row>
    <row r="440" spans="1:6" x14ac:dyDescent="0.25">
      <c r="A440" s="59" t="s">
        <v>4</v>
      </c>
      <c r="B440" s="59">
        <v>0</v>
      </c>
      <c r="C440" s="52">
        <v>44760</v>
      </c>
      <c r="D440" s="66">
        <f t="shared" si="6"/>
        <v>2022</v>
      </c>
      <c r="E440" s="66" t="str">
        <f>TEXT(Tabela2[[#This Row],[Semana]],"mmmm")</f>
        <v>julho</v>
      </c>
      <c r="F440" t="str">
        <f>IF(MONTH(Tabela2[[#This Row],[Semana]])&lt;=6,"1ª Semestre","2ª Semestre")</f>
        <v>2ª Semestre</v>
      </c>
    </row>
    <row r="441" spans="1:6" x14ac:dyDescent="0.25">
      <c r="A441" s="59" t="s">
        <v>3</v>
      </c>
      <c r="B441" s="59">
        <v>0</v>
      </c>
      <c r="C441" s="52">
        <v>44760</v>
      </c>
      <c r="D441" s="66">
        <f t="shared" si="6"/>
        <v>2022</v>
      </c>
      <c r="E441" s="66" t="str">
        <f>TEXT(Tabela2[[#This Row],[Semana]],"mmmm")</f>
        <v>julho</v>
      </c>
      <c r="F441" t="str">
        <f>IF(MONTH(Tabela2[[#This Row],[Semana]])&lt;=6,"1ª Semestre","2ª Semestre")</f>
        <v>2ª Semestre</v>
      </c>
    </row>
    <row r="442" spans="1:6" x14ac:dyDescent="0.25">
      <c r="A442" s="59" t="s">
        <v>7</v>
      </c>
      <c r="B442" s="59">
        <v>8</v>
      </c>
      <c r="C442" s="52">
        <v>44760</v>
      </c>
      <c r="D442" s="66">
        <f t="shared" si="6"/>
        <v>2022</v>
      </c>
      <c r="E442" s="66" t="str">
        <f>TEXT(Tabela2[[#This Row],[Semana]],"mmmm")</f>
        <v>julho</v>
      </c>
      <c r="F442" t="str">
        <f>IF(MONTH(Tabela2[[#This Row],[Semana]])&lt;=6,"1ª Semestre","2ª Semestre")</f>
        <v>2ª Semestre</v>
      </c>
    </row>
    <row r="443" spans="1:6" x14ac:dyDescent="0.25">
      <c r="A443" s="59" t="s">
        <v>44</v>
      </c>
      <c r="B443" s="59">
        <v>127</v>
      </c>
      <c r="C443" s="52">
        <v>44760</v>
      </c>
      <c r="D443" s="66">
        <f t="shared" si="6"/>
        <v>2022</v>
      </c>
      <c r="E443" s="66" t="str">
        <f>TEXT(Tabela2[[#This Row],[Semana]],"mmmm")</f>
        <v>julho</v>
      </c>
      <c r="F443" t="str">
        <f>IF(MONTH(Tabela2[[#This Row],[Semana]])&lt;=6,"1ª Semestre","2ª Semestre")</f>
        <v>2ª Semestre</v>
      </c>
    </row>
    <row r="444" spans="1:6" x14ac:dyDescent="0.25">
      <c r="A444" s="59" t="s">
        <v>46</v>
      </c>
      <c r="B444" s="59">
        <v>15</v>
      </c>
      <c r="C444" s="52">
        <v>44760</v>
      </c>
      <c r="D444" s="66">
        <f t="shared" si="6"/>
        <v>2022</v>
      </c>
      <c r="E444" s="66" t="str">
        <f>TEXT(Tabela2[[#This Row],[Semana]],"mmmm")</f>
        <v>julho</v>
      </c>
      <c r="F444" t="str">
        <f>IF(MONTH(Tabela2[[#This Row],[Semana]])&lt;=6,"1ª Semestre","2ª Semestre")</f>
        <v>2ª Semestre</v>
      </c>
    </row>
    <row r="445" spans="1:6" x14ac:dyDescent="0.25">
      <c r="A445" s="59" t="s">
        <v>45</v>
      </c>
      <c r="B445" s="59">
        <v>3</v>
      </c>
      <c r="C445" s="52">
        <v>44760</v>
      </c>
      <c r="D445" s="66">
        <f t="shared" si="6"/>
        <v>2022</v>
      </c>
      <c r="E445" s="66" t="str">
        <f>TEXT(Tabela2[[#This Row],[Semana]],"mmmm")</f>
        <v>julho</v>
      </c>
      <c r="F445" t="str">
        <f>IF(MONTH(Tabela2[[#This Row],[Semana]])&lt;=6,"1ª Semestre","2ª Semestre")</f>
        <v>2ª Semestre</v>
      </c>
    </row>
    <row r="446" spans="1:6" x14ac:dyDescent="0.25">
      <c r="A446" s="59" t="s">
        <v>2</v>
      </c>
      <c r="B446">
        <v>101</v>
      </c>
      <c r="C446" s="52">
        <v>44767</v>
      </c>
      <c r="D446" s="66">
        <f t="shared" si="6"/>
        <v>2022</v>
      </c>
      <c r="E446" s="66" t="str">
        <f>TEXT(Tabela2[[#This Row],[Semana]],"mmmm")</f>
        <v>julho</v>
      </c>
      <c r="F446" t="str">
        <f>IF(MONTH(Tabela2[[#This Row],[Semana]])&lt;=6,"1ª Semestre","2ª Semestre")</f>
        <v>2ª Semestre</v>
      </c>
    </row>
    <row r="447" spans="1:6" x14ac:dyDescent="0.25">
      <c r="A447" s="59" t="s">
        <v>5</v>
      </c>
      <c r="B447">
        <v>6</v>
      </c>
      <c r="C447" s="52">
        <v>44767</v>
      </c>
      <c r="D447" s="66">
        <f t="shared" si="6"/>
        <v>2022</v>
      </c>
      <c r="E447" s="66" t="str">
        <f>TEXT(Tabela2[[#This Row],[Semana]],"mmmm")</f>
        <v>julho</v>
      </c>
      <c r="F447" t="str">
        <f>IF(MONTH(Tabela2[[#This Row],[Semana]])&lt;=6,"1ª Semestre","2ª Semestre")</f>
        <v>2ª Semestre</v>
      </c>
    </row>
    <row r="448" spans="1:6" x14ac:dyDescent="0.25">
      <c r="A448" s="59" t="s">
        <v>6</v>
      </c>
      <c r="B448">
        <v>6</v>
      </c>
      <c r="C448" s="52">
        <v>44767</v>
      </c>
      <c r="D448" s="66">
        <f t="shared" si="6"/>
        <v>2022</v>
      </c>
      <c r="E448" s="66" t="str">
        <f>TEXT(Tabela2[[#This Row],[Semana]],"mmmm")</f>
        <v>julho</v>
      </c>
      <c r="F448" t="str">
        <f>IF(MONTH(Tabela2[[#This Row],[Semana]])&lt;=6,"1ª Semestre","2ª Semestre")</f>
        <v>2ª Semestre</v>
      </c>
    </row>
    <row r="449" spans="1:6" x14ac:dyDescent="0.25">
      <c r="A449" s="59" t="s">
        <v>4</v>
      </c>
      <c r="B449">
        <v>0</v>
      </c>
      <c r="C449" s="52">
        <v>44767</v>
      </c>
      <c r="D449" s="66">
        <f t="shared" si="6"/>
        <v>2022</v>
      </c>
      <c r="E449" s="66" t="str">
        <f>TEXT(Tabela2[[#This Row],[Semana]],"mmmm")</f>
        <v>julho</v>
      </c>
      <c r="F449" t="str">
        <f>IF(MONTH(Tabela2[[#This Row],[Semana]])&lt;=6,"1ª Semestre","2ª Semestre")</f>
        <v>2ª Semestre</v>
      </c>
    </row>
    <row r="450" spans="1:6" x14ac:dyDescent="0.25">
      <c r="A450" s="59" t="s">
        <v>3</v>
      </c>
      <c r="B450">
        <v>0</v>
      </c>
      <c r="C450" s="52">
        <v>44767</v>
      </c>
      <c r="D450" s="66">
        <f t="shared" si="6"/>
        <v>2022</v>
      </c>
      <c r="E450" s="66" t="str">
        <f>TEXT(Tabela2[[#This Row],[Semana]],"mmmm")</f>
        <v>julho</v>
      </c>
      <c r="F450" t="str">
        <f>IF(MONTH(Tabela2[[#This Row],[Semana]])&lt;=6,"1ª Semestre","2ª Semestre")</f>
        <v>2ª Semestre</v>
      </c>
    </row>
    <row r="451" spans="1:6" x14ac:dyDescent="0.25">
      <c r="A451" s="59" t="s">
        <v>7</v>
      </c>
      <c r="B451">
        <v>15</v>
      </c>
      <c r="C451" s="52">
        <v>44767</v>
      </c>
      <c r="D451" s="66">
        <f t="shared" ref="D451:D474" si="7">YEAR((C451))</f>
        <v>2022</v>
      </c>
      <c r="E451" s="66" t="str">
        <f>TEXT(Tabela2[[#This Row],[Semana]],"mmmm")</f>
        <v>julho</v>
      </c>
      <c r="F451" t="str">
        <f>IF(MONTH(Tabela2[[#This Row],[Semana]])&lt;=6,"1ª Semestre","2ª Semestre")</f>
        <v>2ª Semestre</v>
      </c>
    </row>
    <row r="452" spans="1:6" x14ac:dyDescent="0.25">
      <c r="A452" s="59" t="s">
        <v>44</v>
      </c>
      <c r="B452" s="59">
        <v>135</v>
      </c>
      <c r="C452" s="52">
        <v>44767</v>
      </c>
      <c r="D452" s="66">
        <f t="shared" si="7"/>
        <v>2022</v>
      </c>
      <c r="E452" s="66" t="str">
        <f>TEXT(Tabela2[[#This Row],[Semana]],"mmmm")</f>
        <v>julho</v>
      </c>
      <c r="F452" t="str">
        <f>IF(MONTH(Tabela2[[#This Row],[Semana]])&lt;=6,"1ª Semestre","2ª Semestre")</f>
        <v>2ª Semestre</v>
      </c>
    </row>
    <row r="453" spans="1:6" x14ac:dyDescent="0.25">
      <c r="A453" s="59" t="s">
        <v>46</v>
      </c>
      <c r="B453" s="59">
        <v>1</v>
      </c>
      <c r="C453" s="52">
        <v>44767</v>
      </c>
      <c r="D453" s="66">
        <f t="shared" si="7"/>
        <v>2022</v>
      </c>
      <c r="E453" s="66" t="str">
        <f>TEXT(Tabela2[[#This Row],[Semana]],"mmmm")</f>
        <v>julho</v>
      </c>
      <c r="F453" t="str">
        <f>IF(MONTH(Tabela2[[#This Row],[Semana]])&lt;=6,"1ª Semestre","2ª Semestre")</f>
        <v>2ª Semestre</v>
      </c>
    </row>
    <row r="454" spans="1:6" x14ac:dyDescent="0.25">
      <c r="A454" s="59" t="s">
        <v>45</v>
      </c>
      <c r="B454" s="59">
        <v>3</v>
      </c>
      <c r="C454" s="52">
        <v>44767</v>
      </c>
      <c r="D454" s="66">
        <f t="shared" si="7"/>
        <v>2022</v>
      </c>
      <c r="E454" s="66" t="str">
        <f>TEXT(Tabela2[[#This Row],[Semana]],"mmmm")</f>
        <v>julho</v>
      </c>
      <c r="F454" t="str">
        <f>IF(MONTH(Tabela2[[#This Row],[Semana]])&lt;=6,"1ª Semestre","2ª Semestre")</f>
        <v>2ª Semestre</v>
      </c>
    </row>
    <row r="455" spans="1:6" x14ac:dyDescent="0.25">
      <c r="A455" s="59" t="s">
        <v>2</v>
      </c>
      <c r="B455" s="59">
        <v>139</v>
      </c>
      <c r="C455" s="52">
        <v>44774</v>
      </c>
      <c r="D455" s="66">
        <f t="shared" si="7"/>
        <v>2022</v>
      </c>
      <c r="E455" s="66" t="str">
        <f>TEXT(Tabela2[[#This Row],[Semana]],"mmmm")</f>
        <v>agosto</v>
      </c>
      <c r="F455" t="str">
        <f>IF(MONTH(Tabela2[[#This Row],[Semana]])&lt;=6,"1ª Semestre","2ª Semestre")</f>
        <v>2ª Semestre</v>
      </c>
    </row>
    <row r="456" spans="1:6" x14ac:dyDescent="0.25">
      <c r="A456" s="59" t="s">
        <v>5</v>
      </c>
      <c r="B456" s="59">
        <v>4</v>
      </c>
      <c r="C456" s="52">
        <v>44774</v>
      </c>
      <c r="D456" s="66">
        <f t="shared" si="7"/>
        <v>2022</v>
      </c>
      <c r="E456" s="66" t="str">
        <f>TEXT(Tabela2[[#This Row],[Semana]],"mmmm")</f>
        <v>agosto</v>
      </c>
      <c r="F456" t="str">
        <f>IF(MONTH(Tabela2[[#This Row],[Semana]])&lt;=6,"1ª Semestre","2ª Semestre")</f>
        <v>2ª Semestre</v>
      </c>
    </row>
    <row r="457" spans="1:6" x14ac:dyDescent="0.25">
      <c r="A457" s="59" t="s">
        <v>6</v>
      </c>
      <c r="B457" s="59">
        <v>4</v>
      </c>
      <c r="C457" s="52">
        <v>44774</v>
      </c>
      <c r="D457" s="66">
        <f t="shared" si="7"/>
        <v>2022</v>
      </c>
      <c r="E457" s="66" t="str">
        <f>TEXT(Tabela2[[#This Row],[Semana]],"mmmm")</f>
        <v>agosto</v>
      </c>
      <c r="F457" t="str">
        <f>IF(MONTH(Tabela2[[#This Row],[Semana]])&lt;=6,"1ª Semestre","2ª Semestre")</f>
        <v>2ª Semestre</v>
      </c>
    </row>
    <row r="458" spans="1:6" x14ac:dyDescent="0.25">
      <c r="A458" s="59" t="s">
        <v>4</v>
      </c>
      <c r="B458" s="59">
        <v>0</v>
      </c>
      <c r="C458" s="52">
        <v>44774</v>
      </c>
      <c r="D458" s="66">
        <f t="shared" si="7"/>
        <v>2022</v>
      </c>
      <c r="E458" s="66" t="str">
        <f>TEXT(Tabela2[[#This Row],[Semana]],"mmmm")</f>
        <v>agosto</v>
      </c>
      <c r="F458" t="str">
        <f>IF(MONTH(Tabela2[[#This Row],[Semana]])&lt;=6,"1ª Semestre","2ª Semestre")</f>
        <v>2ª Semestre</v>
      </c>
    </row>
    <row r="459" spans="1:6" x14ac:dyDescent="0.25">
      <c r="A459" s="59" t="s">
        <v>3</v>
      </c>
      <c r="B459" s="59">
        <v>0</v>
      </c>
      <c r="C459" s="52">
        <v>44774</v>
      </c>
      <c r="D459" s="66">
        <f t="shared" si="7"/>
        <v>2022</v>
      </c>
      <c r="E459" s="66" t="str">
        <f>TEXT(Tabela2[[#This Row],[Semana]],"mmmm")</f>
        <v>agosto</v>
      </c>
      <c r="F459" t="str">
        <f>IF(MONTH(Tabela2[[#This Row],[Semana]])&lt;=6,"1ª Semestre","2ª Semestre")</f>
        <v>2ª Semestre</v>
      </c>
    </row>
    <row r="460" spans="1:6" x14ac:dyDescent="0.25">
      <c r="A460" s="59" t="s">
        <v>7</v>
      </c>
      <c r="B460" s="59">
        <v>15</v>
      </c>
      <c r="C460" s="52">
        <v>44774</v>
      </c>
      <c r="D460" s="66">
        <f t="shared" si="7"/>
        <v>2022</v>
      </c>
      <c r="E460" s="66" t="str">
        <f>TEXT(Tabela2[[#This Row],[Semana]],"mmmm")</f>
        <v>agosto</v>
      </c>
      <c r="F460" t="str">
        <f>IF(MONTH(Tabela2[[#This Row],[Semana]])&lt;=6,"1ª Semestre","2ª Semestre")</f>
        <v>2ª Semestre</v>
      </c>
    </row>
    <row r="461" spans="1:6" x14ac:dyDescent="0.25">
      <c r="A461" s="59" t="s">
        <v>44</v>
      </c>
      <c r="B461" s="59">
        <v>178</v>
      </c>
      <c r="C461" s="52">
        <v>44774</v>
      </c>
      <c r="D461" s="66">
        <f t="shared" si="7"/>
        <v>2022</v>
      </c>
      <c r="E461" s="66" t="str">
        <f>TEXT(Tabela2[[#This Row],[Semana]],"mmmm")</f>
        <v>agosto</v>
      </c>
      <c r="F461" t="str">
        <f>IF(MONTH(Tabela2[[#This Row],[Semana]])&lt;=6,"1ª Semestre","2ª Semestre")</f>
        <v>2ª Semestre</v>
      </c>
    </row>
    <row r="462" spans="1:6" x14ac:dyDescent="0.25">
      <c r="A462" s="59" t="s">
        <v>2</v>
      </c>
      <c r="B462" s="59">
        <v>135</v>
      </c>
      <c r="C462" s="52">
        <v>44781</v>
      </c>
      <c r="D462" s="66">
        <f t="shared" si="7"/>
        <v>2022</v>
      </c>
      <c r="E462" s="66" t="str">
        <f>TEXT(Tabela2[[#This Row],[Semana]],"mmmm")</f>
        <v>agosto</v>
      </c>
      <c r="F462" t="str">
        <f>IF(MONTH(Tabela2[[#This Row],[Semana]])&lt;=6,"1ª Semestre","2ª Semestre")</f>
        <v>2ª Semestre</v>
      </c>
    </row>
    <row r="463" spans="1:6" x14ac:dyDescent="0.25">
      <c r="A463" s="59" t="s">
        <v>5</v>
      </c>
      <c r="B463" s="59">
        <v>4</v>
      </c>
      <c r="C463" s="52">
        <v>44781</v>
      </c>
      <c r="D463" s="66">
        <f t="shared" si="7"/>
        <v>2022</v>
      </c>
      <c r="E463" s="66" t="str">
        <f>TEXT(Tabela2[[#This Row],[Semana]],"mmmm")</f>
        <v>agosto</v>
      </c>
      <c r="F463" t="str">
        <f>IF(MONTH(Tabela2[[#This Row],[Semana]])&lt;=6,"1ª Semestre","2ª Semestre")</f>
        <v>2ª Semestre</v>
      </c>
    </row>
    <row r="464" spans="1:6" x14ac:dyDescent="0.25">
      <c r="A464" s="59" t="s">
        <v>6</v>
      </c>
      <c r="B464" s="59">
        <v>3</v>
      </c>
      <c r="C464" s="52">
        <v>44781</v>
      </c>
      <c r="D464" s="66">
        <f t="shared" si="7"/>
        <v>2022</v>
      </c>
      <c r="E464" s="66" t="str">
        <f>TEXT(Tabela2[[#This Row],[Semana]],"mmmm")</f>
        <v>agosto</v>
      </c>
      <c r="F464" t="str">
        <f>IF(MONTH(Tabela2[[#This Row],[Semana]])&lt;=6,"1ª Semestre","2ª Semestre")</f>
        <v>2ª Semestre</v>
      </c>
    </row>
    <row r="465" spans="1:6" x14ac:dyDescent="0.25">
      <c r="A465" s="59" t="s">
        <v>4</v>
      </c>
      <c r="B465" s="59">
        <v>0</v>
      </c>
      <c r="C465" s="52">
        <v>44781</v>
      </c>
      <c r="D465" s="66">
        <f t="shared" si="7"/>
        <v>2022</v>
      </c>
      <c r="E465" s="66" t="str">
        <f>TEXT(Tabela2[[#This Row],[Semana]],"mmmm")</f>
        <v>agosto</v>
      </c>
      <c r="F465" t="str">
        <f>IF(MONTH(Tabela2[[#This Row],[Semana]])&lt;=6,"1ª Semestre","2ª Semestre")</f>
        <v>2ª Semestre</v>
      </c>
    </row>
    <row r="466" spans="1:6" x14ac:dyDescent="0.25">
      <c r="A466" s="59" t="s">
        <v>3</v>
      </c>
      <c r="B466" s="59">
        <v>0</v>
      </c>
      <c r="C466" s="52">
        <v>44781</v>
      </c>
      <c r="D466" s="66">
        <f t="shared" si="7"/>
        <v>2022</v>
      </c>
      <c r="E466" s="66" t="str">
        <f>TEXT(Tabela2[[#This Row],[Semana]],"mmmm")</f>
        <v>agosto</v>
      </c>
      <c r="F466" t="str">
        <f>IF(MONTH(Tabela2[[#This Row],[Semana]])&lt;=6,"1ª Semestre","2ª Semestre")</f>
        <v>2ª Semestre</v>
      </c>
    </row>
    <row r="467" spans="1:6" x14ac:dyDescent="0.25">
      <c r="A467" s="59" t="s">
        <v>7</v>
      </c>
      <c r="B467" s="59">
        <v>11</v>
      </c>
      <c r="C467" s="52">
        <v>44781</v>
      </c>
      <c r="D467" s="66">
        <f t="shared" si="7"/>
        <v>2022</v>
      </c>
      <c r="E467" s="66" t="str">
        <f>TEXT(Tabela2[[#This Row],[Semana]],"mmmm")</f>
        <v>agosto</v>
      </c>
      <c r="F467" t="str">
        <f>IF(MONTH(Tabela2[[#This Row],[Semana]])&lt;=6,"1ª Semestre","2ª Semestre")</f>
        <v>2ª Semestre</v>
      </c>
    </row>
    <row r="468" spans="1:6" x14ac:dyDescent="0.25">
      <c r="A468" s="59" t="s">
        <v>44</v>
      </c>
      <c r="B468" s="59">
        <v>157</v>
      </c>
      <c r="C468" s="52">
        <v>44781</v>
      </c>
      <c r="D468" s="66">
        <f t="shared" si="7"/>
        <v>2022</v>
      </c>
      <c r="E468" s="66" t="str">
        <f>TEXT(Tabela2[[#This Row],[Semana]],"mmmm")</f>
        <v>agosto</v>
      </c>
      <c r="F468" t="str">
        <f>IF(MONTH(Tabela2[[#This Row],[Semana]])&lt;=6,"1ª Semestre","2ª Semestre")</f>
        <v>2ª Semestre</v>
      </c>
    </row>
    <row r="469" spans="1:6" x14ac:dyDescent="0.25">
      <c r="A469" s="59" t="s">
        <v>2</v>
      </c>
      <c r="B469" s="59">
        <v>162</v>
      </c>
      <c r="C469" s="52">
        <v>44788</v>
      </c>
      <c r="D469" s="66">
        <f t="shared" si="7"/>
        <v>2022</v>
      </c>
      <c r="E469" s="66" t="str">
        <f>TEXT(Tabela2[[#This Row],[Semana]],"mmmm")</f>
        <v>agosto</v>
      </c>
      <c r="F469" t="str">
        <f>IF(MONTH(Tabela2[[#This Row],[Semana]])&lt;=6,"1ª Semestre","2ª Semestre")</f>
        <v>2ª Semestre</v>
      </c>
    </row>
    <row r="470" spans="1:6" x14ac:dyDescent="0.25">
      <c r="A470" s="59" t="s">
        <v>5</v>
      </c>
      <c r="B470" s="59">
        <v>7</v>
      </c>
      <c r="C470" s="52">
        <v>44788</v>
      </c>
      <c r="D470" s="66">
        <f t="shared" si="7"/>
        <v>2022</v>
      </c>
      <c r="E470" s="66" t="str">
        <f>TEXT(Tabela2[[#This Row],[Semana]],"mmmm")</f>
        <v>agosto</v>
      </c>
      <c r="F470" t="str">
        <f>IF(MONTH(Tabela2[[#This Row],[Semana]])&lt;=6,"1ª Semestre","2ª Semestre")</f>
        <v>2ª Semestre</v>
      </c>
    </row>
    <row r="471" spans="1:6" x14ac:dyDescent="0.25">
      <c r="A471" s="59" t="s">
        <v>6</v>
      </c>
      <c r="B471" s="59">
        <v>14</v>
      </c>
      <c r="C471" s="52">
        <v>44788</v>
      </c>
      <c r="D471" s="66">
        <f t="shared" si="7"/>
        <v>2022</v>
      </c>
      <c r="E471" s="66" t="str">
        <f>TEXT(Tabela2[[#This Row],[Semana]],"mmmm")</f>
        <v>agosto</v>
      </c>
      <c r="F471" t="str">
        <f>IF(MONTH(Tabela2[[#This Row],[Semana]])&lt;=6,"1ª Semestre","2ª Semestre")</f>
        <v>2ª Semestre</v>
      </c>
    </row>
    <row r="472" spans="1:6" x14ac:dyDescent="0.25">
      <c r="A472" s="59" t="s">
        <v>4</v>
      </c>
      <c r="B472" s="59">
        <v>0</v>
      </c>
      <c r="C472" s="52">
        <v>44788</v>
      </c>
      <c r="D472" s="66">
        <f t="shared" si="7"/>
        <v>2022</v>
      </c>
      <c r="E472" s="66" t="str">
        <f>TEXT(Tabela2[[#This Row],[Semana]],"mmmm")</f>
        <v>agosto</v>
      </c>
      <c r="F472" t="str">
        <f>IF(MONTH(Tabela2[[#This Row],[Semana]])&lt;=6,"1ª Semestre","2ª Semestre")</f>
        <v>2ª Semestre</v>
      </c>
    </row>
    <row r="473" spans="1:6" x14ac:dyDescent="0.25">
      <c r="A473" s="59" t="s">
        <v>3</v>
      </c>
      <c r="B473" s="59">
        <v>0</v>
      </c>
      <c r="C473" s="52">
        <v>44788</v>
      </c>
      <c r="D473" s="66">
        <f t="shared" si="7"/>
        <v>2022</v>
      </c>
      <c r="E473" s="66" t="str">
        <f>TEXT(Tabela2[[#This Row],[Semana]],"mmmm")</f>
        <v>agosto</v>
      </c>
      <c r="F473" t="str">
        <f>IF(MONTH(Tabela2[[#This Row],[Semana]])&lt;=6,"1ª Semestre","2ª Semestre")</f>
        <v>2ª Semestre</v>
      </c>
    </row>
    <row r="474" spans="1:6" x14ac:dyDescent="0.25">
      <c r="A474" s="59" t="s">
        <v>7</v>
      </c>
      <c r="B474" s="59">
        <v>13</v>
      </c>
      <c r="C474" s="52">
        <v>44788</v>
      </c>
      <c r="D474" s="66">
        <f t="shared" si="7"/>
        <v>2022</v>
      </c>
      <c r="E474" s="66" t="str">
        <f>TEXT(Tabela2[[#This Row],[Semana]],"mmmm")</f>
        <v>agosto</v>
      </c>
      <c r="F474" t="str">
        <f>IF(MONTH(Tabela2[[#This Row],[Semana]])&lt;=6,"1ª Semestre","2ª Semestre")</f>
        <v>2ª Semestre</v>
      </c>
    </row>
    <row r="475" spans="1:6" x14ac:dyDescent="0.25">
      <c r="A475" s="59" t="s">
        <v>44</v>
      </c>
      <c r="B475" s="59">
        <v>173</v>
      </c>
      <c r="C475" s="52">
        <v>44788</v>
      </c>
      <c r="D475" s="66">
        <f>YEAR((C475))</f>
        <v>2022</v>
      </c>
      <c r="E475" s="66" t="str">
        <f>TEXT(Tabela2[[#This Row],[Semana]],"mmmm")</f>
        <v>agosto</v>
      </c>
      <c r="F475" t="str">
        <f>IF(MONTH(Tabela2[[#This Row],[Semana]])&lt;=6,"1ª Semestre","2ª Semestre")</f>
        <v>2ª Semestre</v>
      </c>
    </row>
    <row r="476" spans="1:6" x14ac:dyDescent="0.25">
      <c r="A476" s="59" t="s">
        <v>2</v>
      </c>
      <c r="B476" s="59">
        <v>159</v>
      </c>
      <c r="C476" s="52">
        <v>44795</v>
      </c>
      <c r="D476" s="66">
        <f t="shared" ref="D476:D481" si="8">YEAR((C476))</f>
        <v>2022</v>
      </c>
      <c r="E476" s="66" t="str">
        <f>TEXT(Tabela2[[#This Row],[Semana]],"mmmm")</f>
        <v>agosto</v>
      </c>
      <c r="F476" s="58" t="str">
        <f>IF(MONTH(Tabela2[[#This Row],[Semana]])&lt;=6,"1ª Semestre","2ª Semestre")</f>
        <v>2ª Semestre</v>
      </c>
    </row>
    <row r="477" spans="1:6" x14ac:dyDescent="0.25">
      <c r="A477" s="59" t="s">
        <v>5</v>
      </c>
      <c r="B477" s="59">
        <v>8</v>
      </c>
      <c r="C477" s="52">
        <v>44795</v>
      </c>
      <c r="D477" s="66">
        <f t="shared" si="8"/>
        <v>2022</v>
      </c>
      <c r="E477" s="66" t="str">
        <f>TEXT(Tabela2[[#This Row],[Semana]],"mmmm")</f>
        <v>agosto</v>
      </c>
      <c r="F477" s="58" t="str">
        <f>IF(MONTH(Tabela2[[#This Row],[Semana]])&lt;=6,"1ª Semestre","2ª Semestre")</f>
        <v>2ª Semestre</v>
      </c>
    </row>
    <row r="478" spans="1:6" x14ac:dyDescent="0.25">
      <c r="A478" s="59" t="s">
        <v>6</v>
      </c>
      <c r="B478" s="59">
        <v>4</v>
      </c>
      <c r="C478" s="52">
        <v>44795</v>
      </c>
      <c r="D478" s="66">
        <f>YEAR((C478))</f>
        <v>2022</v>
      </c>
      <c r="E478" s="66" t="str">
        <f>TEXT(Tabela2[[#This Row],[Semana]],"mmmm")</f>
        <v>agosto</v>
      </c>
      <c r="F478" s="58" t="str">
        <f>IF(MONTH(Tabela2[[#This Row],[Semana]])&lt;=6,"1ª Semestre","2ª Semestre")</f>
        <v>2ª Semestre</v>
      </c>
    </row>
    <row r="479" spans="1:6" x14ac:dyDescent="0.25">
      <c r="A479" s="59" t="s">
        <v>4</v>
      </c>
      <c r="B479" s="59">
        <v>0</v>
      </c>
      <c r="C479" s="52">
        <v>44795</v>
      </c>
      <c r="D479" s="66">
        <f t="shared" si="8"/>
        <v>2022</v>
      </c>
      <c r="E479" s="66" t="str">
        <f>TEXT(Tabela2[[#This Row],[Semana]],"mmmm")</f>
        <v>agosto</v>
      </c>
      <c r="F479" s="58" t="str">
        <f>IF(MONTH(Tabela2[[#This Row],[Semana]])&lt;=6,"1ª Semestre","2ª Semestre")</f>
        <v>2ª Semestre</v>
      </c>
    </row>
    <row r="480" spans="1:6" x14ac:dyDescent="0.25">
      <c r="A480" s="59" t="s">
        <v>3</v>
      </c>
      <c r="B480" s="59">
        <v>0</v>
      </c>
      <c r="C480" s="52">
        <v>44795</v>
      </c>
      <c r="D480" s="66">
        <f t="shared" si="8"/>
        <v>2022</v>
      </c>
      <c r="E480" s="66" t="str">
        <f>TEXT(Tabela2[[#This Row],[Semana]],"mmmm")</f>
        <v>agosto</v>
      </c>
      <c r="F480" s="58" t="str">
        <f>IF(MONTH(Tabela2[[#This Row],[Semana]])&lt;=6,"1ª Semestre","2ª Semestre")</f>
        <v>2ª Semestre</v>
      </c>
    </row>
    <row r="481" spans="1:6" x14ac:dyDescent="0.25">
      <c r="A481" s="59" t="s">
        <v>7</v>
      </c>
      <c r="B481" s="59">
        <v>18</v>
      </c>
      <c r="C481" s="52">
        <v>44795</v>
      </c>
      <c r="D481" s="66">
        <f t="shared" si="8"/>
        <v>2022</v>
      </c>
      <c r="E481" s="66" t="str">
        <f>TEXT(Tabela2[[#This Row],[Semana]],"mmmm")</f>
        <v>agosto</v>
      </c>
      <c r="F481" s="58" t="str">
        <f>IF(MONTH(Tabela2[[#This Row],[Semana]])&lt;=6,"1ª Semestre","2ª Semestre")</f>
        <v>2ª Semestre</v>
      </c>
    </row>
    <row r="482" spans="1:6" x14ac:dyDescent="0.25">
      <c r="A482" s="59" t="s">
        <v>44</v>
      </c>
      <c r="B482" s="59">
        <v>186</v>
      </c>
      <c r="C482" s="52">
        <v>44795</v>
      </c>
      <c r="D482" s="66">
        <f>YEAR((C482))</f>
        <v>2022</v>
      </c>
      <c r="E482" s="66" t="str">
        <f>TEXT(Tabela2[[#This Row],[Semana]],"mmmm")</f>
        <v>agosto</v>
      </c>
      <c r="F482" s="58" t="str">
        <f>IF(MONTH(Tabela2[[#This Row],[Semana]])&lt;=6,"1ª Semestre","2ª Semestre")</f>
        <v>2ª Semestre</v>
      </c>
    </row>
    <row r="483" spans="1:6" x14ac:dyDescent="0.25">
      <c r="A483" s="59" t="s">
        <v>2</v>
      </c>
      <c r="B483" s="59">
        <v>135</v>
      </c>
      <c r="C483" s="52">
        <v>44802</v>
      </c>
      <c r="D483" s="66">
        <f t="shared" ref="D483:D488" si="9">YEAR((C483))</f>
        <v>2022</v>
      </c>
      <c r="E483" s="66" t="str">
        <f>TEXT(Tabela2[[#This Row],[Semana]],"mmmm")</f>
        <v>agosto</v>
      </c>
      <c r="F483" s="58" t="str">
        <f>IF(MONTH(Tabela2[[#This Row],[Semana]])&lt;=6,"1ª Semestre","2ª Semestre")</f>
        <v>2ª Semestre</v>
      </c>
    </row>
    <row r="484" spans="1:6" x14ac:dyDescent="0.25">
      <c r="A484" s="59" t="s">
        <v>5</v>
      </c>
      <c r="B484" s="59">
        <v>5</v>
      </c>
      <c r="C484" s="52">
        <v>44802</v>
      </c>
      <c r="D484" s="66">
        <f t="shared" si="9"/>
        <v>2022</v>
      </c>
      <c r="E484" s="66" t="str">
        <f>TEXT(Tabela2[[#This Row],[Semana]],"mmmm")</f>
        <v>agosto</v>
      </c>
      <c r="F484" s="58" t="str">
        <f>IF(MONTH(Tabela2[[#This Row],[Semana]])&lt;=6,"1ª Semestre","2ª Semestre")</f>
        <v>2ª Semestre</v>
      </c>
    </row>
    <row r="485" spans="1:6" x14ac:dyDescent="0.25">
      <c r="A485" s="59" t="s">
        <v>6</v>
      </c>
      <c r="B485" s="59">
        <v>4</v>
      </c>
      <c r="C485" s="52">
        <v>44802</v>
      </c>
      <c r="D485" s="66">
        <f t="shared" si="9"/>
        <v>2022</v>
      </c>
      <c r="E485" s="66" t="str">
        <f>TEXT(Tabela2[[#This Row],[Semana]],"mmmm")</f>
        <v>agosto</v>
      </c>
      <c r="F485" s="58" t="str">
        <f>IF(MONTH(Tabela2[[#This Row],[Semana]])&lt;=6,"1ª Semestre","2ª Semestre")</f>
        <v>2ª Semestre</v>
      </c>
    </row>
    <row r="486" spans="1:6" x14ac:dyDescent="0.25">
      <c r="A486" s="59" t="s">
        <v>4</v>
      </c>
      <c r="B486" s="59">
        <v>0</v>
      </c>
      <c r="C486" s="52">
        <v>44802</v>
      </c>
      <c r="D486" s="66">
        <f t="shared" si="9"/>
        <v>2022</v>
      </c>
      <c r="E486" s="66" t="str">
        <f>TEXT(Tabela2[[#This Row],[Semana]],"mmmm")</f>
        <v>agosto</v>
      </c>
      <c r="F486" s="58" t="str">
        <f>IF(MONTH(Tabela2[[#This Row],[Semana]])&lt;=6,"1ª Semestre","2ª Semestre")</f>
        <v>2ª Semestre</v>
      </c>
    </row>
    <row r="487" spans="1:6" x14ac:dyDescent="0.25">
      <c r="A487" s="59" t="s">
        <v>3</v>
      </c>
      <c r="B487" s="59">
        <v>0</v>
      </c>
      <c r="C487" s="52">
        <v>44802</v>
      </c>
      <c r="D487" s="66">
        <f t="shared" si="9"/>
        <v>2022</v>
      </c>
      <c r="E487" s="66" t="str">
        <f>TEXT(Tabela2[[#This Row],[Semana]],"mmmm")</f>
        <v>agosto</v>
      </c>
      <c r="F487" s="58" t="str">
        <f>IF(MONTH(Tabela2[[#This Row],[Semana]])&lt;=6,"1ª Semestre","2ª Semestre")</f>
        <v>2ª Semestre</v>
      </c>
    </row>
    <row r="488" spans="1:6" x14ac:dyDescent="0.25">
      <c r="A488" s="59" t="s">
        <v>7</v>
      </c>
      <c r="B488" s="59">
        <v>33</v>
      </c>
      <c r="C488" s="52">
        <v>44802</v>
      </c>
      <c r="D488" s="66">
        <f t="shared" si="9"/>
        <v>2022</v>
      </c>
      <c r="E488" s="66" t="str">
        <f>TEXT(Tabela2[[#This Row],[Semana]],"mmmm")</f>
        <v>agosto</v>
      </c>
      <c r="F488" s="58" t="str">
        <f>IF(MONTH(Tabela2[[#This Row],[Semana]])&lt;=6,"1ª Semestre","2ª Semestre")</f>
        <v>2ª Semestre</v>
      </c>
    </row>
    <row r="489" spans="1:6" x14ac:dyDescent="0.25">
      <c r="A489" s="59" t="s">
        <v>44</v>
      </c>
      <c r="B489" s="59">
        <v>172</v>
      </c>
      <c r="C489" s="52">
        <v>44802</v>
      </c>
      <c r="D489" s="66">
        <f>YEAR((C489))</f>
        <v>2022</v>
      </c>
      <c r="E489" s="66" t="str">
        <f>TEXT(Tabela2[[#This Row],[Semana]],"mmmm")</f>
        <v>agosto</v>
      </c>
      <c r="F489" s="58" t="str">
        <f>IF(MONTH(Tabela2[[#This Row],[Semana]])&lt;=6,"1ª Semestre","2ª Semestre")</f>
        <v>2ª Semestre</v>
      </c>
    </row>
    <row r="490" spans="1:6" x14ac:dyDescent="0.25">
      <c r="A490" s="59" t="s">
        <v>2</v>
      </c>
      <c r="B490" s="59">
        <v>185</v>
      </c>
      <c r="C490" s="52">
        <v>44809</v>
      </c>
      <c r="D490" s="66">
        <f t="shared" ref="D490:D495" si="10">YEAR((C490))</f>
        <v>2022</v>
      </c>
      <c r="E490" s="66" t="str">
        <f>TEXT(Tabela2[[#This Row],[Semana]],"mmmm")</f>
        <v>setembro</v>
      </c>
      <c r="F490" s="58" t="str">
        <f>IF(MONTH(Tabela2[[#This Row],[Semana]])&lt;=6,"1ª Semestre","2ª Semestre")</f>
        <v>2ª Semestre</v>
      </c>
    </row>
    <row r="491" spans="1:6" x14ac:dyDescent="0.25">
      <c r="A491" s="59" t="s">
        <v>5</v>
      </c>
      <c r="B491" s="59">
        <v>2</v>
      </c>
      <c r="C491" s="52">
        <v>44809</v>
      </c>
      <c r="D491" s="66">
        <f t="shared" si="10"/>
        <v>2022</v>
      </c>
      <c r="E491" s="66" t="str">
        <f>TEXT(Tabela2[[#This Row],[Semana]],"mmmm")</f>
        <v>setembro</v>
      </c>
      <c r="F491" s="58" t="str">
        <f>IF(MONTH(Tabela2[[#This Row],[Semana]])&lt;=6,"1ª Semestre","2ª Semestre")</f>
        <v>2ª Semestre</v>
      </c>
    </row>
    <row r="492" spans="1:6" x14ac:dyDescent="0.25">
      <c r="A492" s="59" t="s">
        <v>6</v>
      </c>
      <c r="B492" s="59">
        <v>3</v>
      </c>
      <c r="C492" s="52">
        <v>44809</v>
      </c>
      <c r="D492" s="66">
        <f t="shared" si="10"/>
        <v>2022</v>
      </c>
      <c r="E492" s="66" t="str">
        <f>TEXT(Tabela2[[#This Row],[Semana]],"mmmm")</f>
        <v>setembro</v>
      </c>
      <c r="F492" s="58" t="str">
        <f>IF(MONTH(Tabela2[[#This Row],[Semana]])&lt;=6,"1ª Semestre","2ª Semestre")</f>
        <v>2ª Semestre</v>
      </c>
    </row>
    <row r="493" spans="1:6" x14ac:dyDescent="0.25">
      <c r="A493" s="59" t="s">
        <v>4</v>
      </c>
      <c r="B493" s="59">
        <v>0</v>
      </c>
      <c r="C493" s="52">
        <v>44809</v>
      </c>
      <c r="D493" s="66">
        <f t="shared" si="10"/>
        <v>2022</v>
      </c>
      <c r="E493" s="66" t="str">
        <f>TEXT(Tabela2[[#This Row],[Semana]],"mmmm")</f>
        <v>setembro</v>
      </c>
      <c r="F493" s="58" t="str">
        <f>IF(MONTH(Tabela2[[#This Row],[Semana]])&lt;=6,"1ª Semestre","2ª Semestre")</f>
        <v>2ª Semestre</v>
      </c>
    </row>
    <row r="494" spans="1:6" x14ac:dyDescent="0.25">
      <c r="A494" s="59" t="s">
        <v>3</v>
      </c>
      <c r="B494" s="59">
        <v>0</v>
      </c>
      <c r="C494" s="52">
        <v>44809</v>
      </c>
      <c r="D494" s="66">
        <f t="shared" si="10"/>
        <v>2022</v>
      </c>
      <c r="E494" s="66" t="str">
        <f>TEXT(Tabela2[[#This Row],[Semana]],"mmmm")</f>
        <v>setembro</v>
      </c>
      <c r="F494" s="58" t="str">
        <f>IF(MONTH(Tabela2[[#This Row],[Semana]])&lt;=6,"1ª Semestre","2ª Semestre")</f>
        <v>2ª Semestre</v>
      </c>
    </row>
    <row r="495" spans="1:6" x14ac:dyDescent="0.25">
      <c r="A495" s="59" t="s">
        <v>7</v>
      </c>
      <c r="B495" s="59">
        <v>18</v>
      </c>
      <c r="C495" s="52">
        <v>44809</v>
      </c>
      <c r="D495" s="66">
        <f t="shared" si="10"/>
        <v>2022</v>
      </c>
      <c r="E495" s="66" t="str">
        <f>TEXT(Tabela2[[#This Row],[Semana]],"mmmm")</f>
        <v>setembro</v>
      </c>
      <c r="F495" s="58" t="str">
        <f>IF(MONTH(Tabela2[[#This Row],[Semana]])&lt;=6,"1ª Semestre","2ª Semestre")</f>
        <v>2ª Semestre</v>
      </c>
    </row>
    <row r="496" spans="1:6" x14ac:dyDescent="0.25">
      <c r="A496" s="59" t="s">
        <v>44</v>
      </c>
      <c r="B496" s="59">
        <v>195</v>
      </c>
      <c r="C496" s="52">
        <v>44809</v>
      </c>
      <c r="D496" s="66">
        <f>YEAR((C496))</f>
        <v>2022</v>
      </c>
      <c r="E496" s="66" t="str">
        <f>TEXT(Tabela2[[#This Row],[Semana]],"mmmm")</f>
        <v>setembro</v>
      </c>
      <c r="F496" s="58" t="str">
        <f>IF(MONTH(Tabela2[[#This Row],[Semana]])&lt;=6,"1ª Semestre","2ª Semestre")</f>
        <v>2ª Semestre</v>
      </c>
    </row>
    <row r="497" spans="1:6" x14ac:dyDescent="0.25">
      <c r="A497" s="59" t="s">
        <v>2</v>
      </c>
      <c r="B497" s="59">
        <v>190</v>
      </c>
      <c r="C497" s="52">
        <v>44816</v>
      </c>
      <c r="D497" s="66">
        <f t="shared" ref="D497:D502" si="11">YEAR((C497))</f>
        <v>2022</v>
      </c>
      <c r="E497" s="66" t="str">
        <f>TEXT(Tabela2[[#This Row],[Semana]],"mmmm")</f>
        <v>setembro</v>
      </c>
      <c r="F497" s="58" t="str">
        <f>IF(MONTH(Tabela2[[#This Row],[Semana]])&lt;=6,"1ª Semestre","2ª Semestre")</f>
        <v>2ª Semestre</v>
      </c>
    </row>
    <row r="498" spans="1:6" x14ac:dyDescent="0.25">
      <c r="A498" s="59" t="s">
        <v>5</v>
      </c>
      <c r="B498" s="59">
        <v>3</v>
      </c>
      <c r="C498" s="52">
        <v>44816</v>
      </c>
      <c r="D498" s="66">
        <f t="shared" si="11"/>
        <v>2022</v>
      </c>
      <c r="E498" s="66" t="str">
        <f>TEXT(Tabela2[[#This Row],[Semana]],"mmmm")</f>
        <v>setembro</v>
      </c>
      <c r="F498" s="58" t="str">
        <f>IF(MONTH(Tabela2[[#This Row],[Semana]])&lt;=6,"1ª Semestre","2ª Semestre")</f>
        <v>2ª Semestre</v>
      </c>
    </row>
    <row r="499" spans="1:6" x14ac:dyDescent="0.25">
      <c r="A499" s="59" t="s">
        <v>6</v>
      </c>
      <c r="B499" s="59">
        <v>7</v>
      </c>
      <c r="C499" s="52">
        <v>44816</v>
      </c>
      <c r="D499" s="66">
        <f t="shared" si="11"/>
        <v>2022</v>
      </c>
      <c r="E499" s="66" t="str">
        <f>TEXT(Tabela2[[#This Row],[Semana]],"mmmm")</f>
        <v>setembro</v>
      </c>
      <c r="F499" s="58" t="str">
        <f>IF(MONTH(Tabela2[[#This Row],[Semana]])&lt;=6,"1ª Semestre","2ª Semestre")</f>
        <v>2ª Semestre</v>
      </c>
    </row>
    <row r="500" spans="1:6" x14ac:dyDescent="0.25">
      <c r="A500" s="59" t="s">
        <v>4</v>
      </c>
      <c r="B500" s="59">
        <v>0</v>
      </c>
      <c r="C500" s="52">
        <v>44816</v>
      </c>
      <c r="D500" s="66">
        <f t="shared" si="11"/>
        <v>2022</v>
      </c>
      <c r="E500" s="66" t="str">
        <f>TEXT(Tabela2[[#This Row],[Semana]],"mmmm")</f>
        <v>setembro</v>
      </c>
      <c r="F500" s="58" t="str">
        <f>IF(MONTH(Tabela2[[#This Row],[Semana]])&lt;=6,"1ª Semestre","2ª Semestre")</f>
        <v>2ª Semestre</v>
      </c>
    </row>
    <row r="501" spans="1:6" x14ac:dyDescent="0.25">
      <c r="A501" s="59" t="s">
        <v>3</v>
      </c>
      <c r="B501" s="59">
        <v>0</v>
      </c>
      <c r="C501" s="52">
        <v>44816</v>
      </c>
      <c r="D501" s="66">
        <f t="shared" si="11"/>
        <v>2022</v>
      </c>
      <c r="E501" s="66" t="str">
        <f>TEXT(Tabela2[[#This Row],[Semana]],"mmmm")</f>
        <v>setembro</v>
      </c>
      <c r="F501" s="58" t="str">
        <f>IF(MONTH(Tabela2[[#This Row],[Semana]])&lt;=6,"1ª Semestre","2ª Semestre")</f>
        <v>2ª Semestre</v>
      </c>
    </row>
    <row r="502" spans="1:6" x14ac:dyDescent="0.25">
      <c r="A502" s="59" t="s">
        <v>7</v>
      </c>
      <c r="B502" s="59">
        <v>29</v>
      </c>
      <c r="C502" s="52">
        <v>44816</v>
      </c>
      <c r="D502" s="66">
        <f t="shared" si="11"/>
        <v>2022</v>
      </c>
      <c r="E502" s="66" t="str">
        <f>TEXT(Tabela2[[#This Row],[Semana]],"mmmm")</f>
        <v>setembro</v>
      </c>
      <c r="F502" s="58" t="str">
        <f>IF(MONTH(Tabela2[[#This Row],[Semana]])&lt;=6,"1ª Semestre","2ª Semestre")</f>
        <v>2ª Semestre</v>
      </c>
    </row>
    <row r="503" spans="1:6" x14ac:dyDescent="0.25">
      <c r="A503" s="59" t="s">
        <v>44</v>
      </c>
      <c r="B503" s="59">
        <v>196</v>
      </c>
      <c r="C503" s="52">
        <v>44816</v>
      </c>
      <c r="D503" s="66">
        <f>YEAR((C503))</f>
        <v>2022</v>
      </c>
      <c r="E503" s="66" t="str">
        <f>TEXT(Tabela2[[#This Row],[Semana]],"mmmm")</f>
        <v>setembro</v>
      </c>
      <c r="F503" s="58" t="str">
        <f>IF(MONTH(Tabela2[[#This Row],[Semana]])&lt;=6,"1ª Semestre","2ª Semestre")</f>
        <v>2ª Semestre</v>
      </c>
    </row>
    <row r="504" spans="1:6" x14ac:dyDescent="0.25">
      <c r="A504" s="59" t="s">
        <v>2</v>
      </c>
      <c r="B504" s="59">
        <v>142</v>
      </c>
      <c r="C504" s="52">
        <v>44823</v>
      </c>
      <c r="D504" s="66">
        <f t="shared" ref="D504:D509" si="12">YEAR((C504))</f>
        <v>2022</v>
      </c>
      <c r="E504" s="66" t="str">
        <f>TEXT(Tabela2[[#This Row],[Semana]],"mmmm")</f>
        <v>setembro</v>
      </c>
      <c r="F504" s="58" t="str">
        <f>IF(MONTH(Tabela2[[#This Row],[Semana]])&lt;=6,"1ª Semestre","2ª Semestre")</f>
        <v>2ª Semestre</v>
      </c>
    </row>
    <row r="505" spans="1:6" x14ac:dyDescent="0.25">
      <c r="A505" s="59" t="s">
        <v>5</v>
      </c>
      <c r="B505" s="59">
        <v>1</v>
      </c>
      <c r="C505" s="52">
        <v>44823</v>
      </c>
      <c r="D505" s="66">
        <f t="shared" si="12"/>
        <v>2022</v>
      </c>
      <c r="E505" s="66" t="str">
        <f>TEXT(Tabela2[[#This Row],[Semana]],"mmmm")</f>
        <v>setembro</v>
      </c>
      <c r="F505" s="58" t="str">
        <f>IF(MONTH(Tabela2[[#This Row],[Semana]])&lt;=6,"1ª Semestre","2ª Semestre")</f>
        <v>2ª Semestre</v>
      </c>
    </row>
    <row r="506" spans="1:6" x14ac:dyDescent="0.25">
      <c r="A506" s="59" t="s">
        <v>6</v>
      </c>
      <c r="B506" s="59">
        <v>4</v>
      </c>
      <c r="C506" s="52">
        <v>44823</v>
      </c>
      <c r="D506" s="66">
        <f t="shared" si="12"/>
        <v>2022</v>
      </c>
      <c r="E506" s="66" t="str">
        <f>TEXT(Tabela2[[#This Row],[Semana]],"mmmm")</f>
        <v>setembro</v>
      </c>
      <c r="F506" s="58" t="str">
        <f>IF(MONTH(Tabela2[[#This Row],[Semana]])&lt;=6,"1ª Semestre","2ª Semestre")</f>
        <v>2ª Semestre</v>
      </c>
    </row>
    <row r="507" spans="1:6" x14ac:dyDescent="0.25">
      <c r="A507" s="59" t="s">
        <v>4</v>
      </c>
      <c r="B507" s="59">
        <v>9</v>
      </c>
      <c r="C507" s="52">
        <v>44823</v>
      </c>
      <c r="D507" s="66">
        <f t="shared" si="12"/>
        <v>2022</v>
      </c>
      <c r="E507" s="66" t="str">
        <f>TEXT(Tabela2[[#This Row],[Semana]],"mmmm")</f>
        <v>setembro</v>
      </c>
      <c r="F507" s="58" t="str">
        <f>IF(MONTH(Tabela2[[#This Row],[Semana]])&lt;=6,"1ª Semestre","2ª Semestre")</f>
        <v>2ª Semestre</v>
      </c>
    </row>
    <row r="508" spans="1:6" x14ac:dyDescent="0.25">
      <c r="A508" s="59" t="s">
        <v>3</v>
      </c>
      <c r="B508" s="59">
        <v>6</v>
      </c>
      <c r="C508" s="52">
        <v>44823</v>
      </c>
      <c r="D508" s="66">
        <f t="shared" si="12"/>
        <v>2022</v>
      </c>
      <c r="E508" s="66" t="str">
        <f>TEXT(Tabela2[[#This Row],[Semana]],"mmmm")</f>
        <v>setembro</v>
      </c>
      <c r="F508" s="58" t="str">
        <f>IF(MONTH(Tabela2[[#This Row],[Semana]])&lt;=6,"1ª Semestre","2ª Semestre")</f>
        <v>2ª Semestre</v>
      </c>
    </row>
    <row r="509" spans="1:6" x14ac:dyDescent="0.25">
      <c r="A509" s="59" t="s">
        <v>7</v>
      </c>
      <c r="B509" s="59">
        <v>26</v>
      </c>
      <c r="C509" s="52">
        <v>44823</v>
      </c>
      <c r="D509" s="66">
        <f t="shared" si="12"/>
        <v>2022</v>
      </c>
      <c r="E509" s="66" t="str">
        <f>TEXT(Tabela2[[#This Row],[Semana]],"mmmm")</f>
        <v>setembro</v>
      </c>
      <c r="F509" s="58" t="str">
        <f>IF(MONTH(Tabela2[[#This Row],[Semana]])&lt;=6,"1ª Semestre","2ª Semestre")</f>
        <v>2ª Semestre</v>
      </c>
    </row>
    <row r="510" spans="1:6" x14ac:dyDescent="0.25">
      <c r="A510" s="59" t="s">
        <v>44</v>
      </c>
      <c r="B510" s="59">
        <v>202</v>
      </c>
      <c r="C510" s="52">
        <v>44823</v>
      </c>
      <c r="D510" s="66">
        <f>YEAR((C510))</f>
        <v>2022</v>
      </c>
      <c r="E510" s="66" t="str">
        <f>TEXT(Tabela2[[#This Row],[Semana]],"mmmm")</f>
        <v>setembro</v>
      </c>
      <c r="F510" s="58" t="str">
        <f>IF(MONTH(Tabela2[[#This Row],[Semana]])&lt;=6,"1ª Semestre","2ª Semestre")</f>
        <v>2ª Semestre</v>
      </c>
    </row>
    <row r="511" spans="1:6" x14ac:dyDescent="0.25">
      <c r="A511" s="59" t="s">
        <v>2</v>
      </c>
      <c r="B511" s="59">
        <v>157</v>
      </c>
      <c r="C511" s="52">
        <v>44830</v>
      </c>
      <c r="D511" s="66">
        <f t="shared" ref="D511:D516" si="13">YEAR((C511))</f>
        <v>2022</v>
      </c>
      <c r="E511" s="66" t="str">
        <f>TEXT(Tabela2[[#This Row],[Semana]],"mmmm")</f>
        <v>setembro</v>
      </c>
      <c r="F511" s="58" t="str">
        <f>IF(MONTH(Tabela2[[#This Row],[Semana]])&lt;=6,"1ª Semestre","2ª Semestre")</f>
        <v>2ª Semestre</v>
      </c>
    </row>
    <row r="512" spans="1:6" x14ac:dyDescent="0.25">
      <c r="A512" s="59" t="s">
        <v>5</v>
      </c>
      <c r="B512" s="59">
        <v>1</v>
      </c>
      <c r="C512" s="52">
        <v>44830</v>
      </c>
      <c r="D512" s="66">
        <f t="shared" si="13"/>
        <v>2022</v>
      </c>
      <c r="E512" s="66" t="str">
        <f>TEXT(Tabela2[[#This Row],[Semana]],"mmmm")</f>
        <v>setembro</v>
      </c>
      <c r="F512" s="58" t="str">
        <f>IF(MONTH(Tabela2[[#This Row],[Semana]])&lt;=6,"1ª Semestre","2ª Semestre")</f>
        <v>2ª Semestre</v>
      </c>
    </row>
    <row r="513" spans="1:6" x14ac:dyDescent="0.25">
      <c r="A513" s="59" t="s">
        <v>6</v>
      </c>
      <c r="B513" s="59">
        <v>2</v>
      </c>
      <c r="C513" s="52">
        <v>44830</v>
      </c>
      <c r="D513" s="66">
        <f t="shared" si="13"/>
        <v>2022</v>
      </c>
      <c r="E513" s="66" t="str">
        <f>TEXT(Tabela2[[#This Row],[Semana]],"mmmm")</f>
        <v>setembro</v>
      </c>
      <c r="F513" s="58" t="str">
        <f>IF(MONTH(Tabela2[[#This Row],[Semana]])&lt;=6,"1ª Semestre","2ª Semestre")</f>
        <v>2ª Semestre</v>
      </c>
    </row>
    <row r="514" spans="1:6" x14ac:dyDescent="0.25">
      <c r="A514" s="59" t="s">
        <v>4</v>
      </c>
      <c r="B514" s="59">
        <v>0</v>
      </c>
      <c r="C514" s="52">
        <v>44830</v>
      </c>
      <c r="D514" s="66">
        <f t="shared" si="13"/>
        <v>2022</v>
      </c>
      <c r="E514" s="66" t="str">
        <f>TEXT(Tabela2[[#This Row],[Semana]],"mmmm")</f>
        <v>setembro</v>
      </c>
      <c r="F514" s="58" t="str">
        <f>IF(MONTH(Tabela2[[#This Row],[Semana]])&lt;=6,"1ª Semestre","2ª Semestre")</f>
        <v>2ª Semestre</v>
      </c>
    </row>
    <row r="515" spans="1:6" x14ac:dyDescent="0.25">
      <c r="A515" s="59" t="s">
        <v>3</v>
      </c>
      <c r="B515" s="59">
        <v>0</v>
      </c>
      <c r="C515" s="52">
        <v>44830</v>
      </c>
      <c r="D515" s="66">
        <f t="shared" si="13"/>
        <v>2022</v>
      </c>
      <c r="E515" s="66" t="str">
        <f>TEXT(Tabela2[[#This Row],[Semana]],"mmmm")</f>
        <v>setembro</v>
      </c>
      <c r="F515" s="58" t="str">
        <f>IF(MONTH(Tabela2[[#This Row],[Semana]])&lt;=6,"1ª Semestre","2ª Semestre")</f>
        <v>2ª Semestre</v>
      </c>
    </row>
    <row r="516" spans="1:6" x14ac:dyDescent="0.25">
      <c r="A516" s="59" t="s">
        <v>7</v>
      </c>
      <c r="B516" s="59">
        <v>26</v>
      </c>
      <c r="C516" s="52">
        <v>44830</v>
      </c>
      <c r="D516" s="66">
        <f t="shared" si="13"/>
        <v>2022</v>
      </c>
      <c r="E516" s="66" t="str">
        <f>TEXT(Tabela2[[#This Row],[Semana]],"mmmm")</f>
        <v>setembro</v>
      </c>
      <c r="F516" s="58" t="str">
        <f>IF(MONTH(Tabela2[[#This Row],[Semana]])&lt;=6,"1ª Semestre","2ª Semestre")</f>
        <v>2ª Semestre</v>
      </c>
    </row>
    <row r="517" spans="1:6" x14ac:dyDescent="0.25">
      <c r="A517" s="59" t="s">
        <v>44</v>
      </c>
      <c r="B517" s="59">
        <v>198</v>
      </c>
      <c r="C517" s="52">
        <v>44830</v>
      </c>
      <c r="D517" s="66">
        <f>YEAR((C517))</f>
        <v>2022</v>
      </c>
      <c r="E517" s="66" t="str">
        <f>TEXT(Tabela2[[#This Row],[Semana]],"mmmm")</f>
        <v>setembro</v>
      </c>
      <c r="F517" s="58" t="str">
        <f>IF(MONTH(Tabela2[[#This Row],[Semana]])&lt;=6,"1ª Semestre","2ª Semestre")</f>
        <v>2ª Semestre</v>
      </c>
    </row>
    <row r="518" spans="1:6" x14ac:dyDescent="0.25">
      <c r="A518" s="59" t="s">
        <v>2</v>
      </c>
      <c r="B518" s="59">
        <v>185</v>
      </c>
      <c r="C518" s="52">
        <v>44837</v>
      </c>
      <c r="D518" s="66">
        <f t="shared" ref="D518:D523" si="14">YEAR((C518))</f>
        <v>2022</v>
      </c>
      <c r="E518" s="66" t="str">
        <f>TEXT(Tabela2[[#This Row],[Semana]],"mmmm")</f>
        <v>outubro</v>
      </c>
      <c r="F518" s="58" t="str">
        <f>IF(MONTH(Tabela2[[#This Row],[Semana]])&lt;=6,"1ª Semestre","2ª Semestre")</f>
        <v>2ª Semestre</v>
      </c>
    </row>
    <row r="519" spans="1:6" x14ac:dyDescent="0.25">
      <c r="A519" s="59" t="s">
        <v>5</v>
      </c>
      <c r="B519" s="59">
        <v>12</v>
      </c>
      <c r="C519" s="52">
        <v>44837</v>
      </c>
      <c r="D519" s="66">
        <f t="shared" si="14"/>
        <v>2022</v>
      </c>
      <c r="E519" s="66" t="str">
        <f>TEXT(Tabela2[[#This Row],[Semana]],"mmmm")</f>
        <v>outubro</v>
      </c>
      <c r="F519" s="58" t="str">
        <f>IF(MONTH(Tabela2[[#This Row],[Semana]])&lt;=6,"1ª Semestre","2ª Semestre")</f>
        <v>2ª Semestre</v>
      </c>
    </row>
    <row r="520" spans="1:6" x14ac:dyDescent="0.25">
      <c r="A520" s="59" t="s">
        <v>6</v>
      </c>
      <c r="B520" s="59">
        <v>3</v>
      </c>
      <c r="C520" s="52">
        <v>44837</v>
      </c>
      <c r="D520" s="66">
        <f t="shared" si="14"/>
        <v>2022</v>
      </c>
      <c r="E520" s="66" t="str">
        <f>TEXT(Tabela2[[#This Row],[Semana]],"mmmm")</f>
        <v>outubro</v>
      </c>
      <c r="F520" s="58" t="str">
        <f>IF(MONTH(Tabela2[[#This Row],[Semana]])&lt;=6,"1ª Semestre","2ª Semestre")</f>
        <v>2ª Semestre</v>
      </c>
    </row>
    <row r="521" spans="1:6" x14ac:dyDescent="0.25">
      <c r="A521" s="59" t="s">
        <v>4</v>
      </c>
      <c r="B521" s="59">
        <v>0</v>
      </c>
      <c r="C521" s="52">
        <v>44837</v>
      </c>
      <c r="D521" s="66">
        <f t="shared" si="14"/>
        <v>2022</v>
      </c>
      <c r="E521" s="66" t="str">
        <f>TEXT(Tabela2[[#This Row],[Semana]],"mmmm")</f>
        <v>outubro</v>
      </c>
      <c r="F521" s="58" t="str">
        <f>IF(MONTH(Tabela2[[#This Row],[Semana]])&lt;=6,"1ª Semestre","2ª Semestre")</f>
        <v>2ª Semestre</v>
      </c>
    </row>
    <row r="522" spans="1:6" x14ac:dyDescent="0.25">
      <c r="A522" s="59" t="s">
        <v>3</v>
      </c>
      <c r="B522" s="59">
        <v>0</v>
      </c>
      <c r="C522" s="52">
        <v>44837</v>
      </c>
      <c r="D522" s="66">
        <f t="shared" si="14"/>
        <v>2022</v>
      </c>
      <c r="E522" s="66" t="str">
        <f>TEXT(Tabela2[[#This Row],[Semana]],"mmmm")</f>
        <v>outubro</v>
      </c>
      <c r="F522" s="58" t="str">
        <f>IF(MONTH(Tabela2[[#This Row],[Semana]])&lt;=6,"1ª Semestre","2ª Semestre")</f>
        <v>2ª Semestre</v>
      </c>
    </row>
    <row r="523" spans="1:6" x14ac:dyDescent="0.25">
      <c r="A523" s="59" t="s">
        <v>7</v>
      </c>
      <c r="B523" s="59">
        <v>24</v>
      </c>
      <c r="C523" s="52">
        <v>44837</v>
      </c>
      <c r="D523" s="66">
        <f t="shared" si="14"/>
        <v>2022</v>
      </c>
      <c r="E523" s="66" t="str">
        <f>TEXT(Tabela2[[#This Row],[Semana]],"mmmm")</f>
        <v>outubro</v>
      </c>
      <c r="F523" s="58" t="str">
        <f>IF(MONTH(Tabela2[[#This Row],[Semana]])&lt;=6,"1ª Semestre","2ª Semestre")</f>
        <v>2ª Semestre</v>
      </c>
    </row>
    <row r="524" spans="1:6" x14ac:dyDescent="0.25">
      <c r="A524" s="59" t="s">
        <v>44</v>
      </c>
      <c r="B524" s="59">
        <v>239</v>
      </c>
      <c r="C524" s="52">
        <v>44837</v>
      </c>
      <c r="D524" s="66">
        <f>YEAR((C524))</f>
        <v>2022</v>
      </c>
      <c r="E524" s="66" t="str">
        <f>TEXT(Tabela2[[#This Row],[Semana]],"mmmm")</f>
        <v>outubro</v>
      </c>
      <c r="F524" s="58" t="str">
        <f>IF(MONTH(Tabela2[[#This Row],[Semana]])&lt;=6,"1ª Semestre","2ª Semestre")</f>
        <v>2ª Semestre</v>
      </c>
    </row>
    <row r="525" spans="1:6" x14ac:dyDescent="0.25">
      <c r="A525" s="59" t="s">
        <v>2</v>
      </c>
      <c r="B525" s="59">
        <v>212</v>
      </c>
      <c r="C525" s="52">
        <v>44844</v>
      </c>
      <c r="D525" s="66">
        <f t="shared" ref="D525:D530" si="15">YEAR((C525))</f>
        <v>2022</v>
      </c>
      <c r="E525" s="66" t="str">
        <f>TEXT(Tabela2[[#This Row],[Semana]],"mmmm")</f>
        <v>outubro</v>
      </c>
      <c r="F525" s="58" t="str">
        <f>IF(MONTH(Tabela2[[#This Row],[Semana]])&lt;=6,"1ª Semestre","2ª Semestre")</f>
        <v>2ª Semestre</v>
      </c>
    </row>
    <row r="526" spans="1:6" x14ac:dyDescent="0.25">
      <c r="A526" s="59" t="s">
        <v>5</v>
      </c>
      <c r="B526" s="59">
        <v>4</v>
      </c>
      <c r="C526" s="52">
        <v>44844</v>
      </c>
      <c r="D526" s="66">
        <f t="shared" si="15"/>
        <v>2022</v>
      </c>
      <c r="E526" s="66" t="str">
        <f>TEXT(Tabela2[[#This Row],[Semana]],"mmmm")</f>
        <v>outubro</v>
      </c>
      <c r="F526" s="58" t="str">
        <f>IF(MONTH(Tabela2[[#This Row],[Semana]])&lt;=6,"1ª Semestre","2ª Semestre")</f>
        <v>2ª Semestre</v>
      </c>
    </row>
    <row r="527" spans="1:6" x14ac:dyDescent="0.25">
      <c r="A527" s="59" t="s">
        <v>6</v>
      </c>
      <c r="B527" s="59">
        <v>13</v>
      </c>
      <c r="C527" s="52">
        <v>44844</v>
      </c>
      <c r="D527" s="66">
        <f t="shared" si="15"/>
        <v>2022</v>
      </c>
      <c r="E527" s="66" t="str">
        <f>TEXT(Tabela2[[#This Row],[Semana]],"mmmm")</f>
        <v>outubro</v>
      </c>
      <c r="F527" s="58" t="str">
        <f>IF(MONTH(Tabela2[[#This Row],[Semana]])&lt;=6,"1ª Semestre","2ª Semestre")</f>
        <v>2ª Semestre</v>
      </c>
    </row>
    <row r="528" spans="1:6" x14ac:dyDescent="0.25">
      <c r="A528" s="59" t="s">
        <v>4</v>
      </c>
      <c r="B528" s="59">
        <v>0</v>
      </c>
      <c r="C528" s="52">
        <v>44844</v>
      </c>
      <c r="D528" s="66">
        <f t="shared" si="15"/>
        <v>2022</v>
      </c>
      <c r="E528" s="66" t="str">
        <f>TEXT(Tabela2[[#This Row],[Semana]],"mmmm")</f>
        <v>outubro</v>
      </c>
      <c r="F528" s="58" t="str">
        <f>IF(MONTH(Tabela2[[#This Row],[Semana]])&lt;=6,"1ª Semestre","2ª Semestre")</f>
        <v>2ª Semestre</v>
      </c>
    </row>
    <row r="529" spans="1:6" x14ac:dyDescent="0.25">
      <c r="A529" s="59" t="s">
        <v>3</v>
      </c>
      <c r="B529" s="59">
        <v>0</v>
      </c>
      <c r="C529" s="52">
        <v>44844</v>
      </c>
      <c r="D529" s="66">
        <f t="shared" si="15"/>
        <v>2022</v>
      </c>
      <c r="E529" s="66" t="str">
        <f>TEXT(Tabela2[[#This Row],[Semana]],"mmmm")</f>
        <v>outubro</v>
      </c>
      <c r="F529" s="58" t="str">
        <f>IF(MONTH(Tabela2[[#This Row],[Semana]])&lt;=6,"1ª Semestre","2ª Semestre")</f>
        <v>2ª Semestre</v>
      </c>
    </row>
    <row r="530" spans="1:6" x14ac:dyDescent="0.25">
      <c r="A530" s="59" t="s">
        <v>7</v>
      </c>
      <c r="B530" s="59">
        <v>44</v>
      </c>
      <c r="C530" s="52">
        <v>44844</v>
      </c>
      <c r="D530" s="66">
        <f t="shared" si="15"/>
        <v>2022</v>
      </c>
      <c r="E530" s="66" t="str">
        <f>TEXT(Tabela2[[#This Row],[Semana]],"mmmm")</f>
        <v>outubro</v>
      </c>
      <c r="F530" s="58" t="str">
        <f>IF(MONTH(Tabela2[[#This Row],[Semana]])&lt;=6,"1ª Semestre","2ª Semestre")</f>
        <v>2ª Semestre</v>
      </c>
    </row>
    <row r="531" spans="1:6" x14ac:dyDescent="0.25">
      <c r="A531" s="59" t="s">
        <v>2</v>
      </c>
      <c r="B531" s="59">
        <v>267</v>
      </c>
      <c r="C531" s="52">
        <v>44851</v>
      </c>
      <c r="D531" s="69">
        <f t="shared" ref="D531:D536" si="16">YEAR((C531))</f>
        <v>2022</v>
      </c>
      <c r="E531" s="69" t="str">
        <f>TEXT(Tabela2[[#This Row],[Semana]],"mmmm")</f>
        <v>outubro</v>
      </c>
      <c r="F531" s="58" t="str">
        <f>IF(MONTH(Tabela2[[#This Row],[Semana]])&lt;=6,"1ª Semestre","2ª Semestre")</f>
        <v>2ª Semestre</v>
      </c>
    </row>
    <row r="532" spans="1:6" x14ac:dyDescent="0.25">
      <c r="A532" s="59" t="s">
        <v>5</v>
      </c>
      <c r="B532" s="59">
        <v>8</v>
      </c>
      <c r="C532" s="52">
        <v>44851</v>
      </c>
      <c r="D532" s="69">
        <f t="shared" si="16"/>
        <v>2022</v>
      </c>
      <c r="E532" s="69" t="str">
        <f>TEXT(Tabela2[[#This Row],[Semana]],"mmmm")</f>
        <v>outubro</v>
      </c>
      <c r="F532" s="58" t="str">
        <f>IF(MONTH(Tabela2[[#This Row],[Semana]])&lt;=6,"1ª Semestre","2ª Semestre")</f>
        <v>2ª Semestre</v>
      </c>
    </row>
    <row r="533" spans="1:6" x14ac:dyDescent="0.25">
      <c r="A533" s="59" t="s">
        <v>6</v>
      </c>
      <c r="B533" s="59">
        <v>3</v>
      </c>
      <c r="C533" s="52">
        <v>44851</v>
      </c>
      <c r="D533" s="69">
        <f t="shared" si="16"/>
        <v>2022</v>
      </c>
      <c r="E533" s="69" t="str">
        <f>TEXT(Tabela2[[#This Row],[Semana]],"mmmm")</f>
        <v>outubro</v>
      </c>
      <c r="F533" s="58" t="str">
        <f>IF(MONTH(Tabela2[[#This Row],[Semana]])&lt;=6,"1ª Semestre","2ª Semestre")</f>
        <v>2ª Semestre</v>
      </c>
    </row>
    <row r="534" spans="1:6" x14ac:dyDescent="0.25">
      <c r="A534" s="59" t="s">
        <v>4</v>
      </c>
      <c r="B534" s="59">
        <v>0</v>
      </c>
      <c r="C534" s="52">
        <v>44851</v>
      </c>
      <c r="D534" s="69">
        <f t="shared" si="16"/>
        <v>2022</v>
      </c>
      <c r="E534" s="69" t="str">
        <f>TEXT(Tabela2[[#This Row],[Semana]],"mmmm")</f>
        <v>outubro</v>
      </c>
      <c r="F534" s="58" t="str">
        <f>IF(MONTH(Tabela2[[#This Row],[Semana]])&lt;=6,"1ª Semestre","2ª Semestre")</f>
        <v>2ª Semestre</v>
      </c>
    </row>
    <row r="535" spans="1:6" x14ac:dyDescent="0.25">
      <c r="A535" s="59" t="s">
        <v>3</v>
      </c>
      <c r="B535" s="59">
        <v>0</v>
      </c>
      <c r="C535" s="52">
        <v>44851</v>
      </c>
      <c r="D535" s="69">
        <f t="shared" si="16"/>
        <v>2022</v>
      </c>
      <c r="E535" s="69" t="str">
        <f>TEXT(Tabela2[[#This Row],[Semana]],"mmmm")</f>
        <v>outubro</v>
      </c>
      <c r="F535" s="58" t="str">
        <f>IF(MONTH(Tabela2[[#This Row],[Semana]])&lt;=6,"1ª Semestre","2ª Semestre")</f>
        <v>2ª Semestre</v>
      </c>
    </row>
    <row r="536" spans="1:6" x14ac:dyDescent="0.25">
      <c r="A536" s="59" t="s">
        <v>7</v>
      </c>
      <c r="B536" s="59">
        <v>38</v>
      </c>
      <c r="C536" s="52">
        <v>44851</v>
      </c>
      <c r="D536" s="69">
        <f t="shared" si="16"/>
        <v>2022</v>
      </c>
      <c r="E536" s="69" t="str">
        <f>TEXT(Tabela2[[#This Row],[Semana]],"mmmm")</f>
        <v>outubro</v>
      </c>
      <c r="F536" s="58" t="str">
        <f>IF(MONTH(Tabela2[[#This Row],[Semana]])&lt;=6,"1ª Semestre","2ª Semestre")</f>
        <v>2ª Semestre</v>
      </c>
    </row>
    <row r="537" spans="1:6" x14ac:dyDescent="0.25">
      <c r="A537" s="59" t="s">
        <v>44</v>
      </c>
      <c r="B537" s="59">
        <v>302</v>
      </c>
      <c r="C537" s="52">
        <v>44851</v>
      </c>
      <c r="D537" s="69">
        <f>YEAR((C537))</f>
        <v>2022</v>
      </c>
      <c r="E537" s="69" t="str">
        <f>TEXT(Tabela2[[#This Row],[Semana]],"mmmm")</f>
        <v>outubro</v>
      </c>
      <c r="F537" s="58" t="str">
        <f>IF(MONTH(Tabela2[[#This Row],[Semana]])&lt;=6,"1ª Semestre","2ª Semestre")</f>
        <v>2ª Semestre</v>
      </c>
    </row>
    <row r="538" spans="1:6" x14ac:dyDescent="0.25">
      <c r="F538"/>
    </row>
    <row r="539" spans="1:6" x14ac:dyDescent="0.25">
      <c r="F539"/>
    </row>
    <row r="540" spans="1:6" x14ac:dyDescent="0.25">
      <c r="F540"/>
    </row>
    <row r="541" spans="1:6" x14ac:dyDescent="0.25">
      <c r="F541"/>
    </row>
    <row r="542" spans="1:6" x14ac:dyDescent="0.25">
      <c r="F542"/>
    </row>
    <row r="543" spans="1:6" x14ac:dyDescent="0.25">
      <c r="F543"/>
    </row>
    <row r="544" spans="1:6" x14ac:dyDescent="0.25">
      <c r="F544"/>
    </row>
    <row r="545" spans="6:6" x14ac:dyDescent="0.25">
      <c r="F545"/>
    </row>
    <row r="546" spans="6:6" x14ac:dyDescent="0.25">
      <c r="F546"/>
    </row>
    <row r="547" spans="6:6" x14ac:dyDescent="0.25">
      <c r="F547"/>
    </row>
    <row r="548" spans="6:6" x14ac:dyDescent="0.25">
      <c r="F548"/>
    </row>
    <row r="549" spans="6:6" x14ac:dyDescent="0.25">
      <c r="F549"/>
    </row>
    <row r="550" spans="6:6" x14ac:dyDescent="0.25">
      <c r="F550"/>
    </row>
    <row r="551" spans="6:6" x14ac:dyDescent="0.25">
      <c r="F551"/>
    </row>
    <row r="552" spans="6:6" x14ac:dyDescent="0.25">
      <c r="F552"/>
    </row>
    <row r="553" spans="6:6" x14ac:dyDescent="0.25">
      <c r="F553"/>
    </row>
    <row r="554" spans="6:6" x14ac:dyDescent="0.25">
      <c r="F554"/>
    </row>
    <row r="555" spans="6:6" x14ac:dyDescent="0.25">
      <c r="F555"/>
    </row>
    <row r="556" spans="6:6" x14ac:dyDescent="0.25">
      <c r="F556"/>
    </row>
    <row r="557" spans="6:6" x14ac:dyDescent="0.25">
      <c r="F557"/>
    </row>
    <row r="558" spans="6:6" x14ac:dyDescent="0.25">
      <c r="F558"/>
    </row>
    <row r="559" spans="6:6" x14ac:dyDescent="0.25">
      <c r="F559"/>
    </row>
    <row r="560" spans="6:6" x14ac:dyDescent="0.25">
      <c r="F560"/>
    </row>
    <row r="561" spans="6:6" x14ac:dyDescent="0.25">
      <c r="F561"/>
    </row>
    <row r="562" spans="6:6" x14ac:dyDescent="0.25">
      <c r="F562"/>
    </row>
    <row r="563" spans="6:6" x14ac:dyDescent="0.25">
      <c r="F563"/>
    </row>
    <row r="564" spans="6:6" x14ac:dyDescent="0.25">
      <c r="F564"/>
    </row>
    <row r="565" spans="6:6" x14ac:dyDescent="0.25">
      <c r="F565"/>
    </row>
    <row r="566" spans="6:6" x14ac:dyDescent="0.25">
      <c r="F566"/>
    </row>
    <row r="567" spans="6:6" x14ac:dyDescent="0.25">
      <c r="F567"/>
    </row>
    <row r="568" spans="6:6" x14ac:dyDescent="0.25">
      <c r="F568"/>
    </row>
    <row r="569" spans="6:6" x14ac:dyDescent="0.25">
      <c r="F569"/>
    </row>
    <row r="570" spans="6:6" x14ac:dyDescent="0.25">
      <c r="F570"/>
    </row>
    <row r="571" spans="6:6" x14ac:dyDescent="0.25">
      <c r="F571"/>
    </row>
    <row r="572" spans="6:6" x14ac:dyDescent="0.25">
      <c r="F572"/>
    </row>
    <row r="573" spans="6:6" x14ac:dyDescent="0.25">
      <c r="F573"/>
    </row>
    <row r="574" spans="6:6" x14ac:dyDescent="0.25">
      <c r="F574"/>
    </row>
    <row r="575" spans="6:6" x14ac:dyDescent="0.25">
      <c r="F575"/>
    </row>
    <row r="576" spans="6:6" x14ac:dyDescent="0.25">
      <c r="F576"/>
    </row>
    <row r="577" spans="6:6" x14ac:dyDescent="0.25">
      <c r="F577"/>
    </row>
    <row r="578" spans="6:6" x14ac:dyDescent="0.25">
      <c r="F578"/>
    </row>
    <row r="579" spans="6:6" x14ac:dyDescent="0.25">
      <c r="F579"/>
    </row>
    <row r="580" spans="6:6" x14ac:dyDescent="0.25">
      <c r="F580"/>
    </row>
    <row r="581" spans="6:6" x14ac:dyDescent="0.25">
      <c r="F581"/>
    </row>
    <row r="582" spans="6:6" x14ac:dyDescent="0.25">
      <c r="F582"/>
    </row>
    <row r="583" spans="6:6" x14ac:dyDescent="0.25">
      <c r="F583"/>
    </row>
    <row r="584" spans="6:6" x14ac:dyDescent="0.25">
      <c r="F584"/>
    </row>
    <row r="585" spans="6:6" x14ac:dyDescent="0.25">
      <c r="F585"/>
    </row>
    <row r="586" spans="6:6" x14ac:dyDescent="0.25">
      <c r="F586"/>
    </row>
    <row r="587" spans="6:6" x14ac:dyDescent="0.25">
      <c r="F587"/>
    </row>
    <row r="588" spans="6:6" x14ac:dyDescent="0.25">
      <c r="F588"/>
    </row>
    <row r="589" spans="6:6" x14ac:dyDescent="0.25">
      <c r="F589"/>
    </row>
    <row r="590" spans="6:6" x14ac:dyDescent="0.25">
      <c r="F590"/>
    </row>
    <row r="591" spans="6:6" x14ac:dyDescent="0.25">
      <c r="F591"/>
    </row>
    <row r="592" spans="6:6" x14ac:dyDescent="0.25">
      <c r="F592"/>
    </row>
    <row r="593" spans="6:6" x14ac:dyDescent="0.25">
      <c r="F593"/>
    </row>
    <row r="594" spans="6:6" x14ac:dyDescent="0.25">
      <c r="F594"/>
    </row>
    <row r="595" spans="6:6" x14ac:dyDescent="0.25">
      <c r="F595"/>
    </row>
    <row r="596" spans="6:6" x14ac:dyDescent="0.25">
      <c r="F596"/>
    </row>
    <row r="597" spans="6:6" x14ac:dyDescent="0.25">
      <c r="F597"/>
    </row>
    <row r="598" spans="6:6" x14ac:dyDescent="0.25">
      <c r="F598"/>
    </row>
    <row r="599" spans="6:6" x14ac:dyDescent="0.25">
      <c r="F599"/>
    </row>
    <row r="600" spans="6:6" x14ac:dyDescent="0.25">
      <c r="F600"/>
    </row>
    <row r="601" spans="6:6" x14ac:dyDescent="0.25">
      <c r="F601"/>
    </row>
    <row r="602" spans="6:6" x14ac:dyDescent="0.25">
      <c r="F602"/>
    </row>
    <row r="603" spans="6:6" x14ac:dyDescent="0.25">
      <c r="F603"/>
    </row>
    <row r="604" spans="6:6" x14ac:dyDescent="0.25">
      <c r="F604"/>
    </row>
    <row r="605" spans="6:6" x14ac:dyDescent="0.25">
      <c r="F605"/>
    </row>
    <row r="606" spans="6:6" x14ac:dyDescent="0.25">
      <c r="F606"/>
    </row>
    <row r="607" spans="6:6" x14ac:dyDescent="0.25">
      <c r="F607"/>
    </row>
    <row r="608" spans="6:6" x14ac:dyDescent="0.25">
      <c r="F608"/>
    </row>
    <row r="609" spans="6:6" x14ac:dyDescent="0.25">
      <c r="F609"/>
    </row>
    <row r="610" spans="6:6" x14ac:dyDescent="0.25">
      <c r="F610"/>
    </row>
    <row r="611" spans="6:6" x14ac:dyDescent="0.25">
      <c r="F611"/>
    </row>
    <row r="612" spans="6:6" x14ac:dyDescent="0.25">
      <c r="F612"/>
    </row>
    <row r="613" spans="6:6" x14ac:dyDescent="0.25">
      <c r="F613"/>
    </row>
    <row r="614" spans="6:6" x14ac:dyDescent="0.25">
      <c r="F614"/>
    </row>
    <row r="615" spans="6:6" x14ac:dyDescent="0.25">
      <c r="F615"/>
    </row>
    <row r="616" spans="6:6" x14ac:dyDescent="0.25">
      <c r="F616"/>
    </row>
    <row r="617" spans="6:6" x14ac:dyDescent="0.25">
      <c r="F617"/>
    </row>
    <row r="618" spans="6:6" x14ac:dyDescent="0.25">
      <c r="F618"/>
    </row>
    <row r="619" spans="6:6" x14ac:dyDescent="0.25">
      <c r="F619"/>
    </row>
    <row r="620" spans="6:6" x14ac:dyDescent="0.25">
      <c r="F620"/>
    </row>
    <row r="621" spans="6:6" x14ac:dyDescent="0.25">
      <c r="F621"/>
    </row>
    <row r="622" spans="6:6" x14ac:dyDescent="0.25">
      <c r="F622"/>
    </row>
    <row r="623" spans="6:6" x14ac:dyDescent="0.25">
      <c r="F623"/>
    </row>
    <row r="624" spans="6:6" x14ac:dyDescent="0.25">
      <c r="F624"/>
    </row>
    <row r="625" spans="6:6" x14ac:dyDescent="0.25">
      <c r="F625"/>
    </row>
    <row r="626" spans="6:6" x14ac:dyDescent="0.25">
      <c r="F626"/>
    </row>
    <row r="627" spans="6:6" x14ac:dyDescent="0.25">
      <c r="F627"/>
    </row>
    <row r="628" spans="6:6" x14ac:dyDescent="0.25">
      <c r="F628"/>
    </row>
    <row r="629" spans="6:6" x14ac:dyDescent="0.25">
      <c r="F629"/>
    </row>
    <row r="630" spans="6:6" x14ac:dyDescent="0.25">
      <c r="F630"/>
    </row>
    <row r="631" spans="6:6" x14ac:dyDescent="0.25">
      <c r="F631"/>
    </row>
    <row r="632" spans="6:6" x14ac:dyDescent="0.25">
      <c r="F632"/>
    </row>
    <row r="633" spans="6:6" x14ac:dyDescent="0.25">
      <c r="F633"/>
    </row>
    <row r="634" spans="6:6" x14ac:dyDescent="0.25">
      <c r="F634"/>
    </row>
    <row r="635" spans="6:6" x14ac:dyDescent="0.25">
      <c r="F635"/>
    </row>
    <row r="636" spans="6:6" x14ac:dyDescent="0.25">
      <c r="F636"/>
    </row>
    <row r="637" spans="6:6" x14ac:dyDescent="0.25">
      <c r="F637"/>
    </row>
    <row r="638" spans="6:6" x14ac:dyDescent="0.25">
      <c r="F638"/>
    </row>
    <row r="639" spans="6:6" x14ac:dyDescent="0.25">
      <c r="F639"/>
    </row>
    <row r="640" spans="6:6" x14ac:dyDescent="0.25">
      <c r="F640"/>
    </row>
    <row r="641" spans="6:6" x14ac:dyDescent="0.25">
      <c r="F641"/>
    </row>
    <row r="642" spans="6:6" x14ac:dyDescent="0.25">
      <c r="F642"/>
    </row>
    <row r="643" spans="6:6" x14ac:dyDescent="0.25">
      <c r="F643"/>
    </row>
    <row r="644" spans="6:6" x14ac:dyDescent="0.25">
      <c r="F644"/>
    </row>
    <row r="645" spans="6:6" x14ac:dyDescent="0.25">
      <c r="F645"/>
    </row>
    <row r="646" spans="6:6" x14ac:dyDescent="0.25">
      <c r="F646"/>
    </row>
    <row r="647" spans="6:6" x14ac:dyDescent="0.25">
      <c r="F647"/>
    </row>
    <row r="648" spans="6:6" x14ac:dyDescent="0.25">
      <c r="F648"/>
    </row>
    <row r="649" spans="6:6" x14ac:dyDescent="0.25">
      <c r="F649"/>
    </row>
    <row r="650" spans="6:6" x14ac:dyDescent="0.25">
      <c r="F650"/>
    </row>
    <row r="651" spans="6:6" x14ac:dyDescent="0.25">
      <c r="F651"/>
    </row>
    <row r="652" spans="6:6" x14ac:dyDescent="0.25">
      <c r="F652"/>
    </row>
    <row r="653" spans="6:6" x14ac:dyDescent="0.25">
      <c r="F653"/>
    </row>
    <row r="654" spans="6:6" x14ac:dyDescent="0.25">
      <c r="F654"/>
    </row>
    <row r="655" spans="6:6" x14ac:dyDescent="0.25">
      <c r="F655"/>
    </row>
    <row r="656" spans="6:6" x14ac:dyDescent="0.25">
      <c r="F656"/>
    </row>
    <row r="657" spans="6:6" x14ac:dyDescent="0.25">
      <c r="F657"/>
    </row>
    <row r="658" spans="6:6" x14ac:dyDescent="0.25">
      <c r="F658"/>
    </row>
    <row r="659" spans="6:6" x14ac:dyDescent="0.25">
      <c r="F659"/>
    </row>
    <row r="660" spans="6:6" x14ac:dyDescent="0.25">
      <c r="F660"/>
    </row>
    <row r="661" spans="6:6" x14ac:dyDescent="0.25">
      <c r="F661"/>
    </row>
    <row r="662" spans="6:6" x14ac:dyDescent="0.25">
      <c r="F662"/>
    </row>
    <row r="663" spans="6:6" x14ac:dyDescent="0.25">
      <c r="F663"/>
    </row>
    <row r="664" spans="6:6" x14ac:dyDescent="0.25">
      <c r="F664"/>
    </row>
    <row r="665" spans="6:6" x14ac:dyDescent="0.25">
      <c r="F665"/>
    </row>
    <row r="666" spans="6:6" x14ac:dyDescent="0.25">
      <c r="F666"/>
    </row>
    <row r="667" spans="6:6" x14ac:dyDescent="0.25">
      <c r="F667"/>
    </row>
    <row r="668" spans="6:6" x14ac:dyDescent="0.25">
      <c r="F668"/>
    </row>
    <row r="669" spans="6:6" x14ac:dyDescent="0.25">
      <c r="F669"/>
    </row>
    <row r="670" spans="6:6" x14ac:dyDescent="0.25">
      <c r="F670"/>
    </row>
    <row r="671" spans="6:6" x14ac:dyDescent="0.25">
      <c r="F671"/>
    </row>
    <row r="672" spans="6:6" x14ac:dyDescent="0.25">
      <c r="F672"/>
    </row>
    <row r="673" spans="6:6" x14ac:dyDescent="0.25">
      <c r="F673"/>
    </row>
    <row r="674" spans="6:6" x14ac:dyDescent="0.25">
      <c r="F674"/>
    </row>
    <row r="675" spans="6:6" x14ac:dyDescent="0.25">
      <c r="F675"/>
    </row>
    <row r="676" spans="6:6" x14ac:dyDescent="0.25">
      <c r="F676"/>
    </row>
    <row r="677" spans="6:6" x14ac:dyDescent="0.25">
      <c r="F677"/>
    </row>
    <row r="678" spans="6:6" x14ac:dyDescent="0.25">
      <c r="F678"/>
    </row>
    <row r="679" spans="6:6" x14ac:dyDescent="0.25">
      <c r="F679"/>
    </row>
    <row r="680" spans="6:6" x14ac:dyDescent="0.25">
      <c r="F680"/>
    </row>
    <row r="681" spans="6:6" x14ac:dyDescent="0.25">
      <c r="F681"/>
    </row>
    <row r="682" spans="6:6" x14ac:dyDescent="0.25">
      <c r="F682"/>
    </row>
    <row r="683" spans="6:6" x14ac:dyDescent="0.25">
      <c r="F683"/>
    </row>
    <row r="684" spans="6:6" x14ac:dyDescent="0.25">
      <c r="F684"/>
    </row>
    <row r="685" spans="6:6" x14ac:dyDescent="0.25">
      <c r="F685"/>
    </row>
    <row r="686" spans="6:6" x14ac:dyDescent="0.25">
      <c r="F686"/>
    </row>
    <row r="687" spans="6:6" x14ac:dyDescent="0.25">
      <c r="F687"/>
    </row>
    <row r="688" spans="6:6" x14ac:dyDescent="0.25">
      <c r="F688"/>
    </row>
    <row r="689" spans="6:6" x14ac:dyDescent="0.25">
      <c r="F689"/>
    </row>
    <row r="690" spans="6:6" x14ac:dyDescent="0.25">
      <c r="F690"/>
    </row>
    <row r="691" spans="6:6" x14ac:dyDescent="0.25">
      <c r="F691"/>
    </row>
    <row r="692" spans="6:6" x14ac:dyDescent="0.25">
      <c r="F692"/>
    </row>
    <row r="693" spans="6:6" x14ac:dyDescent="0.25">
      <c r="F693"/>
    </row>
    <row r="694" spans="6:6" x14ac:dyDescent="0.25">
      <c r="F694"/>
    </row>
    <row r="695" spans="6:6" x14ac:dyDescent="0.25">
      <c r="F695"/>
    </row>
    <row r="696" spans="6:6" x14ac:dyDescent="0.25">
      <c r="F696"/>
    </row>
    <row r="697" spans="6:6" x14ac:dyDescent="0.25">
      <c r="F697"/>
    </row>
    <row r="698" spans="6:6" x14ac:dyDescent="0.25">
      <c r="F698"/>
    </row>
    <row r="699" spans="6:6" x14ac:dyDescent="0.25">
      <c r="F699"/>
    </row>
    <row r="700" spans="6:6" x14ac:dyDescent="0.25">
      <c r="F700"/>
    </row>
    <row r="701" spans="6:6" x14ac:dyDescent="0.25">
      <c r="F701"/>
    </row>
    <row r="702" spans="6:6" x14ac:dyDescent="0.25">
      <c r="F702"/>
    </row>
    <row r="703" spans="6:6" x14ac:dyDescent="0.25">
      <c r="F703"/>
    </row>
    <row r="704" spans="6:6" x14ac:dyDescent="0.25">
      <c r="F704"/>
    </row>
    <row r="705" spans="6:6" x14ac:dyDescent="0.25">
      <c r="F705"/>
    </row>
    <row r="706" spans="6:6" x14ac:dyDescent="0.25">
      <c r="F706"/>
    </row>
    <row r="707" spans="6:6" x14ac:dyDescent="0.25">
      <c r="F707"/>
    </row>
    <row r="708" spans="6:6" x14ac:dyDescent="0.25">
      <c r="F708"/>
    </row>
    <row r="709" spans="6:6" x14ac:dyDescent="0.25">
      <c r="F709"/>
    </row>
    <row r="710" spans="6:6" x14ac:dyDescent="0.25">
      <c r="F710"/>
    </row>
    <row r="711" spans="6:6" x14ac:dyDescent="0.25">
      <c r="F711"/>
    </row>
    <row r="712" spans="6:6" x14ac:dyDescent="0.25">
      <c r="F712"/>
    </row>
    <row r="713" spans="6:6" x14ac:dyDescent="0.25">
      <c r="F713"/>
    </row>
    <row r="714" spans="6:6" x14ac:dyDescent="0.25">
      <c r="F714"/>
    </row>
    <row r="715" spans="6:6" x14ac:dyDescent="0.25">
      <c r="F715"/>
    </row>
    <row r="716" spans="6:6" x14ac:dyDescent="0.25">
      <c r="F716"/>
    </row>
    <row r="717" spans="6:6" x14ac:dyDescent="0.25">
      <c r="F717"/>
    </row>
    <row r="718" spans="6:6" x14ac:dyDescent="0.25">
      <c r="F718"/>
    </row>
    <row r="719" spans="6:6" x14ac:dyDescent="0.25">
      <c r="F719"/>
    </row>
    <row r="720" spans="6:6" x14ac:dyDescent="0.25">
      <c r="F720"/>
    </row>
    <row r="721" spans="6:6" x14ac:dyDescent="0.25">
      <c r="F721"/>
    </row>
    <row r="722" spans="6:6" x14ac:dyDescent="0.25">
      <c r="F722"/>
    </row>
    <row r="723" spans="6:6" x14ac:dyDescent="0.25">
      <c r="F723"/>
    </row>
    <row r="724" spans="6:6" x14ac:dyDescent="0.25">
      <c r="F724"/>
    </row>
    <row r="725" spans="6:6" x14ac:dyDescent="0.25">
      <c r="F725"/>
    </row>
    <row r="726" spans="6:6" x14ac:dyDescent="0.25">
      <c r="F726"/>
    </row>
    <row r="727" spans="6:6" x14ac:dyDescent="0.25">
      <c r="F727"/>
    </row>
    <row r="728" spans="6:6" x14ac:dyDescent="0.25">
      <c r="F728"/>
    </row>
    <row r="729" spans="6:6" x14ac:dyDescent="0.25">
      <c r="F729"/>
    </row>
    <row r="730" spans="6:6" x14ac:dyDescent="0.25">
      <c r="F730"/>
    </row>
    <row r="731" spans="6:6" x14ac:dyDescent="0.25">
      <c r="F731"/>
    </row>
    <row r="732" spans="6:6" x14ac:dyDescent="0.25">
      <c r="F732"/>
    </row>
    <row r="733" spans="6:6" x14ac:dyDescent="0.25">
      <c r="F733"/>
    </row>
    <row r="734" spans="6:6" x14ac:dyDescent="0.25">
      <c r="F734"/>
    </row>
    <row r="735" spans="6:6" x14ac:dyDescent="0.25">
      <c r="F735"/>
    </row>
    <row r="736" spans="6:6" x14ac:dyDescent="0.25">
      <c r="F736"/>
    </row>
    <row r="737" spans="6:6" x14ac:dyDescent="0.25">
      <c r="F737"/>
    </row>
    <row r="738" spans="6:6" x14ac:dyDescent="0.25">
      <c r="F738"/>
    </row>
    <row r="739" spans="6:6" x14ac:dyDescent="0.25">
      <c r="F739"/>
    </row>
    <row r="740" spans="6:6" x14ac:dyDescent="0.25">
      <c r="F740"/>
    </row>
    <row r="741" spans="6:6" x14ac:dyDescent="0.25">
      <c r="F741"/>
    </row>
    <row r="742" spans="6:6" x14ac:dyDescent="0.25">
      <c r="F742"/>
    </row>
    <row r="743" spans="6:6" x14ac:dyDescent="0.25">
      <c r="F743"/>
    </row>
    <row r="744" spans="6:6" x14ac:dyDescent="0.25">
      <c r="F744"/>
    </row>
    <row r="745" spans="6:6" x14ac:dyDescent="0.25">
      <c r="F745"/>
    </row>
    <row r="746" spans="6:6" x14ac:dyDescent="0.25">
      <c r="F746"/>
    </row>
    <row r="747" spans="6:6" x14ac:dyDescent="0.25">
      <c r="F747"/>
    </row>
    <row r="748" spans="6:6" x14ac:dyDescent="0.25">
      <c r="F748"/>
    </row>
    <row r="749" spans="6:6" x14ac:dyDescent="0.25">
      <c r="F749"/>
    </row>
    <row r="750" spans="6:6" x14ac:dyDescent="0.25">
      <c r="F750"/>
    </row>
    <row r="751" spans="6:6" x14ac:dyDescent="0.25">
      <c r="F751"/>
    </row>
    <row r="752" spans="6:6" x14ac:dyDescent="0.25">
      <c r="F752"/>
    </row>
    <row r="753" spans="6:6" x14ac:dyDescent="0.25">
      <c r="F753"/>
    </row>
    <row r="754" spans="6:6" x14ac:dyDescent="0.25">
      <c r="F754"/>
    </row>
    <row r="755" spans="6:6" x14ac:dyDescent="0.25">
      <c r="F755"/>
    </row>
    <row r="756" spans="6:6" x14ac:dyDescent="0.25">
      <c r="F756"/>
    </row>
    <row r="757" spans="6:6" x14ac:dyDescent="0.25">
      <c r="F757"/>
    </row>
    <row r="758" spans="6:6" x14ac:dyDescent="0.25">
      <c r="F758"/>
    </row>
    <row r="759" spans="6:6" x14ac:dyDescent="0.25">
      <c r="F759"/>
    </row>
    <row r="760" spans="6:6" x14ac:dyDescent="0.25">
      <c r="F760"/>
    </row>
    <row r="761" spans="6:6" x14ac:dyDescent="0.25">
      <c r="F761"/>
    </row>
    <row r="762" spans="6:6" x14ac:dyDescent="0.25">
      <c r="F762"/>
    </row>
    <row r="763" spans="6:6" x14ac:dyDescent="0.25">
      <c r="F763"/>
    </row>
    <row r="764" spans="6:6" x14ac:dyDescent="0.25">
      <c r="F764"/>
    </row>
    <row r="765" spans="6:6" x14ac:dyDescent="0.25">
      <c r="F765"/>
    </row>
    <row r="766" spans="6:6" x14ac:dyDescent="0.25">
      <c r="F766"/>
    </row>
    <row r="767" spans="6:6" x14ac:dyDescent="0.25">
      <c r="F767"/>
    </row>
    <row r="768" spans="6:6" x14ac:dyDescent="0.25">
      <c r="F768"/>
    </row>
    <row r="769" spans="6:6" x14ac:dyDescent="0.25">
      <c r="F769"/>
    </row>
    <row r="770" spans="6:6" x14ac:dyDescent="0.25">
      <c r="F770"/>
    </row>
    <row r="771" spans="6:6" x14ac:dyDescent="0.25">
      <c r="F771"/>
    </row>
    <row r="772" spans="6:6" x14ac:dyDescent="0.25">
      <c r="F772"/>
    </row>
    <row r="773" spans="6:6" x14ac:dyDescent="0.25">
      <c r="F773"/>
    </row>
    <row r="774" spans="6:6" x14ac:dyDescent="0.25">
      <c r="F774"/>
    </row>
    <row r="775" spans="6:6" x14ac:dyDescent="0.25">
      <c r="F775"/>
    </row>
    <row r="776" spans="6:6" x14ac:dyDescent="0.25">
      <c r="F776"/>
    </row>
    <row r="777" spans="6:6" x14ac:dyDescent="0.25">
      <c r="F777"/>
    </row>
    <row r="778" spans="6:6" x14ac:dyDescent="0.25">
      <c r="F778"/>
    </row>
    <row r="779" spans="6:6" x14ac:dyDescent="0.25">
      <c r="F779"/>
    </row>
    <row r="780" spans="6:6" x14ac:dyDescent="0.25">
      <c r="F780"/>
    </row>
    <row r="781" spans="6:6" x14ac:dyDescent="0.25">
      <c r="F781"/>
    </row>
    <row r="782" spans="6:6" x14ac:dyDescent="0.25">
      <c r="F782"/>
    </row>
    <row r="783" spans="6:6" x14ac:dyDescent="0.25">
      <c r="F783"/>
    </row>
    <row r="784" spans="6:6" x14ac:dyDescent="0.25">
      <c r="F784"/>
    </row>
    <row r="785" spans="6:6" x14ac:dyDescent="0.25">
      <c r="F785"/>
    </row>
    <row r="786" spans="6:6" x14ac:dyDescent="0.25">
      <c r="F786"/>
    </row>
    <row r="787" spans="6:6" x14ac:dyDescent="0.25">
      <c r="F787"/>
    </row>
    <row r="788" spans="6:6" x14ac:dyDescent="0.25">
      <c r="F788"/>
    </row>
    <row r="789" spans="6:6" x14ac:dyDescent="0.25">
      <c r="F789"/>
    </row>
    <row r="790" spans="6:6" x14ac:dyDescent="0.25">
      <c r="F790"/>
    </row>
    <row r="791" spans="6:6" x14ac:dyDescent="0.25">
      <c r="F791"/>
    </row>
    <row r="792" spans="6:6" x14ac:dyDescent="0.25">
      <c r="F792"/>
    </row>
    <row r="793" spans="6:6" x14ac:dyDescent="0.25">
      <c r="F793"/>
    </row>
    <row r="794" spans="6:6" x14ac:dyDescent="0.25">
      <c r="F794"/>
    </row>
    <row r="795" spans="6:6" x14ac:dyDescent="0.25">
      <c r="F795"/>
    </row>
    <row r="796" spans="6:6" x14ac:dyDescent="0.25">
      <c r="F796"/>
    </row>
    <row r="797" spans="6:6" x14ac:dyDescent="0.25">
      <c r="F797"/>
    </row>
    <row r="798" spans="6:6" x14ac:dyDescent="0.25">
      <c r="F798"/>
    </row>
    <row r="799" spans="6:6" x14ac:dyDescent="0.25">
      <c r="F799"/>
    </row>
    <row r="800" spans="6:6" x14ac:dyDescent="0.25">
      <c r="F800"/>
    </row>
    <row r="801" spans="6:6" x14ac:dyDescent="0.25">
      <c r="F801"/>
    </row>
    <row r="802" spans="6:6" x14ac:dyDescent="0.25">
      <c r="F802"/>
    </row>
    <row r="803" spans="6:6" x14ac:dyDescent="0.25">
      <c r="F803"/>
    </row>
    <row r="804" spans="6:6" x14ac:dyDescent="0.25">
      <c r="F804"/>
    </row>
    <row r="805" spans="6:6" x14ac:dyDescent="0.25">
      <c r="F805"/>
    </row>
    <row r="806" spans="6:6" x14ac:dyDescent="0.25">
      <c r="F806"/>
    </row>
    <row r="807" spans="6:6" x14ac:dyDescent="0.25">
      <c r="F807"/>
    </row>
    <row r="808" spans="6:6" x14ac:dyDescent="0.25">
      <c r="F808"/>
    </row>
    <row r="809" spans="6:6" x14ac:dyDescent="0.25">
      <c r="F809"/>
    </row>
    <row r="810" spans="6:6" x14ac:dyDescent="0.25">
      <c r="F810"/>
    </row>
    <row r="811" spans="6:6" x14ac:dyDescent="0.25">
      <c r="F811"/>
    </row>
    <row r="812" spans="6:6" x14ac:dyDescent="0.25">
      <c r="F812"/>
    </row>
    <row r="813" spans="6:6" x14ac:dyDescent="0.25">
      <c r="F813"/>
    </row>
    <row r="814" spans="6:6" x14ac:dyDescent="0.25">
      <c r="F814"/>
    </row>
    <row r="815" spans="6:6" x14ac:dyDescent="0.25">
      <c r="F815"/>
    </row>
    <row r="816" spans="6:6" x14ac:dyDescent="0.25">
      <c r="F816"/>
    </row>
    <row r="817" spans="6:6" x14ac:dyDescent="0.25">
      <c r="F817"/>
    </row>
    <row r="818" spans="6:6" x14ac:dyDescent="0.25">
      <c r="F818"/>
    </row>
    <row r="819" spans="6:6" x14ac:dyDescent="0.25">
      <c r="F819"/>
    </row>
    <row r="820" spans="6:6" x14ac:dyDescent="0.25">
      <c r="F820"/>
    </row>
    <row r="821" spans="6:6" x14ac:dyDescent="0.25">
      <c r="F821"/>
    </row>
    <row r="822" spans="6:6" x14ac:dyDescent="0.25">
      <c r="F822"/>
    </row>
    <row r="823" spans="6:6" x14ac:dyDescent="0.25">
      <c r="F823"/>
    </row>
    <row r="824" spans="6:6" x14ac:dyDescent="0.25">
      <c r="F824"/>
    </row>
    <row r="825" spans="6:6" x14ac:dyDescent="0.25">
      <c r="F825"/>
    </row>
    <row r="826" spans="6:6" x14ac:dyDescent="0.25">
      <c r="F826"/>
    </row>
    <row r="827" spans="6:6" x14ac:dyDescent="0.25">
      <c r="F827"/>
    </row>
    <row r="828" spans="6:6" x14ac:dyDescent="0.25">
      <c r="F828"/>
    </row>
    <row r="829" spans="6:6" x14ac:dyDescent="0.25">
      <c r="F829"/>
    </row>
    <row r="830" spans="6:6" x14ac:dyDescent="0.25">
      <c r="F830"/>
    </row>
    <row r="831" spans="6:6" x14ac:dyDescent="0.25">
      <c r="F831"/>
    </row>
    <row r="832" spans="6:6" x14ac:dyDescent="0.25">
      <c r="F832"/>
    </row>
    <row r="833" spans="6:6" x14ac:dyDescent="0.25">
      <c r="F833"/>
    </row>
    <row r="834" spans="6:6" x14ac:dyDescent="0.25">
      <c r="F834"/>
    </row>
    <row r="835" spans="6:6" x14ac:dyDescent="0.25">
      <c r="F835"/>
    </row>
    <row r="836" spans="6:6" x14ac:dyDescent="0.25">
      <c r="F836"/>
    </row>
    <row r="837" spans="6:6" x14ac:dyDescent="0.25">
      <c r="F837"/>
    </row>
    <row r="838" spans="6:6" x14ac:dyDescent="0.25">
      <c r="F838"/>
    </row>
    <row r="839" spans="6:6" x14ac:dyDescent="0.25">
      <c r="F839"/>
    </row>
    <row r="840" spans="6:6" x14ac:dyDescent="0.25">
      <c r="F840"/>
    </row>
    <row r="841" spans="6:6" x14ac:dyDescent="0.25">
      <c r="F841"/>
    </row>
    <row r="842" spans="6:6" x14ac:dyDescent="0.25">
      <c r="F842"/>
    </row>
    <row r="843" spans="6:6" x14ac:dyDescent="0.25">
      <c r="F843"/>
    </row>
    <row r="844" spans="6:6" x14ac:dyDescent="0.25">
      <c r="F844"/>
    </row>
    <row r="845" spans="6:6" x14ac:dyDescent="0.25">
      <c r="F845"/>
    </row>
    <row r="846" spans="6:6" x14ac:dyDescent="0.25">
      <c r="F846"/>
    </row>
    <row r="847" spans="6:6" x14ac:dyDescent="0.25">
      <c r="F847"/>
    </row>
    <row r="848" spans="6:6" x14ac:dyDescent="0.25">
      <c r="F848"/>
    </row>
    <row r="849" spans="6:6" x14ac:dyDescent="0.25">
      <c r="F849"/>
    </row>
    <row r="850" spans="6:6" x14ac:dyDescent="0.25">
      <c r="F850"/>
    </row>
    <row r="851" spans="6:6" x14ac:dyDescent="0.25">
      <c r="F851"/>
    </row>
    <row r="852" spans="6:6" x14ac:dyDescent="0.25">
      <c r="F852"/>
    </row>
    <row r="853" spans="6:6" x14ac:dyDescent="0.25">
      <c r="F853"/>
    </row>
    <row r="854" spans="6:6" x14ac:dyDescent="0.25">
      <c r="F854"/>
    </row>
    <row r="855" spans="6:6" x14ac:dyDescent="0.25">
      <c r="F855"/>
    </row>
    <row r="856" spans="6:6" x14ac:dyDescent="0.25">
      <c r="F856"/>
    </row>
    <row r="857" spans="6:6" x14ac:dyDescent="0.25">
      <c r="F857"/>
    </row>
    <row r="858" spans="6:6" x14ac:dyDescent="0.25">
      <c r="F858"/>
    </row>
    <row r="859" spans="6:6" x14ac:dyDescent="0.25">
      <c r="F859"/>
    </row>
    <row r="860" spans="6:6" x14ac:dyDescent="0.25">
      <c r="F860"/>
    </row>
    <row r="861" spans="6:6" x14ac:dyDescent="0.25">
      <c r="F861"/>
    </row>
    <row r="862" spans="6:6" x14ac:dyDescent="0.25">
      <c r="F862"/>
    </row>
    <row r="863" spans="6:6" x14ac:dyDescent="0.25">
      <c r="F863"/>
    </row>
    <row r="864" spans="6:6" x14ac:dyDescent="0.25">
      <c r="F864"/>
    </row>
    <row r="865" spans="6:6" x14ac:dyDescent="0.25">
      <c r="F865"/>
    </row>
    <row r="866" spans="6:6" x14ac:dyDescent="0.25">
      <c r="F866"/>
    </row>
    <row r="867" spans="6:6" x14ac:dyDescent="0.25">
      <c r="F867"/>
    </row>
  </sheetData>
  <phoneticPr fontId="16" type="noConversion"/>
  <conditionalFormatting sqref="A434:C434">
    <cfRule type="containsText" dxfId="12" priority="7" operator="containsText" text="Panejamento">
      <formula>NOT(ISERROR(SEARCH("Panejamento",A434)))</formula>
    </cfRule>
  </conditionalFormatting>
  <conditionalFormatting sqref="A435:C436">
    <cfRule type="containsText" dxfId="11" priority="6" operator="containsText" text="Acrecsentado">
      <formula>NOT(ISERROR(SEARCH("Acrecsentado",A435)))</formula>
    </cfRule>
  </conditionalFormatting>
  <conditionalFormatting sqref="A436:C436">
    <cfRule type="containsText" dxfId="10" priority="5" operator="containsText" text="Cancelado">
      <formula>NOT(ISERROR(SEARCH("Cancelado",A436)))</formula>
    </cfRule>
  </conditionalFormatting>
  <conditionalFormatting sqref="A1:A1048576">
    <cfRule type="containsText" dxfId="9" priority="1" operator="containsText" text="Planejado">
      <formula>NOT(ISERROR(SEARCH("Planejado",A1)))</formula>
    </cfRule>
    <cfRule type="containsText" dxfId="8" priority="2" operator="containsText" text="Cancelado">
      <formula>NOT(ISERROR(SEARCH("Cancelado",A1)))</formula>
    </cfRule>
    <cfRule type="containsText" dxfId="7" priority="3" operator="containsText" text="Acrescentado">
      <formula>NOT(ISERROR(SEARCH("Acrescentado",A1)))</formula>
    </cfRule>
    <cfRule type="containsText" dxfId="6" priority="4" operator="containsText" text="planejamento">
      <formula>NOT(ISERROR(SEARCH("planejamento",A1)))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2862C-F485-45C4-A9C4-4BF11FFBD7A0}">
  <dimension ref="A3:N51"/>
  <sheetViews>
    <sheetView workbookViewId="0">
      <selection activeCell="H8" sqref="H8"/>
    </sheetView>
  </sheetViews>
  <sheetFormatPr defaultRowHeight="15" x14ac:dyDescent="0.25"/>
  <cols>
    <col min="1" max="1" width="18" bestFit="1" customWidth="1"/>
    <col min="2" max="2" width="18.28515625" bestFit="1" customWidth="1"/>
    <col min="3" max="3" width="14" customWidth="1"/>
    <col min="4" max="4" width="18" bestFit="1" customWidth="1"/>
    <col min="5" max="5" width="18.28515625" bestFit="1" customWidth="1"/>
    <col min="7" max="7" width="18.28515625" bestFit="1" customWidth="1"/>
    <col min="8" max="8" width="19.5703125" bestFit="1" customWidth="1"/>
    <col min="9" max="9" width="5.5703125" bestFit="1" customWidth="1"/>
    <col min="10" max="10" width="9.5703125" bestFit="1" customWidth="1"/>
    <col min="11" max="11" width="7.7109375" bestFit="1" customWidth="1"/>
    <col min="12" max="12" width="9.42578125" bestFit="1" customWidth="1"/>
    <col min="13" max="13" width="6.42578125" bestFit="1" customWidth="1"/>
    <col min="14" max="14" width="7.5703125" bestFit="1" customWidth="1"/>
    <col min="15" max="15" width="13.140625" bestFit="1" customWidth="1"/>
    <col min="16" max="16" width="10.140625" bestFit="1" customWidth="1"/>
  </cols>
  <sheetData>
    <row r="3" spans="1:12" x14ac:dyDescent="0.25">
      <c r="A3" s="55" t="s">
        <v>42</v>
      </c>
      <c r="B3" t="s">
        <v>63</v>
      </c>
      <c r="D3" s="55" t="s">
        <v>42</v>
      </c>
      <c r="E3" t="s">
        <v>63</v>
      </c>
      <c r="H3" s="55" t="s">
        <v>66</v>
      </c>
    </row>
    <row r="4" spans="1:12" x14ac:dyDescent="0.25">
      <c r="A4" s="56" t="s">
        <v>2</v>
      </c>
      <c r="B4" s="67">
        <v>267</v>
      </c>
      <c r="D4" s="56" t="s">
        <v>2</v>
      </c>
      <c r="E4" s="57">
        <v>0.84493670886075944</v>
      </c>
      <c r="H4" t="s">
        <v>44</v>
      </c>
      <c r="I4" t="s">
        <v>2</v>
      </c>
      <c r="J4" t="s">
        <v>5</v>
      </c>
      <c r="K4" t="s">
        <v>6</v>
      </c>
      <c r="L4" t="s">
        <v>7</v>
      </c>
    </row>
    <row r="5" spans="1:12" x14ac:dyDescent="0.25">
      <c r="A5" s="56" t="s">
        <v>5</v>
      </c>
      <c r="B5" s="67">
        <v>8</v>
      </c>
      <c r="D5" s="56" t="s">
        <v>5</v>
      </c>
      <c r="E5" s="57">
        <v>2.5316455696202531E-2</v>
      </c>
      <c r="G5" t="s">
        <v>63</v>
      </c>
      <c r="H5" s="67">
        <v>302</v>
      </c>
      <c r="I5" s="67">
        <v>267</v>
      </c>
      <c r="J5" s="67">
        <v>8</v>
      </c>
      <c r="K5" s="67">
        <v>3</v>
      </c>
      <c r="L5" s="67">
        <v>38</v>
      </c>
    </row>
    <row r="6" spans="1:12" x14ac:dyDescent="0.25">
      <c r="A6" s="56" t="s">
        <v>6</v>
      </c>
      <c r="B6" s="67">
        <v>3</v>
      </c>
      <c r="D6" s="56" t="s">
        <v>6</v>
      </c>
      <c r="E6" s="57">
        <v>9.4936708860759497E-3</v>
      </c>
    </row>
    <row r="7" spans="1:12" x14ac:dyDescent="0.25">
      <c r="A7" s="56" t="s">
        <v>7</v>
      </c>
      <c r="B7" s="67">
        <v>38</v>
      </c>
      <c r="D7" s="56" t="s">
        <v>7</v>
      </c>
      <c r="E7" s="57">
        <v>0.12025316455696203</v>
      </c>
    </row>
    <row r="15" spans="1:12" x14ac:dyDescent="0.25">
      <c r="K15">
        <f>SUM(I5:O5)</f>
        <v>316</v>
      </c>
    </row>
    <row r="16" spans="1:12" x14ac:dyDescent="0.25">
      <c r="B16" s="72" t="s">
        <v>59</v>
      </c>
      <c r="C16" s="72"/>
      <c r="D16" s="72"/>
      <c r="K16">
        <f>SUM(I31:O31)</f>
        <v>3085</v>
      </c>
    </row>
    <row r="17" spans="1:14" x14ac:dyDescent="0.25">
      <c r="B17" t="str">
        <f t="shared" ref="B17:C21" si="0">A4</f>
        <v>Feito</v>
      </c>
      <c r="C17" s="64">
        <f t="shared" si="0"/>
        <v>267</v>
      </c>
      <c r="D17" s="61">
        <f>C17/$C$26</f>
        <v>0.84493670886075944</v>
      </c>
    </row>
    <row r="18" spans="1:14" x14ac:dyDescent="0.25">
      <c r="B18" t="str">
        <f t="shared" si="0"/>
        <v>Mecânico</v>
      </c>
      <c r="C18" s="64">
        <f t="shared" si="0"/>
        <v>8</v>
      </c>
      <c r="D18" s="61">
        <f t="shared" ref="D18:D21" si="1">C18/$C$26</f>
        <v>2.5316455696202531E-2</v>
      </c>
    </row>
    <row r="19" spans="1:14" x14ac:dyDescent="0.25">
      <c r="B19" t="str">
        <f t="shared" si="0"/>
        <v>Elétrico</v>
      </c>
      <c r="C19" s="64">
        <f t="shared" si="0"/>
        <v>3</v>
      </c>
      <c r="D19" s="61">
        <f t="shared" si="1"/>
        <v>9.4936708860759497E-3</v>
      </c>
    </row>
    <row r="20" spans="1:14" x14ac:dyDescent="0.25">
      <c r="B20" t="str">
        <f t="shared" si="0"/>
        <v>Operação</v>
      </c>
      <c r="C20" s="64">
        <f t="shared" si="0"/>
        <v>38</v>
      </c>
      <c r="D20" s="61">
        <f t="shared" si="1"/>
        <v>0.12025316455696203</v>
      </c>
    </row>
    <row r="21" spans="1:14" x14ac:dyDescent="0.25">
      <c r="B21">
        <f t="shared" si="0"/>
        <v>0</v>
      </c>
      <c r="C21" s="64">
        <f t="shared" si="0"/>
        <v>0</v>
      </c>
      <c r="D21" s="61">
        <f t="shared" si="1"/>
        <v>0</v>
      </c>
    </row>
    <row r="22" spans="1:14" x14ac:dyDescent="0.25">
      <c r="B22">
        <f>A9</f>
        <v>0</v>
      </c>
      <c r="C22" s="64">
        <f>B9</f>
        <v>0</v>
      </c>
      <c r="D22" s="61">
        <f>C22/$C$26</f>
        <v>0</v>
      </c>
    </row>
    <row r="23" spans="1:14" x14ac:dyDescent="0.25">
      <c r="B23">
        <f>A10</f>
        <v>0</v>
      </c>
      <c r="C23" s="64">
        <f>B10</f>
        <v>0</v>
      </c>
      <c r="D23" s="61"/>
    </row>
    <row r="24" spans="1:14" x14ac:dyDescent="0.25">
      <c r="B24">
        <f>A11</f>
        <v>0</v>
      </c>
      <c r="C24" s="64">
        <f t="shared" ref="C24" si="2">B11</f>
        <v>0</v>
      </c>
      <c r="D24" s="61"/>
    </row>
    <row r="25" spans="1:14" x14ac:dyDescent="0.25">
      <c r="B25">
        <f>A12</f>
        <v>0</v>
      </c>
      <c r="C25" s="64">
        <f>B12</f>
        <v>0</v>
      </c>
      <c r="D25" s="61"/>
    </row>
    <row r="26" spans="1:14" x14ac:dyDescent="0.25">
      <c r="C26" s="64">
        <f>SUM(C17:C20)</f>
        <v>316</v>
      </c>
    </row>
    <row r="29" spans="1:14" x14ac:dyDescent="0.25">
      <c r="A29" s="55" t="s">
        <v>42</v>
      </c>
      <c r="B29" t="s">
        <v>61</v>
      </c>
      <c r="D29" s="55" t="s">
        <v>42</v>
      </c>
      <c r="E29" t="s">
        <v>60</v>
      </c>
      <c r="H29" s="55" t="s">
        <v>66</v>
      </c>
    </row>
    <row r="30" spans="1:14" x14ac:dyDescent="0.25">
      <c r="A30" s="56" t="s">
        <v>44</v>
      </c>
      <c r="B30" s="67">
        <v>2624</v>
      </c>
      <c r="D30" s="56" t="s">
        <v>2</v>
      </c>
      <c r="E30" s="57">
        <v>0.83144246353322526</v>
      </c>
      <c r="H30" t="s">
        <v>44</v>
      </c>
      <c r="I30" t="s">
        <v>2</v>
      </c>
      <c r="J30" t="s">
        <v>5</v>
      </c>
      <c r="K30" t="s">
        <v>6</v>
      </c>
      <c r="L30" t="s">
        <v>7</v>
      </c>
      <c r="M30" t="s">
        <v>3</v>
      </c>
      <c r="N30" t="s">
        <v>4</v>
      </c>
    </row>
    <row r="31" spans="1:14" x14ac:dyDescent="0.25">
      <c r="A31" s="56" t="s">
        <v>2</v>
      </c>
      <c r="B31" s="67">
        <v>2565</v>
      </c>
      <c r="D31" s="56" t="s">
        <v>5</v>
      </c>
      <c r="E31" s="57">
        <v>2.3987034035656402E-2</v>
      </c>
      <c r="G31" t="s">
        <v>61</v>
      </c>
      <c r="H31" s="67">
        <v>2624</v>
      </c>
      <c r="I31" s="67">
        <v>2565</v>
      </c>
      <c r="J31" s="67">
        <v>74</v>
      </c>
      <c r="K31" s="67">
        <v>86</v>
      </c>
      <c r="L31" s="67">
        <v>345</v>
      </c>
      <c r="M31" s="67">
        <v>6</v>
      </c>
      <c r="N31" s="67">
        <v>9</v>
      </c>
    </row>
    <row r="32" spans="1:14" x14ac:dyDescent="0.25">
      <c r="A32" s="56" t="s">
        <v>5</v>
      </c>
      <c r="B32" s="67">
        <v>74</v>
      </c>
      <c r="D32" s="56" t="s">
        <v>6</v>
      </c>
      <c r="E32" s="57">
        <v>2.7876823338735819E-2</v>
      </c>
    </row>
    <row r="33" spans="1:5" x14ac:dyDescent="0.25">
      <c r="A33" s="56" t="s">
        <v>6</v>
      </c>
      <c r="B33" s="67">
        <v>86</v>
      </c>
      <c r="D33" s="56" t="s">
        <v>3</v>
      </c>
      <c r="E33" s="57">
        <v>1.9448946515397082E-3</v>
      </c>
    </row>
    <row r="34" spans="1:5" x14ac:dyDescent="0.25">
      <c r="A34" s="56" t="s">
        <v>7</v>
      </c>
      <c r="B34" s="67">
        <v>345</v>
      </c>
      <c r="D34" s="56" t="s">
        <v>4</v>
      </c>
      <c r="E34" s="57">
        <v>2.9173419773095622E-3</v>
      </c>
    </row>
    <row r="35" spans="1:5" x14ac:dyDescent="0.25">
      <c r="A35" s="56" t="s">
        <v>3</v>
      </c>
      <c r="B35" s="67">
        <v>6</v>
      </c>
      <c r="D35" s="56" t="s">
        <v>7</v>
      </c>
      <c r="E35" s="57">
        <v>0.11183144246353323</v>
      </c>
    </row>
    <row r="36" spans="1:5" x14ac:dyDescent="0.25">
      <c r="A36" s="56" t="s">
        <v>4</v>
      </c>
      <c r="B36" s="67">
        <v>9</v>
      </c>
    </row>
    <row r="41" spans="1:5" x14ac:dyDescent="0.25">
      <c r="B41" s="73" t="s">
        <v>59</v>
      </c>
      <c r="C41" s="73"/>
      <c r="D41" s="73"/>
    </row>
    <row r="42" spans="1:5" x14ac:dyDescent="0.25">
      <c r="B42" t="str">
        <f>A30</f>
        <v>Planejado</v>
      </c>
      <c r="C42">
        <f>B30</f>
        <v>2624</v>
      </c>
      <c r="D42" s="61">
        <f>C42/$C$51</f>
        <v>0.46035087719298246</v>
      </c>
    </row>
    <row r="43" spans="1:5" x14ac:dyDescent="0.25">
      <c r="B43" t="str">
        <f t="shared" ref="B43:C49" si="3">A31</f>
        <v>Feito</v>
      </c>
      <c r="C43">
        <f t="shared" si="3"/>
        <v>2565</v>
      </c>
      <c r="D43" s="61">
        <f t="shared" ref="D43:D47" si="4">SUM(C43/$C$51)</f>
        <v>0.45</v>
      </c>
    </row>
    <row r="44" spans="1:5" x14ac:dyDescent="0.25">
      <c r="B44" t="str">
        <f t="shared" si="3"/>
        <v>Mecânico</v>
      </c>
      <c r="C44">
        <f t="shared" si="3"/>
        <v>74</v>
      </c>
      <c r="D44" s="61">
        <f t="shared" si="4"/>
        <v>1.2982456140350877E-2</v>
      </c>
    </row>
    <row r="45" spans="1:5" x14ac:dyDescent="0.25">
      <c r="B45" t="str">
        <f t="shared" si="3"/>
        <v>Elétrico</v>
      </c>
      <c r="C45">
        <f t="shared" si="3"/>
        <v>86</v>
      </c>
      <c r="D45" s="61">
        <f t="shared" si="4"/>
        <v>1.5087719298245613E-2</v>
      </c>
    </row>
    <row r="46" spans="1:5" x14ac:dyDescent="0.25">
      <c r="B46" t="str">
        <f t="shared" si="3"/>
        <v>Operação</v>
      </c>
      <c r="C46">
        <f t="shared" si="3"/>
        <v>345</v>
      </c>
      <c r="D46" s="61">
        <f t="shared" si="4"/>
        <v>6.0526315789473685E-2</v>
      </c>
    </row>
    <row r="47" spans="1:5" x14ac:dyDescent="0.25">
      <c r="B47" t="str">
        <f t="shared" si="3"/>
        <v>Chuva</v>
      </c>
      <c r="C47">
        <f t="shared" si="3"/>
        <v>6</v>
      </c>
      <c r="D47" s="61">
        <f t="shared" si="4"/>
        <v>1.0526315789473684E-3</v>
      </c>
    </row>
    <row r="48" spans="1:5" x14ac:dyDescent="0.25">
      <c r="B48" t="str">
        <f t="shared" si="3"/>
        <v>Energia</v>
      </c>
      <c r="C48">
        <f t="shared" si="3"/>
        <v>9</v>
      </c>
      <c r="D48" s="61"/>
    </row>
    <row r="49" spans="2:4" x14ac:dyDescent="0.25">
      <c r="B49">
        <f t="shared" si="3"/>
        <v>0</v>
      </c>
      <c r="C49">
        <f t="shared" si="3"/>
        <v>0</v>
      </c>
      <c r="D49" s="61"/>
    </row>
    <row r="50" spans="2:4" x14ac:dyDescent="0.25">
      <c r="B50">
        <f>A38</f>
        <v>0</v>
      </c>
      <c r="C50">
        <f t="shared" ref="C50" si="5">B38</f>
        <v>0</v>
      </c>
      <c r="D50" s="61"/>
    </row>
    <row r="51" spans="2:4" x14ac:dyDescent="0.25">
      <c r="C51">
        <f>SUM(C42:C47)</f>
        <v>5700</v>
      </c>
    </row>
  </sheetData>
  <mergeCells count="2">
    <mergeCell ref="B16:D16"/>
    <mergeCell ref="B41:D41"/>
  </mergeCells>
  <pageMargins left="0.511811024" right="0.511811024" top="0.78740157499999996" bottom="0.78740157499999996" header="0.31496062000000002" footer="0.31496062000000002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8F3F-3D44-40AF-BEFA-8ECAD39DBA62}">
  <dimension ref="A3:E23"/>
  <sheetViews>
    <sheetView showGridLines="0" workbookViewId="0">
      <selection activeCell="E22" sqref="E22"/>
    </sheetView>
  </sheetViews>
  <sheetFormatPr defaultRowHeight="15" x14ac:dyDescent="0.25"/>
  <cols>
    <col min="1" max="1" width="18" bestFit="1" customWidth="1"/>
    <col min="2" max="2" width="21" bestFit="1" customWidth="1"/>
    <col min="3" max="3" width="18.28515625" bestFit="1" customWidth="1"/>
    <col min="4" max="4" width="18" bestFit="1" customWidth="1"/>
    <col min="5" max="5" width="18.28515625" bestFit="1" customWidth="1"/>
  </cols>
  <sheetData>
    <row r="3" spans="1:5" x14ac:dyDescent="0.25">
      <c r="A3" s="55" t="s">
        <v>42</v>
      </c>
      <c r="B3" t="s">
        <v>56</v>
      </c>
      <c r="D3" s="55" t="s">
        <v>42</v>
      </c>
      <c r="E3" t="s">
        <v>58</v>
      </c>
    </row>
    <row r="4" spans="1:5" x14ac:dyDescent="0.25">
      <c r="A4" s="56" t="s">
        <v>3</v>
      </c>
      <c r="B4" s="57">
        <v>5.0561797752808987E-2</v>
      </c>
      <c r="D4" s="56" t="s">
        <v>3</v>
      </c>
      <c r="E4">
        <v>513</v>
      </c>
    </row>
    <row r="5" spans="1:5" x14ac:dyDescent="0.25">
      <c r="A5" s="56" t="s">
        <v>6</v>
      </c>
      <c r="B5" s="57">
        <v>3.9128720678099742E-2</v>
      </c>
      <c r="D5" s="56" t="s">
        <v>6</v>
      </c>
      <c r="E5">
        <v>397</v>
      </c>
    </row>
    <row r="6" spans="1:5" x14ac:dyDescent="0.25">
      <c r="A6" s="56" t="s">
        <v>4</v>
      </c>
      <c r="B6" s="57">
        <v>8.9690518430908736E-3</v>
      </c>
      <c r="D6" s="56" t="s">
        <v>4</v>
      </c>
      <c r="E6">
        <v>91</v>
      </c>
    </row>
    <row r="7" spans="1:5" x14ac:dyDescent="0.25">
      <c r="A7" s="56" t="s">
        <v>2</v>
      </c>
      <c r="B7" s="57">
        <v>0.73161837177212696</v>
      </c>
      <c r="D7" s="56" t="s">
        <v>2</v>
      </c>
      <c r="E7">
        <v>7423</v>
      </c>
    </row>
    <row r="8" spans="1:5" x14ac:dyDescent="0.25">
      <c r="A8" s="56" t="s">
        <v>5</v>
      </c>
      <c r="B8" s="57">
        <v>6.4754583086930814E-2</v>
      </c>
      <c r="D8" s="56" t="s">
        <v>5</v>
      </c>
      <c r="E8">
        <v>657</v>
      </c>
    </row>
    <row r="9" spans="1:5" x14ac:dyDescent="0.25">
      <c r="A9" s="56" t="s">
        <v>7</v>
      </c>
      <c r="B9" s="57">
        <v>0.10496747486694263</v>
      </c>
      <c r="D9" s="56" t="s">
        <v>7</v>
      </c>
      <c r="E9">
        <v>1065</v>
      </c>
    </row>
    <row r="10" spans="1:5" x14ac:dyDescent="0.25">
      <c r="D10" s="56"/>
    </row>
    <row r="12" spans="1:5" x14ac:dyDescent="0.25">
      <c r="C12" s="73" t="s">
        <v>59</v>
      </c>
      <c r="D12" s="73"/>
      <c r="E12" s="73"/>
    </row>
    <row r="13" spans="1:5" x14ac:dyDescent="0.25">
      <c r="C13" t="str">
        <f>A4</f>
        <v>Chuva</v>
      </c>
      <c r="D13">
        <f>E4</f>
        <v>513</v>
      </c>
      <c r="E13" s="61">
        <f>D13/$D$19</f>
        <v>5.0561797752808987E-2</v>
      </c>
    </row>
    <row r="14" spans="1:5" x14ac:dyDescent="0.25">
      <c r="C14" t="str">
        <f t="shared" ref="C14:C18" si="0">A5</f>
        <v>Elétrico</v>
      </c>
      <c r="D14">
        <f t="shared" ref="D14:D18" si="1">E5</f>
        <v>397</v>
      </c>
      <c r="E14" s="61">
        <f>D14/$D$19</f>
        <v>3.9128720678099742E-2</v>
      </c>
    </row>
    <row r="15" spans="1:5" x14ac:dyDescent="0.25">
      <c r="C15" t="str">
        <f t="shared" si="0"/>
        <v>Energia</v>
      </c>
      <c r="D15">
        <f t="shared" si="1"/>
        <v>91</v>
      </c>
      <c r="E15" s="61">
        <f t="shared" ref="E15:E18" si="2">D15/$D$19</f>
        <v>8.9690518430908736E-3</v>
      </c>
    </row>
    <row r="16" spans="1:5" x14ac:dyDescent="0.25">
      <c r="C16" t="str">
        <f t="shared" si="0"/>
        <v>Feito</v>
      </c>
      <c r="D16">
        <f t="shared" si="1"/>
        <v>7423</v>
      </c>
      <c r="E16" s="61">
        <f>D16/$D$19</f>
        <v>0.73161837177212696</v>
      </c>
    </row>
    <row r="17" spans="3:5" x14ac:dyDescent="0.25">
      <c r="C17" t="str">
        <f t="shared" si="0"/>
        <v>Mecânico</v>
      </c>
      <c r="D17">
        <f t="shared" si="1"/>
        <v>657</v>
      </c>
      <c r="E17" s="61">
        <f t="shared" si="2"/>
        <v>6.4754583086930814E-2</v>
      </c>
    </row>
    <row r="18" spans="3:5" x14ac:dyDescent="0.25">
      <c r="C18" t="str">
        <f t="shared" si="0"/>
        <v>Operação</v>
      </c>
      <c r="D18">
        <f t="shared" si="1"/>
        <v>1065</v>
      </c>
      <c r="E18" s="61">
        <f t="shared" si="2"/>
        <v>0.10496747486694263</v>
      </c>
    </row>
    <row r="19" spans="3:5" x14ac:dyDescent="0.25">
      <c r="D19" s="63">
        <f>SUM(D13:D18)</f>
        <v>10146</v>
      </c>
    </row>
    <row r="20" spans="3:5" x14ac:dyDescent="0.25">
      <c r="D20" s="61"/>
    </row>
    <row r="21" spans="3:5" x14ac:dyDescent="0.25">
      <c r="D21" s="61"/>
    </row>
    <row r="22" spans="3:5" x14ac:dyDescent="0.25">
      <c r="D22" s="61"/>
    </row>
    <row r="23" spans="3:5" x14ac:dyDescent="0.25">
      <c r="D23" s="61"/>
    </row>
  </sheetData>
  <mergeCells count="1">
    <mergeCell ref="C12:E12"/>
  </mergeCells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F38F-DADE-40AA-9795-7322B0B447C7}">
  <dimension ref="A3:I26"/>
  <sheetViews>
    <sheetView showGridLines="0" workbookViewId="0">
      <selection activeCell="E20" sqref="E20"/>
    </sheetView>
  </sheetViews>
  <sheetFormatPr defaultRowHeight="15" x14ac:dyDescent="0.25"/>
  <cols>
    <col min="1" max="1" width="18" bestFit="1" customWidth="1"/>
    <col min="2" max="3" width="16.28515625" bestFit="1" customWidth="1"/>
    <col min="4" max="4" width="18" bestFit="1" customWidth="1"/>
    <col min="5" max="5" width="18.28515625" bestFit="1" customWidth="1"/>
    <col min="8" max="8" width="10.5703125" bestFit="1" customWidth="1"/>
  </cols>
  <sheetData>
    <row r="3" spans="1:9" x14ac:dyDescent="0.25">
      <c r="A3" s="55" t="s">
        <v>42</v>
      </c>
      <c r="B3" t="s">
        <v>61</v>
      </c>
    </row>
    <row r="4" spans="1:9" x14ac:dyDescent="0.25">
      <c r="A4" s="56" t="s">
        <v>3</v>
      </c>
      <c r="B4">
        <v>0</v>
      </c>
    </row>
    <row r="5" spans="1:9" x14ac:dyDescent="0.25">
      <c r="A5" s="56" t="s">
        <v>6</v>
      </c>
      <c r="B5">
        <v>4</v>
      </c>
    </row>
    <row r="6" spans="1:9" x14ac:dyDescent="0.25">
      <c r="A6" s="56" t="s">
        <v>4</v>
      </c>
      <c r="B6">
        <v>0</v>
      </c>
    </row>
    <row r="7" spans="1:9" x14ac:dyDescent="0.25">
      <c r="A7" s="56" t="s">
        <v>2</v>
      </c>
      <c r="B7">
        <v>140</v>
      </c>
    </row>
    <row r="8" spans="1:9" x14ac:dyDescent="0.25">
      <c r="A8" s="56" t="s">
        <v>5</v>
      </c>
      <c r="B8">
        <v>1</v>
      </c>
    </row>
    <row r="9" spans="1:9" x14ac:dyDescent="0.25">
      <c r="A9" s="56" t="s">
        <v>7</v>
      </c>
      <c r="B9">
        <v>8</v>
      </c>
    </row>
    <row r="10" spans="1:9" x14ac:dyDescent="0.25">
      <c r="D10" s="56"/>
    </row>
    <row r="11" spans="1:9" x14ac:dyDescent="0.25">
      <c r="A11" s="55" t="s">
        <v>42</v>
      </c>
      <c r="B11" t="s">
        <v>60</v>
      </c>
    </row>
    <row r="12" spans="1:9" x14ac:dyDescent="0.25">
      <c r="A12" s="56" t="s">
        <v>3</v>
      </c>
      <c r="B12" s="57">
        <v>0</v>
      </c>
    </row>
    <row r="13" spans="1:9" x14ac:dyDescent="0.25">
      <c r="A13" s="56" t="s">
        <v>6</v>
      </c>
      <c r="B13" s="57">
        <v>2.6143790849673203E-2</v>
      </c>
      <c r="E13" s="61"/>
      <c r="F13" s="73" t="s">
        <v>59</v>
      </c>
      <c r="G13" s="73"/>
      <c r="H13" s="73"/>
    </row>
    <row r="14" spans="1:9" x14ac:dyDescent="0.25">
      <c r="A14" s="56" t="s">
        <v>4</v>
      </c>
      <c r="B14" s="57">
        <v>0</v>
      </c>
      <c r="D14" s="61"/>
      <c r="E14" s="61"/>
      <c r="F14" t="str">
        <f>A4</f>
        <v>Chuva</v>
      </c>
      <c r="G14">
        <f>B4</f>
        <v>0</v>
      </c>
      <c r="H14" s="61">
        <f>G14/$G$20</f>
        <v>0</v>
      </c>
      <c r="I14" s="61"/>
    </row>
    <row r="15" spans="1:9" x14ac:dyDescent="0.25">
      <c r="A15" s="56" t="s">
        <v>2</v>
      </c>
      <c r="B15" s="57">
        <v>0.91503267973856206</v>
      </c>
      <c r="D15" s="61"/>
      <c r="F15" t="str">
        <f t="shared" ref="F15:F19" si="0">A5</f>
        <v>Elétrico</v>
      </c>
      <c r="G15">
        <f t="shared" ref="G15:G19" si="1">B5</f>
        <v>4</v>
      </c>
      <c r="H15" s="61">
        <f t="shared" ref="H15:H19" si="2">G15/$G$20</f>
        <v>2.6143790849673203E-2</v>
      </c>
      <c r="I15" s="61"/>
    </row>
    <row r="16" spans="1:9" x14ac:dyDescent="0.25">
      <c r="A16" s="56" t="s">
        <v>5</v>
      </c>
      <c r="B16" s="57">
        <v>6.5359477124183009E-3</v>
      </c>
      <c r="D16" s="61"/>
      <c r="F16" t="str">
        <f t="shared" si="0"/>
        <v>Energia</v>
      </c>
      <c r="G16">
        <f t="shared" si="1"/>
        <v>0</v>
      </c>
      <c r="H16" s="61">
        <f t="shared" si="2"/>
        <v>0</v>
      </c>
      <c r="I16" s="61"/>
    </row>
    <row r="17" spans="1:9" x14ac:dyDescent="0.25">
      <c r="A17" s="56" t="s">
        <v>7</v>
      </c>
      <c r="B17" s="57">
        <v>5.2287581699346407E-2</v>
      </c>
      <c r="D17" s="61"/>
      <c r="F17" t="str">
        <f t="shared" si="0"/>
        <v>Feito</v>
      </c>
      <c r="G17">
        <f t="shared" si="1"/>
        <v>140</v>
      </c>
      <c r="H17" s="61">
        <f t="shared" si="2"/>
        <v>0.91503267973856206</v>
      </c>
      <c r="I17" s="61"/>
    </row>
    <row r="18" spans="1:9" x14ac:dyDescent="0.25">
      <c r="D18" s="61"/>
      <c r="F18" t="str">
        <f t="shared" si="0"/>
        <v>Mecânico</v>
      </c>
      <c r="G18">
        <f t="shared" si="1"/>
        <v>1</v>
      </c>
      <c r="H18" s="61">
        <f t="shared" si="2"/>
        <v>6.5359477124183009E-3</v>
      </c>
      <c r="I18" s="61"/>
    </row>
    <row r="19" spans="1:9" x14ac:dyDescent="0.25">
      <c r="D19" s="61"/>
      <c r="F19" t="str">
        <f t="shared" si="0"/>
        <v>Operação</v>
      </c>
      <c r="G19">
        <f t="shared" si="1"/>
        <v>8</v>
      </c>
      <c r="H19" s="61">
        <f t="shared" si="2"/>
        <v>5.2287581699346407E-2</v>
      </c>
      <c r="I19" s="61"/>
    </row>
    <row r="20" spans="1:9" x14ac:dyDescent="0.25">
      <c r="G20">
        <f>SUM(G14:G19)</f>
        <v>153</v>
      </c>
    </row>
    <row r="21" spans="1:9" x14ac:dyDescent="0.25">
      <c r="F21" s="61"/>
    </row>
    <row r="22" spans="1:9" x14ac:dyDescent="0.25">
      <c r="F22" s="61"/>
    </row>
    <row r="23" spans="1:9" x14ac:dyDescent="0.25">
      <c r="F23" s="61"/>
    </row>
    <row r="24" spans="1:9" x14ac:dyDescent="0.25">
      <c r="F24" s="61"/>
    </row>
    <row r="25" spans="1:9" x14ac:dyDescent="0.25">
      <c r="F25" s="61"/>
    </row>
    <row r="26" spans="1:9" x14ac:dyDescent="0.25">
      <c r="F26" s="61"/>
    </row>
  </sheetData>
  <mergeCells count="1">
    <mergeCell ref="F13:H13"/>
  </mergeCells>
  <pageMargins left="0.511811024" right="0.511811024" top="0.78740157499999996" bottom="0.78740157499999996" header="0.31496062000000002" footer="0.31496062000000002"/>
  <pageSetup paperSize="9" orientation="portrait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A528B-1BAE-4905-B1C6-F037D28DD289}">
  <dimension ref="J37:Q39"/>
  <sheetViews>
    <sheetView showGridLines="0" showRowColHeaders="0" topLeftCell="A17" zoomScaleNormal="100" workbookViewId="0">
      <selection activeCell="R42" sqref="R42"/>
    </sheetView>
  </sheetViews>
  <sheetFormatPr defaultRowHeight="15" x14ac:dyDescent="0.25"/>
  <sheetData>
    <row r="37" spans="10:17" x14ac:dyDescent="0.25">
      <c r="Q37" t="s">
        <v>55</v>
      </c>
    </row>
    <row r="39" spans="10:17" x14ac:dyDescent="0.25">
      <c r="J39" t="s">
        <v>69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350E0EA790D4697F12EBEBCF103C9" ma:contentTypeVersion="12" ma:contentTypeDescription="Crie um novo documento." ma:contentTypeScope="" ma:versionID="97e8cc67282927adae593247808b36e5">
  <xsd:schema xmlns:xsd="http://www.w3.org/2001/XMLSchema" xmlns:xs="http://www.w3.org/2001/XMLSchema" xmlns:p="http://schemas.microsoft.com/office/2006/metadata/properties" xmlns:ns2="7257e209-cf21-49dc-84d1-51e2a71d3a62" xmlns:ns3="d4134389-8848-48b2-9a4e-9571c4d20677" targetNamespace="http://schemas.microsoft.com/office/2006/metadata/properties" ma:root="true" ma:fieldsID="43a45d9a6dc3f60115c7c585f977a766" ns2:_="" ns3:_="">
    <xsd:import namespace="7257e209-cf21-49dc-84d1-51e2a71d3a62"/>
    <xsd:import namespace="d4134389-8848-48b2-9a4e-9571c4d2067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7e209-cf21-49dc-84d1-51e2a71d3a6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34389-8848-48b2-9a4e-9571c4d20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A53B853C-15BD-4005-BA54-5DA2B07F44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57e209-cf21-49dc-84d1-51e2a71d3a62"/>
    <ds:schemaRef ds:uri="d4134389-8848-48b2-9a4e-9571c4d206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FF1353-FD0D-4166-9242-D909A217DE4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88FC48D-7AE5-43BA-A0BD-AAECD0D2A70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E8AECD-F5C4-4D61-9C86-8089A63CBF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93</vt:i4>
      </vt:variant>
    </vt:vector>
  </HeadingPairs>
  <TitlesOfParts>
    <vt:vector size="93" baseType="lpstr">
      <vt:lpstr>Base de Dados</vt:lpstr>
      <vt:lpstr>Acumulado</vt:lpstr>
      <vt:lpstr>17 12 2020</vt:lpstr>
      <vt:lpstr>25 12 2020</vt:lpstr>
      <vt:lpstr>02 01 2021 </vt:lpstr>
      <vt:lpstr>14 01 2021</vt:lpstr>
      <vt:lpstr>22 01 2021</vt:lpstr>
      <vt:lpstr>30 01 2021</vt:lpstr>
      <vt:lpstr>07 02 2021</vt:lpstr>
      <vt:lpstr>15 02 2021</vt:lpstr>
      <vt:lpstr>23 02 2021</vt:lpstr>
      <vt:lpstr>03 03 2021</vt:lpstr>
      <vt:lpstr>11 03 2021</vt:lpstr>
      <vt:lpstr>19 03 2021</vt:lpstr>
      <vt:lpstr>27 03 2021</vt:lpstr>
      <vt:lpstr>04 04 2021</vt:lpstr>
      <vt:lpstr>12 04 2021</vt:lpstr>
      <vt:lpstr>30 04 2021</vt:lpstr>
      <vt:lpstr>08 05 2021</vt:lpstr>
      <vt:lpstr>16 05 2021</vt:lpstr>
      <vt:lpstr>24 05 2021</vt:lpstr>
      <vt:lpstr>01 06 2021</vt:lpstr>
      <vt:lpstr>09 06 2021</vt:lpstr>
      <vt:lpstr>17 06 2021</vt:lpstr>
      <vt:lpstr>25 06 2021 </vt:lpstr>
      <vt:lpstr>03 07 2021</vt:lpstr>
      <vt:lpstr>11 07 2021 </vt:lpstr>
      <vt:lpstr>19 07 2021</vt:lpstr>
      <vt:lpstr>27 07 2021</vt:lpstr>
      <vt:lpstr>04 08 2021</vt:lpstr>
      <vt:lpstr>12 08 2021</vt:lpstr>
      <vt:lpstr>20 08 2021</vt:lpstr>
      <vt:lpstr>28 08 2021</vt:lpstr>
      <vt:lpstr>05 09 2021</vt:lpstr>
      <vt:lpstr>13 09 2021 </vt:lpstr>
      <vt:lpstr>21 09 2021</vt:lpstr>
      <vt:lpstr>27 09 2021</vt:lpstr>
      <vt:lpstr>04 10 2021</vt:lpstr>
      <vt:lpstr>11 10 2021</vt:lpstr>
      <vt:lpstr>18 10 2021</vt:lpstr>
      <vt:lpstr>25 10 2021</vt:lpstr>
      <vt:lpstr>01 11 2021 </vt:lpstr>
      <vt:lpstr>08 11 2021</vt:lpstr>
      <vt:lpstr>15 11 2021</vt:lpstr>
      <vt:lpstr>22 11 2021</vt:lpstr>
      <vt:lpstr>29 11 2021</vt:lpstr>
      <vt:lpstr>03 01 2022</vt:lpstr>
      <vt:lpstr>10 01 2022 </vt:lpstr>
      <vt:lpstr>17 01 2022</vt:lpstr>
      <vt:lpstr>24 01 2021</vt:lpstr>
      <vt:lpstr>31 01 2021</vt:lpstr>
      <vt:lpstr>07 02 2022</vt:lpstr>
      <vt:lpstr>14 02 2022</vt:lpstr>
      <vt:lpstr>21 02 2022</vt:lpstr>
      <vt:lpstr>28 02 2022</vt:lpstr>
      <vt:lpstr>07 03 2022</vt:lpstr>
      <vt:lpstr>14 03 2022</vt:lpstr>
      <vt:lpstr>21 03 2022</vt:lpstr>
      <vt:lpstr>28 03 2022</vt:lpstr>
      <vt:lpstr>04 04 2022</vt:lpstr>
      <vt:lpstr>11 04 2022</vt:lpstr>
      <vt:lpstr>18 04 2022</vt:lpstr>
      <vt:lpstr>25 04 2022</vt:lpstr>
      <vt:lpstr>02 05 2022</vt:lpstr>
      <vt:lpstr>09 05 2022</vt:lpstr>
      <vt:lpstr>16 05 2022</vt:lpstr>
      <vt:lpstr>23 05 2022 </vt:lpstr>
      <vt:lpstr>30 05 2022  </vt:lpstr>
      <vt:lpstr>06 06 2022   </vt:lpstr>
      <vt:lpstr>13 06 2022  </vt:lpstr>
      <vt:lpstr>20 06 2022  </vt:lpstr>
      <vt:lpstr>27 06 2022  </vt:lpstr>
      <vt:lpstr>04 07 2022</vt:lpstr>
      <vt:lpstr>11 07 2022 </vt:lpstr>
      <vt:lpstr>18 07 2022  </vt:lpstr>
      <vt:lpstr>25 07 2022</vt:lpstr>
      <vt:lpstr>01 08 2022 </vt:lpstr>
      <vt:lpstr>08 08 2022  </vt:lpstr>
      <vt:lpstr>15 08 2022   </vt:lpstr>
      <vt:lpstr>22 08 2022    </vt:lpstr>
      <vt:lpstr>29 08 2022    </vt:lpstr>
      <vt:lpstr>05 09 2022     </vt:lpstr>
      <vt:lpstr>12 09 2022      </vt:lpstr>
      <vt:lpstr>19 09 2022       </vt:lpstr>
      <vt:lpstr>26 09 2022       </vt:lpstr>
      <vt:lpstr>03 10 2022        </vt:lpstr>
      <vt:lpstr>10 10 2022        </vt:lpstr>
      <vt:lpstr>17 10 2022</vt:lpstr>
      <vt:lpstr>Base Planejado vs Executado</vt:lpstr>
      <vt:lpstr>Analise Planejado vs Executado</vt:lpstr>
      <vt:lpstr>Analise Semanal</vt:lpstr>
      <vt:lpstr>Analise Anual</vt:lpstr>
      <vt:lpstr>Dashboard de Indicadores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 SUPORTE</dc:creator>
  <cp:keywords/>
  <dc:description/>
  <cp:lastModifiedBy>Kalito Silva</cp:lastModifiedBy>
  <cp:revision/>
  <dcterms:created xsi:type="dcterms:W3CDTF">2020-12-23T10:51:36Z</dcterms:created>
  <dcterms:modified xsi:type="dcterms:W3CDTF">2022-10-26T20:45:31Z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0x0101008C0350E0EA790D4697F12EBEBCF103C9</vt:lpwstr>
  </property>
</Properties>
</file>