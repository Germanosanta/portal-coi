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72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73.xml" ContentType="application/vnd.openxmlformats-officedocument.drawing+xml"/>
  <Override PartName="/xl/slicers/slicer2.xml" ContentType="application/vnd.ms-excel.slicer+xml"/>
  <Override PartName="/xl/drawings/drawing74.xml" ContentType="application/vnd.openxmlformats-officedocument.drawing+xml"/>
  <Override PartName="/xl/slicers/slicer3.xml" ContentType="application/vnd.ms-excel.slicer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antacolombaagropecuaria.sharepoint.com/sites/arquivos/Documentos Compartilhados/Sistema de Irrigacao/Suporte Irrigação/Kalito/Indicadores/Novo Atualizado/"/>
    </mc:Choice>
  </mc:AlternateContent>
  <xr:revisionPtr revIDLastSave="432" documentId="6_{487591A9-47FB-4C2B-8A08-32385A558287}" xr6:coauthVersionLast="47" xr6:coauthVersionMax="47" xr10:uidLastSave="{5EAB6F13-7D7E-4EFD-B91C-D9942EEF43B6}"/>
  <bookViews>
    <workbookView xWindow="-28920" yWindow="-4710" windowWidth="29040" windowHeight="15840" tabRatio="881" firstSheet="61" activeTab="72" xr2:uid="{BD5C5A8C-1367-44D9-856B-9E5869C29C53}"/>
  </bookViews>
  <sheets>
    <sheet name="Acumulado" sheetId="3" r:id="rId1"/>
    <sheet name="21 02 2022" sheetId="1" r:id="rId2"/>
    <sheet name="28 02 2022" sheetId="4" r:id="rId3"/>
    <sheet name="07 03 2022" sheetId="5" r:id="rId4"/>
    <sheet name="14 03 2022" sheetId="6" r:id="rId5"/>
    <sheet name="21 03 2022" sheetId="7" r:id="rId6"/>
    <sheet name="28 03 2022" sheetId="8" r:id="rId7"/>
    <sheet name="04 04 2022" sheetId="9" r:id="rId8"/>
    <sheet name="11 04 2022" sheetId="10" r:id="rId9"/>
    <sheet name="18 04 2022" sheetId="11" r:id="rId10"/>
    <sheet name="25 04 2022" sheetId="12" r:id="rId11"/>
    <sheet name="02 05 2022" sheetId="13" r:id="rId12"/>
    <sheet name="09 05 2022" sheetId="14" r:id="rId13"/>
    <sheet name="16 05 2022" sheetId="15" r:id="rId14"/>
    <sheet name="23 05 2022 " sheetId="16" r:id="rId15"/>
    <sheet name="06 06 2022 " sheetId="17" r:id="rId16"/>
    <sheet name="13 06 2022  " sheetId="18" r:id="rId17"/>
    <sheet name="20 06 2022  " sheetId="19" r:id="rId18"/>
    <sheet name="27 06 2022  " sheetId="20" r:id="rId19"/>
    <sheet name="04 07 2022" sheetId="42" r:id="rId20"/>
    <sheet name="11 07 2022 " sheetId="43" r:id="rId21"/>
    <sheet name="18 07 2022  " sheetId="44" r:id="rId22"/>
    <sheet name="25 07 2022   " sheetId="45" r:id="rId23"/>
    <sheet name="01 08 2022    " sheetId="46" r:id="rId24"/>
    <sheet name="08 08 2022     " sheetId="47" r:id="rId25"/>
    <sheet name="15 08 2022    " sheetId="48" r:id="rId26"/>
    <sheet name="22 08 2022     " sheetId="49" r:id="rId27"/>
    <sheet name="29 08 2022      " sheetId="50" r:id="rId28"/>
    <sheet name="05 09 2022      " sheetId="51" r:id="rId29"/>
    <sheet name="12 09 2022       " sheetId="52" r:id="rId30"/>
    <sheet name="19 09 2022        " sheetId="53" r:id="rId31"/>
    <sheet name="26 09 2022         " sheetId="54" r:id="rId32"/>
    <sheet name="03 10 2022         " sheetId="55" r:id="rId33"/>
    <sheet name="10 10 2022         " sheetId="56" r:id="rId34"/>
    <sheet name="17 10 2022       " sheetId="57" r:id="rId35"/>
    <sheet name="24 10 2022" sheetId="58" r:id="rId36"/>
    <sheet name="31 10 2022" sheetId="59" r:id="rId37"/>
    <sheet name="07 11 2022" sheetId="60" r:id="rId38"/>
    <sheet name="14 11 2022" sheetId="61" r:id="rId39"/>
    <sheet name="28 11 2022" sheetId="69" r:id="rId40"/>
    <sheet name="05 12 2022" sheetId="62" r:id="rId41"/>
    <sheet name="19 12 2022" sheetId="63" r:id="rId42"/>
    <sheet name="26 12 2022" sheetId="70" r:id="rId43"/>
    <sheet name="02 01 2023" sheetId="64" r:id="rId44"/>
    <sheet name="09 01 2023" sheetId="71" r:id="rId45"/>
    <sheet name="16 01 2023" sheetId="65" r:id="rId46"/>
    <sheet name="23 01 2023" sheetId="72" r:id="rId47"/>
    <sheet name="30 01 2023" sheetId="66" r:id="rId48"/>
    <sheet name="06 02 2023" sheetId="67" r:id="rId49"/>
    <sheet name="13 02 2023" sheetId="68" r:id="rId50"/>
    <sheet name="20 02 2023" sheetId="73" r:id="rId51"/>
    <sheet name="27 02 2023" sheetId="74" r:id="rId52"/>
    <sheet name="06 03 2023" sheetId="75" r:id="rId53"/>
    <sheet name="13 03 2023" sheetId="76" r:id="rId54"/>
    <sheet name="20 03 2023" sheetId="77" r:id="rId55"/>
    <sheet name="27 03 2023" sheetId="78" r:id="rId56"/>
    <sheet name="03 04 2023 " sheetId="79" r:id="rId57"/>
    <sheet name="10 04 2023" sheetId="80" r:id="rId58"/>
    <sheet name="17 04 2023" sheetId="81" r:id="rId59"/>
    <sheet name="24 04 2023" sheetId="82" r:id="rId60"/>
    <sheet name="01 05 2023" sheetId="83" r:id="rId61"/>
    <sheet name="08 05 2023" sheetId="85" r:id="rId62"/>
    <sheet name="15 05 2023" sheetId="86" r:id="rId63"/>
    <sheet name="22 05 2023" sheetId="87" r:id="rId64"/>
    <sheet name="05 06 2023" sheetId="88" r:id="rId65"/>
    <sheet name="12 06 2023" sheetId="89" r:id="rId66"/>
    <sheet name="19 06 2023" sheetId="90" r:id="rId67"/>
    <sheet name="26 06 2023" sheetId="91" r:id="rId68"/>
    <sheet name="03 07 2023" sheetId="92" r:id="rId69"/>
    <sheet name="10 07 2023" sheetId="93" r:id="rId70"/>
    <sheet name="17 07 2023" sheetId="94" r:id="rId71"/>
    <sheet name="24 07 2023" sheetId="95" r:id="rId72"/>
    <sheet name="Base de Dados" sheetId="21" r:id="rId73"/>
    <sheet name="Analise Semanal" sheetId="39" r:id="rId74"/>
    <sheet name="Analise Anual" sheetId="40" r:id="rId75"/>
    <sheet name="Dashboard Indicadores" sheetId="41" r:id="rId76"/>
  </sheets>
  <definedNames>
    <definedName name="DadosExternos_1" localSheetId="72" hidden="1">'Base de Dados'!$A$1:$D$817</definedName>
    <definedName name="SegmentaçãodeDados_Ano">#N/A</definedName>
    <definedName name="SegmentaçãodeDados_Periodo">#N/A</definedName>
    <definedName name="SegmentaçãodeDados_Semana">#N/A</definedName>
    <definedName name="semestre01de2022" localSheetId="0">Acumulado!$A$2:$V$32</definedName>
  </definedNames>
  <calcPr calcId="181029"/>
  <pivotCaches>
    <pivotCache cacheId="4" r:id="rId77"/>
  </pivotCaches>
  <extLst>
    <ext xmlns:x14="http://schemas.microsoft.com/office/spreadsheetml/2009/9/main" uri="{BBE1A952-AA13-448e-AADC-164F8A28A991}">
      <x14:slicerCaches>
        <x14:slicerCache r:id="rId78"/>
        <x14:slicerCache r:id="rId79"/>
        <x14:slicerCache r:id="rId8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03" i="21" l="1"/>
  <c r="E804" i="21"/>
  <c r="E805" i="21"/>
  <c r="E806" i="21"/>
  <c r="E807" i="21"/>
  <c r="E808" i="21"/>
  <c r="E809" i="21"/>
  <c r="E810" i="21"/>
  <c r="E811" i="21"/>
  <c r="E812" i="21"/>
  <c r="E813" i="21"/>
  <c r="E814" i="21"/>
  <c r="E815" i="21"/>
  <c r="E816" i="21"/>
  <c r="E817" i="21"/>
  <c r="F803" i="21"/>
  <c r="F804" i="21"/>
  <c r="F805" i="21"/>
  <c r="F806" i="21"/>
  <c r="F807" i="21"/>
  <c r="F808" i="21"/>
  <c r="F809" i="21"/>
  <c r="F810" i="21"/>
  <c r="F811" i="21"/>
  <c r="F812" i="21"/>
  <c r="F813" i="21"/>
  <c r="F814" i="21"/>
  <c r="F815" i="21"/>
  <c r="F816" i="21"/>
  <c r="F817" i="21"/>
  <c r="G803" i="21"/>
  <c r="G804" i="21"/>
  <c r="G805" i="21"/>
  <c r="G806" i="21"/>
  <c r="G807" i="21"/>
  <c r="G808" i="21"/>
  <c r="G809" i="21"/>
  <c r="G810" i="21"/>
  <c r="G811" i="21"/>
  <c r="G812" i="21"/>
  <c r="G813" i="21"/>
  <c r="G814" i="21"/>
  <c r="G815" i="21"/>
  <c r="G816" i="21"/>
  <c r="G817" i="21"/>
  <c r="K19" i="95"/>
  <c r="K18" i="95"/>
  <c r="K17" i="95"/>
  <c r="K16" i="95"/>
  <c r="K15" i="95"/>
  <c r="K14" i="95"/>
  <c r="K13" i="95"/>
  <c r="K12" i="95"/>
  <c r="K11" i="95"/>
  <c r="K10" i="95"/>
  <c r="K9" i="95"/>
  <c r="K8" i="95"/>
  <c r="K7" i="95"/>
  <c r="K6" i="95"/>
  <c r="M5" i="95"/>
  <c r="K5" i="95"/>
  <c r="B4" i="95"/>
  <c r="C3" i="95"/>
  <c r="D3" i="95" s="1"/>
  <c r="E788" i="21"/>
  <c r="E789" i="21"/>
  <c r="E790" i="21"/>
  <c r="E791" i="21"/>
  <c r="E792" i="21"/>
  <c r="E793" i="21"/>
  <c r="E794" i="21"/>
  <c r="E795" i="21"/>
  <c r="E796" i="21"/>
  <c r="E797" i="21"/>
  <c r="E798" i="21"/>
  <c r="E799" i="21"/>
  <c r="E800" i="21"/>
  <c r="E801" i="21"/>
  <c r="E802" i="21"/>
  <c r="F788" i="21"/>
  <c r="F789" i="21"/>
  <c r="F790" i="21"/>
  <c r="F791" i="21"/>
  <c r="F792" i="21"/>
  <c r="F793" i="21"/>
  <c r="F794" i="21"/>
  <c r="F795" i="21"/>
  <c r="F796" i="21"/>
  <c r="F797" i="21"/>
  <c r="F798" i="21"/>
  <c r="F799" i="21"/>
  <c r="F800" i="21"/>
  <c r="F801" i="21"/>
  <c r="F802" i="21"/>
  <c r="G788" i="21"/>
  <c r="G789" i="21"/>
  <c r="G790" i="21"/>
  <c r="G791" i="21"/>
  <c r="G792" i="21"/>
  <c r="G793" i="21"/>
  <c r="G794" i="21"/>
  <c r="G795" i="21"/>
  <c r="G796" i="21"/>
  <c r="G797" i="21"/>
  <c r="G798" i="21"/>
  <c r="G799" i="21"/>
  <c r="G800" i="21"/>
  <c r="G801" i="21"/>
  <c r="G802" i="21"/>
  <c r="K19" i="94"/>
  <c r="K18" i="94"/>
  <c r="K17" i="94"/>
  <c r="K16" i="94"/>
  <c r="K15" i="94"/>
  <c r="K14" i="94"/>
  <c r="K13" i="94"/>
  <c r="K12" i="94"/>
  <c r="K11" i="94"/>
  <c r="K10" i="94"/>
  <c r="K9" i="94"/>
  <c r="K8" i="94"/>
  <c r="K7" i="94"/>
  <c r="K6" i="94"/>
  <c r="M5" i="94"/>
  <c r="K5" i="94"/>
  <c r="K20" i="94" s="1"/>
  <c r="B4" i="94"/>
  <c r="C3" i="94"/>
  <c r="D3" i="94" s="1"/>
  <c r="E773" i="21"/>
  <c r="E774" i="21"/>
  <c r="E775" i="21"/>
  <c r="E776" i="21"/>
  <c r="E777" i="21"/>
  <c r="E778" i="21"/>
  <c r="E779" i="21"/>
  <c r="E780" i="21"/>
  <c r="E781" i="21"/>
  <c r="E782" i="21"/>
  <c r="E783" i="21"/>
  <c r="E784" i="21"/>
  <c r="E785" i="21"/>
  <c r="E786" i="21"/>
  <c r="E787" i="21"/>
  <c r="F773" i="21"/>
  <c r="F774" i="21"/>
  <c r="F775" i="21"/>
  <c r="F776" i="21"/>
  <c r="F777" i="21"/>
  <c r="F778" i="21"/>
  <c r="F779" i="21"/>
  <c r="F780" i="21"/>
  <c r="F781" i="21"/>
  <c r="F782" i="21"/>
  <c r="F783" i="21"/>
  <c r="F784" i="21"/>
  <c r="F785" i="21"/>
  <c r="F786" i="21"/>
  <c r="F787" i="21"/>
  <c r="G773" i="21"/>
  <c r="G774" i="21"/>
  <c r="G775" i="21"/>
  <c r="G776" i="21"/>
  <c r="G777" i="21"/>
  <c r="G778" i="21"/>
  <c r="G779" i="21"/>
  <c r="G780" i="21"/>
  <c r="G781" i="21"/>
  <c r="G782" i="21"/>
  <c r="G783" i="21"/>
  <c r="G784" i="21"/>
  <c r="G785" i="21"/>
  <c r="G786" i="21"/>
  <c r="G787" i="21"/>
  <c r="K19" i="93"/>
  <c r="K18" i="93"/>
  <c r="K17" i="93"/>
  <c r="K16" i="93"/>
  <c r="K15" i="93"/>
  <c r="K14" i="93"/>
  <c r="K13" i="93"/>
  <c r="K12" i="93"/>
  <c r="K11" i="93"/>
  <c r="K10" i="93"/>
  <c r="K9" i="93"/>
  <c r="K8" i="93"/>
  <c r="K7" i="93"/>
  <c r="K6" i="93"/>
  <c r="M5" i="93"/>
  <c r="K5" i="93"/>
  <c r="B4" i="93"/>
  <c r="C3" i="93"/>
  <c r="D3" i="93" s="1"/>
  <c r="E758" i="21"/>
  <c r="E759" i="21"/>
  <c r="E760" i="21"/>
  <c r="E761" i="21"/>
  <c r="E762" i="21"/>
  <c r="E763" i="21"/>
  <c r="E764" i="21"/>
  <c r="E765" i="21"/>
  <c r="E766" i="21"/>
  <c r="E767" i="21"/>
  <c r="E768" i="21"/>
  <c r="E769" i="21"/>
  <c r="E770" i="21"/>
  <c r="E771" i="21"/>
  <c r="E772" i="21"/>
  <c r="F758" i="21"/>
  <c r="F759" i="21"/>
  <c r="F760" i="21"/>
  <c r="F761" i="21"/>
  <c r="F762" i="21"/>
  <c r="F763" i="21"/>
  <c r="F764" i="21"/>
  <c r="F765" i="21"/>
  <c r="F766" i="21"/>
  <c r="F767" i="21"/>
  <c r="F768" i="21"/>
  <c r="F769" i="21"/>
  <c r="F770" i="21"/>
  <c r="F771" i="21"/>
  <c r="F772" i="21"/>
  <c r="G758" i="21"/>
  <c r="G759" i="21"/>
  <c r="G760" i="21"/>
  <c r="G761" i="21"/>
  <c r="G762" i="21"/>
  <c r="G763" i="21"/>
  <c r="G764" i="21"/>
  <c r="G765" i="21"/>
  <c r="G766" i="21"/>
  <c r="G767" i="21"/>
  <c r="G768" i="21"/>
  <c r="G769" i="21"/>
  <c r="G770" i="21"/>
  <c r="G771" i="21"/>
  <c r="G772" i="21"/>
  <c r="K19" i="92"/>
  <c r="K18" i="92"/>
  <c r="K17" i="92"/>
  <c r="K16" i="92"/>
  <c r="K15" i="92"/>
  <c r="K14" i="92"/>
  <c r="K13" i="92"/>
  <c r="K12" i="92"/>
  <c r="K11" i="92"/>
  <c r="K10" i="92"/>
  <c r="K9" i="92"/>
  <c r="K8" i="92"/>
  <c r="K7" i="92"/>
  <c r="K6" i="92"/>
  <c r="M5" i="92"/>
  <c r="K5" i="92"/>
  <c r="B4" i="92"/>
  <c r="C3" i="92"/>
  <c r="D3" i="92" s="1"/>
  <c r="E743" i="21"/>
  <c r="E744" i="21"/>
  <c r="E745" i="21"/>
  <c r="E746" i="21"/>
  <c r="E747" i="21"/>
  <c r="E748" i="21"/>
  <c r="E749" i="21"/>
  <c r="E750" i="21"/>
  <c r="E751" i="21"/>
  <c r="E752" i="21"/>
  <c r="E753" i="21"/>
  <c r="E754" i="21"/>
  <c r="E755" i="21"/>
  <c r="E756" i="21"/>
  <c r="E757" i="21"/>
  <c r="F743" i="21"/>
  <c r="F744" i="21"/>
  <c r="F745" i="21"/>
  <c r="F746" i="21"/>
  <c r="F747" i="21"/>
  <c r="F748" i="21"/>
  <c r="F749" i="21"/>
  <c r="F750" i="21"/>
  <c r="F751" i="21"/>
  <c r="F752" i="21"/>
  <c r="F753" i="21"/>
  <c r="F754" i="21"/>
  <c r="F755" i="21"/>
  <c r="F756" i="21"/>
  <c r="F757" i="21"/>
  <c r="G743" i="21"/>
  <c r="G744" i="21"/>
  <c r="G745" i="21"/>
  <c r="G746" i="21"/>
  <c r="G747" i="21"/>
  <c r="G748" i="21"/>
  <c r="G749" i="21"/>
  <c r="G750" i="21"/>
  <c r="G751" i="21"/>
  <c r="G752" i="21"/>
  <c r="G753" i="21"/>
  <c r="G754" i="21"/>
  <c r="G755" i="21"/>
  <c r="G756" i="21"/>
  <c r="G757" i="21"/>
  <c r="K19" i="91"/>
  <c r="K18" i="91"/>
  <c r="K17" i="91"/>
  <c r="K16" i="91"/>
  <c r="K15" i="91"/>
  <c r="K14" i="91"/>
  <c r="K13" i="91"/>
  <c r="K12" i="91"/>
  <c r="K11" i="91"/>
  <c r="K10" i="91"/>
  <c r="K9" i="91"/>
  <c r="K8" i="91"/>
  <c r="K7" i="91"/>
  <c r="K6" i="91"/>
  <c r="M5" i="91"/>
  <c r="K5" i="91"/>
  <c r="B4" i="91"/>
  <c r="C3" i="91"/>
  <c r="D3" i="91" s="1"/>
  <c r="E728" i="21"/>
  <c r="E729" i="21"/>
  <c r="E730" i="21"/>
  <c r="E731" i="21"/>
  <c r="E732" i="21"/>
  <c r="E733" i="21"/>
  <c r="E734" i="21"/>
  <c r="E735" i="21"/>
  <c r="E736" i="21"/>
  <c r="E737" i="21"/>
  <c r="E738" i="21"/>
  <c r="E739" i="21"/>
  <c r="E740" i="21"/>
  <c r="E741" i="21"/>
  <c r="E742" i="21"/>
  <c r="F728" i="21"/>
  <c r="F729" i="21"/>
  <c r="F730" i="21"/>
  <c r="F731" i="21"/>
  <c r="F732" i="21"/>
  <c r="F733" i="21"/>
  <c r="F734" i="21"/>
  <c r="F735" i="21"/>
  <c r="F736" i="21"/>
  <c r="F737" i="21"/>
  <c r="F738" i="21"/>
  <c r="F739" i="21"/>
  <c r="F740" i="21"/>
  <c r="F741" i="21"/>
  <c r="F742" i="21"/>
  <c r="G728" i="21"/>
  <c r="G729" i="21"/>
  <c r="G730" i="21"/>
  <c r="G731" i="21"/>
  <c r="G732" i="21"/>
  <c r="G733" i="21"/>
  <c r="G734" i="21"/>
  <c r="G735" i="21"/>
  <c r="G736" i="21"/>
  <c r="G737" i="21"/>
  <c r="G738" i="21"/>
  <c r="G739" i="21"/>
  <c r="G740" i="21"/>
  <c r="G741" i="21"/>
  <c r="G742" i="21"/>
  <c r="K19" i="90"/>
  <c r="K18" i="90"/>
  <c r="K17" i="90"/>
  <c r="K16" i="90"/>
  <c r="K15" i="90"/>
  <c r="K14" i="90"/>
  <c r="K13" i="90"/>
  <c r="K12" i="90"/>
  <c r="K11" i="90"/>
  <c r="K10" i="90"/>
  <c r="K9" i="90"/>
  <c r="K8" i="90"/>
  <c r="K7" i="90"/>
  <c r="K6" i="90"/>
  <c r="M5" i="90"/>
  <c r="K5" i="90"/>
  <c r="B4" i="90"/>
  <c r="C3" i="90"/>
  <c r="D3" i="90" s="1"/>
  <c r="E713" i="21"/>
  <c r="E714" i="21"/>
  <c r="E715" i="21"/>
  <c r="E716" i="21"/>
  <c r="E717" i="21"/>
  <c r="E718" i="21"/>
  <c r="E719" i="21"/>
  <c r="E720" i="21"/>
  <c r="E721" i="21"/>
  <c r="E722" i="21"/>
  <c r="E723" i="21"/>
  <c r="E724" i="21"/>
  <c r="E725" i="21"/>
  <c r="E726" i="21"/>
  <c r="E727" i="21"/>
  <c r="F713" i="21"/>
  <c r="F714" i="21"/>
  <c r="F715" i="21"/>
  <c r="F716" i="21"/>
  <c r="F717" i="21"/>
  <c r="F718" i="21"/>
  <c r="F719" i="21"/>
  <c r="F720" i="21"/>
  <c r="F721" i="21"/>
  <c r="F722" i="21"/>
  <c r="F723" i="21"/>
  <c r="F724" i="21"/>
  <c r="F725" i="21"/>
  <c r="F726" i="21"/>
  <c r="F727" i="21"/>
  <c r="G713" i="21"/>
  <c r="G714" i="21"/>
  <c r="G715" i="21"/>
  <c r="G716" i="21"/>
  <c r="G717" i="21"/>
  <c r="G718" i="21"/>
  <c r="G719" i="21"/>
  <c r="G720" i="21"/>
  <c r="G721" i="21"/>
  <c r="G722" i="21"/>
  <c r="G723" i="21"/>
  <c r="G724" i="21"/>
  <c r="G725" i="21"/>
  <c r="G726" i="21"/>
  <c r="G727" i="21"/>
  <c r="K19" i="89"/>
  <c r="K18" i="89"/>
  <c r="K17" i="89"/>
  <c r="K16" i="89"/>
  <c r="K15" i="89"/>
  <c r="K14" i="89"/>
  <c r="K13" i="89"/>
  <c r="K12" i="89"/>
  <c r="K11" i="89"/>
  <c r="K10" i="89"/>
  <c r="K9" i="89"/>
  <c r="K8" i="89"/>
  <c r="K7" i="89"/>
  <c r="K6" i="89"/>
  <c r="M5" i="89"/>
  <c r="K5" i="89"/>
  <c r="B4" i="89"/>
  <c r="C3" i="89"/>
  <c r="D3" i="89" s="1"/>
  <c r="E698" i="21"/>
  <c r="E699" i="21"/>
  <c r="E700" i="21"/>
  <c r="E701" i="21"/>
  <c r="E702" i="21"/>
  <c r="E703" i="21"/>
  <c r="E704" i="21"/>
  <c r="E705" i="21"/>
  <c r="E706" i="21"/>
  <c r="E707" i="21"/>
  <c r="E708" i="21"/>
  <c r="E709" i="21"/>
  <c r="E710" i="21"/>
  <c r="E711" i="21"/>
  <c r="E712" i="21"/>
  <c r="F698" i="21"/>
  <c r="F699" i="21"/>
  <c r="F700" i="21"/>
  <c r="F701" i="21"/>
  <c r="F702" i="21"/>
  <c r="F703" i="21"/>
  <c r="F704" i="21"/>
  <c r="F705" i="21"/>
  <c r="F706" i="21"/>
  <c r="F707" i="21"/>
  <c r="F708" i="21"/>
  <c r="F709" i="21"/>
  <c r="F710" i="21"/>
  <c r="F711" i="21"/>
  <c r="F712" i="21"/>
  <c r="G698" i="21"/>
  <c r="G699" i="21"/>
  <c r="G700" i="21"/>
  <c r="G701" i="21"/>
  <c r="G702" i="21"/>
  <c r="G703" i="21"/>
  <c r="G704" i="21"/>
  <c r="G705" i="21"/>
  <c r="G706" i="21"/>
  <c r="G707" i="21"/>
  <c r="G708" i="21"/>
  <c r="G709" i="21"/>
  <c r="G710" i="21"/>
  <c r="G711" i="21"/>
  <c r="G712" i="21"/>
  <c r="K19" i="88"/>
  <c r="K18" i="88"/>
  <c r="K17" i="88"/>
  <c r="K16" i="88"/>
  <c r="K15" i="88"/>
  <c r="K14" i="88"/>
  <c r="K13" i="88"/>
  <c r="K12" i="88"/>
  <c r="K11" i="88"/>
  <c r="K10" i="88"/>
  <c r="K9" i="88"/>
  <c r="K8" i="88"/>
  <c r="K7" i="88"/>
  <c r="K6" i="88"/>
  <c r="M5" i="88"/>
  <c r="K5" i="88"/>
  <c r="B4" i="88"/>
  <c r="C3" i="88"/>
  <c r="D3" i="88" s="1"/>
  <c r="E683" i="21"/>
  <c r="E684" i="21"/>
  <c r="E685" i="21"/>
  <c r="E686" i="21"/>
  <c r="E687" i="21"/>
  <c r="E688" i="21"/>
  <c r="E689" i="21"/>
  <c r="E690" i="21"/>
  <c r="E691" i="21"/>
  <c r="E692" i="21"/>
  <c r="E693" i="21"/>
  <c r="E694" i="21"/>
  <c r="E695" i="21"/>
  <c r="E696" i="21"/>
  <c r="E697" i="21"/>
  <c r="F683" i="21"/>
  <c r="F684" i="21"/>
  <c r="F685" i="21"/>
  <c r="F686" i="21"/>
  <c r="F687" i="21"/>
  <c r="F688" i="21"/>
  <c r="F689" i="21"/>
  <c r="F690" i="21"/>
  <c r="F691" i="21"/>
  <c r="F692" i="21"/>
  <c r="F693" i="21"/>
  <c r="F694" i="21"/>
  <c r="F695" i="21"/>
  <c r="F696" i="21"/>
  <c r="F697" i="21"/>
  <c r="G683" i="21"/>
  <c r="G684" i="21"/>
  <c r="G685" i="21"/>
  <c r="G686" i="21"/>
  <c r="G687" i="21"/>
  <c r="G688" i="21"/>
  <c r="G689" i="21"/>
  <c r="G690" i="21"/>
  <c r="G691" i="21"/>
  <c r="G692" i="21"/>
  <c r="G693" i="21"/>
  <c r="G694" i="21"/>
  <c r="G695" i="21"/>
  <c r="G696" i="21"/>
  <c r="G697" i="21"/>
  <c r="K19" i="87"/>
  <c r="K18" i="87"/>
  <c r="K17" i="87"/>
  <c r="K16" i="87"/>
  <c r="K15" i="87"/>
  <c r="K14" i="87"/>
  <c r="K13" i="87"/>
  <c r="K12" i="87"/>
  <c r="K11" i="87"/>
  <c r="K10" i="87"/>
  <c r="K9" i="87"/>
  <c r="K8" i="87"/>
  <c r="K7" i="87"/>
  <c r="K6" i="87"/>
  <c r="M5" i="87"/>
  <c r="K5" i="87"/>
  <c r="B4" i="87"/>
  <c r="C3" i="87"/>
  <c r="E668" i="21"/>
  <c r="E669" i="21"/>
  <c r="E670" i="21"/>
  <c r="E671" i="21"/>
  <c r="E672" i="21"/>
  <c r="E673" i="21"/>
  <c r="E674" i="21"/>
  <c r="E675" i="21"/>
  <c r="E676" i="21"/>
  <c r="E677" i="21"/>
  <c r="E678" i="21"/>
  <c r="E679" i="21"/>
  <c r="E680" i="21"/>
  <c r="E681" i="21"/>
  <c r="E682" i="21"/>
  <c r="F668" i="21"/>
  <c r="F669" i="21"/>
  <c r="F670" i="21"/>
  <c r="F671" i="21"/>
  <c r="F672" i="21"/>
  <c r="F673" i="21"/>
  <c r="F674" i="21"/>
  <c r="F675" i="21"/>
  <c r="F676" i="21"/>
  <c r="F677" i="21"/>
  <c r="F678" i="21"/>
  <c r="F679" i="21"/>
  <c r="F680" i="21"/>
  <c r="F681" i="21"/>
  <c r="F682" i="21"/>
  <c r="G668" i="21"/>
  <c r="G669" i="21"/>
  <c r="G670" i="21"/>
  <c r="G671" i="21"/>
  <c r="G672" i="21"/>
  <c r="G673" i="21"/>
  <c r="G674" i="21"/>
  <c r="G675" i="21"/>
  <c r="G676" i="21"/>
  <c r="G677" i="21"/>
  <c r="G678" i="21"/>
  <c r="G679" i="21"/>
  <c r="G680" i="21"/>
  <c r="G681" i="21"/>
  <c r="G682" i="21"/>
  <c r="K19" i="86"/>
  <c r="K18" i="86"/>
  <c r="K17" i="86"/>
  <c r="K16" i="86"/>
  <c r="K15" i="86"/>
  <c r="K14" i="86"/>
  <c r="K13" i="86"/>
  <c r="K12" i="86"/>
  <c r="K11" i="86"/>
  <c r="K10" i="86"/>
  <c r="K9" i="86"/>
  <c r="K8" i="86"/>
  <c r="K7" i="86"/>
  <c r="K6" i="86"/>
  <c r="M5" i="86"/>
  <c r="K5" i="86"/>
  <c r="B4" i="86"/>
  <c r="C3" i="86"/>
  <c r="D3" i="86" s="1"/>
  <c r="K19" i="85"/>
  <c r="K18" i="85"/>
  <c r="K17" i="85"/>
  <c r="K16" i="85"/>
  <c r="K15" i="85"/>
  <c r="K14" i="85"/>
  <c r="K13" i="85"/>
  <c r="K12" i="85"/>
  <c r="K11" i="85"/>
  <c r="K10" i="85"/>
  <c r="K9" i="85"/>
  <c r="K8" i="85"/>
  <c r="K7" i="85"/>
  <c r="K6" i="85"/>
  <c r="M5" i="85"/>
  <c r="K5" i="85"/>
  <c r="B4" i="85"/>
  <c r="C3" i="85"/>
  <c r="D3" i="85" s="1"/>
  <c r="E667" i="21"/>
  <c r="F667" i="21"/>
  <c r="G667" i="21"/>
  <c r="K18" i="83"/>
  <c r="E653" i="21"/>
  <c r="E654" i="21"/>
  <c r="E655" i="21"/>
  <c r="E656" i="21"/>
  <c r="E657" i="21"/>
  <c r="E658" i="21"/>
  <c r="E659" i="21"/>
  <c r="E660" i="21"/>
  <c r="E661" i="21"/>
  <c r="E662" i="21"/>
  <c r="E663" i="21"/>
  <c r="E664" i="21"/>
  <c r="E665" i="21"/>
  <c r="E666" i="21"/>
  <c r="F653" i="21"/>
  <c r="F654" i="21"/>
  <c r="F655" i="21"/>
  <c r="F656" i="21"/>
  <c r="F657" i="21"/>
  <c r="F658" i="21"/>
  <c r="F659" i="21"/>
  <c r="F660" i="21"/>
  <c r="F661" i="21"/>
  <c r="F662" i="21"/>
  <c r="F663" i="21"/>
  <c r="F664" i="21"/>
  <c r="F665" i="21"/>
  <c r="F666" i="21"/>
  <c r="G653" i="21"/>
  <c r="G654" i="21"/>
  <c r="G655" i="21"/>
  <c r="G656" i="21"/>
  <c r="G657" i="21"/>
  <c r="G658" i="21"/>
  <c r="G659" i="21"/>
  <c r="G660" i="21"/>
  <c r="G661" i="21"/>
  <c r="G662" i="21"/>
  <c r="G663" i="21"/>
  <c r="G664" i="21"/>
  <c r="G665" i="21"/>
  <c r="G666" i="21"/>
  <c r="G638" i="21"/>
  <c r="G639" i="21"/>
  <c r="G640" i="21"/>
  <c r="G641" i="21"/>
  <c r="G642" i="21"/>
  <c r="G643" i="21"/>
  <c r="G644" i="21"/>
  <c r="G645" i="21"/>
  <c r="G646" i="21"/>
  <c r="G647" i="21"/>
  <c r="G648" i="21"/>
  <c r="G649" i="21"/>
  <c r="G650" i="21"/>
  <c r="G651" i="21"/>
  <c r="G652" i="21"/>
  <c r="F638" i="21"/>
  <c r="F639" i="21"/>
  <c r="F640" i="21"/>
  <c r="F641" i="21"/>
  <c r="F642" i="21"/>
  <c r="F643" i="21"/>
  <c r="F644" i="21"/>
  <c r="F645" i="21"/>
  <c r="F646" i="21"/>
  <c r="F647" i="21"/>
  <c r="F648" i="21"/>
  <c r="F649" i="21"/>
  <c r="F650" i="21"/>
  <c r="F651" i="21"/>
  <c r="F652" i="21"/>
  <c r="E639" i="21"/>
  <c r="E640" i="21"/>
  <c r="E641" i="21"/>
  <c r="E642" i="21"/>
  <c r="E643" i="21"/>
  <c r="E644" i="21"/>
  <c r="E645" i="21"/>
  <c r="E646" i="21"/>
  <c r="E647" i="21"/>
  <c r="E648" i="21"/>
  <c r="E649" i="21"/>
  <c r="E650" i="21"/>
  <c r="E651" i="21"/>
  <c r="E652" i="21"/>
  <c r="K19" i="83"/>
  <c r="K17" i="83"/>
  <c r="K16" i="83"/>
  <c r="K15" i="83"/>
  <c r="K14" i="83"/>
  <c r="K13" i="83"/>
  <c r="K12" i="83"/>
  <c r="K11" i="83"/>
  <c r="K10" i="83"/>
  <c r="K9" i="83"/>
  <c r="K8" i="83"/>
  <c r="K7" i="83"/>
  <c r="K6" i="83"/>
  <c r="M5" i="83"/>
  <c r="K5" i="83"/>
  <c r="B4" i="83"/>
  <c r="C3" i="83"/>
  <c r="D3" i="83" s="1"/>
  <c r="G625" i="21"/>
  <c r="G626" i="21"/>
  <c r="G627" i="21"/>
  <c r="G628" i="21"/>
  <c r="G629" i="21"/>
  <c r="G630" i="21"/>
  <c r="G631" i="21"/>
  <c r="G632" i="21"/>
  <c r="G633" i="21"/>
  <c r="G634" i="21"/>
  <c r="G635" i="21"/>
  <c r="G636" i="21"/>
  <c r="G637" i="21"/>
  <c r="F625" i="21"/>
  <c r="F626" i="21"/>
  <c r="F627" i="21"/>
  <c r="F628" i="21"/>
  <c r="F629" i="21"/>
  <c r="F630" i="21"/>
  <c r="F631" i="21"/>
  <c r="F632" i="21"/>
  <c r="F633" i="21"/>
  <c r="F634" i="21"/>
  <c r="F635" i="21"/>
  <c r="F636" i="21"/>
  <c r="F637" i="21"/>
  <c r="E625" i="21"/>
  <c r="E626" i="21"/>
  <c r="E627" i="21"/>
  <c r="E628" i="21"/>
  <c r="E629" i="21"/>
  <c r="E630" i="21"/>
  <c r="E631" i="21"/>
  <c r="E632" i="21"/>
  <c r="E633" i="21"/>
  <c r="E634" i="21"/>
  <c r="E635" i="21"/>
  <c r="E636" i="21"/>
  <c r="E637" i="21"/>
  <c r="E638" i="21"/>
  <c r="K18" i="82"/>
  <c r="K17" i="82"/>
  <c r="K16" i="82"/>
  <c r="K15" i="82"/>
  <c r="K14" i="82"/>
  <c r="K13" i="82"/>
  <c r="K12" i="82"/>
  <c r="K11" i="82"/>
  <c r="K10" i="82"/>
  <c r="K9" i="82"/>
  <c r="K8" i="82"/>
  <c r="K7" i="82"/>
  <c r="K6" i="82"/>
  <c r="M5" i="82"/>
  <c r="K5" i="82"/>
  <c r="B4" i="82"/>
  <c r="C3" i="82"/>
  <c r="D3" i="82" s="1"/>
  <c r="K18" i="81"/>
  <c r="K17" i="81"/>
  <c r="K16" i="81"/>
  <c r="K15" i="81"/>
  <c r="K14" i="81"/>
  <c r="K13" i="81"/>
  <c r="K12" i="81"/>
  <c r="K11" i="81"/>
  <c r="K10" i="81"/>
  <c r="K9" i="81"/>
  <c r="K8" i="81"/>
  <c r="K7" i="81"/>
  <c r="K6" i="81"/>
  <c r="M5" i="81"/>
  <c r="K5" i="81"/>
  <c r="B4" i="81"/>
  <c r="C3" i="81"/>
  <c r="D3" i="81" s="1"/>
  <c r="G611" i="21"/>
  <c r="G612" i="21"/>
  <c r="G613" i="21"/>
  <c r="G614" i="21"/>
  <c r="G615" i="21"/>
  <c r="G616" i="21"/>
  <c r="G617" i="21"/>
  <c r="G618" i="21"/>
  <c r="G619" i="21"/>
  <c r="G620" i="21"/>
  <c r="G621" i="21"/>
  <c r="G622" i="21"/>
  <c r="G623" i="21"/>
  <c r="G624" i="21"/>
  <c r="F611" i="21"/>
  <c r="F612" i="21"/>
  <c r="F613" i="21"/>
  <c r="F614" i="21"/>
  <c r="F615" i="21"/>
  <c r="F616" i="21"/>
  <c r="F617" i="21"/>
  <c r="F618" i="21"/>
  <c r="F619" i="21"/>
  <c r="F620" i="21"/>
  <c r="F621" i="21"/>
  <c r="F622" i="21"/>
  <c r="F623" i="21"/>
  <c r="F624" i="21"/>
  <c r="E611" i="21"/>
  <c r="E612" i="21"/>
  <c r="E613" i="21"/>
  <c r="E614" i="21"/>
  <c r="E615" i="21"/>
  <c r="E616" i="21"/>
  <c r="E617" i="21"/>
  <c r="E618" i="21"/>
  <c r="E619" i="21"/>
  <c r="E620" i="21"/>
  <c r="E621" i="21"/>
  <c r="E622" i="21"/>
  <c r="E623" i="21"/>
  <c r="E624" i="21"/>
  <c r="G597" i="21"/>
  <c r="G598" i="21"/>
  <c r="G599" i="21"/>
  <c r="G600" i="21"/>
  <c r="G601" i="21"/>
  <c r="G602" i="21"/>
  <c r="G603" i="21"/>
  <c r="G604" i="21"/>
  <c r="G605" i="21"/>
  <c r="G606" i="21"/>
  <c r="G607" i="21"/>
  <c r="G608" i="21"/>
  <c r="G609" i="21"/>
  <c r="G610" i="21"/>
  <c r="F597" i="21"/>
  <c r="F598" i="21"/>
  <c r="F599" i="21"/>
  <c r="F600" i="21"/>
  <c r="F601" i="21"/>
  <c r="F602" i="21"/>
  <c r="F603" i="21"/>
  <c r="F604" i="21"/>
  <c r="F605" i="21"/>
  <c r="F606" i="21"/>
  <c r="F607" i="21"/>
  <c r="F608" i="21"/>
  <c r="F609" i="21"/>
  <c r="F610" i="21"/>
  <c r="E597" i="21"/>
  <c r="E598" i="21"/>
  <c r="E599" i="21"/>
  <c r="E600" i="21"/>
  <c r="E601" i="21"/>
  <c r="E602" i="21"/>
  <c r="E603" i="21"/>
  <c r="E604" i="21"/>
  <c r="E605" i="21"/>
  <c r="E606" i="21"/>
  <c r="E607" i="21"/>
  <c r="E608" i="21"/>
  <c r="E609" i="21"/>
  <c r="E610" i="21"/>
  <c r="K18" i="80"/>
  <c r="K17" i="80"/>
  <c r="K16" i="80"/>
  <c r="K15" i="80"/>
  <c r="K14" i="80"/>
  <c r="K13" i="80"/>
  <c r="K12" i="80"/>
  <c r="K11" i="80"/>
  <c r="K10" i="80"/>
  <c r="K9" i="80"/>
  <c r="K8" i="80"/>
  <c r="K7" i="80"/>
  <c r="K6" i="80"/>
  <c r="M5" i="80"/>
  <c r="K5" i="80"/>
  <c r="B4" i="80"/>
  <c r="C3" i="80"/>
  <c r="D3" i="80" s="1"/>
  <c r="K20" i="95" l="1"/>
  <c r="L16" i="95" s="1"/>
  <c r="D4" i="95"/>
  <c r="E3" i="95"/>
  <c r="C4" i="95"/>
  <c r="C4" i="94"/>
  <c r="L16" i="94"/>
  <c r="L12" i="94"/>
  <c r="L8" i="94"/>
  <c r="L14" i="94"/>
  <c r="L6" i="94"/>
  <c r="D4" i="94"/>
  <c r="E3" i="94"/>
  <c r="L9" i="94"/>
  <c r="L17" i="94"/>
  <c r="L15" i="94"/>
  <c r="L10" i="94"/>
  <c r="L18" i="94"/>
  <c r="L13" i="94"/>
  <c r="L7" i="94"/>
  <c r="L11" i="94"/>
  <c r="L19" i="94"/>
  <c r="L5" i="94"/>
  <c r="C4" i="93"/>
  <c r="K20" i="93"/>
  <c r="L6" i="93" s="1"/>
  <c r="L14" i="93"/>
  <c r="E3" i="93"/>
  <c r="D4" i="93"/>
  <c r="L9" i="93"/>
  <c r="L19" i="93"/>
  <c r="K20" i="92"/>
  <c r="L8" i="92" s="1"/>
  <c r="D4" i="92"/>
  <c r="E3" i="92"/>
  <c r="C4" i="92"/>
  <c r="K20" i="91"/>
  <c r="L12" i="91" s="1"/>
  <c r="E3" i="91"/>
  <c r="D4" i="91"/>
  <c r="C4" i="91"/>
  <c r="K20" i="90"/>
  <c r="L14" i="90" s="1"/>
  <c r="D4" i="90"/>
  <c r="E3" i="90"/>
  <c r="C4" i="90"/>
  <c r="K20" i="89"/>
  <c r="L16" i="89" s="1"/>
  <c r="E3" i="89"/>
  <c r="D4" i="89"/>
  <c r="C4" i="89"/>
  <c r="K20" i="88"/>
  <c r="L19" i="88" s="1"/>
  <c r="E3" i="88"/>
  <c r="D4" i="88"/>
  <c r="C4" i="88"/>
  <c r="C4" i="87"/>
  <c r="D3" i="87"/>
  <c r="K20" i="87"/>
  <c r="L5" i="87"/>
  <c r="L6" i="87"/>
  <c r="L7" i="87"/>
  <c r="L8" i="87"/>
  <c r="L9" i="87"/>
  <c r="L10" i="87"/>
  <c r="L11" i="87"/>
  <c r="L12" i="87"/>
  <c r="L13" i="87"/>
  <c r="L14" i="87"/>
  <c r="L15" i="87"/>
  <c r="L16" i="87"/>
  <c r="L17" i="87"/>
  <c r="L18" i="87"/>
  <c r="L19" i="87"/>
  <c r="K20" i="86"/>
  <c r="L14" i="86" s="1"/>
  <c r="E3" i="86"/>
  <c r="D4" i="86"/>
  <c r="C4" i="86"/>
  <c r="K20" i="85"/>
  <c r="L16" i="85" s="1"/>
  <c r="E3" i="85"/>
  <c r="D4" i="85"/>
  <c r="C4" i="85"/>
  <c r="K20" i="83"/>
  <c r="L18" i="83" s="1"/>
  <c r="D4" i="83"/>
  <c r="E3" i="83"/>
  <c r="C4" i="83"/>
  <c r="K19" i="82"/>
  <c r="L14" i="82" s="1"/>
  <c r="E3" i="82"/>
  <c r="D4" i="82"/>
  <c r="C4" i="82"/>
  <c r="K19" i="81"/>
  <c r="L14" i="81" s="1"/>
  <c r="C4" i="81"/>
  <c r="E3" i="81"/>
  <c r="D4" i="81"/>
  <c r="C4" i="80"/>
  <c r="K19" i="80"/>
  <c r="L11" i="80" s="1"/>
  <c r="D4" i="80"/>
  <c r="E3" i="80"/>
  <c r="L8" i="95" l="1"/>
  <c r="L19" i="95"/>
  <c r="L15" i="95"/>
  <c r="L11" i="95"/>
  <c r="L18" i="95"/>
  <c r="L7" i="95"/>
  <c r="L10" i="95"/>
  <c r="L12" i="95"/>
  <c r="L14" i="95"/>
  <c r="L5" i="95"/>
  <c r="L17" i="95"/>
  <c r="L6" i="95"/>
  <c r="L9" i="95"/>
  <c r="L13" i="95"/>
  <c r="F3" i="95"/>
  <c r="E4" i="95"/>
  <c r="F3" i="94"/>
  <c r="E4" i="94"/>
  <c r="L18" i="93"/>
  <c r="L13" i="93"/>
  <c r="L17" i="93"/>
  <c r="L8" i="93"/>
  <c r="L12" i="93"/>
  <c r="L16" i="93"/>
  <c r="L10" i="93"/>
  <c r="L5" i="93"/>
  <c r="L15" i="93"/>
  <c r="L7" i="93"/>
  <c r="L11" i="93"/>
  <c r="F3" i="93"/>
  <c r="E4" i="93"/>
  <c r="L11" i="92"/>
  <c r="L18" i="92"/>
  <c r="L17" i="92"/>
  <c r="L10" i="92"/>
  <c r="L5" i="92"/>
  <c r="L7" i="92"/>
  <c r="L19" i="92"/>
  <c r="L16" i="92"/>
  <c r="L14" i="92"/>
  <c r="L9" i="92"/>
  <c r="L13" i="92"/>
  <c r="L12" i="92"/>
  <c r="L15" i="92"/>
  <c r="L6" i="92"/>
  <c r="F3" i="92"/>
  <c r="E4" i="92"/>
  <c r="L5" i="91"/>
  <c r="L13" i="91"/>
  <c r="L17" i="91"/>
  <c r="L11" i="91"/>
  <c r="L9" i="91"/>
  <c r="L15" i="91"/>
  <c r="L18" i="91"/>
  <c r="L16" i="91"/>
  <c r="L19" i="91"/>
  <c r="L8" i="91"/>
  <c r="L7" i="91"/>
  <c r="L10" i="91"/>
  <c r="L6" i="91"/>
  <c r="L14" i="91"/>
  <c r="F3" i="91"/>
  <c r="E4" i="91"/>
  <c r="L6" i="90"/>
  <c r="L5" i="90"/>
  <c r="L17" i="90"/>
  <c r="L19" i="90"/>
  <c r="L11" i="90"/>
  <c r="L16" i="90"/>
  <c r="L12" i="90"/>
  <c r="L8" i="90"/>
  <c r="L13" i="90"/>
  <c r="L9" i="90"/>
  <c r="L18" i="90"/>
  <c r="L10" i="90"/>
  <c r="L7" i="90"/>
  <c r="L15" i="90"/>
  <c r="F3" i="90"/>
  <c r="E4" i="90"/>
  <c r="L8" i="89"/>
  <c r="L15" i="89"/>
  <c r="L18" i="89"/>
  <c r="L7" i="89"/>
  <c r="L10" i="89"/>
  <c r="L14" i="89"/>
  <c r="L13" i="89"/>
  <c r="L5" i="89"/>
  <c r="L9" i="89"/>
  <c r="L19" i="89"/>
  <c r="L11" i="89"/>
  <c r="L6" i="89"/>
  <c r="L17" i="89"/>
  <c r="L12" i="89"/>
  <c r="F3" i="89"/>
  <c r="E4" i="89"/>
  <c r="L11" i="88"/>
  <c r="L18" i="88"/>
  <c r="L8" i="88"/>
  <c r="L9" i="88"/>
  <c r="L13" i="88"/>
  <c r="L5" i="88"/>
  <c r="L12" i="88"/>
  <c r="L16" i="88"/>
  <c r="L10" i="88"/>
  <c r="L15" i="88"/>
  <c r="L7" i="88"/>
  <c r="L14" i="88"/>
  <c r="L17" i="88"/>
  <c r="L6" i="88"/>
  <c r="F3" i="88"/>
  <c r="E4" i="88"/>
  <c r="D4" i="87"/>
  <c r="E3" i="87"/>
  <c r="L19" i="86"/>
  <c r="L8" i="86"/>
  <c r="L7" i="86"/>
  <c r="L11" i="86"/>
  <c r="L15" i="86"/>
  <c r="L18" i="86"/>
  <c r="L10" i="86"/>
  <c r="L6" i="86"/>
  <c r="L13" i="86"/>
  <c r="L16" i="86"/>
  <c r="L17" i="86"/>
  <c r="L12" i="86"/>
  <c r="L5" i="86"/>
  <c r="L9" i="86"/>
  <c r="F3" i="86"/>
  <c r="E4" i="86"/>
  <c r="L6" i="85"/>
  <c r="L19" i="85"/>
  <c r="L8" i="85"/>
  <c r="L11" i="85"/>
  <c r="L13" i="85"/>
  <c r="L12" i="85"/>
  <c r="L9" i="85"/>
  <c r="L7" i="85"/>
  <c r="L5" i="85"/>
  <c r="L17" i="85"/>
  <c r="L15" i="85"/>
  <c r="L18" i="85"/>
  <c r="L10" i="85"/>
  <c r="L14" i="85"/>
  <c r="F3" i="85"/>
  <c r="E4" i="85"/>
  <c r="L5" i="83"/>
  <c r="L19" i="83"/>
  <c r="L10" i="83"/>
  <c r="L17" i="83"/>
  <c r="L9" i="83"/>
  <c r="L16" i="83"/>
  <c r="L8" i="83"/>
  <c r="L15" i="83"/>
  <c r="L7" i="83"/>
  <c r="L6" i="83"/>
  <c r="L12" i="83"/>
  <c r="L11" i="83"/>
  <c r="L14" i="83"/>
  <c r="L13" i="83"/>
  <c r="E4" i="83"/>
  <c r="F3" i="83"/>
  <c r="L18" i="82"/>
  <c r="L7" i="82"/>
  <c r="L10" i="82"/>
  <c r="L11" i="82"/>
  <c r="L6" i="82"/>
  <c r="L13" i="82"/>
  <c r="L15" i="82"/>
  <c r="L12" i="82"/>
  <c r="L9" i="82"/>
  <c r="L5" i="82"/>
  <c r="L8" i="82"/>
  <c r="L16" i="82"/>
  <c r="L17" i="82"/>
  <c r="E4" i="82"/>
  <c r="F3" i="82"/>
  <c r="L11" i="81"/>
  <c r="L5" i="81"/>
  <c r="L17" i="81"/>
  <c r="L12" i="81"/>
  <c r="L9" i="81"/>
  <c r="L8" i="81"/>
  <c r="L6" i="81"/>
  <c r="L18" i="81"/>
  <c r="L13" i="81"/>
  <c r="L16" i="81"/>
  <c r="L15" i="81"/>
  <c r="L10" i="81"/>
  <c r="L7" i="81"/>
  <c r="E4" i="81"/>
  <c r="F3" i="81"/>
  <c r="L16" i="80"/>
  <c r="L9" i="80"/>
  <c r="L7" i="80"/>
  <c r="L18" i="80"/>
  <c r="L17" i="80"/>
  <c r="L10" i="80"/>
  <c r="L5" i="80"/>
  <c r="L8" i="80"/>
  <c r="L15" i="80"/>
  <c r="L14" i="80"/>
  <c r="L13" i="80"/>
  <c r="L6" i="80"/>
  <c r="L12" i="80"/>
  <c r="E4" i="80"/>
  <c r="F3" i="80"/>
  <c r="G3" i="95" l="1"/>
  <c r="F4" i="95"/>
  <c r="G3" i="94"/>
  <c r="F4" i="94"/>
  <c r="G3" i="93"/>
  <c r="F4" i="93"/>
  <c r="G3" i="92"/>
  <c r="F4" i="92"/>
  <c r="G3" i="91"/>
  <c r="F4" i="91"/>
  <c r="G3" i="90"/>
  <c r="F4" i="90"/>
  <c r="G3" i="89"/>
  <c r="F4" i="89"/>
  <c r="F4" i="88"/>
  <c r="G3" i="88"/>
  <c r="E4" i="87"/>
  <c r="F3" i="87"/>
  <c r="F4" i="86"/>
  <c r="G3" i="86"/>
  <c r="F4" i="85"/>
  <c r="G3" i="85"/>
  <c r="G3" i="83"/>
  <c r="F4" i="83"/>
  <c r="F4" i="82"/>
  <c r="G3" i="82"/>
  <c r="F4" i="81"/>
  <c r="G3" i="81"/>
  <c r="G3" i="80"/>
  <c r="F4" i="80"/>
  <c r="G4" i="95" l="1"/>
  <c r="H3" i="95"/>
  <c r="H4" i="95" s="1"/>
  <c r="G4" i="94"/>
  <c r="H3" i="94"/>
  <c r="H4" i="94" s="1"/>
  <c r="H3" i="93"/>
  <c r="H4" i="93" s="1"/>
  <c r="G4" i="93"/>
  <c r="G4" i="92"/>
  <c r="H3" i="92"/>
  <c r="H4" i="92" s="1"/>
  <c r="G4" i="91"/>
  <c r="H3" i="91"/>
  <c r="H4" i="91" s="1"/>
  <c r="G4" i="90"/>
  <c r="H3" i="90"/>
  <c r="H4" i="90" s="1"/>
  <c r="G4" i="89"/>
  <c r="H3" i="89"/>
  <c r="H4" i="89" s="1"/>
  <c r="G4" i="88"/>
  <c r="H3" i="88"/>
  <c r="H4" i="88" s="1"/>
  <c r="F4" i="87"/>
  <c r="G3" i="87"/>
  <c r="G4" i="86"/>
  <c r="H3" i="86"/>
  <c r="H4" i="86" s="1"/>
  <c r="G4" i="85"/>
  <c r="H3" i="85"/>
  <c r="H4" i="85" s="1"/>
  <c r="H3" i="83"/>
  <c r="H4" i="83" s="1"/>
  <c r="G4" i="83"/>
  <c r="G4" i="82"/>
  <c r="H3" i="82"/>
  <c r="H4" i="82" s="1"/>
  <c r="H3" i="81"/>
  <c r="H4" i="81" s="1"/>
  <c r="G4" i="81"/>
  <c r="H3" i="80"/>
  <c r="H4" i="80" s="1"/>
  <c r="G4" i="80"/>
  <c r="G4" i="87" l="1"/>
  <c r="H3" i="87"/>
  <c r="H4" i="87" s="1"/>
  <c r="E583" i="21"/>
  <c r="E584" i="21"/>
  <c r="E585" i="21"/>
  <c r="E586" i="21"/>
  <c r="E587" i="21"/>
  <c r="E588" i="21"/>
  <c r="E589" i="21"/>
  <c r="E590" i="21"/>
  <c r="E591" i="21"/>
  <c r="E592" i="21"/>
  <c r="E593" i="21"/>
  <c r="E594" i="21"/>
  <c r="E595" i="21"/>
  <c r="E596" i="21"/>
  <c r="F583" i="21"/>
  <c r="F584" i="21"/>
  <c r="F585" i="21"/>
  <c r="F586" i="21"/>
  <c r="F587" i="21"/>
  <c r="F588" i="21"/>
  <c r="F589" i="21"/>
  <c r="F590" i="21"/>
  <c r="F591" i="21"/>
  <c r="F592" i="21"/>
  <c r="F593" i="21"/>
  <c r="F594" i="21"/>
  <c r="F595" i="21"/>
  <c r="F596" i="21"/>
  <c r="G583" i="21"/>
  <c r="G584" i="21"/>
  <c r="G585" i="21"/>
  <c r="G586" i="21"/>
  <c r="G587" i="21"/>
  <c r="G588" i="21"/>
  <c r="G589" i="21"/>
  <c r="G590" i="21"/>
  <c r="G591" i="21"/>
  <c r="G592" i="21"/>
  <c r="G593" i="21"/>
  <c r="G594" i="21"/>
  <c r="G595" i="21"/>
  <c r="G596" i="21"/>
  <c r="K18" i="79"/>
  <c r="K17" i="79"/>
  <c r="K16" i="79"/>
  <c r="K15" i="79"/>
  <c r="K14" i="79"/>
  <c r="K13" i="79"/>
  <c r="K12" i="79"/>
  <c r="K11" i="79"/>
  <c r="K10" i="79"/>
  <c r="K9" i="79"/>
  <c r="K8" i="79"/>
  <c r="K7" i="79"/>
  <c r="K6" i="79"/>
  <c r="M5" i="79"/>
  <c r="K5" i="79"/>
  <c r="B4" i="79"/>
  <c r="C3" i="79"/>
  <c r="D3" i="79" s="1"/>
  <c r="E580" i="21"/>
  <c r="E581" i="21"/>
  <c r="E582" i="21"/>
  <c r="F580" i="21"/>
  <c r="F581" i="21"/>
  <c r="F582" i="21"/>
  <c r="G580" i="21"/>
  <c r="G581" i="21"/>
  <c r="G582" i="21"/>
  <c r="E569" i="21"/>
  <c r="E570" i="21"/>
  <c r="E571" i="21"/>
  <c r="E572" i="21"/>
  <c r="E573" i="21"/>
  <c r="E574" i="21"/>
  <c r="E575" i="21"/>
  <c r="E576" i="21"/>
  <c r="E577" i="21"/>
  <c r="E578" i="21"/>
  <c r="E579" i="21"/>
  <c r="F569" i="21"/>
  <c r="F570" i="21"/>
  <c r="F571" i="21"/>
  <c r="F572" i="21"/>
  <c r="F573" i="21"/>
  <c r="F574" i="21"/>
  <c r="F575" i="21"/>
  <c r="F576" i="21"/>
  <c r="F577" i="21"/>
  <c r="F578" i="21"/>
  <c r="F579" i="21"/>
  <c r="G569" i="21"/>
  <c r="G570" i="21"/>
  <c r="G571" i="21"/>
  <c r="G572" i="21"/>
  <c r="G573" i="21"/>
  <c r="G574" i="21"/>
  <c r="G575" i="21"/>
  <c r="G576" i="21"/>
  <c r="G577" i="21"/>
  <c r="G578" i="21"/>
  <c r="G579" i="21"/>
  <c r="K19" i="79" l="1"/>
  <c r="L15" i="79" s="1"/>
  <c r="D4" i="79"/>
  <c r="E3" i="79"/>
  <c r="C4" i="79"/>
  <c r="L5" i="79" l="1"/>
  <c r="L10" i="79"/>
  <c r="L12" i="79"/>
  <c r="L17" i="79"/>
  <c r="L9" i="79"/>
  <c r="L7" i="79"/>
  <c r="L8" i="79"/>
  <c r="L14" i="79"/>
  <c r="L18" i="79"/>
  <c r="L16" i="79"/>
  <c r="L6" i="79"/>
  <c r="L13" i="79"/>
  <c r="L11" i="79"/>
  <c r="E4" i="79"/>
  <c r="F3" i="79"/>
  <c r="G3" i="79" l="1"/>
  <c r="F4" i="79"/>
  <c r="H3" i="79" l="1"/>
  <c r="H4" i="79" s="1"/>
  <c r="G4" i="79"/>
  <c r="K18" i="78" l="1"/>
  <c r="K17" i="78"/>
  <c r="K16" i="78"/>
  <c r="K15" i="78"/>
  <c r="K14" i="78"/>
  <c r="K13" i="78"/>
  <c r="K12" i="78"/>
  <c r="K11" i="78"/>
  <c r="K10" i="78"/>
  <c r="K9" i="78"/>
  <c r="K8" i="78"/>
  <c r="K7" i="78"/>
  <c r="K6" i="78"/>
  <c r="M5" i="78"/>
  <c r="K5" i="78"/>
  <c r="B4" i="78"/>
  <c r="C3" i="78"/>
  <c r="D3" i="78" s="1"/>
  <c r="E555" i="21"/>
  <c r="E556" i="21"/>
  <c r="E557" i="21"/>
  <c r="E558" i="21"/>
  <c r="E559" i="21"/>
  <c r="E560" i="21"/>
  <c r="E561" i="21"/>
  <c r="E562" i="21"/>
  <c r="E563" i="21"/>
  <c r="E564" i="21"/>
  <c r="E565" i="21"/>
  <c r="E566" i="21"/>
  <c r="E567" i="21"/>
  <c r="E568" i="21"/>
  <c r="F555" i="21"/>
  <c r="F556" i="21"/>
  <c r="F557" i="21"/>
  <c r="F558" i="21"/>
  <c r="F559" i="21"/>
  <c r="F560" i="21"/>
  <c r="F561" i="21"/>
  <c r="F562" i="21"/>
  <c r="F563" i="21"/>
  <c r="F564" i="21"/>
  <c r="F565" i="21"/>
  <c r="F566" i="21"/>
  <c r="F567" i="21"/>
  <c r="F568" i="21"/>
  <c r="G555" i="21"/>
  <c r="G556" i="21"/>
  <c r="G557" i="21"/>
  <c r="G558" i="21"/>
  <c r="G559" i="21"/>
  <c r="G560" i="21"/>
  <c r="G561" i="21"/>
  <c r="G562" i="21"/>
  <c r="G563" i="21"/>
  <c r="G564" i="21"/>
  <c r="G565" i="21"/>
  <c r="G566" i="21"/>
  <c r="G567" i="21"/>
  <c r="G568" i="21"/>
  <c r="K18" i="77"/>
  <c r="K17" i="77"/>
  <c r="K16" i="77"/>
  <c r="K15" i="77"/>
  <c r="K14" i="77"/>
  <c r="K13" i="77"/>
  <c r="K12" i="77"/>
  <c r="K11" i="77"/>
  <c r="K10" i="77"/>
  <c r="K9" i="77"/>
  <c r="K8" i="77"/>
  <c r="K7" i="77"/>
  <c r="K6" i="77"/>
  <c r="M5" i="77"/>
  <c r="K5" i="77"/>
  <c r="B4" i="77"/>
  <c r="C3" i="77"/>
  <c r="D3" i="77" s="1"/>
  <c r="E554" i="21"/>
  <c r="F554" i="21"/>
  <c r="G554" i="21"/>
  <c r="K17" i="76"/>
  <c r="K18" i="76"/>
  <c r="E541" i="21"/>
  <c r="E542" i="21"/>
  <c r="E543" i="21"/>
  <c r="E544" i="21"/>
  <c r="E545" i="21"/>
  <c r="E546" i="21"/>
  <c r="E547" i="21"/>
  <c r="E548" i="21"/>
  <c r="E549" i="21"/>
  <c r="E550" i="21"/>
  <c r="E551" i="21"/>
  <c r="E552" i="21"/>
  <c r="E553" i="21"/>
  <c r="F541" i="21"/>
  <c r="F542" i="21"/>
  <c r="F543" i="21"/>
  <c r="F544" i="21"/>
  <c r="F545" i="21"/>
  <c r="F546" i="21"/>
  <c r="F547" i="21"/>
  <c r="F548" i="21"/>
  <c r="F549" i="21"/>
  <c r="F550" i="21"/>
  <c r="F551" i="21"/>
  <c r="F552" i="21"/>
  <c r="F553" i="21"/>
  <c r="G541" i="21"/>
  <c r="G542" i="21"/>
  <c r="G543" i="21"/>
  <c r="G544" i="21"/>
  <c r="G545" i="21"/>
  <c r="G546" i="21"/>
  <c r="G547" i="21"/>
  <c r="G548" i="21"/>
  <c r="G549" i="21"/>
  <c r="G550" i="21"/>
  <c r="G551" i="21"/>
  <c r="G552" i="21"/>
  <c r="G553" i="21"/>
  <c r="K16" i="76"/>
  <c r="K15" i="76"/>
  <c r="K14" i="76"/>
  <c r="K13" i="76"/>
  <c r="K12" i="76"/>
  <c r="K11" i="76"/>
  <c r="K10" i="76"/>
  <c r="K9" i="76"/>
  <c r="K8" i="76"/>
  <c r="K7" i="76"/>
  <c r="K6" i="76"/>
  <c r="M5" i="76"/>
  <c r="K5" i="76"/>
  <c r="B4" i="76"/>
  <c r="C3" i="76"/>
  <c r="D3" i="76" s="1"/>
  <c r="E528" i="21"/>
  <c r="E529" i="21"/>
  <c r="E530" i="21"/>
  <c r="E531" i="21"/>
  <c r="E532" i="21"/>
  <c r="E533" i="21"/>
  <c r="E534" i="21"/>
  <c r="E535" i="21"/>
  <c r="E536" i="21"/>
  <c r="E537" i="21"/>
  <c r="E538" i="21"/>
  <c r="E539" i="21"/>
  <c r="E540" i="21"/>
  <c r="F528" i="21"/>
  <c r="F529" i="21"/>
  <c r="F530" i="21"/>
  <c r="F531" i="21"/>
  <c r="F532" i="21"/>
  <c r="F533" i="21"/>
  <c r="F534" i="21"/>
  <c r="F535" i="21"/>
  <c r="F536" i="21"/>
  <c r="F537" i="21"/>
  <c r="F538" i="21"/>
  <c r="F539" i="21"/>
  <c r="F540" i="21"/>
  <c r="G528" i="21"/>
  <c r="G529" i="21"/>
  <c r="G530" i="21"/>
  <c r="G531" i="21"/>
  <c r="G532" i="21"/>
  <c r="G533" i="21"/>
  <c r="G534" i="21"/>
  <c r="G535" i="21"/>
  <c r="G536" i="21"/>
  <c r="G537" i="21"/>
  <c r="G538" i="21"/>
  <c r="G539" i="21"/>
  <c r="G540" i="21"/>
  <c r="K17" i="75"/>
  <c r="K16" i="75"/>
  <c r="K15" i="75"/>
  <c r="K14" i="75"/>
  <c r="K13" i="75"/>
  <c r="K12" i="75"/>
  <c r="K11" i="75"/>
  <c r="K10" i="75"/>
  <c r="K9" i="75"/>
  <c r="K8" i="75"/>
  <c r="K7" i="75"/>
  <c r="K6" i="75"/>
  <c r="M5" i="75"/>
  <c r="K5" i="75"/>
  <c r="B4" i="75"/>
  <c r="C3" i="75"/>
  <c r="D3" i="75" s="1"/>
  <c r="E515" i="21"/>
  <c r="E516" i="21"/>
  <c r="E517" i="21"/>
  <c r="E518" i="21"/>
  <c r="E519" i="21"/>
  <c r="E520" i="21"/>
  <c r="E521" i="21"/>
  <c r="E522" i="21"/>
  <c r="E523" i="21"/>
  <c r="E524" i="21"/>
  <c r="E525" i="21"/>
  <c r="E526" i="21"/>
  <c r="E527" i="21"/>
  <c r="F515" i="21"/>
  <c r="F516" i="21"/>
  <c r="F517" i="21"/>
  <c r="F518" i="21"/>
  <c r="F519" i="21"/>
  <c r="F520" i="21"/>
  <c r="F521" i="21"/>
  <c r="F522" i="21"/>
  <c r="F523" i="21"/>
  <c r="F524" i="21"/>
  <c r="F525" i="21"/>
  <c r="F526" i="21"/>
  <c r="F527" i="21"/>
  <c r="G515" i="21"/>
  <c r="G516" i="21"/>
  <c r="G517" i="21"/>
  <c r="G518" i="21"/>
  <c r="G519" i="21"/>
  <c r="G520" i="21"/>
  <c r="G521" i="21"/>
  <c r="G522" i="21"/>
  <c r="G523" i="21"/>
  <c r="G524" i="21"/>
  <c r="G525" i="21"/>
  <c r="G526" i="21"/>
  <c r="G527" i="21"/>
  <c r="K17" i="74"/>
  <c r="K16" i="74"/>
  <c r="K15" i="74"/>
  <c r="K14" i="74"/>
  <c r="K13" i="74"/>
  <c r="K12" i="74"/>
  <c r="K11" i="74"/>
  <c r="K10" i="74"/>
  <c r="K9" i="74"/>
  <c r="K8" i="74"/>
  <c r="K7" i="74"/>
  <c r="K6" i="74"/>
  <c r="M5" i="74"/>
  <c r="K5" i="74"/>
  <c r="B4" i="74"/>
  <c r="C3" i="74"/>
  <c r="C4" i="74" s="1"/>
  <c r="K19" i="78" l="1"/>
  <c r="L6" i="78" s="1"/>
  <c r="D4" i="78"/>
  <c r="E3" i="78"/>
  <c r="C4" i="78"/>
  <c r="K19" i="77"/>
  <c r="L17" i="77" s="1"/>
  <c r="D4" i="77"/>
  <c r="E3" i="77"/>
  <c r="E4" i="77" s="1"/>
  <c r="C4" i="77"/>
  <c r="K19" i="76"/>
  <c r="L6" i="76" s="1"/>
  <c r="C4" i="76"/>
  <c r="E3" i="76"/>
  <c r="D4" i="76"/>
  <c r="C4" i="75"/>
  <c r="K18" i="75"/>
  <c r="L8" i="75" s="1"/>
  <c r="E3" i="75"/>
  <c r="D4" i="75"/>
  <c r="K18" i="74"/>
  <c r="L9" i="74" s="1"/>
  <c r="D3" i="74"/>
  <c r="E502" i="21"/>
  <c r="E503" i="21"/>
  <c r="E504" i="21"/>
  <c r="E505" i="21"/>
  <c r="E506" i="21"/>
  <c r="E507" i="21"/>
  <c r="E508" i="21"/>
  <c r="E509" i="21"/>
  <c r="E510" i="21"/>
  <c r="E511" i="21"/>
  <c r="E512" i="21"/>
  <c r="E513" i="21"/>
  <c r="E514" i="21"/>
  <c r="F502" i="21"/>
  <c r="F503" i="21"/>
  <c r="F504" i="21"/>
  <c r="F505" i="21"/>
  <c r="F506" i="21"/>
  <c r="F507" i="21"/>
  <c r="F508" i="21"/>
  <c r="F509" i="21"/>
  <c r="F510" i="21"/>
  <c r="F511" i="21"/>
  <c r="F512" i="21"/>
  <c r="F513" i="21"/>
  <c r="F514" i="21"/>
  <c r="G502" i="21"/>
  <c r="G503" i="21"/>
  <c r="G504" i="21"/>
  <c r="G505" i="21"/>
  <c r="G506" i="21"/>
  <c r="G507" i="21"/>
  <c r="G508" i="21"/>
  <c r="G509" i="21"/>
  <c r="G510" i="21"/>
  <c r="G511" i="21"/>
  <c r="G512" i="21"/>
  <c r="G513" i="21"/>
  <c r="G514" i="21"/>
  <c r="K17" i="73"/>
  <c r="K16" i="73"/>
  <c r="K15" i="73"/>
  <c r="K14" i="73"/>
  <c r="K13" i="73"/>
  <c r="K12" i="73"/>
  <c r="K11" i="73"/>
  <c r="K10" i="73"/>
  <c r="K9" i="73"/>
  <c r="K8" i="73"/>
  <c r="K7" i="73"/>
  <c r="K6" i="73"/>
  <c r="M5" i="73"/>
  <c r="K5" i="73"/>
  <c r="B4" i="73"/>
  <c r="C3" i="73"/>
  <c r="C4" i="73" s="1"/>
  <c r="L9" i="78" l="1"/>
  <c r="L8" i="78"/>
  <c r="L10" i="78"/>
  <c r="L15" i="78"/>
  <c r="L13" i="78"/>
  <c r="L12" i="78"/>
  <c r="L16" i="78"/>
  <c r="L18" i="78"/>
  <c r="L7" i="78"/>
  <c r="L11" i="78"/>
  <c r="L5" i="78"/>
  <c r="L14" i="78"/>
  <c r="L17" i="78"/>
  <c r="E4" i="78"/>
  <c r="F3" i="78"/>
  <c r="L5" i="77"/>
  <c r="L16" i="77"/>
  <c r="L15" i="77"/>
  <c r="L7" i="77"/>
  <c r="L6" i="77"/>
  <c r="L10" i="77"/>
  <c r="L8" i="77"/>
  <c r="L11" i="77"/>
  <c r="L12" i="77"/>
  <c r="L14" i="77"/>
  <c r="L9" i="77"/>
  <c r="L18" i="77"/>
  <c r="L13" i="77"/>
  <c r="F3" i="77"/>
  <c r="G3" i="77" s="1"/>
  <c r="L5" i="76"/>
  <c r="L11" i="76"/>
  <c r="L15" i="76"/>
  <c r="L13" i="76"/>
  <c r="L7" i="76"/>
  <c r="L12" i="76"/>
  <c r="L14" i="76"/>
  <c r="L18" i="76"/>
  <c r="L10" i="76"/>
  <c r="L16" i="76"/>
  <c r="L17" i="76"/>
  <c r="L8" i="76"/>
  <c r="L9" i="76"/>
  <c r="F3" i="76"/>
  <c r="E4" i="76"/>
  <c r="L10" i="75"/>
  <c r="L15" i="75"/>
  <c r="L14" i="75"/>
  <c r="L6" i="75"/>
  <c r="L7" i="75"/>
  <c r="L13" i="75"/>
  <c r="L11" i="75"/>
  <c r="L17" i="75"/>
  <c r="L5" i="75"/>
  <c r="L9" i="75"/>
  <c r="L12" i="75"/>
  <c r="L16" i="75"/>
  <c r="F3" i="75"/>
  <c r="E4" i="75"/>
  <c r="L10" i="74"/>
  <c r="L13" i="74"/>
  <c r="L17" i="74"/>
  <c r="L15" i="74"/>
  <c r="L6" i="74"/>
  <c r="L7" i="74"/>
  <c r="L11" i="74"/>
  <c r="L5" i="74"/>
  <c r="L8" i="74"/>
  <c r="L12" i="74"/>
  <c r="L16" i="74"/>
  <c r="L14" i="74"/>
  <c r="D4" i="74"/>
  <c r="E3" i="74"/>
  <c r="K18" i="73"/>
  <c r="L15" i="73" s="1"/>
  <c r="D3" i="73"/>
  <c r="G3" i="78" l="1"/>
  <c r="F4" i="78"/>
  <c r="F4" i="77"/>
  <c r="H3" i="77"/>
  <c r="H4" i="77" s="1"/>
  <c r="G4" i="77"/>
  <c r="G3" i="76"/>
  <c r="F4" i="76"/>
  <c r="G3" i="75"/>
  <c r="F4" i="75"/>
  <c r="F3" i="74"/>
  <c r="E4" i="74"/>
  <c r="L6" i="73"/>
  <c r="L11" i="73"/>
  <c r="L8" i="73"/>
  <c r="L12" i="73"/>
  <c r="L5" i="73"/>
  <c r="L9" i="73"/>
  <c r="L7" i="73"/>
  <c r="L10" i="73"/>
  <c r="L13" i="73"/>
  <c r="L17" i="73"/>
  <c r="L16" i="73"/>
  <c r="L14" i="73"/>
  <c r="D4" i="73"/>
  <c r="E3" i="73"/>
  <c r="H3" i="78" l="1"/>
  <c r="H4" i="78" s="1"/>
  <c r="G4" i="78"/>
  <c r="G4" i="76"/>
  <c r="H3" i="76"/>
  <c r="H4" i="76" s="1"/>
  <c r="H3" i="75"/>
  <c r="H4" i="75" s="1"/>
  <c r="G4" i="75"/>
  <c r="G3" i="74"/>
  <c r="F4" i="74"/>
  <c r="F3" i="73"/>
  <c r="E4" i="73"/>
  <c r="H3" i="74" l="1"/>
  <c r="H4" i="74" s="1"/>
  <c r="G4" i="74"/>
  <c r="G3" i="73"/>
  <c r="F4" i="73"/>
  <c r="H3" i="73" l="1"/>
  <c r="H4" i="73" s="1"/>
  <c r="G4" i="73"/>
  <c r="E501" i="21" l="1"/>
  <c r="F501" i="21"/>
  <c r="G501" i="21"/>
  <c r="K17" i="68"/>
  <c r="K16" i="72"/>
  <c r="K15" i="72"/>
  <c r="K14" i="72"/>
  <c r="K13" i="72"/>
  <c r="K12" i="72"/>
  <c r="K11" i="72"/>
  <c r="K10" i="72"/>
  <c r="K9" i="72"/>
  <c r="K8" i="72"/>
  <c r="K7" i="72"/>
  <c r="K6" i="72"/>
  <c r="M5" i="72"/>
  <c r="K5" i="72"/>
  <c r="B4" i="72"/>
  <c r="C3" i="72"/>
  <c r="K16" i="71"/>
  <c r="K15" i="71"/>
  <c r="K14" i="71"/>
  <c r="K13" i="71"/>
  <c r="K12" i="71"/>
  <c r="K11" i="71"/>
  <c r="K10" i="71"/>
  <c r="K9" i="71"/>
  <c r="K8" i="71"/>
  <c r="K7" i="71"/>
  <c r="K6" i="71"/>
  <c r="M5" i="71"/>
  <c r="K5" i="71"/>
  <c r="B4" i="71"/>
  <c r="C3" i="71"/>
  <c r="D3" i="71" s="1"/>
  <c r="K15" i="70"/>
  <c r="K14" i="70"/>
  <c r="K13" i="70"/>
  <c r="K12" i="70"/>
  <c r="K11" i="70"/>
  <c r="K10" i="70"/>
  <c r="K9" i="70"/>
  <c r="K8" i="70"/>
  <c r="K7" i="70"/>
  <c r="K6" i="70"/>
  <c r="M5" i="70"/>
  <c r="K5" i="70"/>
  <c r="B4" i="70"/>
  <c r="C3" i="70"/>
  <c r="D3" i="70" s="1"/>
  <c r="K15" i="69"/>
  <c r="K14" i="69"/>
  <c r="K13" i="69"/>
  <c r="K12" i="69"/>
  <c r="K11" i="69"/>
  <c r="K10" i="69"/>
  <c r="K9" i="69"/>
  <c r="K8" i="69"/>
  <c r="K7" i="69"/>
  <c r="K6" i="69"/>
  <c r="M5" i="69"/>
  <c r="K5" i="69"/>
  <c r="B4" i="69"/>
  <c r="C3" i="69"/>
  <c r="D3" i="69" s="1"/>
  <c r="E489" i="21"/>
  <c r="E490" i="21"/>
  <c r="E491" i="21"/>
  <c r="E492" i="21"/>
  <c r="E493" i="21"/>
  <c r="E494" i="21"/>
  <c r="E495" i="21"/>
  <c r="E496" i="21"/>
  <c r="E497" i="21"/>
  <c r="E498" i="21"/>
  <c r="E499" i="21"/>
  <c r="E500" i="21"/>
  <c r="F489" i="21"/>
  <c r="F490" i="21"/>
  <c r="F491" i="21"/>
  <c r="F492" i="21"/>
  <c r="F493" i="21"/>
  <c r="F494" i="21"/>
  <c r="F495" i="21"/>
  <c r="F496" i="21"/>
  <c r="F497" i="21"/>
  <c r="F498" i="21"/>
  <c r="F499" i="21"/>
  <c r="F500" i="21"/>
  <c r="G489" i="21"/>
  <c r="G490" i="21"/>
  <c r="G491" i="21"/>
  <c r="G492" i="21"/>
  <c r="G493" i="21"/>
  <c r="G494" i="21"/>
  <c r="G495" i="21"/>
  <c r="G496" i="21"/>
  <c r="G497" i="21"/>
  <c r="G498" i="21"/>
  <c r="G499" i="21"/>
  <c r="G500" i="21"/>
  <c r="K16" i="68"/>
  <c r="K15" i="68"/>
  <c r="K14" i="68"/>
  <c r="K13" i="68"/>
  <c r="K12" i="68"/>
  <c r="K11" i="68"/>
  <c r="K10" i="68"/>
  <c r="K9" i="68"/>
  <c r="K8" i="68"/>
  <c r="K7" i="68"/>
  <c r="K6" i="68"/>
  <c r="M5" i="68"/>
  <c r="K5" i="68"/>
  <c r="K18" i="68" s="1"/>
  <c r="B4" i="68"/>
  <c r="C3" i="68"/>
  <c r="D3" i="68" s="1"/>
  <c r="E477" i="21"/>
  <c r="E478" i="21"/>
  <c r="E479" i="21"/>
  <c r="E480" i="21"/>
  <c r="E481" i="21"/>
  <c r="E482" i="21"/>
  <c r="E483" i="21"/>
  <c r="E484" i="21"/>
  <c r="E485" i="21"/>
  <c r="E486" i="21"/>
  <c r="E487" i="21"/>
  <c r="E488" i="21"/>
  <c r="F477" i="21"/>
  <c r="F478" i="21"/>
  <c r="F479" i="21"/>
  <c r="F480" i="21"/>
  <c r="F481" i="21"/>
  <c r="F482" i="21"/>
  <c r="F483" i="21"/>
  <c r="F484" i="21"/>
  <c r="F485" i="21"/>
  <c r="F486" i="21"/>
  <c r="F487" i="21"/>
  <c r="F488" i="21"/>
  <c r="G477" i="21"/>
  <c r="G478" i="21"/>
  <c r="G479" i="21"/>
  <c r="G480" i="21"/>
  <c r="G481" i="21"/>
  <c r="G482" i="21"/>
  <c r="G483" i="21"/>
  <c r="G484" i="21"/>
  <c r="G485" i="21"/>
  <c r="G486" i="21"/>
  <c r="G487" i="21"/>
  <c r="G488" i="21"/>
  <c r="K16" i="67"/>
  <c r="K15" i="67"/>
  <c r="K14" i="67"/>
  <c r="K13" i="67"/>
  <c r="K12" i="67"/>
  <c r="K11" i="67"/>
  <c r="K10" i="67"/>
  <c r="K9" i="67"/>
  <c r="K8" i="67"/>
  <c r="K7" i="67"/>
  <c r="K6" i="67"/>
  <c r="M5" i="67"/>
  <c r="K5" i="67"/>
  <c r="B4" i="67"/>
  <c r="C3" i="67"/>
  <c r="D3" i="67" s="1"/>
  <c r="E465" i="21"/>
  <c r="E466" i="21"/>
  <c r="E467" i="21"/>
  <c r="E468" i="21"/>
  <c r="E469" i="21"/>
  <c r="E470" i="21"/>
  <c r="E471" i="21"/>
  <c r="E472" i="21"/>
  <c r="E473" i="21"/>
  <c r="E474" i="21"/>
  <c r="E475" i="21"/>
  <c r="E476" i="21"/>
  <c r="F465" i="21"/>
  <c r="F466" i="21"/>
  <c r="F467" i="21"/>
  <c r="F468" i="21"/>
  <c r="F469" i="21"/>
  <c r="F470" i="21"/>
  <c r="F471" i="21"/>
  <c r="F472" i="21"/>
  <c r="F473" i="21"/>
  <c r="F474" i="21"/>
  <c r="F475" i="21"/>
  <c r="F476" i="21"/>
  <c r="G465" i="21"/>
  <c r="G466" i="21"/>
  <c r="G467" i="21"/>
  <c r="G468" i="21"/>
  <c r="G469" i="21"/>
  <c r="G470" i="21"/>
  <c r="G471" i="21"/>
  <c r="G472" i="21"/>
  <c r="G473" i="21"/>
  <c r="G474" i="21"/>
  <c r="G475" i="21"/>
  <c r="G476" i="21"/>
  <c r="K16" i="66"/>
  <c r="K15" i="66"/>
  <c r="K14" i="66"/>
  <c r="K13" i="66"/>
  <c r="K12" i="66"/>
  <c r="K11" i="66"/>
  <c r="K10" i="66"/>
  <c r="K9" i="66"/>
  <c r="K8" i="66"/>
  <c r="K7" i="66"/>
  <c r="K6" i="66"/>
  <c r="M5" i="66"/>
  <c r="K5" i="66"/>
  <c r="B4" i="66"/>
  <c r="C3" i="66"/>
  <c r="D3" i="66" s="1"/>
  <c r="E453" i="21"/>
  <c r="E454" i="21"/>
  <c r="E455" i="21"/>
  <c r="E456" i="21"/>
  <c r="E457" i="21"/>
  <c r="E458" i="21"/>
  <c r="E459" i="21"/>
  <c r="E460" i="21"/>
  <c r="E461" i="21"/>
  <c r="E462" i="21"/>
  <c r="E463" i="21"/>
  <c r="E464" i="21"/>
  <c r="F453" i="21"/>
  <c r="F454" i="21"/>
  <c r="F455" i="21"/>
  <c r="F456" i="21"/>
  <c r="F457" i="21"/>
  <c r="F458" i="21"/>
  <c r="F459" i="21"/>
  <c r="F460" i="21"/>
  <c r="F461" i="21"/>
  <c r="F462" i="21"/>
  <c r="F463" i="21"/>
  <c r="F464" i="21"/>
  <c r="G453" i="21"/>
  <c r="G454" i="21"/>
  <c r="G455" i="21"/>
  <c r="G456" i="21"/>
  <c r="G457" i="21"/>
  <c r="G458" i="21"/>
  <c r="G459" i="21"/>
  <c r="G460" i="21"/>
  <c r="G461" i="21"/>
  <c r="G462" i="21"/>
  <c r="G463" i="21"/>
  <c r="G464" i="21"/>
  <c r="E441" i="21"/>
  <c r="E442" i="21"/>
  <c r="E443" i="21"/>
  <c r="E444" i="21"/>
  <c r="E445" i="21"/>
  <c r="E446" i="21"/>
  <c r="E447" i="21"/>
  <c r="E448" i="21"/>
  <c r="E449" i="21"/>
  <c r="E450" i="21"/>
  <c r="E451" i="21"/>
  <c r="E452" i="21"/>
  <c r="F441" i="21"/>
  <c r="F442" i="21"/>
  <c r="F443" i="21"/>
  <c r="F444" i="21"/>
  <c r="F445" i="21"/>
  <c r="F446" i="21"/>
  <c r="F447" i="21"/>
  <c r="F448" i="21"/>
  <c r="F449" i="21"/>
  <c r="F450" i="21"/>
  <c r="F451" i="21"/>
  <c r="F452" i="21"/>
  <c r="G441" i="21"/>
  <c r="G442" i="21"/>
  <c r="G443" i="21"/>
  <c r="G444" i="21"/>
  <c r="G445" i="21"/>
  <c r="G446" i="21"/>
  <c r="G447" i="21"/>
  <c r="G448" i="21"/>
  <c r="G449" i="21"/>
  <c r="G450" i="21"/>
  <c r="G451" i="21"/>
  <c r="G452" i="21"/>
  <c r="K16" i="65"/>
  <c r="K15" i="65"/>
  <c r="K14" i="65"/>
  <c r="K13" i="65"/>
  <c r="K12" i="65"/>
  <c r="K11" i="65"/>
  <c r="K10" i="65"/>
  <c r="K9" i="65"/>
  <c r="K8" i="65"/>
  <c r="K7" i="65"/>
  <c r="K6" i="65"/>
  <c r="M5" i="65"/>
  <c r="K5" i="65"/>
  <c r="B4" i="65"/>
  <c r="C3" i="65"/>
  <c r="D3" i="65" s="1"/>
  <c r="F440" i="21"/>
  <c r="G440" i="21"/>
  <c r="E440" i="21"/>
  <c r="G427" i="21"/>
  <c r="G428" i="21"/>
  <c r="G429" i="21"/>
  <c r="G430" i="21"/>
  <c r="G431" i="21"/>
  <c r="G432" i="21"/>
  <c r="G433" i="21"/>
  <c r="G434" i="21"/>
  <c r="G435" i="21"/>
  <c r="G436" i="21"/>
  <c r="G437" i="21"/>
  <c r="G438" i="21"/>
  <c r="G439" i="21"/>
  <c r="F427" i="21"/>
  <c r="F428" i="21"/>
  <c r="F429" i="21"/>
  <c r="F430" i="21"/>
  <c r="F431" i="21"/>
  <c r="F432" i="21"/>
  <c r="F433" i="21"/>
  <c r="F434" i="21"/>
  <c r="F435" i="21"/>
  <c r="F436" i="21"/>
  <c r="F437" i="21"/>
  <c r="F438" i="21"/>
  <c r="F439" i="21"/>
  <c r="E433" i="21"/>
  <c r="E429" i="21"/>
  <c r="E430" i="21"/>
  <c r="E431" i="21"/>
  <c r="E432" i="21"/>
  <c r="E434" i="21"/>
  <c r="E435" i="21"/>
  <c r="E436" i="21"/>
  <c r="E437" i="21"/>
  <c r="E438" i="21"/>
  <c r="E439" i="21"/>
  <c r="G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217" i="21"/>
  <c r="G218" i="21"/>
  <c r="G219" i="21"/>
  <c r="G220" i="21"/>
  <c r="G221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G245" i="21"/>
  <c r="G246" i="21"/>
  <c r="G247" i="21"/>
  <c r="G248" i="21"/>
  <c r="G249" i="21"/>
  <c r="G250" i="21"/>
  <c r="G251" i="21"/>
  <c r="G252" i="21"/>
  <c r="G253" i="21"/>
  <c r="G254" i="21"/>
  <c r="G255" i="21"/>
  <c r="G256" i="21"/>
  <c r="G257" i="21"/>
  <c r="G258" i="21"/>
  <c r="G259" i="21"/>
  <c r="G260" i="21"/>
  <c r="G261" i="21"/>
  <c r="G262" i="21"/>
  <c r="G263" i="21"/>
  <c r="G264" i="21"/>
  <c r="G265" i="21"/>
  <c r="G266" i="21"/>
  <c r="G267" i="21"/>
  <c r="G268" i="21"/>
  <c r="G269" i="21"/>
  <c r="G270" i="21"/>
  <c r="G271" i="21"/>
  <c r="G272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87" i="21"/>
  <c r="G288" i="21"/>
  <c r="G289" i="21"/>
  <c r="G290" i="21"/>
  <c r="G291" i="21"/>
  <c r="G292" i="21"/>
  <c r="G293" i="21"/>
  <c r="G294" i="21"/>
  <c r="G295" i="21"/>
  <c r="G296" i="21"/>
  <c r="G297" i="21"/>
  <c r="G298" i="21"/>
  <c r="G299" i="21"/>
  <c r="G300" i="21"/>
  <c r="G301" i="21"/>
  <c r="G302" i="21"/>
  <c r="G303" i="21"/>
  <c r="G304" i="21"/>
  <c r="G305" i="21"/>
  <c r="G306" i="21"/>
  <c r="G307" i="21"/>
  <c r="G308" i="21"/>
  <c r="G309" i="21"/>
  <c r="G310" i="21"/>
  <c r="G311" i="21"/>
  <c r="G312" i="21"/>
  <c r="G313" i="21"/>
  <c r="G314" i="21"/>
  <c r="G315" i="21"/>
  <c r="G316" i="21"/>
  <c r="G317" i="21"/>
  <c r="G318" i="21"/>
  <c r="G319" i="21"/>
  <c r="G320" i="21"/>
  <c r="G321" i="21"/>
  <c r="G322" i="21"/>
  <c r="G323" i="21"/>
  <c r="G324" i="21"/>
  <c r="G325" i="21"/>
  <c r="G326" i="21"/>
  <c r="G327" i="21"/>
  <c r="G328" i="21"/>
  <c r="G329" i="21"/>
  <c r="G330" i="21"/>
  <c r="G331" i="21"/>
  <c r="G332" i="21"/>
  <c r="G333" i="21"/>
  <c r="G334" i="21"/>
  <c r="G335" i="21"/>
  <c r="G336" i="21"/>
  <c r="G337" i="21"/>
  <c r="G338" i="21"/>
  <c r="G339" i="21"/>
  <c r="G340" i="21"/>
  <c r="G341" i="21"/>
  <c r="G342" i="21"/>
  <c r="G343" i="21"/>
  <c r="G344" i="21"/>
  <c r="G345" i="21"/>
  <c r="G346" i="21"/>
  <c r="G347" i="21"/>
  <c r="G348" i="21"/>
  <c r="G349" i="21"/>
  <c r="G350" i="21"/>
  <c r="G351" i="21"/>
  <c r="G352" i="21"/>
  <c r="G353" i="21"/>
  <c r="G354" i="21"/>
  <c r="G355" i="21"/>
  <c r="G356" i="21"/>
  <c r="G357" i="21"/>
  <c r="G358" i="21"/>
  <c r="G359" i="21"/>
  <c r="G360" i="21"/>
  <c r="G361" i="21"/>
  <c r="G362" i="21"/>
  <c r="G363" i="21"/>
  <c r="G364" i="21"/>
  <c r="G365" i="21"/>
  <c r="G366" i="21"/>
  <c r="G367" i="21"/>
  <c r="G368" i="21"/>
  <c r="G369" i="21"/>
  <c r="G370" i="21"/>
  <c r="G371" i="21"/>
  <c r="G372" i="21"/>
  <c r="G373" i="21"/>
  <c r="G374" i="21"/>
  <c r="G375" i="21"/>
  <c r="G376" i="21"/>
  <c r="G377" i="21"/>
  <c r="G378" i="21"/>
  <c r="G379" i="21"/>
  <c r="G380" i="21"/>
  <c r="G381" i="21"/>
  <c r="G382" i="21"/>
  <c r="G383" i="21"/>
  <c r="G384" i="21"/>
  <c r="G385" i="21"/>
  <c r="G386" i="21"/>
  <c r="G387" i="21"/>
  <c r="G388" i="21"/>
  <c r="G389" i="21"/>
  <c r="G390" i="21"/>
  <c r="G391" i="21"/>
  <c r="G392" i="21"/>
  <c r="G393" i="21"/>
  <c r="G394" i="21"/>
  <c r="G395" i="21"/>
  <c r="G396" i="21"/>
  <c r="G397" i="21"/>
  <c r="G398" i="21"/>
  <c r="G399" i="21"/>
  <c r="G400" i="21"/>
  <c r="G401" i="21"/>
  <c r="G402" i="21"/>
  <c r="G403" i="21"/>
  <c r="G404" i="21"/>
  <c r="G405" i="21"/>
  <c r="G406" i="21"/>
  <c r="G407" i="21"/>
  <c r="G408" i="21"/>
  <c r="G409" i="21"/>
  <c r="G410" i="21"/>
  <c r="G411" i="21"/>
  <c r="G412" i="21"/>
  <c r="G413" i="21"/>
  <c r="G414" i="21"/>
  <c r="G415" i="21"/>
  <c r="G416" i="21"/>
  <c r="G417" i="21"/>
  <c r="G418" i="21"/>
  <c r="G419" i="21"/>
  <c r="G420" i="21"/>
  <c r="G421" i="21"/>
  <c r="G422" i="21"/>
  <c r="G423" i="21"/>
  <c r="G424" i="21"/>
  <c r="G425" i="21"/>
  <c r="G426" i="21"/>
  <c r="E417" i="21"/>
  <c r="E418" i="21"/>
  <c r="E419" i="21"/>
  <c r="E420" i="21"/>
  <c r="E421" i="21"/>
  <c r="E422" i="21"/>
  <c r="E423" i="21"/>
  <c r="E424" i="21"/>
  <c r="E425" i="21"/>
  <c r="E426" i="21"/>
  <c r="E427" i="21"/>
  <c r="E428" i="21"/>
  <c r="F417" i="21"/>
  <c r="F418" i="21"/>
  <c r="F419" i="21"/>
  <c r="F420" i="21"/>
  <c r="F421" i="21"/>
  <c r="F422" i="21"/>
  <c r="F423" i="21"/>
  <c r="F424" i="21"/>
  <c r="F425" i="21"/>
  <c r="F426" i="21"/>
  <c r="K16" i="64"/>
  <c r="K15" i="64"/>
  <c r="K14" i="64"/>
  <c r="K13" i="64"/>
  <c r="K12" i="64"/>
  <c r="K11" i="64"/>
  <c r="K10" i="64"/>
  <c r="K9" i="64"/>
  <c r="K8" i="64"/>
  <c r="K7" i="64"/>
  <c r="K6" i="64"/>
  <c r="M5" i="64"/>
  <c r="K5" i="64"/>
  <c r="B4" i="64"/>
  <c r="C3" i="64"/>
  <c r="D3" i="64" s="1"/>
  <c r="E406" i="21"/>
  <c r="E407" i="21"/>
  <c r="E408" i="21"/>
  <c r="E409" i="21"/>
  <c r="E410" i="21"/>
  <c r="E411" i="21"/>
  <c r="E412" i="21"/>
  <c r="E413" i="21"/>
  <c r="E414" i="21"/>
  <c r="E415" i="21"/>
  <c r="E416" i="21"/>
  <c r="F406" i="21"/>
  <c r="F407" i="21"/>
  <c r="F408" i="21"/>
  <c r="F409" i="21"/>
  <c r="F410" i="21"/>
  <c r="F411" i="21"/>
  <c r="F412" i="21"/>
  <c r="F413" i="21"/>
  <c r="F414" i="21"/>
  <c r="F415" i="21"/>
  <c r="F416" i="21"/>
  <c r="E395" i="21"/>
  <c r="E396" i="21"/>
  <c r="E397" i="21"/>
  <c r="E398" i="21"/>
  <c r="E399" i="21"/>
  <c r="E400" i="21"/>
  <c r="E401" i="21"/>
  <c r="E402" i="21"/>
  <c r="E403" i="21"/>
  <c r="E404" i="21"/>
  <c r="E405" i="21"/>
  <c r="F395" i="21"/>
  <c r="F396" i="21"/>
  <c r="F397" i="21"/>
  <c r="F398" i="21"/>
  <c r="F399" i="21"/>
  <c r="F400" i="21"/>
  <c r="F401" i="21"/>
  <c r="F402" i="21"/>
  <c r="F403" i="21"/>
  <c r="F404" i="21"/>
  <c r="F405" i="21"/>
  <c r="K15" i="63"/>
  <c r="K14" i="63"/>
  <c r="K13" i="63"/>
  <c r="K12" i="63"/>
  <c r="K11" i="63"/>
  <c r="K10" i="63"/>
  <c r="K9" i="63"/>
  <c r="K8" i="63"/>
  <c r="K7" i="63"/>
  <c r="K6" i="63"/>
  <c r="M5" i="63"/>
  <c r="K5" i="63"/>
  <c r="B4" i="63"/>
  <c r="C3" i="63"/>
  <c r="D3" i="63" s="1"/>
  <c r="E384" i="21"/>
  <c r="E385" i="21"/>
  <c r="E386" i="21"/>
  <c r="E387" i="21"/>
  <c r="E388" i="21"/>
  <c r="E389" i="21"/>
  <c r="E390" i="21"/>
  <c r="E391" i="21"/>
  <c r="E392" i="21"/>
  <c r="E393" i="21"/>
  <c r="E394" i="21"/>
  <c r="F384" i="21"/>
  <c r="F385" i="21"/>
  <c r="F386" i="21"/>
  <c r="F387" i="21"/>
  <c r="F388" i="21"/>
  <c r="F389" i="21"/>
  <c r="F390" i="21"/>
  <c r="F391" i="21"/>
  <c r="F392" i="21"/>
  <c r="F393" i="21"/>
  <c r="F394" i="21"/>
  <c r="K15" i="62"/>
  <c r="K14" i="62"/>
  <c r="K13" i="62"/>
  <c r="K12" i="62"/>
  <c r="K11" i="62"/>
  <c r="K10" i="62"/>
  <c r="K9" i="62"/>
  <c r="K8" i="62"/>
  <c r="K7" i="62"/>
  <c r="K6" i="62"/>
  <c r="M5" i="62"/>
  <c r="K5" i="62"/>
  <c r="B4" i="62"/>
  <c r="C3" i="62"/>
  <c r="D3" i="62" s="1"/>
  <c r="E373" i="21"/>
  <c r="E374" i="21"/>
  <c r="E375" i="21"/>
  <c r="E376" i="21"/>
  <c r="E377" i="21"/>
  <c r="E378" i="21"/>
  <c r="E379" i="21"/>
  <c r="E380" i="21"/>
  <c r="E381" i="21"/>
  <c r="E382" i="21"/>
  <c r="E383" i="21"/>
  <c r="F373" i="21"/>
  <c r="F374" i="21"/>
  <c r="F375" i="21"/>
  <c r="F376" i="21"/>
  <c r="F377" i="21"/>
  <c r="F378" i="21"/>
  <c r="F379" i="21"/>
  <c r="F380" i="21"/>
  <c r="F381" i="21"/>
  <c r="F382" i="21"/>
  <c r="F383" i="21"/>
  <c r="E362" i="21"/>
  <c r="E363" i="21"/>
  <c r="E364" i="21"/>
  <c r="E365" i="21"/>
  <c r="E366" i="21"/>
  <c r="E367" i="21"/>
  <c r="E368" i="21"/>
  <c r="E369" i="21"/>
  <c r="E370" i="21"/>
  <c r="E371" i="21"/>
  <c r="E372" i="21"/>
  <c r="F362" i="21"/>
  <c r="F363" i="21"/>
  <c r="F364" i="21"/>
  <c r="F365" i="21"/>
  <c r="F366" i="21"/>
  <c r="F367" i="21"/>
  <c r="F368" i="21"/>
  <c r="F369" i="21"/>
  <c r="F370" i="21"/>
  <c r="F371" i="21"/>
  <c r="F372" i="21"/>
  <c r="K15" i="61"/>
  <c r="K14" i="61"/>
  <c r="K13" i="61"/>
  <c r="K12" i="61"/>
  <c r="K11" i="61"/>
  <c r="K10" i="61"/>
  <c r="K9" i="61"/>
  <c r="K8" i="61"/>
  <c r="K7" i="61"/>
  <c r="K6" i="61"/>
  <c r="M5" i="61"/>
  <c r="K5" i="61"/>
  <c r="B4" i="61"/>
  <c r="C3" i="61"/>
  <c r="D3" i="61" s="1"/>
  <c r="E351" i="21"/>
  <c r="E352" i="21"/>
  <c r="E353" i="21"/>
  <c r="E354" i="21"/>
  <c r="E355" i="21"/>
  <c r="E356" i="21"/>
  <c r="E357" i="21"/>
  <c r="E358" i="21"/>
  <c r="E359" i="21"/>
  <c r="E360" i="21"/>
  <c r="E361" i="21"/>
  <c r="F351" i="21"/>
  <c r="F352" i="21"/>
  <c r="F353" i="21"/>
  <c r="F354" i="21"/>
  <c r="F355" i="21"/>
  <c r="F356" i="21"/>
  <c r="F357" i="21"/>
  <c r="F358" i="21"/>
  <c r="F359" i="21"/>
  <c r="F360" i="21"/>
  <c r="F361" i="21"/>
  <c r="K15" i="60"/>
  <c r="K14" i="60"/>
  <c r="K13" i="60"/>
  <c r="K12" i="60"/>
  <c r="K11" i="60"/>
  <c r="K10" i="60"/>
  <c r="K9" i="60"/>
  <c r="K8" i="60"/>
  <c r="K7" i="60"/>
  <c r="K6" i="60"/>
  <c r="M5" i="60"/>
  <c r="K5" i="60"/>
  <c r="B4" i="60"/>
  <c r="C3" i="60"/>
  <c r="D3" i="60" s="1"/>
  <c r="E340" i="21"/>
  <c r="E341" i="21"/>
  <c r="E342" i="21"/>
  <c r="E343" i="21"/>
  <c r="E344" i="21"/>
  <c r="E345" i="21"/>
  <c r="E346" i="21"/>
  <c r="E347" i="21"/>
  <c r="E348" i="21"/>
  <c r="E349" i="21"/>
  <c r="E350" i="21"/>
  <c r="F340" i="21"/>
  <c r="F341" i="21"/>
  <c r="F342" i="21"/>
  <c r="F343" i="21"/>
  <c r="F344" i="21"/>
  <c r="F345" i="21"/>
  <c r="F346" i="21"/>
  <c r="F347" i="21"/>
  <c r="F348" i="21"/>
  <c r="F349" i="21"/>
  <c r="F350" i="21"/>
  <c r="K15" i="59"/>
  <c r="K14" i="59"/>
  <c r="K13" i="59"/>
  <c r="K12" i="59"/>
  <c r="K11" i="59"/>
  <c r="K10" i="59"/>
  <c r="K9" i="59"/>
  <c r="K8" i="59"/>
  <c r="K7" i="59"/>
  <c r="K6" i="59"/>
  <c r="M5" i="59"/>
  <c r="K5" i="59"/>
  <c r="B4" i="59"/>
  <c r="C3" i="59"/>
  <c r="E329" i="21"/>
  <c r="E330" i="21"/>
  <c r="E331" i="21"/>
  <c r="E332" i="21"/>
  <c r="E333" i="21"/>
  <c r="E334" i="21"/>
  <c r="E335" i="21"/>
  <c r="E336" i="21"/>
  <c r="E337" i="21"/>
  <c r="E338" i="21"/>
  <c r="E339" i="21"/>
  <c r="F329" i="21"/>
  <c r="F330" i="21"/>
  <c r="F331" i="21"/>
  <c r="F332" i="21"/>
  <c r="F333" i="21"/>
  <c r="F334" i="21"/>
  <c r="F335" i="21"/>
  <c r="F336" i="21"/>
  <c r="F337" i="21"/>
  <c r="F338" i="21"/>
  <c r="F339" i="21"/>
  <c r="K15" i="58"/>
  <c r="K14" i="58"/>
  <c r="K13" i="58"/>
  <c r="K12" i="58"/>
  <c r="K11" i="58"/>
  <c r="K10" i="58"/>
  <c r="K9" i="58"/>
  <c r="K8" i="58"/>
  <c r="K7" i="58"/>
  <c r="K6" i="58"/>
  <c r="M5" i="58"/>
  <c r="K5" i="58"/>
  <c r="B4" i="58"/>
  <c r="C3" i="58"/>
  <c r="D3" i="58" s="1"/>
  <c r="E318" i="21"/>
  <c r="E319" i="21"/>
  <c r="E320" i="21"/>
  <c r="E321" i="21"/>
  <c r="E322" i="21"/>
  <c r="E323" i="21"/>
  <c r="E324" i="21"/>
  <c r="E325" i="21"/>
  <c r="E326" i="21"/>
  <c r="E327" i="21"/>
  <c r="E328" i="21"/>
  <c r="F318" i="21"/>
  <c r="F319" i="21"/>
  <c r="F320" i="21"/>
  <c r="F321" i="21"/>
  <c r="F322" i="21"/>
  <c r="F323" i="21"/>
  <c r="F324" i="21"/>
  <c r="F325" i="21"/>
  <c r="F326" i="21"/>
  <c r="F327" i="21"/>
  <c r="F328" i="21"/>
  <c r="K15" i="57"/>
  <c r="K14" i="57"/>
  <c r="K13" i="57"/>
  <c r="K12" i="57"/>
  <c r="K11" i="57"/>
  <c r="K10" i="57"/>
  <c r="K9" i="57"/>
  <c r="K8" i="57"/>
  <c r="K7" i="57"/>
  <c r="K6" i="57"/>
  <c r="M5" i="57"/>
  <c r="K5" i="57"/>
  <c r="B4" i="57"/>
  <c r="C3" i="57"/>
  <c r="D3" i="57" s="1"/>
  <c r="E307" i="21"/>
  <c r="E308" i="21"/>
  <c r="E309" i="21"/>
  <c r="E310" i="21"/>
  <c r="E311" i="21"/>
  <c r="E312" i="21"/>
  <c r="E313" i="21"/>
  <c r="E314" i="21"/>
  <c r="E315" i="21"/>
  <c r="E316" i="21"/>
  <c r="E317" i="21"/>
  <c r="F307" i="21"/>
  <c r="F308" i="21"/>
  <c r="F309" i="21"/>
  <c r="F310" i="21"/>
  <c r="F311" i="21"/>
  <c r="F312" i="21"/>
  <c r="F313" i="21"/>
  <c r="F314" i="21"/>
  <c r="F315" i="21"/>
  <c r="F316" i="21"/>
  <c r="F317" i="21"/>
  <c r="D3" i="59" l="1"/>
  <c r="C4" i="59"/>
  <c r="D3" i="72"/>
  <c r="C4" i="72"/>
  <c r="L14" i="68"/>
  <c r="K17" i="72"/>
  <c r="L10" i="72" s="1"/>
  <c r="L7" i="72"/>
  <c r="L15" i="72"/>
  <c r="L8" i="72"/>
  <c r="E3" i="72"/>
  <c r="D4" i="72"/>
  <c r="L12" i="72"/>
  <c r="L6" i="72"/>
  <c r="L14" i="72"/>
  <c r="K17" i="71"/>
  <c r="L13" i="71" s="1"/>
  <c r="E3" i="71"/>
  <c r="D4" i="71"/>
  <c r="C4" i="71"/>
  <c r="K16" i="70"/>
  <c r="L11" i="70" s="1"/>
  <c r="E3" i="70"/>
  <c r="D4" i="70"/>
  <c r="L6" i="70"/>
  <c r="L5" i="70"/>
  <c r="C4" i="70"/>
  <c r="K16" i="69"/>
  <c r="L8" i="69" s="1"/>
  <c r="E3" i="69"/>
  <c r="D4" i="69"/>
  <c r="L13" i="69"/>
  <c r="C4" i="69"/>
  <c r="L5" i="69"/>
  <c r="C4" i="68"/>
  <c r="E3" i="68"/>
  <c r="D4" i="68"/>
  <c r="K17" i="67"/>
  <c r="L8" i="67" s="1"/>
  <c r="C4" i="67"/>
  <c r="D4" i="67"/>
  <c r="E3" i="67"/>
  <c r="K17" i="66"/>
  <c r="L11" i="66" s="1"/>
  <c r="E3" i="66"/>
  <c r="D4" i="66"/>
  <c r="C4" i="66"/>
  <c r="K17" i="65"/>
  <c r="L5" i="65" s="1"/>
  <c r="E3" i="65"/>
  <c r="D4" i="65"/>
  <c r="C4" i="65"/>
  <c r="K17" i="64"/>
  <c r="L15" i="64" s="1"/>
  <c r="D4" i="64"/>
  <c r="E3" i="64"/>
  <c r="C4" i="64"/>
  <c r="K16" i="63"/>
  <c r="L5" i="63" s="1"/>
  <c r="D4" i="63"/>
  <c r="E3" i="63"/>
  <c r="C4" i="63"/>
  <c r="K16" i="62"/>
  <c r="L12" i="62" s="1"/>
  <c r="E3" i="62"/>
  <c r="D4" i="62"/>
  <c r="C4" i="62"/>
  <c r="K16" i="61"/>
  <c r="L10" i="61" s="1"/>
  <c r="E3" i="61"/>
  <c r="D4" i="61"/>
  <c r="C4" i="61"/>
  <c r="K16" i="60"/>
  <c r="L8" i="60" s="1"/>
  <c r="E3" i="60"/>
  <c r="D4" i="60"/>
  <c r="C4" i="60"/>
  <c r="K16" i="59"/>
  <c r="E3" i="59"/>
  <c r="D4" i="59"/>
  <c r="K16" i="58"/>
  <c r="L8" i="58" s="1"/>
  <c r="L12" i="58"/>
  <c r="E3" i="58"/>
  <c r="D4" i="58"/>
  <c r="C4" i="58"/>
  <c r="K16" i="57"/>
  <c r="D4" i="57"/>
  <c r="E3" i="57"/>
  <c r="L10" i="57"/>
  <c r="L7" i="57"/>
  <c r="L15" i="57"/>
  <c r="C4" i="57"/>
  <c r="K15" i="56"/>
  <c r="K14" i="56"/>
  <c r="K13" i="56"/>
  <c r="K12" i="56"/>
  <c r="K11" i="56"/>
  <c r="K10" i="56"/>
  <c r="K9" i="56"/>
  <c r="K8" i="56"/>
  <c r="K7" i="56"/>
  <c r="K6" i="56"/>
  <c r="M5" i="56"/>
  <c r="K5" i="56"/>
  <c r="B4" i="56"/>
  <c r="C3" i="56"/>
  <c r="D3" i="56" s="1"/>
  <c r="E296" i="21"/>
  <c r="E297" i="21"/>
  <c r="E298" i="21"/>
  <c r="E299" i="21"/>
  <c r="E300" i="21"/>
  <c r="E301" i="21"/>
  <c r="E302" i="21"/>
  <c r="E303" i="21"/>
  <c r="E304" i="21"/>
  <c r="E305" i="21"/>
  <c r="E306" i="21"/>
  <c r="F296" i="21"/>
  <c r="F297" i="21"/>
  <c r="F298" i="21"/>
  <c r="F299" i="21"/>
  <c r="F300" i="21"/>
  <c r="F301" i="21"/>
  <c r="F302" i="21"/>
  <c r="F303" i="21"/>
  <c r="F304" i="21"/>
  <c r="F305" i="21"/>
  <c r="F306" i="21"/>
  <c r="K15" i="55"/>
  <c r="K14" i="55"/>
  <c r="K13" i="55"/>
  <c r="K12" i="55"/>
  <c r="K11" i="55"/>
  <c r="K10" i="55"/>
  <c r="K9" i="55"/>
  <c r="K8" i="55"/>
  <c r="K7" i="55"/>
  <c r="K6" i="55"/>
  <c r="M5" i="55"/>
  <c r="K5" i="55"/>
  <c r="B4" i="55"/>
  <c r="C3" i="55"/>
  <c r="D3" i="55" s="1"/>
  <c r="E285" i="21"/>
  <c r="E286" i="21"/>
  <c r="E287" i="21"/>
  <c r="E288" i="21"/>
  <c r="E289" i="21"/>
  <c r="E290" i="21"/>
  <c r="E291" i="21"/>
  <c r="E292" i="21"/>
  <c r="E293" i="21"/>
  <c r="E294" i="21"/>
  <c r="E295" i="21"/>
  <c r="F285" i="21"/>
  <c r="F286" i="21"/>
  <c r="F287" i="21"/>
  <c r="F288" i="21"/>
  <c r="F289" i="21"/>
  <c r="F290" i="21"/>
  <c r="F291" i="21"/>
  <c r="F292" i="21"/>
  <c r="F293" i="21"/>
  <c r="F294" i="21"/>
  <c r="F295" i="21"/>
  <c r="K15" i="54"/>
  <c r="K14" i="54"/>
  <c r="K13" i="54"/>
  <c r="K12" i="54"/>
  <c r="K11" i="54"/>
  <c r="K10" i="54"/>
  <c r="K9" i="54"/>
  <c r="K8" i="54"/>
  <c r="K7" i="54"/>
  <c r="K6" i="54"/>
  <c r="M5" i="54"/>
  <c r="K5" i="54"/>
  <c r="B4" i="54"/>
  <c r="C3" i="54"/>
  <c r="D3" i="54" s="1"/>
  <c r="E274" i="21"/>
  <c r="E275" i="21"/>
  <c r="E276" i="21"/>
  <c r="E277" i="21"/>
  <c r="E278" i="21"/>
  <c r="E279" i="21"/>
  <c r="E280" i="21"/>
  <c r="E281" i="21"/>
  <c r="E282" i="21"/>
  <c r="E283" i="21"/>
  <c r="E284" i="21"/>
  <c r="F274" i="21"/>
  <c r="F275" i="21"/>
  <c r="F276" i="21"/>
  <c r="F277" i="21"/>
  <c r="F278" i="21"/>
  <c r="F279" i="21"/>
  <c r="F280" i="21"/>
  <c r="F281" i="21"/>
  <c r="F282" i="21"/>
  <c r="F283" i="21"/>
  <c r="F284" i="21"/>
  <c r="K15" i="53"/>
  <c r="K14" i="53"/>
  <c r="K13" i="53"/>
  <c r="K12" i="53"/>
  <c r="K11" i="53"/>
  <c r="K10" i="53"/>
  <c r="K9" i="53"/>
  <c r="K8" i="53"/>
  <c r="K7" i="53"/>
  <c r="K6" i="53"/>
  <c r="M5" i="53"/>
  <c r="K5" i="53"/>
  <c r="B4" i="53"/>
  <c r="C3" i="53"/>
  <c r="D3" i="53" s="1"/>
  <c r="E273" i="21"/>
  <c r="F273" i="21"/>
  <c r="E66" i="21"/>
  <c r="E67" i="21"/>
  <c r="E68" i="21"/>
  <c r="E69" i="21"/>
  <c r="E70" i="21"/>
  <c r="E71" i="21"/>
  <c r="E72" i="21"/>
  <c r="E73" i="21"/>
  <c r="E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120" i="21"/>
  <c r="E121" i="21"/>
  <c r="E122" i="21"/>
  <c r="E123" i="21"/>
  <c r="E124" i="21"/>
  <c r="E125" i="21"/>
  <c r="E126" i="21"/>
  <c r="E127" i="21"/>
  <c r="E128" i="21"/>
  <c r="E129" i="21"/>
  <c r="E130" i="21"/>
  <c r="E131" i="21"/>
  <c r="E132" i="21"/>
  <c r="E133" i="21"/>
  <c r="E134" i="21"/>
  <c r="E135" i="21"/>
  <c r="E136" i="21"/>
  <c r="E137" i="21"/>
  <c r="E13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E154" i="21"/>
  <c r="E155" i="21"/>
  <c r="E156" i="21"/>
  <c r="E157" i="21"/>
  <c r="E158" i="21"/>
  <c r="E159" i="21"/>
  <c r="E160" i="21"/>
  <c r="E161" i="21"/>
  <c r="E162" i="21"/>
  <c r="E163" i="21"/>
  <c r="E164" i="21"/>
  <c r="E165" i="21"/>
  <c r="E166" i="21"/>
  <c r="E167" i="21"/>
  <c r="E168" i="21"/>
  <c r="E169" i="21"/>
  <c r="E170" i="21"/>
  <c r="E171" i="21"/>
  <c r="E172" i="21"/>
  <c r="E173" i="21"/>
  <c r="E174" i="21"/>
  <c r="E175" i="21"/>
  <c r="E176" i="21"/>
  <c r="E177" i="21"/>
  <c r="E178" i="21"/>
  <c r="E179" i="21"/>
  <c r="E180" i="21"/>
  <c r="E181" i="21"/>
  <c r="E182" i="21"/>
  <c r="E183" i="21"/>
  <c r="E184" i="21"/>
  <c r="E185" i="21"/>
  <c r="E186" i="21"/>
  <c r="E187" i="21"/>
  <c r="E188" i="21"/>
  <c r="E189" i="21"/>
  <c r="E190" i="21"/>
  <c r="E191" i="21"/>
  <c r="E192" i="21"/>
  <c r="E193" i="21"/>
  <c r="E194" i="21"/>
  <c r="E195" i="21"/>
  <c r="E196" i="21"/>
  <c r="E197" i="21"/>
  <c r="E198" i="21"/>
  <c r="E199" i="21"/>
  <c r="E200" i="21"/>
  <c r="E201" i="21"/>
  <c r="E202" i="21"/>
  <c r="E203" i="21"/>
  <c r="E204" i="21"/>
  <c r="E205" i="21"/>
  <c r="E206" i="21"/>
  <c r="E207" i="21"/>
  <c r="E208" i="21"/>
  <c r="E209" i="21"/>
  <c r="E210" i="21"/>
  <c r="E211" i="21"/>
  <c r="E212" i="21"/>
  <c r="E213" i="21"/>
  <c r="E214" i="21"/>
  <c r="E215" i="21"/>
  <c r="E216" i="21"/>
  <c r="E217" i="21"/>
  <c r="E218" i="21"/>
  <c r="E219" i="21"/>
  <c r="E220" i="21"/>
  <c r="E221" i="21"/>
  <c r="E222" i="21"/>
  <c r="E223" i="21"/>
  <c r="E224" i="21"/>
  <c r="E225" i="21"/>
  <c r="E226" i="21"/>
  <c r="E227" i="21"/>
  <c r="E228" i="21"/>
  <c r="E229" i="21"/>
  <c r="E230" i="21"/>
  <c r="E231" i="21"/>
  <c r="E232" i="21"/>
  <c r="E233" i="21"/>
  <c r="E234" i="21"/>
  <c r="E235" i="21"/>
  <c r="E236" i="21"/>
  <c r="E237" i="21"/>
  <c r="E238" i="21"/>
  <c r="E239" i="21"/>
  <c r="E240" i="21"/>
  <c r="E241" i="21"/>
  <c r="E242" i="21"/>
  <c r="E243" i="21"/>
  <c r="E244" i="21"/>
  <c r="E245" i="21"/>
  <c r="E246" i="21"/>
  <c r="E247" i="21"/>
  <c r="E248" i="21"/>
  <c r="E249" i="21"/>
  <c r="E250" i="21"/>
  <c r="E251" i="21"/>
  <c r="E252" i="21"/>
  <c r="E253" i="21"/>
  <c r="E254" i="21"/>
  <c r="E255" i="21"/>
  <c r="E256" i="21"/>
  <c r="E257" i="21"/>
  <c r="E258" i="21"/>
  <c r="E259" i="21"/>
  <c r="E260" i="21"/>
  <c r="E261" i="21"/>
  <c r="E262" i="21"/>
  <c r="E263" i="21"/>
  <c r="E264" i="21"/>
  <c r="E265" i="21"/>
  <c r="E266" i="21"/>
  <c r="E267" i="21"/>
  <c r="E268" i="21"/>
  <c r="E269" i="21"/>
  <c r="E270" i="21"/>
  <c r="E271" i="21"/>
  <c r="E272" i="21"/>
  <c r="B20" i="39"/>
  <c r="F263" i="21"/>
  <c r="F264" i="21"/>
  <c r="F265" i="21"/>
  <c r="F266" i="21"/>
  <c r="F267" i="21"/>
  <c r="F268" i="21"/>
  <c r="F269" i="21"/>
  <c r="F270" i="21"/>
  <c r="F271" i="21"/>
  <c r="F272" i="21"/>
  <c r="K15" i="52"/>
  <c r="K14" i="52"/>
  <c r="K13" i="52"/>
  <c r="K12" i="52"/>
  <c r="K11" i="52"/>
  <c r="K10" i="52"/>
  <c r="K9" i="52"/>
  <c r="K8" i="52"/>
  <c r="K7" i="52"/>
  <c r="K6" i="52"/>
  <c r="M5" i="52"/>
  <c r="K5" i="52"/>
  <c r="B4" i="52"/>
  <c r="C3" i="52"/>
  <c r="D3" i="52" s="1"/>
  <c r="F252" i="21"/>
  <c r="F253" i="21"/>
  <c r="F254" i="21"/>
  <c r="F255" i="21"/>
  <c r="F256" i="21"/>
  <c r="F257" i="21"/>
  <c r="F258" i="21"/>
  <c r="F259" i="21"/>
  <c r="F260" i="21"/>
  <c r="F261" i="21"/>
  <c r="F262" i="21"/>
  <c r="M5" i="51"/>
  <c r="K15" i="51"/>
  <c r="K14" i="51"/>
  <c r="K13" i="51"/>
  <c r="K12" i="51"/>
  <c r="K11" i="51"/>
  <c r="K10" i="51"/>
  <c r="K9" i="51"/>
  <c r="K8" i="51"/>
  <c r="K7" i="51"/>
  <c r="K6" i="51"/>
  <c r="K5" i="51"/>
  <c r="B4" i="51"/>
  <c r="C3" i="51"/>
  <c r="D3" i="51" s="1"/>
  <c r="F241" i="21"/>
  <c r="F242" i="21"/>
  <c r="F243" i="21"/>
  <c r="F244" i="21"/>
  <c r="F245" i="21"/>
  <c r="F246" i="21"/>
  <c r="F247" i="21"/>
  <c r="F248" i="21"/>
  <c r="F249" i="21"/>
  <c r="F250" i="21"/>
  <c r="F251" i="21"/>
  <c r="K15" i="50"/>
  <c r="K14" i="50"/>
  <c r="K13" i="50"/>
  <c r="K12" i="50"/>
  <c r="K11" i="50"/>
  <c r="K10" i="50"/>
  <c r="K9" i="50"/>
  <c r="K8" i="50"/>
  <c r="K7" i="50"/>
  <c r="K6" i="50"/>
  <c r="M5" i="50"/>
  <c r="K5" i="50"/>
  <c r="B4" i="50"/>
  <c r="C3" i="50"/>
  <c r="D3" i="50" s="1"/>
  <c r="F240" i="21"/>
  <c r="F180" i="21"/>
  <c r="F67" i="21"/>
  <c r="F68" i="21"/>
  <c r="F69" i="21"/>
  <c r="F70" i="21"/>
  <c r="F71" i="21"/>
  <c r="F72" i="21"/>
  <c r="F73" i="21"/>
  <c r="F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F116" i="21"/>
  <c r="F117" i="21"/>
  <c r="F118" i="21"/>
  <c r="F119" i="21"/>
  <c r="F120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F135" i="21"/>
  <c r="F136" i="21"/>
  <c r="F137" i="21"/>
  <c r="F138" i="21"/>
  <c r="F139" i="21"/>
  <c r="F140" i="21"/>
  <c r="F141" i="21"/>
  <c r="F142" i="21"/>
  <c r="F143" i="21"/>
  <c r="F144" i="21"/>
  <c r="F145" i="21"/>
  <c r="F146" i="21"/>
  <c r="F147" i="21"/>
  <c r="F148" i="21"/>
  <c r="F149" i="21"/>
  <c r="F150" i="21"/>
  <c r="F151" i="21"/>
  <c r="F152" i="21"/>
  <c r="F153" i="21"/>
  <c r="F154" i="21"/>
  <c r="F155" i="21"/>
  <c r="F156" i="21"/>
  <c r="F157" i="21"/>
  <c r="F158" i="21"/>
  <c r="F159" i="21"/>
  <c r="F160" i="21"/>
  <c r="F161" i="21"/>
  <c r="F162" i="21"/>
  <c r="F163" i="21"/>
  <c r="F164" i="21"/>
  <c r="F165" i="21"/>
  <c r="F166" i="21"/>
  <c r="F167" i="21"/>
  <c r="F168" i="21"/>
  <c r="F169" i="21"/>
  <c r="F170" i="21"/>
  <c r="F171" i="21"/>
  <c r="F172" i="21"/>
  <c r="F173" i="21"/>
  <c r="F174" i="21"/>
  <c r="F175" i="21"/>
  <c r="F176" i="21"/>
  <c r="F177" i="21"/>
  <c r="F178" i="21"/>
  <c r="F179" i="21"/>
  <c r="F181" i="21"/>
  <c r="F182" i="21"/>
  <c r="F183" i="21"/>
  <c r="F184" i="21"/>
  <c r="F185" i="21"/>
  <c r="F186" i="21"/>
  <c r="F187" i="21"/>
  <c r="F188" i="21"/>
  <c r="F189" i="21"/>
  <c r="F190" i="21"/>
  <c r="F191" i="21"/>
  <c r="F192" i="21"/>
  <c r="F193" i="21"/>
  <c r="F194" i="21"/>
  <c r="F195" i="21"/>
  <c r="F196" i="21"/>
  <c r="F197" i="21"/>
  <c r="F198" i="21"/>
  <c r="F199" i="21"/>
  <c r="F200" i="21"/>
  <c r="F201" i="21"/>
  <c r="F202" i="21"/>
  <c r="F203" i="21"/>
  <c r="F204" i="21"/>
  <c r="F205" i="21"/>
  <c r="F206" i="21"/>
  <c r="F207" i="21"/>
  <c r="F208" i="21"/>
  <c r="F209" i="21"/>
  <c r="F210" i="21"/>
  <c r="F211" i="21"/>
  <c r="F212" i="21"/>
  <c r="F213" i="21"/>
  <c r="F214" i="21"/>
  <c r="F215" i="21"/>
  <c r="F216" i="21"/>
  <c r="F217" i="21"/>
  <c r="F218" i="21"/>
  <c r="F219" i="21"/>
  <c r="F220" i="21"/>
  <c r="F221" i="21"/>
  <c r="F222" i="21"/>
  <c r="F223" i="21"/>
  <c r="F224" i="21"/>
  <c r="F225" i="21"/>
  <c r="F226" i="21"/>
  <c r="F227" i="21"/>
  <c r="F228" i="21"/>
  <c r="F229" i="21"/>
  <c r="F230" i="21"/>
  <c r="F231" i="21"/>
  <c r="F232" i="21"/>
  <c r="F233" i="21"/>
  <c r="F234" i="21"/>
  <c r="F235" i="21"/>
  <c r="F236" i="21"/>
  <c r="F237" i="21"/>
  <c r="F238" i="21"/>
  <c r="F239" i="21"/>
  <c r="F66" i="21"/>
  <c r="K15" i="49"/>
  <c r="K14" i="49"/>
  <c r="K13" i="49"/>
  <c r="K12" i="49"/>
  <c r="K11" i="49"/>
  <c r="K10" i="49"/>
  <c r="K9" i="49"/>
  <c r="K8" i="49"/>
  <c r="K7" i="49"/>
  <c r="K6" i="49"/>
  <c r="M5" i="49"/>
  <c r="K5" i="49"/>
  <c r="B4" i="49"/>
  <c r="C3" i="49"/>
  <c r="D3" i="49" s="1"/>
  <c r="K15" i="48"/>
  <c r="K14" i="48"/>
  <c r="K13" i="48"/>
  <c r="K12" i="48"/>
  <c r="K11" i="48"/>
  <c r="K10" i="48"/>
  <c r="K9" i="48"/>
  <c r="K8" i="48"/>
  <c r="K7" i="48"/>
  <c r="K6" i="48"/>
  <c r="M5" i="48"/>
  <c r="K5" i="48"/>
  <c r="B4" i="48"/>
  <c r="C3" i="48"/>
  <c r="D3" i="48" s="1"/>
  <c r="K15" i="47"/>
  <c r="K14" i="47"/>
  <c r="K13" i="47"/>
  <c r="K12" i="47"/>
  <c r="K11" i="47"/>
  <c r="K10" i="47"/>
  <c r="K9" i="47"/>
  <c r="K8" i="47"/>
  <c r="K7" i="47"/>
  <c r="K6" i="47"/>
  <c r="M5" i="47"/>
  <c r="K5" i="47"/>
  <c r="K16" i="47" s="1"/>
  <c r="L15" i="47" s="1"/>
  <c r="B4" i="47"/>
  <c r="C3" i="47"/>
  <c r="D3" i="47" s="1"/>
  <c r="K15" i="46"/>
  <c r="K14" i="46"/>
  <c r="K13" i="46"/>
  <c r="K12" i="46"/>
  <c r="K11" i="46"/>
  <c r="K10" i="46"/>
  <c r="K9" i="46"/>
  <c r="K8" i="46"/>
  <c r="K7" i="46"/>
  <c r="K6" i="46"/>
  <c r="M5" i="46"/>
  <c r="K5" i="46"/>
  <c r="B4" i="46"/>
  <c r="C3" i="46"/>
  <c r="D3" i="46" s="1"/>
  <c r="K15" i="45"/>
  <c r="K14" i="45"/>
  <c r="K13" i="45"/>
  <c r="K12" i="45"/>
  <c r="K11" i="45"/>
  <c r="K10" i="45"/>
  <c r="K9" i="45"/>
  <c r="K8" i="45"/>
  <c r="K7" i="45"/>
  <c r="K6" i="45"/>
  <c r="M5" i="45"/>
  <c r="K5" i="45"/>
  <c r="B4" i="45"/>
  <c r="C3" i="45"/>
  <c r="D3" i="45" s="1"/>
  <c r="K15" i="44"/>
  <c r="C21" i="40"/>
  <c r="C22" i="40"/>
  <c r="C23" i="40"/>
  <c r="C24" i="40"/>
  <c r="C25" i="40"/>
  <c r="C26" i="40"/>
  <c r="C27" i="40"/>
  <c r="C28" i="40"/>
  <c r="C29" i="40"/>
  <c r="C30" i="40"/>
  <c r="C31" i="40"/>
  <c r="C20" i="40"/>
  <c r="B21" i="40"/>
  <c r="B22" i="40"/>
  <c r="B23" i="40"/>
  <c r="B24" i="40"/>
  <c r="B25" i="40"/>
  <c r="B26" i="40"/>
  <c r="B27" i="40"/>
  <c r="B28" i="40"/>
  <c r="B29" i="40"/>
  <c r="B30" i="40"/>
  <c r="B31" i="40"/>
  <c r="B20" i="40"/>
  <c r="C20" i="39"/>
  <c r="C21" i="39"/>
  <c r="C22" i="39"/>
  <c r="C23" i="39"/>
  <c r="C24" i="39"/>
  <c r="C25" i="39"/>
  <c r="C26" i="39"/>
  <c r="C27" i="39"/>
  <c r="C28" i="39"/>
  <c r="C19" i="39"/>
  <c r="B21" i="39"/>
  <c r="B22" i="39"/>
  <c r="B23" i="39"/>
  <c r="B24" i="39"/>
  <c r="B25" i="39"/>
  <c r="B26" i="39"/>
  <c r="B27" i="39"/>
  <c r="B28" i="39"/>
  <c r="B19" i="39"/>
  <c r="K14" i="44"/>
  <c r="K13" i="44"/>
  <c r="K12" i="44"/>
  <c r="K11" i="44"/>
  <c r="K10" i="44"/>
  <c r="K9" i="44"/>
  <c r="K8" i="44"/>
  <c r="K7" i="44"/>
  <c r="K6" i="44"/>
  <c r="M5" i="44"/>
  <c r="K5" i="44"/>
  <c r="B4" i="44"/>
  <c r="C3" i="44"/>
  <c r="D3" i="44" s="1"/>
  <c r="M5" i="43"/>
  <c r="K14" i="43"/>
  <c r="K13" i="43"/>
  <c r="K12" i="43"/>
  <c r="K11" i="43"/>
  <c r="K10" i="43"/>
  <c r="K9" i="43"/>
  <c r="K8" i="43"/>
  <c r="K7" i="43"/>
  <c r="K6" i="43"/>
  <c r="K5" i="43"/>
  <c r="B4" i="43"/>
  <c r="C3" i="43"/>
  <c r="C4" i="43" s="1"/>
  <c r="K13" i="12"/>
  <c r="K14" i="42"/>
  <c r="K13" i="42"/>
  <c r="K12" i="42"/>
  <c r="K11" i="42"/>
  <c r="K10" i="42"/>
  <c r="K9" i="42"/>
  <c r="K8" i="42"/>
  <c r="K7" i="42"/>
  <c r="K6" i="42"/>
  <c r="K5" i="42"/>
  <c r="K15" i="42" s="1"/>
  <c r="L14" i="42" s="1"/>
  <c r="B4" i="42"/>
  <c r="C3" i="42"/>
  <c r="C4" i="42" s="1"/>
  <c r="K5" i="11"/>
  <c r="K14" i="20"/>
  <c r="K13" i="20"/>
  <c r="K12" i="20"/>
  <c r="K11" i="20"/>
  <c r="K10" i="20"/>
  <c r="K9" i="20"/>
  <c r="K8" i="20"/>
  <c r="K7" i="20"/>
  <c r="K6" i="20"/>
  <c r="K5" i="20"/>
  <c r="K15" i="20" s="1"/>
  <c r="B4" i="20"/>
  <c r="C3" i="20"/>
  <c r="K13" i="19"/>
  <c r="S11" i="3" s="1"/>
  <c r="K12" i="19"/>
  <c r="S10" i="3" s="1"/>
  <c r="K11" i="19"/>
  <c r="S9" i="3" s="1"/>
  <c r="K10" i="19"/>
  <c r="S8" i="3" s="1"/>
  <c r="K9" i="19"/>
  <c r="S7" i="3" s="1"/>
  <c r="K8" i="19"/>
  <c r="S6" i="3" s="1"/>
  <c r="K7" i="19"/>
  <c r="S5" i="3" s="1"/>
  <c r="K6" i="19"/>
  <c r="S4" i="3" s="1"/>
  <c r="K5" i="19"/>
  <c r="B4" i="19"/>
  <c r="C3" i="19"/>
  <c r="K13" i="18"/>
  <c r="R11" i="3" s="1"/>
  <c r="K12" i="18"/>
  <c r="R10" i="3" s="1"/>
  <c r="K11" i="18"/>
  <c r="R9" i="3" s="1"/>
  <c r="K10" i="18"/>
  <c r="R8" i="3" s="1"/>
  <c r="K9" i="18"/>
  <c r="R7" i="3" s="1"/>
  <c r="K8" i="18"/>
  <c r="R6" i="3" s="1"/>
  <c r="K7" i="18"/>
  <c r="R5" i="3" s="1"/>
  <c r="K6" i="18"/>
  <c r="R4" i="3" s="1"/>
  <c r="K5" i="18"/>
  <c r="B4" i="18"/>
  <c r="C3" i="18"/>
  <c r="K13" i="17"/>
  <c r="Q11" i="3" s="1"/>
  <c r="K12" i="17"/>
  <c r="Q10" i="3" s="1"/>
  <c r="K11" i="17"/>
  <c r="Q9" i="3" s="1"/>
  <c r="K10" i="17"/>
  <c r="Q8" i="3" s="1"/>
  <c r="K9" i="17"/>
  <c r="Q7" i="3" s="1"/>
  <c r="K8" i="17"/>
  <c r="Q6" i="3" s="1"/>
  <c r="K7" i="17"/>
  <c r="Q5" i="3" s="1"/>
  <c r="K6" i="17"/>
  <c r="Q4" i="3" s="1"/>
  <c r="K5" i="17"/>
  <c r="Q3" i="3" s="1"/>
  <c r="B4" i="17"/>
  <c r="C3" i="17"/>
  <c r="K13" i="16"/>
  <c r="O11" i="3" s="1"/>
  <c r="K12" i="16"/>
  <c r="O10" i="3" s="1"/>
  <c r="K11" i="16"/>
  <c r="O9" i="3" s="1"/>
  <c r="K10" i="16"/>
  <c r="O8" i="3" s="1"/>
  <c r="K9" i="16"/>
  <c r="O7" i="3" s="1"/>
  <c r="K8" i="16"/>
  <c r="O6" i="3" s="1"/>
  <c r="K7" i="16"/>
  <c r="O5" i="3" s="1"/>
  <c r="K6" i="16"/>
  <c r="O4" i="3" s="1"/>
  <c r="K5" i="16"/>
  <c r="O3" i="3" s="1"/>
  <c r="B4" i="16"/>
  <c r="C3" i="16"/>
  <c r="K13" i="15"/>
  <c r="N11" i="3" s="1"/>
  <c r="K12" i="15"/>
  <c r="N10" i="3" s="1"/>
  <c r="K11" i="15"/>
  <c r="N9" i="3" s="1"/>
  <c r="K10" i="15"/>
  <c r="N8" i="3" s="1"/>
  <c r="K9" i="15"/>
  <c r="N7" i="3" s="1"/>
  <c r="K8" i="15"/>
  <c r="N6" i="3" s="1"/>
  <c r="K7" i="15"/>
  <c r="N5" i="3" s="1"/>
  <c r="K6" i="15"/>
  <c r="N4" i="3" s="1"/>
  <c r="K5" i="15"/>
  <c r="N3" i="3" s="1"/>
  <c r="B4" i="15"/>
  <c r="C3" i="15"/>
  <c r="K13" i="14"/>
  <c r="M11" i="3" s="1"/>
  <c r="K12" i="14"/>
  <c r="M10" i="3" s="1"/>
  <c r="K11" i="14"/>
  <c r="M9" i="3" s="1"/>
  <c r="K10" i="14"/>
  <c r="M8" i="3" s="1"/>
  <c r="K9" i="14"/>
  <c r="M7" i="3" s="1"/>
  <c r="K8" i="14"/>
  <c r="M6" i="3" s="1"/>
  <c r="K7" i="14"/>
  <c r="M5" i="3" s="1"/>
  <c r="K6" i="14"/>
  <c r="M4" i="3" s="1"/>
  <c r="K5" i="14"/>
  <c r="M3" i="3" s="1"/>
  <c r="B4" i="14"/>
  <c r="C3" i="14"/>
  <c r="C4" i="14" s="1"/>
  <c r="K13" i="13"/>
  <c r="L11" i="3" s="1"/>
  <c r="K12" i="13"/>
  <c r="L10" i="3" s="1"/>
  <c r="K11" i="13"/>
  <c r="L9" i="3" s="1"/>
  <c r="K10" i="13"/>
  <c r="L8" i="3" s="1"/>
  <c r="K9" i="13"/>
  <c r="L7" i="3" s="1"/>
  <c r="K8" i="13"/>
  <c r="L6" i="3" s="1"/>
  <c r="K7" i="13"/>
  <c r="L5" i="3" s="1"/>
  <c r="K6" i="13"/>
  <c r="L4" i="3" s="1"/>
  <c r="K5" i="13"/>
  <c r="L3" i="3" s="1"/>
  <c r="B4" i="13"/>
  <c r="C3" i="13"/>
  <c r="C4" i="13" s="1"/>
  <c r="K6" i="12"/>
  <c r="K4" i="3" s="1"/>
  <c r="K7" i="12"/>
  <c r="K5" i="3" s="1"/>
  <c r="K8" i="12"/>
  <c r="K6" i="3" s="1"/>
  <c r="K9" i="12"/>
  <c r="K7" i="3" s="1"/>
  <c r="K10" i="12"/>
  <c r="K8" i="3" s="1"/>
  <c r="K11" i="12"/>
  <c r="K9" i="3" s="1"/>
  <c r="K12" i="12"/>
  <c r="K10" i="3" s="1"/>
  <c r="K5" i="12"/>
  <c r="K3" i="3" l="1"/>
  <c r="K14" i="12"/>
  <c r="R3" i="3"/>
  <c r="K14" i="18"/>
  <c r="S3" i="3"/>
  <c r="K14" i="19"/>
  <c r="L11" i="57"/>
  <c r="L6" i="57"/>
  <c r="L8" i="57"/>
  <c r="L9" i="57"/>
  <c r="L8" i="59"/>
  <c r="L14" i="59"/>
  <c r="L7" i="59"/>
  <c r="L15" i="59"/>
  <c r="L17" i="68"/>
  <c r="L5" i="72"/>
  <c r="L11" i="72"/>
  <c r="L9" i="72"/>
  <c r="L16" i="72"/>
  <c r="L13" i="72"/>
  <c r="F3" i="72"/>
  <c r="E4" i="72"/>
  <c r="L12" i="71"/>
  <c r="L8" i="71"/>
  <c r="L10" i="71"/>
  <c r="L9" i="71"/>
  <c r="L5" i="71"/>
  <c r="L11" i="71"/>
  <c r="L15" i="71"/>
  <c r="L14" i="71"/>
  <c r="L7" i="71"/>
  <c r="L6" i="71"/>
  <c r="L16" i="71"/>
  <c r="F3" i="71"/>
  <c r="E4" i="71"/>
  <c r="L10" i="70"/>
  <c r="L15" i="70"/>
  <c r="L9" i="70"/>
  <c r="L7" i="70"/>
  <c r="L12" i="70"/>
  <c r="L14" i="70"/>
  <c r="L8" i="70"/>
  <c r="L13" i="70"/>
  <c r="F3" i="70"/>
  <c r="E4" i="70"/>
  <c r="L9" i="69"/>
  <c r="L15" i="69"/>
  <c r="L14" i="69"/>
  <c r="L7" i="69"/>
  <c r="L6" i="69"/>
  <c r="L12" i="69"/>
  <c r="L10" i="69"/>
  <c r="L11" i="69"/>
  <c r="F3" i="69"/>
  <c r="E4" i="69"/>
  <c r="L8" i="68"/>
  <c r="L6" i="68"/>
  <c r="L12" i="68"/>
  <c r="L5" i="68"/>
  <c r="L13" i="68"/>
  <c r="L16" i="68"/>
  <c r="L9" i="68"/>
  <c r="L15" i="68"/>
  <c r="L11" i="68"/>
  <c r="L7" i="68"/>
  <c r="L10" i="68"/>
  <c r="F3" i="68"/>
  <c r="E4" i="68"/>
  <c r="L7" i="67"/>
  <c r="L6" i="67"/>
  <c r="L12" i="67"/>
  <c r="L13" i="67"/>
  <c r="L15" i="67"/>
  <c r="L5" i="67"/>
  <c r="L11" i="67"/>
  <c r="L14" i="67"/>
  <c r="L9" i="67"/>
  <c r="L16" i="67"/>
  <c r="L10" i="67"/>
  <c r="F3" i="67"/>
  <c r="E4" i="67"/>
  <c r="L9" i="66"/>
  <c r="L16" i="66"/>
  <c r="L13" i="66"/>
  <c r="L8" i="66"/>
  <c r="L5" i="66"/>
  <c r="L15" i="66"/>
  <c r="L10" i="66"/>
  <c r="L12" i="66"/>
  <c r="L7" i="66"/>
  <c r="L14" i="66"/>
  <c r="L6" i="66"/>
  <c r="F3" i="66"/>
  <c r="E4" i="66"/>
  <c r="L6" i="65"/>
  <c r="L16" i="65"/>
  <c r="L7" i="65"/>
  <c r="L8" i="65"/>
  <c r="L14" i="65"/>
  <c r="L10" i="65"/>
  <c r="L13" i="65"/>
  <c r="L11" i="65"/>
  <c r="L12" i="65"/>
  <c r="L15" i="65"/>
  <c r="L9" i="65"/>
  <c r="F3" i="65"/>
  <c r="E4" i="65"/>
  <c r="L7" i="64"/>
  <c r="L16" i="64"/>
  <c r="L14" i="64"/>
  <c r="L12" i="64"/>
  <c r="L11" i="64"/>
  <c r="L6" i="64"/>
  <c r="L5" i="64"/>
  <c r="L10" i="64"/>
  <c r="L9" i="64"/>
  <c r="L8" i="64"/>
  <c r="L13" i="64"/>
  <c r="F3" i="64"/>
  <c r="E4" i="64"/>
  <c r="L8" i="63"/>
  <c r="L7" i="63"/>
  <c r="L6" i="63"/>
  <c r="L15" i="63"/>
  <c r="L14" i="63"/>
  <c r="L13" i="63"/>
  <c r="L12" i="63"/>
  <c r="L10" i="63"/>
  <c r="L11" i="63"/>
  <c r="L9" i="63"/>
  <c r="F3" i="63"/>
  <c r="E4" i="63"/>
  <c r="L7" i="62"/>
  <c r="L14" i="62"/>
  <c r="L6" i="62"/>
  <c r="L13" i="62"/>
  <c r="L9" i="62"/>
  <c r="L5" i="62"/>
  <c r="L11" i="62"/>
  <c r="L15" i="62"/>
  <c r="L10" i="62"/>
  <c r="L8" i="62"/>
  <c r="F3" i="62"/>
  <c r="E4" i="62"/>
  <c r="L14" i="61"/>
  <c r="L6" i="61"/>
  <c r="L8" i="61"/>
  <c r="L12" i="61"/>
  <c r="L15" i="61"/>
  <c r="L11" i="61"/>
  <c r="L9" i="61"/>
  <c r="L13" i="61"/>
  <c r="L5" i="61"/>
  <c r="L7" i="61"/>
  <c r="F3" i="61"/>
  <c r="E4" i="61"/>
  <c r="L12" i="60"/>
  <c r="L9" i="60"/>
  <c r="L15" i="60"/>
  <c r="L13" i="60"/>
  <c r="L11" i="60"/>
  <c r="L10" i="60"/>
  <c r="L5" i="60"/>
  <c r="L14" i="60"/>
  <c r="L6" i="60"/>
  <c r="L7" i="60"/>
  <c r="F3" i="60"/>
  <c r="E4" i="60"/>
  <c r="L10" i="59"/>
  <c r="L5" i="59"/>
  <c r="L11" i="59"/>
  <c r="L13" i="59"/>
  <c r="L9" i="59"/>
  <c r="L6" i="59"/>
  <c r="L12" i="59"/>
  <c r="F3" i="59"/>
  <c r="E4" i="59"/>
  <c r="L11" i="58"/>
  <c r="L5" i="58"/>
  <c r="L10" i="58"/>
  <c r="L14" i="58"/>
  <c r="L9" i="58"/>
  <c r="L7" i="58"/>
  <c r="L13" i="58"/>
  <c r="L15" i="58"/>
  <c r="L6" i="58"/>
  <c r="F3" i="58"/>
  <c r="E4" i="58"/>
  <c r="L14" i="57"/>
  <c r="L13" i="57"/>
  <c r="L12" i="57"/>
  <c r="L5" i="57"/>
  <c r="F3" i="57"/>
  <c r="E4" i="57"/>
  <c r="K16" i="56"/>
  <c r="L5" i="56" s="1"/>
  <c r="C4" i="56"/>
  <c r="D4" i="56"/>
  <c r="E3" i="56"/>
  <c r="K16" i="55"/>
  <c r="L10" i="55" s="1"/>
  <c r="C4" i="55"/>
  <c r="E3" i="55"/>
  <c r="D4" i="55"/>
  <c r="C4" i="54"/>
  <c r="K16" i="54"/>
  <c r="L15" i="54" s="1"/>
  <c r="E3" i="54"/>
  <c r="D4" i="54"/>
  <c r="K16" i="53"/>
  <c r="L7" i="53" s="1"/>
  <c r="C4" i="53"/>
  <c r="E3" i="53"/>
  <c r="D4" i="53"/>
  <c r="K16" i="52"/>
  <c r="L12" i="52" s="1"/>
  <c r="E3" i="52"/>
  <c r="D4" i="52"/>
  <c r="C4" i="52"/>
  <c r="K16" i="51"/>
  <c r="L6" i="51" s="1"/>
  <c r="L14" i="51"/>
  <c r="E3" i="51"/>
  <c r="D4" i="51"/>
  <c r="C4" i="51"/>
  <c r="K16" i="50"/>
  <c r="L9" i="50" s="1"/>
  <c r="E3" i="50"/>
  <c r="D4" i="50"/>
  <c r="C4" i="50"/>
  <c r="K16" i="49"/>
  <c r="L5" i="49" s="1"/>
  <c r="E3" i="49"/>
  <c r="D4" i="49"/>
  <c r="C4" i="49"/>
  <c r="K16" i="48"/>
  <c r="L12" i="48" s="1"/>
  <c r="E3" i="48"/>
  <c r="D4" i="48"/>
  <c r="C4" i="48"/>
  <c r="L12" i="47"/>
  <c r="E3" i="47"/>
  <c r="D4" i="47"/>
  <c r="C4" i="47"/>
  <c r="K16" i="46"/>
  <c r="L13" i="46" s="1"/>
  <c r="C4" i="46"/>
  <c r="E3" i="46"/>
  <c r="D4" i="46"/>
  <c r="K16" i="45"/>
  <c r="L7" i="45" s="1"/>
  <c r="C4" i="45"/>
  <c r="E3" i="45"/>
  <c r="D4" i="45"/>
  <c r="C32" i="40"/>
  <c r="D31" i="40" s="1"/>
  <c r="C29" i="39"/>
  <c r="D27" i="39" s="1"/>
  <c r="K16" i="44"/>
  <c r="L7" i="44" s="1"/>
  <c r="E3" i="44"/>
  <c r="D4" i="44"/>
  <c r="C4" i="44"/>
  <c r="D3" i="43"/>
  <c r="D4" i="43" s="1"/>
  <c r="K15" i="43"/>
  <c r="L11" i="43" s="1"/>
  <c r="L13" i="12"/>
  <c r="K11" i="3"/>
  <c r="U11" i="3" s="1"/>
  <c r="L7" i="42"/>
  <c r="D3" i="42"/>
  <c r="D4" i="42" s="1"/>
  <c r="C4" i="20"/>
  <c r="D3" i="20"/>
  <c r="L14" i="20"/>
  <c r="C4" i="19"/>
  <c r="D3" i="19"/>
  <c r="L5" i="19"/>
  <c r="L6" i="19"/>
  <c r="L7" i="19"/>
  <c r="L8" i="19"/>
  <c r="L9" i="19"/>
  <c r="L10" i="19"/>
  <c r="L11" i="19"/>
  <c r="L12" i="19"/>
  <c r="L13" i="19"/>
  <c r="C4" i="18"/>
  <c r="D3" i="18"/>
  <c r="L5" i="18"/>
  <c r="L6" i="18"/>
  <c r="L7" i="18"/>
  <c r="L8" i="18"/>
  <c r="L9" i="18"/>
  <c r="L10" i="18"/>
  <c r="L11" i="18"/>
  <c r="L12" i="18"/>
  <c r="L13" i="18"/>
  <c r="C4" i="17"/>
  <c r="D3" i="17"/>
  <c r="K14" i="17"/>
  <c r="L6" i="17" s="1"/>
  <c r="L5" i="17"/>
  <c r="L9" i="17"/>
  <c r="L13" i="17"/>
  <c r="C4" i="16"/>
  <c r="D3" i="16"/>
  <c r="K14" i="16"/>
  <c r="L5" i="16"/>
  <c r="L6" i="16"/>
  <c r="L7" i="16"/>
  <c r="L8" i="16"/>
  <c r="L9" i="16"/>
  <c r="L10" i="16"/>
  <c r="L11" i="16"/>
  <c r="L12" i="16"/>
  <c r="L13" i="16"/>
  <c r="C4" i="15"/>
  <c r="D3" i="15"/>
  <c r="K14" i="15"/>
  <c r="L5" i="15"/>
  <c r="L6" i="15"/>
  <c r="L7" i="15"/>
  <c r="L8" i="15"/>
  <c r="L9" i="15"/>
  <c r="L10" i="15"/>
  <c r="L11" i="15"/>
  <c r="L12" i="15"/>
  <c r="L13" i="15"/>
  <c r="K14" i="14"/>
  <c r="L11" i="14" s="1"/>
  <c r="L12" i="14"/>
  <c r="L9" i="14"/>
  <c r="D3" i="14"/>
  <c r="L5" i="14"/>
  <c r="K14" i="13"/>
  <c r="L7" i="13" s="1"/>
  <c r="D3" i="13"/>
  <c r="B4" i="12"/>
  <c r="C3" i="12"/>
  <c r="K12" i="11"/>
  <c r="J10" i="3" s="1"/>
  <c r="K11" i="11"/>
  <c r="J9" i="3" s="1"/>
  <c r="K10" i="11"/>
  <c r="J8" i="3" s="1"/>
  <c r="K9" i="11"/>
  <c r="J7" i="3" s="1"/>
  <c r="K8" i="11"/>
  <c r="J6" i="3" s="1"/>
  <c r="K7" i="11"/>
  <c r="J5" i="3" s="1"/>
  <c r="K6" i="11"/>
  <c r="J4" i="3" s="1"/>
  <c r="J3" i="3"/>
  <c r="B4" i="11"/>
  <c r="C3" i="11"/>
  <c r="G3" i="72" l="1"/>
  <c r="F4" i="72"/>
  <c r="G3" i="71"/>
  <c r="F4" i="71"/>
  <c r="G3" i="70"/>
  <c r="F4" i="70"/>
  <c r="F4" i="69"/>
  <c r="G3" i="69"/>
  <c r="G3" i="68"/>
  <c r="F4" i="68"/>
  <c r="G3" i="67"/>
  <c r="F4" i="67"/>
  <c r="G3" i="66"/>
  <c r="F4" i="66"/>
  <c r="G3" i="65"/>
  <c r="F4" i="65"/>
  <c r="G3" i="64"/>
  <c r="F4" i="64"/>
  <c r="G3" i="63"/>
  <c r="F4" i="63"/>
  <c r="G3" i="62"/>
  <c r="F4" i="62"/>
  <c r="F4" i="61"/>
  <c r="G3" i="61"/>
  <c r="F4" i="60"/>
  <c r="G3" i="60"/>
  <c r="F4" i="59"/>
  <c r="G3" i="59"/>
  <c r="G3" i="58"/>
  <c r="F4" i="58"/>
  <c r="G3" i="57"/>
  <c r="F4" i="57"/>
  <c r="L14" i="56"/>
  <c r="L12" i="56"/>
  <c r="L15" i="56"/>
  <c r="L6" i="56"/>
  <c r="L7" i="56"/>
  <c r="L10" i="56"/>
  <c r="L11" i="56"/>
  <c r="L13" i="56"/>
  <c r="L9" i="56"/>
  <c r="L8" i="56"/>
  <c r="F3" i="56"/>
  <c r="E4" i="56"/>
  <c r="L8" i="55"/>
  <c r="L15" i="55"/>
  <c r="L5" i="55"/>
  <c r="L11" i="55"/>
  <c r="L13" i="55"/>
  <c r="L12" i="55"/>
  <c r="L6" i="55"/>
  <c r="L9" i="55"/>
  <c r="L14" i="55"/>
  <c r="L7" i="55"/>
  <c r="F3" i="55"/>
  <c r="E4" i="55"/>
  <c r="L5" i="54"/>
  <c r="L13" i="54"/>
  <c r="L8" i="54"/>
  <c r="L7" i="54"/>
  <c r="L11" i="54"/>
  <c r="L14" i="54"/>
  <c r="L10" i="54"/>
  <c r="L6" i="54"/>
  <c r="L9" i="54"/>
  <c r="L12" i="54"/>
  <c r="F3" i="54"/>
  <c r="E4" i="54"/>
  <c r="L14" i="53"/>
  <c r="L12" i="53"/>
  <c r="L5" i="53"/>
  <c r="L13" i="53"/>
  <c r="L11" i="53"/>
  <c r="L9" i="53"/>
  <c r="L8" i="53"/>
  <c r="L15" i="53"/>
  <c r="L6" i="53"/>
  <c r="L10" i="53"/>
  <c r="F3" i="53"/>
  <c r="E4" i="53"/>
  <c r="L14" i="52"/>
  <c r="L10" i="52"/>
  <c r="L7" i="52"/>
  <c r="L8" i="52"/>
  <c r="L6" i="52"/>
  <c r="L9" i="52"/>
  <c r="L13" i="52"/>
  <c r="L11" i="52"/>
  <c r="L5" i="52"/>
  <c r="L15" i="52"/>
  <c r="F3" i="52"/>
  <c r="E4" i="52"/>
  <c r="L12" i="51"/>
  <c r="L11" i="51"/>
  <c r="L10" i="51"/>
  <c r="L15" i="51"/>
  <c r="L13" i="51"/>
  <c r="L8" i="51"/>
  <c r="L5" i="51"/>
  <c r="L7" i="51"/>
  <c r="L9" i="51"/>
  <c r="F3" i="51"/>
  <c r="E4" i="51"/>
  <c r="L15" i="50"/>
  <c r="L8" i="50"/>
  <c r="L7" i="50"/>
  <c r="L11" i="50"/>
  <c r="L6" i="50"/>
  <c r="L13" i="50"/>
  <c r="L12" i="50"/>
  <c r="L10" i="50"/>
  <c r="L5" i="50"/>
  <c r="L14" i="50"/>
  <c r="F3" i="50"/>
  <c r="E4" i="50"/>
  <c r="L6" i="49"/>
  <c r="L7" i="49"/>
  <c r="L10" i="49"/>
  <c r="L8" i="49"/>
  <c r="L14" i="49"/>
  <c r="L13" i="49"/>
  <c r="L12" i="49"/>
  <c r="L11" i="49"/>
  <c r="L15" i="49"/>
  <c r="L9" i="49"/>
  <c r="F3" i="49"/>
  <c r="E4" i="49"/>
  <c r="L8" i="48"/>
  <c r="L7" i="48"/>
  <c r="L13" i="48"/>
  <c r="L15" i="48"/>
  <c r="L6" i="48"/>
  <c r="L5" i="48"/>
  <c r="L11" i="48"/>
  <c r="L10" i="48"/>
  <c r="L14" i="48"/>
  <c r="L9" i="48"/>
  <c r="F3" i="48"/>
  <c r="E4" i="48"/>
  <c r="L14" i="47"/>
  <c r="L10" i="47"/>
  <c r="L6" i="47"/>
  <c r="L8" i="47"/>
  <c r="L13" i="47"/>
  <c r="L7" i="47"/>
  <c r="L5" i="47"/>
  <c r="L11" i="47"/>
  <c r="L9" i="47"/>
  <c r="F3" i="47"/>
  <c r="E4" i="47"/>
  <c r="L6" i="46"/>
  <c r="L12" i="46"/>
  <c r="L8" i="46"/>
  <c r="L14" i="46"/>
  <c r="L9" i="46"/>
  <c r="L5" i="46"/>
  <c r="L15" i="46"/>
  <c r="L10" i="46"/>
  <c r="L7" i="46"/>
  <c r="L11" i="46"/>
  <c r="F3" i="46"/>
  <c r="E4" i="46"/>
  <c r="L11" i="45"/>
  <c r="L5" i="45"/>
  <c r="L10" i="45"/>
  <c r="L12" i="45"/>
  <c r="L9" i="45"/>
  <c r="L6" i="45"/>
  <c r="L15" i="45"/>
  <c r="L13" i="45"/>
  <c r="L14" i="45"/>
  <c r="L8" i="45"/>
  <c r="F3" i="45"/>
  <c r="E4" i="45"/>
  <c r="L15" i="44"/>
  <c r="L14" i="44"/>
  <c r="L10" i="44"/>
  <c r="L5" i="44"/>
  <c r="L6" i="44"/>
  <c r="L13" i="44"/>
  <c r="L8" i="44"/>
  <c r="L11" i="44"/>
  <c r="L12" i="44"/>
  <c r="L9" i="44"/>
  <c r="D24" i="40"/>
  <c r="D21" i="40"/>
  <c r="D29" i="40"/>
  <c r="D20" i="40"/>
  <c r="D28" i="40"/>
  <c r="D25" i="40"/>
  <c r="D30" i="40"/>
  <c r="D23" i="40"/>
  <c r="D26" i="40"/>
  <c r="D22" i="40"/>
  <c r="D27" i="40"/>
  <c r="D19" i="39"/>
  <c r="D20" i="39"/>
  <c r="D21" i="39"/>
  <c r="D25" i="39"/>
  <c r="D26" i="39"/>
  <c r="D22" i="39"/>
  <c r="D24" i="39"/>
  <c r="D23" i="39"/>
  <c r="D28" i="39"/>
  <c r="E4" i="44"/>
  <c r="F3" i="44"/>
  <c r="L5" i="43"/>
  <c r="L7" i="43"/>
  <c r="L8" i="43"/>
  <c r="L14" i="43"/>
  <c r="E3" i="43"/>
  <c r="E4" i="43" s="1"/>
  <c r="L6" i="43"/>
  <c r="L13" i="43"/>
  <c r="L12" i="43"/>
  <c r="L10" i="43"/>
  <c r="L9" i="43"/>
  <c r="L11" i="42"/>
  <c r="L13" i="42"/>
  <c r="L10" i="42"/>
  <c r="L12" i="42"/>
  <c r="L8" i="42"/>
  <c r="L5" i="42"/>
  <c r="L9" i="42"/>
  <c r="L6" i="42"/>
  <c r="E3" i="42"/>
  <c r="F3" i="42" s="1"/>
  <c r="L13" i="20"/>
  <c r="L8" i="20"/>
  <c r="L12" i="20"/>
  <c r="L5" i="20"/>
  <c r="L6" i="20"/>
  <c r="L7" i="20"/>
  <c r="L11" i="20"/>
  <c r="L10" i="20"/>
  <c r="L9" i="20"/>
  <c r="D4" i="20"/>
  <c r="E3" i="20"/>
  <c r="D4" i="19"/>
  <c r="E3" i="19"/>
  <c r="D4" i="18"/>
  <c r="E3" i="18"/>
  <c r="L11" i="17"/>
  <c r="L7" i="17"/>
  <c r="L12" i="17"/>
  <c r="L8" i="17"/>
  <c r="L10" i="17"/>
  <c r="D4" i="17"/>
  <c r="E3" i="17"/>
  <c r="D4" i="16"/>
  <c r="E3" i="16"/>
  <c r="D4" i="15"/>
  <c r="E3" i="15"/>
  <c r="C4" i="11"/>
  <c r="D3" i="11"/>
  <c r="D4" i="11" s="1"/>
  <c r="D3" i="12"/>
  <c r="D4" i="12" s="1"/>
  <c r="C4" i="12"/>
  <c r="L6" i="14"/>
  <c r="L7" i="14"/>
  <c r="L8" i="14"/>
  <c r="L13" i="14"/>
  <c r="L10" i="14"/>
  <c r="E3" i="14"/>
  <c r="D4" i="14"/>
  <c r="L13" i="13"/>
  <c r="L10" i="13"/>
  <c r="L9" i="13"/>
  <c r="L12" i="13"/>
  <c r="L6" i="13"/>
  <c r="L11" i="13"/>
  <c r="L5" i="13"/>
  <c r="L8" i="13"/>
  <c r="D4" i="13"/>
  <c r="E3" i="13"/>
  <c r="L7" i="12"/>
  <c r="E3" i="12"/>
  <c r="K13" i="11"/>
  <c r="E3" i="11"/>
  <c r="E4" i="11" s="1"/>
  <c r="F3" i="11"/>
  <c r="H3" i="72" l="1"/>
  <c r="H4" i="72" s="1"/>
  <c r="G4" i="72"/>
  <c r="G4" i="71"/>
  <c r="H3" i="71"/>
  <c r="H4" i="71" s="1"/>
  <c r="G4" i="70"/>
  <c r="H3" i="70"/>
  <c r="H4" i="70" s="1"/>
  <c r="G4" i="69"/>
  <c r="H3" i="69"/>
  <c r="H4" i="69" s="1"/>
  <c r="H3" i="68"/>
  <c r="H4" i="68" s="1"/>
  <c r="G4" i="68"/>
  <c r="H3" i="67"/>
  <c r="H4" i="67" s="1"/>
  <c r="G4" i="67"/>
  <c r="H3" i="66"/>
  <c r="H4" i="66" s="1"/>
  <c r="G4" i="66"/>
  <c r="H3" i="65"/>
  <c r="H4" i="65" s="1"/>
  <c r="G4" i="65"/>
  <c r="G4" i="64"/>
  <c r="H3" i="64"/>
  <c r="H4" i="64" s="1"/>
  <c r="G4" i="63"/>
  <c r="H3" i="63"/>
  <c r="H4" i="63" s="1"/>
  <c r="G4" i="62"/>
  <c r="H3" i="62"/>
  <c r="H4" i="62" s="1"/>
  <c r="G4" i="61"/>
  <c r="H3" i="61"/>
  <c r="H4" i="61" s="1"/>
  <c r="G4" i="60"/>
  <c r="H3" i="60"/>
  <c r="H4" i="60" s="1"/>
  <c r="G4" i="59"/>
  <c r="H3" i="59"/>
  <c r="H4" i="59" s="1"/>
  <c r="G4" i="58"/>
  <c r="H3" i="58"/>
  <c r="H4" i="58" s="1"/>
  <c r="G4" i="57"/>
  <c r="H3" i="57"/>
  <c r="H4" i="57" s="1"/>
  <c r="G3" i="56"/>
  <c r="F4" i="56"/>
  <c r="G3" i="55"/>
  <c r="F4" i="55"/>
  <c r="G3" i="54"/>
  <c r="F4" i="54"/>
  <c r="G3" i="53"/>
  <c r="F4" i="53"/>
  <c r="G3" i="52"/>
  <c r="F4" i="52"/>
  <c r="F4" i="51"/>
  <c r="G3" i="51"/>
  <c r="F4" i="50"/>
  <c r="G3" i="50"/>
  <c r="F4" i="49"/>
  <c r="G3" i="49"/>
  <c r="G3" i="48"/>
  <c r="F4" i="48"/>
  <c r="F4" i="47"/>
  <c r="G3" i="47"/>
  <c r="F4" i="46"/>
  <c r="G3" i="46"/>
  <c r="G3" i="45"/>
  <c r="F4" i="45"/>
  <c r="F4" i="44"/>
  <c r="G3" i="44"/>
  <c r="F3" i="43"/>
  <c r="G3" i="43" s="1"/>
  <c r="F4" i="43"/>
  <c r="E4" i="42"/>
  <c r="G3" i="42"/>
  <c r="F4" i="42"/>
  <c r="L12" i="11"/>
  <c r="L5" i="11"/>
  <c r="L6" i="11"/>
  <c r="L11" i="11"/>
  <c r="L10" i="11"/>
  <c r="L7" i="11"/>
  <c r="L9" i="11"/>
  <c r="L8" i="11"/>
  <c r="E4" i="20"/>
  <c r="F3" i="20"/>
  <c r="E4" i="19"/>
  <c r="F3" i="19"/>
  <c r="E4" i="18"/>
  <c r="F3" i="18"/>
  <c r="E4" i="17"/>
  <c r="F3" i="17"/>
  <c r="E4" i="16"/>
  <c r="F3" i="16"/>
  <c r="E4" i="15"/>
  <c r="F3" i="15"/>
  <c r="F3" i="14"/>
  <c r="E4" i="14"/>
  <c r="F3" i="13"/>
  <c r="E4" i="13"/>
  <c r="L8" i="12"/>
  <c r="L10" i="12"/>
  <c r="L9" i="12"/>
  <c r="L6" i="12"/>
  <c r="L5" i="12"/>
  <c r="L11" i="12"/>
  <c r="L12" i="12"/>
  <c r="F3" i="12"/>
  <c r="E4" i="12"/>
  <c r="F4" i="11"/>
  <c r="G3" i="11"/>
  <c r="G4" i="56" l="1"/>
  <c r="H3" i="56"/>
  <c r="H4" i="56" s="1"/>
  <c r="G4" i="55"/>
  <c r="H3" i="55"/>
  <c r="H4" i="55" s="1"/>
  <c r="H3" i="54"/>
  <c r="H4" i="54" s="1"/>
  <c r="G4" i="54"/>
  <c r="G4" i="53"/>
  <c r="H3" i="53"/>
  <c r="H4" i="53" s="1"/>
  <c r="G4" i="52"/>
  <c r="H3" i="52"/>
  <c r="H4" i="52" s="1"/>
  <c r="G4" i="51"/>
  <c r="H3" i="51"/>
  <c r="H4" i="51" s="1"/>
  <c r="G4" i="50"/>
  <c r="H3" i="50"/>
  <c r="H4" i="50" s="1"/>
  <c r="G4" i="49"/>
  <c r="H3" i="49"/>
  <c r="H4" i="49" s="1"/>
  <c r="G4" i="48"/>
  <c r="H3" i="48"/>
  <c r="H4" i="48" s="1"/>
  <c r="G4" i="47"/>
  <c r="H3" i="47"/>
  <c r="H4" i="47" s="1"/>
  <c r="G4" i="46"/>
  <c r="H3" i="46"/>
  <c r="H4" i="46" s="1"/>
  <c r="H3" i="45"/>
  <c r="H4" i="45" s="1"/>
  <c r="G4" i="45"/>
  <c r="G4" i="44"/>
  <c r="H3" i="44"/>
  <c r="H4" i="44" s="1"/>
  <c r="H3" i="43"/>
  <c r="H4" i="43" s="1"/>
  <c r="G4" i="43"/>
  <c r="H3" i="42"/>
  <c r="H4" i="42" s="1"/>
  <c r="G4" i="42"/>
  <c r="F4" i="20"/>
  <c r="G3" i="20"/>
  <c r="F4" i="19"/>
  <c r="G3" i="19"/>
  <c r="F4" i="18"/>
  <c r="G3" i="18"/>
  <c r="F4" i="17"/>
  <c r="G3" i="17"/>
  <c r="F4" i="16"/>
  <c r="G3" i="16"/>
  <c r="F4" i="15"/>
  <c r="G3" i="15"/>
  <c r="F4" i="14"/>
  <c r="G3" i="14"/>
  <c r="G3" i="13"/>
  <c r="F4" i="13"/>
  <c r="G3" i="12"/>
  <c r="F4" i="12"/>
  <c r="H3" i="11"/>
  <c r="H4" i="11" s="1"/>
  <c r="G4" i="11"/>
  <c r="G4" i="20" l="1"/>
  <c r="H3" i="20"/>
  <c r="H4" i="20" s="1"/>
  <c r="G4" i="19"/>
  <c r="H3" i="19"/>
  <c r="H4" i="19" s="1"/>
  <c r="G4" i="18"/>
  <c r="H3" i="18"/>
  <c r="H4" i="18" s="1"/>
  <c r="G4" i="17"/>
  <c r="H3" i="17"/>
  <c r="H4" i="17" s="1"/>
  <c r="G4" i="16"/>
  <c r="H3" i="16"/>
  <c r="H4" i="16" s="1"/>
  <c r="G4" i="15"/>
  <c r="H3" i="15"/>
  <c r="H4" i="15" s="1"/>
  <c r="G4" i="14"/>
  <c r="H3" i="14"/>
  <c r="H4" i="14" s="1"/>
  <c r="G4" i="13"/>
  <c r="H3" i="13"/>
  <c r="H4" i="13" s="1"/>
  <c r="G4" i="12"/>
  <c r="H3" i="12"/>
  <c r="H4" i="12" s="1"/>
  <c r="K12" i="10"/>
  <c r="I10" i="3" s="1"/>
  <c r="K11" i="10"/>
  <c r="I9" i="3" s="1"/>
  <c r="K10" i="10"/>
  <c r="I8" i="3" s="1"/>
  <c r="K9" i="10"/>
  <c r="I7" i="3" s="1"/>
  <c r="K8" i="10"/>
  <c r="I6" i="3" s="1"/>
  <c r="K7" i="10"/>
  <c r="I5" i="3" s="1"/>
  <c r="K6" i="10"/>
  <c r="I4" i="3" s="1"/>
  <c r="K5" i="10"/>
  <c r="I3" i="3" s="1"/>
  <c r="B4" i="10"/>
  <c r="C3" i="10"/>
  <c r="K12" i="9"/>
  <c r="H10" i="3" s="1"/>
  <c r="K11" i="9"/>
  <c r="H9" i="3" s="1"/>
  <c r="K10" i="9"/>
  <c r="H8" i="3" s="1"/>
  <c r="K9" i="9"/>
  <c r="H7" i="3" s="1"/>
  <c r="K8" i="9"/>
  <c r="H6" i="3" s="1"/>
  <c r="K7" i="9"/>
  <c r="H5" i="3" s="1"/>
  <c r="K6" i="9"/>
  <c r="H4" i="3" s="1"/>
  <c r="K5" i="9"/>
  <c r="H3" i="3" s="1"/>
  <c r="B4" i="9"/>
  <c r="C3" i="9"/>
  <c r="C4" i="9" s="1"/>
  <c r="K12" i="8"/>
  <c r="G10" i="3" s="1"/>
  <c r="K11" i="8"/>
  <c r="G9" i="3" s="1"/>
  <c r="K10" i="8"/>
  <c r="G8" i="3" s="1"/>
  <c r="K9" i="8"/>
  <c r="G7" i="3" s="1"/>
  <c r="K8" i="8"/>
  <c r="G6" i="3" s="1"/>
  <c r="K7" i="8"/>
  <c r="G5" i="3" s="1"/>
  <c r="K6" i="8"/>
  <c r="G4" i="3" s="1"/>
  <c r="K5" i="8"/>
  <c r="B4" i="8"/>
  <c r="C3" i="8"/>
  <c r="C4" i="8" s="1"/>
  <c r="K12" i="7"/>
  <c r="F10" i="3" s="1"/>
  <c r="K11" i="7"/>
  <c r="F9" i="3" s="1"/>
  <c r="K10" i="7"/>
  <c r="F8" i="3" s="1"/>
  <c r="K9" i="7"/>
  <c r="F7" i="3" s="1"/>
  <c r="K8" i="7"/>
  <c r="F6" i="3" s="1"/>
  <c r="K7" i="7"/>
  <c r="F5" i="3" s="1"/>
  <c r="K6" i="7"/>
  <c r="F4" i="3" s="1"/>
  <c r="K5" i="7"/>
  <c r="B4" i="7"/>
  <c r="C3" i="7"/>
  <c r="C4" i="7" s="1"/>
  <c r="C4" i="10" l="1"/>
  <c r="D3" i="10"/>
  <c r="D4" i="10" s="1"/>
  <c r="K13" i="10"/>
  <c r="L9" i="10" s="1"/>
  <c r="E3" i="10"/>
  <c r="E4" i="10" s="1"/>
  <c r="F3" i="10"/>
  <c r="D3" i="9"/>
  <c r="D4" i="9" s="1"/>
  <c r="K13" i="9"/>
  <c r="L5" i="9" s="1"/>
  <c r="E3" i="9"/>
  <c r="K13" i="8"/>
  <c r="L10" i="8" s="1"/>
  <c r="G3" i="3"/>
  <c r="D3" i="8"/>
  <c r="D4" i="8" s="1"/>
  <c r="E3" i="8"/>
  <c r="K13" i="7"/>
  <c r="L10" i="7" s="1"/>
  <c r="F3" i="3"/>
  <c r="D3" i="7"/>
  <c r="D4" i="7" s="1"/>
  <c r="L8" i="7"/>
  <c r="L5" i="7"/>
  <c r="L10" i="10" l="1"/>
  <c r="L5" i="10"/>
  <c r="L11" i="10"/>
  <c r="L12" i="10"/>
  <c r="L8" i="10"/>
  <c r="L6" i="10"/>
  <c r="L7" i="10"/>
  <c r="F4" i="10"/>
  <c r="G3" i="10"/>
  <c r="L12" i="9"/>
  <c r="L8" i="9"/>
  <c r="L7" i="9"/>
  <c r="L6" i="9"/>
  <c r="F3" i="9"/>
  <c r="E4" i="9"/>
  <c r="L9" i="9"/>
  <c r="L10" i="9"/>
  <c r="L11" i="9"/>
  <c r="L8" i="8"/>
  <c r="L11" i="8"/>
  <c r="L9" i="8"/>
  <c r="L7" i="8"/>
  <c r="L5" i="8"/>
  <c r="L6" i="8"/>
  <c r="L12" i="8"/>
  <c r="F3" i="8"/>
  <c r="E4" i="8"/>
  <c r="L11" i="7"/>
  <c r="L7" i="7"/>
  <c r="L12" i="7"/>
  <c r="L6" i="7"/>
  <c r="L9" i="7"/>
  <c r="E3" i="7"/>
  <c r="F3" i="7" s="1"/>
  <c r="E4" i="7"/>
  <c r="H3" i="10" l="1"/>
  <c r="H4" i="10" s="1"/>
  <c r="G4" i="10"/>
  <c r="G3" i="9"/>
  <c r="F4" i="9"/>
  <c r="G3" i="8"/>
  <c r="F4" i="8"/>
  <c r="G3" i="7"/>
  <c r="F4" i="7"/>
  <c r="G4" i="9" l="1"/>
  <c r="H3" i="9"/>
  <c r="H4" i="9" s="1"/>
  <c r="H3" i="8"/>
  <c r="H4" i="8" s="1"/>
  <c r="G4" i="8"/>
  <c r="H3" i="7"/>
  <c r="H4" i="7" s="1"/>
  <c r="G4" i="7"/>
  <c r="K12" i="6" l="1"/>
  <c r="E10" i="3" s="1"/>
  <c r="K11" i="6"/>
  <c r="E9" i="3" s="1"/>
  <c r="K10" i="6"/>
  <c r="E8" i="3" s="1"/>
  <c r="K9" i="6"/>
  <c r="E7" i="3" s="1"/>
  <c r="K8" i="6"/>
  <c r="E6" i="3" s="1"/>
  <c r="K7" i="6"/>
  <c r="E5" i="3" s="1"/>
  <c r="K6" i="6"/>
  <c r="E4" i="3" s="1"/>
  <c r="K5" i="6"/>
  <c r="B4" i="6"/>
  <c r="C3" i="6"/>
  <c r="K6" i="5"/>
  <c r="D4" i="3" s="1"/>
  <c r="K12" i="5"/>
  <c r="D10" i="3" s="1"/>
  <c r="K11" i="5"/>
  <c r="D9" i="3" s="1"/>
  <c r="K10" i="5"/>
  <c r="D8" i="3" s="1"/>
  <c r="K9" i="5"/>
  <c r="D7" i="3" s="1"/>
  <c r="K8" i="5"/>
  <c r="D6" i="3" s="1"/>
  <c r="K7" i="5"/>
  <c r="D5" i="3" s="1"/>
  <c r="K5" i="5"/>
  <c r="D3" i="3" s="1"/>
  <c r="B4" i="5"/>
  <c r="C3" i="5"/>
  <c r="C4" i="5" s="1"/>
  <c r="D3" i="6" l="1"/>
  <c r="D4" i="6" s="1"/>
  <c r="C4" i="6"/>
  <c r="K13" i="6"/>
  <c r="L11" i="6" s="1"/>
  <c r="E3" i="3"/>
  <c r="E3" i="6"/>
  <c r="K13" i="5"/>
  <c r="L7" i="5" s="1"/>
  <c r="D3" i="5"/>
  <c r="L12" i="6" l="1"/>
  <c r="L6" i="6"/>
  <c r="L7" i="6"/>
  <c r="L8" i="6"/>
  <c r="L9" i="6"/>
  <c r="L5" i="6"/>
  <c r="L10" i="6"/>
  <c r="E4" i="6"/>
  <c r="F3" i="6"/>
  <c r="L10" i="5"/>
  <c r="L9" i="5"/>
  <c r="L5" i="5"/>
  <c r="L6" i="5"/>
  <c r="L11" i="5"/>
  <c r="L12" i="5"/>
  <c r="L8" i="5"/>
  <c r="D4" i="5"/>
  <c r="E3" i="5"/>
  <c r="G3" i="6" l="1"/>
  <c r="F4" i="6"/>
  <c r="E4" i="5"/>
  <c r="F3" i="5"/>
  <c r="G4" i="6" l="1"/>
  <c r="H3" i="6"/>
  <c r="H4" i="6" s="1"/>
  <c r="F4" i="5"/>
  <c r="G3" i="5"/>
  <c r="H3" i="5" l="1"/>
  <c r="H4" i="5" s="1"/>
  <c r="G4" i="5"/>
  <c r="C3" i="4" l="1"/>
  <c r="D3" i="4" s="1"/>
  <c r="K12" i="4"/>
  <c r="C10" i="3" s="1"/>
  <c r="K11" i="4"/>
  <c r="C9" i="3" s="1"/>
  <c r="K10" i="4"/>
  <c r="C8" i="3" s="1"/>
  <c r="K9" i="4"/>
  <c r="C7" i="3" s="1"/>
  <c r="K8" i="4"/>
  <c r="C6" i="3" s="1"/>
  <c r="K7" i="4"/>
  <c r="C5" i="3" s="1"/>
  <c r="K6" i="4"/>
  <c r="C4" i="3" s="1"/>
  <c r="K5" i="4"/>
  <c r="C3" i="3" s="1"/>
  <c r="C4" i="4"/>
  <c r="B4" i="4"/>
  <c r="D4" i="4" l="1"/>
  <c r="E3" i="4"/>
  <c r="K13" i="4"/>
  <c r="L8" i="4" s="1"/>
  <c r="F3" i="4" l="1"/>
  <c r="E4" i="4"/>
  <c r="L7" i="4"/>
  <c r="L12" i="4"/>
  <c r="L5" i="4"/>
  <c r="L6" i="4"/>
  <c r="L11" i="4"/>
  <c r="L9" i="4"/>
  <c r="L10" i="4"/>
  <c r="G3" i="4" l="1"/>
  <c r="F4" i="4"/>
  <c r="H3" i="4" l="1"/>
  <c r="H4" i="4" s="1"/>
  <c r="G4" i="4"/>
  <c r="K12" i="1"/>
  <c r="B10" i="3" s="1"/>
  <c r="K6" i="1"/>
  <c r="B4" i="3" s="1"/>
  <c r="K7" i="1"/>
  <c r="B5" i="3" s="1"/>
  <c r="K8" i="1"/>
  <c r="B6" i="3" s="1"/>
  <c r="K9" i="1"/>
  <c r="B7" i="3" s="1"/>
  <c r="K10" i="1"/>
  <c r="B8" i="3" s="1"/>
  <c r="K11" i="1"/>
  <c r="B9" i="3" s="1"/>
  <c r="K5" i="1"/>
  <c r="B3" i="3" s="1"/>
  <c r="U3" i="3" l="1"/>
  <c r="B12" i="3"/>
  <c r="U5" i="3"/>
  <c r="U8" i="3"/>
  <c r="U9" i="3"/>
  <c r="U7" i="3"/>
  <c r="U6" i="3"/>
  <c r="U4" i="3"/>
  <c r="U10" i="3"/>
  <c r="N12" i="3"/>
  <c r="R12" i="3"/>
  <c r="Q12" i="3"/>
  <c r="T12" i="3"/>
  <c r="S12" i="3"/>
  <c r="K12" i="3"/>
  <c r="J12" i="3"/>
  <c r="F12" i="3"/>
  <c r="P12" i="3"/>
  <c r="H12" i="3"/>
  <c r="M12" i="3"/>
  <c r="E12" i="3"/>
  <c r="C12" i="3"/>
  <c r="O12" i="3"/>
  <c r="G12" i="3"/>
  <c r="L12" i="3"/>
  <c r="D12" i="3"/>
  <c r="I12" i="3"/>
  <c r="K13" i="1"/>
  <c r="L6" i="1" s="1"/>
  <c r="U12" i="3" l="1"/>
  <c r="L7" i="1"/>
  <c r="L11" i="1"/>
  <c r="L5" i="1"/>
  <c r="L8" i="1"/>
  <c r="L9" i="1"/>
  <c r="L10" i="1"/>
  <c r="L12" i="1"/>
  <c r="H4" i="1"/>
  <c r="E4" i="1"/>
  <c r="F4" i="1"/>
  <c r="G4" i="1"/>
  <c r="C4" i="1"/>
  <c r="D4" i="1"/>
  <c r="B4" i="1"/>
  <c r="V3" i="3" l="1"/>
  <c r="V11" i="3"/>
  <c r="V8" i="3"/>
  <c r="V6" i="3"/>
  <c r="V10" i="3"/>
  <c r="V5" i="3"/>
  <c r="V9" i="3"/>
  <c r="V7" i="3"/>
  <c r="V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417582-BF75-4C35-ABC5-7C0DD5194E0A}" keepAlive="1" name="Consulta - 02 05 2022" description="Conexão com a consulta '02 05 2022' na pasta de trabalho." type="5" refreshedVersion="8" background="1" saveData="1">
    <dbPr connection="Provider=Microsoft.Mashup.OleDb.1;Data Source=$Workbook$;Location=&quot;02 05 2022&quot;;Extended Properties=&quot;&quot;" command="SELECT * FROM [02 05 2022]"/>
  </connection>
  <connection id="2" xr16:uid="{AE264310-D331-448A-946F-10ED9404E58C}" keepAlive="1" name="Consulta - 04 04 2022" description="Conexão com a consulta '04 04 2022' na pasta de trabalho." type="5" refreshedVersion="8" background="1" saveData="1">
    <dbPr connection="Provider=Microsoft.Mashup.OleDb.1;Data Source=$Workbook$;Location=&quot;04 04 2022&quot;;Extended Properties=&quot;&quot;" command="SELECT * FROM [04 04 2022]"/>
  </connection>
  <connection id="3" xr16:uid="{2A27437C-A5B3-43B1-9222-3CF88C1176CA}" keepAlive="1" name="Consulta - 06 06 2022" description="Conexão com a consulta '06 06 2022' na pasta de trabalho." type="5" refreshedVersion="8" background="1" saveData="1">
    <dbPr connection="Provider=Microsoft.Mashup.OleDb.1;Data Source=$Workbook$;Location=&quot;06 06 2022&quot;;Extended Properties=&quot;&quot;" command="SELECT * FROM [06 06 2022]"/>
  </connection>
  <connection id="4" xr16:uid="{DBBD64BB-0A62-4831-92BA-4AC83557DA14}" keepAlive="1" name="Consulta - 07 03 2022" description="Conexão com a consulta '07 03 2022' na pasta de trabalho." type="5" refreshedVersion="8" background="1" saveData="1">
    <dbPr connection="Provider=Microsoft.Mashup.OleDb.1;Data Source=$Workbook$;Location=&quot;07 03 2022&quot;;Extended Properties=&quot;&quot;" command="SELECT * FROM [07 03 2022]"/>
  </connection>
  <connection id="5" xr16:uid="{1A82C193-2B43-468C-BF53-A62C6F804425}" keepAlive="1" name="Consulta - 09 05 2022" description="Conexão com a consulta '09 05 2022' na pasta de trabalho." type="5" refreshedVersion="8" background="1" saveData="1">
    <dbPr connection="Provider=Microsoft.Mashup.OleDb.1;Data Source=$Workbook$;Location=&quot;09 05 2022&quot;;Extended Properties=&quot;&quot;" command="SELECT * FROM [09 05 2022]"/>
  </connection>
  <connection id="6" xr16:uid="{EA411367-DDF0-4219-BFCA-4FBE930FFAA8}" keepAlive="1" name="Consulta - 11 04 2022" description="Conexão com a consulta '11 04 2022' na pasta de trabalho." type="5" refreshedVersion="8" background="1" saveData="1">
    <dbPr connection="Provider=Microsoft.Mashup.OleDb.1;Data Source=$Workbook$;Location=&quot;11 04 2022&quot;;Extended Properties=&quot;&quot;" command="SELECT * FROM [11 04 2022]"/>
  </connection>
  <connection id="7" xr16:uid="{2D0EDC14-DB7D-4492-AE90-CB76DCAF611D}" keepAlive="1" name="Consulta - 13 06 2022" description="Conexão com a consulta '13 06 2022' na pasta de trabalho." type="5" refreshedVersion="8" background="1" saveData="1">
    <dbPr connection="Provider=Microsoft.Mashup.OleDb.1;Data Source=$Workbook$;Location=&quot;13 06 2022&quot;;Extended Properties=&quot;&quot;" command="SELECT * FROM [13 06 2022]"/>
  </connection>
  <connection id="8" xr16:uid="{ECF4A715-4054-4299-846C-EB0B3E01EBEB}" keepAlive="1" name="Consulta - 14 03 2022" description="Conexão com a consulta '14 03 2022' na pasta de trabalho." type="5" refreshedVersion="8" background="1" saveData="1">
    <dbPr connection="Provider=Microsoft.Mashup.OleDb.1;Data Source=$Workbook$;Location=&quot;14 03 2022&quot;;Extended Properties=&quot;&quot;" command="SELECT * FROM [14 03 2022]"/>
  </connection>
  <connection id="9" xr16:uid="{DBE64CB1-9B10-46BA-92D4-B40DD4D9942F}" keepAlive="1" name="Consulta - 16 05 2022" description="Conexão com a consulta '16 05 2022' na pasta de trabalho." type="5" refreshedVersion="8" background="1" saveData="1">
    <dbPr connection="Provider=Microsoft.Mashup.OleDb.1;Data Source=$Workbook$;Location=&quot;16 05 2022&quot;;Extended Properties=&quot;&quot;" command="SELECT * FROM [16 05 2022]"/>
  </connection>
  <connection id="10" xr16:uid="{F21C0AD4-5B54-4A7B-A76B-529EF01B9B9F}" keepAlive="1" name="Consulta - 18 04 2022" description="Conexão com a consulta '18 04 2022' na pasta de trabalho." type="5" refreshedVersion="8" background="1" saveData="1">
    <dbPr connection="Provider=Microsoft.Mashup.OleDb.1;Data Source=$Workbook$;Location=&quot;18 04 2022&quot;;Extended Properties=&quot;&quot;" command="SELECT * FROM [18 04 2022]"/>
  </connection>
  <connection id="11" xr16:uid="{0AF5C599-7454-4897-876D-E49B978425AE}" keepAlive="1" name="Consulta - 20 06 2022" description="Conexão com a consulta '20 06 2022' na pasta de trabalho." type="5" refreshedVersion="8" background="1" saveData="1">
    <dbPr connection="Provider=Microsoft.Mashup.OleDb.1;Data Source=$Workbook$;Location=&quot;20 06 2022&quot;;Extended Properties=&quot;&quot;" command="SELECT * FROM [20 06 2022]"/>
  </connection>
  <connection id="12" xr16:uid="{F5656778-401D-4312-A675-0CECAECF8087}" keepAlive="1" name="Consulta - 21 02 2022" description="Conexão com a consulta '21 02 2022' na pasta de trabalho." type="5" refreshedVersion="8" background="1" saveData="1">
    <dbPr connection="Provider=Microsoft.Mashup.OleDb.1;Data Source=$Workbook$;Location=&quot;21 02 2022&quot;;Extended Properties=&quot;&quot;" command="SELECT * FROM [21 02 2022]"/>
  </connection>
  <connection id="13" xr16:uid="{6E5EBD7F-E3C7-464A-8BFE-81D54A241B53}" keepAlive="1" name="Consulta - 21 03 2022" description="Conexão com a consulta '21 03 2022' na pasta de trabalho." type="5" refreshedVersion="8" background="1" saveData="1">
    <dbPr connection="Provider=Microsoft.Mashup.OleDb.1;Data Source=$Workbook$;Location=&quot;21 03 2022&quot;;Extended Properties=&quot;&quot;" command="SELECT * FROM [21 03 2022]"/>
  </connection>
  <connection id="14" xr16:uid="{21411DB3-0151-46A1-80F0-78B0C0BF05F2}" keepAlive="1" name="Consulta - 23 05 2022" description="Conexão com a consulta '23 05 2022' na pasta de trabalho." type="5" refreshedVersion="8" background="1" saveData="1">
    <dbPr connection="Provider=Microsoft.Mashup.OleDb.1;Data Source=$Workbook$;Location=&quot;23 05 2022&quot;;Extended Properties=&quot;&quot;" command="SELECT * FROM [23 05 2022]"/>
  </connection>
  <connection id="15" xr16:uid="{398ABF7B-E6F7-417D-9C88-B87AFA6C575C}" keepAlive="1" name="Consulta - 25 04 2022" description="Conexão com a consulta '25 04 2022' na pasta de trabalho." type="5" refreshedVersion="8" background="1" saveData="1">
    <dbPr connection="Provider=Microsoft.Mashup.OleDb.1;Data Source=$Workbook$;Location=&quot;25 04 2022&quot;;Extended Properties=&quot;&quot;" command="SELECT * FROM [25 04 2022]"/>
  </connection>
  <connection id="16" xr16:uid="{60E60322-0686-4CDC-ABA1-51E5A47B7024}" keepAlive="1" name="Consulta - 27 06 2022" description="Conexão com a consulta '27 06 2022' na pasta de trabalho." type="5" refreshedVersion="8" background="1" saveData="1">
    <dbPr connection="Provider=Microsoft.Mashup.OleDb.1;Data Source=$Workbook$;Location=&quot;27 06 2022&quot;;Extended Properties=&quot;&quot;" command="SELECT * FROM [27 06 2022]"/>
  </connection>
  <connection id="17" xr16:uid="{02973979-9E77-413A-ADB7-CED9AD0CFD3D}" keepAlive="1" name="Consulta - 28 02 2022" description="Conexão com a consulta '28 02 2022' na pasta de trabalho." type="5" refreshedVersion="8" background="1" saveData="1">
    <dbPr connection="Provider=Microsoft.Mashup.OleDb.1;Data Source=$Workbook$;Location=&quot;28 02 2022&quot;;Extended Properties=&quot;&quot;" command="SELECT * FROM [28 02 2022]"/>
  </connection>
  <connection id="18" xr16:uid="{2FE5B2E6-0FC3-4AA7-971C-FBDA88391706}" keepAlive="1" name="Consulta - 28 03 2022" description="Conexão com a consulta '28 03 2022' na pasta de trabalho." type="5" refreshedVersion="8" background="1" saveData="1">
    <dbPr connection="Provider=Microsoft.Mashup.OleDb.1;Data Source=$Workbook$;Location=&quot;28 03 2022&quot;;Extended Properties=&quot;&quot;" command="SELECT * FROM [28 03 2022]"/>
  </connection>
</connections>
</file>

<file path=xl/sharedStrings.xml><?xml version="1.0" encoding="utf-8"?>
<sst xmlns="http://schemas.openxmlformats.org/spreadsheetml/2006/main" count="9665" uniqueCount="204">
  <si>
    <t>Parâmetros</t>
  </si>
  <si>
    <t>Total</t>
  </si>
  <si>
    <t>Percentual</t>
  </si>
  <si>
    <t>Cabo Rompido</t>
  </si>
  <si>
    <t>Transformador</t>
  </si>
  <si>
    <t>Chave Aberta</t>
  </si>
  <si>
    <t>Painel da Bomba</t>
  </si>
  <si>
    <t>Painel do Pivô</t>
  </si>
  <si>
    <t>Contactora</t>
  </si>
  <si>
    <t>Caixa do Micro</t>
  </si>
  <si>
    <t>Cabo de Segurança</t>
  </si>
  <si>
    <t>Falta de Fase</t>
  </si>
  <si>
    <t>Atendimento de Irrigação (Impacto - Problemas Elétricos) - Semana 21/02/2022</t>
  </si>
  <si>
    <t xml:space="preserve">Data </t>
  </si>
  <si>
    <t>Pivô</t>
  </si>
  <si>
    <t>Contagem</t>
  </si>
  <si>
    <t>Porcentagem</t>
  </si>
  <si>
    <t>Semana</t>
  </si>
  <si>
    <t>Pivô 01</t>
  </si>
  <si>
    <t>21/2-27/2</t>
  </si>
  <si>
    <t>Pivô 02</t>
  </si>
  <si>
    <t>Pivô 03</t>
  </si>
  <si>
    <t>Pivô 04</t>
  </si>
  <si>
    <t>Pivô 05</t>
  </si>
  <si>
    <t>Pivô 06</t>
  </si>
  <si>
    <t>Pivô 07</t>
  </si>
  <si>
    <t>Pivô 08</t>
  </si>
  <si>
    <t>Cabo/Auto Rompido</t>
  </si>
  <si>
    <t>Pivô 09</t>
  </si>
  <si>
    <t>Pivô 10</t>
  </si>
  <si>
    <t>Pivô 11</t>
  </si>
  <si>
    <t>Pivô 12</t>
  </si>
  <si>
    <t>Pivô 13</t>
  </si>
  <si>
    <t>Pivô 14</t>
  </si>
  <si>
    <t>Pivô 15</t>
  </si>
  <si>
    <t>Pivô 16</t>
  </si>
  <si>
    <t>Pivô 17</t>
  </si>
  <si>
    <t>Pivô 18</t>
  </si>
  <si>
    <t>Pivô 19</t>
  </si>
  <si>
    <t>Pivô 20</t>
  </si>
  <si>
    <t>Pivô 21</t>
  </si>
  <si>
    <t>Pivô 22</t>
  </si>
  <si>
    <t>Pivô 23</t>
  </si>
  <si>
    <t>Pivô 24</t>
  </si>
  <si>
    <t>Pivô 25</t>
  </si>
  <si>
    <t>Pivô 26</t>
  </si>
  <si>
    <t>Pivô 27</t>
  </si>
  <si>
    <t>Pivô 28</t>
  </si>
  <si>
    <t>Pivô 29</t>
  </si>
  <si>
    <t>Pivô 30</t>
  </si>
  <si>
    <t>Pivô 31</t>
  </si>
  <si>
    <t>Pivô 32</t>
  </si>
  <si>
    <t>Pivô 33</t>
  </si>
  <si>
    <t>Pivô 34</t>
  </si>
  <si>
    <t>Pivô 35</t>
  </si>
  <si>
    <t>Pivô 36</t>
  </si>
  <si>
    <t>Pivô 37</t>
  </si>
  <si>
    <t>Pivô 38</t>
  </si>
  <si>
    <t>Pivô 39</t>
  </si>
  <si>
    <t>Pivô 40</t>
  </si>
  <si>
    <t>Pivô 41</t>
  </si>
  <si>
    <t>Pivô 42</t>
  </si>
  <si>
    <t>Pivô 43</t>
  </si>
  <si>
    <t>Pivô 44</t>
  </si>
  <si>
    <t>Pivô 45</t>
  </si>
  <si>
    <t>Pivô 46</t>
  </si>
  <si>
    <t>Pivô 47</t>
  </si>
  <si>
    <t>Pivô 48</t>
  </si>
  <si>
    <t>Pivô 49</t>
  </si>
  <si>
    <t>Pivô 50</t>
  </si>
  <si>
    <t>Pivô 51</t>
  </si>
  <si>
    <t>Pivô 52</t>
  </si>
  <si>
    <t>Pivô 53</t>
  </si>
  <si>
    <t>Pivô 54</t>
  </si>
  <si>
    <t>Pivô 55</t>
  </si>
  <si>
    <t>Pivô 56</t>
  </si>
  <si>
    <t>Pivô 73</t>
  </si>
  <si>
    <t>Pivô 74</t>
  </si>
  <si>
    <t>Pivô 101</t>
  </si>
  <si>
    <t>Pivô 102</t>
  </si>
  <si>
    <t>Pivô 103</t>
  </si>
  <si>
    <t>Pivô 104</t>
  </si>
  <si>
    <t>Pivô 105</t>
  </si>
  <si>
    <t>Pivô 106</t>
  </si>
  <si>
    <t>Pivô 107</t>
  </si>
  <si>
    <t>Pivô 108</t>
  </si>
  <si>
    <t>Pivô 109</t>
  </si>
  <si>
    <t>Pivô 110</t>
  </si>
  <si>
    <t>Pivô 111</t>
  </si>
  <si>
    <t>Pivô 112</t>
  </si>
  <si>
    <t>Pivô 113</t>
  </si>
  <si>
    <t>Pivô 114</t>
  </si>
  <si>
    <t>Pivô 115</t>
  </si>
  <si>
    <t>Pivô 116</t>
  </si>
  <si>
    <t>Pivô 117</t>
  </si>
  <si>
    <t>Pivô 118</t>
  </si>
  <si>
    <t>Pivô 119</t>
  </si>
  <si>
    <t>Pivô 120</t>
  </si>
  <si>
    <t>Pivô 121</t>
  </si>
  <si>
    <t>Pivô 122</t>
  </si>
  <si>
    <t>Pivô 123</t>
  </si>
  <si>
    <t>Pivô 124</t>
  </si>
  <si>
    <t>Pivô 125</t>
  </si>
  <si>
    <t>Pivô 126</t>
  </si>
  <si>
    <t>Pivô 127</t>
  </si>
  <si>
    <t>Pivô 128</t>
  </si>
  <si>
    <t>Pivô 129</t>
  </si>
  <si>
    <t>Pivô 130</t>
  </si>
  <si>
    <t>Pivô 133</t>
  </si>
  <si>
    <t>Atendimento de Irrigação (Impacto - Problemas Elétricos) - Semana 28/02/2022</t>
  </si>
  <si>
    <t>28/2-6/3</t>
  </si>
  <si>
    <t>Atendimento de Irrigação (Impacto - Problemas Elétricos) - Semana 07/03/2022</t>
  </si>
  <si>
    <t>Cabo Acionamento</t>
  </si>
  <si>
    <t>7/3-13/3</t>
  </si>
  <si>
    <t>Cabo  de Segurança</t>
  </si>
  <si>
    <t>Atendimento de Irrigação (Impacto - Problemas Elétricos) - Semana 14/03/2022</t>
  </si>
  <si>
    <t>14/3-20/3</t>
  </si>
  <si>
    <t>Atendimento de Irrigação (Impacto - Problemas Elétricos) - Semana 21/03/2022</t>
  </si>
  <si>
    <t>21/3-27/3</t>
  </si>
  <si>
    <t>Atendimento de Irrigação (Impacto - Problemas Elétricos) - Semana 28/03/2022</t>
  </si>
  <si>
    <t>28/3-3/4</t>
  </si>
  <si>
    <t>Atendimento de Irrigação (Impacto - Problemas Elétricos) - Semana 04/04/2022</t>
  </si>
  <si>
    <t>4/4-10/4</t>
  </si>
  <si>
    <t>Atendimento de Irrigação (Impacto - Problemas Elétricos) - Semana 11/04/2022</t>
  </si>
  <si>
    <t>11/4-17/4</t>
  </si>
  <si>
    <t>18/2-24/4</t>
  </si>
  <si>
    <t>Atendimento de Irrigação (Impacto - Problemas Elétricos) - Semana 25/04/2022</t>
  </si>
  <si>
    <t>25/4-1/5</t>
  </si>
  <si>
    <t>Atendimento de Irrigação (Impacto - Problemas Elétricos) - Semana 02/05/2022</t>
  </si>
  <si>
    <t>2/5-8/5</t>
  </si>
  <si>
    <t>Atendimento de Irrigação (Impacto - Problemas Elétricos) - Semana 09/05/2022</t>
  </si>
  <si>
    <t>9/5-15/5</t>
  </si>
  <si>
    <t>Dashboard Indicadores'!A1</t>
  </si>
  <si>
    <t>Atendimento de Irrigação (Impacto - Problemas Elétricos) - Semana 16/05/2022</t>
  </si>
  <si>
    <t>16/5-22/5</t>
  </si>
  <si>
    <t>Atendimento de Irrigação (Impacto - Problemas Elétricos) - Semana 23/05/2022</t>
  </si>
  <si>
    <t>23/5-29/5</t>
  </si>
  <si>
    <t>Atendimento de Irrigação (Impacto - Problemas Elétricos) - Semana 06/06/2022</t>
  </si>
  <si>
    <t>6/6-12/6</t>
  </si>
  <si>
    <t>Atendimento de Irrigação (Impacto - Problemas Elétricos) - Semana 13/06/2022</t>
  </si>
  <si>
    <t>13/6-19/6</t>
  </si>
  <si>
    <t>Atendimento de Irrigação (Impacto - Problemas Elétricos) - Semana 20/06/2022</t>
  </si>
  <si>
    <t>20/6-26/6</t>
  </si>
  <si>
    <t>Atendimento de Irrigação (Impacto - Problemas Elétricos) - Semana 27/06/2022</t>
  </si>
  <si>
    <t>Inversor de Frequência</t>
  </si>
  <si>
    <t>Atendimento de Irrigação (Impacto - Problemas Elétricos) - Semana 04/07/2022</t>
  </si>
  <si>
    <t>Atendimento de Irrigação (Impacto - Problemas Elétricos) - Semana 11/07/2022</t>
  </si>
  <si>
    <t>Atendimento de Irrigação (Impacto - Problemas Elétricos) - Semana 18/07/2022</t>
  </si>
  <si>
    <t>Gerador</t>
  </si>
  <si>
    <t>Atendimento de Irrigação (Impacto - Problemas Elétricos) - Semana 25/07/2022</t>
  </si>
  <si>
    <t>Atendimento de Irrigação (Impacto - Problemas Elétricos) - Semana 01/08//2022</t>
  </si>
  <si>
    <t>Atendimento de Irrigação (Impacto - Problemas Elétricos) - Semana 08/08//2022</t>
  </si>
  <si>
    <t>Atendimento de Irrigação (Impacto - Problemas Elétricos) - Semana 15/08//2022</t>
  </si>
  <si>
    <t>Atendimento de Irrigação (Impacto - Problemas Elétricos) - Semana 22/08//2022</t>
  </si>
  <si>
    <t>Atendimento de Irrigação (Impacto - Problemas Elétricos) - Semana 29/08//2022</t>
  </si>
  <si>
    <t>Atendimento de Irrigação (Impacto - Problemas Elétricos) - Semana 05/09//2022</t>
  </si>
  <si>
    <t>Atendimento de Irrigação (Impacto - Problemas Elétricos) - Semana 12/09//2022</t>
  </si>
  <si>
    <t>Atendimento de Irrigação (Impacto - Problemas Elétricos) - Semana 19/09//2022</t>
  </si>
  <si>
    <t>Atendimento de Irrigação (Impacto - Problemas Elétricos) - Semana 26/09//2022</t>
  </si>
  <si>
    <t>Atendimento de Irrigação (Impacto - Problemas Elétricos) - Semana 03/10//2022</t>
  </si>
  <si>
    <t>Atendimento de Irrigação (Impacto - Problemas Elétricos) - Semana 10/10//2022</t>
  </si>
  <si>
    <t>Atendimento de Irrigação (Impacto - Problemas Elétricos) - Semana 17/10//2022</t>
  </si>
  <si>
    <t>Atendimento de Irrigação (Impacto - Problemas Elétricos) - Semana 24/10//2022</t>
  </si>
  <si>
    <t>Atendimento de Irrigação (Impacto - Problemas Elétricos) - Semana 31/10//2022</t>
  </si>
  <si>
    <t>Atendimento de Irrigação (Impacto - Problemas Elétricos) - Semana 07/11/2022</t>
  </si>
  <si>
    <t>Atendimento de Irrigação (Impacto - Problemas Elétricos) - Semana 14/11/2022</t>
  </si>
  <si>
    <t>Atendimento de Irrigação (Impacto - Problemas Elétricos) - Semana 05/12/2022</t>
  </si>
  <si>
    <t>Atendimento de Irrigação (Impacto - Problemas Elétricos) - Semana 19/12/2022</t>
  </si>
  <si>
    <t>Atendimento de Irrigação (Impacto - Problemas Elétricos) - Semana 02/01/2023</t>
  </si>
  <si>
    <t>Injeferd</t>
  </si>
  <si>
    <t>Atendimento de Irrigação (Impacto - Problemas Elétricos) - Semana 16/01/2023</t>
  </si>
  <si>
    <t>Atendimento de Irrigação (Impacto - Problemas Elétricos) - Semana 30/01/2023</t>
  </si>
  <si>
    <t>Atendimento de Irrigação (Impacto - Problemas Elétricos) - Semana 06/02/2023</t>
  </si>
  <si>
    <t>Pivô 57</t>
  </si>
  <si>
    <t>Pivô 58</t>
  </si>
  <si>
    <t>Pivô 59</t>
  </si>
  <si>
    <t>Pivô 60</t>
  </si>
  <si>
    <t>Pivô 61</t>
  </si>
  <si>
    <t>Pivô 62</t>
  </si>
  <si>
    <t>Pivô 63</t>
  </si>
  <si>
    <t>Pivô 64</t>
  </si>
  <si>
    <t>Pivô 65</t>
  </si>
  <si>
    <t>Pivô 66</t>
  </si>
  <si>
    <t>Pivô 67</t>
  </si>
  <si>
    <t>Pivô 68</t>
  </si>
  <si>
    <t>Pivô 69</t>
  </si>
  <si>
    <t>Pivô 70</t>
  </si>
  <si>
    <t>Pivô 71</t>
  </si>
  <si>
    <t>Pivô 72</t>
  </si>
  <si>
    <t>Atendimento de Irrigação (Impacto - Problemas Elétricos) - Semana 13/02/2023</t>
  </si>
  <si>
    <t>Disjuntor</t>
  </si>
  <si>
    <t xml:space="preserve">Atendimento de Irrigação (Impacto - Problemas Elétricos) </t>
  </si>
  <si>
    <t>Rede Interna</t>
  </si>
  <si>
    <t>Pivô em Manual</t>
  </si>
  <si>
    <t>Mês</t>
  </si>
  <si>
    <t>Ano</t>
  </si>
  <si>
    <t>Periodo</t>
  </si>
  <si>
    <t>Rótulos de Linha</t>
  </si>
  <si>
    <t>Percentual Anual</t>
  </si>
  <si>
    <t>Contagem Semanal</t>
  </si>
  <si>
    <t>Verificação</t>
  </si>
  <si>
    <t>Contagem Anual</t>
  </si>
  <si>
    <t>Pivô 131</t>
  </si>
  <si>
    <t>Pivô 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</si>
</sst>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u/>
      <sz val="11"/>
      <color rgb="FF00206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98D2B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D13F"/>
        <bgColor indexed="64"/>
      </patternFill>
    </fill>
    <fill>
      <patternFill patternType="solid">
        <fgColor rgb="FFF3A60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E2BA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dotted">
        <color theme="1"/>
      </right>
      <top/>
      <bottom/>
      <diagonal/>
    </border>
    <border>
      <left style="thin">
        <color theme="0"/>
      </left>
      <right/>
      <top/>
      <bottom style="dotted">
        <color theme="1"/>
      </bottom>
      <diagonal/>
    </border>
    <border>
      <left/>
      <right style="dotted">
        <color theme="1"/>
      </right>
      <top/>
      <bottom style="dotted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3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9" fontId="0" fillId="0" borderId="0" xfId="1" applyFont="1"/>
    <xf numFmtId="0" fontId="5" fillId="0" borderId="0" xfId="0" applyFont="1"/>
    <xf numFmtId="0" fontId="2" fillId="0" borderId="2" xfId="0" applyFont="1" applyBorder="1"/>
    <xf numFmtId="9" fontId="0" fillId="0" borderId="3" xfId="1" applyFont="1" applyBorder="1"/>
    <xf numFmtId="0" fontId="2" fillId="0" borderId="4" xfId="0" applyFont="1" applyBorder="1"/>
    <xf numFmtId="9" fontId="0" fillId="0" borderId="5" xfId="1" applyFont="1" applyBorder="1"/>
    <xf numFmtId="0" fontId="0" fillId="0" borderId="6" xfId="0" applyBorder="1"/>
    <xf numFmtId="0" fontId="4" fillId="0" borderId="6" xfId="0" applyFont="1" applyBorder="1" applyAlignment="1">
      <alignment vertical="center"/>
    </xf>
    <xf numFmtId="0" fontId="0" fillId="0" borderId="9" xfId="0" applyBorder="1"/>
    <xf numFmtId="0" fontId="2" fillId="7" borderId="6" xfId="0" applyFont="1" applyFill="1" applyBorder="1"/>
    <xf numFmtId="0" fontId="7" fillId="15" borderId="10" xfId="0" applyFont="1" applyFill="1" applyBorder="1"/>
    <xf numFmtId="0" fontId="7" fillId="15" borderId="7" xfId="0" applyFont="1" applyFill="1" applyBorder="1"/>
    <xf numFmtId="0" fontId="0" fillId="15" borderId="8" xfId="0" applyFill="1" applyBorder="1" applyAlignment="1">
      <alignment horizontal="left"/>
    </xf>
    <xf numFmtId="0" fontId="0" fillId="15" borderId="13" xfId="0" applyFill="1" applyBorder="1" applyAlignment="1">
      <alignment horizontal="left"/>
    </xf>
    <xf numFmtId="0" fontId="9" fillId="7" borderId="6" xfId="0" applyFont="1" applyFill="1" applyBorder="1"/>
    <xf numFmtId="0" fontId="2" fillId="3" borderId="1" xfId="0" applyFont="1" applyFill="1" applyBorder="1"/>
    <xf numFmtId="0" fontId="2" fillId="14" borderId="6" xfId="0" applyFont="1" applyFill="1" applyBorder="1"/>
    <xf numFmtId="0" fontId="2" fillId="2" borderId="6" xfId="0" applyFont="1" applyFill="1" applyBorder="1"/>
    <xf numFmtId="0" fontId="2" fillId="12" borderId="6" xfId="0" applyFont="1" applyFill="1" applyBorder="1"/>
    <xf numFmtId="0" fontId="2" fillId="11" borderId="6" xfId="0" applyFont="1" applyFill="1" applyBorder="1"/>
    <xf numFmtId="0" fontId="2" fillId="13" borderId="6" xfId="0" applyFont="1" applyFill="1" applyBorder="1"/>
    <xf numFmtId="0" fontId="2" fillId="10" borderId="6" xfId="0" applyFont="1" applyFill="1" applyBorder="1"/>
    <xf numFmtId="0" fontId="2" fillId="8" borderId="6" xfId="0" applyFont="1" applyFill="1" applyBorder="1"/>
    <xf numFmtId="0" fontId="1" fillId="6" borderId="6" xfId="0" applyFont="1" applyFill="1" applyBorder="1"/>
    <xf numFmtId="0" fontId="10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/>
    <xf numFmtId="16" fontId="12" fillId="0" borderId="0" xfId="0" applyNumberFormat="1" applyFont="1" applyAlignment="1">
      <alignment horizontal="center" vertical="center"/>
    </xf>
    <xf numFmtId="9" fontId="2" fillId="0" borderId="0" xfId="1" applyFont="1"/>
    <xf numFmtId="16" fontId="2" fillId="0" borderId="0" xfId="0" applyNumberFormat="1" applyFont="1" applyAlignment="1">
      <alignment horizontal="center" vertical="center"/>
    </xf>
    <xf numFmtId="16" fontId="13" fillId="0" borderId="0" xfId="0" applyNumberFormat="1" applyFont="1" applyAlignment="1">
      <alignment horizontal="center" vertical="center"/>
    </xf>
    <xf numFmtId="0" fontId="5" fillId="3" borderId="6" xfId="0" applyFont="1" applyFill="1" applyBorder="1"/>
    <xf numFmtId="0" fontId="1" fillId="16" borderId="6" xfId="0" applyFont="1" applyFill="1" applyBorder="1"/>
    <xf numFmtId="0" fontId="1" fillId="4" borderId="6" xfId="0" applyFont="1" applyFill="1" applyBorder="1"/>
    <xf numFmtId="0" fontId="5" fillId="9" borderId="6" xfId="0" applyFont="1" applyFill="1" applyBorder="1"/>
    <xf numFmtId="0" fontId="2" fillId="5" borderId="6" xfId="0" applyFont="1" applyFill="1" applyBorder="1"/>
    <xf numFmtId="0" fontId="1" fillId="17" borderId="6" xfId="0" applyFont="1" applyFill="1" applyBorder="1"/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" fontId="0" fillId="15" borderId="11" xfId="0" applyNumberFormat="1" applyFill="1" applyBorder="1" applyAlignment="1">
      <alignment horizontal="left"/>
    </xf>
    <xf numFmtId="16" fontId="0" fillId="15" borderId="12" xfId="0" applyNumberFormat="1" applyFill="1" applyBorder="1" applyAlignment="1">
      <alignment horizontal="left"/>
    </xf>
    <xf numFmtId="9" fontId="0" fillId="0" borderId="0" xfId="1" applyFont="1" applyBorder="1"/>
    <xf numFmtId="0" fontId="2" fillId="18" borderId="0" xfId="0" applyFont="1" applyFill="1"/>
    <xf numFmtId="0" fontId="2" fillId="9" borderId="0" xfId="0" applyFont="1" applyFill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0" fontId="0" fillId="0" borderId="0" xfId="1" applyNumberFormat="1" applyFont="1"/>
    <xf numFmtId="0" fontId="2" fillId="11" borderId="0" xfId="0" applyFont="1" applyFill="1"/>
    <xf numFmtId="0" fontId="2" fillId="2" borderId="0" xfId="0" applyFont="1" applyFill="1"/>
    <xf numFmtId="0" fontId="15" fillId="0" borderId="0" xfId="2" quotePrefix="1"/>
    <xf numFmtId="0" fontId="2" fillId="19" borderId="0" xfId="0" applyFont="1" applyFill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3">
    <cellStyle name="Hiperlink" xfId="2" builtinId="8"/>
    <cellStyle name="Normal" xfId="0" builtinId="0"/>
    <cellStyle name="Porcentagem" xfId="1" builtinId="5"/>
  </cellStyles>
  <dxfs count="2232"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5" tint="-0.24994659260841701"/>
        </patternFill>
      </fill>
      <border>
        <left/>
        <right/>
        <top/>
        <bottom/>
        <vertical/>
        <horizontal/>
      </border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5" tint="-0.24994659260841701"/>
        </patternFill>
      </fill>
      <border>
        <left/>
        <right/>
        <top/>
        <bottom/>
        <vertical/>
        <horizontal/>
      </border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5" tint="-0.24994659260841701"/>
        </patternFill>
      </fill>
      <border>
        <left/>
        <right/>
        <top/>
        <bottom/>
        <vertical/>
        <horizontal/>
      </border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5" tint="-0.24994659260841701"/>
        </patternFill>
      </fill>
      <border>
        <left/>
        <right/>
        <top/>
        <bottom/>
        <vertical/>
        <horizontal/>
      </border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5" tint="-0.24994659260841701"/>
        </patternFill>
      </fill>
      <border>
        <left/>
        <right/>
        <top/>
        <bottom/>
        <vertical/>
        <horizontal/>
      </border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5" tint="-0.24994659260841701"/>
        </patternFill>
      </fill>
      <border>
        <left/>
        <right/>
        <top/>
        <bottom/>
        <vertical/>
        <horizontal/>
      </border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5" tint="-0.24994659260841701"/>
        </patternFill>
      </fill>
      <border>
        <left/>
        <right/>
        <top/>
        <bottom/>
        <vertical/>
        <horizontal/>
      </border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5" tint="-0.24994659260841701"/>
        </patternFill>
      </fill>
      <border>
        <left/>
        <right/>
        <top/>
        <bottom/>
        <vertical/>
        <horizontal/>
      </border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5" tint="-0.24994659260841701"/>
        </patternFill>
      </fill>
      <border>
        <left/>
        <right/>
        <top/>
        <bottom/>
        <vertical/>
        <horizontal/>
      </border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5" tint="-0.24994659260841701"/>
        </patternFill>
      </fill>
      <border>
        <left/>
        <right/>
        <top/>
        <bottom/>
        <vertical/>
        <horizontal/>
      </border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5" tint="-0.24994659260841701"/>
        </patternFill>
      </fill>
      <border>
        <left/>
        <right/>
        <top/>
        <bottom/>
        <vertical/>
        <horizontal/>
      </border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5" tint="-0.24994659260841701"/>
        </patternFill>
      </fill>
      <border>
        <left/>
        <right/>
        <top/>
        <bottom/>
        <vertical/>
        <horizontal/>
      </border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5" tint="-0.24994659260841701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5" tint="-0.24994659260841701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5" tint="-0.24994659260841701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5" tint="-0.24994659260841701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5" tint="-0.24994659260841701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5" tint="-0.24994659260841701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5" tint="-0.24994659260841701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theme="7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</font>
      <fill>
        <patternFill>
          <bgColor theme="7" tint="-0.2499465926084170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7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3A60D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</font>
      <fill>
        <patternFill>
          <bgColor rgb="FFF98D2B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D13F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fill>
        <patternFill>
          <bgColor rgb="FF517B7B"/>
        </patternFill>
      </fill>
    </dxf>
  </dxfs>
  <tableStyles count="1" defaultTableStyle="TableStyleMedium2" defaultPivotStyle="PivotStyleLight16">
    <tableStyle name="Estilo de Segmentação de Dados 1" pivot="0" table="0" count="3" xr9:uid="{5B9DED92-B990-4142-88FB-DCD77D4C8BF6}">
      <tableStyleElement type="wholeTable" dxfId="2231"/>
    </tableStyle>
  </tableStyles>
  <colors>
    <mruColors>
      <color rgb="FF517B7B"/>
      <color rgb="FFEAB200"/>
      <color rgb="FFF3A60D"/>
      <color rgb="FF8E2BA5"/>
      <color rgb="FFFFD13F"/>
      <color rgb="FFF98D2B"/>
      <color rgb="FFDAA04A"/>
      <color rgb="FFF78C81"/>
      <color rgb="FFDF8E45"/>
    </mruColors>
  </colors>
  <extLst>
    <ext xmlns:x14="http://schemas.microsoft.com/office/spreadsheetml/2009/9/main" uri="{46F421CA-312F-682f-3DD2-61675219B42D}">
      <x14:dxfs count="2">
        <dxf>
          <font>
            <b/>
            <i val="0"/>
          </font>
          <fill>
            <patternFill>
              <bgColor theme="0"/>
            </patternFill>
          </fill>
        </dxf>
        <dxf>
          <fill>
            <patternFill>
              <bgColor theme="2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microsoft.com/office/2007/relationships/slicerCache" Target="slicerCaches/slicerCache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onnections" Target="connections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microsoft.com/office/2007/relationships/slicerCache" Target="slicerCaches/slicerCache3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microsoft.com/office/2007/relationships/slicerCache" Target="slicerCaches/slicerCache1.xml"/><Relationship Id="rId81" Type="http://schemas.openxmlformats.org/officeDocument/2006/relationships/theme" Target="theme/theme1.xml"/><Relationship Id="rId86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sz="1100" b="1" i="0" u="sng" strike="noStrike" baseline="0">
                <a:solidFill>
                  <a:srgbClr val="002060"/>
                </a:solidFill>
                <a:effectLst/>
              </a:rPr>
              <a:t>Atendimento de Irrigação (Impacto - Problemas Elétricos) -  1º Semestre de 2022</a:t>
            </a:r>
            <a:r>
              <a:rPr lang="pt-BR" sz="1100" b="1" i="0" u="sng" strike="noStrike" baseline="0">
                <a:solidFill>
                  <a:srgbClr val="002060"/>
                </a:solidFill>
              </a:rPr>
              <a:t> </a:t>
            </a:r>
            <a:endParaRPr lang="pt-BR" sz="1100" b="1" u="sng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Acumulado!$A$3</c:f>
              <c:strCache>
                <c:ptCount val="1"/>
                <c:pt idx="0">
                  <c:v>Cabo Rompido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186C-431E-A999-F4E1D359887B}"/>
              </c:ext>
            </c:extLst>
          </c:dPt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Acumulado!$B$3:$T$3</c:f>
              <c:numCache>
                <c:formatCode>General</c:formatCode>
                <c:ptCount val="19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C-431E-A999-F4E1D359887B}"/>
            </c:ext>
          </c:extLst>
        </c:ser>
        <c:ser>
          <c:idx val="1"/>
          <c:order val="1"/>
          <c:tx>
            <c:strRef>
              <c:f>Acumulado!$A$4</c:f>
              <c:strCache>
                <c:ptCount val="1"/>
                <c:pt idx="0">
                  <c:v>Transformador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Acumulado!$B$4:$T$4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5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6C-431E-A999-F4E1D359887B}"/>
            </c:ext>
          </c:extLst>
        </c:ser>
        <c:ser>
          <c:idx val="2"/>
          <c:order val="2"/>
          <c:tx>
            <c:strRef>
              <c:f>Acumulado!$A$5</c:f>
              <c:strCache>
                <c:ptCount val="1"/>
                <c:pt idx="0">
                  <c:v>Chave Aberta</c:v>
                </c:pt>
              </c:strCache>
            </c:strRef>
          </c:tx>
          <c:spPr>
            <a:solidFill>
              <a:srgbClr val="8E2BA5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Acumulado!$B$5:$T$5</c:f>
              <c:numCache>
                <c:formatCode>General</c:formatCode>
                <c:ptCount val="19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6C-431E-A999-F4E1D359887B}"/>
            </c:ext>
          </c:extLst>
        </c:ser>
        <c:ser>
          <c:idx val="3"/>
          <c:order val="3"/>
          <c:tx>
            <c:strRef>
              <c:f>Acumulado!$A$6</c:f>
              <c:strCache>
                <c:ptCount val="1"/>
                <c:pt idx="0">
                  <c:v>Painel da Bomba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Acumulado!$B$6:$T$6</c:f>
              <c:numCache>
                <c:formatCode>General</c:formatCode>
                <c:ptCount val="19"/>
                <c:pt idx="0">
                  <c:v>5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6C-431E-A999-F4E1D359887B}"/>
            </c:ext>
          </c:extLst>
        </c:ser>
        <c:ser>
          <c:idx val="4"/>
          <c:order val="4"/>
          <c:tx>
            <c:strRef>
              <c:f>Acumulado!$A$7</c:f>
              <c:strCache>
                <c:ptCount val="1"/>
                <c:pt idx="0">
                  <c:v>Painel do Pivô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Acumulado!$B$7:$T$7</c:f>
              <c:numCache>
                <c:formatCode>General</c:formatCode>
                <c:ptCount val="19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6C-431E-A999-F4E1D359887B}"/>
            </c:ext>
          </c:extLst>
        </c:ser>
        <c:ser>
          <c:idx val="5"/>
          <c:order val="5"/>
          <c:tx>
            <c:strRef>
              <c:f>Acumulado!$A$8</c:f>
              <c:strCache>
                <c:ptCount val="1"/>
                <c:pt idx="0">
                  <c:v>Contactora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Acumulado!$B$8:$T$8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3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6C-431E-A999-F4E1D359887B}"/>
            </c:ext>
          </c:extLst>
        </c:ser>
        <c:ser>
          <c:idx val="6"/>
          <c:order val="6"/>
          <c:tx>
            <c:strRef>
              <c:f>Acumulado!$A$9</c:f>
              <c:strCache>
                <c:ptCount val="1"/>
                <c:pt idx="0">
                  <c:v>Caixa do Micro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86C-431E-A999-F4E1D359887B}"/>
            </c:ext>
          </c:extLst>
        </c:ser>
        <c:ser>
          <c:idx val="7"/>
          <c:order val="7"/>
          <c:tx>
            <c:strRef>
              <c:f>Acumulado!$A$10</c:f>
              <c:strCache>
                <c:ptCount val="1"/>
                <c:pt idx="0">
                  <c:v>Cabo de Segurança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Acumulado!$B$10:$T$10</c:f>
              <c:numCache>
                <c:formatCode>General</c:formatCode>
                <c:ptCount val="19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6C-431E-A999-F4E1D359887B}"/>
            </c:ext>
          </c:extLst>
        </c:ser>
        <c:ser>
          <c:idx val="8"/>
          <c:order val="8"/>
          <c:tx>
            <c:strRef>
              <c:f>Acumulado!$A$11</c:f>
              <c:strCache>
                <c:ptCount val="1"/>
                <c:pt idx="0">
                  <c:v>Falta de Fase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Acumulado!$B$11:$T$11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54-4BDE-B030-64B8C37B2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182599711"/>
        <c:axId val="1182600127"/>
      </c:barChart>
      <c:dateAx>
        <c:axId val="118259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2600127"/>
        <c:crosses val="autoZero"/>
        <c:auto val="1"/>
        <c:lblOffset val="100"/>
        <c:baseTimeUnit val="days"/>
      </c:dateAx>
      <c:valAx>
        <c:axId val="1182600127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259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917956129066392"/>
          <c:y val="0.25272648538580034"/>
          <c:w val="0.31402077470261613"/>
          <c:h val="0.687073986658468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650207786526684"/>
          <c:y val="2.0885547201336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Acumulado!$V$2</c:f>
              <c:strCache>
                <c:ptCount val="1"/>
                <c:pt idx="0">
                  <c:v>Percentual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217-49EB-8F5A-CEA51279B34F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17-49EB-8F5A-CEA51279B34F}"/>
              </c:ext>
            </c:extLst>
          </c:dPt>
          <c:dPt>
            <c:idx val="2"/>
            <c:bubble3D val="0"/>
            <c:spPr>
              <a:solidFill>
                <a:srgbClr val="8E2BA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217-49EB-8F5A-CEA51279B34F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17-49EB-8F5A-CEA51279B34F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217-49EB-8F5A-CEA51279B34F}"/>
              </c:ext>
            </c:extLst>
          </c:dPt>
          <c:dPt>
            <c:idx val="5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217-49EB-8F5A-CEA51279B34F}"/>
              </c:ext>
            </c:extLst>
          </c:dPt>
          <c:dPt>
            <c:idx val="6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217-49EB-8F5A-CEA51279B34F}"/>
              </c:ext>
            </c:extLst>
          </c:dPt>
          <c:dPt>
            <c:idx val="7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217-49EB-8F5A-CEA51279B34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472-4608-9BFA-5F2B55ABF700}"/>
              </c:ext>
            </c:extLst>
          </c:dPt>
          <c:dLbls>
            <c:dLbl>
              <c:idx val="6"/>
              <c:layout>
                <c:manualLayout>
                  <c:x val="-7.7220077220077335E-3"/>
                  <c:y val="-7.08800945067926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7-49EB-8F5A-CEA51279B34F}"/>
                </c:ext>
              </c:extLst>
            </c:dLbl>
            <c:dLbl>
              <c:idx val="7"/>
              <c:layout>
                <c:manualLayout>
                  <c:x val="2.5740025740025738E-2"/>
                  <c:y val="-3.9377830281551486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7-49EB-8F5A-CEA51279B34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" lastClr="FFFFFF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Acumulado!$A$3:$A$11</c:f>
              <c:strCache>
                <c:ptCount val="9"/>
                <c:pt idx="0">
                  <c:v>Cabo Rompido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de Segurança</c:v>
                </c:pt>
                <c:pt idx="8">
                  <c:v>Falta de Fase</c:v>
                </c:pt>
              </c:strCache>
            </c:strRef>
          </c:cat>
          <c:val>
            <c:numRef>
              <c:f>Acumulado!$V$3:$V$11</c:f>
              <c:numCache>
                <c:formatCode>0%</c:formatCode>
                <c:ptCount val="9"/>
                <c:pt idx="0">
                  <c:v>3.4722222222222224E-2</c:v>
                </c:pt>
                <c:pt idx="1">
                  <c:v>9.0277777777777776E-2</c:v>
                </c:pt>
                <c:pt idx="2">
                  <c:v>0.15972222222222221</c:v>
                </c:pt>
                <c:pt idx="3">
                  <c:v>0.1736111111111111</c:v>
                </c:pt>
                <c:pt idx="4">
                  <c:v>0.1388888888888889</c:v>
                </c:pt>
                <c:pt idx="5">
                  <c:v>0.14583333333333334</c:v>
                </c:pt>
                <c:pt idx="6">
                  <c:v>0.10416666666666667</c:v>
                </c:pt>
                <c:pt idx="7">
                  <c:v>0.15277777777777779</c:v>
                </c:pt>
                <c:pt idx="8">
                  <c:v>1.3888888888888888E-2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7-49EB-8F5A-CEA51279B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051-4E82-A6B2-83E13B4FE5BE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51-4E82-A6B2-83E13B4FE5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051-4E82-A6B2-83E13B4FE5BE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51-4E82-A6B2-83E13B4FE5BE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051-4E82-A6B2-83E13B4FE5BE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51-4E82-A6B2-83E13B4FE5BE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051-4E82-A6B2-83E13B4FE5BE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51-4E82-A6B2-83E13B4FE5BE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051-4E82-A6B2-83E13B4FE5BE}"/>
                </c:ext>
              </c:extLst>
            </c:dLbl>
            <c:dLbl>
              <c:idx val="3"/>
              <c:layout>
                <c:manualLayout>
                  <c:x val="9.6259625962596157E-2"/>
                  <c:y val="-1.508295625942684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51-4E82-A6B2-83E13B4FE5B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51-4E82-A6B2-83E13B4FE5B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051-4E82-A6B2-83E13B4FE5BE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'21 02 2022'!$J$5:$J$12</c:f>
              <c:strCache>
                <c:ptCount val="8"/>
                <c:pt idx="0">
                  <c:v>Cabo Rompido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Cabo/Auto Rompido</c:v>
                </c:pt>
              </c:strCache>
            </c:strRef>
          </c:cat>
          <c:val>
            <c:numRef>
              <c:f>'21 02 2022'!$L$5:$L$12</c:f>
              <c:numCache>
                <c:formatCode>0%</c:formatCode>
                <c:ptCount val="8"/>
                <c:pt idx="0">
                  <c:v>0.1875</c:v>
                </c:pt>
                <c:pt idx="1">
                  <c:v>6.25E-2</c:v>
                </c:pt>
                <c:pt idx="2">
                  <c:v>0</c:v>
                </c:pt>
                <c:pt idx="3">
                  <c:v>0.3125</c:v>
                </c:pt>
                <c:pt idx="4">
                  <c:v>0.3125</c:v>
                </c:pt>
                <c:pt idx="5">
                  <c:v>0</c:v>
                </c:pt>
                <c:pt idx="6">
                  <c:v>0</c:v>
                </c:pt>
                <c:pt idx="7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1-4E82-A6B2-83E13B4FE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39-478F-8D22-ABBFE6EBC3F1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39-478F-8D22-ABBFE6EBC3F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39-478F-8D22-ABBFE6EBC3F1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39-478F-8D22-ABBFE6EBC3F1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239-478F-8D22-ABBFE6EBC3F1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239-478F-8D22-ABBFE6EBC3F1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239-478F-8D22-ABBFE6EBC3F1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239-478F-8D22-ABBFE6EBC3F1}"/>
              </c:ext>
            </c:extLst>
          </c:dPt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39-478F-8D22-ABBFE6EBC3F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239-478F-8D22-ABBFE6EBC3F1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'28 02 2022'!$J$5:$J$12</c:f>
              <c:strCache>
                <c:ptCount val="8"/>
                <c:pt idx="0">
                  <c:v>Cabo Rompido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Cabo/Auto Rompido</c:v>
                </c:pt>
              </c:strCache>
            </c:strRef>
          </c:cat>
          <c:val>
            <c:numRef>
              <c:f>'28 02 2022'!$L$5:$L$12</c:f>
              <c:numCache>
                <c:formatCode>0%</c:formatCode>
                <c:ptCount val="8"/>
                <c:pt idx="0">
                  <c:v>7.1428571428571425E-2</c:v>
                </c:pt>
                <c:pt idx="1">
                  <c:v>0.14285714285714285</c:v>
                </c:pt>
                <c:pt idx="2">
                  <c:v>0.21428571428571427</c:v>
                </c:pt>
                <c:pt idx="3">
                  <c:v>0.14285714285714285</c:v>
                </c:pt>
                <c:pt idx="4">
                  <c:v>7.1428571428571425E-2</c:v>
                </c:pt>
                <c:pt idx="5">
                  <c:v>0.35714285714285715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239-478F-8D22-ABBFE6EBC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00-4B62-B05B-91E77B807180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00-4B62-B05B-91E77B80718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00-4B62-B05B-91E77B807180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00-4B62-B05B-91E77B807180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00-4B62-B05B-91E77B807180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00-4B62-B05B-91E77B807180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700-4B62-B05B-91E77B807180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700-4B62-B05B-91E77B80718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00-4B62-B05B-91E77B80718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00-4B62-B05B-91E77B80718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00-4B62-B05B-91E77B80718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00-4B62-B05B-91E77B80718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700-4B62-B05B-91E77B80718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700-4B62-B05B-91E77B807180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'07 03 2022'!$J$5:$J$12</c:f>
              <c:strCache>
                <c:ptCount val="8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</c:strCache>
            </c:strRef>
          </c:cat>
          <c:val>
            <c:numRef>
              <c:f>'07 03 2022'!$L$5:$L$12</c:f>
              <c:numCache>
                <c:formatCode>0%</c:formatCode>
                <c:ptCount val="8"/>
                <c:pt idx="0">
                  <c:v>0</c:v>
                </c:pt>
                <c:pt idx="1">
                  <c:v>0.33333333333333331</c:v>
                </c:pt>
                <c:pt idx="2">
                  <c:v>0</c:v>
                </c:pt>
                <c:pt idx="3">
                  <c:v>0</c:v>
                </c:pt>
                <c:pt idx="4">
                  <c:v>0.16666666666666666</c:v>
                </c:pt>
                <c:pt idx="5">
                  <c:v>0.5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700-4B62-B05B-91E77B807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50-41EC-B1D0-52D275362238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50-41EC-B1D0-52D27536223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50-41EC-B1D0-52D275362238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D50-41EC-B1D0-52D275362238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D50-41EC-B1D0-52D275362238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D50-41EC-B1D0-52D275362238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D50-41EC-B1D0-52D275362238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D50-41EC-B1D0-52D27536223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50-41EC-B1D0-52D27536223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50-41EC-B1D0-52D27536223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D50-41EC-B1D0-52D27536223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D50-41EC-B1D0-52D27536223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'14 03 2022'!$J$5:$J$12</c:f>
              <c:strCache>
                <c:ptCount val="8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</c:strCache>
            </c:strRef>
          </c:cat>
          <c:val>
            <c:numRef>
              <c:f>'14 03 2022'!$L$5:$L$12</c:f>
              <c:numCache>
                <c:formatCode>0%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</c:v>
                </c:pt>
                <c:pt idx="3">
                  <c:v>0.3</c:v>
                </c:pt>
                <c:pt idx="4">
                  <c:v>0</c:v>
                </c:pt>
                <c:pt idx="5">
                  <c:v>0.1</c:v>
                </c:pt>
                <c:pt idx="6">
                  <c:v>0.1</c:v>
                </c:pt>
                <c:pt idx="7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D50-41EC-B1D0-52D275362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F3-4729-9F1C-6B7095981775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F3-4729-9F1C-6B7095981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F3-4729-9F1C-6B7095981775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F3-4729-9F1C-6B7095981775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F3-4729-9F1C-6B7095981775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F3-4729-9F1C-6B7095981775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9F3-4729-9F1C-6B7095981775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9F3-4729-9F1C-6B709598177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F3-4729-9F1C-6B709598177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F3-4729-9F1C-6B709598177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9F3-4729-9F1C-6B709598177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9F3-4729-9F1C-6B709598177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'21 03 2022'!$J$5:$J$12</c:f>
              <c:strCache>
                <c:ptCount val="8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</c:strCache>
            </c:strRef>
          </c:cat>
          <c:val>
            <c:numRef>
              <c:f>'21 03 2022'!$L$5:$L$12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0.14285714285714285</c:v>
                </c:pt>
                <c:pt idx="4">
                  <c:v>0.2857142857142857</c:v>
                </c:pt>
                <c:pt idx="5">
                  <c:v>0</c:v>
                </c:pt>
                <c:pt idx="6">
                  <c:v>0</c:v>
                </c:pt>
                <c:pt idx="7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9F3-4729-9F1C-6B7095981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F5-4FA4-8399-CCF75C7B04E5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F5-4FA4-8399-CCF75C7B04E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F5-4FA4-8399-CCF75C7B04E5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DF5-4FA4-8399-CCF75C7B04E5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DF5-4FA4-8399-CCF75C7B04E5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DF5-4FA4-8399-CCF75C7B04E5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DF5-4FA4-8399-CCF75C7B04E5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DF5-4FA4-8399-CCF75C7B04E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F5-4FA4-8399-CCF75C7B04E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F5-4FA4-8399-CCF75C7B04E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DF5-4FA4-8399-CCF75C7B04E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DF5-4FA4-8399-CCF75C7B04E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'28 03 2022'!$J$5:$J$12</c:f>
              <c:strCache>
                <c:ptCount val="8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</c:strCache>
            </c:strRef>
          </c:cat>
          <c:val>
            <c:numRef>
              <c:f>'28 03 2022'!$L$5:$L$12</c:f>
              <c:numCache>
                <c:formatCode>0%</c:formatCode>
                <c:ptCount val="8"/>
                <c:pt idx="0">
                  <c:v>9.0909090909090912E-2</c:v>
                </c:pt>
                <c:pt idx="1">
                  <c:v>0</c:v>
                </c:pt>
                <c:pt idx="2">
                  <c:v>0.36363636363636365</c:v>
                </c:pt>
                <c:pt idx="3">
                  <c:v>0</c:v>
                </c:pt>
                <c:pt idx="4">
                  <c:v>9.0909090909090912E-2</c:v>
                </c:pt>
                <c:pt idx="5">
                  <c:v>9.0909090909090912E-2</c:v>
                </c:pt>
                <c:pt idx="6">
                  <c:v>0.18181818181818182</c:v>
                </c:pt>
                <c:pt idx="7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DF5-4FA4-8399-CCF75C7B0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2A-4732-A81B-7A579DC29711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2A-4732-A81B-7A579DC2971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2A-4732-A81B-7A579DC29711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2A-4732-A81B-7A579DC29711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72A-4732-A81B-7A579DC29711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72A-4732-A81B-7A579DC29711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72A-4732-A81B-7A579DC29711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72A-4732-A81B-7A579DC2971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2A-4732-A81B-7A579DC297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2A-4732-A81B-7A579DC297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72A-4732-A81B-7A579DC297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72A-4732-A81B-7A579DC2971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'04 04 2022'!$J$5:$J$12</c:f>
              <c:strCache>
                <c:ptCount val="8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</c:strCache>
            </c:strRef>
          </c:cat>
          <c:val>
            <c:numRef>
              <c:f>'04 04 2022'!$L$5:$L$12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0.16666666666666666</c:v>
                </c:pt>
                <c:pt idx="4">
                  <c:v>0.33333333333333331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72A-4732-A81B-7A579DC2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15-4842-8C98-BE36D526096B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15-4842-8C98-BE36D526096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15-4842-8C98-BE36D526096B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115-4842-8C98-BE36D526096B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115-4842-8C98-BE36D526096B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115-4842-8C98-BE36D526096B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115-4842-8C98-BE36D526096B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115-4842-8C98-BE36D526096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15-4842-8C98-BE36D526096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15-4842-8C98-BE36D526096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115-4842-8C98-BE36D526096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115-4842-8C98-BE36D526096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'11 04 2022'!$J$5:$J$12</c:f>
              <c:strCache>
                <c:ptCount val="8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</c:strCache>
            </c:strRef>
          </c:cat>
          <c:val>
            <c:numRef>
              <c:f>'11 04 2022'!$L$5:$L$12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0.61904761904761907</c:v>
                </c:pt>
                <c:pt idx="3">
                  <c:v>0</c:v>
                </c:pt>
                <c:pt idx="4">
                  <c:v>4.7619047619047616E-2</c:v>
                </c:pt>
                <c:pt idx="5">
                  <c:v>0</c:v>
                </c:pt>
                <c:pt idx="6">
                  <c:v>0.23809523809523808</c:v>
                </c:pt>
                <c:pt idx="7">
                  <c:v>9.5238095238095233E-2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115-4842-8C98-BE36D5260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42-4240-AFCF-DB6620FAB4E6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42-4240-AFCF-DB6620FAB4E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42-4240-AFCF-DB6620FAB4E6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42-4240-AFCF-DB6620FAB4E6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42-4240-AFCF-DB6620FAB4E6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42-4240-AFCF-DB6620FAB4E6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942-4240-AFCF-DB6620FAB4E6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942-4240-AFCF-DB6620FAB4E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42-4240-AFCF-DB6620FAB4E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42-4240-AFCF-DB6620FAB4E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942-4240-AFCF-DB6620FAB4E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942-4240-AFCF-DB6620FAB4E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'18 04 2022'!$J$5:$J$12</c:f>
              <c:strCache>
                <c:ptCount val="8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</c:strCache>
            </c:strRef>
          </c:cat>
          <c:val>
            <c:numRef>
              <c:f>'18 04 2022'!$L$5:$L$12</c:f>
              <c:numCache>
                <c:formatCode>0%</c:formatCode>
                <c:ptCount val="8"/>
                <c:pt idx="0">
                  <c:v>0</c:v>
                </c:pt>
                <c:pt idx="1">
                  <c:v>0.125</c:v>
                </c:pt>
                <c:pt idx="2">
                  <c:v>0</c:v>
                </c:pt>
                <c:pt idx="3">
                  <c:v>0.25</c:v>
                </c:pt>
                <c:pt idx="4">
                  <c:v>0.125</c:v>
                </c:pt>
                <c:pt idx="5">
                  <c:v>0</c:v>
                </c:pt>
                <c:pt idx="6">
                  <c:v>0.5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942-4240-AFCF-DB6620FAB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9C-4E5D-8672-873B7A9F3CA8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9C-4E5D-8672-873B7A9F3CA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9C-4E5D-8672-873B7A9F3CA8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9C-4E5D-8672-873B7A9F3CA8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79C-4E5D-8672-873B7A9F3CA8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79C-4E5D-8672-873B7A9F3CA8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79C-4E5D-8672-873B7A9F3CA8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79C-4E5D-8672-873B7A9F3CA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822-4216-A41B-42BF7E2BE1E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9C-4E5D-8672-873B7A9F3CA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9C-4E5D-8672-873B7A9F3CA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9C-4E5D-8672-873B7A9F3CA8}"/>
                </c:ext>
              </c:extLst>
            </c:dLbl>
            <c:dLbl>
              <c:idx val="3"/>
              <c:layout>
                <c:manualLayout>
                  <c:x val="-9.4765382050016021E-3"/>
                  <c:y val="-1.016673218419558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79C-4E5D-8672-873B7A9F3CA8}"/>
                </c:ext>
              </c:extLst>
            </c:dLbl>
            <c:dLbl>
              <c:idx val="4"/>
              <c:layout>
                <c:manualLayout>
                  <c:x val="-2.9154539469695002E-2"/>
                  <c:y val="7.153111156113049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79C-4E5D-8672-873B7A9F3CA8}"/>
                </c:ext>
              </c:extLst>
            </c:dLbl>
            <c:dLbl>
              <c:idx val="5"/>
              <c:layout>
                <c:manualLayout>
                  <c:x val="5.1429060228857529E-2"/>
                  <c:y val="-5.9640805111161406E-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79C-4E5D-8672-873B7A9F3CA8}"/>
                </c:ext>
              </c:extLst>
            </c:dLbl>
            <c:dLbl>
              <c:idx val="6"/>
              <c:layout>
                <c:manualLayout>
                  <c:x val="-2.775016674895836E-2"/>
                  <c:y val="-4.109285885406532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79C-4E5D-8672-873B7A9F3CA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79C-4E5D-8672-873B7A9F3CA8}"/>
                </c:ext>
              </c:extLst>
            </c:dLbl>
            <c:dLbl>
              <c:idx val="8"/>
              <c:layout>
                <c:manualLayout>
                  <c:x val="7.4884358514591617E-3"/>
                  <c:y val="2.597379563560606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822-4216-A41B-42BF7E2BE1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 04 2022'!$J$5:$J$13</c:f>
              <c:strCache>
                <c:ptCount val="9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  <c:pt idx="8">
                  <c:v>Falta de Fase</c:v>
                </c:pt>
              </c:strCache>
            </c:strRef>
          </c:cat>
          <c:val>
            <c:numRef>
              <c:f>'25 04 2022'!$L$5:$L$13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0.22222222222222221</c:v>
                </c:pt>
                <c:pt idx="4">
                  <c:v>0.22222222222222221</c:v>
                </c:pt>
                <c:pt idx="5">
                  <c:v>0.1111111111111111</c:v>
                </c:pt>
                <c:pt idx="6">
                  <c:v>0.22222222222222221</c:v>
                </c:pt>
                <c:pt idx="7">
                  <c:v>0</c:v>
                </c:pt>
                <c:pt idx="8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79C-4E5D-8672-873B7A9F3CA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A9-4192-A663-944D272086C7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A9-4192-A663-944D272086C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A9-4192-A663-944D272086C7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A9-4192-A663-944D272086C7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1A9-4192-A663-944D272086C7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1A9-4192-A663-944D272086C7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1A9-4192-A663-944D272086C7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1A9-4192-A663-944D272086C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1A9-4192-A663-944D272086C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A9-4192-A663-944D272086C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A9-4192-A663-944D272086C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A9-4192-A663-944D272086C7}"/>
                </c:ext>
              </c:extLst>
            </c:dLbl>
            <c:dLbl>
              <c:idx val="3"/>
              <c:layout>
                <c:manualLayout>
                  <c:x val="-9.4765382050016021E-3"/>
                  <c:y val="-1.016673218419558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1A9-4192-A663-944D272086C7}"/>
                </c:ext>
              </c:extLst>
            </c:dLbl>
            <c:dLbl>
              <c:idx val="4"/>
              <c:layout>
                <c:manualLayout>
                  <c:x val="-2.9154539469695002E-2"/>
                  <c:y val="7.153111156113049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1A9-4192-A663-944D272086C7}"/>
                </c:ext>
              </c:extLst>
            </c:dLbl>
            <c:dLbl>
              <c:idx val="5"/>
              <c:layout>
                <c:manualLayout>
                  <c:x val="5.1429060228857529E-2"/>
                  <c:y val="-5.9640805111161406E-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1A9-4192-A663-944D272086C7}"/>
                </c:ext>
              </c:extLst>
            </c:dLbl>
            <c:dLbl>
              <c:idx val="6"/>
              <c:layout>
                <c:manualLayout>
                  <c:x val="-2.775016674895836E-2"/>
                  <c:y val="-4.109285885406532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1A9-4192-A663-944D272086C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1A9-4192-A663-944D272086C7}"/>
                </c:ext>
              </c:extLst>
            </c:dLbl>
            <c:dLbl>
              <c:idx val="8"/>
              <c:layout>
                <c:manualLayout>
                  <c:x val="7.4884358514591617E-3"/>
                  <c:y val="2.597379563560606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1A9-4192-A663-944D272086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 05 2022'!$J$5:$J$13</c:f>
              <c:strCache>
                <c:ptCount val="9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  <c:pt idx="8">
                  <c:v>Falta de Fase</c:v>
                </c:pt>
              </c:strCache>
            </c:strRef>
          </c:cat>
          <c:val>
            <c:numRef>
              <c:f>'02 05 2022'!$L$5:$L$13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0.66666666666666663</c:v>
                </c:pt>
                <c:pt idx="4">
                  <c:v>0.33333333333333331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1A9-4192-A663-944D272086C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E5-42F9-8D7B-F2046C8A449C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E5-42F9-8D7B-F2046C8A449C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E5-42F9-8D7B-F2046C8A449C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E5-42F9-8D7B-F2046C8A449C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E5-42F9-8D7B-F2046C8A449C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2E5-42F9-8D7B-F2046C8A449C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2E5-42F9-8D7B-F2046C8A449C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2E5-42F9-8D7B-F2046C8A449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2E5-42F9-8D7B-F2046C8A449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E5-42F9-8D7B-F2046C8A449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E5-42F9-8D7B-F2046C8A44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E5-42F9-8D7B-F2046C8A449C}"/>
                </c:ext>
              </c:extLst>
            </c:dLbl>
            <c:dLbl>
              <c:idx val="3"/>
              <c:layout>
                <c:manualLayout>
                  <c:x val="-9.4765382050016021E-3"/>
                  <c:y val="-1.016673218419558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2E5-42F9-8D7B-F2046C8A449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2E5-42F9-8D7B-F2046C8A449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2E5-42F9-8D7B-F2046C8A449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2E5-42F9-8D7B-F2046C8A449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2E5-42F9-8D7B-F2046C8A449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2E5-42F9-8D7B-F2046C8A44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 05 2022'!$J$5:$J$13</c:f>
              <c:strCache>
                <c:ptCount val="9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  <c:pt idx="8">
                  <c:v>Falta de Fase</c:v>
                </c:pt>
              </c:strCache>
            </c:strRef>
          </c:cat>
          <c:val>
            <c:numRef>
              <c:f>'09 05 2022'!$L$5:$L$13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  <c:pt idx="3">
                  <c:v>0.66666666666666663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2E5-42F9-8D7B-F2046C8A449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C5-4F8C-91E9-A2B25C9A3F1D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C5-4F8C-91E9-A2B25C9A3F1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C5-4F8C-91E9-A2B25C9A3F1D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C5-4F8C-91E9-A2B25C9A3F1D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BC5-4F8C-91E9-A2B25C9A3F1D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BC5-4F8C-91E9-A2B25C9A3F1D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BC5-4F8C-91E9-A2B25C9A3F1D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BC5-4F8C-91E9-A2B25C9A3F1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BC5-4F8C-91E9-A2B25C9A3F1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C5-4F8C-91E9-A2B25C9A3F1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C5-4F8C-91E9-A2B25C9A3F1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C5-4F8C-91E9-A2B25C9A3F1D}"/>
                </c:ext>
              </c:extLst>
            </c:dLbl>
            <c:dLbl>
              <c:idx val="3"/>
              <c:layout>
                <c:manualLayout>
                  <c:x val="-9.4765382050016021E-3"/>
                  <c:y val="-1.016673218419558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C5-4F8C-91E9-A2B25C9A3F1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BC5-4F8C-91E9-A2B25C9A3F1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BC5-4F8C-91E9-A2B25C9A3F1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BC5-4F8C-91E9-A2B25C9A3F1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BC5-4F8C-91E9-A2B25C9A3F1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BC5-4F8C-91E9-A2B25C9A3F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 05 2022'!$J$5:$J$13</c:f>
              <c:strCache>
                <c:ptCount val="9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  <c:pt idx="8">
                  <c:v>Falta de Fase</c:v>
                </c:pt>
              </c:strCache>
            </c:strRef>
          </c:cat>
          <c:val>
            <c:numRef>
              <c:f>'16 05 2022'!$L$5:$L$13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0.375</c:v>
                </c:pt>
                <c:pt idx="4">
                  <c:v>0</c:v>
                </c:pt>
                <c:pt idx="5">
                  <c:v>0.625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BC5-4F8C-91E9-A2B25C9A3F1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1E-4761-8B50-11D2677E307E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1E-4761-8B50-11D2677E30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1E-4761-8B50-11D2677E307E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1E-4761-8B50-11D2677E307E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1E-4761-8B50-11D2677E307E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21E-4761-8B50-11D2677E307E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21E-4761-8B50-11D2677E307E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21E-4761-8B50-11D2677E30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21E-4761-8B50-11D2677E30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 05 2022 '!$J$5:$J$13</c:f>
              <c:strCache>
                <c:ptCount val="9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  <c:pt idx="8">
                  <c:v>Falta de Fase</c:v>
                </c:pt>
              </c:strCache>
            </c:strRef>
          </c:cat>
          <c:val>
            <c:numRef>
              <c:f>'23 05 2022 '!$L$5:$L$13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0.75</c:v>
                </c:pt>
                <c:pt idx="6">
                  <c:v>0</c:v>
                </c:pt>
                <c:pt idx="7">
                  <c:v>0.25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21E-4761-8B50-11D2677E307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E3-4CE3-9BD5-DF0070BB40BE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E3-4CE3-9BD5-DF0070BB40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E3-4CE3-9BD5-DF0070BB40BE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E3-4CE3-9BD5-DF0070BB40BE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E3-4CE3-9BD5-DF0070BB40BE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1E3-4CE3-9BD5-DF0070BB40BE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1E3-4CE3-9BD5-DF0070BB40BE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1E3-4CE3-9BD5-DF0070BB40B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1E3-4CE3-9BD5-DF0070BB40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 06 2022 '!$J$5:$J$13</c:f>
              <c:strCache>
                <c:ptCount val="9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  <c:pt idx="8">
                  <c:v>Falta de Fase</c:v>
                </c:pt>
              </c:strCache>
            </c:strRef>
          </c:cat>
          <c:val>
            <c:numRef>
              <c:f>'06 06 2022 '!$L$5:$L$13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0.25</c:v>
                </c:pt>
                <c:pt idx="4">
                  <c:v>0.25</c:v>
                </c:pt>
                <c:pt idx="5">
                  <c:v>0.5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1E3-4CE3-9BD5-DF0070BB40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39-4A0F-8C0D-87A06C5D1228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39-4A0F-8C0D-87A06C5D122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39-4A0F-8C0D-87A06C5D1228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39-4A0F-8C0D-87A06C5D1228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39-4A0F-8C0D-87A06C5D1228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439-4A0F-8C0D-87A06C5D1228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439-4A0F-8C0D-87A06C5D1228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439-4A0F-8C0D-87A06C5D122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439-4A0F-8C0D-87A06C5D12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 06 2022  '!$J$5:$J$13</c:f>
              <c:strCache>
                <c:ptCount val="9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  <c:pt idx="8">
                  <c:v>Falta de Fase</c:v>
                </c:pt>
              </c:strCache>
            </c:strRef>
          </c:cat>
          <c:val>
            <c:numRef>
              <c:f>'13 06 2022  '!$L$5:$L$13</c:f>
              <c:numCache>
                <c:formatCode>0%</c:formatCode>
                <c:ptCount val="9"/>
                <c:pt idx="0">
                  <c:v>0</c:v>
                </c:pt>
                <c:pt idx="1">
                  <c:v>0.38461538461538464</c:v>
                </c:pt>
                <c:pt idx="2">
                  <c:v>7.6923076923076927E-2</c:v>
                </c:pt>
                <c:pt idx="3">
                  <c:v>7.6923076923076927E-2</c:v>
                </c:pt>
                <c:pt idx="4">
                  <c:v>0.15384615384615385</c:v>
                </c:pt>
                <c:pt idx="5">
                  <c:v>0</c:v>
                </c:pt>
                <c:pt idx="6">
                  <c:v>7.6923076923076927E-2</c:v>
                </c:pt>
                <c:pt idx="7">
                  <c:v>0.23076923076923078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439-4A0F-8C0D-87A06C5D122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D1-4484-B5E6-EEFACC9D86DF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D1-4484-B5E6-EEFACC9D86D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D1-4484-B5E6-EEFACC9D86DF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D1-4484-B5E6-EEFACC9D86DF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D1-4484-B5E6-EEFACC9D86DF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AD1-4484-B5E6-EEFACC9D86DF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AD1-4484-B5E6-EEFACC9D86DF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AD1-4484-B5E6-EEFACC9D86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AD1-4484-B5E6-EEFACC9D86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 06 2022  '!$J$5:$J$13</c:f>
              <c:strCache>
                <c:ptCount val="9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  <c:pt idx="8">
                  <c:v>Falta de Fase</c:v>
                </c:pt>
              </c:strCache>
            </c:strRef>
          </c:cat>
          <c:val>
            <c:numRef>
              <c:f>'20 06 2022  '!$L$5:$L$13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AD1-4484-B5E6-EEFACC9D86D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D9-4473-9877-3D64E50E7540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D9-4473-9877-3D64E50E754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D9-4473-9877-3D64E50E7540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D9-4473-9877-3D64E50E7540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FD9-4473-9877-3D64E50E7540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FD9-4473-9877-3D64E50E7540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FD9-4473-9877-3D64E50E7540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FD9-4473-9877-3D64E50E754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FD9-4473-9877-3D64E50E75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 06 2022  '!$J$5:$J$13</c:f>
              <c:strCache>
                <c:ptCount val="9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  <c:pt idx="8">
                  <c:v>Falta de Fase</c:v>
                </c:pt>
              </c:strCache>
            </c:strRef>
          </c:cat>
          <c:val>
            <c:numRef>
              <c:f>'27 06 2022  '!$L$5:$L$13</c:f>
              <c:numCache>
                <c:formatCode>0%</c:formatCode>
                <c:ptCount val="9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0.16666666666666666</c:v>
                </c:pt>
                <c:pt idx="7">
                  <c:v>0.33333333333333331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FD9-4473-9877-3D64E50E754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Problemas Elétricos</a:t>
            </a:r>
          </a:p>
        </c:rich>
      </c:tx>
      <c:layout>
        <c:manualLayout>
          <c:xMode val="edge"/>
          <c:yMode val="edge"/>
          <c:x val="0.37043476001143422"/>
          <c:y val="2.9255319148936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54502221875726"/>
          <c:y val="0.23391527416538996"/>
          <c:w val="0.51491017211957413"/>
          <c:h val="0.7059628151684659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3B-4DFE-B7CF-B22FAB3A393B}"/>
              </c:ext>
            </c:extLst>
          </c:dPt>
          <c:dPt>
            <c:idx val="1"/>
            <c:bubble3D val="0"/>
            <c:spPr>
              <a:solidFill>
                <a:srgbClr val="F3A60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3B-4DFE-B7CF-B22FAB3A393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3B-4DFE-B7CF-B22FAB3A393B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3B-4DFE-B7CF-B22FAB3A393B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F3B-4DFE-B7CF-B22FAB3A393B}"/>
              </c:ext>
            </c:extLst>
          </c:dPt>
          <c:dPt>
            <c:idx val="5"/>
            <c:bubble3D val="0"/>
            <c:spPr>
              <a:solidFill>
                <a:srgbClr val="FFD1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F3B-4DFE-B7CF-B22FAB3A393B}"/>
              </c:ext>
            </c:extLst>
          </c:dPt>
          <c:dPt>
            <c:idx val="6"/>
            <c:bubble3D val="0"/>
            <c:spPr>
              <a:solidFill>
                <a:srgbClr val="F98D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F3B-4DFE-B7CF-B22FAB3A393B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F3B-4DFE-B7CF-B22FAB3A393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F3B-4DFE-B7CF-B22FAB3A393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1C5-48F6-A782-AD5B92796F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 07 2022'!$J$5:$J$14</c:f>
              <c:strCache>
                <c:ptCount val="10"/>
                <c:pt idx="0">
                  <c:v>Cabo Acionamento</c:v>
                </c:pt>
                <c:pt idx="1">
                  <c:v>Transformador</c:v>
                </c:pt>
                <c:pt idx="2">
                  <c:v>Chave Aberta</c:v>
                </c:pt>
                <c:pt idx="3">
                  <c:v>Painel da Bomba</c:v>
                </c:pt>
                <c:pt idx="4">
                  <c:v>Painel do Pivô</c:v>
                </c:pt>
                <c:pt idx="5">
                  <c:v>Contactora</c:v>
                </c:pt>
                <c:pt idx="6">
                  <c:v>Caixa do Micro</c:v>
                </c:pt>
                <c:pt idx="7">
                  <c:v>Cabo  de Segurança</c:v>
                </c:pt>
                <c:pt idx="8">
                  <c:v>Falta de Fase</c:v>
                </c:pt>
                <c:pt idx="9">
                  <c:v>Inversor de Frequência</c:v>
                </c:pt>
              </c:strCache>
            </c:strRef>
          </c:cat>
          <c:val>
            <c:numRef>
              <c:f>'04 07 2022'!$L$5:$L$14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0.33333333333333331</c:v>
                </c:pt>
                <c:pt idx="7">
                  <c:v>0.33333333333333331</c:v>
                </c:pt>
                <c:pt idx="8">
                  <c:v>0</c:v>
                </c:pt>
                <c:pt idx="9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F3B-4DFE-B7CF-B22FAB3A393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Elétrico Atualizado.xlsx]Analise Semanal!Analise1b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709573690419693E-2"/>
          <c:y val="7.5010946455920546E-2"/>
          <c:w val="0.89351307589946249"/>
          <c:h val="0.668601906074263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'Analise Semanal'!$E$3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Semanal'!$D$4:$D$5</c:f>
              <c:strCache>
                <c:ptCount val="2"/>
                <c:pt idx="0">
                  <c:v>Painel da Bomba</c:v>
                </c:pt>
                <c:pt idx="1">
                  <c:v>Transformador</c:v>
                </c:pt>
              </c:strCache>
            </c:strRef>
          </c:cat>
          <c:val>
            <c:numRef>
              <c:f>'Analise Semanal'!$E$4:$E$5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02-4B2F-96E3-6ECDBA5FC1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4275151"/>
        <c:axId val="802815855"/>
      </c:barChart>
      <c:catAx>
        <c:axId val="58427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2815855"/>
        <c:crosses val="autoZero"/>
        <c:auto val="1"/>
        <c:lblAlgn val="ctr"/>
        <c:lblOffset val="100"/>
        <c:noMultiLvlLbl val="0"/>
      </c:catAx>
      <c:valAx>
        <c:axId val="80281585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8427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[Indicadores Elétrico Atualizado.xlsx]Analise Semanal!Analise1</c:name>
    <c:fmtId val="3"/>
  </c:pivotSource>
  <c:chart>
    <c:autoTitleDeleted val="1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0249372801909696E-2"/>
              <c:y val="-8.96776314011170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4613605418527981"/>
              <c:y val="-5.73628148089531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9464057059092779E-2"/>
              <c:y val="-9.9627492313038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>
              <a:tint val="5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861683149182689E-2"/>
              <c:y val="3.87175054951420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4">
              <a:tint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807561738221228E-2"/>
              <c:y val="7.16618191457889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4048599684313181E-2"/>
              <c:y val="5.42478643599040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4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4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4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4">
              <a:shade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0399177382256967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4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4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3633649131861271E-2"/>
              <c:y val="9.05538397277239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4">
              <a:shade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5121499210783005E-2"/>
              <c:y val="1.42857196421895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4">
              <a:tint val="9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3749680235837939"/>
          <c:y val="9.4049154124167283E-2"/>
          <c:w val="0.47151970920172354"/>
          <c:h val="0.80426509906498767"/>
        </c:manualLayout>
      </c:layout>
      <c:pieChart>
        <c:varyColors val="1"/>
        <c:ser>
          <c:idx val="0"/>
          <c:order val="0"/>
          <c:tx>
            <c:strRef>
              <c:f>'Analise Semanal'!$B$3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6A-49BD-B04C-E14480389221}"/>
              </c:ext>
            </c:extLst>
          </c:dPt>
          <c:dPt>
            <c:idx val="1"/>
            <c:bubble3D val="0"/>
            <c:spPr>
              <a:solidFill>
                <a:schemeClr val="accent4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BD-4657-8F0B-EC17EE6B2E56}"/>
              </c:ext>
            </c:extLst>
          </c:dPt>
          <c:dPt>
            <c:idx val="2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BD-4657-8F0B-EC17EE6B2E56}"/>
              </c:ext>
            </c:extLst>
          </c:dPt>
          <c:dPt>
            <c:idx val="3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7AB-4B50-86B6-BDF9AE7D06EE}"/>
              </c:ext>
            </c:extLst>
          </c:dPt>
          <c:dPt>
            <c:idx val="4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F96-4168-B580-C60FF9FC5EC9}"/>
              </c:ext>
            </c:extLst>
          </c:dPt>
          <c:dPt>
            <c:idx val="5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913-4F5E-9D0E-8920727AB731}"/>
              </c:ext>
            </c:extLst>
          </c:dPt>
          <c:dLbls>
            <c:dLbl>
              <c:idx val="1"/>
              <c:layout>
                <c:manualLayout>
                  <c:x val="-8.5121499210783005E-2"/>
                  <c:y val="1.428571964218959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BD-4657-8F0B-EC17EE6B2E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 Semanal'!$A$4:$A$5</c:f>
              <c:strCache>
                <c:ptCount val="2"/>
                <c:pt idx="0">
                  <c:v>Painel da Bomba</c:v>
                </c:pt>
                <c:pt idx="1">
                  <c:v>Transformador</c:v>
                </c:pt>
              </c:strCache>
            </c:strRef>
          </c:cat>
          <c:val>
            <c:numRef>
              <c:f>'Analise Semanal'!$B$4:$B$5</c:f>
              <c:numCache>
                <c:formatCode>0.00%</c:formatCode>
                <c:ptCount val="2"/>
                <c:pt idx="0">
                  <c:v>0.7142857142857143</c:v>
                </c:pt>
                <c:pt idx="1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117-4646-B66E-149D7EB8E02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[Indicadores Elétrico Atualizado.xlsx]Analise Anual!Analise2</c:name>
    <c:fmtId val="7"/>
  </c:pivotSource>
  <c:chart>
    <c:autoTitleDeleted val="1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4497437758433791E-2"/>
              <c:y val="-1.56554875085058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1307084581562785E-2"/>
              <c:y val="0.103536502381646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1000069211854683E-2"/>
              <c:y val="4.785068533099938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76414002867616"/>
              <c:y val="-3.85185185185185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8602210476991264E-2"/>
              <c:y val="2.87026343929231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330501103180846"/>
              <c:y val="-0.1675368912219305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4602826836616062E-2"/>
              <c:y val="-0.2131704092543987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1196252084539503E-2"/>
              <c:y val="-2.08076212695635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5948193056180383E-2"/>
              <c:y val="-3.45367940118596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4">
              <a:shade val="7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9086880518827027E-3"/>
              <c:y val="-2.9629629629629631E-2"/>
            </c:manualLayout>
          </c:layout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908688051882703E-2"/>
              <c:y val="5.9259259259259213E-2"/>
            </c:manualLayout>
          </c:layout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4">
              <a:shade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4">
              <a:tint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4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4">
              <a:tint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4">
              <a:tint val="4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4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3592683911904266"/>
          <c:y val="0.12177508628953515"/>
          <c:w val="0.4997272740916659"/>
          <c:h val="0.827606789791866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'Analise Anual'!$B$3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D0-4C4F-BF1B-BEEAB0AEA8F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7D0-4C4F-BF1B-BEEAB0AEA8F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D0-4C4F-BF1B-BEEAB0AEA8F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D0-4C4F-BF1B-BEEAB0AEA8F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D0-4C4F-BF1B-BEEAB0AEA8F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D0-4C4F-BF1B-BEEAB0AEA8F1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67D0-4C4F-BF1B-BEEAB0AEA8F1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7D0-4C4F-BF1B-BEEAB0AEA8F1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7D0-4C4F-BF1B-BEEAB0AEA8F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7D0-4C4F-BF1B-BEEAB0AEA8F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7D0-4C4F-BF1B-BEEAB0AEA8F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7D0-4C4F-BF1B-BEEAB0AEA8F1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29F-4D48-B883-9A8069399336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29F-4D48-B883-9A80693993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Anual'!$A$4:$A$18</c:f>
              <c:strCache>
                <c:ptCount val="15"/>
                <c:pt idx="0">
                  <c:v>Cabo  de Segurança</c:v>
                </c:pt>
                <c:pt idx="1">
                  <c:v>Pivô em Manual</c:v>
                </c:pt>
                <c:pt idx="2">
                  <c:v>Injeferd</c:v>
                </c:pt>
                <c:pt idx="3">
                  <c:v>Transformador</c:v>
                </c:pt>
                <c:pt idx="4">
                  <c:v>Gerador</c:v>
                </c:pt>
                <c:pt idx="5">
                  <c:v>Contactora</c:v>
                </c:pt>
                <c:pt idx="6">
                  <c:v>Disjuntor</c:v>
                </c:pt>
                <c:pt idx="7">
                  <c:v>Chave Aberta</c:v>
                </c:pt>
                <c:pt idx="8">
                  <c:v>Caixa do Micro</c:v>
                </c:pt>
                <c:pt idx="9">
                  <c:v>Falta de Fase</c:v>
                </c:pt>
                <c:pt idx="10">
                  <c:v>Inversor de Frequência</c:v>
                </c:pt>
                <c:pt idx="11">
                  <c:v>Cabo Acionamento</c:v>
                </c:pt>
                <c:pt idx="12">
                  <c:v>Painel do Pivô</c:v>
                </c:pt>
                <c:pt idx="13">
                  <c:v>Rede Interna</c:v>
                </c:pt>
                <c:pt idx="14">
                  <c:v>Painel da Bomba</c:v>
                </c:pt>
              </c:strCache>
            </c:strRef>
          </c:cat>
          <c:val>
            <c:numRef>
              <c:f>'Analise Anual'!$B$4:$B$18</c:f>
              <c:numCache>
                <c:formatCode>0.00%</c:formatCode>
                <c:ptCount val="15"/>
                <c:pt idx="0">
                  <c:v>2.8653295128939827E-3</c:v>
                </c:pt>
                <c:pt idx="1">
                  <c:v>2.8653295128939827E-3</c:v>
                </c:pt>
                <c:pt idx="2">
                  <c:v>5.7306590257879654E-3</c:v>
                </c:pt>
                <c:pt idx="3">
                  <c:v>2.865329512893983E-2</c:v>
                </c:pt>
                <c:pt idx="4">
                  <c:v>3.151862464183381E-2</c:v>
                </c:pt>
                <c:pt idx="5">
                  <c:v>4.0114613180515762E-2</c:v>
                </c:pt>
                <c:pt idx="6">
                  <c:v>4.2979942693409739E-2</c:v>
                </c:pt>
                <c:pt idx="7">
                  <c:v>4.5845272206303724E-2</c:v>
                </c:pt>
                <c:pt idx="8">
                  <c:v>4.8710601719197708E-2</c:v>
                </c:pt>
                <c:pt idx="9">
                  <c:v>6.5902578796561598E-2</c:v>
                </c:pt>
                <c:pt idx="10">
                  <c:v>8.5959885386819479E-2</c:v>
                </c:pt>
                <c:pt idx="11">
                  <c:v>0.1174785100286533</c:v>
                </c:pt>
                <c:pt idx="12">
                  <c:v>0.12607449856733524</c:v>
                </c:pt>
                <c:pt idx="13">
                  <c:v>0.14326647564469913</c:v>
                </c:pt>
                <c:pt idx="14">
                  <c:v>0.21203438395415472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B4B-4A5B-8B25-5E4ADC448E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57184783"/>
        <c:axId val="1057181871"/>
      </c:barChart>
      <c:valAx>
        <c:axId val="1057181871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1057184783"/>
        <c:crosses val="autoZero"/>
        <c:crossBetween val="between"/>
      </c:valAx>
      <c:catAx>
        <c:axId val="105718478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7181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Elétrico Atualizado.xlsx]Analise Anual!Analise2b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98215742520635"/>
          <c:y val="0.10322484809472947"/>
          <c:w val="0.89201784257479366"/>
          <c:h val="0.496466743532973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'Analise Anual'!$E$3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Anual'!$D$4:$D$18</c:f>
              <c:strCache>
                <c:ptCount val="15"/>
                <c:pt idx="0">
                  <c:v>Cabo  de Segurança</c:v>
                </c:pt>
                <c:pt idx="1">
                  <c:v>Cabo Acionamento</c:v>
                </c:pt>
                <c:pt idx="2">
                  <c:v>Caixa do Micro</c:v>
                </c:pt>
                <c:pt idx="3">
                  <c:v>Chave Aberta</c:v>
                </c:pt>
                <c:pt idx="4">
                  <c:v>Contactora</c:v>
                </c:pt>
                <c:pt idx="5">
                  <c:v>Falta de Fase</c:v>
                </c:pt>
                <c:pt idx="6">
                  <c:v>Inversor de Frequência</c:v>
                </c:pt>
                <c:pt idx="7">
                  <c:v>Painel da Bomba</c:v>
                </c:pt>
                <c:pt idx="8">
                  <c:v>Painel do Pivô</c:v>
                </c:pt>
                <c:pt idx="9">
                  <c:v>Transformador</c:v>
                </c:pt>
                <c:pt idx="10">
                  <c:v>Gerador</c:v>
                </c:pt>
                <c:pt idx="11">
                  <c:v>Injeferd</c:v>
                </c:pt>
                <c:pt idx="12">
                  <c:v>Disjuntor</c:v>
                </c:pt>
                <c:pt idx="13">
                  <c:v>Rede Interna</c:v>
                </c:pt>
                <c:pt idx="14">
                  <c:v>Pivô em Manual</c:v>
                </c:pt>
              </c:strCache>
            </c:strRef>
          </c:cat>
          <c:val>
            <c:numRef>
              <c:f>'Analise Anual'!$E$4:$E$18</c:f>
              <c:numCache>
                <c:formatCode>General</c:formatCode>
                <c:ptCount val="15"/>
                <c:pt idx="0">
                  <c:v>1</c:v>
                </c:pt>
                <c:pt idx="1">
                  <c:v>41</c:v>
                </c:pt>
                <c:pt idx="2">
                  <c:v>17</c:v>
                </c:pt>
                <c:pt idx="3">
                  <c:v>16</c:v>
                </c:pt>
                <c:pt idx="4">
                  <c:v>14</c:v>
                </c:pt>
                <c:pt idx="5">
                  <c:v>23</c:v>
                </c:pt>
                <c:pt idx="6">
                  <c:v>30</c:v>
                </c:pt>
                <c:pt idx="7">
                  <c:v>74</c:v>
                </c:pt>
                <c:pt idx="8">
                  <c:v>44</c:v>
                </c:pt>
                <c:pt idx="9">
                  <c:v>10</c:v>
                </c:pt>
                <c:pt idx="10">
                  <c:v>11</c:v>
                </c:pt>
                <c:pt idx="11">
                  <c:v>2</c:v>
                </c:pt>
                <c:pt idx="12">
                  <c:v>15</c:v>
                </c:pt>
                <c:pt idx="13">
                  <c:v>50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0-4736-BC2A-7EDB306453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2968335"/>
        <c:axId val="1582951695"/>
      </c:barChart>
      <c:catAx>
        <c:axId val="158296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2951695"/>
        <c:crosses val="autoZero"/>
        <c:auto val="1"/>
        <c:lblAlgn val="ctr"/>
        <c:lblOffset val="100"/>
        <c:noMultiLvlLbl val="0"/>
      </c:catAx>
      <c:valAx>
        <c:axId val="15829516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296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20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Indicadores'!A1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image" Target="../media/image1.png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1198245</xdr:colOff>
      <xdr:row>12</xdr:row>
      <xdr:rowOff>175260</xdr:rowOff>
    </xdr:from>
    <xdr:to>
      <xdr:col>9</xdr:col>
      <xdr:colOff>85725</xdr:colOff>
      <xdr:row>28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60D186-89C2-43BE-A351-2F5BB5F7E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219076</xdr:colOff>
      <xdr:row>12</xdr:row>
      <xdr:rowOff>175259</xdr:rowOff>
    </xdr:from>
    <xdr:to>
      <xdr:col>18</xdr:col>
      <xdr:colOff>276226</xdr:colOff>
      <xdr:row>29</xdr:row>
      <xdr:rowOff>161924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FDA0A40-4548-4D02-9817-7D164B70DCD9}"/>
            </a:ext>
            <a:ext uri="{147F2762-F138-4A5C-976F-8EAC2B608ADB}">
              <a16:predDERef xmlns:a16="http://schemas.microsoft.com/office/drawing/2014/main" pred="{5160D186-89C2-43BE-A351-2F5BB5F7E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601980</xdr:colOff>
      <xdr:row>3</xdr:row>
      <xdr:rowOff>3810</xdr:rowOff>
    </xdr:from>
    <xdr:to>
      <xdr:col>23</xdr:col>
      <xdr:colOff>342900</xdr:colOff>
      <xdr:row>22</xdr:row>
      <xdr:rowOff>97155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2A0AA6-9A60-4653-9E65-31FF4523A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449580</xdr:colOff>
      <xdr:row>0</xdr:row>
      <xdr:rowOff>53340</xdr:rowOff>
    </xdr:from>
    <xdr:to>
      <xdr:col>16</xdr:col>
      <xdr:colOff>261087</xdr:colOff>
      <xdr:row>1</xdr:row>
      <xdr:rowOff>121119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F01282-32F0-46B7-858D-049706DADC0C}"/>
            </a:ext>
          </a:extLst>
        </xdr:cNvPr>
        <xdr:cNvSpPr/>
      </xdr:nvSpPr>
      <xdr:spPr>
        <a:xfrm>
          <a:off x="13098780" y="53340"/>
          <a:ext cx="1030707" cy="25065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278130</xdr:colOff>
      <xdr:row>2</xdr:row>
      <xdr:rowOff>89534</xdr:rowOff>
    </xdr:from>
    <xdr:to>
      <xdr:col>23</xdr:col>
      <xdr:colOff>19050</xdr:colOff>
      <xdr:row>22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23B62F-75CB-4F50-8AD6-E7A61E4DE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449580</xdr:colOff>
      <xdr:row>0</xdr:row>
      <xdr:rowOff>53340</xdr:rowOff>
    </xdr:from>
    <xdr:to>
      <xdr:col>16</xdr:col>
      <xdr:colOff>261087</xdr:colOff>
      <xdr:row>1</xdr:row>
      <xdr:rowOff>121119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9414F9-E9E5-49EA-BD14-BB7576CF018A}"/>
            </a:ext>
          </a:extLst>
        </xdr:cNvPr>
        <xdr:cNvSpPr/>
      </xdr:nvSpPr>
      <xdr:spPr>
        <a:xfrm>
          <a:off x="12803505" y="5334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9628E2-6E13-4133-AB15-6C2CF98F8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449580</xdr:colOff>
      <xdr:row>0</xdr:row>
      <xdr:rowOff>53340</xdr:rowOff>
    </xdr:from>
    <xdr:to>
      <xdr:col>16</xdr:col>
      <xdr:colOff>261087</xdr:colOff>
      <xdr:row>1</xdr:row>
      <xdr:rowOff>121119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7FBEEB-15C2-4C96-BF77-8E45FDB2EACA}"/>
            </a:ext>
          </a:extLst>
        </xdr:cNvPr>
        <xdr:cNvSpPr/>
      </xdr:nvSpPr>
      <xdr:spPr>
        <a:xfrm>
          <a:off x="12822555" y="5334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84AD37-6061-479C-819E-223E657AE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DA5AE9-C81B-4782-8789-973DDEFF717C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CE46AB-A68D-486B-96E8-524865C60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AD47D5-376B-4C95-B9AA-358B37F0CC19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391907-3557-4D5C-8FBB-681F1CDA6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2D4632-96C0-4E4E-8CCE-DC8C29EA659C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6C8C42-3DA6-438C-A6FC-736C178156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7F9403-F94D-41A0-918F-1C6C7E12C762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DE680F-8AB6-4E38-8D0E-398D1C4D0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348851-4B9F-44B5-AFBB-ECF190DD537E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434DF9-D44C-4BCF-99AB-1E0F2B5241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E35BDC-745B-4487-9451-DC17CC115640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53C41E-690B-45D5-B81E-E34E716A2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D7A1FA-3A95-4D14-AC3E-5572DDF08F59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9FB7DE-77AF-4F02-909C-A60985E20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164009-F886-4090-A365-6B6FB2AC245C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748FF8-0A6A-44F3-812A-09D549FEC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13D434-FB5E-45DB-A897-939C0DCD407A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2</xdr:row>
      <xdr:rowOff>137159</xdr:rowOff>
    </xdr:from>
    <xdr:to>
      <xdr:col>21</xdr:col>
      <xdr:colOff>0</xdr:colOff>
      <xdr:row>22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5049CF-2591-4A9F-AB6A-1965EA9F7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9AEE95-3311-423E-A195-1357A187705D}"/>
            </a:ext>
            <a:ext uri="{147F2762-F138-4A5C-976F-8EAC2B608ADB}">
              <a16:predDERef xmlns:a16="http://schemas.microsoft.com/office/drawing/2014/main" pred="{4B5049CF-2591-4A9F-AB6A-1965EA9F78A3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487680</xdr:colOff>
      <xdr:row>3</xdr:row>
      <xdr:rowOff>156209</xdr:rowOff>
    </xdr:from>
    <xdr:to>
      <xdr:col>20</xdr:col>
      <xdr:colOff>228600</xdr:colOff>
      <xdr:row>23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ECC043-8FB1-47B0-B231-8996C1B6F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D556D5-0E7B-4D52-A244-891EF4917500}"/>
            </a:ext>
            <a:ext uri="{147F2762-F138-4A5C-976F-8EAC2B608ADB}">
              <a16:predDERef xmlns:a16="http://schemas.microsoft.com/office/drawing/2014/main" pred="{82ECC043-8FB1-47B0-B231-8996C1B6F762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487680</xdr:colOff>
      <xdr:row>3</xdr:row>
      <xdr:rowOff>156209</xdr:rowOff>
    </xdr:from>
    <xdr:to>
      <xdr:col>20</xdr:col>
      <xdr:colOff>228600</xdr:colOff>
      <xdr:row>23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5BE491-1478-4B2F-BC80-E64DA7216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4A8417-6880-4C0B-B9EB-E1F950CAE4D1}"/>
            </a:ext>
            <a:ext uri="{147F2762-F138-4A5C-976F-8EAC2B608ADB}">
              <a16:predDERef xmlns:a16="http://schemas.microsoft.com/office/drawing/2014/main" pred="{765BE491-1478-4B2F-BC80-E64DA7216FDA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487680</xdr:colOff>
      <xdr:row>3</xdr:row>
      <xdr:rowOff>156209</xdr:rowOff>
    </xdr:from>
    <xdr:to>
      <xdr:col>20</xdr:col>
      <xdr:colOff>228600</xdr:colOff>
      <xdr:row>23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4E2C68-8EFD-4218-B633-FA2BF97C0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53C507-B4A1-490B-AD99-F094B9BA9DB6}"/>
            </a:ext>
            <a:ext uri="{147F2762-F138-4A5C-976F-8EAC2B608ADB}">
              <a16:predDERef xmlns:a16="http://schemas.microsoft.com/office/drawing/2014/main" pred="{714E2C68-8EFD-4218-B633-FA2BF97C066F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487680</xdr:colOff>
      <xdr:row>3</xdr:row>
      <xdr:rowOff>156209</xdr:rowOff>
    </xdr:from>
    <xdr:to>
      <xdr:col>20</xdr:col>
      <xdr:colOff>228600</xdr:colOff>
      <xdr:row>23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C1DE6B-C2B4-40B9-8DFE-C47315D5E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13BF47-0E6F-4C22-A907-0BFCBC571648}"/>
            </a:ext>
            <a:ext uri="{147F2762-F138-4A5C-976F-8EAC2B608ADB}">
              <a16:predDERef xmlns:a16="http://schemas.microsoft.com/office/drawing/2014/main" pred="{02C1DE6B-C2B4-40B9-8DFE-C47315D5E762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487680</xdr:colOff>
      <xdr:row>3</xdr:row>
      <xdr:rowOff>156209</xdr:rowOff>
    </xdr:from>
    <xdr:to>
      <xdr:col>20</xdr:col>
      <xdr:colOff>228600</xdr:colOff>
      <xdr:row>23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D80E6A-8825-4C23-ADC7-45F7515D9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A0AB06-0720-4058-B1F1-B2CA944FF4BE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211455</xdr:colOff>
      <xdr:row>3</xdr:row>
      <xdr:rowOff>108584</xdr:rowOff>
    </xdr:from>
    <xdr:to>
      <xdr:col>21</xdr:col>
      <xdr:colOff>57150</xdr:colOff>
      <xdr:row>23</xdr:row>
      <xdr:rowOff>66674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1C47E4-C58D-474B-A336-27F5B4CF7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</xdr:colOff>
      <xdr:row>0</xdr:row>
      <xdr:rowOff>24765</xdr:rowOff>
    </xdr:from>
    <xdr:to>
      <xdr:col>7</xdr:col>
      <xdr:colOff>1080237</xdr:colOff>
      <xdr:row>1</xdr:row>
      <xdr:rowOff>92544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E2EE59-FDBD-4085-A1D8-46548588CC71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31380" y="24765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63C577-7074-4A07-AD51-19D9156DF174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22DDC7-DCA7-41D2-AC8F-6A2AE77A11AA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9772AC-647A-4A9C-A781-37C827EAB186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D5BFBB-F4AF-4A84-8835-5587B39B7EF6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E65973-E6E3-4C89-9052-4CADD9311566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244131-C75E-4594-A73A-116B7751B5F0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F01AAE-EB1A-4DA2-9F38-40659546293E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E7F3C-F55E-4BBE-904D-6DC4B0405872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0CFCED-C050-4FEE-A41C-8286C98777DA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BA8CF9-1D2A-47D0-B3FB-C5E6CD1A0F81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55D900-3A6C-4A95-A793-75D744177D3F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266CCB-636C-45A0-AFDD-159B5D0754E1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1E706C-D851-439E-852C-193AD7251429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6799C5-2A59-48B2-842C-EEE4BBD7726D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E97508-F91F-464C-ADA2-CB10F670AD70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276125-6952-4204-88B7-5470C25BAE60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3D5D04-67B9-45AD-AF7D-3B7F221DF648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51992F-4D17-4088-A6EB-7F740E0F7102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9F7A87-96FD-47D3-B7C3-CFF79FAA2CF2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2D34B0-6DD9-4007-8C06-CA3E2A23445E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471EC0-655D-4FA2-B5DA-AD8908B9C651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1FB08F-77D1-48A6-B59F-FB379A61B802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220A33-971B-4424-A898-7734CD4088C1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EF9392-6FF7-418E-9973-5D332CE420B8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B17FF3-426A-4DF5-AA18-C5B5F0D548AB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4DD4C5-320C-4E33-A815-8533E64DC5C8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79520D-378F-4CED-AD9D-1DA8A10D900F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336C9E-5EAF-4A0B-A4AA-A9B43C41967C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59AD2C-9B80-4B19-B7F0-2452566D007F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E8526C-7B32-4784-98E7-64B523F7F543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8CA49-ECD1-4793-A9DB-18F25D00ABE7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8B0908-5AA8-4904-87AE-EF90AFE4AA91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73225A-50E8-427D-81C0-1A8FA1FBD40E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D256CC-1063-4E32-820F-C5991DBC6C22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4BB302-FC57-4819-A0AC-7D5B1B5B8552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C054E7-447A-4C70-8592-CAF989F105A0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404F6C-C99E-4433-9D8B-B3E16506AA0E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2DC63-ECE0-4981-9E33-D5A80E884983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20821-9B92-41AD-A7F7-70C1A369A256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7C1FF7-3350-4927-B1BB-546FEF8153DA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42DE82-A511-4BAD-98BE-10136C920DE9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2496FE-FF66-4411-AB12-722224C1D6E6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0A2E25-3BA3-4C28-9DDF-C23F1B3B719E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40989B-2645-47D8-A898-BF1C5ED18446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1D9B98-81DF-439E-BEC4-25629794BA3D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7D3749-0C16-4A71-8303-249C4300C477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DC63E-6C60-4F45-87E6-92585107CD15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D02692-A446-4A56-9799-5429EB1C13DD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7E4D0D-D51D-4F95-A8C5-B5B1D3E398BB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7670AC-9EC9-4B31-83DF-F7F50E10611C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76200</xdr:rowOff>
    </xdr:from>
    <xdr:to>
      <xdr:col>7</xdr:col>
      <xdr:colOff>1068807</xdr:colOff>
      <xdr:row>1</xdr:row>
      <xdr:rowOff>143979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2045B7-0A78-4B20-944E-EFCCC612EF6F}"/>
            </a:ext>
            <a:ext uri="{147F2762-F138-4A5C-976F-8EAC2B608ADB}">
              <a16:predDERef xmlns:a16="http://schemas.microsoft.com/office/drawing/2014/main" pred="{90D80E6A-8825-4C23-ADC7-45F7515D9B81}"/>
            </a:ext>
          </a:extLst>
        </xdr:cNvPr>
        <xdr:cNvSpPr/>
      </xdr:nvSpPr>
      <xdr:spPr>
        <a:xfrm>
          <a:off x="7219950" y="76200"/>
          <a:ext cx="1030707" cy="258279"/>
        </a:xfrm>
        <a:prstGeom prst="roundRect">
          <a:avLst/>
        </a:prstGeom>
        <a:solidFill>
          <a:srgbClr val="F3A60D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495300</xdr:colOff>
      <xdr:row>3</xdr:row>
      <xdr:rowOff>9525</xdr:rowOff>
    </xdr:from>
    <xdr:to>
      <xdr:col>8</xdr:col>
      <xdr:colOff>495300</xdr:colOff>
      <xdr:row>16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mana">
              <a:extLst>
                <a:ext uri="{FF2B5EF4-FFF2-40B4-BE49-F238E27FC236}">
                  <a16:creationId xmlns:a16="http://schemas.microsoft.com/office/drawing/2014/main" id="{181C3982-E98D-967A-8F21-7D8F27D3BB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9875" y="5810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2</xdr:row>
      <xdr:rowOff>152400</xdr:rowOff>
    </xdr:from>
    <xdr:to>
      <xdr:col>7</xdr:col>
      <xdr:colOff>600075</xdr:colOff>
      <xdr:row>12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o">
              <a:extLst>
                <a:ext uri="{FF2B5EF4-FFF2-40B4-BE49-F238E27FC236}">
                  <a16:creationId xmlns:a16="http://schemas.microsoft.com/office/drawing/2014/main" id="{9153CD6A-01BA-7E46-CDCF-14E3730290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43700" y="533400"/>
              <a:ext cx="1200150" cy="1933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19050</xdr:colOff>
      <xdr:row>4</xdr:row>
      <xdr:rowOff>57150</xdr:rowOff>
    </xdr:from>
    <xdr:to>
      <xdr:col>11</xdr:col>
      <xdr:colOff>266700</xdr:colOff>
      <xdr:row>9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eriodo">
              <a:extLst>
                <a:ext uri="{FF2B5EF4-FFF2-40B4-BE49-F238E27FC236}">
                  <a16:creationId xmlns:a16="http://schemas.microsoft.com/office/drawing/2014/main" id="{6530342A-4B01-D17B-C173-74FBE6A970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2025" y="819150"/>
              <a:ext cx="1466850" cy="1076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0</xdr:row>
      <xdr:rowOff>0</xdr:rowOff>
    </xdr:from>
    <xdr:to>
      <xdr:col>20</xdr:col>
      <xdr:colOff>590549</xdr:colOff>
      <xdr:row>33</xdr:row>
      <xdr:rowOff>171451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4B662E8-3774-7AEA-E349-7CB442D6B979}"/>
            </a:ext>
          </a:extLst>
        </xdr:cNvPr>
        <xdr:cNvSpPr/>
      </xdr:nvSpPr>
      <xdr:spPr>
        <a:xfrm>
          <a:off x="9524" y="0"/>
          <a:ext cx="12773025" cy="6457951"/>
        </a:xfrm>
        <a:prstGeom prst="rect">
          <a:avLst/>
        </a:prstGeom>
        <a:solidFill>
          <a:srgbClr val="517B7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20</xdr:col>
      <xdr:colOff>488494</xdr:colOff>
      <xdr:row>33</xdr:row>
      <xdr:rowOff>130175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A8274887-0E26-B69B-8D45-6F2094B4E9E3}"/>
            </a:ext>
            <a:ext uri="{147F2762-F138-4A5C-976F-8EAC2B608ADB}">
              <a16:predDERef xmlns:a16="http://schemas.microsoft.com/office/drawing/2014/main" pred="{04B662E8-3774-7AEA-E349-7CB442D6B979}"/>
            </a:ext>
          </a:extLst>
        </xdr:cNvPr>
        <xdr:cNvGrpSpPr/>
      </xdr:nvGrpSpPr>
      <xdr:grpSpPr>
        <a:xfrm>
          <a:off x="0" y="0"/>
          <a:ext cx="12680494" cy="6416675"/>
          <a:chOff x="0" y="25400"/>
          <a:chExt cx="12680494" cy="6416675"/>
        </a:xfrm>
      </xdr:grpSpPr>
      <xdr:grpSp>
        <xdr:nvGrpSpPr>
          <xdr:cNvPr id="38" name="Agrupar 37">
            <a:extLst>
              <a:ext uri="{FF2B5EF4-FFF2-40B4-BE49-F238E27FC236}">
                <a16:creationId xmlns:a16="http://schemas.microsoft.com/office/drawing/2014/main" id="{FEB931BC-5B96-0B73-40C6-7FC5D5D42C31}"/>
              </a:ext>
            </a:extLst>
          </xdr:cNvPr>
          <xdr:cNvGrpSpPr/>
        </xdr:nvGrpSpPr>
        <xdr:grpSpPr>
          <a:xfrm>
            <a:off x="11232696" y="25400"/>
            <a:ext cx="1447798" cy="6403975"/>
            <a:chOff x="11299371" y="15875"/>
            <a:chExt cx="1447798" cy="640397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03CB1269-7ACD-B538-7CA0-89DBA3A5E500}"/>
                </a:ext>
              </a:extLst>
            </xdr:cNvPr>
            <xdr:cNvSpPr/>
          </xdr:nvSpPr>
          <xdr:spPr>
            <a:xfrm>
              <a:off x="11299371" y="28576"/>
              <a:ext cx="1447798" cy="6391274"/>
            </a:xfrm>
            <a:prstGeom prst="roundRect">
              <a:avLst/>
            </a:prstGeom>
            <a:solidFill>
              <a:srgbClr val="517B7B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endParaRPr lang="pt-BR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9" name="Semana 1">
                  <a:extLst>
                    <a:ext uri="{FF2B5EF4-FFF2-40B4-BE49-F238E27FC236}">
                      <a16:creationId xmlns:a16="http://schemas.microsoft.com/office/drawing/2014/main" id="{5845099D-FE87-4022-90E8-FE38E82479FF}"/>
                    </a:ext>
                  </a:extLst>
                </xdr:cNvPr>
                <xdr:cNvGraphicFramePr/>
              </xdr:nvGraphicFramePr>
              <xdr:xfrm>
                <a:off x="11423196" y="966107"/>
                <a:ext cx="1273629" cy="4912179"/>
              </xdr:xfrm>
              <a:graphic>
                <a:graphicData uri="http://schemas.microsoft.com/office/drawing/2010/slicer">
                  <sle:slicer xmlns:sle="http://schemas.microsoft.com/office/drawing/2010/slicer" name="Semana 1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1356521" y="950232"/>
                  <a:ext cx="1273629" cy="4912179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xdr:sp macro="" textlink="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84A81510-6F73-4A2B-623E-86C3CA09E679}"/>
                </a:ext>
              </a:extLst>
            </xdr:cNvPr>
            <xdr:cNvSpPr txBox="1"/>
          </xdr:nvSpPr>
          <xdr:spPr>
            <a:xfrm>
              <a:off x="11417300" y="15875"/>
              <a:ext cx="1155700" cy="10636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endParaRPr lang="pt-BR" sz="1100"/>
            </a:p>
            <a:p>
              <a:pPr algn="ctr"/>
              <a:r>
                <a:rPr lang="pt-BR" sz="1800" b="1">
                  <a:solidFill>
                    <a:schemeClr val="bg1"/>
                  </a:solidFill>
                </a:rPr>
                <a:t>Semana</a:t>
              </a:r>
            </a:p>
          </xdr:txBody>
        </xdr:sp>
      </xdr:grpSp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8E89E4C9-7994-0158-BFE2-56F165A3A235}"/>
              </a:ext>
            </a:extLst>
          </xdr:cNvPr>
          <xdr:cNvGrpSpPr/>
        </xdr:nvGrpSpPr>
        <xdr:grpSpPr>
          <a:xfrm>
            <a:off x="0" y="47625"/>
            <a:ext cx="1536700" cy="6394450"/>
            <a:chOff x="0" y="25400"/>
            <a:chExt cx="1536700" cy="6394450"/>
          </a:xfrm>
        </xdr:grpSpPr>
        <xdr:sp macro="" textlink="">
          <xdr:nvSpPr>
            <xdr:cNvPr id="4" name="Retângulo: Cantos Arredondados 3">
              <a:extLst>
                <a:ext uri="{FF2B5EF4-FFF2-40B4-BE49-F238E27FC236}">
                  <a16:creationId xmlns:a16="http://schemas.microsoft.com/office/drawing/2014/main" id="{711B6F5F-BB50-4E28-BA01-74746D8C665E}"/>
                </a:ext>
              </a:extLst>
            </xdr:cNvPr>
            <xdr:cNvSpPr/>
          </xdr:nvSpPr>
          <xdr:spPr>
            <a:xfrm>
              <a:off x="51705" y="25400"/>
              <a:ext cx="1409701" cy="6394450"/>
            </a:xfrm>
            <a:prstGeom prst="roundRect">
              <a:avLst/>
            </a:prstGeom>
            <a:solidFill>
              <a:srgbClr val="517B7B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endParaRPr lang="pt-BR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10" name="Ano 1">
                  <a:extLst>
                    <a:ext uri="{FF2B5EF4-FFF2-40B4-BE49-F238E27FC236}">
                      <a16:creationId xmlns:a16="http://schemas.microsoft.com/office/drawing/2014/main" id="{8F5D245A-8A88-484D-8439-855E7F50200C}"/>
                    </a:ext>
                  </a:extLst>
                </xdr:cNvPr>
                <xdr:cNvGraphicFramePr/>
              </xdr:nvGraphicFramePr>
              <xdr:xfrm>
                <a:off x="127000" y="3063876"/>
                <a:ext cx="1250950" cy="1555749"/>
              </xdr:xfrm>
              <a:graphic>
                <a:graphicData uri="http://schemas.microsoft.com/office/drawing/2010/slicer">
                  <sle:slicer xmlns:sle="http://schemas.microsoft.com/office/drawing/2010/slicer" name="Ano 1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27000" y="3060701"/>
                  <a:ext cx="1250950" cy="1555749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11" name="Periodo 1">
                  <a:extLst>
                    <a:ext uri="{FF2B5EF4-FFF2-40B4-BE49-F238E27FC236}">
                      <a16:creationId xmlns:a16="http://schemas.microsoft.com/office/drawing/2014/main" id="{825481F9-D40D-4F20-851A-9BCADF1F6A2A}"/>
                    </a:ext>
                  </a:extLst>
                </xdr:cNvPr>
                <xdr:cNvGraphicFramePr/>
              </xdr:nvGraphicFramePr>
              <xdr:xfrm>
                <a:off x="111125" y="5124450"/>
                <a:ext cx="1282700" cy="908051"/>
              </xdr:xfrm>
              <a:graphic>
                <a:graphicData uri="http://schemas.microsoft.com/office/drawing/2010/slicer">
                  <sle:slicer xmlns:sle="http://schemas.microsoft.com/office/drawing/2010/slicer" name="Periodo 1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11125" y="5121275"/>
                  <a:ext cx="1282700" cy="908051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9A23169F-644F-B919-A80E-A62AAE6047F0}"/>
                </a:ext>
              </a:extLst>
            </xdr:cNvPr>
            <xdr:cNvSpPr txBox="1"/>
          </xdr:nvSpPr>
          <xdr:spPr>
            <a:xfrm>
              <a:off x="0" y="4667251"/>
              <a:ext cx="1489075" cy="330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200" b="1">
                  <a:solidFill>
                    <a:schemeClr val="bg1"/>
                  </a:solidFill>
                </a:rPr>
                <a:t>Periodo de Analise</a:t>
              </a:r>
              <a:endParaRPr lang="pt-BR" sz="1800" b="1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4" name="CaixaDeTexto 13">
              <a:extLst>
                <a:ext uri="{FF2B5EF4-FFF2-40B4-BE49-F238E27FC236}">
                  <a16:creationId xmlns:a16="http://schemas.microsoft.com/office/drawing/2014/main" id="{EDD99636-8C99-A545-96EF-601FB9615A00}"/>
                </a:ext>
              </a:extLst>
            </xdr:cNvPr>
            <xdr:cNvSpPr txBox="1"/>
          </xdr:nvSpPr>
          <xdr:spPr>
            <a:xfrm>
              <a:off x="0" y="2622552"/>
              <a:ext cx="1536700" cy="3841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200" b="1">
                  <a:solidFill>
                    <a:schemeClr val="bg1"/>
                  </a:solidFill>
                </a:rPr>
                <a:t>Ano de analise</a:t>
              </a:r>
              <a:endParaRPr lang="pt-BR" sz="2400" b="1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6" name="CaixaDeTexto 15">
              <a:extLst>
                <a:ext uri="{FF2B5EF4-FFF2-40B4-BE49-F238E27FC236}">
                  <a16:creationId xmlns:a16="http://schemas.microsoft.com/office/drawing/2014/main" id="{1422E997-4456-1CBF-AEF2-A6B618D8A1E5}"/>
                </a:ext>
              </a:extLst>
            </xdr:cNvPr>
            <xdr:cNvSpPr txBox="1"/>
          </xdr:nvSpPr>
          <xdr:spPr>
            <a:xfrm>
              <a:off x="47625" y="1476374"/>
              <a:ext cx="1457325" cy="10636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800" b="1">
                  <a:solidFill>
                    <a:schemeClr val="bg1"/>
                  </a:solidFill>
                </a:rPr>
                <a:t>Relatório</a:t>
              </a:r>
              <a:r>
                <a:rPr lang="pt-BR" sz="1800" b="1" baseline="0">
                  <a:solidFill>
                    <a:schemeClr val="bg1"/>
                  </a:solidFill>
                </a:rPr>
                <a:t> de Indicadores Elétrico</a:t>
              </a:r>
              <a:endParaRPr lang="pt-BR" sz="1800" b="1">
                <a:solidFill>
                  <a:schemeClr val="bg1"/>
                </a:solidFill>
              </a:endParaRPr>
            </a:p>
          </xdr:txBody>
        </xdr:sp>
        <xdr:pic>
          <xdr:nvPicPr>
            <xdr:cNvPr id="17" name="Imagem 16">
              <a:extLst>
                <a:ext uri="{FF2B5EF4-FFF2-40B4-BE49-F238E27FC236}">
                  <a16:creationId xmlns:a16="http://schemas.microsoft.com/office/drawing/2014/main" id="{0C78310D-37A8-461B-BFC4-CFAB9E049D7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08881" y="334737"/>
              <a:ext cx="936625" cy="1001775"/>
            </a:xfrm>
            <a:prstGeom prst="rect">
              <a:avLst/>
            </a:prstGeom>
            <a:solidFill>
              <a:srgbClr val="FFFFFF">
                <a:shade val="85000"/>
              </a:srgbClr>
            </a:solidFill>
            <a:ln w="88900" cap="sq">
              <a:solidFill>
                <a:srgbClr val="FFFFFF"/>
              </a:solidFill>
              <a:miter lim="800000"/>
            </a:ln>
            <a:effectLst>
              <a:outerShdw blurRad="55000" dist="18000" dir="5400000" algn="tl" rotWithShape="0">
                <a:srgbClr val="000000">
                  <a:alpha val="40000"/>
                </a:srgbClr>
              </a:outerShdw>
            </a:effectLst>
            <a:scene3d>
              <a:camera prst="orthographicFront"/>
              <a:lightRig rig="twoPt" dir="t">
                <a:rot lat="0" lon="0" rev="7200000"/>
              </a:lightRig>
            </a:scene3d>
            <a:sp3d>
              <a:bevelT w="25400" h="19050"/>
              <a:contourClr>
                <a:srgbClr val="FFFFFF"/>
              </a:contourClr>
            </a:sp3d>
          </xdr:spPr>
        </xdr:pic>
      </xdr:grpSp>
      <xdr:grpSp>
        <xdr:nvGrpSpPr>
          <xdr:cNvPr id="35" name="Agrupar 34">
            <a:extLst>
              <a:ext uri="{FF2B5EF4-FFF2-40B4-BE49-F238E27FC236}">
                <a16:creationId xmlns:a16="http://schemas.microsoft.com/office/drawing/2014/main" id="{B8038BBB-2B90-C145-557B-C592F37832AB}"/>
              </a:ext>
            </a:extLst>
          </xdr:cNvPr>
          <xdr:cNvGrpSpPr/>
        </xdr:nvGrpSpPr>
        <xdr:grpSpPr>
          <a:xfrm>
            <a:off x="1551213" y="63500"/>
            <a:ext cx="4917480" cy="3098800"/>
            <a:chOff x="1589313" y="15875"/>
            <a:chExt cx="4778829" cy="3098800"/>
          </a:xfrm>
        </xdr:grpSpPr>
        <xdr:sp macro="" textlink="">
          <xdr:nvSpPr>
            <xdr:cNvPr id="8" name="Retângulo 7">
              <a:extLst>
                <a:ext uri="{FF2B5EF4-FFF2-40B4-BE49-F238E27FC236}">
                  <a16:creationId xmlns:a16="http://schemas.microsoft.com/office/drawing/2014/main" id="{6F3AD17D-BEA9-6E98-A49F-965E88DF3D28}"/>
                </a:ext>
              </a:extLst>
            </xdr:cNvPr>
            <xdr:cNvSpPr/>
          </xdr:nvSpPr>
          <xdr:spPr>
            <a:xfrm>
              <a:off x="1589313" y="15875"/>
              <a:ext cx="4778829" cy="3098800"/>
            </a:xfrm>
            <a:prstGeom prst="rect">
              <a:avLst/>
            </a:prstGeom>
            <a:solidFill>
              <a:srgbClr val="517B7B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endParaRPr lang="pt-BR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grpSp>
          <xdr:nvGrpSpPr>
            <xdr:cNvPr id="29" name="Agrupar 28">
              <a:extLst>
                <a:ext uri="{FF2B5EF4-FFF2-40B4-BE49-F238E27FC236}">
                  <a16:creationId xmlns:a16="http://schemas.microsoft.com/office/drawing/2014/main" id="{4BBE60FB-DDEE-BEDE-C8B8-4F5F808A5EFE}"/>
                </a:ext>
              </a:extLst>
            </xdr:cNvPr>
            <xdr:cNvGrpSpPr/>
          </xdr:nvGrpSpPr>
          <xdr:grpSpPr>
            <a:xfrm>
              <a:off x="1630475" y="19050"/>
              <a:ext cx="4699457" cy="3033712"/>
              <a:chOff x="1630475" y="19050"/>
              <a:chExt cx="4699457" cy="3033712"/>
            </a:xfrm>
          </xdr:grpSpPr>
          <xdr:graphicFrame macro="">
            <xdr:nvGraphicFramePr>
              <xdr:cNvPr id="20" name="Gráfico 19">
                <a:extLst>
                  <a:ext uri="{FF2B5EF4-FFF2-40B4-BE49-F238E27FC236}">
                    <a16:creationId xmlns:a16="http://schemas.microsoft.com/office/drawing/2014/main" id="{5B2BD4D6-9E14-4843-932B-B5BAC8B15066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630475" y="428625"/>
              <a:ext cx="4699457" cy="262413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sp macro="" textlink="">
            <xdr:nvSpPr>
              <xdr:cNvPr id="30" name="CaixaDeTexto 29">
                <a:extLst>
                  <a:ext uri="{FF2B5EF4-FFF2-40B4-BE49-F238E27FC236}">
                    <a16:creationId xmlns:a16="http://schemas.microsoft.com/office/drawing/2014/main" id="{4CC32ED6-DDC1-FD68-1006-A984E2069A3B}"/>
                  </a:ext>
                </a:extLst>
              </xdr:cNvPr>
              <xdr:cNvSpPr txBox="1"/>
            </xdr:nvSpPr>
            <xdr:spPr>
              <a:xfrm>
                <a:off x="2124076" y="19050"/>
                <a:ext cx="3590924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600" b="1">
                    <a:solidFill>
                      <a:schemeClr val="bg1"/>
                    </a:solidFill>
                  </a:rPr>
                  <a:t>Total</a:t>
                </a:r>
                <a:r>
                  <a:rPr lang="pt-BR" sz="1600" b="1" baseline="0">
                    <a:solidFill>
                      <a:schemeClr val="bg1"/>
                    </a:solidFill>
                  </a:rPr>
                  <a:t> de Problemas Durante a Semana</a:t>
                </a:r>
                <a:endParaRPr lang="pt-BR" sz="1600" b="1">
                  <a:solidFill>
                    <a:schemeClr val="bg1"/>
                  </a:solidFill>
                </a:endParaRPr>
              </a:p>
            </xdr:txBody>
          </xdr:sp>
        </xdr:grpSp>
      </xdr:grpSp>
      <xdr:grpSp>
        <xdr:nvGrpSpPr>
          <xdr:cNvPr id="37" name="Agrupar 36">
            <a:extLst>
              <a:ext uri="{FF2B5EF4-FFF2-40B4-BE49-F238E27FC236}">
                <a16:creationId xmlns:a16="http://schemas.microsoft.com/office/drawing/2014/main" id="{2D027D5D-9342-6CC1-8602-1146402877C2}"/>
              </a:ext>
            </a:extLst>
          </xdr:cNvPr>
          <xdr:cNvGrpSpPr/>
        </xdr:nvGrpSpPr>
        <xdr:grpSpPr>
          <a:xfrm>
            <a:off x="6562725" y="53975"/>
            <a:ext cx="4581525" cy="3125514"/>
            <a:chOff x="6617154" y="15875"/>
            <a:chExt cx="4414156" cy="3125514"/>
          </a:xfrm>
        </xdr:grpSpPr>
        <xdr:sp macro="" textlink="">
          <xdr:nvSpPr>
            <xdr:cNvPr id="7" name="Retângulo 6">
              <a:extLst>
                <a:ext uri="{FF2B5EF4-FFF2-40B4-BE49-F238E27FC236}">
                  <a16:creationId xmlns:a16="http://schemas.microsoft.com/office/drawing/2014/main" id="{43AC1B31-AA36-495C-742C-72D6743E14AF}"/>
                </a:ext>
              </a:extLst>
            </xdr:cNvPr>
            <xdr:cNvSpPr/>
          </xdr:nvSpPr>
          <xdr:spPr>
            <a:xfrm>
              <a:off x="6617154" y="15875"/>
              <a:ext cx="4414156" cy="3125514"/>
            </a:xfrm>
            <a:prstGeom prst="rect">
              <a:avLst/>
            </a:prstGeom>
            <a:solidFill>
              <a:srgbClr val="517B7B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endParaRPr lang="pt-BR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grpSp>
          <xdr:nvGrpSpPr>
            <xdr:cNvPr id="36" name="Agrupar 35">
              <a:extLst>
                <a:ext uri="{FF2B5EF4-FFF2-40B4-BE49-F238E27FC236}">
                  <a16:creationId xmlns:a16="http://schemas.microsoft.com/office/drawing/2014/main" id="{1FA9B95F-ED0A-6307-9E5C-3E1D7031B05F}"/>
                </a:ext>
              </a:extLst>
            </xdr:cNvPr>
            <xdr:cNvGrpSpPr/>
          </xdr:nvGrpSpPr>
          <xdr:grpSpPr>
            <a:xfrm>
              <a:off x="6669882" y="57150"/>
              <a:ext cx="4312443" cy="3038474"/>
              <a:chOff x="6669882" y="57150"/>
              <a:chExt cx="4312443" cy="3038474"/>
            </a:xfrm>
          </xdr:grpSpPr>
          <xdr:graphicFrame macro="">
            <xdr:nvGraphicFramePr>
              <xdr:cNvPr id="21" name="Gráfico 20">
                <a:extLst>
                  <a:ext uri="{FF2B5EF4-FFF2-40B4-BE49-F238E27FC236}">
                    <a16:creationId xmlns:a16="http://schemas.microsoft.com/office/drawing/2014/main" id="{DA47B5B7-D7DF-43D2-AA13-4B80E6809A26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669882" y="428625"/>
              <a:ext cx="4312443" cy="266699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sp macro="" textlink="">
            <xdr:nvSpPr>
              <xdr:cNvPr id="32" name="CaixaDeTexto 31">
                <a:extLst>
                  <a:ext uri="{FF2B5EF4-FFF2-40B4-BE49-F238E27FC236}">
                    <a16:creationId xmlns:a16="http://schemas.microsoft.com/office/drawing/2014/main" id="{2666A74F-B025-6257-F215-25217BBDC0FB}"/>
                  </a:ext>
                </a:extLst>
              </xdr:cNvPr>
              <xdr:cNvSpPr txBox="1"/>
            </xdr:nvSpPr>
            <xdr:spPr>
              <a:xfrm>
                <a:off x="7648574" y="57150"/>
                <a:ext cx="2593512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600" b="1">
                    <a:solidFill>
                      <a:schemeClr val="bg1"/>
                    </a:solidFill>
                  </a:rPr>
                  <a:t>Analise Percentual </a:t>
                </a:r>
                <a:r>
                  <a:rPr lang="pt-BR" sz="1800" b="1">
                    <a:solidFill>
                      <a:schemeClr val="bg1"/>
                    </a:solidFill>
                  </a:rPr>
                  <a:t>Semanal</a:t>
                </a:r>
                <a:endParaRPr lang="pt-BR" sz="1600" b="1">
                  <a:solidFill>
                    <a:schemeClr val="bg1"/>
                  </a:solidFill>
                </a:endParaRPr>
              </a:p>
            </xdr:txBody>
          </xdr:sp>
        </xdr:grpSp>
      </xdr:grpSp>
      <xdr:grpSp>
        <xdr:nvGrpSpPr>
          <xdr:cNvPr id="31" name="Agrupar 30">
            <a:extLst>
              <a:ext uri="{FF2B5EF4-FFF2-40B4-BE49-F238E27FC236}">
                <a16:creationId xmlns:a16="http://schemas.microsoft.com/office/drawing/2014/main" id="{C563F857-067D-7CA4-9559-FF72E476E56B}"/>
              </a:ext>
            </a:extLst>
          </xdr:cNvPr>
          <xdr:cNvGrpSpPr/>
        </xdr:nvGrpSpPr>
        <xdr:grpSpPr>
          <a:xfrm>
            <a:off x="6569529" y="3262499"/>
            <a:ext cx="4565196" cy="3147826"/>
            <a:chOff x="6636204" y="3224399"/>
            <a:chExt cx="4414156" cy="3147826"/>
          </a:xfrm>
        </xdr:grpSpPr>
        <xdr:sp macro="" textlink="">
          <xdr:nvSpPr>
            <xdr:cNvPr id="23" name="Retângulo 22">
              <a:extLst>
                <a:ext uri="{FF2B5EF4-FFF2-40B4-BE49-F238E27FC236}">
                  <a16:creationId xmlns:a16="http://schemas.microsoft.com/office/drawing/2014/main" id="{414000F6-11A2-0287-2731-1B08084E84FC}"/>
                </a:ext>
              </a:extLst>
            </xdr:cNvPr>
            <xdr:cNvSpPr/>
          </xdr:nvSpPr>
          <xdr:spPr>
            <a:xfrm>
              <a:off x="6636204" y="3224399"/>
              <a:ext cx="4414156" cy="3147826"/>
            </a:xfrm>
            <a:prstGeom prst="rect">
              <a:avLst/>
            </a:prstGeom>
            <a:solidFill>
              <a:srgbClr val="517B7B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endParaRPr lang="pt-BR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graphicFrame macro="">
          <xdr:nvGraphicFramePr>
            <xdr:cNvPr id="18" name="Gráfico 17">
              <a:extLst>
                <a:ext uri="{FF2B5EF4-FFF2-40B4-BE49-F238E27FC236}">
                  <a16:creationId xmlns:a16="http://schemas.microsoft.com/office/drawing/2014/main" id="{0407F6B5-362D-4F47-9061-FE0A268139BD}"/>
                </a:ext>
              </a:extLst>
            </xdr:cNvPr>
            <xdr:cNvGraphicFramePr>
              <a:graphicFrameLocks/>
            </xdr:cNvGraphicFramePr>
          </xdr:nvGraphicFramePr>
          <xdr:xfrm>
            <a:off x="6675674" y="3581401"/>
            <a:ext cx="4316491" cy="269557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">
          <xdr:nvSpPr>
            <xdr:cNvPr id="33" name="CaixaDeTexto 32">
              <a:extLst>
                <a:ext uri="{FF2B5EF4-FFF2-40B4-BE49-F238E27FC236}">
                  <a16:creationId xmlns:a16="http://schemas.microsoft.com/office/drawing/2014/main" id="{9BC11A2B-5304-ABCA-368D-6364906878B8}"/>
                </a:ext>
              </a:extLst>
            </xdr:cNvPr>
            <xdr:cNvSpPr txBox="1"/>
          </xdr:nvSpPr>
          <xdr:spPr>
            <a:xfrm>
              <a:off x="7715564" y="3228975"/>
              <a:ext cx="2404598" cy="3619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600" b="1">
                  <a:solidFill>
                    <a:schemeClr val="bg1"/>
                  </a:solidFill>
                </a:rPr>
                <a:t>Analise</a:t>
              </a:r>
              <a:r>
                <a:rPr lang="pt-BR" sz="1600" b="1" baseline="0">
                  <a:solidFill>
                    <a:schemeClr val="bg1"/>
                  </a:solidFill>
                </a:rPr>
                <a:t> Percentual Total</a:t>
              </a:r>
              <a:endParaRPr lang="pt-BR" sz="16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41" name="Agrupar 40">
            <a:extLst>
              <a:ext uri="{FF2B5EF4-FFF2-40B4-BE49-F238E27FC236}">
                <a16:creationId xmlns:a16="http://schemas.microsoft.com/office/drawing/2014/main" id="{DDA13B4F-E9E6-7BCC-EAC3-F60EE219E13A}"/>
              </a:ext>
            </a:extLst>
          </xdr:cNvPr>
          <xdr:cNvGrpSpPr/>
        </xdr:nvGrpSpPr>
        <xdr:grpSpPr>
          <a:xfrm>
            <a:off x="1476375" y="3228975"/>
            <a:ext cx="5067300" cy="3162300"/>
            <a:chOff x="1524000" y="3228975"/>
            <a:chExt cx="4924425" cy="3162300"/>
          </a:xfrm>
        </xdr:grpSpPr>
        <xdr:sp macro="" textlink="">
          <xdr:nvSpPr>
            <xdr:cNvPr id="22" name="Retângulo 21">
              <a:extLst>
                <a:ext uri="{FF2B5EF4-FFF2-40B4-BE49-F238E27FC236}">
                  <a16:creationId xmlns:a16="http://schemas.microsoft.com/office/drawing/2014/main" id="{34DF7049-6ED5-B0B4-AD94-E2365AAEF881}"/>
                </a:ext>
              </a:extLst>
            </xdr:cNvPr>
            <xdr:cNvSpPr/>
          </xdr:nvSpPr>
          <xdr:spPr>
            <a:xfrm>
              <a:off x="1598838" y="3255964"/>
              <a:ext cx="4778829" cy="3135311"/>
            </a:xfrm>
            <a:prstGeom prst="rect">
              <a:avLst/>
            </a:prstGeom>
            <a:solidFill>
              <a:srgbClr val="517B7B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endParaRPr lang="pt-BR" sz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grpSp>
          <xdr:nvGrpSpPr>
            <xdr:cNvPr id="27" name="Agrupar 26">
              <a:extLst>
                <a:ext uri="{FF2B5EF4-FFF2-40B4-BE49-F238E27FC236}">
                  <a16:creationId xmlns:a16="http://schemas.microsoft.com/office/drawing/2014/main" id="{F77CF298-D254-A9F4-2604-C8B7AE991FBD}"/>
                </a:ext>
              </a:extLst>
            </xdr:cNvPr>
            <xdr:cNvGrpSpPr/>
          </xdr:nvGrpSpPr>
          <xdr:grpSpPr>
            <a:xfrm>
              <a:off x="1657350" y="3629025"/>
              <a:ext cx="4670742" cy="2686049"/>
              <a:chOff x="1657350" y="3752850"/>
              <a:chExt cx="4670742" cy="2562224"/>
            </a:xfrm>
          </xdr:grpSpPr>
          <xdr:graphicFrame macro="">
            <xdr:nvGraphicFramePr>
              <xdr:cNvPr id="19" name="Gráfico 18">
                <a:extLst>
                  <a:ext uri="{FF2B5EF4-FFF2-40B4-BE49-F238E27FC236}">
                    <a16:creationId xmlns:a16="http://schemas.microsoft.com/office/drawing/2014/main" id="{43791EFA-D159-45B9-9108-F0FB22250AAF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657350" y="3752850"/>
              <a:ext cx="4670742" cy="2562224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"/>
              </a:graphicData>
            </a:graphic>
          </xdr:graphicFrame>
          <xdr:sp macro="" textlink="">
            <xdr:nvSpPr>
              <xdr:cNvPr id="26" name="Retângulo 25">
                <a:extLst>
                  <a:ext uri="{FF2B5EF4-FFF2-40B4-BE49-F238E27FC236}">
                    <a16:creationId xmlns:a16="http://schemas.microsoft.com/office/drawing/2014/main" id="{5C354426-F3DF-451D-829F-05010CBF5414}"/>
                  </a:ext>
                </a:extLst>
              </xdr:cNvPr>
              <xdr:cNvSpPr/>
            </xdr:nvSpPr>
            <xdr:spPr>
              <a:xfrm>
                <a:off x="1680482" y="6057898"/>
                <a:ext cx="1034144" cy="228601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sp macro="" textlink="">
          <xdr:nvSpPr>
            <xdr:cNvPr id="34" name="CaixaDeTexto 33">
              <a:extLst>
                <a:ext uri="{FF2B5EF4-FFF2-40B4-BE49-F238E27FC236}">
                  <a16:creationId xmlns:a16="http://schemas.microsoft.com/office/drawing/2014/main" id="{9751009A-A0B0-5CD9-9B22-CEA7356B0F3B}"/>
                </a:ext>
              </a:extLst>
            </xdr:cNvPr>
            <xdr:cNvSpPr txBox="1"/>
          </xdr:nvSpPr>
          <xdr:spPr>
            <a:xfrm>
              <a:off x="1524000" y="3228975"/>
              <a:ext cx="4924425" cy="4000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600" b="1">
                  <a:solidFill>
                    <a:schemeClr val="bg1"/>
                  </a:solidFill>
                </a:rPr>
                <a:t>Total de Problemas Durante o Ano e Periodo Analisado</a:t>
              </a:r>
            </a:p>
          </xdr:txBody>
        </xdr:sp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ito Silva" refreshedDate="45091.421693171294" createdVersion="8" refreshedVersion="8" minRefreshableVersion="3" recordCount="711" xr:uid="{982E3AE4-8F70-41FD-A15A-FCCCF315E087}">
  <cacheSource type="worksheet">
    <worksheetSource name="Base_de_Dados"/>
  </cacheSource>
  <cacheFields count="7">
    <cacheField name="Parâmetros" numFmtId="0">
      <sharedItems count="17">
        <s v="Cabo Acionamento"/>
        <s v="Transformador"/>
        <s v="Chave Aberta"/>
        <s v="Painel da Bomba"/>
        <s v="Painel do Pivô"/>
        <s v="Contactora"/>
        <s v="Caixa do Micro"/>
        <s v="Cabo  de Segurança"/>
        <s v="Falta de Fase"/>
        <s v="Inversor de Frequência"/>
        <s v="Gerador"/>
        <s v="Injeferd"/>
        <s v="Disjuntor"/>
        <s v="Rede Interna"/>
        <s v="Pivô em Manual"/>
        <s v="Cabo Rompido" u="1"/>
        <s v="Cabo/Auto Rompido" u="1"/>
      </sharedItems>
    </cacheField>
    <cacheField name="Contagem" numFmtId="0">
      <sharedItems containsSemiMixedTypes="0" containsString="0" containsNumber="1" containsInteger="1" minValue="0" maxValue="30"/>
    </cacheField>
    <cacheField name="Porcentagem" numFmtId="9">
      <sharedItems containsSemiMixedTypes="0" containsString="0" containsNumber="1" minValue="0" maxValue="1"/>
    </cacheField>
    <cacheField name="Semana" numFmtId="14">
      <sharedItems containsSemiMixedTypes="0" containsNonDate="0" containsDate="1" containsString="0" minDate="2022-02-18T00:00:00" maxDate="2023-06-06T00:00:00" count="65">
        <d v="2022-02-21T00:00:00"/>
        <d v="2022-02-28T00:00:00"/>
        <d v="2022-03-07T00:00:00"/>
        <d v="2022-03-14T00:00:00"/>
        <d v="2022-03-21T00:00:00"/>
        <d v="2022-03-28T00:00:00"/>
        <d v="2022-04-04T00:00:00"/>
        <d v="2022-04-11T00:00:00"/>
        <d v="2022-04-18T00:00:00"/>
        <d v="2022-04-25T00:00:00"/>
        <d v="2022-05-02T00:00:00"/>
        <d v="2022-05-09T00:00:00"/>
        <d v="2022-05-16T00:00:00"/>
        <d v="2022-05-23T00:00:00"/>
        <d v="2022-06-06T00:00:00"/>
        <d v="2022-06-13T00:00:00"/>
        <d v="2022-06-20T00:00:00"/>
        <d v="2022-06-27T00:00:00"/>
        <d v="2022-07-04T00:00:00"/>
        <d v="2022-07-11T00:00:00"/>
        <d v="2022-07-18T00:00:00"/>
        <d v="2022-07-25T00:00:00"/>
        <d v="2022-08-01T00:00:00"/>
        <d v="2022-08-08T00:00:00"/>
        <d v="2022-08-15T00:00:00"/>
        <d v="2022-08-22T00:00:00"/>
        <d v="2022-08-29T00:00:00"/>
        <d v="2022-09-05T00:00:00"/>
        <d v="2022-09-12T00:00:00"/>
        <d v="2022-09-19T00:00:00"/>
        <d v="2022-09-26T00:00:00"/>
        <d v="2022-10-03T00:00:00"/>
        <d v="2022-10-10T00:00:00"/>
        <d v="2022-10-17T00:00:00"/>
        <d v="2022-10-24T00:00:00"/>
        <d v="2022-10-31T00:00:00"/>
        <d v="2022-11-07T00:00:00"/>
        <d v="2022-11-14T00:00:00"/>
        <d v="2022-11-28T00:00:00"/>
        <d v="2022-12-05T00:00:00"/>
        <d v="2022-12-19T00:00:00"/>
        <d v="2022-12-26T00:00:00"/>
        <d v="2023-01-02T00:00:00"/>
        <d v="2023-01-09T00:00:00"/>
        <d v="2023-01-16T00:00:00"/>
        <d v="2023-01-23T00:00:00"/>
        <d v="2023-01-30T00:00:00"/>
        <d v="2023-02-06T00:00:00"/>
        <d v="2023-02-13T00:00:00"/>
        <d v="2023-02-20T00:00:00"/>
        <d v="2023-02-27T00:00:00"/>
        <d v="2023-03-06T00:00:00"/>
        <d v="2023-03-13T00:00:00"/>
        <d v="2023-03-20T00:00:00"/>
        <d v="2023-03-27T00:00:00"/>
        <d v="2023-04-03T00:00:00"/>
        <d v="2023-04-10T00:00:00"/>
        <d v="2023-04-17T00:00:00"/>
        <d v="2023-04-24T00:00:00"/>
        <d v="2023-05-01T00:00:00"/>
        <d v="2023-05-08T00:00:00"/>
        <d v="2023-05-15T00:00:00"/>
        <d v="2023-05-22T00:00:00"/>
        <d v="2023-06-05T00:00:00"/>
        <d v="2022-02-18T00:00:00" u="1"/>
      </sharedItems>
    </cacheField>
    <cacheField name="Mês" numFmtId="14">
      <sharedItems/>
    </cacheField>
    <cacheField name="Ano" numFmtId="0">
      <sharedItems containsSemiMixedTypes="0" containsString="0" containsNumber="1" containsInteger="1" minValue="1900" maxValue="2023" count="3">
        <n v="2022"/>
        <n v="2023"/>
        <n v="1900" u="1"/>
      </sharedItems>
    </cacheField>
    <cacheField name="Periodo" numFmtId="0">
      <sharedItems count="5">
        <s v="1ª Bimestre"/>
        <s v="2ª Bimestre"/>
        <s v="2ª Semestre" u="1"/>
        <s v="2ªBimestre" u="1"/>
        <s v="1ª Semestre" u="1"/>
      </sharedItems>
    </cacheField>
  </cacheFields>
  <extLst>
    <ext xmlns:x14="http://schemas.microsoft.com/office/spreadsheetml/2009/9/main" uri="{725AE2AE-9491-48be-B2B4-4EB974FC3084}">
      <x14:pivotCacheDefinition pivotCacheId="17031301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1">
  <r>
    <x v="0"/>
    <n v="3"/>
    <n v="0.1875"/>
    <x v="0"/>
    <s v="fevereiro"/>
    <x v="0"/>
    <x v="0"/>
  </r>
  <r>
    <x v="1"/>
    <n v="1"/>
    <n v="6.25E-2"/>
    <x v="0"/>
    <s v="fevereiro"/>
    <x v="0"/>
    <x v="0"/>
  </r>
  <r>
    <x v="2"/>
    <n v="0"/>
    <n v="0"/>
    <x v="0"/>
    <s v="fevereiro"/>
    <x v="0"/>
    <x v="0"/>
  </r>
  <r>
    <x v="3"/>
    <n v="5"/>
    <n v="0.3125"/>
    <x v="0"/>
    <s v="fevereiro"/>
    <x v="0"/>
    <x v="0"/>
  </r>
  <r>
    <x v="4"/>
    <n v="5"/>
    <n v="0.3125"/>
    <x v="0"/>
    <s v="fevereiro"/>
    <x v="0"/>
    <x v="0"/>
  </r>
  <r>
    <x v="5"/>
    <n v="0"/>
    <n v="0"/>
    <x v="0"/>
    <s v="fevereiro"/>
    <x v="0"/>
    <x v="0"/>
  </r>
  <r>
    <x v="6"/>
    <n v="0"/>
    <n v="0"/>
    <x v="0"/>
    <s v="fevereiro"/>
    <x v="0"/>
    <x v="0"/>
  </r>
  <r>
    <x v="7"/>
    <n v="2"/>
    <n v="0.125"/>
    <x v="0"/>
    <s v="fevereiro"/>
    <x v="0"/>
    <x v="0"/>
  </r>
  <r>
    <x v="0"/>
    <n v="1"/>
    <n v="7.1428571428571425E-2"/>
    <x v="1"/>
    <s v="fevereiro"/>
    <x v="0"/>
    <x v="0"/>
  </r>
  <r>
    <x v="1"/>
    <n v="2"/>
    <n v="0.14285714285714285"/>
    <x v="1"/>
    <s v="fevereiro"/>
    <x v="0"/>
    <x v="0"/>
  </r>
  <r>
    <x v="2"/>
    <n v="3"/>
    <n v="0.21428571428571427"/>
    <x v="1"/>
    <s v="fevereiro"/>
    <x v="0"/>
    <x v="0"/>
  </r>
  <r>
    <x v="3"/>
    <n v="2"/>
    <n v="0.14285714285714285"/>
    <x v="1"/>
    <s v="fevereiro"/>
    <x v="0"/>
    <x v="0"/>
  </r>
  <r>
    <x v="4"/>
    <n v="1"/>
    <n v="7.1428571428571425E-2"/>
    <x v="1"/>
    <s v="fevereiro"/>
    <x v="0"/>
    <x v="0"/>
  </r>
  <r>
    <x v="5"/>
    <n v="5"/>
    <n v="0.35714285714285715"/>
    <x v="1"/>
    <s v="fevereiro"/>
    <x v="0"/>
    <x v="0"/>
  </r>
  <r>
    <x v="6"/>
    <n v="0"/>
    <n v="0"/>
    <x v="1"/>
    <s v="fevereiro"/>
    <x v="0"/>
    <x v="0"/>
  </r>
  <r>
    <x v="7"/>
    <n v="0"/>
    <n v="0"/>
    <x v="1"/>
    <s v="fevereiro"/>
    <x v="0"/>
    <x v="0"/>
  </r>
  <r>
    <x v="0"/>
    <n v="0"/>
    <n v="0"/>
    <x v="2"/>
    <s v="março"/>
    <x v="0"/>
    <x v="0"/>
  </r>
  <r>
    <x v="1"/>
    <n v="2"/>
    <n v="0.33333333333333331"/>
    <x v="2"/>
    <s v="março"/>
    <x v="0"/>
    <x v="0"/>
  </r>
  <r>
    <x v="2"/>
    <n v="0"/>
    <n v="0"/>
    <x v="2"/>
    <s v="março"/>
    <x v="0"/>
    <x v="0"/>
  </r>
  <r>
    <x v="3"/>
    <n v="0"/>
    <n v="0"/>
    <x v="2"/>
    <s v="março"/>
    <x v="0"/>
    <x v="0"/>
  </r>
  <r>
    <x v="4"/>
    <n v="1"/>
    <n v="0.16666666666666666"/>
    <x v="2"/>
    <s v="março"/>
    <x v="0"/>
    <x v="0"/>
  </r>
  <r>
    <x v="5"/>
    <n v="3"/>
    <n v="0.5"/>
    <x v="2"/>
    <s v="março"/>
    <x v="0"/>
    <x v="0"/>
  </r>
  <r>
    <x v="6"/>
    <n v="0"/>
    <n v="0"/>
    <x v="2"/>
    <s v="março"/>
    <x v="0"/>
    <x v="0"/>
  </r>
  <r>
    <x v="7"/>
    <n v="0"/>
    <n v="0"/>
    <x v="2"/>
    <s v="março"/>
    <x v="0"/>
    <x v="0"/>
  </r>
  <r>
    <x v="0"/>
    <n v="0"/>
    <n v="0"/>
    <x v="3"/>
    <s v="março"/>
    <x v="0"/>
    <x v="0"/>
  </r>
  <r>
    <x v="1"/>
    <n v="2"/>
    <n v="0.2"/>
    <x v="3"/>
    <s v="março"/>
    <x v="0"/>
    <x v="0"/>
  </r>
  <r>
    <x v="2"/>
    <n v="0"/>
    <n v="0"/>
    <x v="3"/>
    <s v="março"/>
    <x v="0"/>
    <x v="0"/>
  </r>
  <r>
    <x v="3"/>
    <n v="3"/>
    <n v="0.3"/>
    <x v="3"/>
    <s v="março"/>
    <x v="0"/>
    <x v="0"/>
  </r>
  <r>
    <x v="4"/>
    <n v="0"/>
    <n v="0"/>
    <x v="3"/>
    <s v="março"/>
    <x v="0"/>
    <x v="0"/>
  </r>
  <r>
    <x v="5"/>
    <n v="1"/>
    <n v="0.1"/>
    <x v="3"/>
    <s v="março"/>
    <x v="0"/>
    <x v="0"/>
  </r>
  <r>
    <x v="6"/>
    <n v="1"/>
    <n v="0.1"/>
    <x v="3"/>
    <s v="março"/>
    <x v="0"/>
    <x v="0"/>
  </r>
  <r>
    <x v="7"/>
    <n v="3"/>
    <n v="0.3"/>
    <x v="3"/>
    <s v="março"/>
    <x v="0"/>
    <x v="0"/>
  </r>
  <r>
    <x v="0"/>
    <n v="0"/>
    <n v="0"/>
    <x v="4"/>
    <s v="março"/>
    <x v="0"/>
    <x v="0"/>
  </r>
  <r>
    <x v="1"/>
    <n v="0"/>
    <n v="0"/>
    <x v="4"/>
    <s v="março"/>
    <x v="0"/>
    <x v="0"/>
  </r>
  <r>
    <x v="2"/>
    <n v="0"/>
    <n v="0"/>
    <x v="4"/>
    <s v="março"/>
    <x v="0"/>
    <x v="0"/>
  </r>
  <r>
    <x v="3"/>
    <n v="1"/>
    <n v="0.14285714285714285"/>
    <x v="4"/>
    <s v="março"/>
    <x v="0"/>
    <x v="0"/>
  </r>
  <r>
    <x v="4"/>
    <n v="2"/>
    <n v="0.2857142857142857"/>
    <x v="4"/>
    <s v="março"/>
    <x v="0"/>
    <x v="0"/>
  </r>
  <r>
    <x v="5"/>
    <n v="0"/>
    <n v="0"/>
    <x v="4"/>
    <s v="março"/>
    <x v="0"/>
    <x v="0"/>
  </r>
  <r>
    <x v="6"/>
    <n v="0"/>
    <n v="0"/>
    <x v="4"/>
    <s v="março"/>
    <x v="0"/>
    <x v="0"/>
  </r>
  <r>
    <x v="7"/>
    <n v="4"/>
    <n v="0.5714285714285714"/>
    <x v="4"/>
    <s v="março"/>
    <x v="0"/>
    <x v="0"/>
  </r>
  <r>
    <x v="0"/>
    <n v="1"/>
    <n v="9.0909090909090912E-2"/>
    <x v="5"/>
    <s v="março"/>
    <x v="0"/>
    <x v="0"/>
  </r>
  <r>
    <x v="1"/>
    <n v="0"/>
    <n v="0"/>
    <x v="5"/>
    <s v="março"/>
    <x v="0"/>
    <x v="0"/>
  </r>
  <r>
    <x v="2"/>
    <n v="4"/>
    <n v="0.36363636363636365"/>
    <x v="5"/>
    <s v="março"/>
    <x v="0"/>
    <x v="0"/>
  </r>
  <r>
    <x v="3"/>
    <n v="0"/>
    <n v="0"/>
    <x v="5"/>
    <s v="março"/>
    <x v="0"/>
    <x v="0"/>
  </r>
  <r>
    <x v="4"/>
    <n v="1"/>
    <n v="9.0909090909090912E-2"/>
    <x v="5"/>
    <s v="março"/>
    <x v="0"/>
    <x v="0"/>
  </r>
  <r>
    <x v="5"/>
    <n v="1"/>
    <n v="9.0909090909090912E-2"/>
    <x v="5"/>
    <s v="março"/>
    <x v="0"/>
    <x v="0"/>
  </r>
  <r>
    <x v="6"/>
    <n v="2"/>
    <n v="0.18181818181818182"/>
    <x v="5"/>
    <s v="março"/>
    <x v="0"/>
    <x v="0"/>
  </r>
  <r>
    <x v="7"/>
    <n v="2"/>
    <n v="0.18181818181818182"/>
    <x v="5"/>
    <s v="março"/>
    <x v="0"/>
    <x v="0"/>
  </r>
  <r>
    <x v="0"/>
    <n v="0"/>
    <n v="0"/>
    <x v="6"/>
    <s v="abril"/>
    <x v="0"/>
    <x v="0"/>
  </r>
  <r>
    <x v="1"/>
    <n v="0"/>
    <n v="0"/>
    <x v="6"/>
    <s v="abril"/>
    <x v="0"/>
    <x v="0"/>
  </r>
  <r>
    <x v="2"/>
    <n v="0"/>
    <n v="0"/>
    <x v="6"/>
    <s v="abril"/>
    <x v="0"/>
    <x v="0"/>
  </r>
  <r>
    <x v="3"/>
    <n v="1"/>
    <n v="0.16666666666666666"/>
    <x v="6"/>
    <s v="abril"/>
    <x v="0"/>
    <x v="0"/>
  </r>
  <r>
    <x v="4"/>
    <n v="2"/>
    <n v="0.33333333333333331"/>
    <x v="6"/>
    <s v="abril"/>
    <x v="0"/>
    <x v="0"/>
  </r>
  <r>
    <x v="5"/>
    <n v="0"/>
    <n v="0"/>
    <x v="6"/>
    <s v="abril"/>
    <x v="0"/>
    <x v="0"/>
  </r>
  <r>
    <x v="6"/>
    <n v="0"/>
    <n v="0"/>
    <x v="6"/>
    <s v="abril"/>
    <x v="0"/>
    <x v="0"/>
  </r>
  <r>
    <x v="7"/>
    <n v="3"/>
    <n v="0.5"/>
    <x v="6"/>
    <s v="abril"/>
    <x v="0"/>
    <x v="0"/>
  </r>
  <r>
    <x v="0"/>
    <n v="0"/>
    <n v="0"/>
    <x v="7"/>
    <s v="abril"/>
    <x v="0"/>
    <x v="0"/>
  </r>
  <r>
    <x v="1"/>
    <n v="0"/>
    <n v="0"/>
    <x v="7"/>
    <s v="abril"/>
    <x v="0"/>
    <x v="0"/>
  </r>
  <r>
    <x v="2"/>
    <n v="13"/>
    <n v="0.61904761904761907"/>
    <x v="7"/>
    <s v="abril"/>
    <x v="0"/>
    <x v="0"/>
  </r>
  <r>
    <x v="3"/>
    <n v="0"/>
    <n v="0"/>
    <x v="7"/>
    <s v="abril"/>
    <x v="0"/>
    <x v="0"/>
  </r>
  <r>
    <x v="4"/>
    <n v="1"/>
    <n v="4.7619047619047616E-2"/>
    <x v="7"/>
    <s v="abril"/>
    <x v="0"/>
    <x v="0"/>
  </r>
  <r>
    <x v="5"/>
    <n v="0"/>
    <n v="0"/>
    <x v="7"/>
    <s v="abril"/>
    <x v="0"/>
    <x v="0"/>
  </r>
  <r>
    <x v="6"/>
    <n v="5"/>
    <n v="0.23809523809523808"/>
    <x v="7"/>
    <s v="abril"/>
    <x v="0"/>
    <x v="0"/>
  </r>
  <r>
    <x v="7"/>
    <n v="2"/>
    <n v="9.5238095238095233E-2"/>
    <x v="7"/>
    <s v="abril"/>
    <x v="0"/>
    <x v="0"/>
  </r>
  <r>
    <x v="0"/>
    <n v="0"/>
    <n v="0"/>
    <x v="8"/>
    <s v="abril"/>
    <x v="0"/>
    <x v="0"/>
  </r>
  <r>
    <x v="1"/>
    <n v="1"/>
    <n v="0.125"/>
    <x v="8"/>
    <s v="abril"/>
    <x v="0"/>
    <x v="0"/>
  </r>
  <r>
    <x v="2"/>
    <n v="0"/>
    <n v="0"/>
    <x v="8"/>
    <s v="abril"/>
    <x v="0"/>
    <x v="0"/>
  </r>
  <r>
    <x v="3"/>
    <n v="2"/>
    <n v="0.25"/>
    <x v="8"/>
    <s v="abril"/>
    <x v="0"/>
    <x v="0"/>
  </r>
  <r>
    <x v="4"/>
    <n v="1"/>
    <n v="0.125"/>
    <x v="8"/>
    <s v="abril"/>
    <x v="0"/>
    <x v="0"/>
  </r>
  <r>
    <x v="5"/>
    <n v="0"/>
    <n v="0"/>
    <x v="8"/>
    <s v="abril"/>
    <x v="0"/>
    <x v="0"/>
  </r>
  <r>
    <x v="6"/>
    <n v="4"/>
    <n v="0.5"/>
    <x v="8"/>
    <s v="abril"/>
    <x v="0"/>
    <x v="0"/>
  </r>
  <r>
    <x v="7"/>
    <n v="0"/>
    <n v="0"/>
    <x v="8"/>
    <s v="abril"/>
    <x v="0"/>
    <x v="0"/>
  </r>
  <r>
    <x v="0"/>
    <n v="0"/>
    <n v="0"/>
    <x v="9"/>
    <s v="abril"/>
    <x v="0"/>
    <x v="0"/>
  </r>
  <r>
    <x v="1"/>
    <n v="0"/>
    <n v="0"/>
    <x v="9"/>
    <s v="abril"/>
    <x v="0"/>
    <x v="0"/>
  </r>
  <r>
    <x v="2"/>
    <n v="0"/>
    <n v="0"/>
    <x v="9"/>
    <s v="abril"/>
    <x v="0"/>
    <x v="0"/>
  </r>
  <r>
    <x v="3"/>
    <n v="2"/>
    <n v="0.22222222222222221"/>
    <x v="9"/>
    <s v="abril"/>
    <x v="0"/>
    <x v="0"/>
  </r>
  <r>
    <x v="4"/>
    <n v="2"/>
    <n v="0.22222222222222221"/>
    <x v="9"/>
    <s v="abril"/>
    <x v="0"/>
    <x v="0"/>
  </r>
  <r>
    <x v="5"/>
    <n v="1"/>
    <n v="0.1111111111111111"/>
    <x v="9"/>
    <s v="abril"/>
    <x v="0"/>
    <x v="0"/>
  </r>
  <r>
    <x v="6"/>
    <n v="2"/>
    <n v="0.22222222222222221"/>
    <x v="9"/>
    <s v="abril"/>
    <x v="0"/>
    <x v="0"/>
  </r>
  <r>
    <x v="7"/>
    <n v="0"/>
    <n v="0"/>
    <x v="9"/>
    <s v="abril"/>
    <x v="0"/>
    <x v="0"/>
  </r>
  <r>
    <x v="8"/>
    <n v="2"/>
    <n v="0.22222222222222221"/>
    <x v="9"/>
    <s v="abril"/>
    <x v="0"/>
    <x v="0"/>
  </r>
  <r>
    <x v="0"/>
    <n v="0"/>
    <n v="0"/>
    <x v="10"/>
    <s v="maio"/>
    <x v="0"/>
    <x v="0"/>
  </r>
  <r>
    <x v="1"/>
    <n v="0"/>
    <n v="0"/>
    <x v="10"/>
    <s v="maio"/>
    <x v="0"/>
    <x v="0"/>
  </r>
  <r>
    <x v="2"/>
    <n v="0"/>
    <n v="0"/>
    <x v="10"/>
    <s v="maio"/>
    <x v="0"/>
    <x v="0"/>
  </r>
  <r>
    <x v="3"/>
    <n v="2"/>
    <n v="0.66666666666666663"/>
    <x v="10"/>
    <s v="maio"/>
    <x v="0"/>
    <x v="0"/>
  </r>
  <r>
    <x v="4"/>
    <n v="1"/>
    <n v="0.33333333333333331"/>
    <x v="10"/>
    <s v="maio"/>
    <x v="0"/>
    <x v="0"/>
  </r>
  <r>
    <x v="5"/>
    <n v="0"/>
    <n v="0"/>
    <x v="10"/>
    <s v="maio"/>
    <x v="0"/>
    <x v="0"/>
  </r>
  <r>
    <x v="6"/>
    <n v="0"/>
    <n v="0"/>
    <x v="10"/>
    <s v="maio"/>
    <x v="0"/>
    <x v="0"/>
  </r>
  <r>
    <x v="7"/>
    <n v="0"/>
    <n v="0"/>
    <x v="10"/>
    <s v="maio"/>
    <x v="0"/>
    <x v="0"/>
  </r>
  <r>
    <x v="8"/>
    <n v="0"/>
    <n v="0"/>
    <x v="10"/>
    <s v="maio"/>
    <x v="0"/>
    <x v="0"/>
  </r>
  <r>
    <x v="0"/>
    <n v="0"/>
    <n v="0"/>
    <x v="11"/>
    <s v="maio"/>
    <x v="0"/>
    <x v="0"/>
  </r>
  <r>
    <x v="1"/>
    <n v="0"/>
    <n v="0"/>
    <x v="11"/>
    <s v="maio"/>
    <x v="0"/>
    <x v="0"/>
  </r>
  <r>
    <x v="2"/>
    <n v="1"/>
    <n v="0.33333333333333331"/>
    <x v="11"/>
    <s v="maio"/>
    <x v="0"/>
    <x v="0"/>
  </r>
  <r>
    <x v="3"/>
    <n v="2"/>
    <n v="0.66666666666666663"/>
    <x v="11"/>
    <s v="maio"/>
    <x v="0"/>
    <x v="0"/>
  </r>
  <r>
    <x v="4"/>
    <n v="0"/>
    <n v="0"/>
    <x v="11"/>
    <s v="maio"/>
    <x v="0"/>
    <x v="0"/>
  </r>
  <r>
    <x v="5"/>
    <n v="0"/>
    <n v="0"/>
    <x v="11"/>
    <s v="maio"/>
    <x v="0"/>
    <x v="0"/>
  </r>
  <r>
    <x v="6"/>
    <n v="0"/>
    <n v="0"/>
    <x v="11"/>
    <s v="maio"/>
    <x v="0"/>
    <x v="0"/>
  </r>
  <r>
    <x v="7"/>
    <n v="0"/>
    <n v="0"/>
    <x v="11"/>
    <s v="maio"/>
    <x v="0"/>
    <x v="0"/>
  </r>
  <r>
    <x v="8"/>
    <n v="0"/>
    <n v="0"/>
    <x v="11"/>
    <s v="maio"/>
    <x v="0"/>
    <x v="0"/>
  </r>
  <r>
    <x v="0"/>
    <n v="0"/>
    <n v="0"/>
    <x v="12"/>
    <s v="maio"/>
    <x v="0"/>
    <x v="0"/>
  </r>
  <r>
    <x v="1"/>
    <n v="0"/>
    <n v="0"/>
    <x v="12"/>
    <s v="maio"/>
    <x v="0"/>
    <x v="0"/>
  </r>
  <r>
    <x v="2"/>
    <n v="0"/>
    <n v="0"/>
    <x v="12"/>
    <s v="maio"/>
    <x v="0"/>
    <x v="0"/>
  </r>
  <r>
    <x v="3"/>
    <n v="3"/>
    <n v="0.375"/>
    <x v="12"/>
    <s v="maio"/>
    <x v="0"/>
    <x v="0"/>
  </r>
  <r>
    <x v="4"/>
    <n v="0"/>
    <n v="0"/>
    <x v="12"/>
    <s v="maio"/>
    <x v="0"/>
    <x v="0"/>
  </r>
  <r>
    <x v="5"/>
    <n v="5"/>
    <n v="0.625"/>
    <x v="12"/>
    <s v="maio"/>
    <x v="0"/>
    <x v="0"/>
  </r>
  <r>
    <x v="6"/>
    <n v="0"/>
    <n v="0"/>
    <x v="12"/>
    <s v="maio"/>
    <x v="0"/>
    <x v="0"/>
  </r>
  <r>
    <x v="7"/>
    <n v="0"/>
    <n v="0"/>
    <x v="12"/>
    <s v="maio"/>
    <x v="0"/>
    <x v="0"/>
  </r>
  <r>
    <x v="8"/>
    <n v="0"/>
    <n v="0"/>
    <x v="12"/>
    <s v="maio"/>
    <x v="0"/>
    <x v="0"/>
  </r>
  <r>
    <x v="0"/>
    <n v="0"/>
    <n v="0"/>
    <x v="13"/>
    <s v="maio"/>
    <x v="0"/>
    <x v="0"/>
  </r>
  <r>
    <x v="1"/>
    <n v="0"/>
    <n v="0"/>
    <x v="13"/>
    <s v="maio"/>
    <x v="0"/>
    <x v="0"/>
  </r>
  <r>
    <x v="2"/>
    <n v="0"/>
    <n v="0"/>
    <x v="13"/>
    <s v="maio"/>
    <x v="0"/>
    <x v="0"/>
  </r>
  <r>
    <x v="3"/>
    <n v="0"/>
    <n v="0"/>
    <x v="13"/>
    <s v="maio"/>
    <x v="0"/>
    <x v="0"/>
  </r>
  <r>
    <x v="4"/>
    <n v="0"/>
    <n v="0"/>
    <x v="13"/>
    <s v="maio"/>
    <x v="0"/>
    <x v="0"/>
  </r>
  <r>
    <x v="5"/>
    <n v="3"/>
    <n v="0.75"/>
    <x v="13"/>
    <s v="maio"/>
    <x v="0"/>
    <x v="0"/>
  </r>
  <r>
    <x v="6"/>
    <n v="0"/>
    <n v="0"/>
    <x v="13"/>
    <s v="maio"/>
    <x v="0"/>
    <x v="0"/>
  </r>
  <r>
    <x v="7"/>
    <n v="1"/>
    <n v="0.25"/>
    <x v="13"/>
    <s v="maio"/>
    <x v="0"/>
    <x v="0"/>
  </r>
  <r>
    <x v="8"/>
    <n v="0"/>
    <n v="0"/>
    <x v="13"/>
    <s v="maio"/>
    <x v="0"/>
    <x v="0"/>
  </r>
  <r>
    <x v="0"/>
    <n v="0"/>
    <n v="0"/>
    <x v="14"/>
    <s v="junho"/>
    <x v="0"/>
    <x v="0"/>
  </r>
  <r>
    <x v="1"/>
    <n v="0"/>
    <n v="0"/>
    <x v="14"/>
    <s v="junho"/>
    <x v="0"/>
    <x v="0"/>
  </r>
  <r>
    <x v="2"/>
    <n v="0"/>
    <n v="0"/>
    <x v="14"/>
    <s v="junho"/>
    <x v="0"/>
    <x v="0"/>
  </r>
  <r>
    <x v="3"/>
    <n v="1"/>
    <n v="0.25"/>
    <x v="14"/>
    <s v="junho"/>
    <x v="0"/>
    <x v="0"/>
  </r>
  <r>
    <x v="4"/>
    <n v="1"/>
    <n v="0.25"/>
    <x v="14"/>
    <s v="junho"/>
    <x v="0"/>
    <x v="0"/>
  </r>
  <r>
    <x v="5"/>
    <n v="2"/>
    <n v="0.5"/>
    <x v="14"/>
    <s v="junho"/>
    <x v="0"/>
    <x v="0"/>
  </r>
  <r>
    <x v="6"/>
    <n v="0"/>
    <n v="0"/>
    <x v="14"/>
    <s v="junho"/>
    <x v="0"/>
    <x v="0"/>
  </r>
  <r>
    <x v="7"/>
    <n v="0"/>
    <n v="0"/>
    <x v="14"/>
    <s v="junho"/>
    <x v="0"/>
    <x v="0"/>
  </r>
  <r>
    <x v="8"/>
    <n v="0"/>
    <n v="0"/>
    <x v="14"/>
    <s v="junho"/>
    <x v="0"/>
    <x v="0"/>
  </r>
  <r>
    <x v="0"/>
    <n v="0"/>
    <n v="0"/>
    <x v="15"/>
    <s v="junho"/>
    <x v="0"/>
    <x v="0"/>
  </r>
  <r>
    <x v="1"/>
    <n v="5"/>
    <n v="0.38461538461538464"/>
    <x v="15"/>
    <s v="junho"/>
    <x v="0"/>
    <x v="0"/>
  </r>
  <r>
    <x v="2"/>
    <n v="1"/>
    <n v="7.6923076923076927E-2"/>
    <x v="15"/>
    <s v="junho"/>
    <x v="0"/>
    <x v="0"/>
  </r>
  <r>
    <x v="3"/>
    <n v="1"/>
    <n v="7.6923076923076927E-2"/>
    <x v="15"/>
    <s v="junho"/>
    <x v="0"/>
    <x v="0"/>
  </r>
  <r>
    <x v="4"/>
    <n v="2"/>
    <n v="0.15384615384615385"/>
    <x v="15"/>
    <s v="junho"/>
    <x v="0"/>
    <x v="0"/>
  </r>
  <r>
    <x v="5"/>
    <n v="0"/>
    <n v="0"/>
    <x v="15"/>
    <s v="junho"/>
    <x v="0"/>
    <x v="0"/>
  </r>
  <r>
    <x v="6"/>
    <n v="1"/>
    <n v="7.6923076923076927E-2"/>
    <x v="15"/>
    <s v="junho"/>
    <x v="0"/>
    <x v="0"/>
  </r>
  <r>
    <x v="7"/>
    <n v="3"/>
    <n v="0.23076923076923078"/>
    <x v="15"/>
    <s v="junho"/>
    <x v="0"/>
    <x v="0"/>
  </r>
  <r>
    <x v="8"/>
    <n v="0"/>
    <n v="0"/>
    <x v="15"/>
    <s v="junho"/>
    <x v="0"/>
    <x v="0"/>
  </r>
  <r>
    <x v="0"/>
    <n v="0"/>
    <n v="0"/>
    <x v="16"/>
    <s v="junho"/>
    <x v="0"/>
    <x v="0"/>
  </r>
  <r>
    <x v="1"/>
    <n v="0"/>
    <n v="0"/>
    <x v="16"/>
    <s v="junho"/>
    <x v="0"/>
    <x v="0"/>
  </r>
  <r>
    <x v="2"/>
    <n v="1"/>
    <n v="1"/>
    <x v="16"/>
    <s v="junho"/>
    <x v="0"/>
    <x v="0"/>
  </r>
  <r>
    <x v="3"/>
    <n v="0"/>
    <n v="0"/>
    <x v="16"/>
    <s v="junho"/>
    <x v="0"/>
    <x v="0"/>
  </r>
  <r>
    <x v="4"/>
    <n v="0"/>
    <n v="0"/>
    <x v="16"/>
    <s v="junho"/>
    <x v="0"/>
    <x v="0"/>
  </r>
  <r>
    <x v="5"/>
    <n v="0"/>
    <n v="0"/>
    <x v="16"/>
    <s v="junho"/>
    <x v="0"/>
    <x v="0"/>
  </r>
  <r>
    <x v="6"/>
    <n v="0"/>
    <n v="0"/>
    <x v="16"/>
    <s v="junho"/>
    <x v="0"/>
    <x v="0"/>
  </r>
  <r>
    <x v="7"/>
    <n v="0"/>
    <n v="0"/>
    <x v="16"/>
    <s v="junho"/>
    <x v="0"/>
    <x v="0"/>
  </r>
  <r>
    <x v="8"/>
    <n v="0"/>
    <n v="0"/>
    <x v="16"/>
    <s v="junho"/>
    <x v="0"/>
    <x v="0"/>
  </r>
  <r>
    <x v="0"/>
    <n v="0"/>
    <n v="0"/>
    <x v="17"/>
    <s v="junho"/>
    <x v="0"/>
    <x v="0"/>
  </r>
  <r>
    <x v="1"/>
    <n v="0"/>
    <n v="0"/>
    <x v="17"/>
    <s v="junho"/>
    <x v="0"/>
    <x v="0"/>
  </r>
  <r>
    <x v="2"/>
    <n v="0"/>
    <n v="0"/>
    <x v="17"/>
    <s v="junho"/>
    <x v="0"/>
    <x v="0"/>
  </r>
  <r>
    <x v="3"/>
    <n v="0"/>
    <n v="0"/>
    <x v="17"/>
    <s v="junho"/>
    <x v="0"/>
    <x v="0"/>
  </r>
  <r>
    <x v="4"/>
    <n v="0"/>
    <n v="0"/>
    <x v="17"/>
    <s v="junho"/>
    <x v="0"/>
    <x v="0"/>
  </r>
  <r>
    <x v="5"/>
    <n v="0"/>
    <n v="0"/>
    <x v="17"/>
    <s v="junho"/>
    <x v="0"/>
    <x v="0"/>
  </r>
  <r>
    <x v="6"/>
    <n v="0"/>
    <n v="0"/>
    <x v="17"/>
    <s v="junho"/>
    <x v="0"/>
    <x v="0"/>
  </r>
  <r>
    <x v="7"/>
    <n v="2"/>
    <n v="1"/>
    <x v="17"/>
    <s v="junho"/>
    <x v="0"/>
    <x v="0"/>
  </r>
  <r>
    <x v="8"/>
    <n v="0"/>
    <n v="0"/>
    <x v="17"/>
    <s v="junho"/>
    <x v="0"/>
    <x v="0"/>
  </r>
  <r>
    <x v="9"/>
    <n v="0"/>
    <n v="0"/>
    <x v="17"/>
    <s v="junho"/>
    <x v="0"/>
    <x v="0"/>
  </r>
  <r>
    <x v="0"/>
    <n v="0"/>
    <n v="0"/>
    <x v="18"/>
    <s v="julho"/>
    <x v="0"/>
    <x v="1"/>
  </r>
  <r>
    <x v="1"/>
    <n v="0"/>
    <n v="0"/>
    <x v="18"/>
    <s v="julho"/>
    <x v="0"/>
    <x v="1"/>
  </r>
  <r>
    <x v="2"/>
    <n v="0"/>
    <n v="0"/>
    <x v="18"/>
    <s v="julho"/>
    <x v="0"/>
    <x v="1"/>
  </r>
  <r>
    <x v="3"/>
    <n v="0"/>
    <n v="0"/>
    <x v="18"/>
    <s v="julho"/>
    <x v="0"/>
    <x v="1"/>
  </r>
  <r>
    <x v="4"/>
    <n v="0"/>
    <n v="0"/>
    <x v="18"/>
    <s v="julho"/>
    <x v="0"/>
    <x v="1"/>
  </r>
  <r>
    <x v="5"/>
    <n v="0"/>
    <n v="0"/>
    <x v="18"/>
    <s v="julho"/>
    <x v="0"/>
    <x v="1"/>
  </r>
  <r>
    <x v="6"/>
    <n v="1"/>
    <n v="0.33333333333333331"/>
    <x v="18"/>
    <s v="julho"/>
    <x v="0"/>
    <x v="1"/>
  </r>
  <r>
    <x v="7"/>
    <n v="1"/>
    <n v="0.33333333333333331"/>
    <x v="18"/>
    <s v="julho"/>
    <x v="0"/>
    <x v="1"/>
  </r>
  <r>
    <x v="8"/>
    <n v="0"/>
    <n v="0"/>
    <x v="18"/>
    <s v="julho"/>
    <x v="0"/>
    <x v="1"/>
  </r>
  <r>
    <x v="9"/>
    <n v="1"/>
    <n v="0.33333333333333331"/>
    <x v="18"/>
    <s v="julho"/>
    <x v="0"/>
    <x v="1"/>
  </r>
  <r>
    <x v="0"/>
    <n v="2"/>
    <n v="0.2857142857142857"/>
    <x v="19"/>
    <s v="julho"/>
    <x v="0"/>
    <x v="1"/>
  </r>
  <r>
    <x v="1"/>
    <n v="0"/>
    <n v="0"/>
    <x v="19"/>
    <s v="julho"/>
    <x v="0"/>
    <x v="1"/>
  </r>
  <r>
    <x v="2"/>
    <n v="0"/>
    <n v="0"/>
    <x v="19"/>
    <s v="julho"/>
    <x v="0"/>
    <x v="1"/>
  </r>
  <r>
    <x v="3"/>
    <n v="0"/>
    <n v="0"/>
    <x v="19"/>
    <s v="julho"/>
    <x v="0"/>
    <x v="1"/>
  </r>
  <r>
    <x v="4"/>
    <n v="0"/>
    <n v="0"/>
    <x v="19"/>
    <s v="julho"/>
    <x v="0"/>
    <x v="1"/>
  </r>
  <r>
    <x v="5"/>
    <n v="0"/>
    <n v="0"/>
    <x v="19"/>
    <s v="julho"/>
    <x v="0"/>
    <x v="1"/>
  </r>
  <r>
    <x v="6"/>
    <n v="2"/>
    <n v="0.2857142857142857"/>
    <x v="19"/>
    <s v="julho"/>
    <x v="0"/>
    <x v="1"/>
  </r>
  <r>
    <x v="7"/>
    <n v="2"/>
    <n v="0.2857142857142857"/>
    <x v="19"/>
    <s v="julho"/>
    <x v="0"/>
    <x v="1"/>
  </r>
  <r>
    <x v="8"/>
    <n v="0"/>
    <n v="0"/>
    <x v="19"/>
    <s v="julho"/>
    <x v="0"/>
    <x v="1"/>
  </r>
  <r>
    <x v="9"/>
    <n v="1"/>
    <n v="0.14285714285714285"/>
    <x v="19"/>
    <s v="julho"/>
    <x v="0"/>
    <x v="1"/>
  </r>
  <r>
    <x v="0"/>
    <n v="0"/>
    <n v="0"/>
    <x v="20"/>
    <s v="julho"/>
    <x v="0"/>
    <x v="1"/>
  </r>
  <r>
    <x v="1"/>
    <n v="0"/>
    <n v="0"/>
    <x v="20"/>
    <s v="julho"/>
    <x v="0"/>
    <x v="1"/>
  </r>
  <r>
    <x v="2"/>
    <n v="1"/>
    <n v="0.2"/>
    <x v="20"/>
    <s v="julho"/>
    <x v="0"/>
    <x v="1"/>
  </r>
  <r>
    <x v="3"/>
    <n v="1"/>
    <n v="0.2"/>
    <x v="20"/>
    <s v="julho"/>
    <x v="0"/>
    <x v="1"/>
  </r>
  <r>
    <x v="4"/>
    <n v="0"/>
    <n v="0"/>
    <x v="20"/>
    <s v="julho"/>
    <x v="0"/>
    <x v="1"/>
  </r>
  <r>
    <x v="5"/>
    <n v="0"/>
    <n v="0"/>
    <x v="20"/>
    <s v="julho"/>
    <x v="0"/>
    <x v="1"/>
  </r>
  <r>
    <x v="6"/>
    <n v="0"/>
    <n v="0"/>
    <x v="20"/>
    <s v="julho"/>
    <x v="0"/>
    <x v="1"/>
  </r>
  <r>
    <x v="7"/>
    <n v="2"/>
    <n v="0.4"/>
    <x v="20"/>
    <s v="julho"/>
    <x v="0"/>
    <x v="1"/>
  </r>
  <r>
    <x v="8"/>
    <n v="1"/>
    <n v="0.2"/>
    <x v="20"/>
    <s v="julho"/>
    <x v="0"/>
    <x v="1"/>
  </r>
  <r>
    <x v="9"/>
    <n v="0"/>
    <n v="0"/>
    <x v="20"/>
    <s v="julho"/>
    <x v="0"/>
    <x v="1"/>
  </r>
  <r>
    <x v="0"/>
    <n v="0"/>
    <n v="0"/>
    <x v="21"/>
    <s v="julho"/>
    <x v="0"/>
    <x v="1"/>
  </r>
  <r>
    <x v="1"/>
    <n v="0"/>
    <n v="0"/>
    <x v="21"/>
    <s v="julho"/>
    <x v="0"/>
    <x v="1"/>
  </r>
  <r>
    <x v="2"/>
    <n v="3"/>
    <n v="0.5"/>
    <x v="21"/>
    <s v="julho"/>
    <x v="0"/>
    <x v="1"/>
  </r>
  <r>
    <x v="3"/>
    <n v="0"/>
    <n v="0"/>
    <x v="21"/>
    <s v="julho"/>
    <x v="0"/>
    <x v="1"/>
  </r>
  <r>
    <x v="4"/>
    <n v="3"/>
    <n v="0.5"/>
    <x v="21"/>
    <s v="julho"/>
    <x v="0"/>
    <x v="1"/>
  </r>
  <r>
    <x v="5"/>
    <n v="0"/>
    <n v="0"/>
    <x v="21"/>
    <s v="julho"/>
    <x v="0"/>
    <x v="1"/>
  </r>
  <r>
    <x v="6"/>
    <n v="0"/>
    <n v="0"/>
    <x v="21"/>
    <s v="julho"/>
    <x v="0"/>
    <x v="1"/>
  </r>
  <r>
    <x v="7"/>
    <n v="0"/>
    <n v="0"/>
    <x v="21"/>
    <s v="julho"/>
    <x v="0"/>
    <x v="1"/>
  </r>
  <r>
    <x v="8"/>
    <n v="0"/>
    <n v="0"/>
    <x v="21"/>
    <s v="julho"/>
    <x v="0"/>
    <x v="1"/>
  </r>
  <r>
    <x v="9"/>
    <n v="0"/>
    <n v="0"/>
    <x v="21"/>
    <s v="julho"/>
    <x v="0"/>
    <x v="1"/>
  </r>
  <r>
    <x v="10"/>
    <n v="0"/>
    <n v="0"/>
    <x v="21"/>
    <s v="julho"/>
    <x v="0"/>
    <x v="1"/>
  </r>
  <r>
    <x v="0"/>
    <n v="0"/>
    <n v="0"/>
    <x v="22"/>
    <s v="agosto"/>
    <x v="0"/>
    <x v="1"/>
  </r>
  <r>
    <x v="1"/>
    <n v="0"/>
    <n v="0"/>
    <x v="22"/>
    <s v="agosto"/>
    <x v="0"/>
    <x v="1"/>
  </r>
  <r>
    <x v="2"/>
    <n v="0"/>
    <n v="0"/>
    <x v="22"/>
    <s v="agosto"/>
    <x v="0"/>
    <x v="1"/>
  </r>
  <r>
    <x v="3"/>
    <n v="0"/>
    <n v="0"/>
    <x v="22"/>
    <s v="agosto"/>
    <x v="0"/>
    <x v="1"/>
  </r>
  <r>
    <x v="4"/>
    <n v="0"/>
    <n v="0"/>
    <x v="22"/>
    <s v="agosto"/>
    <x v="0"/>
    <x v="1"/>
  </r>
  <r>
    <x v="5"/>
    <n v="2"/>
    <n v="0.5"/>
    <x v="22"/>
    <s v="agosto"/>
    <x v="0"/>
    <x v="1"/>
  </r>
  <r>
    <x v="6"/>
    <n v="0"/>
    <n v="0"/>
    <x v="22"/>
    <s v="agosto"/>
    <x v="0"/>
    <x v="1"/>
  </r>
  <r>
    <x v="7"/>
    <n v="2"/>
    <n v="0.5"/>
    <x v="22"/>
    <s v="agosto"/>
    <x v="0"/>
    <x v="1"/>
  </r>
  <r>
    <x v="8"/>
    <n v="0"/>
    <n v="0"/>
    <x v="22"/>
    <s v="agosto"/>
    <x v="0"/>
    <x v="1"/>
  </r>
  <r>
    <x v="9"/>
    <n v="0"/>
    <n v="0"/>
    <x v="22"/>
    <s v="agosto"/>
    <x v="0"/>
    <x v="1"/>
  </r>
  <r>
    <x v="10"/>
    <n v="0"/>
    <n v="0"/>
    <x v="22"/>
    <s v="agosto"/>
    <x v="0"/>
    <x v="1"/>
  </r>
  <r>
    <x v="0"/>
    <n v="0"/>
    <n v="0"/>
    <x v="23"/>
    <s v="agosto"/>
    <x v="0"/>
    <x v="1"/>
  </r>
  <r>
    <x v="1"/>
    <n v="0"/>
    <n v="0"/>
    <x v="23"/>
    <s v="agosto"/>
    <x v="0"/>
    <x v="1"/>
  </r>
  <r>
    <x v="2"/>
    <n v="0"/>
    <n v="0"/>
    <x v="23"/>
    <s v="agosto"/>
    <x v="0"/>
    <x v="1"/>
  </r>
  <r>
    <x v="3"/>
    <n v="0"/>
    <n v="0"/>
    <x v="23"/>
    <s v="agosto"/>
    <x v="0"/>
    <x v="1"/>
  </r>
  <r>
    <x v="4"/>
    <n v="0"/>
    <n v="0"/>
    <x v="23"/>
    <s v="agosto"/>
    <x v="0"/>
    <x v="1"/>
  </r>
  <r>
    <x v="5"/>
    <n v="0"/>
    <n v="0"/>
    <x v="23"/>
    <s v="agosto"/>
    <x v="0"/>
    <x v="1"/>
  </r>
  <r>
    <x v="6"/>
    <n v="1"/>
    <n v="0.33333333333333331"/>
    <x v="23"/>
    <s v="agosto"/>
    <x v="0"/>
    <x v="1"/>
  </r>
  <r>
    <x v="7"/>
    <n v="0"/>
    <n v="0"/>
    <x v="23"/>
    <s v="agosto"/>
    <x v="0"/>
    <x v="1"/>
  </r>
  <r>
    <x v="8"/>
    <n v="0"/>
    <n v="0"/>
    <x v="23"/>
    <s v="agosto"/>
    <x v="0"/>
    <x v="1"/>
  </r>
  <r>
    <x v="9"/>
    <n v="0"/>
    <n v="0"/>
    <x v="23"/>
    <s v="agosto"/>
    <x v="0"/>
    <x v="1"/>
  </r>
  <r>
    <x v="10"/>
    <n v="2"/>
    <n v="0.66666666666666663"/>
    <x v="23"/>
    <s v="agosto"/>
    <x v="0"/>
    <x v="1"/>
  </r>
  <r>
    <x v="0"/>
    <n v="0"/>
    <n v="0"/>
    <x v="24"/>
    <s v="agosto"/>
    <x v="0"/>
    <x v="1"/>
  </r>
  <r>
    <x v="1"/>
    <n v="0"/>
    <n v="0"/>
    <x v="24"/>
    <s v="agosto"/>
    <x v="0"/>
    <x v="1"/>
  </r>
  <r>
    <x v="2"/>
    <n v="0"/>
    <n v="0"/>
    <x v="24"/>
    <s v="agosto"/>
    <x v="0"/>
    <x v="1"/>
  </r>
  <r>
    <x v="3"/>
    <n v="0"/>
    <n v="0"/>
    <x v="24"/>
    <s v="agosto"/>
    <x v="0"/>
    <x v="1"/>
  </r>
  <r>
    <x v="4"/>
    <n v="1"/>
    <n v="7.1428571428571425E-2"/>
    <x v="24"/>
    <s v="agosto"/>
    <x v="0"/>
    <x v="1"/>
  </r>
  <r>
    <x v="5"/>
    <n v="0"/>
    <n v="0"/>
    <x v="24"/>
    <s v="agosto"/>
    <x v="0"/>
    <x v="1"/>
  </r>
  <r>
    <x v="6"/>
    <n v="0"/>
    <n v="0"/>
    <x v="24"/>
    <s v="agosto"/>
    <x v="0"/>
    <x v="1"/>
  </r>
  <r>
    <x v="7"/>
    <n v="1"/>
    <n v="7.1428571428571425E-2"/>
    <x v="24"/>
    <s v="agosto"/>
    <x v="0"/>
    <x v="1"/>
  </r>
  <r>
    <x v="8"/>
    <n v="0"/>
    <n v="0"/>
    <x v="24"/>
    <s v="agosto"/>
    <x v="0"/>
    <x v="1"/>
  </r>
  <r>
    <x v="9"/>
    <n v="0"/>
    <n v="0"/>
    <x v="24"/>
    <s v="agosto"/>
    <x v="0"/>
    <x v="1"/>
  </r>
  <r>
    <x v="10"/>
    <n v="12"/>
    <n v="0.8571428571428571"/>
    <x v="24"/>
    <s v="agosto"/>
    <x v="0"/>
    <x v="1"/>
  </r>
  <r>
    <x v="0"/>
    <n v="0"/>
    <n v="0"/>
    <x v="25"/>
    <s v="agosto"/>
    <x v="0"/>
    <x v="1"/>
  </r>
  <r>
    <x v="1"/>
    <n v="0"/>
    <n v="0"/>
    <x v="25"/>
    <s v="agosto"/>
    <x v="0"/>
    <x v="1"/>
  </r>
  <r>
    <x v="2"/>
    <n v="0"/>
    <n v="0"/>
    <x v="25"/>
    <s v="agosto"/>
    <x v="0"/>
    <x v="1"/>
  </r>
  <r>
    <x v="3"/>
    <n v="2"/>
    <n v="0.5"/>
    <x v="25"/>
    <s v="agosto"/>
    <x v="0"/>
    <x v="1"/>
  </r>
  <r>
    <x v="4"/>
    <n v="2"/>
    <n v="0.5"/>
    <x v="25"/>
    <s v="agosto"/>
    <x v="0"/>
    <x v="1"/>
  </r>
  <r>
    <x v="5"/>
    <n v="0"/>
    <n v="0"/>
    <x v="25"/>
    <s v="agosto"/>
    <x v="0"/>
    <x v="1"/>
  </r>
  <r>
    <x v="6"/>
    <n v="0"/>
    <n v="0"/>
    <x v="25"/>
    <s v="agosto"/>
    <x v="0"/>
    <x v="1"/>
  </r>
  <r>
    <x v="7"/>
    <n v="0"/>
    <n v="0"/>
    <x v="25"/>
    <s v="agosto"/>
    <x v="0"/>
    <x v="1"/>
  </r>
  <r>
    <x v="8"/>
    <n v="0"/>
    <n v="0"/>
    <x v="25"/>
    <s v="agosto"/>
    <x v="0"/>
    <x v="1"/>
  </r>
  <r>
    <x v="9"/>
    <n v="0"/>
    <n v="0"/>
    <x v="25"/>
    <s v="agosto"/>
    <x v="0"/>
    <x v="1"/>
  </r>
  <r>
    <x v="10"/>
    <n v="0"/>
    <n v="0"/>
    <x v="25"/>
    <s v="agosto"/>
    <x v="0"/>
    <x v="1"/>
  </r>
  <r>
    <x v="0"/>
    <n v="0"/>
    <n v="0"/>
    <x v="26"/>
    <s v="agosto"/>
    <x v="0"/>
    <x v="1"/>
  </r>
  <r>
    <x v="1"/>
    <n v="0"/>
    <n v="0"/>
    <x v="26"/>
    <s v="agosto"/>
    <x v="0"/>
    <x v="1"/>
  </r>
  <r>
    <x v="2"/>
    <n v="0"/>
    <n v="0"/>
    <x v="26"/>
    <s v="agosto"/>
    <x v="0"/>
    <x v="1"/>
  </r>
  <r>
    <x v="3"/>
    <n v="2"/>
    <n v="0.5"/>
    <x v="26"/>
    <s v="agosto"/>
    <x v="0"/>
    <x v="1"/>
  </r>
  <r>
    <x v="4"/>
    <n v="0"/>
    <n v="0"/>
    <x v="26"/>
    <s v="agosto"/>
    <x v="0"/>
    <x v="1"/>
  </r>
  <r>
    <x v="5"/>
    <n v="0"/>
    <n v="0"/>
    <x v="26"/>
    <s v="agosto"/>
    <x v="0"/>
    <x v="1"/>
  </r>
  <r>
    <x v="6"/>
    <n v="0"/>
    <n v="0"/>
    <x v="26"/>
    <s v="agosto"/>
    <x v="0"/>
    <x v="1"/>
  </r>
  <r>
    <x v="7"/>
    <n v="0"/>
    <n v="0"/>
    <x v="26"/>
    <s v="agosto"/>
    <x v="0"/>
    <x v="1"/>
  </r>
  <r>
    <x v="8"/>
    <n v="0"/>
    <n v="0"/>
    <x v="26"/>
    <s v="agosto"/>
    <x v="0"/>
    <x v="1"/>
  </r>
  <r>
    <x v="9"/>
    <n v="0"/>
    <n v="0"/>
    <x v="26"/>
    <s v="agosto"/>
    <x v="0"/>
    <x v="1"/>
  </r>
  <r>
    <x v="10"/>
    <n v="2"/>
    <n v="0.5"/>
    <x v="26"/>
    <s v="agosto"/>
    <x v="0"/>
    <x v="1"/>
  </r>
  <r>
    <x v="0"/>
    <n v="0"/>
    <n v="0"/>
    <x v="27"/>
    <s v="setembro"/>
    <x v="0"/>
    <x v="1"/>
  </r>
  <r>
    <x v="1"/>
    <n v="0"/>
    <n v="0"/>
    <x v="27"/>
    <s v="setembro"/>
    <x v="0"/>
    <x v="1"/>
  </r>
  <r>
    <x v="2"/>
    <n v="0"/>
    <n v="0"/>
    <x v="27"/>
    <s v="setembro"/>
    <x v="0"/>
    <x v="1"/>
  </r>
  <r>
    <x v="3"/>
    <n v="0"/>
    <n v="0"/>
    <x v="27"/>
    <s v="setembro"/>
    <x v="0"/>
    <x v="1"/>
  </r>
  <r>
    <x v="4"/>
    <n v="0"/>
    <n v="0"/>
    <x v="27"/>
    <s v="setembro"/>
    <x v="0"/>
    <x v="1"/>
  </r>
  <r>
    <x v="5"/>
    <n v="0"/>
    <n v="0"/>
    <x v="27"/>
    <s v="setembro"/>
    <x v="0"/>
    <x v="1"/>
  </r>
  <r>
    <x v="6"/>
    <n v="0"/>
    <n v="0"/>
    <x v="27"/>
    <s v="setembro"/>
    <x v="0"/>
    <x v="1"/>
  </r>
  <r>
    <x v="7"/>
    <n v="0"/>
    <n v="0"/>
    <x v="27"/>
    <s v="setembro"/>
    <x v="0"/>
    <x v="1"/>
  </r>
  <r>
    <x v="8"/>
    <n v="0"/>
    <n v="0"/>
    <x v="27"/>
    <s v="setembro"/>
    <x v="0"/>
    <x v="1"/>
  </r>
  <r>
    <x v="9"/>
    <n v="0"/>
    <n v="0"/>
    <x v="27"/>
    <s v="setembro"/>
    <x v="0"/>
    <x v="1"/>
  </r>
  <r>
    <x v="10"/>
    <n v="3"/>
    <n v="1"/>
    <x v="27"/>
    <s v="setembro"/>
    <x v="0"/>
    <x v="1"/>
  </r>
  <r>
    <x v="0"/>
    <n v="0"/>
    <n v="0"/>
    <x v="28"/>
    <s v="setembro"/>
    <x v="0"/>
    <x v="1"/>
  </r>
  <r>
    <x v="1"/>
    <n v="0"/>
    <n v="0"/>
    <x v="28"/>
    <s v="setembro"/>
    <x v="0"/>
    <x v="1"/>
  </r>
  <r>
    <x v="2"/>
    <n v="0"/>
    <n v="0"/>
    <x v="28"/>
    <s v="setembro"/>
    <x v="0"/>
    <x v="1"/>
  </r>
  <r>
    <x v="3"/>
    <n v="1"/>
    <n v="0.14285714285714285"/>
    <x v="28"/>
    <s v="setembro"/>
    <x v="0"/>
    <x v="1"/>
  </r>
  <r>
    <x v="4"/>
    <n v="5"/>
    <n v="0.7142857142857143"/>
    <x v="28"/>
    <s v="setembro"/>
    <x v="0"/>
    <x v="1"/>
  </r>
  <r>
    <x v="5"/>
    <n v="1"/>
    <n v="0.14285714285714285"/>
    <x v="28"/>
    <s v="setembro"/>
    <x v="0"/>
    <x v="1"/>
  </r>
  <r>
    <x v="6"/>
    <n v="0"/>
    <n v="0"/>
    <x v="28"/>
    <s v="setembro"/>
    <x v="0"/>
    <x v="1"/>
  </r>
  <r>
    <x v="7"/>
    <n v="0"/>
    <n v="0"/>
    <x v="28"/>
    <s v="setembro"/>
    <x v="0"/>
    <x v="1"/>
  </r>
  <r>
    <x v="8"/>
    <n v="0"/>
    <n v="0"/>
    <x v="28"/>
    <s v="setembro"/>
    <x v="0"/>
    <x v="1"/>
  </r>
  <r>
    <x v="9"/>
    <n v="0"/>
    <n v="0"/>
    <x v="28"/>
    <s v="setembro"/>
    <x v="0"/>
    <x v="1"/>
  </r>
  <r>
    <x v="10"/>
    <n v="0"/>
    <n v="0"/>
    <x v="28"/>
    <s v="setembro"/>
    <x v="0"/>
    <x v="1"/>
  </r>
  <r>
    <x v="0"/>
    <n v="0"/>
    <n v="0"/>
    <x v="29"/>
    <s v="setembro"/>
    <x v="0"/>
    <x v="1"/>
  </r>
  <r>
    <x v="1"/>
    <n v="0"/>
    <n v="0"/>
    <x v="29"/>
    <s v="setembro"/>
    <x v="0"/>
    <x v="1"/>
  </r>
  <r>
    <x v="2"/>
    <n v="4"/>
    <n v="1"/>
    <x v="29"/>
    <s v="setembro"/>
    <x v="0"/>
    <x v="1"/>
  </r>
  <r>
    <x v="3"/>
    <n v="0"/>
    <n v="0"/>
    <x v="29"/>
    <s v="setembro"/>
    <x v="0"/>
    <x v="1"/>
  </r>
  <r>
    <x v="4"/>
    <n v="0"/>
    <n v="0"/>
    <x v="29"/>
    <s v="setembro"/>
    <x v="0"/>
    <x v="1"/>
  </r>
  <r>
    <x v="5"/>
    <n v="0"/>
    <n v="0"/>
    <x v="29"/>
    <s v="setembro"/>
    <x v="0"/>
    <x v="1"/>
  </r>
  <r>
    <x v="6"/>
    <n v="0"/>
    <n v="0"/>
    <x v="29"/>
    <s v="setembro"/>
    <x v="0"/>
    <x v="1"/>
  </r>
  <r>
    <x v="7"/>
    <n v="0"/>
    <n v="0"/>
    <x v="29"/>
    <s v="setembro"/>
    <x v="0"/>
    <x v="1"/>
  </r>
  <r>
    <x v="8"/>
    <n v="0"/>
    <n v="0"/>
    <x v="29"/>
    <s v="setembro"/>
    <x v="0"/>
    <x v="1"/>
  </r>
  <r>
    <x v="9"/>
    <n v="0"/>
    <n v="0"/>
    <x v="29"/>
    <s v="setembro"/>
    <x v="0"/>
    <x v="1"/>
  </r>
  <r>
    <x v="10"/>
    <n v="0"/>
    <n v="0"/>
    <x v="29"/>
    <s v="setembro"/>
    <x v="0"/>
    <x v="1"/>
  </r>
  <r>
    <x v="0"/>
    <n v="0"/>
    <n v="0"/>
    <x v="30"/>
    <s v="setembro"/>
    <x v="0"/>
    <x v="1"/>
  </r>
  <r>
    <x v="1"/>
    <n v="0"/>
    <n v="0"/>
    <x v="30"/>
    <s v="setembro"/>
    <x v="0"/>
    <x v="1"/>
  </r>
  <r>
    <x v="2"/>
    <n v="0"/>
    <n v="0"/>
    <x v="30"/>
    <s v="setembro"/>
    <x v="0"/>
    <x v="1"/>
  </r>
  <r>
    <x v="3"/>
    <n v="0"/>
    <n v="0"/>
    <x v="30"/>
    <s v="setembro"/>
    <x v="0"/>
    <x v="1"/>
  </r>
  <r>
    <x v="4"/>
    <n v="2"/>
    <n v="1"/>
    <x v="30"/>
    <s v="setembro"/>
    <x v="0"/>
    <x v="1"/>
  </r>
  <r>
    <x v="5"/>
    <n v="0"/>
    <n v="0"/>
    <x v="30"/>
    <s v="setembro"/>
    <x v="0"/>
    <x v="1"/>
  </r>
  <r>
    <x v="6"/>
    <n v="0"/>
    <n v="0"/>
    <x v="30"/>
    <s v="setembro"/>
    <x v="0"/>
    <x v="1"/>
  </r>
  <r>
    <x v="7"/>
    <n v="0"/>
    <n v="0"/>
    <x v="30"/>
    <s v="setembro"/>
    <x v="0"/>
    <x v="1"/>
  </r>
  <r>
    <x v="8"/>
    <n v="0"/>
    <n v="0"/>
    <x v="30"/>
    <s v="setembro"/>
    <x v="0"/>
    <x v="1"/>
  </r>
  <r>
    <x v="9"/>
    <n v="0"/>
    <n v="0"/>
    <x v="30"/>
    <s v="setembro"/>
    <x v="0"/>
    <x v="1"/>
  </r>
  <r>
    <x v="10"/>
    <n v="0"/>
    <n v="0"/>
    <x v="30"/>
    <s v="setembro"/>
    <x v="0"/>
    <x v="1"/>
  </r>
  <r>
    <x v="0"/>
    <n v="0"/>
    <n v="0"/>
    <x v="31"/>
    <s v="outubro"/>
    <x v="0"/>
    <x v="1"/>
  </r>
  <r>
    <x v="1"/>
    <n v="0"/>
    <n v="0"/>
    <x v="31"/>
    <s v="outubro"/>
    <x v="0"/>
    <x v="1"/>
  </r>
  <r>
    <x v="2"/>
    <n v="1"/>
    <n v="0.33333333333333331"/>
    <x v="31"/>
    <s v="outubro"/>
    <x v="0"/>
    <x v="1"/>
  </r>
  <r>
    <x v="3"/>
    <n v="1"/>
    <n v="0.33333333333333331"/>
    <x v="31"/>
    <s v="outubro"/>
    <x v="0"/>
    <x v="1"/>
  </r>
  <r>
    <x v="4"/>
    <n v="1"/>
    <n v="0.33333333333333331"/>
    <x v="31"/>
    <s v="outubro"/>
    <x v="0"/>
    <x v="1"/>
  </r>
  <r>
    <x v="5"/>
    <n v="0"/>
    <n v="0"/>
    <x v="31"/>
    <s v="outubro"/>
    <x v="0"/>
    <x v="1"/>
  </r>
  <r>
    <x v="6"/>
    <n v="0"/>
    <n v="0"/>
    <x v="31"/>
    <s v="outubro"/>
    <x v="0"/>
    <x v="1"/>
  </r>
  <r>
    <x v="7"/>
    <n v="0"/>
    <n v="0"/>
    <x v="31"/>
    <s v="outubro"/>
    <x v="0"/>
    <x v="1"/>
  </r>
  <r>
    <x v="8"/>
    <n v="0"/>
    <n v="0"/>
    <x v="31"/>
    <s v="outubro"/>
    <x v="0"/>
    <x v="1"/>
  </r>
  <r>
    <x v="9"/>
    <n v="0"/>
    <n v="0"/>
    <x v="31"/>
    <s v="outubro"/>
    <x v="0"/>
    <x v="1"/>
  </r>
  <r>
    <x v="10"/>
    <n v="0"/>
    <n v="0"/>
    <x v="31"/>
    <s v="outubro"/>
    <x v="0"/>
    <x v="1"/>
  </r>
  <r>
    <x v="0"/>
    <n v="0"/>
    <n v="0"/>
    <x v="32"/>
    <s v="outubro"/>
    <x v="0"/>
    <x v="1"/>
  </r>
  <r>
    <x v="1"/>
    <n v="0"/>
    <n v="0"/>
    <x v="32"/>
    <s v="outubro"/>
    <x v="0"/>
    <x v="1"/>
  </r>
  <r>
    <x v="2"/>
    <n v="2"/>
    <n v="0.33333333333333331"/>
    <x v="32"/>
    <s v="outubro"/>
    <x v="0"/>
    <x v="1"/>
  </r>
  <r>
    <x v="3"/>
    <n v="1"/>
    <n v="0.16666666666666666"/>
    <x v="32"/>
    <s v="outubro"/>
    <x v="0"/>
    <x v="1"/>
  </r>
  <r>
    <x v="4"/>
    <n v="2"/>
    <n v="0.33333333333333331"/>
    <x v="32"/>
    <s v="outubro"/>
    <x v="0"/>
    <x v="1"/>
  </r>
  <r>
    <x v="5"/>
    <n v="1"/>
    <n v="0.16666666666666666"/>
    <x v="32"/>
    <s v="outubro"/>
    <x v="0"/>
    <x v="1"/>
  </r>
  <r>
    <x v="6"/>
    <n v="0"/>
    <n v="0"/>
    <x v="32"/>
    <s v="outubro"/>
    <x v="0"/>
    <x v="1"/>
  </r>
  <r>
    <x v="7"/>
    <n v="0"/>
    <n v="0"/>
    <x v="32"/>
    <s v="outubro"/>
    <x v="0"/>
    <x v="1"/>
  </r>
  <r>
    <x v="8"/>
    <n v="0"/>
    <n v="0"/>
    <x v="32"/>
    <s v="outubro"/>
    <x v="0"/>
    <x v="1"/>
  </r>
  <r>
    <x v="9"/>
    <n v="0"/>
    <n v="0"/>
    <x v="32"/>
    <s v="outubro"/>
    <x v="0"/>
    <x v="1"/>
  </r>
  <r>
    <x v="10"/>
    <n v="0"/>
    <n v="0"/>
    <x v="32"/>
    <s v="outubro"/>
    <x v="0"/>
    <x v="1"/>
  </r>
  <r>
    <x v="0"/>
    <n v="0"/>
    <n v="0"/>
    <x v="33"/>
    <s v="outubro"/>
    <x v="0"/>
    <x v="1"/>
  </r>
  <r>
    <x v="1"/>
    <n v="0"/>
    <n v="0"/>
    <x v="33"/>
    <s v="outubro"/>
    <x v="0"/>
    <x v="1"/>
  </r>
  <r>
    <x v="2"/>
    <n v="0"/>
    <n v="0"/>
    <x v="33"/>
    <s v="outubro"/>
    <x v="0"/>
    <x v="1"/>
  </r>
  <r>
    <x v="3"/>
    <n v="1"/>
    <n v="0.33333333333333331"/>
    <x v="33"/>
    <s v="outubro"/>
    <x v="0"/>
    <x v="1"/>
  </r>
  <r>
    <x v="4"/>
    <n v="0"/>
    <n v="0"/>
    <x v="33"/>
    <s v="outubro"/>
    <x v="0"/>
    <x v="1"/>
  </r>
  <r>
    <x v="5"/>
    <n v="0"/>
    <n v="0"/>
    <x v="33"/>
    <s v="outubro"/>
    <x v="0"/>
    <x v="1"/>
  </r>
  <r>
    <x v="6"/>
    <n v="2"/>
    <n v="0.66666666666666663"/>
    <x v="33"/>
    <s v="outubro"/>
    <x v="0"/>
    <x v="1"/>
  </r>
  <r>
    <x v="7"/>
    <n v="0"/>
    <n v="0"/>
    <x v="33"/>
    <s v="outubro"/>
    <x v="0"/>
    <x v="1"/>
  </r>
  <r>
    <x v="8"/>
    <n v="0"/>
    <n v="0"/>
    <x v="33"/>
    <s v="outubro"/>
    <x v="0"/>
    <x v="1"/>
  </r>
  <r>
    <x v="9"/>
    <n v="0"/>
    <n v="0"/>
    <x v="33"/>
    <s v="outubro"/>
    <x v="0"/>
    <x v="1"/>
  </r>
  <r>
    <x v="10"/>
    <n v="0"/>
    <n v="0"/>
    <x v="33"/>
    <s v="outubro"/>
    <x v="0"/>
    <x v="1"/>
  </r>
  <r>
    <x v="0"/>
    <n v="0"/>
    <n v="0"/>
    <x v="34"/>
    <s v="outubro"/>
    <x v="0"/>
    <x v="1"/>
  </r>
  <r>
    <x v="1"/>
    <n v="0"/>
    <n v="0"/>
    <x v="34"/>
    <s v="outubro"/>
    <x v="0"/>
    <x v="1"/>
  </r>
  <r>
    <x v="2"/>
    <n v="0"/>
    <n v="0"/>
    <x v="34"/>
    <s v="outubro"/>
    <x v="0"/>
    <x v="1"/>
  </r>
  <r>
    <x v="3"/>
    <n v="1"/>
    <n v="0.25"/>
    <x v="34"/>
    <s v="outubro"/>
    <x v="0"/>
    <x v="1"/>
  </r>
  <r>
    <x v="4"/>
    <n v="3"/>
    <n v="0.75"/>
    <x v="34"/>
    <s v="outubro"/>
    <x v="0"/>
    <x v="1"/>
  </r>
  <r>
    <x v="5"/>
    <n v="0"/>
    <n v="0"/>
    <x v="34"/>
    <s v="outubro"/>
    <x v="0"/>
    <x v="1"/>
  </r>
  <r>
    <x v="6"/>
    <n v="0"/>
    <n v="0"/>
    <x v="34"/>
    <s v="outubro"/>
    <x v="0"/>
    <x v="1"/>
  </r>
  <r>
    <x v="7"/>
    <n v="0"/>
    <n v="0"/>
    <x v="34"/>
    <s v="outubro"/>
    <x v="0"/>
    <x v="1"/>
  </r>
  <r>
    <x v="8"/>
    <n v="0"/>
    <n v="0"/>
    <x v="34"/>
    <s v="outubro"/>
    <x v="0"/>
    <x v="1"/>
  </r>
  <r>
    <x v="9"/>
    <n v="0"/>
    <n v="0"/>
    <x v="34"/>
    <s v="outubro"/>
    <x v="0"/>
    <x v="1"/>
  </r>
  <r>
    <x v="10"/>
    <n v="0"/>
    <n v="0"/>
    <x v="34"/>
    <s v="outubro"/>
    <x v="0"/>
    <x v="1"/>
  </r>
  <r>
    <x v="0"/>
    <n v="0"/>
    <n v="0"/>
    <x v="35"/>
    <s v="outubro"/>
    <x v="0"/>
    <x v="1"/>
  </r>
  <r>
    <x v="1"/>
    <n v="0"/>
    <n v="0"/>
    <x v="35"/>
    <s v="outubro"/>
    <x v="0"/>
    <x v="1"/>
  </r>
  <r>
    <x v="2"/>
    <n v="0"/>
    <n v="0"/>
    <x v="35"/>
    <s v="outubro"/>
    <x v="0"/>
    <x v="1"/>
  </r>
  <r>
    <x v="3"/>
    <n v="1"/>
    <n v="0.5"/>
    <x v="35"/>
    <s v="outubro"/>
    <x v="0"/>
    <x v="1"/>
  </r>
  <r>
    <x v="4"/>
    <n v="1"/>
    <n v="0.5"/>
    <x v="35"/>
    <s v="outubro"/>
    <x v="0"/>
    <x v="1"/>
  </r>
  <r>
    <x v="5"/>
    <n v="0"/>
    <n v="0"/>
    <x v="35"/>
    <s v="outubro"/>
    <x v="0"/>
    <x v="1"/>
  </r>
  <r>
    <x v="6"/>
    <n v="0"/>
    <n v="0"/>
    <x v="35"/>
    <s v="outubro"/>
    <x v="0"/>
    <x v="1"/>
  </r>
  <r>
    <x v="7"/>
    <n v="0"/>
    <n v="0"/>
    <x v="35"/>
    <s v="outubro"/>
    <x v="0"/>
    <x v="1"/>
  </r>
  <r>
    <x v="8"/>
    <n v="0"/>
    <n v="0"/>
    <x v="35"/>
    <s v="outubro"/>
    <x v="0"/>
    <x v="1"/>
  </r>
  <r>
    <x v="9"/>
    <n v="0"/>
    <n v="0"/>
    <x v="35"/>
    <s v="outubro"/>
    <x v="0"/>
    <x v="1"/>
  </r>
  <r>
    <x v="10"/>
    <n v="0"/>
    <n v="0"/>
    <x v="35"/>
    <s v="outubro"/>
    <x v="0"/>
    <x v="1"/>
  </r>
  <r>
    <x v="0"/>
    <n v="0"/>
    <n v="0"/>
    <x v="36"/>
    <s v="novembro"/>
    <x v="0"/>
    <x v="1"/>
  </r>
  <r>
    <x v="1"/>
    <n v="0"/>
    <n v="0"/>
    <x v="36"/>
    <s v="novembro"/>
    <x v="0"/>
    <x v="1"/>
  </r>
  <r>
    <x v="2"/>
    <n v="0"/>
    <n v="0"/>
    <x v="36"/>
    <s v="novembro"/>
    <x v="0"/>
    <x v="1"/>
  </r>
  <r>
    <x v="3"/>
    <n v="2"/>
    <n v="0.33333333333333331"/>
    <x v="36"/>
    <s v="novembro"/>
    <x v="0"/>
    <x v="1"/>
  </r>
  <r>
    <x v="4"/>
    <n v="1"/>
    <n v="0.16666666666666666"/>
    <x v="36"/>
    <s v="novembro"/>
    <x v="0"/>
    <x v="1"/>
  </r>
  <r>
    <x v="5"/>
    <n v="1"/>
    <n v="0.16666666666666666"/>
    <x v="36"/>
    <s v="novembro"/>
    <x v="0"/>
    <x v="1"/>
  </r>
  <r>
    <x v="6"/>
    <n v="0"/>
    <n v="0"/>
    <x v="36"/>
    <s v="novembro"/>
    <x v="0"/>
    <x v="1"/>
  </r>
  <r>
    <x v="7"/>
    <n v="1"/>
    <n v="0.16666666666666666"/>
    <x v="36"/>
    <s v="novembro"/>
    <x v="0"/>
    <x v="1"/>
  </r>
  <r>
    <x v="8"/>
    <n v="0"/>
    <n v="0"/>
    <x v="36"/>
    <s v="novembro"/>
    <x v="0"/>
    <x v="1"/>
  </r>
  <r>
    <x v="9"/>
    <n v="1"/>
    <n v="0.16666666666666666"/>
    <x v="36"/>
    <s v="novembro"/>
    <x v="0"/>
    <x v="1"/>
  </r>
  <r>
    <x v="10"/>
    <n v="0"/>
    <n v="0"/>
    <x v="36"/>
    <s v="novembro"/>
    <x v="0"/>
    <x v="1"/>
  </r>
  <r>
    <x v="0"/>
    <n v="0"/>
    <n v="0"/>
    <x v="37"/>
    <s v="novembro"/>
    <x v="0"/>
    <x v="1"/>
  </r>
  <r>
    <x v="1"/>
    <n v="0"/>
    <n v="0"/>
    <x v="37"/>
    <s v="novembro"/>
    <x v="0"/>
    <x v="1"/>
  </r>
  <r>
    <x v="2"/>
    <n v="0"/>
    <n v="0"/>
    <x v="37"/>
    <s v="novembro"/>
    <x v="0"/>
    <x v="1"/>
  </r>
  <r>
    <x v="3"/>
    <n v="3"/>
    <n v="1"/>
    <x v="37"/>
    <s v="novembro"/>
    <x v="0"/>
    <x v="1"/>
  </r>
  <r>
    <x v="4"/>
    <n v="0"/>
    <n v="0"/>
    <x v="37"/>
    <s v="novembro"/>
    <x v="0"/>
    <x v="1"/>
  </r>
  <r>
    <x v="5"/>
    <n v="0"/>
    <n v="0"/>
    <x v="37"/>
    <s v="novembro"/>
    <x v="0"/>
    <x v="1"/>
  </r>
  <r>
    <x v="6"/>
    <n v="0"/>
    <n v="0"/>
    <x v="37"/>
    <s v="novembro"/>
    <x v="0"/>
    <x v="1"/>
  </r>
  <r>
    <x v="7"/>
    <n v="0"/>
    <n v="0"/>
    <x v="37"/>
    <s v="novembro"/>
    <x v="0"/>
    <x v="1"/>
  </r>
  <r>
    <x v="8"/>
    <n v="0"/>
    <n v="0"/>
    <x v="37"/>
    <s v="novembro"/>
    <x v="0"/>
    <x v="1"/>
  </r>
  <r>
    <x v="9"/>
    <n v="0"/>
    <n v="0"/>
    <x v="37"/>
    <s v="novembro"/>
    <x v="0"/>
    <x v="1"/>
  </r>
  <r>
    <x v="10"/>
    <n v="0"/>
    <n v="0"/>
    <x v="37"/>
    <s v="novembro"/>
    <x v="0"/>
    <x v="1"/>
  </r>
  <r>
    <x v="0"/>
    <n v="0"/>
    <n v="0"/>
    <x v="38"/>
    <s v="novembro"/>
    <x v="0"/>
    <x v="1"/>
  </r>
  <r>
    <x v="1"/>
    <n v="0"/>
    <n v="0"/>
    <x v="38"/>
    <s v="novembro"/>
    <x v="0"/>
    <x v="1"/>
  </r>
  <r>
    <x v="2"/>
    <n v="0"/>
    <n v="0"/>
    <x v="38"/>
    <s v="novembro"/>
    <x v="0"/>
    <x v="1"/>
  </r>
  <r>
    <x v="3"/>
    <n v="1"/>
    <n v="1"/>
    <x v="38"/>
    <s v="novembro"/>
    <x v="0"/>
    <x v="1"/>
  </r>
  <r>
    <x v="4"/>
    <n v="0"/>
    <n v="0"/>
    <x v="38"/>
    <s v="novembro"/>
    <x v="0"/>
    <x v="1"/>
  </r>
  <r>
    <x v="5"/>
    <n v="0"/>
    <n v="0"/>
    <x v="38"/>
    <s v="novembro"/>
    <x v="0"/>
    <x v="1"/>
  </r>
  <r>
    <x v="6"/>
    <n v="0"/>
    <n v="0"/>
    <x v="38"/>
    <s v="novembro"/>
    <x v="0"/>
    <x v="1"/>
  </r>
  <r>
    <x v="7"/>
    <n v="0"/>
    <n v="0"/>
    <x v="38"/>
    <s v="novembro"/>
    <x v="0"/>
    <x v="1"/>
  </r>
  <r>
    <x v="8"/>
    <n v="0"/>
    <n v="0"/>
    <x v="38"/>
    <s v="novembro"/>
    <x v="0"/>
    <x v="1"/>
  </r>
  <r>
    <x v="9"/>
    <n v="0"/>
    <n v="0"/>
    <x v="38"/>
    <s v="novembro"/>
    <x v="0"/>
    <x v="1"/>
  </r>
  <r>
    <x v="10"/>
    <n v="0"/>
    <n v="0"/>
    <x v="38"/>
    <s v="novembro"/>
    <x v="0"/>
    <x v="1"/>
  </r>
  <r>
    <x v="0"/>
    <n v="2"/>
    <n v="0.4"/>
    <x v="39"/>
    <s v="dezembro"/>
    <x v="0"/>
    <x v="1"/>
  </r>
  <r>
    <x v="1"/>
    <n v="0"/>
    <n v="0"/>
    <x v="39"/>
    <s v="dezembro"/>
    <x v="0"/>
    <x v="1"/>
  </r>
  <r>
    <x v="2"/>
    <n v="1"/>
    <n v="0.2"/>
    <x v="39"/>
    <s v="dezembro"/>
    <x v="0"/>
    <x v="1"/>
  </r>
  <r>
    <x v="3"/>
    <n v="1"/>
    <n v="0.2"/>
    <x v="39"/>
    <s v="dezembro"/>
    <x v="0"/>
    <x v="1"/>
  </r>
  <r>
    <x v="4"/>
    <n v="0"/>
    <n v="0"/>
    <x v="39"/>
    <s v="dezembro"/>
    <x v="0"/>
    <x v="1"/>
  </r>
  <r>
    <x v="5"/>
    <n v="0"/>
    <n v="0"/>
    <x v="39"/>
    <s v="dezembro"/>
    <x v="0"/>
    <x v="1"/>
  </r>
  <r>
    <x v="6"/>
    <n v="0"/>
    <n v="0"/>
    <x v="39"/>
    <s v="dezembro"/>
    <x v="0"/>
    <x v="1"/>
  </r>
  <r>
    <x v="7"/>
    <n v="0"/>
    <n v="0"/>
    <x v="39"/>
    <s v="dezembro"/>
    <x v="0"/>
    <x v="1"/>
  </r>
  <r>
    <x v="8"/>
    <n v="0"/>
    <n v="0"/>
    <x v="39"/>
    <s v="dezembro"/>
    <x v="0"/>
    <x v="1"/>
  </r>
  <r>
    <x v="9"/>
    <n v="1"/>
    <n v="0.2"/>
    <x v="39"/>
    <s v="dezembro"/>
    <x v="0"/>
    <x v="1"/>
  </r>
  <r>
    <x v="10"/>
    <n v="0"/>
    <n v="0"/>
    <x v="39"/>
    <s v="dezembro"/>
    <x v="0"/>
    <x v="1"/>
  </r>
  <r>
    <x v="0"/>
    <n v="1"/>
    <n v="0.5"/>
    <x v="40"/>
    <s v="dezembro"/>
    <x v="0"/>
    <x v="1"/>
  </r>
  <r>
    <x v="1"/>
    <n v="0"/>
    <n v="0"/>
    <x v="40"/>
    <s v="dezembro"/>
    <x v="0"/>
    <x v="1"/>
  </r>
  <r>
    <x v="2"/>
    <n v="0"/>
    <n v="0"/>
    <x v="40"/>
    <s v="dezembro"/>
    <x v="0"/>
    <x v="1"/>
  </r>
  <r>
    <x v="3"/>
    <n v="0"/>
    <n v="0"/>
    <x v="40"/>
    <s v="dezembro"/>
    <x v="0"/>
    <x v="1"/>
  </r>
  <r>
    <x v="4"/>
    <n v="1"/>
    <n v="0.5"/>
    <x v="40"/>
    <s v="dezembro"/>
    <x v="0"/>
    <x v="1"/>
  </r>
  <r>
    <x v="5"/>
    <n v="0"/>
    <n v="0"/>
    <x v="40"/>
    <s v="dezembro"/>
    <x v="0"/>
    <x v="1"/>
  </r>
  <r>
    <x v="6"/>
    <n v="0"/>
    <n v="0"/>
    <x v="40"/>
    <s v="dezembro"/>
    <x v="0"/>
    <x v="1"/>
  </r>
  <r>
    <x v="7"/>
    <n v="0"/>
    <n v="0"/>
    <x v="40"/>
    <s v="dezembro"/>
    <x v="0"/>
    <x v="1"/>
  </r>
  <r>
    <x v="8"/>
    <n v="0"/>
    <n v="0"/>
    <x v="40"/>
    <s v="dezembro"/>
    <x v="0"/>
    <x v="1"/>
  </r>
  <r>
    <x v="9"/>
    <n v="0"/>
    <n v="0"/>
    <x v="40"/>
    <s v="dezembro"/>
    <x v="0"/>
    <x v="1"/>
  </r>
  <r>
    <x v="10"/>
    <n v="0"/>
    <n v="0"/>
    <x v="40"/>
    <s v="dezembro"/>
    <x v="0"/>
    <x v="1"/>
  </r>
  <r>
    <x v="0"/>
    <n v="0"/>
    <n v="0"/>
    <x v="41"/>
    <s v="dezembro"/>
    <x v="0"/>
    <x v="1"/>
  </r>
  <r>
    <x v="1"/>
    <n v="0"/>
    <n v="0"/>
    <x v="41"/>
    <s v="dezembro"/>
    <x v="0"/>
    <x v="1"/>
  </r>
  <r>
    <x v="2"/>
    <n v="0"/>
    <n v="0"/>
    <x v="41"/>
    <s v="dezembro"/>
    <x v="0"/>
    <x v="1"/>
  </r>
  <r>
    <x v="3"/>
    <n v="1"/>
    <n v="1"/>
    <x v="41"/>
    <s v="dezembro"/>
    <x v="0"/>
    <x v="1"/>
  </r>
  <r>
    <x v="4"/>
    <n v="0"/>
    <n v="0"/>
    <x v="41"/>
    <s v="dezembro"/>
    <x v="0"/>
    <x v="1"/>
  </r>
  <r>
    <x v="5"/>
    <n v="0"/>
    <n v="0"/>
    <x v="41"/>
    <s v="dezembro"/>
    <x v="0"/>
    <x v="1"/>
  </r>
  <r>
    <x v="6"/>
    <n v="0"/>
    <n v="0"/>
    <x v="41"/>
    <s v="dezembro"/>
    <x v="0"/>
    <x v="1"/>
  </r>
  <r>
    <x v="7"/>
    <n v="0"/>
    <n v="0"/>
    <x v="41"/>
    <s v="dezembro"/>
    <x v="0"/>
    <x v="1"/>
  </r>
  <r>
    <x v="8"/>
    <n v="0"/>
    <n v="0"/>
    <x v="41"/>
    <s v="dezembro"/>
    <x v="0"/>
    <x v="1"/>
  </r>
  <r>
    <x v="9"/>
    <n v="0"/>
    <n v="0"/>
    <x v="41"/>
    <s v="dezembro"/>
    <x v="0"/>
    <x v="1"/>
  </r>
  <r>
    <x v="10"/>
    <n v="0"/>
    <n v="0"/>
    <x v="41"/>
    <s v="dezembro"/>
    <x v="0"/>
    <x v="1"/>
  </r>
  <r>
    <x v="0"/>
    <n v="3"/>
    <n v="0.3"/>
    <x v="42"/>
    <s v="janeiro"/>
    <x v="1"/>
    <x v="0"/>
  </r>
  <r>
    <x v="1"/>
    <n v="0"/>
    <n v="0"/>
    <x v="42"/>
    <s v="janeiro"/>
    <x v="1"/>
    <x v="0"/>
  </r>
  <r>
    <x v="2"/>
    <n v="0"/>
    <n v="0"/>
    <x v="42"/>
    <s v="janeiro"/>
    <x v="1"/>
    <x v="0"/>
  </r>
  <r>
    <x v="3"/>
    <n v="5"/>
    <n v="0.5"/>
    <x v="42"/>
    <s v="janeiro"/>
    <x v="1"/>
    <x v="0"/>
  </r>
  <r>
    <x v="4"/>
    <n v="0"/>
    <n v="0"/>
    <x v="42"/>
    <s v="janeiro"/>
    <x v="1"/>
    <x v="0"/>
  </r>
  <r>
    <x v="5"/>
    <n v="0"/>
    <n v="0"/>
    <x v="42"/>
    <s v="janeiro"/>
    <x v="1"/>
    <x v="0"/>
  </r>
  <r>
    <x v="6"/>
    <n v="0"/>
    <n v="0"/>
    <x v="42"/>
    <s v="janeiro"/>
    <x v="1"/>
    <x v="0"/>
  </r>
  <r>
    <x v="7"/>
    <n v="0"/>
    <n v="0"/>
    <x v="42"/>
    <s v="janeiro"/>
    <x v="1"/>
    <x v="0"/>
  </r>
  <r>
    <x v="8"/>
    <n v="0"/>
    <n v="0"/>
    <x v="42"/>
    <s v="janeiro"/>
    <x v="1"/>
    <x v="0"/>
  </r>
  <r>
    <x v="9"/>
    <n v="0"/>
    <n v="0"/>
    <x v="42"/>
    <s v="janeiro"/>
    <x v="1"/>
    <x v="0"/>
  </r>
  <r>
    <x v="11"/>
    <n v="2"/>
    <n v="0.2"/>
    <x v="42"/>
    <s v="janeiro"/>
    <x v="1"/>
    <x v="0"/>
  </r>
  <r>
    <x v="10"/>
    <n v="0"/>
    <n v="0"/>
    <x v="42"/>
    <s v="janeiro"/>
    <x v="1"/>
    <x v="0"/>
  </r>
  <r>
    <x v="0"/>
    <n v="0"/>
    <n v="0"/>
    <x v="43"/>
    <s v="janeiro"/>
    <x v="1"/>
    <x v="0"/>
  </r>
  <r>
    <x v="1"/>
    <n v="0"/>
    <n v="0"/>
    <x v="43"/>
    <s v="janeiro"/>
    <x v="1"/>
    <x v="0"/>
  </r>
  <r>
    <x v="2"/>
    <n v="0"/>
    <n v="0"/>
    <x v="43"/>
    <s v="janeiro"/>
    <x v="1"/>
    <x v="0"/>
  </r>
  <r>
    <x v="3"/>
    <n v="4"/>
    <n v="1"/>
    <x v="43"/>
    <s v="janeiro"/>
    <x v="1"/>
    <x v="0"/>
  </r>
  <r>
    <x v="4"/>
    <n v="0"/>
    <n v="0"/>
    <x v="43"/>
    <s v="janeiro"/>
    <x v="1"/>
    <x v="0"/>
  </r>
  <r>
    <x v="5"/>
    <n v="0"/>
    <n v="0"/>
    <x v="43"/>
    <s v="janeiro"/>
    <x v="1"/>
    <x v="0"/>
  </r>
  <r>
    <x v="6"/>
    <n v="0"/>
    <n v="0"/>
    <x v="43"/>
    <s v="janeiro"/>
    <x v="1"/>
    <x v="0"/>
  </r>
  <r>
    <x v="7"/>
    <n v="0"/>
    <n v="0"/>
    <x v="43"/>
    <s v="janeiro"/>
    <x v="1"/>
    <x v="0"/>
  </r>
  <r>
    <x v="8"/>
    <n v="0"/>
    <n v="0"/>
    <x v="43"/>
    <s v="janeiro"/>
    <x v="1"/>
    <x v="0"/>
  </r>
  <r>
    <x v="9"/>
    <n v="0"/>
    <n v="0"/>
    <x v="43"/>
    <s v="janeiro"/>
    <x v="1"/>
    <x v="0"/>
  </r>
  <r>
    <x v="11"/>
    <n v="0"/>
    <n v="0"/>
    <x v="43"/>
    <s v="janeiro"/>
    <x v="1"/>
    <x v="0"/>
  </r>
  <r>
    <x v="10"/>
    <n v="0"/>
    <n v="0"/>
    <x v="43"/>
    <s v="janeiro"/>
    <x v="1"/>
    <x v="0"/>
  </r>
  <r>
    <x v="0"/>
    <n v="1"/>
    <n v="6.6666666666666666E-2"/>
    <x v="44"/>
    <s v="janeiro"/>
    <x v="1"/>
    <x v="0"/>
  </r>
  <r>
    <x v="1"/>
    <n v="0"/>
    <n v="0"/>
    <x v="44"/>
    <s v="janeiro"/>
    <x v="1"/>
    <x v="0"/>
  </r>
  <r>
    <x v="2"/>
    <n v="4"/>
    <n v="0.26666666666666666"/>
    <x v="44"/>
    <s v="janeiro"/>
    <x v="1"/>
    <x v="0"/>
  </r>
  <r>
    <x v="3"/>
    <n v="6"/>
    <n v="0.4"/>
    <x v="44"/>
    <s v="janeiro"/>
    <x v="1"/>
    <x v="0"/>
  </r>
  <r>
    <x v="4"/>
    <n v="1"/>
    <n v="6.6666666666666666E-2"/>
    <x v="44"/>
    <s v="janeiro"/>
    <x v="1"/>
    <x v="0"/>
  </r>
  <r>
    <x v="5"/>
    <n v="0"/>
    <n v="0"/>
    <x v="44"/>
    <s v="janeiro"/>
    <x v="1"/>
    <x v="0"/>
  </r>
  <r>
    <x v="6"/>
    <n v="0"/>
    <n v="0"/>
    <x v="44"/>
    <s v="janeiro"/>
    <x v="1"/>
    <x v="0"/>
  </r>
  <r>
    <x v="7"/>
    <n v="0"/>
    <n v="0"/>
    <x v="44"/>
    <s v="janeiro"/>
    <x v="1"/>
    <x v="0"/>
  </r>
  <r>
    <x v="8"/>
    <n v="0"/>
    <n v="0"/>
    <x v="44"/>
    <s v="janeiro"/>
    <x v="1"/>
    <x v="0"/>
  </r>
  <r>
    <x v="9"/>
    <n v="3"/>
    <n v="0.2"/>
    <x v="44"/>
    <s v="janeiro"/>
    <x v="1"/>
    <x v="0"/>
  </r>
  <r>
    <x v="11"/>
    <n v="0"/>
    <n v="0"/>
    <x v="44"/>
    <s v="janeiro"/>
    <x v="1"/>
    <x v="0"/>
  </r>
  <r>
    <x v="10"/>
    <n v="0"/>
    <n v="0"/>
    <x v="44"/>
    <s v="janeiro"/>
    <x v="1"/>
    <x v="0"/>
  </r>
  <r>
    <x v="0"/>
    <n v="0"/>
    <n v="0"/>
    <x v="45"/>
    <s v="janeiro"/>
    <x v="1"/>
    <x v="0"/>
  </r>
  <r>
    <x v="1"/>
    <n v="0"/>
    <n v="0"/>
    <x v="45"/>
    <s v="janeiro"/>
    <x v="1"/>
    <x v="0"/>
  </r>
  <r>
    <x v="2"/>
    <n v="0"/>
    <n v="0"/>
    <x v="45"/>
    <s v="janeiro"/>
    <x v="1"/>
    <x v="0"/>
  </r>
  <r>
    <x v="3"/>
    <n v="1"/>
    <n v="1"/>
    <x v="45"/>
    <s v="janeiro"/>
    <x v="1"/>
    <x v="0"/>
  </r>
  <r>
    <x v="4"/>
    <n v="0"/>
    <n v="0"/>
    <x v="45"/>
    <s v="janeiro"/>
    <x v="1"/>
    <x v="0"/>
  </r>
  <r>
    <x v="5"/>
    <n v="0"/>
    <n v="0"/>
    <x v="45"/>
    <s v="janeiro"/>
    <x v="1"/>
    <x v="0"/>
  </r>
  <r>
    <x v="6"/>
    <n v="0"/>
    <n v="0"/>
    <x v="45"/>
    <s v="janeiro"/>
    <x v="1"/>
    <x v="0"/>
  </r>
  <r>
    <x v="7"/>
    <n v="0"/>
    <n v="0"/>
    <x v="45"/>
    <s v="janeiro"/>
    <x v="1"/>
    <x v="0"/>
  </r>
  <r>
    <x v="8"/>
    <n v="0"/>
    <n v="0"/>
    <x v="45"/>
    <s v="janeiro"/>
    <x v="1"/>
    <x v="0"/>
  </r>
  <r>
    <x v="9"/>
    <n v="0"/>
    <n v="0"/>
    <x v="45"/>
    <s v="janeiro"/>
    <x v="1"/>
    <x v="0"/>
  </r>
  <r>
    <x v="11"/>
    <n v="0"/>
    <n v="0"/>
    <x v="45"/>
    <s v="janeiro"/>
    <x v="1"/>
    <x v="0"/>
  </r>
  <r>
    <x v="10"/>
    <n v="0"/>
    <n v="0"/>
    <x v="45"/>
    <s v="janeiro"/>
    <x v="1"/>
    <x v="0"/>
  </r>
  <r>
    <x v="0"/>
    <n v="1"/>
    <n v="3.0303030303030304E-2"/>
    <x v="46"/>
    <s v="janeiro"/>
    <x v="1"/>
    <x v="0"/>
  </r>
  <r>
    <x v="1"/>
    <n v="1"/>
    <n v="3.0303030303030304E-2"/>
    <x v="46"/>
    <s v="janeiro"/>
    <x v="1"/>
    <x v="0"/>
  </r>
  <r>
    <x v="2"/>
    <n v="0"/>
    <n v="0"/>
    <x v="46"/>
    <s v="janeiro"/>
    <x v="1"/>
    <x v="0"/>
  </r>
  <r>
    <x v="3"/>
    <n v="30"/>
    <n v="0.90909090909090906"/>
    <x v="46"/>
    <s v="janeiro"/>
    <x v="1"/>
    <x v="0"/>
  </r>
  <r>
    <x v="4"/>
    <n v="1"/>
    <n v="3.0303030303030304E-2"/>
    <x v="46"/>
    <s v="janeiro"/>
    <x v="1"/>
    <x v="0"/>
  </r>
  <r>
    <x v="5"/>
    <n v="0"/>
    <n v="0"/>
    <x v="46"/>
    <s v="janeiro"/>
    <x v="1"/>
    <x v="0"/>
  </r>
  <r>
    <x v="6"/>
    <n v="0"/>
    <n v="0"/>
    <x v="46"/>
    <s v="janeiro"/>
    <x v="1"/>
    <x v="0"/>
  </r>
  <r>
    <x v="7"/>
    <n v="0"/>
    <n v="0"/>
    <x v="46"/>
    <s v="janeiro"/>
    <x v="1"/>
    <x v="0"/>
  </r>
  <r>
    <x v="8"/>
    <n v="0"/>
    <n v="0"/>
    <x v="46"/>
    <s v="janeiro"/>
    <x v="1"/>
    <x v="0"/>
  </r>
  <r>
    <x v="9"/>
    <n v="0"/>
    <n v="0"/>
    <x v="46"/>
    <s v="janeiro"/>
    <x v="1"/>
    <x v="0"/>
  </r>
  <r>
    <x v="11"/>
    <n v="0"/>
    <n v="0"/>
    <x v="46"/>
    <s v="janeiro"/>
    <x v="1"/>
    <x v="0"/>
  </r>
  <r>
    <x v="10"/>
    <n v="0"/>
    <n v="0"/>
    <x v="46"/>
    <s v="janeiro"/>
    <x v="1"/>
    <x v="0"/>
  </r>
  <r>
    <x v="0"/>
    <n v="10"/>
    <n v="0.37037037037037035"/>
    <x v="47"/>
    <s v="fevereiro"/>
    <x v="1"/>
    <x v="0"/>
  </r>
  <r>
    <x v="1"/>
    <n v="1"/>
    <n v="3.7037037037037035E-2"/>
    <x v="47"/>
    <s v="fevereiro"/>
    <x v="1"/>
    <x v="0"/>
  </r>
  <r>
    <x v="2"/>
    <n v="0"/>
    <n v="0"/>
    <x v="47"/>
    <s v="fevereiro"/>
    <x v="1"/>
    <x v="0"/>
  </r>
  <r>
    <x v="3"/>
    <n v="4"/>
    <n v="0.14814814814814814"/>
    <x v="47"/>
    <s v="fevereiro"/>
    <x v="1"/>
    <x v="0"/>
  </r>
  <r>
    <x v="4"/>
    <n v="12"/>
    <n v="0.44444444444444442"/>
    <x v="47"/>
    <s v="fevereiro"/>
    <x v="1"/>
    <x v="0"/>
  </r>
  <r>
    <x v="5"/>
    <n v="0"/>
    <n v="0"/>
    <x v="47"/>
    <s v="fevereiro"/>
    <x v="1"/>
    <x v="0"/>
  </r>
  <r>
    <x v="6"/>
    <n v="0"/>
    <n v="0"/>
    <x v="47"/>
    <s v="fevereiro"/>
    <x v="1"/>
    <x v="0"/>
  </r>
  <r>
    <x v="7"/>
    <n v="0"/>
    <n v="0"/>
    <x v="47"/>
    <s v="fevereiro"/>
    <x v="1"/>
    <x v="0"/>
  </r>
  <r>
    <x v="8"/>
    <n v="0"/>
    <n v="0"/>
    <x v="47"/>
    <s v="fevereiro"/>
    <x v="1"/>
    <x v="0"/>
  </r>
  <r>
    <x v="9"/>
    <n v="0"/>
    <n v="0"/>
    <x v="47"/>
    <s v="fevereiro"/>
    <x v="1"/>
    <x v="0"/>
  </r>
  <r>
    <x v="11"/>
    <n v="0"/>
    <n v="0"/>
    <x v="47"/>
    <s v="fevereiro"/>
    <x v="1"/>
    <x v="0"/>
  </r>
  <r>
    <x v="10"/>
    <n v="0"/>
    <n v="0"/>
    <x v="47"/>
    <s v="fevereiro"/>
    <x v="1"/>
    <x v="0"/>
  </r>
  <r>
    <x v="0"/>
    <n v="4"/>
    <n v="0.16666666666666666"/>
    <x v="48"/>
    <s v="fevereiro"/>
    <x v="1"/>
    <x v="0"/>
  </r>
  <r>
    <x v="1"/>
    <n v="0"/>
    <n v="0"/>
    <x v="48"/>
    <s v="fevereiro"/>
    <x v="1"/>
    <x v="0"/>
  </r>
  <r>
    <x v="2"/>
    <n v="0"/>
    <n v="0"/>
    <x v="48"/>
    <s v="fevereiro"/>
    <x v="1"/>
    <x v="0"/>
  </r>
  <r>
    <x v="3"/>
    <n v="2"/>
    <n v="8.3333333333333329E-2"/>
    <x v="48"/>
    <s v="fevereiro"/>
    <x v="1"/>
    <x v="0"/>
  </r>
  <r>
    <x v="4"/>
    <n v="0"/>
    <n v="0"/>
    <x v="48"/>
    <s v="fevereiro"/>
    <x v="1"/>
    <x v="0"/>
  </r>
  <r>
    <x v="5"/>
    <n v="0"/>
    <n v="0"/>
    <x v="48"/>
    <s v="fevereiro"/>
    <x v="1"/>
    <x v="0"/>
  </r>
  <r>
    <x v="6"/>
    <n v="5"/>
    <n v="0.20833333333333334"/>
    <x v="48"/>
    <s v="fevereiro"/>
    <x v="1"/>
    <x v="0"/>
  </r>
  <r>
    <x v="7"/>
    <n v="0"/>
    <n v="0"/>
    <x v="48"/>
    <s v="fevereiro"/>
    <x v="1"/>
    <x v="0"/>
  </r>
  <r>
    <x v="8"/>
    <n v="4"/>
    <n v="0.16666666666666666"/>
    <x v="48"/>
    <s v="fevereiro"/>
    <x v="1"/>
    <x v="0"/>
  </r>
  <r>
    <x v="9"/>
    <n v="3"/>
    <n v="0.125"/>
    <x v="48"/>
    <s v="fevereiro"/>
    <x v="1"/>
    <x v="0"/>
  </r>
  <r>
    <x v="11"/>
    <n v="0"/>
    <n v="0"/>
    <x v="48"/>
    <s v="fevereiro"/>
    <x v="1"/>
    <x v="0"/>
  </r>
  <r>
    <x v="12"/>
    <n v="6"/>
    <n v="0.25"/>
    <x v="48"/>
    <s v="fevereiro"/>
    <x v="1"/>
    <x v="0"/>
  </r>
  <r>
    <x v="10"/>
    <n v="0"/>
    <n v="0"/>
    <x v="48"/>
    <s v="fevereiro"/>
    <x v="1"/>
    <x v="0"/>
  </r>
  <r>
    <x v="0"/>
    <n v="0"/>
    <n v="0"/>
    <x v="49"/>
    <s v="fevereiro"/>
    <x v="1"/>
    <x v="0"/>
  </r>
  <r>
    <x v="1"/>
    <n v="0"/>
    <n v="0"/>
    <x v="49"/>
    <s v="fevereiro"/>
    <x v="1"/>
    <x v="0"/>
  </r>
  <r>
    <x v="2"/>
    <n v="0"/>
    <n v="0"/>
    <x v="49"/>
    <s v="fevereiro"/>
    <x v="1"/>
    <x v="0"/>
  </r>
  <r>
    <x v="3"/>
    <n v="0"/>
    <n v="0"/>
    <x v="49"/>
    <s v="fevereiro"/>
    <x v="1"/>
    <x v="0"/>
  </r>
  <r>
    <x v="4"/>
    <n v="2"/>
    <n v="0.13333333333333333"/>
    <x v="49"/>
    <s v="fevereiro"/>
    <x v="1"/>
    <x v="0"/>
  </r>
  <r>
    <x v="5"/>
    <n v="7"/>
    <n v="0.46666666666666667"/>
    <x v="49"/>
    <s v="fevereiro"/>
    <x v="1"/>
    <x v="0"/>
  </r>
  <r>
    <x v="6"/>
    <n v="2"/>
    <n v="0.13333333333333333"/>
    <x v="49"/>
    <s v="fevereiro"/>
    <x v="1"/>
    <x v="0"/>
  </r>
  <r>
    <x v="7"/>
    <n v="0"/>
    <n v="0"/>
    <x v="49"/>
    <s v="fevereiro"/>
    <x v="1"/>
    <x v="0"/>
  </r>
  <r>
    <x v="8"/>
    <n v="0"/>
    <n v="0"/>
    <x v="49"/>
    <s v="fevereiro"/>
    <x v="1"/>
    <x v="0"/>
  </r>
  <r>
    <x v="9"/>
    <n v="3"/>
    <n v="0.2"/>
    <x v="49"/>
    <s v="fevereiro"/>
    <x v="1"/>
    <x v="0"/>
  </r>
  <r>
    <x v="11"/>
    <n v="0"/>
    <n v="0"/>
    <x v="49"/>
    <s v="fevereiro"/>
    <x v="1"/>
    <x v="0"/>
  </r>
  <r>
    <x v="12"/>
    <n v="1"/>
    <n v="6.6666666666666666E-2"/>
    <x v="49"/>
    <s v="fevereiro"/>
    <x v="1"/>
    <x v="0"/>
  </r>
  <r>
    <x v="10"/>
    <n v="0"/>
    <n v="0"/>
    <x v="49"/>
    <s v="fevereiro"/>
    <x v="1"/>
    <x v="0"/>
  </r>
  <r>
    <x v="0"/>
    <n v="2"/>
    <n v="0.08"/>
    <x v="50"/>
    <s v="fevereiro"/>
    <x v="1"/>
    <x v="0"/>
  </r>
  <r>
    <x v="1"/>
    <n v="0"/>
    <n v="0"/>
    <x v="50"/>
    <s v="fevereiro"/>
    <x v="1"/>
    <x v="0"/>
  </r>
  <r>
    <x v="2"/>
    <n v="6"/>
    <n v="0.24"/>
    <x v="50"/>
    <s v="fevereiro"/>
    <x v="1"/>
    <x v="0"/>
  </r>
  <r>
    <x v="3"/>
    <n v="2"/>
    <n v="0.08"/>
    <x v="50"/>
    <s v="fevereiro"/>
    <x v="1"/>
    <x v="0"/>
  </r>
  <r>
    <x v="4"/>
    <n v="3"/>
    <n v="0.12"/>
    <x v="50"/>
    <s v="fevereiro"/>
    <x v="1"/>
    <x v="0"/>
  </r>
  <r>
    <x v="5"/>
    <n v="3"/>
    <n v="0.12"/>
    <x v="50"/>
    <s v="fevereiro"/>
    <x v="1"/>
    <x v="0"/>
  </r>
  <r>
    <x v="6"/>
    <n v="1"/>
    <n v="0.04"/>
    <x v="50"/>
    <s v="fevereiro"/>
    <x v="1"/>
    <x v="0"/>
  </r>
  <r>
    <x v="7"/>
    <n v="0"/>
    <n v="0"/>
    <x v="50"/>
    <s v="fevereiro"/>
    <x v="1"/>
    <x v="0"/>
  </r>
  <r>
    <x v="8"/>
    <n v="6"/>
    <n v="0.24"/>
    <x v="50"/>
    <s v="fevereiro"/>
    <x v="1"/>
    <x v="0"/>
  </r>
  <r>
    <x v="9"/>
    <n v="2"/>
    <n v="0.08"/>
    <x v="50"/>
    <s v="fevereiro"/>
    <x v="1"/>
    <x v="0"/>
  </r>
  <r>
    <x v="11"/>
    <n v="0"/>
    <n v="0"/>
    <x v="50"/>
    <s v="fevereiro"/>
    <x v="1"/>
    <x v="0"/>
  </r>
  <r>
    <x v="12"/>
    <n v="0"/>
    <n v="0"/>
    <x v="50"/>
    <s v="fevereiro"/>
    <x v="1"/>
    <x v="0"/>
  </r>
  <r>
    <x v="10"/>
    <n v="0"/>
    <n v="0"/>
    <x v="50"/>
    <s v="fevereiro"/>
    <x v="1"/>
    <x v="0"/>
  </r>
  <r>
    <x v="0"/>
    <n v="5"/>
    <n v="0.14285714285714285"/>
    <x v="51"/>
    <s v="março"/>
    <x v="1"/>
    <x v="0"/>
  </r>
  <r>
    <x v="1"/>
    <n v="0"/>
    <n v="0"/>
    <x v="51"/>
    <s v="março"/>
    <x v="1"/>
    <x v="0"/>
  </r>
  <r>
    <x v="2"/>
    <n v="0"/>
    <n v="0"/>
    <x v="51"/>
    <s v="março"/>
    <x v="1"/>
    <x v="0"/>
  </r>
  <r>
    <x v="3"/>
    <n v="3"/>
    <n v="8.5714285714285715E-2"/>
    <x v="51"/>
    <s v="março"/>
    <x v="1"/>
    <x v="0"/>
  </r>
  <r>
    <x v="4"/>
    <n v="9"/>
    <n v="0.25714285714285712"/>
    <x v="51"/>
    <s v="março"/>
    <x v="1"/>
    <x v="0"/>
  </r>
  <r>
    <x v="5"/>
    <n v="1"/>
    <n v="2.8571428571428571E-2"/>
    <x v="51"/>
    <s v="março"/>
    <x v="1"/>
    <x v="0"/>
  </r>
  <r>
    <x v="6"/>
    <n v="0"/>
    <n v="0"/>
    <x v="51"/>
    <s v="março"/>
    <x v="1"/>
    <x v="0"/>
  </r>
  <r>
    <x v="7"/>
    <n v="0"/>
    <n v="0"/>
    <x v="51"/>
    <s v="março"/>
    <x v="1"/>
    <x v="0"/>
  </r>
  <r>
    <x v="8"/>
    <n v="8"/>
    <n v="0.22857142857142856"/>
    <x v="51"/>
    <s v="março"/>
    <x v="1"/>
    <x v="0"/>
  </r>
  <r>
    <x v="9"/>
    <n v="6"/>
    <n v="0.17142857142857143"/>
    <x v="51"/>
    <s v="março"/>
    <x v="1"/>
    <x v="0"/>
  </r>
  <r>
    <x v="11"/>
    <n v="0"/>
    <n v="0"/>
    <x v="51"/>
    <s v="março"/>
    <x v="1"/>
    <x v="0"/>
  </r>
  <r>
    <x v="12"/>
    <n v="3"/>
    <n v="8.5714285714285715E-2"/>
    <x v="51"/>
    <s v="março"/>
    <x v="1"/>
    <x v="0"/>
  </r>
  <r>
    <x v="10"/>
    <n v="0"/>
    <n v="0"/>
    <x v="51"/>
    <s v="março"/>
    <x v="1"/>
    <x v="0"/>
  </r>
  <r>
    <x v="0"/>
    <n v="4"/>
    <n v="0.16"/>
    <x v="52"/>
    <s v="março"/>
    <x v="1"/>
    <x v="0"/>
  </r>
  <r>
    <x v="1"/>
    <n v="0"/>
    <n v="0"/>
    <x v="52"/>
    <s v="março"/>
    <x v="1"/>
    <x v="0"/>
  </r>
  <r>
    <x v="2"/>
    <n v="0"/>
    <n v="0"/>
    <x v="52"/>
    <s v="março"/>
    <x v="1"/>
    <x v="0"/>
  </r>
  <r>
    <x v="3"/>
    <n v="0"/>
    <n v="0"/>
    <x v="52"/>
    <s v="março"/>
    <x v="1"/>
    <x v="0"/>
  </r>
  <r>
    <x v="4"/>
    <n v="2"/>
    <n v="0.08"/>
    <x v="52"/>
    <s v="março"/>
    <x v="1"/>
    <x v="0"/>
  </r>
  <r>
    <x v="5"/>
    <n v="0"/>
    <n v="0"/>
    <x v="52"/>
    <s v="março"/>
    <x v="1"/>
    <x v="0"/>
  </r>
  <r>
    <x v="6"/>
    <n v="1"/>
    <n v="0.04"/>
    <x v="52"/>
    <s v="março"/>
    <x v="1"/>
    <x v="0"/>
  </r>
  <r>
    <x v="7"/>
    <n v="0"/>
    <n v="0"/>
    <x v="52"/>
    <s v="março"/>
    <x v="1"/>
    <x v="0"/>
  </r>
  <r>
    <x v="8"/>
    <n v="0"/>
    <n v="0"/>
    <x v="52"/>
    <s v="março"/>
    <x v="1"/>
    <x v="0"/>
  </r>
  <r>
    <x v="9"/>
    <n v="4"/>
    <n v="0.16"/>
    <x v="52"/>
    <s v="março"/>
    <x v="1"/>
    <x v="0"/>
  </r>
  <r>
    <x v="11"/>
    <n v="0"/>
    <n v="0"/>
    <x v="52"/>
    <s v="março"/>
    <x v="1"/>
    <x v="0"/>
  </r>
  <r>
    <x v="12"/>
    <n v="0"/>
    <n v="0"/>
    <x v="52"/>
    <s v="março"/>
    <x v="1"/>
    <x v="0"/>
  </r>
  <r>
    <x v="13"/>
    <n v="10"/>
    <n v="0.4"/>
    <x v="52"/>
    <s v="março"/>
    <x v="1"/>
    <x v="0"/>
  </r>
  <r>
    <x v="10"/>
    <n v="4"/>
    <n v="0.16"/>
    <x v="52"/>
    <s v="março"/>
    <x v="1"/>
    <x v="0"/>
  </r>
  <r>
    <x v="0"/>
    <n v="3"/>
    <n v="0.21428571428571427"/>
    <x v="53"/>
    <s v="março"/>
    <x v="1"/>
    <x v="0"/>
  </r>
  <r>
    <x v="1"/>
    <n v="1"/>
    <n v="7.1428571428571425E-2"/>
    <x v="53"/>
    <s v="março"/>
    <x v="1"/>
    <x v="0"/>
  </r>
  <r>
    <x v="2"/>
    <n v="4"/>
    <n v="0.2857142857142857"/>
    <x v="53"/>
    <s v="março"/>
    <x v="1"/>
    <x v="0"/>
  </r>
  <r>
    <x v="3"/>
    <n v="0"/>
    <n v="0"/>
    <x v="53"/>
    <s v="março"/>
    <x v="1"/>
    <x v="0"/>
  </r>
  <r>
    <x v="4"/>
    <n v="0"/>
    <n v="0"/>
    <x v="53"/>
    <s v="março"/>
    <x v="1"/>
    <x v="0"/>
  </r>
  <r>
    <x v="5"/>
    <n v="0"/>
    <n v="0"/>
    <x v="53"/>
    <s v="março"/>
    <x v="1"/>
    <x v="0"/>
  </r>
  <r>
    <x v="6"/>
    <n v="1"/>
    <n v="7.1428571428571425E-2"/>
    <x v="53"/>
    <s v="março"/>
    <x v="1"/>
    <x v="0"/>
  </r>
  <r>
    <x v="7"/>
    <n v="0"/>
    <n v="0"/>
    <x v="53"/>
    <s v="março"/>
    <x v="1"/>
    <x v="0"/>
  </r>
  <r>
    <x v="8"/>
    <n v="0"/>
    <n v="0"/>
    <x v="53"/>
    <s v="março"/>
    <x v="1"/>
    <x v="0"/>
  </r>
  <r>
    <x v="9"/>
    <n v="3"/>
    <n v="0.21428571428571427"/>
    <x v="53"/>
    <s v="março"/>
    <x v="1"/>
    <x v="0"/>
  </r>
  <r>
    <x v="11"/>
    <n v="0"/>
    <n v="0"/>
    <x v="53"/>
    <s v="março"/>
    <x v="1"/>
    <x v="0"/>
  </r>
  <r>
    <x v="12"/>
    <n v="0"/>
    <n v="0"/>
    <x v="53"/>
    <s v="março"/>
    <x v="1"/>
    <x v="0"/>
  </r>
  <r>
    <x v="13"/>
    <n v="2"/>
    <n v="0.14285714285714285"/>
    <x v="53"/>
    <s v="março"/>
    <x v="1"/>
    <x v="0"/>
  </r>
  <r>
    <x v="10"/>
    <n v="0"/>
    <n v="0"/>
    <x v="53"/>
    <s v="março"/>
    <x v="1"/>
    <x v="0"/>
  </r>
  <r>
    <x v="0"/>
    <n v="0"/>
    <n v="0"/>
    <x v="54"/>
    <s v="março"/>
    <x v="1"/>
    <x v="0"/>
  </r>
  <r>
    <x v="1"/>
    <n v="2"/>
    <n v="0.2857142857142857"/>
    <x v="54"/>
    <s v="março"/>
    <x v="1"/>
    <x v="0"/>
  </r>
  <r>
    <x v="2"/>
    <n v="0"/>
    <n v="0"/>
    <x v="54"/>
    <s v="março"/>
    <x v="1"/>
    <x v="0"/>
  </r>
  <r>
    <x v="3"/>
    <n v="5"/>
    <n v="0.7142857142857143"/>
    <x v="54"/>
    <s v="março"/>
    <x v="1"/>
    <x v="0"/>
  </r>
  <r>
    <x v="4"/>
    <n v="0"/>
    <n v="0"/>
    <x v="54"/>
    <s v="março"/>
    <x v="1"/>
    <x v="0"/>
  </r>
  <r>
    <x v="5"/>
    <n v="0"/>
    <n v="0"/>
    <x v="54"/>
    <s v="março"/>
    <x v="1"/>
    <x v="0"/>
  </r>
  <r>
    <x v="6"/>
    <n v="0"/>
    <n v="0"/>
    <x v="54"/>
    <s v="março"/>
    <x v="1"/>
    <x v="0"/>
  </r>
  <r>
    <x v="7"/>
    <n v="0"/>
    <n v="0"/>
    <x v="54"/>
    <s v="março"/>
    <x v="1"/>
    <x v="0"/>
  </r>
  <r>
    <x v="8"/>
    <n v="0"/>
    <n v="0"/>
    <x v="54"/>
    <s v="março"/>
    <x v="1"/>
    <x v="0"/>
  </r>
  <r>
    <x v="9"/>
    <n v="0"/>
    <n v="0"/>
    <x v="54"/>
    <s v="março"/>
    <x v="1"/>
    <x v="0"/>
  </r>
  <r>
    <x v="11"/>
    <n v="0"/>
    <n v="0"/>
    <x v="54"/>
    <s v="março"/>
    <x v="1"/>
    <x v="0"/>
  </r>
  <r>
    <x v="12"/>
    <n v="0"/>
    <n v="0"/>
    <x v="54"/>
    <s v="março"/>
    <x v="1"/>
    <x v="0"/>
  </r>
  <r>
    <x v="13"/>
    <n v="0"/>
    <n v="0"/>
    <x v="54"/>
    <s v="março"/>
    <x v="1"/>
    <x v="0"/>
  </r>
  <r>
    <x v="10"/>
    <n v="0"/>
    <n v="0"/>
    <x v="54"/>
    <s v="março"/>
    <x v="1"/>
    <x v="0"/>
  </r>
  <r>
    <x v="0"/>
    <n v="0"/>
    <n v="0"/>
    <x v="55"/>
    <s v="abril"/>
    <x v="1"/>
    <x v="0"/>
  </r>
  <r>
    <x v="1"/>
    <n v="1"/>
    <n v="0.1"/>
    <x v="55"/>
    <s v="abril"/>
    <x v="1"/>
    <x v="0"/>
  </r>
  <r>
    <x v="2"/>
    <n v="0"/>
    <n v="0"/>
    <x v="55"/>
    <s v="abril"/>
    <x v="1"/>
    <x v="0"/>
  </r>
  <r>
    <x v="3"/>
    <n v="2"/>
    <n v="0.2"/>
    <x v="55"/>
    <s v="abril"/>
    <x v="1"/>
    <x v="0"/>
  </r>
  <r>
    <x v="4"/>
    <n v="3"/>
    <n v="0.3"/>
    <x v="55"/>
    <s v="abril"/>
    <x v="1"/>
    <x v="0"/>
  </r>
  <r>
    <x v="5"/>
    <n v="0"/>
    <n v="0"/>
    <x v="55"/>
    <s v="abril"/>
    <x v="1"/>
    <x v="0"/>
  </r>
  <r>
    <x v="6"/>
    <n v="1"/>
    <n v="0.1"/>
    <x v="55"/>
    <s v="abril"/>
    <x v="1"/>
    <x v="0"/>
  </r>
  <r>
    <x v="7"/>
    <n v="0"/>
    <n v="0"/>
    <x v="55"/>
    <s v="abril"/>
    <x v="1"/>
    <x v="0"/>
  </r>
  <r>
    <x v="8"/>
    <n v="1"/>
    <n v="0.1"/>
    <x v="55"/>
    <s v="abril"/>
    <x v="1"/>
    <x v="0"/>
  </r>
  <r>
    <x v="9"/>
    <n v="0"/>
    <n v="0"/>
    <x v="55"/>
    <s v="abril"/>
    <x v="1"/>
    <x v="0"/>
  </r>
  <r>
    <x v="11"/>
    <n v="0"/>
    <n v="0"/>
    <x v="55"/>
    <s v="abril"/>
    <x v="1"/>
    <x v="0"/>
  </r>
  <r>
    <x v="12"/>
    <n v="0"/>
    <n v="0"/>
    <x v="55"/>
    <s v="abril"/>
    <x v="1"/>
    <x v="0"/>
  </r>
  <r>
    <x v="13"/>
    <n v="0"/>
    <n v="0"/>
    <x v="55"/>
    <s v="abril"/>
    <x v="1"/>
    <x v="0"/>
  </r>
  <r>
    <x v="10"/>
    <n v="2"/>
    <n v="0.2"/>
    <x v="55"/>
    <s v="abril"/>
    <x v="1"/>
    <x v="0"/>
  </r>
  <r>
    <x v="0"/>
    <n v="0"/>
    <n v="0"/>
    <x v="56"/>
    <s v="abril"/>
    <x v="1"/>
    <x v="0"/>
  </r>
  <r>
    <x v="1"/>
    <n v="0"/>
    <n v="0"/>
    <x v="56"/>
    <s v="abril"/>
    <x v="1"/>
    <x v="0"/>
  </r>
  <r>
    <x v="2"/>
    <n v="0"/>
    <n v="0"/>
    <x v="56"/>
    <s v="abril"/>
    <x v="1"/>
    <x v="0"/>
  </r>
  <r>
    <x v="3"/>
    <n v="0"/>
    <n v="0"/>
    <x v="56"/>
    <s v="abril"/>
    <x v="1"/>
    <x v="0"/>
  </r>
  <r>
    <x v="4"/>
    <n v="0"/>
    <n v="0"/>
    <x v="56"/>
    <s v="abril"/>
    <x v="1"/>
    <x v="0"/>
  </r>
  <r>
    <x v="5"/>
    <n v="0"/>
    <n v="0"/>
    <x v="56"/>
    <s v="abril"/>
    <x v="1"/>
    <x v="0"/>
  </r>
  <r>
    <x v="6"/>
    <n v="0"/>
    <n v="0"/>
    <x v="56"/>
    <s v="abril"/>
    <x v="1"/>
    <x v="0"/>
  </r>
  <r>
    <x v="7"/>
    <n v="0"/>
    <n v="0"/>
    <x v="56"/>
    <s v="abril"/>
    <x v="1"/>
    <x v="0"/>
  </r>
  <r>
    <x v="8"/>
    <n v="4"/>
    <n v="1"/>
    <x v="56"/>
    <s v="abril"/>
    <x v="1"/>
    <x v="0"/>
  </r>
  <r>
    <x v="9"/>
    <n v="0"/>
    <n v="0"/>
    <x v="56"/>
    <s v="abril"/>
    <x v="1"/>
    <x v="0"/>
  </r>
  <r>
    <x v="11"/>
    <n v="0"/>
    <n v="0"/>
    <x v="56"/>
    <s v="abril"/>
    <x v="1"/>
    <x v="0"/>
  </r>
  <r>
    <x v="12"/>
    <n v="0"/>
    <n v="0"/>
    <x v="56"/>
    <s v="abril"/>
    <x v="1"/>
    <x v="0"/>
  </r>
  <r>
    <x v="13"/>
    <n v="0"/>
    <n v="0"/>
    <x v="56"/>
    <s v="abril"/>
    <x v="1"/>
    <x v="0"/>
  </r>
  <r>
    <x v="10"/>
    <n v="0"/>
    <n v="0"/>
    <x v="56"/>
    <s v="abril"/>
    <x v="1"/>
    <x v="0"/>
  </r>
  <r>
    <x v="0"/>
    <n v="0"/>
    <n v="0"/>
    <x v="57"/>
    <s v="abril"/>
    <x v="1"/>
    <x v="0"/>
  </r>
  <r>
    <x v="1"/>
    <n v="0"/>
    <n v="0"/>
    <x v="57"/>
    <s v="abril"/>
    <x v="1"/>
    <x v="0"/>
  </r>
  <r>
    <x v="2"/>
    <n v="2"/>
    <n v="0.16666666666666666"/>
    <x v="57"/>
    <s v="abril"/>
    <x v="1"/>
    <x v="0"/>
  </r>
  <r>
    <x v="3"/>
    <n v="2"/>
    <n v="0.16666666666666666"/>
    <x v="57"/>
    <s v="abril"/>
    <x v="1"/>
    <x v="0"/>
  </r>
  <r>
    <x v="4"/>
    <n v="2"/>
    <n v="0.16666666666666666"/>
    <x v="57"/>
    <s v="abril"/>
    <x v="1"/>
    <x v="0"/>
  </r>
  <r>
    <x v="5"/>
    <n v="0"/>
    <n v="0"/>
    <x v="57"/>
    <s v="abril"/>
    <x v="1"/>
    <x v="0"/>
  </r>
  <r>
    <x v="6"/>
    <n v="0"/>
    <n v="0"/>
    <x v="57"/>
    <s v="abril"/>
    <x v="1"/>
    <x v="0"/>
  </r>
  <r>
    <x v="7"/>
    <n v="0"/>
    <n v="0"/>
    <x v="57"/>
    <s v="abril"/>
    <x v="1"/>
    <x v="0"/>
  </r>
  <r>
    <x v="8"/>
    <n v="0"/>
    <n v="0"/>
    <x v="57"/>
    <s v="abril"/>
    <x v="1"/>
    <x v="0"/>
  </r>
  <r>
    <x v="9"/>
    <n v="0"/>
    <n v="0"/>
    <x v="57"/>
    <s v="abril"/>
    <x v="1"/>
    <x v="0"/>
  </r>
  <r>
    <x v="11"/>
    <n v="0"/>
    <n v="0"/>
    <x v="57"/>
    <s v="abril"/>
    <x v="1"/>
    <x v="0"/>
  </r>
  <r>
    <x v="12"/>
    <n v="0"/>
    <n v="0"/>
    <x v="57"/>
    <s v="abril"/>
    <x v="1"/>
    <x v="0"/>
  </r>
  <r>
    <x v="13"/>
    <n v="1"/>
    <n v="8.3333333333333329E-2"/>
    <x v="57"/>
    <s v="abril"/>
    <x v="1"/>
    <x v="0"/>
  </r>
  <r>
    <x v="10"/>
    <n v="5"/>
    <n v="0.41666666666666669"/>
    <x v="57"/>
    <s v="abril"/>
    <x v="1"/>
    <x v="0"/>
  </r>
  <r>
    <x v="0"/>
    <n v="0"/>
    <n v="0"/>
    <x v="58"/>
    <s v="abril"/>
    <x v="1"/>
    <x v="0"/>
  </r>
  <r>
    <x v="1"/>
    <n v="2"/>
    <n v="7.407407407407407E-2"/>
    <x v="58"/>
    <s v="abril"/>
    <x v="1"/>
    <x v="0"/>
  </r>
  <r>
    <x v="2"/>
    <n v="0"/>
    <n v="0"/>
    <x v="58"/>
    <s v="abril"/>
    <x v="1"/>
    <x v="0"/>
  </r>
  <r>
    <x v="3"/>
    <n v="4"/>
    <n v="0.14814814814814814"/>
    <x v="58"/>
    <s v="abril"/>
    <x v="1"/>
    <x v="0"/>
  </r>
  <r>
    <x v="4"/>
    <n v="6"/>
    <n v="0.22222222222222221"/>
    <x v="58"/>
    <s v="abril"/>
    <x v="1"/>
    <x v="0"/>
  </r>
  <r>
    <x v="5"/>
    <n v="0"/>
    <n v="0"/>
    <x v="58"/>
    <s v="abril"/>
    <x v="1"/>
    <x v="0"/>
  </r>
  <r>
    <x v="6"/>
    <n v="0"/>
    <n v="0"/>
    <x v="58"/>
    <s v="abril"/>
    <x v="1"/>
    <x v="0"/>
  </r>
  <r>
    <x v="7"/>
    <n v="0"/>
    <n v="0"/>
    <x v="58"/>
    <s v="abril"/>
    <x v="1"/>
    <x v="0"/>
  </r>
  <r>
    <x v="8"/>
    <n v="0"/>
    <n v="0"/>
    <x v="58"/>
    <s v="abril"/>
    <x v="1"/>
    <x v="0"/>
  </r>
  <r>
    <x v="9"/>
    <n v="0"/>
    <n v="0"/>
    <x v="58"/>
    <s v="abril"/>
    <x v="1"/>
    <x v="0"/>
  </r>
  <r>
    <x v="11"/>
    <n v="0"/>
    <n v="0"/>
    <x v="58"/>
    <s v="abril"/>
    <x v="1"/>
    <x v="0"/>
  </r>
  <r>
    <x v="12"/>
    <n v="1"/>
    <n v="3.7037037037037035E-2"/>
    <x v="58"/>
    <s v="abril"/>
    <x v="1"/>
    <x v="0"/>
  </r>
  <r>
    <x v="13"/>
    <n v="14"/>
    <n v="0.51851851851851849"/>
    <x v="58"/>
    <s v="abril"/>
    <x v="1"/>
    <x v="0"/>
  </r>
  <r>
    <x v="10"/>
    <n v="0"/>
    <n v="0"/>
    <x v="58"/>
    <s v="abril"/>
    <x v="1"/>
    <x v="0"/>
  </r>
  <r>
    <x v="0"/>
    <n v="0"/>
    <n v="0"/>
    <x v="59"/>
    <s v="maio"/>
    <x v="1"/>
    <x v="0"/>
  </r>
  <r>
    <x v="1"/>
    <n v="0"/>
    <n v="0"/>
    <x v="59"/>
    <s v="maio"/>
    <x v="1"/>
    <x v="0"/>
  </r>
  <r>
    <x v="2"/>
    <n v="0"/>
    <n v="0"/>
    <x v="59"/>
    <s v="maio"/>
    <x v="1"/>
    <x v="0"/>
  </r>
  <r>
    <x v="3"/>
    <n v="3"/>
    <n v="0.10714285714285714"/>
    <x v="59"/>
    <s v="maio"/>
    <x v="1"/>
    <x v="0"/>
  </r>
  <r>
    <x v="4"/>
    <n v="1"/>
    <n v="3.5714285714285712E-2"/>
    <x v="59"/>
    <s v="maio"/>
    <x v="1"/>
    <x v="0"/>
  </r>
  <r>
    <x v="5"/>
    <n v="0"/>
    <n v="0"/>
    <x v="59"/>
    <s v="maio"/>
    <x v="1"/>
    <x v="0"/>
  </r>
  <r>
    <x v="6"/>
    <n v="1"/>
    <n v="3.5714285714285712E-2"/>
    <x v="59"/>
    <s v="maio"/>
    <x v="1"/>
    <x v="0"/>
  </r>
  <r>
    <x v="7"/>
    <n v="0"/>
    <n v="0"/>
    <x v="59"/>
    <s v="maio"/>
    <x v="1"/>
    <x v="0"/>
  </r>
  <r>
    <x v="8"/>
    <n v="0"/>
    <n v="0"/>
    <x v="59"/>
    <s v="maio"/>
    <x v="1"/>
    <x v="0"/>
  </r>
  <r>
    <x v="9"/>
    <n v="0"/>
    <n v="0"/>
    <x v="59"/>
    <s v="maio"/>
    <x v="1"/>
    <x v="0"/>
  </r>
  <r>
    <x v="11"/>
    <n v="0"/>
    <n v="0"/>
    <x v="59"/>
    <s v="maio"/>
    <x v="1"/>
    <x v="0"/>
  </r>
  <r>
    <x v="12"/>
    <n v="0"/>
    <n v="0"/>
    <x v="59"/>
    <s v="maio"/>
    <x v="1"/>
    <x v="0"/>
  </r>
  <r>
    <x v="13"/>
    <n v="23"/>
    <n v="0.8214285714285714"/>
    <x v="59"/>
    <s v="maio"/>
    <x v="1"/>
    <x v="0"/>
  </r>
  <r>
    <x v="10"/>
    <n v="0"/>
    <n v="0"/>
    <x v="59"/>
    <s v="maio"/>
    <x v="1"/>
    <x v="0"/>
  </r>
  <r>
    <x v="0"/>
    <n v="3"/>
    <n v="0.16666666666666666"/>
    <x v="60"/>
    <s v="maio"/>
    <x v="1"/>
    <x v="0"/>
  </r>
  <r>
    <x v="1"/>
    <n v="1"/>
    <n v="5.5555555555555552E-2"/>
    <x v="60"/>
    <s v="maio"/>
    <x v="1"/>
    <x v="0"/>
  </r>
  <r>
    <x v="2"/>
    <n v="0"/>
    <n v="0"/>
    <x v="60"/>
    <s v="maio"/>
    <x v="1"/>
    <x v="0"/>
  </r>
  <r>
    <x v="3"/>
    <n v="0"/>
    <n v="0"/>
    <x v="60"/>
    <s v="maio"/>
    <x v="1"/>
    <x v="0"/>
  </r>
  <r>
    <x v="4"/>
    <n v="0"/>
    <n v="0"/>
    <x v="60"/>
    <s v="maio"/>
    <x v="1"/>
    <x v="0"/>
  </r>
  <r>
    <x v="5"/>
    <n v="3"/>
    <n v="0.16666666666666666"/>
    <x v="60"/>
    <s v="maio"/>
    <x v="1"/>
    <x v="0"/>
  </r>
  <r>
    <x v="6"/>
    <n v="4"/>
    <n v="0.22222222222222221"/>
    <x v="60"/>
    <s v="maio"/>
    <x v="1"/>
    <x v="0"/>
  </r>
  <r>
    <x v="7"/>
    <n v="1"/>
    <n v="5.5555555555555552E-2"/>
    <x v="60"/>
    <s v="maio"/>
    <x v="1"/>
    <x v="0"/>
  </r>
  <r>
    <x v="8"/>
    <n v="0"/>
    <n v="0"/>
    <x v="60"/>
    <s v="maio"/>
    <x v="1"/>
    <x v="0"/>
  </r>
  <r>
    <x v="9"/>
    <n v="2"/>
    <n v="0.1111111111111111"/>
    <x v="60"/>
    <s v="maio"/>
    <x v="1"/>
    <x v="0"/>
  </r>
  <r>
    <x v="11"/>
    <n v="0"/>
    <n v="0"/>
    <x v="60"/>
    <s v="maio"/>
    <x v="1"/>
    <x v="0"/>
  </r>
  <r>
    <x v="12"/>
    <n v="4"/>
    <n v="0.22222222222222221"/>
    <x v="60"/>
    <s v="maio"/>
    <x v="1"/>
    <x v="0"/>
  </r>
  <r>
    <x v="13"/>
    <n v="0"/>
    <n v="0"/>
    <x v="60"/>
    <s v="maio"/>
    <x v="1"/>
    <x v="0"/>
  </r>
  <r>
    <x v="14"/>
    <n v="0"/>
    <n v="0"/>
    <x v="60"/>
    <s v="maio"/>
    <x v="1"/>
    <x v="0"/>
  </r>
  <r>
    <x v="10"/>
    <n v="0"/>
    <n v="0"/>
    <x v="60"/>
    <s v="maio"/>
    <x v="1"/>
    <x v="0"/>
  </r>
  <r>
    <x v="0"/>
    <n v="0"/>
    <n v="0"/>
    <x v="61"/>
    <s v="maio"/>
    <x v="1"/>
    <x v="0"/>
  </r>
  <r>
    <x v="1"/>
    <n v="1"/>
    <n v="0.16666666666666666"/>
    <x v="61"/>
    <s v="maio"/>
    <x v="1"/>
    <x v="0"/>
  </r>
  <r>
    <x v="2"/>
    <n v="0"/>
    <n v="0"/>
    <x v="61"/>
    <s v="maio"/>
    <x v="1"/>
    <x v="0"/>
  </r>
  <r>
    <x v="3"/>
    <n v="0"/>
    <n v="0"/>
    <x v="61"/>
    <s v="maio"/>
    <x v="1"/>
    <x v="0"/>
  </r>
  <r>
    <x v="4"/>
    <n v="0"/>
    <n v="0"/>
    <x v="61"/>
    <s v="maio"/>
    <x v="1"/>
    <x v="0"/>
  </r>
  <r>
    <x v="5"/>
    <n v="0"/>
    <n v="0"/>
    <x v="61"/>
    <s v="maio"/>
    <x v="1"/>
    <x v="0"/>
  </r>
  <r>
    <x v="6"/>
    <n v="1"/>
    <n v="0.16666666666666666"/>
    <x v="61"/>
    <s v="maio"/>
    <x v="1"/>
    <x v="0"/>
  </r>
  <r>
    <x v="7"/>
    <n v="0"/>
    <n v="0"/>
    <x v="61"/>
    <s v="maio"/>
    <x v="1"/>
    <x v="0"/>
  </r>
  <r>
    <x v="8"/>
    <n v="0"/>
    <n v="0"/>
    <x v="61"/>
    <s v="maio"/>
    <x v="1"/>
    <x v="0"/>
  </r>
  <r>
    <x v="9"/>
    <n v="4"/>
    <n v="0.66666666666666663"/>
    <x v="61"/>
    <s v="maio"/>
    <x v="1"/>
    <x v="0"/>
  </r>
  <r>
    <x v="11"/>
    <n v="0"/>
    <n v="0"/>
    <x v="61"/>
    <s v="maio"/>
    <x v="1"/>
    <x v="0"/>
  </r>
  <r>
    <x v="12"/>
    <n v="0"/>
    <n v="0"/>
    <x v="61"/>
    <s v="maio"/>
    <x v="1"/>
    <x v="0"/>
  </r>
  <r>
    <x v="13"/>
    <n v="0"/>
    <n v="0"/>
    <x v="61"/>
    <s v="maio"/>
    <x v="1"/>
    <x v="0"/>
  </r>
  <r>
    <x v="14"/>
    <n v="0"/>
    <n v="0"/>
    <x v="61"/>
    <s v="maio"/>
    <x v="1"/>
    <x v="0"/>
  </r>
  <r>
    <x v="10"/>
    <n v="0"/>
    <n v="0"/>
    <x v="61"/>
    <s v="maio"/>
    <x v="1"/>
    <x v="0"/>
  </r>
  <r>
    <x v="0"/>
    <n v="2"/>
    <n v="0.4"/>
    <x v="62"/>
    <s v="maio"/>
    <x v="1"/>
    <x v="0"/>
  </r>
  <r>
    <x v="1"/>
    <n v="0"/>
    <n v="0"/>
    <x v="62"/>
    <s v="maio"/>
    <x v="1"/>
    <x v="0"/>
  </r>
  <r>
    <x v="2"/>
    <n v="0"/>
    <n v="0"/>
    <x v="62"/>
    <s v="maio"/>
    <x v="1"/>
    <x v="0"/>
  </r>
  <r>
    <x v="3"/>
    <n v="0"/>
    <n v="0"/>
    <x v="62"/>
    <s v="maio"/>
    <x v="1"/>
    <x v="0"/>
  </r>
  <r>
    <x v="4"/>
    <n v="2"/>
    <n v="0.4"/>
    <x v="62"/>
    <s v="maio"/>
    <x v="1"/>
    <x v="0"/>
  </r>
  <r>
    <x v="5"/>
    <n v="0"/>
    <n v="0"/>
    <x v="62"/>
    <s v="maio"/>
    <x v="1"/>
    <x v="0"/>
  </r>
  <r>
    <x v="6"/>
    <n v="0"/>
    <n v="0"/>
    <x v="62"/>
    <s v="maio"/>
    <x v="1"/>
    <x v="0"/>
  </r>
  <r>
    <x v="7"/>
    <n v="0"/>
    <n v="0"/>
    <x v="62"/>
    <s v="maio"/>
    <x v="1"/>
    <x v="0"/>
  </r>
  <r>
    <x v="8"/>
    <n v="0"/>
    <n v="0"/>
    <x v="62"/>
    <s v="maio"/>
    <x v="1"/>
    <x v="0"/>
  </r>
  <r>
    <x v="9"/>
    <n v="0"/>
    <n v="0"/>
    <x v="62"/>
    <s v="maio"/>
    <x v="1"/>
    <x v="0"/>
  </r>
  <r>
    <x v="11"/>
    <n v="0"/>
    <n v="0"/>
    <x v="62"/>
    <s v="maio"/>
    <x v="1"/>
    <x v="0"/>
  </r>
  <r>
    <x v="12"/>
    <n v="0"/>
    <n v="0"/>
    <x v="62"/>
    <s v="maio"/>
    <x v="1"/>
    <x v="0"/>
  </r>
  <r>
    <x v="13"/>
    <n v="0"/>
    <n v="0"/>
    <x v="62"/>
    <s v="maio"/>
    <x v="1"/>
    <x v="0"/>
  </r>
  <r>
    <x v="14"/>
    <n v="1"/>
    <n v="0.2"/>
    <x v="62"/>
    <s v="maio"/>
    <x v="1"/>
    <x v="0"/>
  </r>
  <r>
    <x v="10"/>
    <n v="0"/>
    <n v="0"/>
    <x v="62"/>
    <s v="maio"/>
    <x v="1"/>
    <x v="0"/>
  </r>
  <r>
    <x v="0"/>
    <n v="3"/>
    <n v="0.75"/>
    <x v="63"/>
    <s v="junho"/>
    <x v="1"/>
    <x v="0"/>
  </r>
  <r>
    <x v="1"/>
    <n v="0"/>
    <n v="0"/>
    <x v="63"/>
    <s v="junho"/>
    <x v="1"/>
    <x v="0"/>
  </r>
  <r>
    <x v="2"/>
    <n v="0"/>
    <n v="0"/>
    <x v="63"/>
    <s v="junho"/>
    <x v="1"/>
    <x v="0"/>
  </r>
  <r>
    <x v="3"/>
    <n v="1"/>
    <n v="0.25"/>
    <x v="63"/>
    <s v="junho"/>
    <x v="1"/>
    <x v="0"/>
  </r>
  <r>
    <x v="4"/>
    <n v="0"/>
    <n v="0"/>
    <x v="63"/>
    <s v="junho"/>
    <x v="1"/>
    <x v="0"/>
  </r>
  <r>
    <x v="5"/>
    <n v="0"/>
    <n v="0"/>
    <x v="63"/>
    <s v="junho"/>
    <x v="1"/>
    <x v="0"/>
  </r>
  <r>
    <x v="6"/>
    <n v="0"/>
    <n v="0"/>
    <x v="63"/>
    <s v="junho"/>
    <x v="1"/>
    <x v="0"/>
  </r>
  <r>
    <x v="7"/>
    <n v="0"/>
    <n v="0"/>
    <x v="63"/>
    <s v="junho"/>
    <x v="1"/>
    <x v="0"/>
  </r>
  <r>
    <x v="8"/>
    <n v="0"/>
    <n v="0"/>
    <x v="63"/>
    <s v="junho"/>
    <x v="1"/>
    <x v="0"/>
  </r>
  <r>
    <x v="9"/>
    <n v="0"/>
    <n v="0"/>
    <x v="63"/>
    <s v="junho"/>
    <x v="1"/>
    <x v="0"/>
  </r>
  <r>
    <x v="11"/>
    <n v="0"/>
    <n v="0"/>
    <x v="63"/>
    <s v="junho"/>
    <x v="1"/>
    <x v="0"/>
  </r>
  <r>
    <x v="12"/>
    <n v="0"/>
    <n v="0"/>
    <x v="63"/>
    <s v="junho"/>
    <x v="1"/>
    <x v="0"/>
  </r>
  <r>
    <x v="13"/>
    <n v="0"/>
    <n v="0"/>
    <x v="63"/>
    <s v="junho"/>
    <x v="1"/>
    <x v="0"/>
  </r>
  <r>
    <x v="14"/>
    <n v="0"/>
    <n v="0"/>
    <x v="63"/>
    <s v="junho"/>
    <x v="1"/>
    <x v="0"/>
  </r>
  <r>
    <x v="10"/>
    <n v="0"/>
    <n v="0"/>
    <x v="63"/>
    <s v="junho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A8098-2EA6-440B-8C94-88E4567286AE}" name="Analise1" cacheId="4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4">
  <location ref="A3:B5" firstHeaderRow="1" firstDataRow="1" firstDataCol="1"/>
  <pivotFields count="7">
    <pivotField axis="axisRow" showAll="0" measureFilter="1" sortType="ascending">
      <items count="18">
        <item x="7"/>
        <item x="0"/>
        <item m="1" x="15"/>
        <item m="1" x="16"/>
        <item x="6"/>
        <item x="2"/>
        <item x="5"/>
        <item x="12"/>
        <item x="8"/>
        <item x="10"/>
        <item x="11"/>
        <item x="9"/>
        <item x="3"/>
        <item x="4"/>
        <item x="14"/>
        <item x="13"/>
        <item x="1"/>
        <item t="default"/>
      </items>
    </pivotField>
    <pivotField dataField="1" showAll="0"/>
    <pivotField showAll="0"/>
    <pivotField numFmtId="14" showAll="0">
      <items count="66">
        <item h="1" m="1" x="64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t="default"/>
      </items>
    </pivotField>
    <pivotField showAll="0"/>
    <pivotField showAll="0"/>
    <pivotField showAll="0"/>
  </pivotFields>
  <rowFields count="1">
    <field x="0"/>
  </rowFields>
  <rowItems count="2">
    <i>
      <x v="12"/>
    </i>
    <i>
      <x v="16"/>
    </i>
  </rowItems>
  <colItems count="1">
    <i/>
  </colItems>
  <dataFields count="1">
    <dataField name="Percentual Anual" fld="1" showDataAs="percentOfTotal" baseField="0" baseItem="0" numFmtId="10"/>
  </dataFields>
  <chartFormats count="14">
    <chartFormat chart="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" format="33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Medium12" showRowHeaders="1" showColHeaders="1" showRowStripes="0" showColStripes="0" showLastColumn="1"/>
  <filters count="1">
    <filter fld="0" type="valueGreaterThan" evalOrder="-1" id="4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A74F39-B5AA-4BDF-B3B6-ACC99694FBA4}" name="Analise1b" cacheId="4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4">
  <location ref="D3:E5" firstHeaderRow="1" firstDataRow="1" firstDataCol="1"/>
  <pivotFields count="7">
    <pivotField axis="axisRow" showAll="0" measureFilter="1">
      <items count="18">
        <item x="7"/>
        <item x="0"/>
        <item m="1" x="15"/>
        <item m="1" x="16"/>
        <item x="6"/>
        <item x="2"/>
        <item x="5"/>
        <item x="8"/>
        <item x="9"/>
        <item x="3"/>
        <item x="4"/>
        <item x="1"/>
        <item x="10"/>
        <item x="11"/>
        <item x="12"/>
        <item x="13"/>
        <item x="14"/>
        <item t="default"/>
      </items>
    </pivotField>
    <pivotField dataField="1" showAll="0"/>
    <pivotField showAll="0"/>
    <pivotField numFmtId="14" showAll="0">
      <items count="66">
        <item h="1" m="1" x="64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t="default"/>
      </items>
    </pivotField>
    <pivotField showAll="0"/>
    <pivotField showAll="0"/>
    <pivotField showAll="0"/>
  </pivotFields>
  <rowFields count="1">
    <field x="0"/>
  </rowFields>
  <rowItems count="2">
    <i>
      <x v="9"/>
    </i>
    <i>
      <x v="11"/>
    </i>
  </rowItems>
  <colItems count="1">
    <i/>
  </colItems>
  <dataFields count="1">
    <dataField name="Contagem Semanal" fld="1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9D69F-44F2-427F-BD59-5F9CB827B16C}" name="Analise2" cacheId="4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8">
  <location ref="A3:B18" firstHeaderRow="1" firstDataRow="1" firstDataCol="1"/>
  <pivotFields count="7">
    <pivotField axis="axisRow" showAll="0" measureFilter="1" sortType="ascending">
      <items count="18">
        <item x="7"/>
        <item x="0"/>
        <item m="1" x="15"/>
        <item m="1" x="16"/>
        <item x="6"/>
        <item x="2"/>
        <item x="5"/>
        <item x="8"/>
        <item x="9"/>
        <item x="3"/>
        <item x="4"/>
        <item x="1"/>
        <item x="10"/>
        <item x="11"/>
        <item x="1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4" showAll="0"/>
    <pivotField showAll="0"/>
    <pivotField showAll="0">
      <items count="4">
        <item h="1" m="1" x="2"/>
        <item h="1" x="0"/>
        <item x="1"/>
        <item t="default"/>
      </items>
    </pivotField>
    <pivotField showAll="0">
      <items count="6">
        <item x="0"/>
        <item m="1" x="4"/>
        <item x="1"/>
        <item m="1" x="2"/>
        <item m="1" x="3"/>
        <item t="default"/>
      </items>
    </pivotField>
  </pivotFields>
  <rowFields count="1">
    <field x="0"/>
  </rowFields>
  <rowItems count="15">
    <i>
      <x/>
    </i>
    <i>
      <x v="16"/>
    </i>
    <i>
      <x v="13"/>
    </i>
    <i>
      <x v="11"/>
    </i>
    <i>
      <x v="12"/>
    </i>
    <i>
      <x v="6"/>
    </i>
    <i>
      <x v="14"/>
    </i>
    <i>
      <x v="5"/>
    </i>
    <i>
      <x v="4"/>
    </i>
    <i>
      <x v="7"/>
    </i>
    <i>
      <x v="8"/>
    </i>
    <i>
      <x v="1"/>
    </i>
    <i>
      <x v="10"/>
    </i>
    <i>
      <x v="15"/>
    </i>
    <i>
      <x v="9"/>
    </i>
  </rowItems>
  <colItems count="1">
    <i/>
  </colItems>
  <dataFields count="1">
    <dataField name="Percentual Anual" fld="1" showDataAs="percentOfTotal" baseField="0" baseItem="0" numFmtId="10"/>
  </dataFields>
  <chartFormats count="15">
    <chartFormat chart="7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7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7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7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7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</chartFormats>
  <pivotTableStyleInfo name="PivotStyleMedium12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3FBDB-18B0-423C-97A3-6A6C05C38A8A}" name="Analise2b" cacheId="4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5">
  <location ref="D3:E18" firstHeaderRow="1" firstDataRow="1" firstDataCol="1"/>
  <pivotFields count="7">
    <pivotField axis="axisRow" showAll="0" measureFilter="1">
      <items count="18">
        <item x="7"/>
        <item x="0"/>
        <item m="1" x="15"/>
        <item m="1" x="16"/>
        <item x="6"/>
        <item x="2"/>
        <item x="5"/>
        <item x="8"/>
        <item x="9"/>
        <item x="3"/>
        <item x="4"/>
        <item x="1"/>
        <item x="10"/>
        <item x="11"/>
        <item x="12"/>
        <item x="13"/>
        <item x="14"/>
        <item t="default"/>
      </items>
    </pivotField>
    <pivotField dataField="1" showAll="0"/>
    <pivotField showAll="0"/>
    <pivotField numFmtId="14" showAll="0"/>
    <pivotField showAll="0"/>
    <pivotField showAll="0">
      <items count="4">
        <item h="1" m="1" x="2"/>
        <item h="1" x="0"/>
        <item x="1"/>
        <item t="default"/>
      </items>
    </pivotField>
    <pivotField showAll="0">
      <items count="6">
        <item x="0"/>
        <item m="1" x="4"/>
        <item x="1"/>
        <item m="1" x="2"/>
        <item m="1" x="3"/>
        <item t="default"/>
      </items>
    </pivotField>
  </pivotFields>
  <rowFields count="1">
    <field x="0"/>
  </rowFields>
  <rowItems count="15">
    <i>
      <x/>
    </i>
    <i>
      <x v="1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name="Contagem Anual" fld="1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836F06B-DA72-4E13-B94C-DA6534BDE7C1}" autoFormatId="16" applyNumberFormats="0" applyBorderFormats="0" applyFontFormats="0" applyPatternFormats="0" applyAlignmentFormats="0" applyWidthHeightFormats="0">
  <queryTableRefresh nextId="9" unboundColumnsRight="3">
    <queryTableFields count="7">
      <queryTableField id="1" name="Parâmetros" tableColumnId="6"/>
      <queryTableField id="2" name="Contagem" tableColumnId="2"/>
      <queryTableField id="3" name="Porcentagem" tableColumnId="3"/>
      <queryTableField id="4" name="Semana.1" tableColumnId="4"/>
      <queryTableField id="8" dataBound="0" tableColumnId="1"/>
      <queryTableField id="6" dataBound="0" tableColumnId="7"/>
      <queryTableField id="7" dataBound="0" tableColumnId="8"/>
    </queryTableFields>
    <queryTableDeletedFields count="1">
      <deletedField name="Semana.2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na" xr10:uid="{52199F60-AEA2-44B6-A680-6A584A4463D4}" sourceName="Semana">
  <pivotTables>
    <pivotTable tabId="39" name="Analise1b"/>
    <pivotTable tabId="39" name="Analise1"/>
  </pivotTables>
  <data>
    <tabular pivotCacheId="1703130160">
      <items count="65">
        <i x="0"/>
        <i x="1"/>
        <i x="2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/>
        <i x="32"/>
        <i x="33"/>
        <i x="34"/>
        <i x="35"/>
        <i x="36"/>
        <i x="37"/>
        <i x="38"/>
        <i x="39"/>
        <i x="40"/>
        <i x="41"/>
        <i x="42"/>
        <i x="43"/>
        <i x="44"/>
        <i x="45"/>
        <i x="46"/>
        <i x="47"/>
        <i x="48"/>
        <i x="49"/>
        <i x="50"/>
        <i x="51"/>
        <i x="52"/>
        <i x="53"/>
        <i x="54" s="1"/>
        <i x="55"/>
        <i x="56"/>
        <i x="57"/>
        <i x="58"/>
        <i x="59"/>
        <i x="60"/>
        <i x="61"/>
        <i x="62"/>
        <i x="63"/>
        <i x="6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E04889F5-720C-4EA9-A119-BD68D3A9584E}" sourceName="Ano">
  <pivotTables>
    <pivotTable tabId="40" name="Analise2b"/>
    <pivotTable tabId="40" name="Analise2"/>
  </pivotTables>
  <data>
    <tabular pivotCacheId="1703130160">
      <items count="3">
        <i x="0"/>
        <i x="1" s="1"/>
        <i x="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eriodo" xr10:uid="{FA91FB4D-5B6E-4831-8193-55BCFFEA3E14}" sourceName="Periodo">
  <pivotTables>
    <pivotTable tabId="40" name="Analise2b"/>
    <pivotTable tabId="40" name="Analise2"/>
  </pivotTables>
  <data>
    <tabular pivotCacheId="1703130160">
      <items count="5">
        <i x="0" s="1"/>
        <i x="4" s="1" nd="1"/>
        <i x="1" s="1" nd="1"/>
        <i x="2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mana" xr10:uid="{BC010603-9475-434A-A60E-8F635BD758A2}" cache="SegmentaçãodeDados_Semana" caption="Semana" startItem="39" style="SlicerStyleLight4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05EA28E4-8706-439B-98B3-110B8D713039}" cache="SegmentaçãodeDados_Ano" caption="Ano" style="SlicerStyleLight4" rowHeight="241300"/>
  <slicer name="Periodo" xr10:uid="{F15B8978-02F3-4881-9265-FB36ECFFECAD}" cache="SegmentaçãodeDados_Periodo" caption="Periodo" style="SlicerStyleLight4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mana 1" xr10:uid="{4BBFF283-8965-4FBC-9CB8-B224451FE502}" cache="SegmentaçãodeDados_Semana" caption="Semana" startItem="47" showCaption="0" style="Estilo de Segmentação de Dados 1" rowHeight="241300"/>
  <slicer name="Ano 1" xr10:uid="{B51EA63C-8AFC-46B0-AEBF-308AB33DF156}" cache="SegmentaçãodeDados_Ano" caption="Ano" style="Estilo de Segmentação de Dados 1" rowHeight="241300"/>
  <slicer name="Periodo 1" xr10:uid="{FBD7EA8C-1867-48E6-A55A-A28A08D9A133}" cache="SegmentaçãodeDados_Periodo" caption="Periodo" style="Estilo de Segmentação de Dados 1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A3FCBE-3CBA-4284-9F80-15548C0AD6D8}" name="Base_de_Dados" displayName="Base_de_Dados" ref="A1:G817" tableType="queryTable" totalsRowShown="0">
  <autoFilter ref="A1:G817" xr:uid="{B4A3FCBE-3CBA-4284-9F80-15548C0AD6D8}"/>
  <sortState xmlns:xlrd2="http://schemas.microsoft.com/office/spreadsheetml/2017/richdata2" ref="A2:G306">
    <sortCondition ref="D1:D306"/>
  </sortState>
  <tableColumns count="7">
    <tableColumn id="6" xr3:uid="{B935208A-F86B-436B-B557-12977E181E29}" uniqueName="6" name="Parâmetros" queryTableFieldId="1" dataDxfId="2230"/>
    <tableColumn id="2" xr3:uid="{78754375-BA2E-4EF4-894E-1661E9619857}" uniqueName="2" name="Contagem" queryTableFieldId="2"/>
    <tableColumn id="3" xr3:uid="{783D9208-607B-4811-80C7-90E4FE81223E}" uniqueName="3" name="Porcentagem" queryTableFieldId="3" dataCellStyle="Porcentagem"/>
    <tableColumn id="4" xr3:uid="{211E1BF7-7F34-40FB-9BAB-34D09D423801}" uniqueName="4" name="Semana" queryTableFieldId="4" dataDxfId="2229"/>
    <tableColumn id="1" xr3:uid="{FD622E2E-E159-4643-BC5F-4D0FBF373AFC}" uniqueName="1" name="Mês" queryTableFieldId="8" dataDxfId="2228">
      <calculatedColumnFormula>TEXT(Base_de_Dados[[#This Row],[Semana]],"Mmmm")</calculatedColumnFormula>
    </tableColumn>
    <tableColumn id="7" xr3:uid="{055FBD90-31E6-48A4-980E-F3B78F5151B4}" uniqueName="7" name="Ano" queryTableFieldId="6">
      <calculatedColumnFormula>YEAR(Base_de_Dados[[#This Row],[Semana]])</calculatedColumnFormula>
    </tableColumn>
    <tableColumn id="8" xr3:uid="{51D03882-434B-40FE-9402-94775A75E5BF}" uniqueName="8" name="Periodo" queryTableFieldId="7" dataDxfId="2227">
      <calculatedColumnFormula>IF(MONTH(Base_de_Dados[[#This Row],[Semana]])&lt;=6,"1ª Bimestre","2ª Bimestre")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4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6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7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48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49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0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1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2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3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4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5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56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57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58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9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microsoft.com/office/2007/relationships/slicer" Target="../slicers/slicer2.xml"/></Relationships>
</file>

<file path=xl/worksheets/_rels/sheet76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7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E1E6D-E0B7-4FB0-AB8E-71451531883A}">
  <sheetPr>
    <tabColor theme="5"/>
  </sheetPr>
  <dimension ref="A2:AZ12"/>
  <sheetViews>
    <sheetView workbookViewId="0">
      <selection activeCell="K20" sqref="K20"/>
    </sheetView>
  </sheetViews>
  <sheetFormatPr defaultRowHeight="15" x14ac:dyDescent="0.25"/>
  <cols>
    <col min="1" max="1" width="18.28515625" customWidth="1"/>
    <col min="2" max="3" width="6.7109375" bestFit="1" customWidth="1"/>
    <col min="4" max="4" width="7.28515625" bestFit="1" customWidth="1"/>
    <col min="22" max="22" width="9.7109375" customWidth="1"/>
    <col min="24" max="24" width="18" customWidth="1"/>
    <col min="52" max="52" width="9.85546875" customWidth="1"/>
  </cols>
  <sheetData>
    <row r="2" spans="1:52" s="28" customFormat="1" ht="18.600000000000001" customHeight="1" x14ac:dyDescent="0.25">
      <c r="A2" s="27" t="s">
        <v>0</v>
      </c>
      <c r="B2" s="32">
        <v>44613</v>
      </c>
      <c r="C2" s="32">
        <v>44620</v>
      </c>
      <c r="D2" s="32">
        <v>44627</v>
      </c>
      <c r="E2" s="32">
        <v>44634</v>
      </c>
      <c r="F2" s="32">
        <v>44641</v>
      </c>
      <c r="G2" s="32">
        <v>44648</v>
      </c>
      <c r="H2" s="32">
        <v>44655</v>
      </c>
      <c r="I2" s="32">
        <v>44662</v>
      </c>
      <c r="J2" s="32">
        <v>44669</v>
      </c>
      <c r="K2" s="32">
        <v>44676</v>
      </c>
      <c r="L2" s="32">
        <v>44683</v>
      </c>
      <c r="M2" s="32">
        <v>44690</v>
      </c>
      <c r="N2" s="32">
        <v>44697</v>
      </c>
      <c r="O2" s="32">
        <v>44704</v>
      </c>
      <c r="P2" s="32">
        <v>44711</v>
      </c>
      <c r="Q2" s="32">
        <v>44718</v>
      </c>
      <c r="R2" s="32">
        <v>44725</v>
      </c>
      <c r="S2" s="32">
        <v>44732</v>
      </c>
      <c r="T2" s="32">
        <v>44739</v>
      </c>
      <c r="U2" s="33" t="s">
        <v>1</v>
      </c>
      <c r="V2" s="30" t="s">
        <v>2</v>
      </c>
      <c r="X2" s="40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3"/>
      <c r="AZ2" s="42"/>
    </row>
    <row r="3" spans="1:52" ht="13.9" customHeight="1" x14ac:dyDescent="0.25">
      <c r="A3" s="34" t="s">
        <v>3</v>
      </c>
      <c r="B3">
        <f>'21 02 2022'!K5</f>
        <v>3</v>
      </c>
      <c r="C3">
        <f>'28 02 2022'!K5</f>
        <v>1</v>
      </c>
      <c r="D3">
        <f>'07 03 2022'!K5</f>
        <v>0</v>
      </c>
      <c r="E3">
        <f>'14 03 2022'!K5</f>
        <v>0</v>
      </c>
      <c r="F3">
        <f>'21 03 2022'!K5</f>
        <v>0</v>
      </c>
      <c r="G3">
        <f>'28 03 2022'!K5</f>
        <v>1</v>
      </c>
      <c r="H3">
        <f>'04 04 2022'!K5</f>
        <v>0</v>
      </c>
      <c r="I3">
        <f>'11 04 2022'!K5</f>
        <v>0</v>
      </c>
      <c r="J3">
        <f>'18 04 2022'!K5</f>
        <v>0</v>
      </c>
      <c r="K3">
        <f>'25 04 2022'!K5</f>
        <v>0</v>
      </c>
      <c r="L3">
        <f>'02 05 2022'!K5</f>
        <v>0</v>
      </c>
      <c r="M3">
        <f>'09 05 2022'!K5</f>
        <v>0</v>
      </c>
      <c r="N3">
        <f>'16 05 2022'!K5</f>
        <v>0</v>
      </c>
      <c r="O3">
        <f>'23 05 2022 '!K5</f>
        <v>0</v>
      </c>
      <c r="Q3">
        <f>'06 06 2022 '!K5</f>
        <v>0</v>
      </c>
      <c r="R3">
        <f>'13 06 2022  '!K5</f>
        <v>0</v>
      </c>
      <c r="S3">
        <f>'20 06 2022  '!K5</f>
        <v>0</v>
      </c>
      <c r="T3">
        <v>0</v>
      </c>
      <c r="U3" s="26">
        <f>SUM(B3:T3)</f>
        <v>5</v>
      </c>
      <c r="V3" s="31">
        <f>U3/$U$12</f>
        <v>3.4722222222222224E-2</v>
      </c>
      <c r="X3" s="40"/>
      <c r="AY3" s="26"/>
      <c r="AZ3" s="1"/>
    </row>
    <row r="4" spans="1:52" ht="13.9" customHeight="1" x14ac:dyDescent="0.25">
      <c r="A4" s="19" t="s">
        <v>4</v>
      </c>
      <c r="B4">
        <f>'21 02 2022'!K6</f>
        <v>1</v>
      </c>
      <c r="C4">
        <f>'28 02 2022'!K6</f>
        <v>2</v>
      </c>
      <c r="D4">
        <f>'07 03 2022'!K6</f>
        <v>2</v>
      </c>
      <c r="E4">
        <f>'14 03 2022'!K6</f>
        <v>2</v>
      </c>
      <c r="F4">
        <f>'21 03 2022'!K6</f>
        <v>0</v>
      </c>
      <c r="G4">
        <f>'28 03 2022'!K6</f>
        <v>0</v>
      </c>
      <c r="H4">
        <f>'04 04 2022'!K6</f>
        <v>0</v>
      </c>
      <c r="I4">
        <f>'11 04 2022'!K6</f>
        <v>0</v>
      </c>
      <c r="J4">
        <f>'18 04 2022'!K6</f>
        <v>1</v>
      </c>
      <c r="K4">
        <f>'25 04 2022'!K6</f>
        <v>0</v>
      </c>
      <c r="L4">
        <f>'02 05 2022'!K6</f>
        <v>0</v>
      </c>
      <c r="M4">
        <f>'09 05 2022'!K6</f>
        <v>0</v>
      </c>
      <c r="N4">
        <f>'16 05 2022'!K6</f>
        <v>0</v>
      </c>
      <c r="O4">
        <f>'23 05 2022 '!K6</f>
        <v>0</v>
      </c>
      <c r="Q4">
        <f>'06 06 2022 '!K6</f>
        <v>0</v>
      </c>
      <c r="R4">
        <f>'13 06 2022  '!K6</f>
        <v>5</v>
      </c>
      <c r="S4">
        <f>'20 06 2022  '!K6</f>
        <v>0</v>
      </c>
      <c r="T4">
        <v>0</v>
      </c>
      <c r="U4" s="26">
        <f t="shared" ref="U4:U11" si="0">SUM(B4:T4)</f>
        <v>13</v>
      </c>
      <c r="V4" s="31">
        <f t="shared" ref="V4:V11" si="1">U4/$U$12</f>
        <v>9.0277777777777776E-2</v>
      </c>
      <c r="X4" s="40"/>
      <c r="AY4" s="26"/>
      <c r="AZ4" s="1"/>
    </row>
    <row r="5" spans="1:52" ht="13.9" customHeight="1" x14ac:dyDescent="0.25">
      <c r="A5" s="35" t="s">
        <v>5</v>
      </c>
      <c r="B5">
        <f>'21 02 2022'!K7</f>
        <v>0</v>
      </c>
      <c r="C5">
        <f>'28 02 2022'!K7</f>
        <v>3</v>
      </c>
      <c r="D5">
        <f>'07 03 2022'!K7</f>
        <v>0</v>
      </c>
      <c r="E5">
        <f>'14 03 2022'!K7</f>
        <v>0</v>
      </c>
      <c r="F5">
        <f>'21 03 2022'!K7</f>
        <v>0</v>
      </c>
      <c r="G5">
        <f>'28 03 2022'!K7</f>
        <v>4</v>
      </c>
      <c r="H5">
        <f>'04 04 2022'!K7</f>
        <v>0</v>
      </c>
      <c r="I5">
        <f>'11 04 2022'!K7</f>
        <v>13</v>
      </c>
      <c r="J5">
        <f>'18 04 2022'!K7</f>
        <v>0</v>
      </c>
      <c r="K5">
        <f>'25 04 2022'!K7</f>
        <v>0</v>
      </c>
      <c r="L5">
        <f>'02 05 2022'!K7</f>
        <v>0</v>
      </c>
      <c r="M5">
        <f>'09 05 2022'!K7</f>
        <v>1</v>
      </c>
      <c r="N5">
        <f>'16 05 2022'!K7</f>
        <v>0</v>
      </c>
      <c r="O5">
        <f>'23 05 2022 '!K7</f>
        <v>0</v>
      </c>
      <c r="Q5">
        <f>'06 06 2022 '!K7</f>
        <v>0</v>
      </c>
      <c r="R5">
        <f>'13 06 2022  '!K7</f>
        <v>1</v>
      </c>
      <c r="S5">
        <f>'20 06 2022  '!K7</f>
        <v>1</v>
      </c>
      <c r="T5">
        <v>0</v>
      </c>
      <c r="U5" s="26">
        <f t="shared" si="0"/>
        <v>23</v>
      </c>
      <c r="V5" s="31">
        <f t="shared" si="1"/>
        <v>0.15972222222222221</v>
      </c>
      <c r="X5" s="40"/>
      <c r="AY5" s="26"/>
      <c r="AZ5" s="1"/>
    </row>
    <row r="6" spans="1:52" ht="13.9" customHeight="1" x14ac:dyDescent="0.25">
      <c r="A6" s="36" t="s">
        <v>6</v>
      </c>
      <c r="B6">
        <f>'21 02 2022'!K8</f>
        <v>5</v>
      </c>
      <c r="C6">
        <f>'28 02 2022'!K8</f>
        <v>2</v>
      </c>
      <c r="D6">
        <f>'07 03 2022'!K8</f>
        <v>0</v>
      </c>
      <c r="E6">
        <f>'14 03 2022'!K8</f>
        <v>3</v>
      </c>
      <c r="F6">
        <f>'21 03 2022'!K8</f>
        <v>1</v>
      </c>
      <c r="G6">
        <f>'28 03 2022'!K8</f>
        <v>0</v>
      </c>
      <c r="H6">
        <f>'04 04 2022'!K8</f>
        <v>1</v>
      </c>
      <c r="I6">
        <f>'11 04 2022'!K8</f>
        <v>0</v>
      </c>
      <c r="J6">
        <f>'18 04 2022'!K8</f>
        <v>2</v>
      </c>
      <c r="K6">
        <f>'25 04 2022'!K8</f>
        <v>2</v>
      </c>
      <c r="L6">
        <f>'02 05 2022'!K8</f>
        <v>2</v>
      </c>
      <c r="M6">
        <f>'09 05 2022'!K8</f>
        <v>2</v>
      </c>
      <c r="N6">
        <f>'16 05 2022'!K8</f>
        <v>3</v>
      </c>
      <c r="O6">
        <f>'23 05 2022 '!K8</f>
        <v>0</v>
      </c>
      <c r="Q6">
        <f>'06 06 2022 '!K8</f>
        <v>1</v>
      </c>
      <c r="R6">
        <f>'13 06 2022  '!K8</f>
        <v>1</v>
      </c>
      <c r="S6">
        <f>'20 06 2022  '!K8</f>
        <v>0</v>
      </c>
      <c r="T6">
        <v>0</v>
      </c>
      <c r="U6" s="26">
        <f t="shared" si="0"/>
        <v>25</v>
      </c>
      <c r="V6" s="31">
        <f t="shared" si="1"/>
        <v>0.1736111111111111</v>
      </c>
      <c r="X6" s="40"/>
      <c r="AY6" s="26"/>
      <c r="AZ6" s="1"/>
    </row>
    <row r="7" spans="1:52" ht="13.9" customHeight="1" x14ac:dyDescent="0.25">
      <c r="A7" s="37" t="s">
        <v>7</v>
      </c>
      <c r="B7">
        <f>'21 02 2022'!K9</f>
        <v>5</v>
      </c>
      <c r="C7">
        <f>'28 02 2022'!K9</f>
        <v>1</v>
      </c>
      <c r="D7">
        <f>'07 03 2022'!K9</f>
        <v>1</v>
      </c>
      <c r="E7">
        <f>'14 03 2022'!K9</f>
        <v>0</v>
      </c>
      <c r="F7">
        <f>'21 03 2022'!K9</f>
        <v>2</v>
      </c>
      <c r="G7">
        <f>'28 03 2022'!K9</f>
        <v>1</v>
      </c>
      <c r="H7">
        <f>'04 04 2022'!K9</f>
        <v>2</v>
      </c>
      <c r="I7">
        <f>'11 04 2022'!K9</f>
        <v>1</v>
      </c>
      <c r="J7">
        <f>'18 04 2022'!K9</f>
        <v>1</v>
      </c>
      <c r="K7">
        <f>'25 04 2022'!K9</f>
        <v>2</v>
      </c>
      <c r="L7">
        <f>'02 05 2022'!K9</f>
        <v>1</v>
      </c>
      <c r="M7">
        <f>'09 05 2022'!K9</f>
        <v>0</v>
      </c>
      <c r="N7">
        <f>'16 05 2022'!K9</f>
        <v>0</v>
      </c>
      <c r="O7">
        <f>'23 05 2022 '!K9</f>
        <v>0</v>
      </c>
      <c r="Q7">
        <f>'06 06 2022 '!K9</f>
        <v>1</v>
      </c>
      <c r="R7">
        <f>'13 06 2022  '!K9</f>
        <v>2</v>
      </c>
      <c r="S7">
        <f>'20 06 2022  '!K9</f>
        <v>0</v>
      </c>
      <c r="T7">
        <v>0</v>
      </c>
      <c r="U7" s="26">
        <f t="shared" si="0"/>
        <v>20</v>
      </c>
      <c r="V7" s="31">
        <f t="shared" si="1"/>
        <v>0.1388888888888889</v>
      </c>
      <c r="X7" s="40"/>
      <c r="AY7" s="26"/>
      <c r="AZ7" s="1"/>
    </row>
    <row r="8" spans="1:52" ht="13.9" customHeight="1" x14ac:dyDescent="0.25">
      <c r="A8" s="38" t="s">
        <v>8</v>
      </c>
      <c r="B8">
        <f>'21 02 2022'!K10</f>
        <v>0</v>
      </c>
      <c r="C8">
        <f>'28 02 2022'!K10</f>
        <v>5</v>
      </c>
      <c r="D8">
        <f>'07 03 2022'!K10</f>
        <v>3</v>
      </c>
      <c r="E8">
        <f>'14 03 2022'!K10</f>
        <v>1</v>
      </c>
      <c r="F8">
        <f>'21 03 2022'!K10</f>
        <v>0</v>
      </c>
      <c r="G8">
        <f>'28 03 2022'!K10</f>
        <v>1</v>
      </c>
      <c r="H8">
        <f>'04 04 2022'!K10</f>
        <v>0</v>
      </c>
      <c r="I8">
        <f>'11 04 2022'!K10</f>
        <v>0</v>
      </c>
      <c r="J8">
        <f>'18 04 2022'!K10</f>
        <v>0</v>
      </c>
      <c r="K8">
        <f>'25 04 2022'!K10</f>
        <v>1</v>
      </c>
      <c r="L8">
        <f>'02 05 2022'!K10</f>
        <v>0</v>
      </c>
      <c r="M8">
        <f>'09 05 2022'!K10</f>
        <v>0</v>
      </c>
      <c r="N8">
        <f>'16 05 2022'!K10</f>
        <v>5</v>
      </c>
      <c r="O8">
        <f>'23 05 2022 '!K10</f>
        <v>3</v>
      </c>
      <c r="Q8">
        <f>'06 06 2022 '!K10</f>
        <v>2</v>
      </c>
      <c r="R8">
        <f>'13 06 2022  '!K10</f>
        <v>0</v>
      </c>
      <c r="S8">
        <f>'20 06 2022  '!K10</f>
        <v>0</v>
      </c>
      <c r="T8">
        <v>0</v>
      </c>
      <c r="U8" s="26">
        <f t="shared" si="0"/>
        <v>21</v>
      </c>
      <c r="V8" s="31">
        <f t="shared" si="1"/>
        <v>0.14583333333333334</v>
      </c>
      <c r="X8" s="40"/>
      <c r="AY8" s="26"/>
      <c r="AZ8" s="1"/>
    </row>
    <row r="9" spans="1:52" ht="13.9" customHeight="1" x14ac:dyDescent="0.25">
      <c r="A9" s="39" t="s">
        <v>9</v>
      </c>
      <c r="B9">
        <f>'21 02 2022'!K11</f>
        <v>0</v>
      </c>
      <c r="C9">
        <f>'28 02 2022'!K11</f>
        <v>0</v>
      </c>
      <c r="D9">
        <f>'07 03 2022'!K11</f>
        <v>0</v>
      </c>
      <c r="E9">
        <f>'14 03 2022'!K11</f>
        <v>1</v>
      </c>
      <c r="F9">
        <f>'21 03 2022'!K11</f>
        <v>0</v>
      </c>
      <c r="G9">
        <f>'28 03 2022'!K11</f>
        <v>2</v>
      </c>
      <c r="H9">
        <f>'04 04 2022'!K11</f>
        <v>0</v>
      </c>
      <c r="I9">
        <f>'11 04 2022'!K11</f>
        <v>5</v>
      </c>
      <c r="J9">
        <f>'18 04 2022'!K11</f>
        <v>4</v>
      </c>
      <c r="K9">
        <f>'25 04 2022'!K11</f>
        <v>2</v>
      </c>
      <c r="L9">
        <f>'02 05 2022'!K11</f>
        <v>0</v>
      </c>
      <c r="M9">
        <f>'09 05 2022'!K11</f>
        <v>0</v>
      </c>
      <c r="N9">
        <f>'16 05 2022'!K11</f>
        <v>0</v>
      </c>
      <c r="O9">
        <f>'23 05 2022 '!K11</f>
        <v>0</v>
      </c>
      <c r="Q9">
        <f>'06 06 2022 '!K11</f>
        <v>0</v>
      </c>
      <c r="R9">
        <f>'13 06 2022  '!K11</f>
        <v>1</v>
      </c>
      <c r="S9">
        <f>'20 06 2022  '!K11</f>
        <v>0</v>
      </c>
      <c r="T9">
        <v>0</v>
      </c>
      <c r="U9" s="26">
        <f t="shared" si="0"/>
        <v>15</v>
      </c>
      <c r="V9" s="31">
        <f t="shared" si="1"/>
        <v>0.10416666666666667</v>
      </c>
      <c r="X9" s="40"/>
      <c r="AY9" s="26"/>
      <c r="AZ9" s="1"/>
    </row>
    <row r="10" spans="1:52" ht="13.9" customHeight="1" x14ac:dyDescent="0.25">
      <c r="A10" s="25" t="s">
        <v>10</v>
      </c>
      <c r="B10">
        <f>'21 02 2022'!K12</f>
        <v>2</v>
      </c>
      <c r="C10">
        <f>'28 02 2022'!K12</f>
        <v>0</v>
      </c>
      <c r="D10">
        <f>'07 03 2022'!K12</f>
        <v>0</v>
      </c>
      <c r="E10">
        <f>'14 03 2022'!K12</f>
        <v>3</v>
      </c>
      <c r="F10">
        <f>'21 03 2022'!K12</f>
        <v>4</v>
      </c>
      <c r="G10">
        <f>'28 03 2022'!K12</f>
        <v>2</v>
      </c>
      <c r="H10">
        <f>'04 04 2022'!K12</f>
        <v>3</v>
      </c>
      <c r="I10">
        <f>'11 04 2022'!K12</f>
        <v>2</v>
      </c>
      <c r="J10">
        <f>'18 04 2022'!K12</f>
        <v>0</v>
      </c>
      <c r="K10">
        <f>'25 04 2022'!K12</f>
        <v>0</v>
      </c>
      <c r="L10">
        <f>'02 05 2022'!K12</f>
        <v>0</v>
      </c>
      <c r="M10">
        <f>'09 05 2022'!K12</f>
        <v>0</v>
      </c>
      <c r="N10">
        <f>'16 05 2022'!K12</f>
        <v>0</v>
      </c>
      <c r="O10">
        <f>'23 05 2022 '!K12</f>
        <v>1</v>
      </c>
      <c r="Q10">
        <f>'06 06 2022 '!K12</f>
        <v>0</v>
      </c>
      <c r="R10">
        <f>'13 06 2022  '!K12</f>
        <v>3</v>
      </c>
      <c r="S10">
        <f>'20 06 2022  '!K12</f>
        <v>0</v>
      </c>
      <c r="T10">
        <v>2</v>
      </c>
      <c r="U10" s="26">
        <f t="shared" si="0"/>
        <v>22</v>
      </c>
      <c r="V10" s="31">
        <f t="shared" si="1"/>
        <v>0.15277777777777779</v>
      </c>
      <c r="X10" s="40"/>
      <c r="AY10" s="26"/>
      <c r="AZ10" s="1"/>
    </row>
    <row r="11" spans="1:52" ht="13.9" customHeight="1" x14ac:dyDescent="0.25">
      <c r="A11" s="46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>'25 04 2022'!K13</f>
        <v>2</v>
      </c>
      <c r="L11">
        <f>'02 05 2022'!K13</f>
        <v>0</v>
      </c>
      <c r="M11">
        <f>'09 05 2022'!K13</f>
        <v>0</v>
      </c>
      <c r="N11">
        <f>'16 05 2022'!K13</f>
        <v>0</v>
      </c>
      <c r="O11">
        <f>'23 05 2022 '!K13</f>
        <v>0</v>
      </c>
      <c r="Q11">
        <f>'06 06 2022 '!K13</f>
        <v>0</v>
      </c>
      <c r="R11">
        <f>'13 06 2022  '!K13</f>
        <v>0</v>
      </c>
      <c r="S11">
        <f>'20 06 2022  '!K13</f>
        <v>0</v>
      </c>
      <c r="T11">
        <v>0</v>
      </c>
      <c r="U11" s="26">
        <f t="shared" si="0"/>
        <v>2</v>
      </c>
      <c r="V11" s="31">
        <f t="shared" si="1"/>
        <v>1.3888888888888888E-2</v>
      </c>
      <c r="X11" s="40"/>
      <c r="AY11" s="26"/>
      <c r="AZ11" s="1"/>
    </row>
    <row r="12" spans="1:52" x14ac:dyDescent="0.25">
      <c r="A12" s="29" t="s">
        <v>1</v>
      </c>
      <c r="B12" s="29">
        <f>SUM(B3:B10)</f>
        <v>16</v>
      </c>
      <c r="C12" s="29">
        <f>SUM(C3:C10)</f>
        <v>14</v>
      </c>
      <c r="D12" s="29">
        <f t="shared" ref="D12:P12" si="2">SUM(D3:D10)</f>
        <v>6</v>
      </c>
      <c r="E12" s="29">
        <f t="shared" si="2"/>
        <v>10</v>
      </c>
      <c r="F12" s="29">
        <f t="shared" si="2"/>
        <v>7</v>
      </c>
      <c r="G12" s="29">
        <f t="shared" si="2"/>
        <v>11</v>
      </c>
      <c r="H12" s="29">
        <f t="shared" si="2"/>
        <v>6</v>
      </c>
      <c r="I12" s="29">
        <f t="shared" si="2"/>
        <v>21</v>
      </c>
      <c r="J12" s="29">
        <f t="shared" si="2"/>
        <v>8</v>
      </c>
      <c r="K12" s="29">
        <f t="shared" si="2"/>
        <v>7</v>
      </c>
      <c r="L12" s="29">
        <f t="shared" si="2"/>
        <v>3</v>
      </c>
      <c r="M12" s="29">
        <f t="shared" si="2"/>
        <v>3</v>
      </c>
      <c r="N12" s="29">
        <f t="shared" si="2"/>
        <v>8</v>
      </c>
      <c r="O12" s="29">
        <f t="shared" si="2"/>
        <v>4</v>
      </c>
      <c r="P12" s="29">
        <f t="shared" si="2"/>
        <v>0</v>
      </c>
      <c r="Q12" s="29">
        <f>SUM(Q3:Q10)</f>
        <v>4</v>
      </c>
      <c r="R12" s="29">
        <f>SUM(R3:R10)</f>
        <v>13</v>
      </c>
      <c r="S12" s="29">
        <f t="shared" ref="S12" si="3">SUM(S3:S10)</f>
        <v>1</v>
      </c>
      <c r="T12" s="29">
        <f t="shared" ref="T12" si="4">SUM(T3:T10)</f>
        <v>2</v>
      </c>
      <c r="U12" s="29">
        <f>SUM(B12:T12)</f>
        <v>144</v>
      </c>
      <c r="V12" s="26"/>
      <c r="X12" s="40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3EA56-85C2-43D0-86C5-EDE81783C876}">
  <sheetPr>
    <tabColor theme="7"/>
    <pageSetUpPr fitToPage="1"/>
  </sheetPr>
  <dimension ref="A1:P93"/>
  <sheetViews>
    <sheetView showGridLines="0" zoomScaleNormal="100" workbookViewId="0">
      <pane ySplit="4" topLeftCell="A8" activePane="bottomLeft" state="frozen"/>
      <selection pane="bottomLeft" activeCell="A24" sqref="A24"/>
    </sheetView>
  </sheetViews>
  <sheetFormatPr defaultRowHeight="15" x14ac:dyDescent="0.25"/>
  <cols>
    <col min="1" max="1" width="8.8554687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57" t="s">
        <v>12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44613</v>
      </c>
      <c r="C3" s="43">
        <v>44614</v>
      </c>
      <c r="D3" s="43">
        <v>44615</v>
      </c>
      <c r="E3" s="43">
        <v>44616</v>
      </c>
      <c r="F3" s="43">
        <v>44617</v>
      </c>
      <c r="G3" s="43">
        <v>44618</v>
      </c>
      <c r="H3" s="44">
        <v>44619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0">TEXT(C3,"ddd")</f>
        <v>ter</v>
      </c>
      <c r="D4" s="14" t="str">
        <f t="shared" si="0"/>
        <v>qua</v>
      </c>
      <c r="E4" s="14" t="str">
        <f>TEXT(E3,"ddd")</f>
        <v>qui</v>
      </c>
      <c r="F4" s="14" t="str">
        <f t="shared" ref="F4" si="1">TEXT(F3,"ddd")</f>
        <v>sex</v>
      </c>
      <c r="G4" s="14" t="str">
        <f t="shared" ref="G4" si="2">TEXT(G3,"ddd")</f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3</v>
      </c>
      <c r="K5" s="4">
        <f>COUNTIF($B$5:$H$93,J5)</f>
        <v>3</v>
      </c>
      <c r="L5" s="5">
        <f>K5/$K$13</f>
        <v>0.1875</v>
      </c>
      <c r="M5" t="s">
        <v>19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1" si="3">COUNTIF($B$5:$H$93,J6)</f>
        <v>1</v>
      </c>
      <c r="L6" s="5">
        <f t="shared" ref="L6:L12" si="4">K6/$K$13</f>
        <v>6.25E-2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5</v>
      </c>
      <c r="L8" s="5">
        <f t="shared" si="4"/>
        <v>0.3125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5</v>
      </c>
      <c r="L9" s="5">
        <f t="shared" si="4"/>
        <v>0.3125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0</v>
      </c>
      <c r="L10" s="5">
        <f t="shared" si="4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0</v>
      </c>
      <c r="L11" s="5">
        <f t="shared" si="4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27</v>
      </c>
      <c r="K12" s="6">
        <f>COUNTIF($B$5:$H$93,J12)</f>
        <v>2</v>
      </c>
      <c r="L12" s="7">
        <f t="shared" si="4"/>
        <v>0.125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1" t="s">
        <v>1</v>
      </c>
      <c r="K13" s="1">
        <f>SUM(K5:K12)</f>
        <v>16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</row>
    <row r="15" spans="1:16" x14ac:dyDescent="0.25">
      <c r="A15" s="11" t="s">
        <v>30</v>
      </c>
      <c r="B15" s="16"/>
      <c r="C15" s="16"/>
      <c r="D15" s="16"/>
      <c r="E15" s="16"/>
      <c r="F15" s="16" t="s">
        <v>6</v>
      </c>
      <c r="G15" s="16"/>
      <c r="H15" s="16"/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 t="s">
        <v>7</v>
      </c>
      <c r="H18" s="16" t="s">
        <v>7</v>
      </c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 t="s">
        <v>6</v>
      </c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 t="s">
        <v>6</v>
      </c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 t="s">
        <v>4</v>
      </c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 t="s">
        <v>27</v>
      </c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 t="s">
        <v>6</v>
      </c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 t="s">
        <v>7</v>
      </c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 t="s">
        <v>3</v>
      </c>
      <c r="G56" s="16" t="s">
        <v>3</v>
      </c>
      <c r="H56" s="16" t="s">
        <v>3</v>
      </c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 t="s">
        <v>7</v>
      </c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 t="s">
        <v>6</v>
      </c>
      <c r="C59" s="16"/>
      <c r="D59" s="16"/>
      <c r="E59" s="16"/>
      <c r="F59" s="16"/>
      <c r="G59" s="16"/>
      <c r="H59" s="16" t="s">
        <v>27</v>
      </c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 t="s">
        <v>7</v>
      </c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phoneticPr fontId="3" type="noConversion"/>
  <conditionalFormatting sqref="A1:A1048576">
    <cfRule type="containsText" dxfId="2226" priority="41" operator="containsText" text="Pivô ">
      <formula>NOT(ISERROR(SEARCH("Pivô ",A1)))</formula>
    </cfRule>
  </conditionalFormatting>
  <conditionalFormatting sqref="B5:H93">
    <cfRule type="containsText" dxfId="2217" priority="9" operator="containsText" text="Cardã">
      <formula>NOT(ISERROR(SEARCH("Cardã",B5)))</formula>
    </cfRule>
    <cfRule type="containsText" dxfId="2216" priority="10" operator="containsText" text="Pneu">
      <formula>NOT(ISERROR(SEARCH("Pneu",B5)))</formula>
    </cfRule>
    <cfRule type="containsText" dxfId="2215" priority="11" operator="containsText" text="Vedação">
      <formula>NOT(ISERROR(SEARCH("Vedação",B5)))</formula>
    </cfRule>
    <cfRule type="containsText" dxfId="2214" priority="12" operator="containsText" text="Retentor">
      <formula>NOT(ISERROR(SEARCH("Retentor",B5)))</formula>
    </cfRule>
    <cfRule type="containsText" dxfId="2213" priority="13" operator="containsText" text="Motorredutor">
      <formula>NOT(ISERROR(SEARCH("Motorredutor",B5)))</formula>
    </cfRule>
    <cfRule type="containsText" dxfId="2212" priority="14" operator="containsText" text="Redutor">
      <formula>NOT(ISERROR(SEARCH("Redutor",B5)))</formula>
    </cfRule>
    <cfRule type="containsText" dxfId="2211" priority="15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4E533E46-E30B-4470-9C94-1FF978345C76}">
      <formula1>$J$5:$J$12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6DEF460-D4B0-4568-88CF-1F2418513800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2" operator="containsText" id="{F69FADEF-EFAA-4769-93AB-829FD4C963D2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3" operator="containsText" id="{F0B80968-5D03-40BD-BA5E-8D3B930A1118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4" operator="containsText" id="{94A8F38C-5BB4-445C-9BA2-781E06841086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5" operator="containsText" id="{F4BDB3D9-4B98-41D4-8F63-604B52E8A3D8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6" operator="containsText" id="{1604C3CD-303F-4346-B639-5325CBB6E0C5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7" operator="containsText" id="{ADEDCAF9-4D61-4FC8-9DFD-DFB4FE858CCD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8" operator="containsText" id="{F5599325-54D0-49BC-883E-27DCB51DAD7C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6" operator="containsText" id="{92B7DD0C-5F9B-4EA1-ACF8-E39AAED4415F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AA374E81-452F-48AC-9061-4BE25DDAFF2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8" operator="containsText" id="{774DA52F-1B25-4E43-95DB-5E32DE0CBF2D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0DA63C56-B21D-4368-A0FC-F5F1CD1CF5F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1" operator="containsText" id="{8B4ED8D1-444E-4F6C-B305-FC6F5EA771D5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6" operator="containsText" id="{9E306CCD-2F98-40FD-998D-D801D2808373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7" operator="containsText" id="{E49C1EEB-9E16-4320-BF23-1FA150F8046A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" operator="containsText" id="{935771A5-406A-447B-A371-CB865204DC9D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9" operator="containsText" id="{16D64CA5-1599-4934-9CB7-2F0B282E8296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0" operator="containsText" id="{74BE48DA-3CDA-474B-86B2-890DBCB25617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1" operator="containsText" id="{BED5AC0F-7323-4862-B086-64BE6B45D552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2" operator="containsText" id="{8006E419-B73B-4640-9538-ECDEC583B72D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1930-43FC-4B9A-969C-3534AFA4CD0A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A32" sqref="A32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57" t="s">
        <v>109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44620</v>
      </c>
      <c r="C3" s="43">
        <f>B3+1</f>
        <v>44621</v>
      </c>
      <c r="D3" s="43">
        <f t="shared" ref="D3:H3" si="0">C3+1</f>
        <v>44622</v>
      </c>
      <c r="E3" s="43">
        <f t="shared" si="0"/>
        <v>44623</v>
      </c>
      <c r="F3" s="43">
        <f t="shared" si="0"/>
        <v>44624</v>
      </c>
      <c r="G3" s="43">
        <f t="shared" si="0"/>
        <v>44625</v>
      </c>
      <c r="H3" s="43">
        <f t="shared" si="0"/>
        <v>44626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3</v>
      </c>
      <c r="K5" s="4">
        <f>COUNTIF($B$5:$H$93,J5)</f>
        <v>1</v>
      </c>
      <c r="L5" s="5">
        <f>K5/$K$13</f>
        <v>7.1428571428571425E-2</v>
      </c>
      <c r="M5" t="s">
        <v>110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1" si="3">COUNTIF($B$5:$H$93,J6)</f>
        <v>2</v>
      </c>
      <c r="L6" s="5">
        <f t="shared" ref="L6:L12" si="4">K6/$K$13</f>
        <v>0.14285714285714285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3</v>
      </c>
      <c r="L7" s="5">
        <f t="shared" si="4"/>
        <v>0.21428571428571427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2</v>
      </c>
      <c r="L8" s="5">
        <f t="shared" si="4"/>
        <v>0.14285714285714285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1</v>
      </c>
      <c r="L9" s="5">
        <f t="shared" si="4"/>
        <v>7.1428571428571425E-2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5</v>
      </c>
      <c r="L10" s="5">
        <f t="shared" si="4"/>
        <v>0.35714285714285715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0</v>
      </c>
      <c r="L11" s="5">
        <f t="shared" si="4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27</v>
      </c>
      <c r="K12" s="6">
        <f>COUNTIF($B$5:$H$93,J12)</f>
        <v>0</v>
      </c>
      <c r="L12" s="7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1" t="s">
        <v>1</v>
      </c>
      <c r="K13" s="1">
        <f>SUM(K5:K12)</f>
        <v>14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 t="s">
        <v>6</v>
      </c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 t="s">
        <v>6</v>
      </c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 t="s">
        <v>8</v>
      </c>
      <c r="C34" s="16" t="s">
        <v>8</v>
      </c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 t="s">
        <v>8</v>
      </c>
      <c r="H37" s="16" t="s">
        <v>8</v>
      </c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 t="s">
        <v>4</v>
      </c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 t="s">
        <v>4</v>
      </c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 t="s">
        <v>7</v>
      </c>
      <c r="H55" s="16"/>
    </row>
    <row r="56" spans="1:8" x14ac:dyDescent="0.25">
      <c r="A56" s="11" t="s">
        <v>71</v>
      </c>
      <c r="B56" s="16" t="s">
        <v>3</v>
      </c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 t="s">
        <v>5</v>
      </c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 t="s">
        <v>5</v>
      </c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 t="s">
        <v>5</v>
      </c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 t="s">
        <v>8</v>
      </c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2198" priority="33" operator="containsText" text="Pivô ">
      <formula>NOT(ISERROR(SEARCH("Pivô ",A1)))</formula>
    </cfRule>
  </conditionalFormatting>
  <conditionalFormatting sqref="B5:H93">
    <cfRule type="containsText" dxfId="2189" priority="9" operator="containsText" text="Cardã">
      <formula>NOT(ISERROR(SEARCH("Cardã",B5)))</formula>
    </cfRule>
    <cfRule type="containsText" dxfId="2188" priority="10" operator="containsText" text="Pneu">
      <formula>NOT(ISERROR(SEARCH("Pneu",B5)))</formula>
    </cfRule>
    <cfRule type="containsText" dxfId="2187" priority="11" operator="containsText" text="Vedação">
      <formula>NOT(ISERROR(SEARCH("Vedação",B5)))</formula>
    </cfRule>
    <cfRule type="containsText" dxfId="2186" priority="12" operator="containsText" text="Retentor">
      <formula>NOT(ISERROR(SEARCH("Retentor",B5)))</formula>
    </cfRule>
    <cfRule type="containsText" dxfId="2185" priority="13" operator="containsText" text="Motorredutor">
      <formula>NOT(ISERROR(SEARCH("Motorredutor",B5)))</formula>
    </cfRule>
    <cfRule type="containsText" dxfId="2184" priority="14" operator="containsText" text="Redutor">
      <formula>NOT(ISERROR(SEARCH("Redutor",B5)))</formula>
    </cfRule>
    <cfRule type="containsText" dxfId="2183" priority="15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2CF5DB86-23C0-42F6-A2A1-471027A81E72}">
      <formula1>$J$5:$J$12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2077FC6-4A92-42AC-BAA6-1CA127C22A3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2" operator="containsText" id="{185D2692-0AEA-4BAB-BCBB-D6AFDB29705B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3" operator="containsText" id="{0E84B1AD-189F-4DDF-BDD6-A4B8210B5692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4" operator="containsText" id="{84CB3DF3-8CDD-4490-94BD-2754DB018469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5" operator="containsText" id="{9E232970-161C-4F41-B02F-60B1597D8F51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6" operator="containsText" id="{6E638E06-6EBE-417E-8F4F-60ECB5941CCD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7" operator="containsText" id="{E6A4F49D-C935-4B92-8412-7BB237E8A755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8" operator="containsText" id="{73455A03-D095-460D-9DB6-30BF3D447A91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6" operator="containsText" id="{3DEE02CC-FF18-4117-B4BC-DBBF4B55FFB5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2D4F9586-03DD-4992-A50A-B6A6D8711AB1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8" operator="containsText" id="{252A0295-9ECC-4B58-8103-ECF89E4ED86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356F5DC9-CF21-4E06-8643-E2FDED401FAB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1" operator="containsText" id="{06347012-AC0C-4125-B619-65A47F4E3D89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6" operator="containsText" id="{6776933F-8446-421E-ACB0-C6D8108139BD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7" operator="containsText" id="{C316E495-3EC0-4C03-A5A2-D8D7F315B9B6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" operator="containsText" id="{49B861DD-F9F8-40F3-B230-FC722D40B3A6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9" operator="containsText" id="{22CA97F8-F9B7-440B-8420-BF6377134A61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0" operator="containsText" id="{18B2D7FF-624A-46D5-9D70-53925A5E8684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1" operator="containsText" id="{3C273D6D-0EC1-4230-B96E-BBCA14C2AB44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2" operator="containsText" id="{62907824-F60D-4C4E-B00A-D79524D040DA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8E85-FAF5-4038-9BCA-8731ABA6D921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57" t="s">
        <v>111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44627</v>
      </c>
      <c r="C3" s="43">
        <f>B3+1</f>
        <v>44628</v>
      </c>
      <c r="D3" s="43">
        <f t="shared" ref="D3:H3" si="0">C3+1</f>
        <v>44629</v>
      </c>
      <c r="E3" s="43">
        <f t="shared" si="0"/>
        <v>44630</v>
      </c>
      <c r="F3" s="43">
        <f t="shared" si="0"/>
        <v>44631</v>
      </c>
      <c r="G3" s="43">
        <f t="shared" si="0"/>
        <v>44632</v>
      </c>
      <c r="H3" s="43">
        <f t="shared" si="0"/>
        <v>44633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5">
        <f>K5/$K$13</f>
        <v>0</v>
      </c>
      <c r="M5" t="s">
        <v>113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>COUNTIF($B$5:$H$93,J6)</f>
        <v>2</v>
      </c>
      <c r="L6" s="5">
        <f t="shared" ref="L6:L12" si="3">K6/$K$13</f>
        <v>0.33333333333333331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ref="K7:K11" si="4">COUNTIF($B$5:$H$93,J7)</f>
        <v>0</v>
      </c>
      <c r="L7" s="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0</v>
      </c>
      <c r="L8" s="5">
        <f t="shared" si="3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1</v>
      </c>
      <c r="L9" s="5">
        <f t="shared" si="3"/>
        <v>0.16666666666666666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3</v>
      </c>
      <c r="L10" s="5">
        <f t="shared" si="3"/>
        <v>0.5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6">
        <f>COUNTIF($B$5:$H$93,J12)</f>
        <v>0</v>
      </c>
      <c r="L12" s="7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1" t="s">
        <v>1</v>
      </c>
      <c r="K13" s="1">
        <f>SUM(K5:K12)</f>
        <v>6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 t="s">
        <v>8</v>
      </c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 t="s">
        <v>8</v>
      </c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 t="s">
        <v>7</v>
      </c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 t="s">
        <v>4</v>
      </c>
      <c r="D71" s="16" t="s">
        <v>4</v>
      </c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 t="s">
        <v>8</v>
      </c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2170" priority="33" operator="containsText" text="Pivô ">
      <formula>NOT(ISERROR(SEARCH("Pivô ",A1)))</formula>
    </cfRule>
  </conditionalFormatting>
  <conditionalFormatting sqref="B5:H93">
    <cfRule type="containsText" dxfId="2161" priority="9" operator="containsText" text="Cardã">
      <formula>NOT(ISERROR(SEARCH("Cardã",B5)))</formula>
    </cfRule>
    <cfRule type="containsText" dxfId="2160" priority="10" operator="containsText" text="Pneu">
      <formula>NOT(ISERROR(SEARCH("Pneu",B5)))</formula>
    </cfRule>
    <cfRule type="containsText" dxfId="2159" priority="11" operator="containsText" text="Vedação">
      <formula>NOT(ISERROR(SEARCH("Vedação",B5)))</formula>
    </cfRule>
    <cfRule type="containsText" dxfId="2158" priority="12" operator="containsText" text="Retentor">
      <formula>NOT(ISERROR(SEARCH("Retentor",B5)))</formula>
    </cfRule>
    <cfRule type="containsText" dxfId="2157" priority="13" operator="containsText" text="Motorredutor">
      <formula>NOT(ISERROR(SEARCH("Motorredutor",B5)))</formula>
    </cfRule>
    <cfRule type="containsText" dxfId="2156" priority="14" operator="containsText" text="Redutor">
      <formula>NOT(ISERROR(SEARCH("Redutor",B5)))</formula>
    </cfRule>
    <cfRule type="containsText" dxfId="2155" priority="15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F5A7948E-9CF7-4C07-8A7C-ED5683509A28}">
      <formula1>$J$5:$J$12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6EBDCCB-AFDB-493E-885C-7628F2004E77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2" operator="containsText" id="{B44E4D20-20E4-4691-8C22-9E8053C2A5A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3" operator="containsText" id="{B665BF94-0C3C-4BC9-A067-466A9A82C71D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4" operator="containsText" id="{DF1226F7-2C83-4808-B601-75DFC4B0FA56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5" operator="containsText" id="{AA9BCCDF-FDDE-4811-9D01-86EA6340E9FA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6" operator="containsText" id="{CAD2C384-6DC3-4D62-882D-1169914D89F7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7" operator="containsText" id="{93394046-09BF-43A2-A4F2-95C4C3F60C42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8" operator="containsText" id="{0080DB50-6793-48EB-A509-592B367418E6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6" operator="containsText" id="{3BA70609-D357-4BE4-8701-F486476EFCF4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D813006E-C6C1-45B7-B789-5EAD79ED12D6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8" operator="containsText" id="{29217DF4-B6A7-4C07-9393-EC6177A28E18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8A4BCEE9-8BA9-4AAC-9A22-2241D1EA42B4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1" operator="containsText" id="{1424471B-D9E0-4150-8FB6-71D67123296F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6" operator="containsText" id="{66C7FEFC-B16D-4199-A43F-A651C1745DB2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7" operator="containsText" id="{5941D587-C5EB-4985-9BF1-FD6517129812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" operator="containsText" id="{B9D5712D-EA10-4627-B80C-B313EA7D5A50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9" operator="containsText" id="{FFF76C27-8FEE-4937-AEB1-23D6D842C9D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0" operator="containsText" id="{744A7073-0202-4704-9E5C-D2DC16DE8412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1" operator="containsText" id="{0B65088C-270F-405F-8F97-06423F688323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2" operator="containsText" id="{6D10A851-16EC-4DCF-99AB-2D29151B5DFC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9A8CF-DD91-41FC-804B-D253C8F1B8E8}">
  <sheetPr>
    <tabColor theme="7"/>
    <pageSetUpPr fitToPage="1"/>
  </sheetPr>
  <dimension ref="A1:P93"/>
  <sheetViews>
    <sheetView showGridLines="0" zoomScaleNormal="100" workbookViewId="0">
      <pane ySplit="4" topLeftCell="A8" activePane="bottomLeft" state="frozen"/>
      <selection pane="bottomLeft" activeCell="K4" sqref="K4:M4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57" t="s">
        <v>115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44634</v>
      </c>
      <c r="C3" s="43">
        <f>B3+1</f>
        <v>44635</v>
      </c>
      <c r="D3" s="43">
        <f t="shared" ref="D3:H3" si="0">C3+1</f>
        <v>44636</v>
      </c>
      <c r="E3" s="43">
        <f t="shared" si="0"/>
        <v>44637</v>
      </c>
      <c r="F3" s="43">
        <f t="shared" si="0"/>
        <v>44638</v>
      </c>
      <c r="G3" s="43">
        <f t="shared" si="0"/>
        <v>44639</v>
      </c>
      <c r="H3" s="43">
        <f t="shared" si="0"/>
        <v>44640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5">
        <f>K5/$K$13</f>
        <v>0</v>
      </c>
      <c r="M5" t="s">
        <v>116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>COUNTIF($B$5:$H$93,J6)</f>
        <v>2</v>
      </c>
      <c r="L6" s="5">
        <f t="shared" ref="L6:L12" si="3">K6/$K$13</f>
        <v>0.2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ref="K7:K11" si="4">COUNTIF($B$5:$H$93,J7)</f>
        <v>0</v>
      </c>
      <c r="L7" s="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3</v>
      </c>
      <c r="L8" s="5">
        <f t="shared" si="3"/>
        <v>0.3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5">
        <f t="shared" si="3"/>
        <v>0</v>
      </c>
      <c r="P9" s="2"/>
    </row>
    <row r="10" spans="1:16" x14ac:dyDescent="0.25">
      <c r="A10" s="11" t="s">
        <v>24</v>
      </c>
      <c r="B10" s="16"/>
      <c r="C10" s="16" t="s">
        <v>9</v>
      </c>
      <c r="D10" s="16" t="s">
        <v>6</v>
      </c>
      <c r="E10" s="16"/>
      <c r="F10" s="16"/>
      <c r="G10" s="16"/>
      <c r="H10" s="16"/>
      <c r="J10" s="22" t="s">
        <v>8</v>
      </c>
      <c r="K10" s="4">
        <f t="shared" si="4"/>
        <v>1</v>
      </c>
      <c r="L10" s="5">
        <f t="shared" si="3"/>
        <v>0.1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1</v>
      </c>
      <c r="L11" s="5">
        <f t="shared" si="3"/>
        <v>0.1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6">
        <f>COUNTIF($B$5:$H$93,J12)</f>
        <v>3</v>
      </c>
      <c r="L12" s="7">
        <f t="shared" si="3"/>
        <v>0.3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1" t="s">
        <v>1</v>
      </c>
      <c r="K13" s="1">
        <f>SUM(K5:K12)</f>
        <v>10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 t="s">
        <v>114</v>
      </c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 t="s">
        <v>8</v>
      </c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 t="s">
        <v>114</v>
      </c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 t="s">
        <v>4</v>
      </c>
      <c r="C39" s="16" t="s">
        <v>4</v>
      </c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 t="s">
        <v>114</v>
      </c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 t="s">
        <v>6</v>
      </c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 t="s">
        <v>6</v>
      </c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2142" priority="33" operator="containsText" text="Pivô ">
      <formula>NOT(ISERROR(SEARCH("Pivô ",A1)))</formula>
    </cfRule>
  </conditionalFormatting>
  <conditionalFormatting sqref="B5:H93">
    <cfRule type="containsText" dxfId="2133" priority="9" operator="containsText" text="Cardã">
      <formula>NOT(ISERROR(SEARCH("Cardã",B5)))</formula>
    </cfRule>
    <cfRule type="containsText" dxfId="2132" priority="10" operator="containsText" text="Pneu">
      <formula>NOT(ISERROR(SEARCH("Pneu",B5)))</formula>
    </cfRule>
    <cfRule type="containsText" dxfId="2131" priority="11" operator="containsText" text="Vedação">
      <formula>NOT(ISERROR(SEARCH("Vedação",B5)))</formula>
    </cfRule>
    <cfRule type="containsText" dxfId="2130" priority="12" operator="containsText" text="Retentor">
      <formula>NOT(ISERROR(SEARCH("Retentor",B5)))</formula>
    </cfRule>
    <cfRule type="containsText" dxfId="2129" priority="13" operator="containsText" text="Motorredutor">
      <formula>NOT(ISERROR(SEARCH("Motorredutor",B5)))</formula>
    </cfRule>
    <cfRule type="containsText" dxfId="2128" priority="14" operator="containsText" text="Redutor">
      <formula>NOT(ISERROR(SEARCH("Redutor",B5)))</formula>
    </cfRule>
    <cfRule type="containsText" dxfId="2127" priority="15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A6EB8E34-3F6B-4010-8E82-C84B223CAF40}">
      <formula1>$J$5:$J$12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F1ED65F-1E5E-435E-BCFC-0C454AF3F55D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2" operator="containsText" id="{3BB7C48B-1F32-42E0-91C8-65929AFE5E1A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3" operator="containsText" id="{ACD83D96-91A7-4A21-9D9E-20FB5FD9DDAE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4" operator="containsText" id="{83004898-5043-4EED-87ED-FD6C17482596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5" operator="containsText" id="{F612ABBE-6538-44B6-BEDE-DE9B0DC34430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6" operator="containsText" id="{2CA3E39A-EE3F-4ED2-8DCC-F4ECC2246AE9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7" operator="containsText" id="{77945BBA-A1C1-450C-ABBE-A0E3BD8C7A27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8" operator="containsText" id="{B537DBB4-B856-4E8D-9F68-1F1818F93DAA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6" operator="containsText" id="{8140063C-A724-4CD4-8211-31011351BD86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B6518EFE-425F-4D00-9869-5C8D0A928242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8" operator="containsText" id="{C82BDFAF-9AC9-42ED-BE77-E0316ECD30DE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EAC06411-6B26-4286-9A42-E62A294C403A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1" operator="containsText" id="{C7CEE6D9-2C96-4A56-A3B3-C5A6CFD50CF8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6" operator="containsText" id="{9292F79B-0EAD-4146-9A72-D41DD00263BB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7" operator="containsText" id="{65546EA2-7008-4829-8787-0B6CA50A880B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" operator="containsText" id="{02DD5CA0-F65F-4097-ADE7-588D85A2EC5D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9" operator="containsText" id="{2D7B8FB9-44A9-4742-9297-2963386FAB67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0" operator="containsText" id="{4CBF6FCA-4017-4C02-9211-5FC182C88091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1" operator="containsText" id="{5F18F1D8-C5A9-4447-ADE8-A4DB523B6984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2" operator="containsText" id="{F26283C9-39E4-4D05-BB4F-0AF8B1CEB1FC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AAF46-CFC3-40A8-BFCC-58A428B49C51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57" t="s">
        <v>117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44641</v>
      </c>
      <c r="C3" s="43">
        <f>B3+1</f>
        <v>44642</v>
      </c>
      <c r="D3" s="43">
        <f t="shared" ref="D3:H3" si="0">C3+1</f>
        <v>44643</v>
      </c>
      <c r="E3" s="43">
        <f t="shared" si="0"/>
        <v>44644</v>
      </c>
      <c r="F3" s="43">
        <f t="shared" si="0"/>
        <v>44645</v>
      </c>
      <c r="G3" s="43">
        <f t="shared" si="0"/>
        <v>44646</v>
      </c>
      <c r="H3" s="43">
        <f t="shared" si="0"/>
        <v>44647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5">
        <f>K5/$K$13</f>
        <v>0</v>
      </c>
      <c r="M5" t="s">
        <v>118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>COUNTIF($B$5:$H$93,J6)</f>
        <v>0</v>
      </c>
      <c r="L6" s="5">
        <f t="shared" ref="L6:L12" si="3">K6/$K$13</f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ref="K7:K11" si="4">COUNTIF($B$5:$H$93,J7)</f>
        <v>0</v>
      </c>
      <c r="L7" s="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1</v>
      </c>
      <c r="L8" s="5">
        <f t="shared" si="3"/>
        <v>0.14285714285714285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2</v>
      </c>
      <c r="L9" s="5">
        <f t="shared" si="3"/>
        <v>0.2857142857142857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6">
        <f>COUNTIF($B$5:$H$93,J12)</f>
        <v>4</v>
      </c>
      <c r="L12" s="7">
        <f t="shared" si="3"/>
        <v>0.5714285714285714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1" t="s">
        <v>1</v>
      </c>
      <c r="K13" s="1">
        <f>SUM(K5:K12)</f>
        <v>7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 t="s">
        <v>114</v>
      </c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 t="s">
        <v>114</v>
      </c>
      <c r="E25" s="16"/>
      <c r="F25" s="16"/>
      <c r="G25" s="16" t="s">
        <v>114</v>
      </c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 t="s">
        <v>7</v>
      </c>
      <c r="D31" s="16"/>
      <c r="E31" s="16"/>
      <c r="F31" s="16"/>
      <c r="G31" s="16"/>
      <c r="H31" s="16"/>
    </row>
    <row r="32" spans="1:10" x14ac:dyDescent="0.25">
      <c r="A32" s="11" t="s">
        <v>47</v>
      </c>
      <c r="B32" s="16" t="s">
        <v>7</v>
      </c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 t="s">
        <v>6</v>
      </c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 t="s">
        <v>114</v>
      </c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2114" priority="33" operator="containsText" text="Pivô ">
      <formula>NOT(ISERROR(SEARCH("Pivô ",A1)))</formula>
    </cfRule>
  </conditionalFormatting>
  <conditionalFormatting sqref="B5:H93">
    <cfRule type="containsText" dxfId="2105" priority="9" operator="containsText" text="Cardã">
      <formula>NOT(ISERROR(SEARCH("Cardã",B5)))</formula>
    </cfRule>
    <cfRule type="containsText" dxfId="2104" priority="10" operator="containsText" text="Pneu">
      <formula>NOT(ISERROR(SEARCH("Pneu",B5)))</formula>
    </cfRule>
    <cfRule type="containsText" dxfId="2103" priority="11" operator="containsText" text="Vedação">
      <formula>NOT(ISERROR(SEARCH("Vedação",B5)))</formula>
    </cfRule>
    <cfRule type="containsText" dxfId="2102" priority="12" operator="containsText" text="Retentor">
      <formula>NOT(ISERROR(SEARCH("Retentor",B5)))</formula>
    </cfRule>
    <cfRule type="containsText" dxfId="2101" priority="13" operator="containsText" text="Motorredutor">
      <formula>NOT(ISERROR(SEARCH("Motorredutor",B5)))</formula>
    </cfRule>
    <cfRule type="containsText" dxfId="2100" priority="14" operator="containsText" text="Redutor">
      <formula>NOT(ISERROR(SEARCH("Redutor",B5)))</formula>
    </cfRule>
    <cfRule type="containsText" dxfId="2099" priority="15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5147DB5C-EB88-4AA3-9081-8D69A408FBA3}">
      <formula1>$J$5:$J$12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2C056E5-437C-4265-884A-9EC391613CA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2" operator="containsText" id="{BF319B11-FB8D-4460-A49F-ED1BB7E6892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3" operator="containsText" id="{7683278C-65AC-40E1-82FF-37EF984722F4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4" operator="containsText" id="{013DAABF-5886-4E79-9E6C-699CAD783846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5" operator="containsText" id="{75627D63-72E6-4096-8C71-C875EDADEC14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6" operator="containsText" id="{3CF69BCC-261C-451A-A18D-9B555B2539CE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7" operator="containsText" id="{9A0E6178-D1B5-431C-A872-311AA0FCA267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8" operator="containsText" id="{4FD7BD6A-F694-4BD7-93DD-658FC18C5E4D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6" operator="containsText" id="{0A862647-18D3-4770-A6E7-B503FEA43CE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C5ABB5CC-4E3A-4D21-9234-A1861F9BF7A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8" operator="containsText" id="{64FE405E-F0E5-495E-AEAB-92241051A74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E43D24AC-4ECE-40B5-A4E7-9FC50457A522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1" operator="containsText" id="{21644C82-089B-40C2-A437-04452C9B57C6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6" operator="containsText" id="{7B14B700-8181-48EC-AABD-CA0E40D4AB0E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7" operator="containsText" id="{1DEA4599-DACB-4267-B4BE-AFB3463E9441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" operator="containsText" id="{E017AD44-A58C-4C05-A938-A2C2A6056C9C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9" operator="containsText" id="{F3F31C7C-33FE-46C9-A38A-05E5AC961536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0" operator="containsText" id="{23C97761-FD1E-41CA-B428-49D148883C83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1" operator="containsText" id="{B76A2742-6B1D-405F-A07F-D6396FCF94E2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2" operator="containsText" id="{EE1A8569-FC22-40AC-AF3A-19ECFA3FB6CC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60E8-C68F-4081-83A2-CE069B610EF3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57" t="s">
        <v>119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44648</v>
      </c>
      <c r="C3" s="43">
        <f>B3+1</f>
        <v>44649</v>
      </c>
      <c r="D3" s="43">
        <f t="shared" ref="D3:H3" si="0">C3+1</f>
        <v>44650</v>
      </c>
      <c r="E3" s="43">
        <f t="shared" si="0"/>
        <v>44651</v>
      </c>
      <c r="F3" s="43">
        <f t="shared" si="0"/>
        <v>44652</v>
      </c>
      <c r="G3" s="43">
        <f t="shared" si="0"/>
        <v>44653</v>
      </c>
      <c r="H3" s="43">
        <f t="shared" si="0"/>
        <v>44654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1</v>
      </c>
      <c r="L5" s="5">
        <f>K5/$K$13</f>
        <v>9.0909090909090912E-2</v>
      </c>
      <c r="M5" t="s">
        <v>120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>COUNTIF($B$5:$H$93,J6)</f>
        <v>0</v>
      </c>
      <c r="L6" s="5">
        <f t="shared" ref="L6:L12" si="3">K6/$K$13</f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ref="K7:K11" si="4">COUNTIF($B$5:$H$93,J7)</f>
        <v>4</v>
      </c>
      <c r="L7" s="5">
        <f t="shared" si="3"/>
        <v>0.36363636363636365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0</v>
      </c>
      <c r="L8" s="5">
        <f t="shared" si="3"/>
        <v>0</v>
      </c>
    </row>
    <row r="9" spans="1:16" x14ac:dyDescent="0.25">
      <c r="A9" s="11" t="s">
        <v>23</v>
      </c>
      <c r="B9" s="16" t="s">
        <v>9</v>
      </c>
      <c r="C9" s="16"/>
      <c r="D9" s="16"/>
      <c r="E9" s="16"/>
      <c r="F9" s="16"/>
      <c r="G9" s="16"/>
      <c r="H9" s="16"/>
      <c r="J9" s="21" t="s">
        <v>7</v>
      </c>
      <c r="K9" s="4">
        <f t="shared" si="4"/>
        <v>1</v>
      </c>
      <c r="L9" s="5">
        <f t="shared" si="3"/>
        <v>9.0909090909090912E-2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 t="s">
        <v>7</v>
      </c>
      <c r="G10" s="16" t="s">
        <v>9</v>
      </c>
      <c r="H10" s="16"/>
      <c r="J10" s="22" t="s">
        <v>8</v>
      </c>
      <c r="K10" s="4">
        <f t="shared" si="4"/>
        <v>1</v>
      </c>
      <c r="L10" s="5">
        <f t="shared" si="3"/>
        <v>9.0909090909090912E-2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2</v>
      </c>
      <c r="L11" s="5">
        <f t="shared" si="3"/>
        <v>0.18181818181818182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6">
        <f>COUNTIF($B$5:$H$93,J12)</f>
        <v>2</v>
      </c>
      <c r="L12" s="7">
        <f t="shared" si="3"/>
        <v>0.18181818181818182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1" t="s">
        <v>1</v>
      </c>
      <c r="K13" s="1">
        <f>SUM(K5:K12)</f>
        <v>11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 t="s">
        <v>8</v>
      </c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 t="s">
        <v>114</v>
      </c>
      <c r="C25" s="16"/>
      <c r="D25" s="16"/>
      <c r="E25" s="16" t="s">
        <v>114</v>
      </c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 t="s">
        <v>5</v>
      </c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 t="s">
        <v>5</v>
      </c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 t="s">
        <v>5</v>
      </c>
      <c r="H58" s="16"/>
    </row>
    <row r="59" spans="1:8" x14ac:dyDescent="0.25">
      <c r="A59" s="11" t="s">
        <v>74</v>
      </c>
      <c r="B59" s="16" t="s">
        <v>112</v>
      </c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 t="s">
        <v>5</v>
      </c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2086" priority="33" operator="containsText" text="Pivô ">
      <formula>NOT(ISERROR(SEARCH("Pivô ",A1)))</formula>
    </cfRule>
  </conditionalFormatting>
  <conditionalFormatting sqref="B5:H93">
    <cfRule type="containsText" dxfId="2077" priority="9" operator="containsText" text="Cardã">
      <formula>NOT(ISERROR(SEARCH("Cardã",B5)))</formula>
    </cfRule>
    <cfRule type="containsText" dxfId="2076" priority="10" operator="containsText" text="Pneu">
      <formula>NOT(ISERROR(SEARCH("Pneu",B5)))</formula>
    </cfRule>
    <cfRule type="containsText" dxfId="2075" priority="11" operator="containsText" text="Vedação">
      <formula>NOT(ISERROR(SEARCH("Vedação",B5)))</formula>
    </cfRule>
    <cfRule type="containsText" dxfId="2074" priority="12" operator="containsText" text="Retentor">
      <formula>NOT(ISERROR(SEARCH("Retentor",B5)))</formula>
    </cfRule>
    <cfRule type="containsText" dxfId="2073" priority="13" operator="containsText" text="Motorredutor">
      <formula>NOT(ISERROR(SEARCH("Motorredutor",B5)))</formula>
    </cfRule>
    <cfRule type="containsText" dxfId="2072" priority="14" operator="containsText" text="Redutor">
      <formula>NOT(ISERROR(SEARCH("Redutor",B5)))</formula>
    </cfRule>
    <cfRule type="containsText" dxfId="2071" priority="15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5CCEEF4B-A5E7-4583-A901-8AEF8C2094EF}">
      <formula1>$J$5:$J$12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FA06703-90D3-464B-B6B0-369FCAA511D5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2" operator="containsText" id="{34ACA5B3-0092-4DD7-B1D7-0E6D26D45422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3" operator="containsText" id="{467E4EAE-A414-4575-94E8-218E1BF02694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4" operator="containsText" id="{17029AAB-B025-4E45-A44A-A0C388DC09BF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5" operator="containsText" id="{3966532E-1145-4002-9E4E-696320790011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6" operator="containsText" id="{5DCB9124-CCE7-44E4-9A9A-0E91F3AC7F6D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7" operator="containsText" id="{CB7083D4-7F13-45D4-966E-36B12E218BA1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8" operator="containsText" id="{CC751BD8-F0C3-4B32-AA80-6712DE2D4D04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6" operator="containsText" id="{5262A7DA-1EEA-402F-B9BC-8533BE273182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AE6E85C3-8B7C-4E54-BBC6-25B67EFF30A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8" operator="containsText" id="{66F9423E-7117-4BCD-A12A-6D0810556D9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B545365E-517D-42C6-8619-B3D00396B46D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1" operator="containsText" id="{33CBA677-89C8-4C47-823C-0C80395EDE93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6" operator="containsText" id="{C6B421E1-FFAB-4D33-ABF3-83841C5614A8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7" operator="containsText" id="{C7DF53AD-CF73-403B-BE40-D327D90ADE49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" operator="containsText" id="{9E8D0B3F-D90C-4348-B184-5BFCAEA47FC6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9" operator="containsText" id="{D6C4A28E-B918-410A-962C-BB4C9E7DBBE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0" operator="containsText" id="{13014595-C241-4DB2-A07E-D98C42E0BF60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1" operator="containsText" id="{00F25084-3AFF-45EB-BA30-93086E9D460F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2" operator="containsText" id="{DCB0DDC3-521C-450A-8171-D796F59FC23B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4FCD-38C5-467D-BA6B-0889302D9821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19" sqref="K19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57" t="s">
        <v>121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44655</v>
      </c>
      <c r="C3" s="43">
        <f>B3+1</f>
        <v>44656</v>
      </c>
      <c r="D3" s="43">
        <f t="shared" ref="D3:H3" si="0">C3+1</f>
        <v>44657</v>
      </c>
      <c r="E3" s="43">
        <f t="shared" si="0"/>
        <v>44658</v>
      </c>
      <c r="F3" s="43">
        <f t="shared" si="0"/>
        <v>44659</v>
      </c>
      <c r="G3" s="43">
        <f t="shared" si="0"/>
        <v>44660</v>
      </c>
      <c r="H3" s="43">
        <f t="shared" si="0"/>
        <v>44661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5">
        <f>K5/$K$13</f>
        <v>0</v>
      </c>
      <c r="M5" t="s">
        <v>122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>COUNTIF($B$5:$H$93,J6)</f>
        <v>0</v>
      </c>
      <c r="L6" s="5">
        <f t="shared" ref="L6:L12" si="3">K6/$K$13</f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ref="K7:K11" si="4">COUNTIF($B$5:$H$93,J7)</f>
        <v>0</v>
      </c>
      <c r="L7" s="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1</v>
      </c>
      <c r="L8" s="5">
        <f t="shared" si="3"/>
        <v>0.16666666666666666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2</v>
      </c>
      <c r="L9" s="5">
        <f t="shared" si="3"/>
        <v>0.33333333333333331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6">
        <f>COUNTIF($B$5:$H$93,J12)</f>
        <v>3</v>
      </c>
      <c r="L12" s="7">
        <f t="shared" si="3"/>
        <v>0.5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1" t="s">
        <v>1</v>
      </c>
      <c r="K13" s="1">
        <f>SUM(K5:K12)</f>
        <v>6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</row>
    <row r="15" spans="1:16" x14ac:dyDescent="0.25">
      <c r="A15" s="11" t="s">
        <v>30</v>
      </c>
      <c r="B15" s="16"/>
      <c r="C15" s="16" t="s">
        <v>7</v>
      </c>
      <c r="D15" s="16"/>
      <c r="E15" s="16"/>
      <c r="F15" s="16"/>
      <c r="G15" s="16"/>
      <c r="H15" s="16"/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 t="s">
        <v>7</v>
      </c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 t="s">
        <v>114</v>
      </c>
      <c r="C25" s="16"/>
      <c r="D25" s="16"/>
      <c r="E25" s="16"/>
      <c r="F25" s="16" t="s">
        <v>114</v>
      </c>
      <c r="G25" s="16"/>
      <c r="H25" s="16" t="s">
        <v>114</v>
      </c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 t="s">
        <v>6</v>
      </c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2058" priority="33" operator="containsText" text="Pivô ">
      <formula>NOT(ISERROR(SEARCH("Pivô ",A1)))</formula>
    </cfRule>
  </conditionalFormatting>
  <conditionalFormatting sqref="B5:H93">
    <cfRule type="containsText" dxfId="2049" priority="9" operator="containsText" text="Cardã">
      <formula>NOT(ISERROR(SEARCH("Cardã",B5)))</formula>
    </cfRule>
    <cfRule type="containsText" dxfId="2048" priority="10" operator="containsText" text="Pneu">
      <formula>NOT(ISERROR(SEARCH("Pneu",B5)))</formula>
    </cfRule>
    <cfRule type="containsText" dxfId="2047" priority="11" operator="containsText" text="Vedação">
      <formula>NOT(ISERROR(SEARCH("Vedação",B5)))</formula>
    </cfRule>
    <cfRule type="containsText" dxfId="2046" priority="12" operator="containsText" text="Retentor">
      <formula>NOT(ISERROR(SEARCH("Retentor",B5)))</formula>
    </cfRule>
    <cfRule type="containsText" dxfId="2045" priority="13" operator="containsText" text="Motorredutor">
      <formula>NOT(ISERROR(SEARCH("Motorredutor",B5)))</formula>
    </cfRule>
    <cfRule type="containsText" dxfId="2044" priority="14" operator="containsText" text="Redutor">
      <formula>NOT(ISERROR(SEARCH("Redutor",B5)))</formula>
    </cfRule>
    <cfRule type="containsText" dxfId="2043" priority="15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8387B166-B808-466E-A39E-8C691BE6DE42}">
      <formula1>$J$5:$J$12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448C0C5-9206-4EF3-9E3D-205AA096FAF1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2" operator="containsText" id="{EA6E23E0-E186-4713-B1B9-EB1121482BE0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3" operator="containsText" id="{628B1B99-9EA2-42CA-A96D-8FC4B9C01FC7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4" operator="containsText" id="{8D1BAC62-4D3C-4F54-82C5-432AE5BA756B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5" operator="containsText" id="{3BA2F367-FA96-4E8F-9BA0-DDB6CB4A145E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6" operator="containsText" id="{6F917B66-5F27-485C-9BF4-142E4B779B5D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7" operator="containsText" id="{B6CB9EE6-5DB4-46B0-A96D-877CF5D31ECD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8" operator="containsText" id="{C86ADF09-C973-420A-8A75-C6E971257765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6" operator="containsText" id="{7CCE91D4-5B1A-44E5-854F-CF6823E3B97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6874ED34-CCC1-4886-9108-9BD4F4417B15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8" operator="containsText" id="{FE956B37-38D2-463B-8E8F-E6EEB80A0333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03E96263-9346-4536-828D-B1C61AB17C2C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1" operator="containsText" id="{42447FB0-5E71-43FB-9CFB-7EEDCE8585CB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6" operator="containsText" id="{3B6248CD-81B4-42CB-8FDF-A98C9BE7AB9A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7" operator="containsText" id="{06C33EFF-96AA-476F-94E6-EF758BB77489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" operator="containsText" id="{F2EE38F1-0575-4955-A946-9225489CCCD4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9" operator="containsText" id="{DA63EE8E-2D93-4BEF-88E5-9269E6336A8B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0" operator="containsText" id="{E7DFED5E-B66B-44C5-AE47-D4EDBA81ACD4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1" operator="containsText" id="{8852DA5D-84B8-4C00-B7B6-01EA070EB2C8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2" operator="containsText" id="{22F43A70-BF75-4E1A-BC93-EBD6A92BC179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96C15-4993-4A2B-B5FE-88FC9B05A6CF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4" sqref="K3:M4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57" t="s">
        <v>123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44662</v>
      </c>
      <c r="C3" s="43">
        <f>B3+1</f>
        <v>44663</v>
      </c>
      <c r="D3" s="43">
        <f t="shared" ref="D3:H3" si="0">C3+1</f>
        <v>44664</v>
      </c>
      <c r="E3" s="43">
        <f t="shared" si="0"/>
        <v>44665</v>
      </c>
      <c r="F3" s="43">
        <f t="shared" si="0"/>
        <v>44666</v>
      </c>
      <c r="G3" s="43">
        <f t="shared" si="0"/>
        <v>44667</v>
      </c>
      <c r="H3" s="43">
        <f t="shared" si="0"/>
        <v>44668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 t="s">
        <v>9</v>
      </c>
      <c r="G5" s="16"/>
      <c r="H5" s="16" t="s">
        <v>9</v>
      </c>
      <c r="J5" s="17" t="s">
        <v>112</v>
      </c>
      <c r="K5" s="4">
        <f>COUNTIF($B$5:$H$93,J5)</f>
        <v>0</v>
      </c>
      <c r="L5" s="5">
        <f>K5/$K$13</f>
        <v>0</v>
      </c>
      <c r="M5" t="s">
        <v>124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 t="s">
        <v>5</v>
      </c>
      <c r="J6" s="18" t="s">
        <v>4</v>
      </c>
      <c r="K6" s="4">
        <f>COUNTIF($B$5:$H$93,J6)</f>
        <v>0</v>
      </c>
      <c r="L6" s="5">
        <f t="shared" ref="L6:L12" si="3">K6/$K$13</f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ref="K7:K11" si="4">COUNTIF($B$5:$H$93,J7)</f>
        <v>13</v>
      </c>
      <c r="L7" s="5">
        <f t="shared" si="3"/>
        <v>0.61904761904761907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0</v>
      </c>
      <c r="L8" s="5">
        <f t="shared" si="3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 t="s">
        <v>5</v>
      </c>
      <c r="J9" s="21" t="s">
        <v>7</v>
      </c>
      <c r="K9" s="4">
        <f t="shared" si="4"/>
        <v>1</v>
      </c>
      <c r="L9" s="5">
        <f t="shared" si="3"/>
        <v>4.7619047619047616E-2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 t="s">
        <v>5</v>
      </c>
      <c r="J10" s="22" t="s">
        <v>8</v>
      </c>
      <c r="K10" s="4">
        <f t="shared" si="4"/>
        <v>0</v>
      </c>
      <c r="L10" s="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5</v>
      </c>
      <c r="L11" s="5">
        <f t="shared" si="3"/>
        <v>0.23809523809523808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6">
        <f>COUNTIF($B$5:$H$93,J12)</f>
        <v>2</v>
      </c>
      <c r="L12" s="7">
        <f t="shared" si="3"/>
        <v>9.5238095238095233E-2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1" t="s">
        <v>1</v>
      </c>
      <c r="K13" s="1">
        <f>SUM(K5:K12)</f>
        <v>21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 t="s">
        <v>5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31</v>
      </c>
      <c r="B16" s="16"/>
      <c r="C16" s="16"/>
      <c r="D16" s="16" t="s">
        <v>7</v>
      </c>
      <c r="E16" s="16"/>
      <c r="F16" s="16"/>
      <c r="G16" s="16"/>
      <c r="H16" s="16"/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 t="s">
        <v>5</v>
      </c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 t="s">
        <v>5</v>
      </c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 t="s">
        <v>5</v>
      </c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 t="s">
        <v>5</v>
      </c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 t="s">
        <v>5</v>
      </c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 t="s">
        <v>5</v>
      </c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 t="s">
        <v>5</v>
      </c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 t="s">
        <v>5</v>
      </c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 t="s">
        <v>5</v>
      </c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 t="s">
        <v>114</v>
      </c>
      <c r="H50" s="16" t="s">
        <v>114</v>
      </c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 t="s">
        <v>9</v>
      </c>
      <c r="D74" s="16" t="s">
        <v>9</v>
      </c>
      <c r="E74" s="16" t="s">
        <v>9</v>
      </c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2030" priority="33" operator="containsText" text="Pivô ">
      <formula>NOT(ISERROR(SEARCH("Pivô ",A1)))</formula>
    </cfRule>
  </conditionalFormatting>
  <conditionalFormatting sqref="B5:H93">
    <cfRule type="containsText" dxfId="2021" priority="9" operator="containsText" text="Cardã">
      <formula>NOT(ISERROR(SEARCH("Cardã",B5)))</formula>
    </cfRule>
    <cfRule type="containsText" dxfId="2020" priority="10" operator="containsText" text="Pneu">
      <formula>NOT(ISERROR(SEARCH("Pneu",B5)))</formula>
    </cfRule>
    <cfRule type="containsText" dxfId="2019" priority="11" operator="containsText" text="Vedação">
      <formula>NOT(ISERROR(SEARCH("Vedação",B5)))</formula>
    </cfRule>
    <cfRule type="containsText" dxfId="2018" priority="12" operator="containsText" text="Retentor">
      <formula>NOT(ISERROR(SEARCH("Retentor",B5)))</formula>
    </cfRule>
    <cfRule type="containsText" dxfId="2017" priority="13" operator="containsText" text="Motorredutor">
      <formula>NOT(ISERROR(SEARCH("Motorredutor",B5)))</formula>
    </cfRule>
    <cfRule type="containsText" dxfId="2016" priority="14" operator="containsText" text="Redutor">
      <formula>NOT(ISERROR(SEARCH("Redutor",B5)))</formula>
    </cfRule>
    <cfRule type="containsText" dxfId="2015" priority="15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E1443E29-757F-4DDF-B6D4-794D9CD969F7}">
      <formula1>$J$5:$J$12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464E415-6C07-42FE-A2C9-34358B5ACA0F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2" operator="containsText" id="{C61D5780-719A-4232-95BA-BEFF6F17898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3" operator="containsText" id="{039166CC-BA62-4CBE-B2D1-8CFE7F95ECB8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4" operator="containsText" id="{3A345571-7839-454B-8963-98188167220C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5" operator="containsText" id="{D205BB7E-0627-4812-B3BA-A388D7DD16FF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6" operator="containsText" id="{9DE23AD6-0D2B-4CF7-91F5-5B4E26456F19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7" operator="containsText" id="{9CF81D35-76F3-4661-84F3-77F2E812BF23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8" operator="containsText" id="{BBF210A5-70EA-437D-8768-24C2A854DE5A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6" operator="containsText" id="{B103B006-DB60-4D84-A8C8-3C8D7ABA9C32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4A071694-4651-4247-A993-9A8A4F00AD0F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8" operator="containsText" id="{3FDBF609-3984-4E4D-B120-B16168CF44B1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01F42E3F-2976-4B48-8146-01ABF04A052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1" operator="containsText" id="{71C42F83-0D98-4A6F-98D0-1CE3379A50FE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6" operator="containsText" id="{0E8DB7EF-0E68-4809-B688-611E7E940B29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7" operator="containsText" id="{C3F4C77B-F035-4015-BBA3-394F7544D9C1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" operator="containsText" id="{194AB2A5-E088-48FD-82F3-D0528DBBCC95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9" operator="containsText" id="{B6F74552-6986-438B-A16F-A9CCAC1BA05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0" operator="containsText" id="{338312EF-D022-42E5-92A1-3759819B72FA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1" operator="containsText" id="{FB9524CC-DAF0-4D73-828B-2F715F42EC21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2" operator="containsText" id="{9AE38B01-C393-49FC-A935-52FC349D40E3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9502-9A1F-4ED8-B596-3F06D4C978EB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5" sqref="K5:K12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57" t="s">
        <v>121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44669</v>
      </c>
      <c r="C3" s="43">
        <f>B3+1</f>
        <v>44670</v>
      </c>
      <c r="D3" s="43">
        <f t="shared" ref="D3:H3" si="0">C3+1</f>
        <v>44671</v>
      </c>
      <c r="E3" s="43">
        <f t="shared" si="0"/>
        <v>44672</v>
      </c>
      <c r="F3" s="43">
        <f t="shared" si="0"/>
        <v>44673</v>
      </c>
      <c r="G3" s="43">
        <f t="shared" si="0"/>
        <v>44674</v>
      </c>
      <c r="H3" s="43">
        <f t="shared" si="0"/>
        <v>44675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5">
        <f>K5/$K$13</f>
        <v>0</v>
      </c>
      <c r="M5" t="s">
        <v>125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>COUNTIF($B$5:$H$93,J6)</f>
        <v>1</v>
      </c>
      <c r="L6" s="5">
        <f t="shared" ref="L6:L12" si="3">K6/$K$13</f>
        <v>0.125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ref="K7:K11" si="4">COUNTIF($B$5:$H$93,J7)</f>
        <v>0</v>
      </c>
      <c r="L7" s="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2</v>
      </c>
      <c r="L8" s="5">
        <f t="shared" si="3"/>
        <v>0.25</v>
      </c>
    </row>
    <row r="9" spans="1:16" x14ac:dyDescent="0.25">
      <c r="A9" s="11" t="s">
        <v>23</v>
      </c>
      <c r="B9" s="16"/>
      <c r="C9" s="16"/>
      <c r="D9" s="16"/>
      <c r="E9" s="16"/>
      <c r="F9" s="16" t="s">
        <v>9</v>
      </c>
      <c r="G9" s="16" t="s">
        <v>9</v>
      </c>
      <c r="H9" s="16" t="s">
        <v>9</v>
      </c>
      <c r="J9" s="21" t="s">
        <v>7</v>
      </c>
      <c r="K9" s="4">
        <f t="shared" si="4"/>
        <v>1</v>
      </c>
      <c r="L9" s="5">
        <f t="shared" si="3"/>
        <v>0.125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4</v>
      </c>
      <c r="L11" s="5">
        <f t="shared" si="3"/>
        <v>0.5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6">
        <f>COUNTIF($B$5:$H$93,J12)</f>
        <v>0</v>
      </c>
      <c r="L12" s="7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1" t="s">
        <v>1</v>
      </c>
      <c r="K13" s="1">
        <f>SUM(K5:K12)</f>
        <v>8</v>
      </c>
    </row>
    <row r="14" spans="1:16" x14ac:dyDescent="0.25">
      <c r="A14" s="11" t="s">
        <v>29</v>
      </c>
      <c r="B14" s="16"/>
      <c r="C14" s="16"/>
      <c r="D14" s="16"/>
      <c r="E14" s="16"/>
      <c r="F14" s="16" t="s">
        <v>9</v>
      </c>
      <c r="G14" s="16"/>
      <c r="H14" s="16"/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 t="s">
        <v>7</v>
      </c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 t="s">
        <v>6</v>
      </c>
      <c r="D45" s="16" t="s">
        <v>6</v>
      </c>
      <c r="E45" s="16" t="s">
        <v>4</v>
      </c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2002" priority="33" operator="containsText" text="Pivô ">
      <formula>NOT(ISERROR(SEARCH("Pivô ",A1)))</formula>
    </cfRule>
  </conditionalFormatting>
  <conditionalFormatting sqref="B5:H93">
    <cfRule type="containsText" dxfId="1993" priority="9" operator="containsText" text="Cardã">
      <formula>NOT(ISERROR(SEARCH("Cardã",B5)))</formula>
    </cfRule>
    <cfRule type="containsText" dxfId="1992" priority="10" operator="containsText" text="Pneu">
      <formula>NOT(ISERROR(SEARCH("Pneu",B5)))</formula>
    </cfRule>
    <cfRule type="containsText" dxfId="1991" priority="11" operator="containsText" text="Vedação">
      <formula>NOT(ISERROR(SEARCH("Vedação",B5)))</formula>
    </cfRule>
    <cfRule type="containsText" dxfId="1990" priority="12" operator="containsText" text="Retentor">
      <formula>NOT(ISERROR(SEARCH("Retentor",B5)))</formula>
    </cfRule>
    <cfRule type="containsText" dxfId="1989" priority="13" operator="containsText" text="Motorredutor">
      <formula>NOT(ISERROR(SEARCH("Motorredutor",B5)))</formula>
    </cfRule>
    <cfRule type="containsText" dxfId="1988" priority="14" operator="containsText" text="Redutor">
      <formula>NOT(ISERROR(SEARCH("Redutor",B5)))</formula>
    </cfRule>
    <cfRule type="containsText" dxfId="1987" priority="15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35CE0DA5-8910-40EE-A704-2AA96715842B}">
      <formula1>$J$5:$J$12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128E07F-DF0F-4F71-B164-3453FC729EEF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2" operator="containsText" id="{C30B6260-D4B6-4E58-8B30-449A0114A3F2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3" operator="containsText" id="{E2A51420-4D73-4865-BBFB-E61F21FEE13D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4" operator="containsText" id="{45ED9CDC-ABE8-41EF-AFC1-D09B3948202E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5" operator="containsText" id="{F9BB5EDF-9B7F-4689-B0DA-DBA9C72EC016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6" operator="containsText" id="{31133B38-E0F5-45FD-B508-54DA6DF2EDED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7" operator="containsText" id="{B65438C4-FF83-4348-92F9-C10B2C3534F9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8" operator="containsText" id="{CC2E8BA1-3087-4593-9EE1-E6048FE660F0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6" operator="containsText" id="{7ED31EB5-91F0-41A3-BC6A-A04058D2A1BC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17B1CC22-E64C-49DD-986A-387073F8293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8" operator="containsText" id="{29DFE9AA-B8D7-45FA-B7F6-CB651C00792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5831824E-CC48-4C32-8837-0570948AC9C1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1" operator="containsText" id="{AC814595-7A82-4339-B2C9-F6B978870CC7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6" operator="containsText" id="{577F51FF-EF28-454F-BABC-E5C69F423440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7" operator="containsText" id="{6ED7305D-E533-4678-8829-AE9293989D29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" operator="containsText" id="{7D44D3D7-140F-432C-861F-8EE70FF94954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9" operator="containsText" id="{C2287F95-00B7-42C7-B8F4-4D07F8949FCA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0" operator="containsText" id="{E2FBBDD9-9150-4C28-8C3C-EDC6B5AD453E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1" operator="containsText" id="{6B405C15-ADEB-4F95-B7F5-FE8F205CBC38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2" operator="containsText" id="{02647A93-7B33-4E47-99AE-A93172195FE9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1AAD-08EE-498B-8782-EFC70D3C740D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L5" sqref="L5:L13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57" t="s">
        <v>126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44676</v>
      </c>
      <c r="C3" s="43">
        <f>B3+1</f>
        <v>44677</v>
      </c>
      <c r="D3" s="43">
        <f t="shared" ref="D3:H3" si="0">C3+1</f>
        <v>44678</v>
      </c>
      <c r="E3" s="43">
        <f t="shared" si="0"/>
        <v>44679</v>
      </c>
      <c r="F3" s="43">
        <f t="shared" si="0"/>
        <v>44680</v>
      </c>
      <c r="G3" s="43">
        <f t="shared" si="0"/>
        <v>44681</v>
      </c>
      <c r="H3" s="43">
        <f t="shared" si="0"/>
        <v>44682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 t="s">
        <v>9</v>
      </c>
      <c r="F5" s="16" t="s">
        <v>9</v>
      </c>
      <c r="G5" s="16"/>
      <c r="H5" s="16"/>
      <c r="J5" s="17" t="s">
        <v>112</v>
      </c>
      <c r="K5" s="4">
        <f>COUNTIF($B$5:$H$93,J5)</f>
        <v>0</v>
      </c>
      <c r="L5" s="45">
        <f t="shared" ref="L5:L12" si="3">K5/$K$14</f>
        <v>0</v>
      </c>
      <c r="M5" t="s">
        <v>127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2</v>
      </c>
      <c r="L8" s="45">
        <f t="shared" si="3"/>
        <v>0.22222222222222221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2</v>
      </c>
      <c r="L9" s="45">
        <f t="shared" si="3"/>
        <v>0.22222222222222221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1</v>
      </c>
      <c r="L10" s="45">
        <f t="shared" si="3"/>
        <v>0.1111111111111111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2</v>
      </c>
      <c r="L11" s="45">
        <f t="shared" si="3"/>
        <v>0.22222222222222221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2</v>
      </c>
      <c r="L13" s="45">
        <f>K13/$K$14</f>
        <v>0.22222222222222221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1" t="s">
        <v>1</v>
      </c>
      <c r="K14" s="1">
        <f>SUM(K5:K13)</f>
        <v>9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 t="s">
        <v>8</v>
      </c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 t="s">
        <v>7</v>
      </c>
      <c r="D25" s="16"/>
      <c r="E25" s="16"/>
      <c r="F25" s="16"/>
      <c r="G25" s="16"/>
      <c r="H25" s="16" t="s">
        <v>6</v>
      </c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 t="s">
        <v>11</v>
      </c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 t="s">
        <v>11</v>
      </c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 t="s">
        <v>7</v>
      </c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 t="s">
        <v>6</v>
      </c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974" priority="34" operator="containsText" text="Pivô ">
      <formula>NOT(ISERROR(SEARCH("Pivô ",A1)))</formula>
    </cfRule>
  </conditionalFormatting>
  <conditionalFormatting sqref="B5:H93">
    <cfRule type="containsText" dxfId="1964" priority="10" operator="containsText" text="Cardã">
      <formula>NOT(ISERROR(SEARCH("Cardã",B5)))</formula>
    </cfRule>
    <cfRule type="containsText" dxfId="1963" priority="11" operator="containsText" text="Pneu">
      <formula>NOT(ISERROR(SEARCH("Pneu",B5)))</formula>
    </cfRule>
    <cfRule type="containsText" dxfId="1962" priority="12" operator="containsText" text="Vedação">
      <formula>NOT(ISERROR(SEARCH("Vedação",B5)))</formula>
    </cfRule>
    <cfRule type="containsText" dxfId="1961" priority="13" operator="containsText" text="Retentor">
      <formula>NOT(ISERROR(SEARCH("Retentor",B5)))</formula>
    </cfRule>
    <cfRule type="containsText" dxfId="1960" priority="14" operator="containsText" text="Motorredutor">
      <formula>NOT(ISERROR(SEARCH("Motorredutor",B5)))</formula>
    </cfRule>
    <cfRule type="containsText" dxfId="1959" priority="15" operator="containsText" text="Redutor">
      <formula>NOT(ISERROR(SEARCH("Redutor",B5)))</formula>
    </cfRule>
    <cfRule type="containsText" dxfId="1958" priority="16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33BF1D58-FCDC-4204-9EA0-977ED88FB49A}">
      <formula1>$J$5:$J$13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AA78417-46CE-4915-9129-7041978E0FDD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2" operator="containsText" id="{6B536EA5-0FCA-4FCA-85C9-29A3B29378A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3" operator="containsText" id="{25421A9F-CF44-4695-A71F-B18451D15A98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4" operator="containsText" id="{EE2D9AA5-A58B-453F-8E1A-4F3C1870FE16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5" operator="containsText" id="{02A9C1BC-F771-49F5-BD32-7DD829749900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6" operator="containsText" id="{38228472-7F00-4C92-BBD4-40804E5B9973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7" operator="containsText" id="{6FC22628-E3E7-45C0-93BB-675A7098622A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8" operator="containsText" id="{D4969C09-807F-4791-A529-B46C4033BDA0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9" operator="containsText" id="{28259150-039C-49D4-B2C0-534886A0D9EE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7" operator="containsText" id="{C1E7C865-928F-44E6-A81F-66F97101456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8" operator="containsText" id="{B6845D8F-5B56-4ED0-ABD9-ECDEEA53014D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CBA27FA0-7A68-4A30-A49B-0556E34E72CA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0" operator="containsText" id="{E154E7C7-9CB0-4ADE-BE53-D7A19B18712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2" operator="containsText" id="{6591FB04-0812-43ED-B31F-5D5F9DA812CF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7" operator="containsText" id="{CB241DF7-5BB2-4BA9-AEA1-8AFFF303F947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8" operator="containsText" id="{AA4986A5-D2D6-42F1-B12F-BEE1C922555C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" operator="containsText" id="{01EF92D3-D54B-4D10-9769-BE97C95398EF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0" operator="containsText" id="{6EAB14EF-8B86-46FE-9DF5-0399C0C2648D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1" operator="containsText" id="{937F24D3-DE28-4471-A435-23C515F3591F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2" operator="containsText" id="{8D6344DB-CC2D-447F-BE46-B05A640CCF38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3" operator="containsText" id="{FA9107EA-0F05-4925-A02D-8783C034490F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A16F2-FF85-40C0-BB8B-D6217A922848}">
  <sheetPr>
    <tabColor theme="7"/>
    <pageSetUpPr fitToPage="1"/>
  </sheetPr>
  <dimension ref="A1:P93"/>
  <sheetViews>
    <sheetView showGridLines="0" zoomScaleNormal="100" workbookViewId="0">
      <pane ySplit="4" topLeftCell="A38" activePane="bottomLeft" state="frozen"/>
      <selection pane="bottomLeft" activeCell="K4" sqref="K4:M4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57" t="s">
        <v>128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44683</v>
      </c>
      <c r="C3" s="43">
        <f>B3+1</f>
        <v>44684</v>
      </c>
      <c r="D3" s="43">
        <f t="shared" ref="D3:H3" si="0">C3+1</f>
        <v>44685</v>
      </c>
      <c r="E3" s="43">
        <f t="shared" si="0"/>
        <v>44686</v>
      </c>
      <c r="F3" s="43">
        <f t="shared" si="0"/>
        <v>44687</v>
      </c>
      <c r="G3" s="43">
        <f t="shared" si="0"/>
        <v>44688</v>
      </c>
      <c r="H3" s="43">
        <f t="shared" si="0"/>
        <v>44689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3" si="3">K5/$K$14</f>
        <v>0</v>
      </c>
      <c r="M5" t="s">
        <v>129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2</v>
      </c>
      <c r="L8" s="45">
        <f t="shared" si="3"/>
        <v>0.66666666666666663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1</v>
      </c>
      <c r="L9" s="45">
        <f t="shared" si="3"/>
        <v>0.33333333333333331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1" t="s">
        <v>1</v>
      </c>
      <c r="K14" s="1">
        <f>SUM(K5:K12)</f>
        <v>3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 t="s">
        <v>6</v>
      </c>
      <c r="F25" s="16"/>
      <c r="G25" s="16" t="s">
        <v>6</v>
      </c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 t="s">
        <v>7</v>
      </c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945" priority="34" operator="containsText" text="Pivô ">
      <formula>NOT(ISERROR(SEARCH("Pivô ",A1)))</formula>
    </cfRule>
  </conditionalFormatting>
  <conditionalFormatting sqref="B5:H93">
    <cfRule type="containsText" dxfId="1935" priority="10" operator="containsText" text="Cardã">
      <formula>NOT(ISERROR(SEARCH("Cardã",B5)))</formula>
    </cfRule>
    <cfRule type="containsText" dxfId="1934" priority="11" operator="containsText" text="Pneu">
      <formula>NOT(ISERROR(SEARCH("Pneu",B5)))</formula>
    </cfRule>
    <cfRule type="containsText" dxfId="1933" priority="12" operator="containsText" text="Vedação">
      <formula>NOT(ISERROR(SEARCH("Vedação",B5)))</formula>
    </cfRule>
    <cfRule type="containsText" dxfId="1932" priority="13" operator="containsText" text="Retentor">
      <formula>NOT(ISERROR(SEARCH("Retentor",B5)))</formula>
    </cfRule>
    <cfRule type="containsText" dxfId="1931" priority="14" operator="containsText" text="Motorredutor">
      <formula>NOT(ISERROR(SEARCH("Motorredutor",B5)))</formula>
    </cfRule>
    <cfRule type="containsText" dxfId="1930" priority="15" operator="containsText" text="Redutor">
      <formula>NOT(ISERROR(SEARCH("Redutor",B5)))</formula>
    </cfRule>
    <cfRule type="containsText" dxfId="1929" priority="16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94E7AA89-7DE1-4525-8134-C65448B753B2}">
      <formula1>$J$5:$J$13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ABA2F7A-57F4-444D-B982-D2ACCC3620F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2" operator="containsText" id="{BC2D871C-0476-47DC-9065-001DB79C901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3" operator="containsText" id="{2F4DFDB0-7C6B-47BA-9B2C-8B97D3B4E950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4" operator="containsText" id="{54E48827-D093-4628-B55F-28B574101399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5" operator="containsText" id="{CBD7CB68-0753-4CB4-BC57-10FA81F5E53A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6" operator="containsText" id="{D45C92FC-8056-44DA-9CB9-841B36CED324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7" operator="containsText" id="{731BF6B4-F28C-42E0-8EB7-FB0F7F0851E1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8" operator="containsText" id="{8BA7B100-A1B9-426C-AEF3-BE0BE7D98C28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9" operator="containsText" id="{10A462D1-89A8-4C05-BBB6-E4425C7B9D23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7" operator="containsText" id="{14A8B9CD-FCC7-4751-8571-8D69D778D532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8" operator="containsText" id="{5F07CA5A-A8E6-46AD-9655-9CD8C50C74C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749986CB-E0CF-46CE-BF4D-88AF161738A3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0" operator="containsText" id="{25FFDA98-A0AE-4363-8067-C92108611B40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2" operator="containsText" id="{369CD6F8-AAA7-406D-AB19-8F84852F043F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7" operator="containsText" id="{A68B2869-0C24-473E-801E-D6B7FEA85DDA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8" operator="containsText" id="{6F1BF50A-D1D2-48F5-9EBB-4AED256A7949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" operator="containsText" id="{F9255D51-21EA-4652-88CD-FC1F560359AB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0" operator="containsText" id="{00CB4D0B-E3B7-476F-9A05-3F0A969979C6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1" operator="containsText" id="{E4E0C4E5-2548-47C2-B4C9-ABE4DAC68D70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2" operator="containsText" id="{CD83A223-36C5-4C6A-B1DB-E25FF4798116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3" operator="containsText" id="{375B109E-058A-41C6-AEF2-F8420B654AAE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A6E4-6829-4066-BE7E-50B841991731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22" sqref="J22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57" t="s">
        <v>130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44690</v>
      </c>
      <c r="C3" s="43">
        <f>B3+1</f>
        <v>44691</v>
      </c>
      <c r="D3" s="43">
        <f t="shared" ref="D3:H3" si="0">C3+1</f>
        <v>44692</v>
      </c>
      <c r="E3" s="43">
        <f t="shared" si="0"/>
        <v>44693</v>
      </c>
      <c r="F3" s="43">
        <f t="shared" si="0"/>
        <v>44694</v>
      </c>
      <c r="G3" s="43">
        <f t="shared" si="0"/>
        <v>44695</v>
      </c>
      <c r="H3" s="43">
        <f t="shared" si="0"/>
        <v>44696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3" si="3">K5/$K$14</f>
        <v>0</v>
      </c>
      <c r="M5" t="s">
        <v>131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1</v>
      </c>
      <c r="L7" s="45">
        <f t="shared" si="3"/>
        <v>0.33333333333333331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2</v>
      </c>
      <c r="L8" s="45">
        <f t="shared" si="3"/>
        <v>0.66666666666666663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1" t="s">
        <v>1</v>
      </c>
      <c r="K14" s="1">
        <f>SUM(K5:K12)</f>
        <v>3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  <c r="J22" s="55" t="s">
        <v>132</v>
      </c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 t="s">
        <v>6</v>
      </c>
      <c r="C25" s="16"/>
      <c r="D25" s="16"/>
      <c r="E25" s="16" t="s">
        <v>6</v>
      </c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 t="s">
        <v>5</v>
      </c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916" priority="34" operator="containsText" text="Pivô ">
      <formula>NOT(ISERROR(SEARCH("Pivô ",A1)))</formula>
    </cfRule>
  </conditionalFormatting>
  <conditionalFormatting sqref="B5:H93">
    <cfRule type="containsText" dxfId="1906" priority="10" operator="containsText" text="Cardã">
      <formula>NOT(ISERROR(SEARCH("Cardã",B5)))</formula>
    </cfRule>
    <cfRule type="containsText" dxfId="1905" priority="11" operator="containsText" text="Pneu">
      <formula>NOT(ISERROR(SEARCH("Pneu",B5)))</formula>
    </cfRule>
    <cfRule type="containsText" dxfId="1904" priority="12" operator="containsText" text="Vedação">
      <formula>NOT(ISERROR(SEARCH("Vedação",B5)))</formula>
    </cfRule>
    <cfRule type="containsText" dxfId="1903" priority="13" operator="containsText" text="Retentor">
      <formula>NOT(ISERROR(SEARCH("Retentor",B5)))</formula>
    </cfRule>
    <cfRule type="containsText" dxfId="1902" priority="14" operator="containsText" text="Motorredutor">
      <formula>NOT(ISERROR(SEARCH("Motorredutor",B5)))</formula>
    </cfRule>
    <cfRule type="containsText" dxfId="1901" priority="15" operator="containsText" text="Redutor">
      <formula>NOT(ISERROR(SEARCH("Redutor",B5)))</formula>
    </cfRule>
    <cfRule type="containsText" dxfId="1900" priority="16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26EBDB10-B494-4731-98A2-A821F19FE810}">
      <formula1>$J$5:$J$13</formula1>
    </dataValidation>
  </dataValidations>
  <hyperlinks>
    <hyperlink ref="J22" location="'Dashboard Indicadores'!A1" display="'Dashboard Indicadores'!A1" xr:uid="{21F505FD-1132-4A45-8D79-C2ACCDA5A59C}"/>
  </hyperlink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E469029-1BF9-4AF3-B133-D718DD457D6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2" operator="containsText" id="{F36EAEA3-F360-4BDF-B955-10A7962B56C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3" operator="containsText" id="{1FC067F3-2F1F-4D5E-94AD-B5256C9F4ED4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4" operator="containsText" id="{369C80F4-8CEF-47E8-A364-712879F3B9D9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5" operator="containsText" id="{7D705A33-5E70-4907-ACC4-49A64127A892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6" operator="containsText" id="{B18DB504-DD98-49EA-9EB6-E01EAEC4C1AE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7" operator="containsText" id="{4B20EBA6-30E5-43EF-B780-0C9BCDA04CF8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8" operator="containsText" id="{7D1C78D5-4346-4ACE-80E0-CF2B609F4FDF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9" operator="containsText" id="{E1D1F7A9-08E3-4195-AB4F-CF9AFBB45C32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7" operator="containsText" id="{0505B182-A44E-4F43-A9D5-0E07917EDA71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8" operator="containsText" id="{13EDA3D7-FCE7-4369-B95A-2C333816BAE6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C32263C7-1939-4E93-A4E6-4EFED766F3AF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0" operator="containsText" id="{410D330C-C3A5-4B37-859D-F1E4472EF837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2" operator="containsText" id="{845435A5-98EC-4190-90F4-F2D9E2AF7110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7" operator="containsText" id="{5C9424FA-5005-4B2B-93FD-2AB014A1787A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8" operator="containsText" id="{235A9A30-5A26-4D27-8807-83239A56E770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" operator="containsText" id="{E0827D85-7231-4F97-84C3-028A67BA3DD3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0" operator="containsText" id="{CD3A03CB-8BB8-4970-BFB9-9F4D8692D275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1" operator="containsText" id="{972746ED-B744-4705-AC11-13B33712C63E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2" operator="containsText" id="{7CBA38FE-16E7-4958-95B7-447C7954D814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3" operator="containsText" id="{E0236FC2-37FB-4C37-8DF3-A22327D3739C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BA72-7316-4538-B37D-0C2E6C7F2713}">
  <sheetPr>
    <tabColor theme="7"/>
    <pageSetUpPr fitToPage="1"/>
  </sheetPr>
  <dimension ref="A1:P93"/>
  <sheetViews>
    <sheetView showGridLines="0" zoomScaleNormal="100" workbookViewId="0">
      <pane ySplit="4" topLeftCell="A14" activePane="bottomLeft" state="frozen"/>
      <selection pane="bottomLeft" activeCell="K4" sqref="K4:M4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57" t="s">
        <v>133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44697</v>
      </c>
      <c r="C3" s="43">
        <f>B3+1</f>
        <v>44698</v>
      </c>
      <c r="D3" s="43">
        <f t="shared" ref="D3:H3" si="0">C3+1</f>
        <v>44699</v>
      </c>
      <c r="E3" s="43">
        <f t="shared" si="0"/>
        <v>44700</v>
      </c>
      <c r="F3" s="43">
        <f t="shared" si="0"/>
        <v>44701</v>
      </c>
      <c r="G3" s="43">
        <f t="shared" si="0"/>
        <v>44702</v>
      </c>
      <c r="H3" s="43">
        <f t="shared" si="0"/>
        <v>44703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3" si="3">K5/$K$14</f>
        <v>0</v>
      </c>
      <c r="M5" t="s">
        <v>134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3</v>
      </c>
      <c r="L8" s="45">
        <f t="shared" si="3"/>
        <v>0.375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5</v>
      </c>
      <c r="L10" s="45">
        <f t="shared" si="3"/>
        <v>0.625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1" t="s">
        <v>1</v>
      </c>
      <c r="K14" s="1">
        <f>SUM(K5:K12)</f>
        <v>8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 t="s">
        <v>8</v>
      </c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 t="s">
        <v>8</v>
      </c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 t="s">
        <v>8</v>
      </c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 t="s">
        <v>8</v>
      </c>
      <c r="E35" s="16" t="s">
        <v>8</v>
      </c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 t="s">
        <v>6</v>
      </c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 t="s">
        <v>6</v>
      </c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 t="s">
        <v>6</v>
      </c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887" priority="34" operator="containsText" text="Pivô ">
      <formula>NOT(ISERROR(SEARCH("Pivô ",A1)))</formula>
    </cfRule>
  </conditionalFormatting>
  <conditionalFormatting sqref="B5:H93">
    <cfRule type="containsText" dxfId="1877" priority="10" operator="containsText" text="Cardã">
      <formula>NOT(ISERROR(SEARCH("Cardã",B5)))</formula>
    </cfRule>
    <cfRule type="containsText" dxfId="1876" priority="11" operator="containsText" text="Pneu">
      <formula>NOT(ISERROR(SEARCH("Pneu",B5)))</formula>
    </cfRule>
    <cfRule type="containsText" dxfId="1875" priority="12" operator="containsText" text="Vedação">
      <formula>NOT(ISERROR(SEARCH("Vedação",B5)))</formula>
    </cfRule>
    <cfRule type="containsText" dxfId="1874" priority="13" operator="containsText" text="Retentor">
      <formula>NOT(ISERROR(SEARCH("Retentor",B5)))</formula>
    </cfRule>
    <cfRule type="containsText" dxfId="1873" priority="14" operator="containsText" text="Motorredutor">
      <formula>NOT(ISERROR(SEARCH("Motorredutor",B5)))</formula>
    </cfRule>
    <cfRule type="containsText" dxfId="1872" priority="15" operator="containsText" text="Redutor">
      <formula>NOT(ISERROR(SEARCH("Redutor",B5)))</formula>
    </cfRule>
    <cfRule type="containsText" dxfId="1871" priority="16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59B5CE2C-C847-4113-85AE-D685C9334463}">
      <formula1>$J$5:$J$13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33DBE73-B249-400E-AFB6-BEBD0FDBA980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2" operator="containsText" id="{57093874-4A68-4FCB-B844-8670041B87C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3" operator="containsText" id="{B7DC900C-B26E-4485-A239-F3BD82B95A95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4" operator="containsText" id="{72DA0EA9-6DC4-4C20-AAF9-FA95998D475D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5" operator="containsText" id="{7EBB6F29-35B4-4626-B062-4D2BE83FFBBA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6" operator="containsText" id="{340D65FE-F4D6-4166-BBD4-D6A85B5EBC0A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7" operator="containsText" id="{695240F7-4A4B-4D4B-8150-A3A9F5237D70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8" operator="containsText" id="{0FE2AB85-7265-4929-9E62-9BCF82A02329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9" operator="containsText" id="{AFBBAF62-B92C-4175-8B30-F3FC7FA57E45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7" operator="containsText" id="{34B27E55-BF92-4ABA-829F-46860B18778A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8" operator="containsText" id="{9B9F24B7-8F2B-4DB2-B38B-211F2F11307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D54EAA4D-6956-45FD-AD0D-54F32655F66A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0" operator="containsText" id="{9B3F2F5F-60DF-4AAC-8530-8D4AF59564E6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2" operator="containsText" id="{F3204F78-1C41-4A0C-9285-600A8DD4D8E2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7" operator="containsText" id="{D6085261-C281-4D0B-A526-0D1A2F69A55C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8" operator="containsText" id="{8DE243EB-1F28-4069-BFC2-FBEDC6745CC3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" operator="containsText" id="{B30683FB-3D74-4F2C-9950-0927CDF912F3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0" operator="containsText" id="{FA7EBEA8-ED92-43EA-BC29-99C303ED60AB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1" operator="containsText" id="{F8722E42-7DAA-4FF1-BFC0-4E69043A7455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2" operator="containsText" id="{90148ADA-C053-4EC7-A5C1-E94479B1480F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3" operator="containsText" id="{41B37AB4-E752-4AD0-A530-C9E0A701D70C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F6DE-3D49-4F4F-BE9E-DF91D8E53A7B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57" t="s">
        <v>135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44704</v>
      </c>
      <c r="C3" s="43">
        <f>B3+1</f>
        <v>44705</v>
      </c>
      <c r="D3" s="43">
        <f t="shared" ref="D3:H3" si="0">C3+1</f>
        <v>44706</v>
      </c>
      <c r="E3" s="43">
        <f t="shared" si="0"/>
        <v>44707</v>
      </c>
      <c r="F3" s="43">
        <f t="shared" si="0"/>
        <v>44708</v>
      </c>
      <c r="G3" s="43">
        <f t="shared" si="0"/>
        <v>44709</v>
      </c>
      <c r="H3" s="43">
        <f t="shared" si="0"/>
        <v>44710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3" si="3">K5/$K$14</f>
        <v>0</v>
      </c>
      <c r="M5" t="s">
        <v>136</v>
      </c>
    </row>
    <row r="6" spans="1:16" x14ac:dyDescent="0.25">
      <c r="A6" s="11" t="s">
        <v>20</v>
      </c>
      <c r="B6" s="16" t="s">
        <v>8</v>
      </c>
      <c r="C6" s="16" t="s">
        <v>8</v>
      </c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0</v>
      </c>
      <c r="L8" s="45">
        <f t="shared" si="3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3</v>
      </c>
      <c r="L10" s="45">
        <f t="shared" si="3"/>
        <v>0.75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1</v>
      </c>
      <c r="L12" s="45">
        <f t="shared" si="3"/>
        <v>0.25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1" t="s">
        <v>1</v>
      </c>
      <c r="K14" s="1">
        <f>SUM(K5:K12)</f>
        <v>4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32</v>
      </c>
      <c r="B17" s="16" t="s">
        <v>8</v>
      </c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 t="s">
        <v>114</v>
      </c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858" priority="34" operator="containsText" text="Pivô ">
      <formula>NOT(ISERROR(SEARCH("Pivô ",A1)))</formula>
    </cfRule>
  </conditionalFormatting>
  <conditionalFormatting sqref="B5:H93">
    <cfRule type="containsText" dxfId="1848" priority="10" operator="containsText" text="Cardã">
      <formula>NOT(ISERROR(SEARCH("Cardã",B5)))</formula>
    </cfRule>
    <cfRule type="containsText" dxfId="1847" priority="11" operator="containsText" text="Pneu">
      <formula>NOT(ISERROR(SEARCH("Pneu",B5)))</formula>
    </cfRule>
    <cfRule type="containsText" dxfId="1846" priority="12" operator="containsText" text="Vedação">
      <formula>NOT(ISERROR(SEARCH("Vedação",B5)))</formula>
    </cfRule>
    <cfRule type="containsText" dxfId="1845" priority="13" operator="containsText" text="Retentor">
      <formula>NOT(ISERROR(SEARCH("Retentor",B5)))</formula>
    </cfRule>
    <cfRule type="containsText" dxfId="1844" priority="14" operator="containsText" text="Motorredutor">
      <formula>NOT(ISERROR(SEARCH("Motorredutor",B5)))</formula>
    </cfRule>
    <cfRule type="containsText" dxfId="1843" priority="15" operator="containsText" text="Redutor">
      <formula>NOT(ISERROR(SEARCH("Redutor",B5)))</formula>
    </cfRule>
    <cfRule type="containsText" dxfId="1842" priority="16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65C20E1F-4D4C-4FCC-A20F-EFB02C731A7D}">
      <formula1>$J$5:$J$13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B785594-7C0A-4F3E-BE71-DFA7E15F7EA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2" operator="containsText" id="{94AE779C-BF5A-452C-9159-74FFF9B8F5E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3" operator="containsText" id="{12F94EB5-D4ED-4846-9B15-3EF82D1D6D3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4" operator="containsText" id="{64D2E3F7-ED59-4F01-91F7-A0BE1B3F1E95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5" operator="containsText" id="{C4220607-C30F-4E94-950E-9DFFF480A076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6" operator="containsText" id="{0B12B4CB-FECC-4437-AA9C-686A45D99C73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7" operator="containsText" id="{57C21E80-0A07-4D4E-B211-1FE916C8AD8E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8" operator="containsText" id="{6D79022D-7999-4E4E-9E17-6A59D5563E38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9" operator="containsText" id="{F9FE47EE-63D4-45A0-9377-B52955F80413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7" operator="containsText" id="{C8674EDC-BFDE-4200-98AE-E2E84BCC23B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8" operator="containsText" id="{0B02C932-4713-42ED-9D2E-1E659EAC1504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D6CF7EE9-42B3-49EF-A18B-84725920AC18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0" operator="containsText" id="{76764053-686D-4DE0-9162-36D798637D32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2" operator="containsText" id="{15759CA5-9167-4517-B6DD-EB9BD5F147B2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7" operator="containsText" id="{67A21F1A-F8DD-4A74-B053-A1AD4308BE2A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8" operator="containsText" id="{2AC2BA58-7140-4CE7-AB62-92870DAFAC23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" operator="containsText" id="{C0DFB0B9-16A3-41BC-A628-2BB6FAE98324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0" operator="containsText" id="{576D49C7-6C81-4F03-B9D4-8A6059826A3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1" operator="containsText" id="{F93CBFBD-CD5B-41DD-AD29-5085E6890EF1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2" operator="containsText" id="{DAA2BFAF-18CA-4EC6-801D-7F4F7F570E9A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3" operator="containsText" id="{9F686797-BE2F-4B51-92CF-E55758023938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75BD-75C0-4EA3-8A09-60907C631111}">
  <sheetPr>
    <tabColor theme="7"/>
    <pageSetUpPr fitToPage="1"/>
  </sheetPr>
  <dimension ref="A1:P93"/>
  <sheetViews>
    <sheetView showGridLines="0" zoomScaleNormal="100" workbookViewId="0">
      <pane ySplit="4" topLeftCell="A47" activePane="bottomLeft" state="frozen"/>
      <selection pane="bottomLeft" activeCell="K4" sqref="K4:M4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57" t="s">
        <v>137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44718</v>
      </c>
      <c r="C3" s="43">
        <f>B3+1</f>
        <v>44719</v>
      </c>
      <c r="D3" s="43">
        <f t="shared" ref="D3:H3" si="0">C3+1</f>
        <v>44720</v>
      </c>
      <c r="E3" s="43">
        <f t="shared" si="0"/>
        <v>44721</v>
      </c>
      <c r="F3" s="43">
        <f t="shared" si="0"/>
        <v>44722</v>
      </c>
      <c r="G3" s="43">
        <f t="shared" si="0"/>
        <v>44723</v>
      </c>
      <c r="H3" s="43">
        <f t="shared" si="0"/>
        <v>44724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3" si="3">K5/$K$14</f>
        <v>0</v>
      </c>
      <c r="M5" t="s">
        <v>138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1</v>
      </c>
      <c r="L8" s="45">
        <f t="shared" si="3"/>
        <v>0.25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1</v>
      </c>
      <c r="L9" s="45">
        <f t="shared" si="3"/>
        <v>0.25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2</v>
      </c>
      <c r="L10" s="45">
        <f t="shared" si="3"/>
        <v>0.5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1" t="s">
        <v>1</v>
      </c>
      <c r="K14" s="1">
        <f>SUM(K5:K12)</f>
        <v>4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 t="s">
        <v>8</v>
      </c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 t="s">
        <v>6</v>
      </c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 t="s">
        <v>8</v>
      </c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 t="s">
        <v>7</v>
      </c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829" priority="34" operator="containsText" text="Pivô ">
      <formula>NOT(ISERROR(SEARCH("Pivô ",A1)))</formula>
    </cfRule>
  </conditionalFormatting>
  <conditionalFormatting sqref="B5:H93">
    <cfRule type="containsText" dxfId="1819" priority="10" operator="containsText" text="Cardã">
      <formula>NOT(ISERROR(SEARCH("Cardã",B5)))</formula>
    </cfRule>
    <cfRule type="containsText" dxfId="1818" priority="11" operator="containsText" text="Pneu">
      <formula>NOT(ISERROR(SEARCH("Pneu",B5)))</formula>
    </cfRule>
    <cfRule type="containsText" dxfId="1817" priority="12" operator="containsText" text="Vedação">
      <formula>NOT(ISERROR(SEARCH("Vedação",B5)))</formula>
    </cfRule>
    <cfRule type="containsText" dxfId="1816" priority="13" operator="containsText" text="Retentor">
      <formula>NOT(ISERROR(SEARCH("Retentor",B5)))</formula>
    </cfRule>
    <cfRule type="containsText" dxfId="1815" priority="14" operator="containsText" text="Motorredutor">
      <formula>NOT(ISERROR(SEARCH("Motorredutor",B5)))</formula>
    </cfRule>
    <cfRule type="containsText" dxfId="1814" priority="15" operator="containsText" text="Redutor">
      <formula>NOT(ISERROR(SEARCH("Redutor",B5)))</formula>
    </cfRule>
    <cfRule type="containsText" dxfId="1813" priority="16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23A86C87-4F29-4B49-84D5-B82D48D21312}">
      <formula1>$J$5:$J$13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D234015-CD3B-4D44-877B-BC50054FA595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2" operator="containsText" id="{02D7DE6F-0AA1-450E-A681-7AD61B4966A3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3" operator="containsText" id="{396DE5B0-2B4B-4806-BAE7-CA9A38968F6C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4" operator="containsText" id="{CC6CB25D-1A66-49A4-9B29-ED8F14E11F70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5" operator="containsText" id="{EF06EEDD-4C40-40E4-8A94-6C967B396087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6" operator="containsText" id="{030CB4D4-0424-4A6B-8E2E-3059901BCD60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7" operator="containsText" id="{9B37D184-C238-47CA-B1A8-E5CB498AC0BA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8" operator="containsText" id="{9D36CD67-F3C5-4F64-A932-177292E13342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9" operator="containsText" id="{A166F887-6C09-432D-8B6F-6564ACF15972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7" operator="containsText" id="{74FFF264-F6A0-425C-8D5F-26675C199C53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8" operator="containsText" id="{DD6D6392-02DF-48FC-B453-F97E1DCB0E2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E77BD0D0-2501-4A5B-8A16-C7F1394A0C6F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0" operator="containsText" id="{70AAF335-8D00-490E-B4DC-FE5E49108F05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2" operator="containsText" id="{101B5ACA-4BCE-43E8-8E8C-B5FAE41043C8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7" operator="containsText" id="{4063EF75-F894-41F6-B79F-65696C46FEBE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8" operator="containsText" id="{383EC6D0-29E8-4A6E-9DFA-7664B84120ED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" operator="containsText" id="{A09F6CFD-5425-47ED-91A3-60F9F50BAFFA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0" operator="containsText" id="{6D2A4B2B-4F5B-411E-9917-96ED1809E261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1" operator="containsText" id="{E8816DAE-DAC1-42CA-BC81-7D7111DFF391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2" operator="containsText" id="{83232E92-13C1-4D48-9291-F8834215F15D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3" operator="containsText" id="{DACB9B27-4D6A-4560-BF6B-6DF64CD2CDE1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1BBB-63F3-4D6B-9912-59202B1900AC}">
  <sheetPr>
    <tabColor theme="7"/>
    <pageSetUpPr fitToPage="1"/>
  </sheetPr>
  <dimension ref="A1:P93"/>
  <sheetViews>
    <sheetView showGridLines="0" zoomScaleNormal="100" workbookViewId="0">
      <pane ySplit="4" topLeftCell="A8" activePane="bottomLeft" state="frozen"/>
      <selection pane="bottomLeft" activeCell="K17" sqref="K17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57" t="s">
        <v>139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44725</v>
      </c>
      <c r="C3" s="43">
        <f>B3+1</f>
        <v>44726</v>
      </c>
      <c r="D3" s="43">
        <f t="shared" ref="D3:H3" si="0">C3+1</f>
        <v>44727</v>
      </c>
      <c r="E3" s="43">
        <f t="shared" si="0"/>
        <v>44728</v>
      </c>
      <c r="F3" s="43">
        <f t="shared" si="0"/>
        <v>44729</v>
      </c>
      <c r="G3" s="43">
        <f t="shared" si="0"/>
        <v>44730</v>
      </c>
      <c r="H3" s="43">
        <f t="shared" si="0"/>
        <v>44731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 t="s">
        <v>4</v>
      </c>
      <c r="J5" s="17" t="s">
        <v>112</v>
      </c>
      <c r="K5" s="4">
        <f>COUNTIF($B$5:$H$93,J5)</f>
        <v>0</v>
      </c>
      <c r="L5" s="45">
        <f t="shared" ref="L5:L13" si="3">K5/$K$14</f>
        <v>0</v>
      </c>
      <c r="M5" t="s">
        <v>140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5</v>
      </c>
      <c r="L6" s="45">
        <f t="shared" si="3"/>
        <v>0.38461538461538464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1</v>
      </c>
      <c r="L7" s="45">
        <f t="shared" si="3"/>
        <v>7.6923076923076927E-2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1</v>
      </c>
      <c r="L8" s="45">
        <f t="shared" si="3"/>
        <v>7.6923076923076927E-2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2</v>
      </c>
      <c r="L9" s="45">
        <f t="shared" si="3"/>
        <v>0.15384615384615385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 t="s">
        <v>4</v>
      </c>
      <c r="J11" s="23" t="s">
        <v>9</v>
      </c>
      <c r="K11" s="4">
        <f t="shared" si="4"/>
        <v>1</v>
      </c>
      <c r="L11" s="45">
        <f t="shared" si="3"/>
        <v>7.6923076923076927E-2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3</v>
      </c>
      <c r="L12" s="45">
        <f t="shared" si="3"/>
        <v>0.23076923076923078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1" t="s">
        <v>1</v>
      </c>
      <c r="K14" s="1">
        <f>SUM(K5:K12)</f>
        <v>13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 t="s">
        <v>9</v>
      </c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 t="s">
        <v>4</v>
      </c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 t="s">
        <v>6</v>
      </c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 t="s">
        <v>4</v>
      </c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 t="s">
        <v>4</v>
      </c>
    </row>
    <row r="43" spans="1:8" x14ac:dyDescent="0.25">
      <c r="A43" s="11" t="s">
        <v>58</v>
      </c>
      <c r="B43" s="16"/>
      <c r="C43" s="16" t="s">
        <v>114</v>
      </c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 t="s">
        <v>114</v>
      </c>
      <c r="D53" s="16"/>
      <c r="E53" s="16"/>
      <c r="F53" s="16"/>
      <c r="G53" s="16"/>
      <c r="H53" s="16" t="s">
        <v>7</v>
      </c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 t="s">
        <v>114</v>
      </c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 t="s">
        <v>7</v>
      </c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 t="s">
        <v>5</v>
      </c>
      <c r="H93" s="16"/>
    </row>
  </sheetData>
  <mergeCells count="1">
    <mergeCell ref="A1:H2"/>
  </mergeCells>
  <conditionalFormatting sqref="A1:A1048576">
    <cfRule type="containsText" dxfId="1800" priority="34" operator="containsText" text="Pivô ">
      <formula>NOT(ISERROR(SEARCH("Pivô ",A1)))</formula>
    </cfRule>
  </conditionalFormatting>
  <conditionalFormatting sqref="B5:H93">
    <cfRule type="containsText" dxfId="1790" priority="10" operator="containsText" text="Cardã">
      <formula>NOT(ISERROR(SEARCH("Cardã",B5)))</formula>
    </cfRule>
    <cfRule type="containsText" dxfId="1789" priority="11" operator="containsText" text="Pneu">
      <formula>NOT(ISERROR(SEARCH("Pneu",B5)))</formula>
    </cfRule>
    <cfRule type="containsText" dxfId="1788" priority="12" operator="containsText" text="Vedação">
      <formula>NOT(ISERROR(SEARCH("Vedação",B5)))</formula>
    </cfRule>
    <cfRule type="containsText" dxfId="1787" priority="13" operator="containsText" text="Retentor">
      <formula>NOT(ISERROR(SEARCH("Retentor",B5)))</formula>
    </cfRule>
    <cfRule type="containsText" dxfId="1786" priority="14" operator="containsText" text="Motorredutor">
      <formula>NOT(ISERROR(SEARCH("Motorredutor",B5)))</formula>
    </cfRule>
    <cfRule type="containsText" dxfId="1785" priority="15" operator="containsText" text="Redutor">
      <formula>NOT(ISERROR(SEARCH("Redutor",B5)))</formula>
    </cfRule>
    <cfRule type="containsText" dxfId="1784" priority="16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FDD3083D-ED6A-4EA9-8F53-B406E3A1086D}">
      <formula1>$J$5:$J$13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4EC7C4C-E206-4B0B-965D-22BC19D7B12C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2" operator="containsText" id="{EE463A1A-DE4E-4923-A576-E5222F70C427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3" operator="containsText" id="{257FABFE-0095-480C-8B6B-0799A347BFF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4" operator="containsText" id="{AEE29A97-4173-4017-8ADB-4AA4F9F46B75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5" operator="containsText" id="{F5B840C4-F97F-4A05-8E99-86353656EBEC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6" operator="containsText" id="{E5D1F6B6-E5A7-4838-8A8D-E1714BE3C014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7" operator="containsText" id="{12E92D79-5579-4E54-8303-86B83DA9CC51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8" operator="containsText" id="{D8017C18-AFBB-4E2E-B448-F4F4AE1158AF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9" operator="containsText" id="{FAC746B4-4C25-47E2-ADE7-F6C4E738EF57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7" operator="containsText" id="{8D8A5E6D-D226-413C-A38D-1D037A8B748D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8" operator="containsText" id="{4AF4C1BC-AB80-496F-BD39-709F3EF10D7F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B9BCAAF7-3E03-47CA-B771-2CB243DF080A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0" operator="containsText" id="{4FDE9773-0723-4610-A7BA-3C1C6A6DEC6C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2" operator="containsText" id="{DAB1BEE4-897F-4871-BC6D-1B1FF1FC56AE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7" operator="containsText" id="{1FE07363-9F6D-4754-9344-5E2703BFA3E3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8" operator="containsText" id="{5251B861-9D08-4FF2-B399-E0AA1AF81802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" operator="containsText" id="{05F8B16F-D50A-4932-A28B-DE7F9937A7B0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0" operator="containsText" id="{3BED6A6A-A714-44E0-BBB8-ACAEEB1C904D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1" operator="containsText" id="{5B6294CF-DB90-41AC-A9B0-55F21AFE5C93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2" operator="containsText" id="{4E92DC85-7894-4B44-8677-6B9C00B754F1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3" operator="containsText" id="{61DC54A8-69ED-4813-BC9E-893356C1F4CD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2781-FF7B-4DCD-B428-653277127124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D21" sqref="D21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</cols>
  <sheetData>
    <row r="1" spans="1:16" s="8" customFormat="1" x14ac:dyDescent="0.25">
      <c r="A1" s="57" t="s">
        <v>141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44732</v>
      </c>
      <c r="C3" s="43">
        <f>B3+1</f>
        <v>44733</v>
      </c>
      <c r="D3" s="43">
        <f t="shared" ref="D3:H3" si="0">C3+1</f>
        <v>44734</v>
      </c>
      <c r="E3" s="43">
        <f t="shared" si="0"/>
        <v>44735</v>
      </c>
      <c r="F3" s="43">
        <f t="shared" si="0"/>
        <v>44736</v>
      </c>
      <c r="G3" s="43">
        <f t="shared" si="0"/>
        <v>44737</v>
      </c>
      <c r="H3" s="43">
        <f t="shared" si="0"/>
        <v>44738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3" si="3">K5/$K$14</f>
        <v>0</v>
      </c>
      <c r="M5" t="s">
        <v>142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1</v>
      </c>
      <c r="L7" s="45">
        <f t="shared" si="3"/>
        <v>1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0</v>
      </c>
      <c r="L8" s="45">
        <f t="shared" si="3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1" t="s">
        <v>1</v>
      </c>
      <c r="K14" s="1">
        <f>SUM(K5:K12)</f>
        <v>1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 t="s">
        <v>5</v>
      </c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771" priority="34" operator="containsText" text="Pivô ">
      <formula>NOT(ISERROR(SEARCH("Pivô ",A1)))</formula>
    </cfRule>
  </conditionalFormatting>
  <conditionalFormatting sqref="B5:H93">
    <cfRule type="containsText" dxfId="1761" priority="10" operator="containsText" text="Cardã">
      <formula>NOT(ISERROR(SEARCH("Cardã",B5)))</formula>
    </cfRule>
    <cfRule type="containsText" dxfId="1760" priority="11" operator="containsText" text="Pneu">
      <formula>NOT(ISERROR(SEARCH("Pneu",B5)))</formula>
    </cfRule>
    <cfRule type="containsText" dxfId="1759" priority="12" operator="containsText" text="Vedação">
      <formula>NOT(ISERROR(SEARCH("Vedação",B5)))</formula>
    </cfRule>
    <cfRule type="containsText" dxfId="1758" priority="13" operator="containsText" text="Retentor">
      <formula>NOT(ISERROR(SEARCH("Retentor",B5)))</formula>
    </cfRule>
    <cfRule type="containsText" dxfId="1757" priority="14" operator="containsText" text="Motorredutor">
      <formula>NOT(ISERROR(SEARCH("Motorredutor",B5)))</formula>
    </cfRule>
    <cfRule type="containsText" dxfId="1756" priority="15" operator="containsText" text="Redutor">
      <formula>NOT(ISERROR(SEARCH("Redutor",B5)))</formula>
    </cfRule>
    <cfRule type="containsText" dxfId="1755" priority="16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E9C1ADC0-2B42-4F47-8B02-0F135BBC133F}">
      <formula1>$J$5:$J$13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1631D4D-755F-463B-A5E8-DFF38845F47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2" operator="containsText" id="{7C905957-CBDC-4E32-943A-80974BF896C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3" operator="containsText" id="{382EDC7F-DB42-47E9-8720-6A07688FD86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4" operator="containsText" id="{F6BD61A0-9DF3-4062-ABE9-23C2BF2C1C6D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5" operator="containsText" id="{7BA07DE2-FDD6-4A4F-A8D2-652238266F83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6" operator="containsText" id="{E1A6F07F-EF6C-47C1-BEA6-9F0486E57BB9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7" operator="containsText" id="{3D05B1EB-A6A6-435C-9F1D-52AD64D9562E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8" operator="containsText" id="{91E46933-A477-4515-89D7-BC633FB9F98F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9" operator="containsText" id="{EA4286D0-D33F-40C3-8BCD-1E3E963A4754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7" operator="containsText" id="{B3B4082F-5C7A-4E11-83D5-4EB66E79625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8" operator="containsText" id="{B0F23E58-45FD-4903-82A6-369FD630D5E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9" operator="containsText" id="{0AC49DEA-CA94-46EC-AE4C-2828FB2073B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0" operator="containsText" id="{D36D16DE-DD0D-4380-8B46-8E6BDA08275A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2" operator="containsText" id="{0BF25641-4E54-40E0-A2C9-DF477CCE4518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7" operator="containsText" id="{9A43B9E2-9049-4323-9328-7B8D55C6730E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8" operator="containsText" id="{DE870192-7642-4EDA-B5E8-32B58604D9CD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" operator="containsText" id="{A0DC6849-AC5C-4A8B-AB50-3B52ACEF26D1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0" operator="containsText" id="{152E129D-84CA-4BDA-8CFF-51DA002AB22C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1" operator="containsText" id="{52D5813A-5ABF-4F2B-8BE9-CF58FEBB0BD6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2" operator="containsText" id="{4F906F9A-3077-405C-ACCE-CD277C1133C0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3" operator="containsText" id="{013D039D-4289-4159-A7E8-A805F3115118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9645-F19A-4E63-A568-D7ED743D6310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F7" sqref="F7:H10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143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44739</v>
      </c>
      <c r="C3" s="43">
        <f>B3+1</f>
        <v>44740</v>
      </c>
      <c r="D3" s="43">
        <f t="shared" ref="D3:H3" si="0">C3+1</f>
        <v>44741</v>
      </c>
      <c r="E3" s="43">
        <f t="shared" si="0"/>
        <v>44742</v>
      </c>
      <c r="F3" s="43">
        <f t="shared" si="0"/>
        <v>44743</v>
      </c>
      <c r="G3" s="43">
        <f t="shared" si="0"/>
        <v>44744</v>
      </c>
      <c r="H3" s="43">
        <f t="shared" si="0"/>
        <v>44745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4" si="3">K5/$K$15</f>
        <v>0</v>
      </c>
      <c r="M5" s="48">
        <v>44746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1</v>
      </c>
      <c r="L6" s="45">
        <f t="shared" si="3"/>
        <v>0.16666666666666666</v>
      </c>
    </row>
    <row r="7" spans="1:16" x14ac:dyDescent="0.25">
      <c r="A7" s="11" t="s">
        <v>21</v>
      </c>
      <c r="B7" s="16"/>
      <c r="C7" s="16"/>
      <c r="D7" s="16"/>
      <c r="E7" s="16"/>
      <c r="F7" s="16" t="s">
        <v>9</v>
      </c>
      <c r="G7" s="16" t="s">
        <v>5</v>
      </c>
      <c r="H7" s="16"/>
      <c r="J7" s="19" t="s">
        <v>5</v>
      </c>
      <c r="K7" s="4">
        <f t="shared" si="4"/>
        <v>2</v>
      </c>
      <c r="L7" s="45">
        <f t="shared" si="3"/>
        <v>0.33333333333333331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 t="s">
        <v>5</v>
      </c>
      <c r="J8" s="20" t="s">
        <v>6</v>
      </c>
      <c r="K8" s="4">
        <f t="shared" si="4"/>
        <v>0</v>
      </c>
      <c r="L8" s="45">
        <f t="shared" si="3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 t="s">
        <v>4</v>
      </c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1</v>
      </c>
      <c r="L11" s="45">
        <f t="shared" si="3"/>
        <v>0.16666666666666666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2</v>
      </c>
      <c r="L12" s="45">
        <f t="shared" si="3"/>
        <v>0.33333333333333331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1" t="s">
        <v>1</v>
      </c>
      <c r="K15" s="1">
        <f>SUM(K5:K12)</f>
        <v>6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  <c r="I19" s="55" t="s">
        <v>132</v>
      </c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 t="s">
        <v>114</v>
      </c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 t="s">
        <v>114</v>
      </c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742" priority="35" operator="containsText" text="Pivô ">
      <formula>NOT(ISERROR(SEARCH("Pivô ",A1)))</formula>
    </cfRule>
  </conditionalFormatting>
  <conditionalFormatting sqref="B5:H93">
    <cfRule type="containsText" dxfId="1731" priority="11" operator="containsText" text="Cardã">
      <formula>NOT(ISERROR(SEARCH("Cardã",B5)))</formula>
    </cfRule>
    <cfRule type="containsText" dxfId="1730" priority="12" operator="containsText" text="Pneu">
      <formula>NOT(ISERROR(SEARCH("Pneu",B5)))</formula>
    </cfRule>
    <cfRule type="containsText" dxfId="1729" priority="13" operator="containsText" text="Vedação">
      <formula>NOT(ISERROR(SEARCH("Vedação",B5)))</formula>
    </cfRule>
    <cfRule type="containsText" dxfId="1728" priority="14" operator="containsText" text="Retentor">
      <formula>NOT(ISERROR(SEARCH("Retentor",B5)))</formula>
    </cfRule>
    <cfRule type="containsText" dxfId="1727" priority="15" operator="containsText" text="Motorredutor">
      <formula>NOT(ISERROR(SEARCH("Motorredutor",B5)))</formula>
    </cfRule>
    <cfRule type="containsText" dxfId="1726" priority="16" operator="containsText" text="Redutor">
      <formula>NOT(ISERROR(SEARCH("Redutor",B5)))</formula>
    </cfRule>
    <cfRule type="containsText" dxfId="1725" priority="17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8D288346-E831-455B-868C-052D69C8D1A6}">
      <formula1>$J$5:$J$14</formula1>
    </dataValidation>
  </dataValidations>
  <hyperlinks>
    <hyperlink ref="I19" location="'Dashboard Indicadores'!A1" display="'Dashboard Indicadores'!A1" xr:uid="{D1A15E49-12AF-4775-B150-0E69E94943AF}"/>
  </hyperlink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761BE7E-550B-4C01-995A-574C12140248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2" operator="containsText" id="{58AD3C00-7BC5-4321-A7F8-825AC35D7D9B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3" operator="containsText" id="{35445FF4-8348-4C7D-9020-7AAEC4F7A37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4" operator="containsText" id="{F25D2772-D03D-499E-B9BC-E8EBA54BD8FD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5" operator="containsText" id="{8D8BBD59-790B-4104-999C-1958A5E7FA1A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6" operator="containsText" id="{BB38948D-7ED2-40A0-ABDD-358B5F62FC70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7" operator="containsText" id="{8F7B73F9-3165-45D8-8A3C-27227CA93F7D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8" operator="containsText" id="{FC5268CA-C21E-482D-8000-101E66C3BB20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9" operator="containsText" id="{507E713F-7C23-42C8-8109-606CDDE2E674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0" operator="containsText" id="{C1E4061E-5F06-45E9-A0FF-ADB39EB20B62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8" operator="containsText" id="{5951762E-3AE8-4428-BA98-DC57CFDD4E94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9" operator="containsText" id="{F6C1EC56-0D4A-4B88-BF1E-C2D551B170A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0" operator="containsText" id="{61CD5284-9AA5-4C0C-82D7-9C6759D857DA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927AA4BC-B5A3-4366-94B3-93F0007B79E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3" operator="containsText" id="{6393AE03-2771-4755-B955-D09EF19735AB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8" operator="containsText" id="{B9AD4910-4A41-4523-831C-F22E9ED29789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9" operator="containsText" id="{75DE96E9-4A0E-436D-A76D-05DE5DCB88A4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0" operator="containsText" id="{4B210C4C-49F6-4AEA-B1A0-53938A226C6D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1" operator="containsText" id="{6E0E7034-FA3D-4EDE-BC23-D1BD1C03CD9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2" operator="containsText" id="{928E65D9-CB7D-4945-B291-872B10CF4246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3" operator="containsText" id="{BF79DFEC-8532-44A1-B691-502B0533AEB4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4" operator="containsText" id="{9B1BE619-2764-4774-BA13-F4CDDA7570A7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7CD8-3CD9-4254-A5CE-0F8648C275B6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D26" sqref="D26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145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44746</v>
      </c>
      <c r="C3" s="43">
        <f>B3+1</f>
        <v>44747</v>
      </c>
      <c r="D3" s="43">
        <f t="shared" ref="D3:H3" si="0">C3+1</f>
        <v>44748</v>
      </c>
      <c r="E3" s="43">
        <f t="shared" si="0"/>
        <v>44749</v>
      </c>
      <c r="F3" s="43">
        <f t="shared" si="0"/>
        <v>44750</v>
      </c>
      <c r="G3" s="43">
        <f t="shared" si="0"/>
        <v>44751</v>
      </c>
      <c r="H3" s="43">
        <f t="shared" si="0"/>
        <v>44752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3" si="3">K5/$K$15</f>
        <v>0</v>
      </c>
      <c r="M5" s="48">
        <v>44746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0</v>
      </c>
      <c r="L8" s="45">
        <f t="shared" si="3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1</v>
      </c>
      <c r="L11" s="45">
        <f t="shared" si="3"/>
        <v>0.33333333333333331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1</v>
      </c>
      <c r="L12" s="45">
        <f t="shared" si="3"/>
        <v>0.33333333333333331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1</v>
      </c>
      <c r="L14" s="45">
        <f>K14/$K$15</f>
        <v>0.33333333333333331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1" t="s">
        <v>1</v>
      </c>
      <c r="K15" s="1">
        <f>SUM(K5:K14)</f>
        <v>3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 t="s">
        <v>144</v>
      </c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 t="s">
        <v>114</v>
      </c>
      <c r="G61" s="16"/>
      <c r="H61" s="16"/>
    </row>
    <row r="62" spans="1:8" x14ac:dyDescent="0.25">
      <c r="A62" s="11" t="s">
        <v>77</v>
      </c>
      <c r="B62" s="16"/>
      <c r="C62" s="16"/>
      <c r="D62" s="16" t="s">
        <v>9</v>
      </c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712" priority="35" operator="containsText" text="Pivô ">
      <formula>NOT(ISERROR(SEARCH("Pivô ",A1)))</formula>
    </cfRule>
  </conditionalFormatting>
  <conditionalFormatting sqref="B5:H93">
    <cfRule type="containsText" dxfId="1701" priority="11" operator="containsText" text="Cardã">
      <formula>NOT(ISERROR(SEARCH("Cardã",B5)))</formula>
    </cfRule>
    <cfRule type="containsText" dxfId="1700" priority="12" operator="containsText" text="Pneu">
      <formula>NOT(ISERROR(SEARCH("Pneu",B5)))</formula>
    </cfRule>
    <cfRule type="containsText" dxfId="1699" priority="13" operator="containsText" text="Vedação">
      <formula>NOT(ISERROR(SEARCH("Vedação",B5)))</formula>
    </cfRule>
    <cfRule type="containsText" dxfId="1698" priority="14" operator="containsText" text="Retentor">
      <formula>NOT(ISERROR(SEARCH("Retentor",B5)))</formula>
    </cfRule>
    <cfRule type="containsText" dxfId="1697" priority="15" operator="containsText" text="Motorredutor">
      <formula>NOT(ISERROR(SEARCH("Motorredutor",B5)))</formula>
    </cfRule>
    <cfRule type="containsText" dxfId="1696" priority="16" operator="containsText" text="Redutor">
      <formula>NOT(ISERROR(SEARCH("Redutor",B5)))</formula>
    </cfRule>
    <cfRule type="containsText" dxfId="1695" priority="17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28542546-5FDE-49EB-8BB4-DB4D64A0232F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210C9F1-D009-4AE5-9B1B-29C17005299D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2" operator="containsText" id="{3A4E2A4C-4408-401F-A42B-AA5FE834D0AF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3" operator="containsText" id="{52B527B3-3131-44BC-923F-64687E85E5D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4" operator="containsText" id="{ACAEB974-C360-4155-A35D-64285DAFD522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5" operator="containsText" id="{2DA44B6F-B12B-49D4-A3E3-532CC51C25E6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6" operator="containsText" id="{E0BFD032-51B3-4529-899F-B2251FEF3988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7" operator="containsText" id="{772E9967-765B-4965-840D-6FD5560B122F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8" operator="containsText" id="{6EE21997-FCD8-4F7E-8B08-52C5FA6A462F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9" operator="containsText" id="{62F6E6E0-2D76-4A92-8F19-2E019927CDE1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0" operator="containsText" id="{F68FE15E-2EC5-409E-BC0B-93AC896F80BD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8" operator="containsText" id="{6B671E3E-73CE-4C2C-8508-65CA80050D0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9" operator="containsText" id="{80CB07FC-8121-4528-8095-772DDE86733E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0" operator="containsText" id="{DAB74F8D-1D16-4A3C-AF46-FBCEB4EE48CA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B640DAC5-380C-4F56-A7D1-40AAF76E29E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3" operator="containsText" id="{6AEAEC49-9E50-436B-8236-F3AF3AC2BFE2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8" operator="containsText" id="{5C58D146-4F2B-41D2-B362-9FE15AE7F7E4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9" operator="containsText" id="{08442F7E-5E77-4776-A8E2-4AE809CE5C2A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0" operator="containsText" id="{0289827A-FE8F-4DC4-9E68-6AC0183DBEB9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1" operator="containsText" id="{18ECC534-A8BA-4EAF-8520-76FB59B31DC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2" operator="containsText" id="{39AAD6B8-D336-46C4-AE32-432964043D0A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3" operator="containsText" id="{E0519E63-BA69-4A1C-86AE-6E41ECA2E578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4" operator="containsText" id="{AA124CB5-2201-4764-8D9B-62D6A46A696C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6CA4-B5F4-4559-966E-7DAA3D374C89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G66" sqref="G66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146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44753</v>
      </c>
      <c r="C3" s="43">
        <f>B3+1</f>
        <v>44754</v>
      </c>
      <c r="D3" s="43">
        <f t="shared" ref="D3:H3" si="0">C3+1</f>
        <v>44755</v>
      </c>
      <c r="E3" s="43">
        <f t="shared" si="0"/>
        <v>44756</v>
      </c>
      <c r="F3" s="43">
        <f t="shared" si="0"/>
        <v>44757</v>
      </c>
      <c r="G3" s="43">
        <f t="shared" si="0"/>
        <v>44758</v>
      </c>
      <c r="H3" s="43">
        <f t="shared" si="0"/>
        <v>44759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2</v>
      </c>
      <c r="L5" s="45">
        <f t="shared" ref="L5:L13" si="3">K5/$K$15</f>
        <v>0.2857142857142857</v>
      </c>
      <c r="M5" s="48">
        <f>B3</f>
        <v>44753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0</v>
      </c>
      <c r="L8" s="45">
        <f t="shared" si="3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2</v>
      </c>
      <c r="L11" s="45">
        <f t="shared" si="3"/>
        <v>0.2857142857142857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2</v>
      </c>
      <c r="L12" s="45">
        <f t="shared" si="3"/>
        <v>0.2857142857142857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1</v>
      </c>
      <c r="L14" s="45">
        <f>K14/$K$15</f>
        <v>0.14285714285714285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1" t="s">
        <v>1</v>
      </c>
      <c r="K15" s="1">
        <f>SUM(K5:K14)</f>
        <v>7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 t="s">
        <v>9</v>
      </c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 t="s">
        <v>112</v>
      </c>
      <c r="G34" s="16" t="s">
        <v>112</v>
      </c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 t="s">
        <v>114</v>
      </c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 t="s">
        <v>114</v>
      </c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 t="s">
        <v>9</v>
      </c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 t="s">
        <v>144</v>
      </c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682" priority="35" operator="containsText" text="Pivô ">
      <formula>NOT(ISERROR(SEARCH("Pivô ",A1)))</formula>
    </cfRule>
  </conditionalFormatting>
  <conditionalFormatting sqref="B5:H93">
    <cfRule type="containsText" dxfId="1671" priority="11" operator="containsText" text="Cardã">
      <formula>NOT(ISERROR(SEARCH("Cardã",B5)))</formula>
    </cfRule>
    <cfRule type="containsText" dxfId="1670" priority="12" operator="containsText" text="Pneu">
      <formula>NOT(ISERROR(SEARCH("Pneu",B5)))</formula>
    </cfRule>
    <cfRule type="containsText" dxfId="1669" priority="13" operator="containsText" text="Vedação">
      <formula>NOT(ISERROR(SEARCH("Vedação",B5)))</formula>
    </cfRule>
    <cfRule type="containsText" dxfId="1668" priority="14" operator="containsText" text="Retentor">
      <formula>NOT(ISERROR(SEARCH("Retentor",B5)))</formula>
    </cfRule>
    <cfRule type="containsText" dxfId="1667" priority="15" operator="containsText" text="Motorredutor">
      <formula>NOT(ISERROR(SEARCH("Motorredutor",B5)))</formula>
    </cfRule>
    <cfRule type="containsText" dxfId="1666" priority="16" operator="containsText" text="Redutor">
      <formula>NOT(ISERROR(SEARCH("Redutor",B5)))</formula>
    </cfRule>
    <cfRule type="containsText" dxfId="1665" priority="17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696863A3-BA84-4021-AE7D-77807DF70DEB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F09BBEEF-E043-49AD-9A1C-1BBDF241900E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2" operator="containsText" id="{2B9744DD-F6B5-4D20-88C3-0B2619054AEA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3" operator="containsText" id="{28EA8E48-7DF1-439E-80BC-50B6D5E944D6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4" operator="containsText" id="{540B6D3F-E897-4DEC-BDC0-1F9137A4AAB9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5" operator="containsText" id="{4CC91A58-27B4-4B7F-AE47-D22B07C5E838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6" operator="containsText" id="{E9A9D4DD-4604-45DF-BFFE-CF0A08AE0845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7" operator="containsText" id="{99FE9493-4E41-4EE8-85E6-B917D5234492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8" operator="containsText" id="{19AADE80-8519-477E-BFAB-BEA814D21D04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9" operator="containsText" id="{AD8ED096-7FDD-4B5B-AA05-F57160D9916D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0" operator="containsText" id="{5B809E24-A6AE-4BEE-A596-5D9CF367BF9A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8" operator="containsText" id="{1E70FB5E-9C88-4B62-86F1-DF4B3CD74B7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9" operator="containsText" id="{42315162-F2D8-44BD-9053-ECDD97BF68C4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0" operator="containsText" id="{9AF49E1E-1787-426C-8A69-3D4BB5B19E1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88197DD4-2D9D-4945-A959-FB7CEA6CEB72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3" operator="containsText" id="{35E6D9A6-FDBA-4203-88F7-9BB8DDA6EDD6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8" operator="containsText" id="{3FB9B8AF-7D9C-4D2F-B40C-212AC90A6A98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9" operator="containsText" id="{02A9FBF2-1E59-4C45-A426-B5A07D132251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0" operator="containsText" id="{A35458F3-8195-4F26-BC0C-55751C8A1D62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1" operator="containsText" id="{1719890F-8D0D-4A4E-A042-536CFC1FA07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2" operator="containsText" id="{A1BA7563-0A38-464D-B4DF-F983F8EAF96D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3" operator="containsText" id="{B52366AC-32C8-4067-A3CB-B9B640C6A30F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4" operator="containsText" id="{E4CAE1C9-8BF4-4C5B-AF18-6ACCE205E03C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A1044-B4E4-4D24-85E3-122199FE2926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A23" sqref="A23:XFD23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147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44760</v>
      </c>
      <c r="C3" s="43">
        <f>B3+1</f>
        <v>44761</v>
      </c>
      <c r="D3" s="43">
        <f t="shared" ref="D3:H3" si="0">C3+1</f>
        <v>44762</v>
      </c>
      <c r="E3" s="43">
        <f t="shared" si="0"/>
        <v>44763</v>
      </c>
      <c r="F3" s="43">
        <f t="shared" si="0"/>
        <v>44764</v>
      </c>
      <c r="G3" s="43">
        <f t="shared" si="0"/>
        <v>44765</v>
      </c>
      <c r="H3" s="43">
        <f t="shared" si="0"/>
        <v>44766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5" si="3">K5/$K$16</f>
        <v>0</v>
      </c>
      <c r="M5" s="48">
        <f>B3</f>
        <v>44760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1</v>
      </c>
      <c r="L7" s="45">
        <f t="shared" si="3"/>
        <v>0.2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1</v>
      </c>
      <c r="L8" s="45">
        <f t="shared" si="3"/>
        <v>0.2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2</v>
      </c>
      <c r="L12" s="45">
        <f t="shared" si="3"/>
        <v>0.4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1</v>
      </c>
      <c r="L13" s="45">
        <f t="shared" si="3"/>
        <v>0.2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0</v>
      </c>
      <c r="L15" s="45">
        <f t="shared" si="3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1" t="s">
        <v>1</v>
      </c>
      <c r="K16" s="1">
        <f>SUM(K5:K14)</f>
        <v>5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 t="s">
        <v>11</v>
      </c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 t="s">
        <v>5</v>
      </c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 t="s">
        <v>6</v>
      </c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 t="s">
        <v>114</v>
      </c>
      <c r="C61" s="16"/>
      <c r="D61" s="16"/>
      <c r="E61" s="16" t="s">
        <v>114</v>
      </c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652" priority="36" operator="containsText" text="Pivô ">
      <formula>NOT(ISERROR(SEARCH("Pivô ",A1)))</formula>
    </cfRule>
  </conditionalFormatting>
  <conditionalFormatting sqref="B5:H93">
    <cfRule type="containsText" dxfId="1640" priority="12" operator="containsText" text="Cardã">
      <formula>NOT(ISERROR(SEARCH("Cardã",B5)))</formula>
    </cfRule>
    <cfRule type="containsText" dxfId="1639" priority="13" operator="containsText" text="Pneu">
      <formula>NOT(ISERROR(SEARCH("Pneu",B5)))</formula>
    </cfRule>
    <cfRule type="containsText" dxfId="1638" priority="14" operator="containsText" text="Vedação">
      <formula>NOT(ISERROR(SEARCH("Vedação",B5)))</formula>
    </cfRule>
    <cfRule type="containsText" dxfId="1637" priority="15" operator="containsText" text="Retentor">
      <formula>NOT(ISERROR(SEARCH("Retentor",B5)))</formula>
    </cfRule>
    <cfRule type="containsText" dxfId="1636" priority="16" operator="containsText" text="Motorredutor">
      <formula>NOT(ISERROR(SEARCH("Motorredutor",B5)))</formula>
    </cfRule>
    <cfRule type="containsText" dxfId="1635" priority="17" operator="containsText" text="Redutor">
      <formula>NOT(ISERROR(SEARCH("Redutor",B5)))</formula>
    </cfRule>
    <cfRule type="containsText" dxfId="1634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CF28C427-3D40-4021-A1EC-3726252A1058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3A88F0F-BB83-4500-958E-2EAA7E7B8FB7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379A1853-210A-49BE-BD26-8477D146A7AC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D1012DC1-8091-4E27-B414-628B8A55878C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1D3601E3-BABE-4A13-B93B-885C594C8B74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C5D0917A-7D8C-4DAC-850E-722C13DF6DCC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E135B301-09A2-4FC3-A5F9-F9770E838815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47A2C73F-03B4-4946-8708-AF771AA502B5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8206517A-1CA2-4B4A-812E-A5D4E8CCCC8E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D9E104D5-5EA2-4ABF-BF9C-DDD83476E880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83758055-F265-40DC-A68B-2CDF29DCD00E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608E9B78-260F-498C-8C18-59FDBA33EFB7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25D0C48E-82C9-4941-8F11-F1E5132BA5B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A029DCF4-8E6E-4D18-B807-922BE08C845D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488911CA-6588-4F5B-9CBA-D72F4D87C895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0F17D36C-52BF-4F47-B49F-3ABC8CE3DA3C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8629B1C6-2C3D-4787-A71D-754CE2E52583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D9A89BA9-3E0F-45CC-8236-6C5D5787CCAB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90BB9482-E438-4A3A-AA2D-7D721483EE33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8B31D8E9-F1C7-4452-9C8C-1F46CC58A925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1EFA27E6-6443-48BD-BDA7-3C736278BB9C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377BE563-7AD1-4494-839F-71589E553BFD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CE569E59-989B-4D50-B7E7-1245474BC753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95814D92-385B-4550-9AFD-173277707E38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07103-E2D3-41EE-BC3B-08406DAAFA7E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5" sqref="K5:L15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149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44767</v>
      </c>
      <c r="C3" s="43">
        <f>B3+1</f>
        <v>44768</v>
      </c>
      <c r="D3" s="43">
        <f t="shared" ref="D3:H3" si="0">C3+1</f>
        <v>44769</v>
      </c>
      <c r="E3" s="43">
        <f t="shared" si="0"/>
        <v>44770</v>
      </c>
      <c r="F3" s="43">
        <f t="shared" si="0"/>
        <v>44771</v>
      </c>
      <c r="G3" s="43">
        <f t="shared" si="0"/>
        <v>44772</v>
      </c>
      <c r="H3" s="43">
        <f t="shared" si="0"/>
        <v>44773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5" si="3">K5/$K$16</f>
        <v>0</v>
      </c>
      <c r="M5" s="48">
        <f>B3</f>
        <v>44767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3</v>
      </c>
      <c r="L7" s="45">
        <f t="shared" si="3"/>
        <v>0.5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0</v>
      </c>
      <c r="L8" s="45">
        <f t="shared" si="3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3</v>
      </c>
      <c r="L9" s="45">
        <f t="shared" si="3"/>
        <v>0.5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0</v>
      </c>
      <c r="L15" s="45">
        <f t="shared" si="3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1" t="s">
        <v>1</v>
      </c>
      <c r="K16" s="1">
        <f>SUM(K5:K14)</f>
        <v>6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 t="s">
        <v>7</v>
      </c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 t="s">
        <v>7</v>
      </c>
      <c r="F53" s="16" t="s">
        <v>7</v>
      </c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 t="s">
        <v>5</v>
      </c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 t="s">
        <v>5</v>
      </c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 t="s">
        <v>5</v>
      </c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621" priority="36" operator="containsText" text="Pivô ">
      <formula>NOT(ISERROR(SEARCH("Pivô ",A1)))</formula>
    </cfRule>
  </conditionalFormatting>
  <conditionalFormatting sqref="B5:H93">
    <cfRule type="containsText" dxfId="1609" priority="12" operator="containsText" text="Cardã">
      <formula>NOT(ISERROR(SEARCH("Cardã",B5)))</formula>
    </cfRule>
    <cfRule type="containsText" dxfId="1608" priority="13" operator="containsText" text="Pneu">
      <formula>NOT(ISERROR(SEARCH("Pneu",B5)))</formula>
    </cfRule>
    <cfRule type="containsText" dxfId="1607" priority="14" operator="containsText" text="Vedação">
      <formula>NOT(ISERROR(SEARCH("Vedação",B5)))</formula>
    </cfRule>
    <cfRule type="containsText" dxfId="1606" priority="15" operator="containsText" text="Retentor">
      <formula>NOT(ISERROR(SEARCH("Retentor",B5)))</formula>
    </cfRule>
    <cfRule type="containsText" dxfId="1605" priority="16" operator="containsText" text="Motorredutor">
      <formula>NOT(ISERROR(SEARCH("Motorredutor",B5)))</formula>
    </cfRule>
    <cfRule type="containsText" dxfId="1604" priority="17" operator="containsText" text="Redutor">
      <formula>NOT(ISERROR(SEARCH("Redutor",B5)))</formula>
    </cfRule>
    <cfRule type="containsText" dxfId="1603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AD54ABB2-33B1-43C0-9B93-C6903E6295C8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D1F6067-F5A3-47B2-9A76-FDC26603D475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DD3F3E13-8833-41BE-AA6E-CA8BF7101594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037093C7-5097-4080-9573-CA2B67928E1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B042C383-9F5F-4498-B5A6-339A4DD133F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E2504D88-0359-431C-BC6A-2F4BBEEE983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18FDD023-91A4-44A1-A09E-75B05C42ADA4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058A954C-C164-455C-973E-460E5B03FB94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38E93976-F938-4B53-A253-6EC6F9C425F7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28B581A1-23EF-4E35-A131-08243852FF01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8C392B58-A93C-4D58-865D-E2B9AA66BFF2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6CA8DB67-470C-43F3-B10B-F52789BFE1A3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D9C81113-4CF9-444E-837A-1A47942A2556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A6E716B7-8B69-4225-8DB3-752B86C09523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10AAC8D7-FA5B-4102-ADE1-C263E75656E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DF7E870B-07D3-49A8-90E7-A0EE625CF04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8DB620C9-5BFD-4CFD-835A-40406D8E298C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13D5C43D-684F-4FEC-8794-9BF35756FA83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88EBCAD0-4E8D-43E9-AF5F-941A427072DB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D9F5CCA3-7131-4C5E-A53C-67BDCBBD48AE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888420AF-32D3-46F0-AB66-CF4D76C9C45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838C137D-A692-4A93-B42D-76C4D05C33B9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D0FBB826-C6DC-429A-A44E-D809F9177323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02E09E66-F418-4FA8-9752-FB3D5CDD38EF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64B1-AEAD-4ED1-863F-9D43B0443436}">
  <sheetPr>
    <tabColor theme="7"/>
    <pageSetUpPr fitToPage="1"/>
  </sheetPr>
  <dimension ref="A1:P93"/>
  <sheetViews>
    <sheetView showGridLines="0" zoomScaleNormal="100" workbookViewId="0">
      <pane ySplit="4" topLeftCell="A59" activePane="bottomLeft" state="frozen"/>
      <selection pane="bottomLeft" activeCell="D11" sqref="D11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150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44774</v>
      </c>
      <c r="C3" s="43">
        <f>B3+1</f>
        <v>44775</v>
      </c>
      <c r="D3" s="43">
        <f t="shared" ref="D3:H3" si="0">C3+1</f>
        <v>44776</v>
      </c>
      <c r="E3" s="43">
        <f t="shared" si="0"/>
        <v>44777</v>
      </c>
      <c r="F3" s="43">
        <f t="shared" si="0"/>
        <v>44778</v>
      </c>
      <c r="G3" s="43">
        <f t="shared" si="0"/>
        <v>44779</v>
      </c>
      <c r="H3" s="43">
        <f t="shared" si="0"/>
        <v>44780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5" si="3">K5/$K$16</f>
        <v>0</v>
      </c>
      <c r="M5" s="48">
        <f>B3</f>
        <v>44774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0</v>
      </c>
      <c r="L8" s="45">
        <f t="shared" si="3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2</v>
      </c>
      <c r="L10" s="45">
        <f t="shared" si="3"/>
        <v>0.5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2</v>
      </c>
      <c r="L12" s="45">
        <f t="shared" si="3"/>
        <v>0.5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0</v>
      </c>
      <c r="L15" s="45">
        <f t="shared" si="3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1" t="s">
        <v>1</v>
      </c>
      <c r="K16" s="1">
        <f>SUM(K5:K14)</f>
        <v>4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 t="s">
        <v>8</v>
      </c>
      <c r="F18" s="16" t="s">
        <v>8</v>
      </c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 t="s">
        <v>114</v>
      </c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 t="s">
        <v>114</v>
      </c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590" priority="36" operator="containsText" text="Pivô ">
      <formula>NOT(ISERROR(SEARCH("Pivô ",A1)))</formula>
    </cfRule>
  </conditionalFormatting>
  <conditionalFormatting sqref="B5:H93">
    <cfRule type="containsText" dxfId="1578" priority="12" operator="containsText" text="Cardã">
      <formula>NOT(ISERROR(SEARCH("Cardã",B5)))</formula>
    </cfRule>
    <cfRule type="containsText" dxfId="1577" priority="13" operator="containsText" text="Pneu">
      <formula>NOT(ISERROR(SEARCH("Pneu",B5)))</formula>
    </cfRule>
    <cfRule type="containsText" dxfId="1576" priority="14" operator="containsText" text="Vedação">
      <formula>NOT(ISERROR(SEARCH("Vedação",B5)))</formula>
    </cfRule>
    <cfRule type="containsText" dxfId="1575" priority="15" operator="containsText" text="Retentor">
      <formula>NOT(ISERROR(SEARCH("Retentor",B5)))</formula>
    </cfRule>
    <cfRule type="containsText" dxfId="1574" priority="16" operator="containsText" text="Motorredutor">
      <formula>NOT(ISERROR(SEARCH("Motorredutor",B5)))</formula>
    </cfRule>
    <cfRule type="containsText" dxfId="1573" priority="17" operator="containsText" text="Redutor">
      <formula>NOT(ISERROR(SEARCH("Redutor",B5)))</formula>
    </cfRule>
    <cfRule type="containsText" dxfId="1572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835197F5-6F8C-4D34-9C19-2DDD4A6F0438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6EF04D6-B11E-4719-9F1A-47DBF4E7451B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3A6270E7-EB93-46CA-A1BD-BFDBDD57C0EA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A006B174-BF3C-4794-865E-B8F94CDAB936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CEE8FC56-B0E7-4F1B-84F5-709981023AFA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8CF1123F-F20F-48F0-A0B9-57E33DAAC30C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399E3742-B999-4368-A0D1-D98C4143C65E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040A0D8F-12FE-4B27-835C-33BD5948B85B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59B7E632-D758-451C-94B0-44FEFC7DE1BD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7FEE0B76-97E1-4859-B52E-F26569D1AB17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29A00B14-623F-42C9-B52D-AD9BAF94AFDC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A92B7E26-F75C-42EB-AFE9-D4FAC8730CB1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2A8F66D8-1DD3-47EF-A95E-8DBD9B2BA783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91569471-2F09-4274-925A-BEC6EBC23F21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AC74F04C-F861-49CF-8041-05AB8CA73E86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A073A3E9-2FE3-490B-95D7-804CA3F5AE7C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31027488-4602-40C0-B511-A5F791322002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CA4C2981-3486-46BA-86F9-2EE283B5F1F9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E066AD8F-12B3-48BA-8554-D12228E598E3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DFD6CE0B-1B34-4DD6-8B2E-C77381F03CD1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0E1498B7-A777-43BF-9F4D-A9234077875F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001A8318-D6EA-4C17-B7D8-151CD8B89D14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8284E524-14F8-4681-A86D-EA290DD9257F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C0C290ED-BCB1-49FC-896E-6138EF0F5213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E4AF-9C12-4634-A726-665C905D1CFE}">
  <sheetPr>
    <tabColor theme="7"/>
    <pageSetUpPr fitToPage="1"/>
  </sheetPr>
  <dimension ref="A1:P93"/>
  <sheetViews>
    <sheetView showGridLines="0" topLeftCell="E1" zoomScaleNormal="100" workbookViewId="0">
      <pane ySplit="4" topLeftCell="A20" activePane="bottomLeft" state="frozen"/>
      <selection pane="bottomLeft" activeCell="L11" sqref="L11:L15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151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44781</v>
      </c>
      <c r="C3" s="43">
        <f>B3+1</f>
        <v>44782</v>
      </c>
      <c r="D3" s="43">
        <f t="shared" ref="D3:H3" si="0">C3+1</f>
        <v>44783</v>
      </c>
      <c r="E3" s="43">
        <f t="shared" si="0"/>
        <v>44784</v>
      </c>
      <c r="F3" s="43">
        <f t="shared" si="0"/>
        <v>44785</v>
      </c>
      <c r="G3" s="43">
        <f t="shared" si="0"/>
        <v>44786</v>
      </c>
      <c r="H3" s="43">
        <f t="shared" si="0"/>
        <v>44787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4" si="3">K5/$K$16</f>
        <v>0</v>
      </c>
      <c r="M5" s="48">
        <f>B3</f>
        <v>44781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0</v>
      </c>
      <c r="L8" s="45">
        <f t="shared" si="3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1</v>
      </c>
      <c r="L11" s="45">
        <f t="shared" si="3"/>
        <v>0.33333333333333331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2</v>
      </c>
      <c r="L15" s="45">
        <f>K15/$K$16</f>
        <v>0.66666666666666663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1" t="s">
        <v>1</v>
      </c>
      <c r="K16" s="1">
        <f>SUM(K5:K15)</f>
        <v>3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 t="s">
        <v>9</v>
      </c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 t="s">
        <v>148</v>
      </c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 t="s">
        <v>148</v>
      </c>
    </row>
  </sheetData>
  <mergeCells count="1">
    <mergeCell ref="A1:H2"/>
  </mergeCells>
  <conditionalFormatting sqref="A1:A1048576">
    <cfRule type="containsText" dxfId="1559" priority="36" operator="containsText" text="Pivô ">
      <formula>NOT(ISERROR(SEARCH("Pivô ",A1)))</formula>
    </cfRule>
  </conditionalFormatting>
  <conditionalFormatting sqref="B5:H93">
    <cfRule type="containsText" dxfId="1547" priority="12" operator="containsText" text="Cardã">
      <formula>NOT(ISERROR(SEARCH("Cardã",B5)))</formula>
    </cfRule>
    <cfRule type="containsText" dxfId="1546" priority="13" operator="containsText" text="Pneu">
      <formula>NOT(ISERROR(SEARCH("Pneu",B5)))</formula>
    </cfRule>
    <cfRule type="containsText" dxfId="1545" priority="14" operator="containsText" text="Vedação">
      <formula>NOT(ISERROR(SEARCH("Vedação",B5)))</formula>
    </cfRule>
    <cfRule type="containsText" dxfId="1544" priority="15" operator="containsText" text="Retentor">
      <formula>NOT(ISERROR(SEARCH("Retentor",B5)))</formula>
    </cfRule>
    <cfRule type="containsText" dxfId="1543" priority="16" operator="containsText" text="Motorredutor">
      <formula>NOT(ISERROR(SEARCH("Motorredutor",B5)))</formula>
    </cfRule>
    <cfRule type="containsText" dxfId="1542" priority="17" operator="containsText" text="Redutor">
      <formula>NOT(ISERROR(SEARCH("Redutor",B5)))</formula>
    </cfRule>
    <cfRule type="containsText" dxfId="1541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D022212B-344D-485B-90F3-0D27D918105A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F44C6B5-19C1-4C54-B41C-DACF5CE74EBA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B9C9E41F-F03C-4E62-9620-552E9F0EAC44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C061CD7B-19C4-4A5F-8F00-1AF7E2B57B80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180E16FA-8165-4C0C-A4FF-35745A3889D5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C7077DBB-2212-4972-99F1-19A80334E8F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469A385C-EA8A-49A1-8A4D-D96E32C7B40A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F93407D3-A7F5-4B33-8D89-0E857266A510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546104D2-122A-4F4B-BE29-8E004AA45342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C310AF43-9557-4ACD-9A57-3089B0FC83A0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DDA2F7DF-8A24-4FEB-B5B0-01C07DD3CE95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559446B5-C2C6-4977-9D62-F71A4F95234A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FEA5F1CF-23A9-4E12-9259-9BC29F639550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65857120-DA8A-47B7-A544-B29FAB9AF20D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059ACF0E-20A2-4C9F-A51A-D997079AB84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13D77E87-4CE5-4C85-87A8-269DA28724CA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EE193059-2D77-449C-BD83-EB21DFF8698C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4A76A60B-6BFA-48B6-91C5-9E67C618C09A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2B98A038-8EEE-4BF0-879A-16798198CFDF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475ED334-8308-4BE3-B3A4-E0D7B607C970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22C2A349-2EEE-415D-AEEB-E0CAE4B220EB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C2341A8E-6375-44EE-A926-03CF554C0A76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2DBD6E13-CADE-4421-83CE-B32A05D88E19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6C2D4B4B-98B6-49B5-B2C8-28C888F97957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B100-2AE9-4603-9146-73A066BCE3C3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E25" sqref="E25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152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44788</v>
      </c>
      <c r="C3" s="43">
        <f>B3+1</f>
        <v>44789</v>
      </c>
      <c r="D3" s="43">
        <f t="shared" ref="D3:H3" si="0">C3+1</f>
        <v>44790</v>
      </c>
      <c r="E3" s="43">
        <f t="shared" si="0"/>
        <v>44791</v>
      </c>
      <c r="F3" s="43">
        <f t="shared" si="0"/>
        <v>44792</v>
      </c>
      <c r="G3" s="43">
        <f t="shared" si="0"/>
        <v>44793</v>
      </c>
      <c r="H3" s="43">
        <f t="shared" si="0"/>
        <v>44794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4" si="3">K5/$K$16</f>
        <v>0</v>
      </c>
      <c r="M5" s="48">
        <f>B3</f>
        <v>44788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0</v>
      </c>
      <c r="L8" s="45">
        <f t="shared" si="3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1</v>
      </c>
      <c r="L9" s="45">
        <f t="shared" si="3"/>
        <v>7.1428571428571425E-2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1</v>
      </c>
      <c r="L12" s="45">
        <f t="shared" si="3"/>
        <v>7.1428571428571425E-2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12</v>
      </c>
      <c r="L15" s="45">
        <f>K15/$K$16</f>
        <v>0.8571428571428571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1" t="s">
        <v>1</v>
      </c>
      <c r="K16" s="1">
        <f>SUM(K5:K15)</f>
        <v>14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 t="s">
        <v>114</v>
      </c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 t="s">
        <v>7</v>
      </c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 t="s">
        <v>148</v>
      </c>
      <c r="C82" s="16" t="s">
        <v>148</v>
      </c>
      <c r="D82" s="16" t="s">
        <v>148</v>
      </c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 t="s">
        <v>148</v>
      </c>
      <c r="C84" s="16" t="s">
        <v>148</v>
      </c>
      <c r="D84" s="16" t="s">
        <v>148</v>
      </c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 t="s">
        <v>148</v>
      </c>
      <c r="C86" s="16" t="s">
        <v>148</v>
      </c>
      <c r="D86" s="16" t="s">
        <v>148</v>
      </c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 t="s">
        <v>148</v>
      </c>
      <c r="C93" s="16" t="s">
        <v>148</v>
      </c>
      <c r="D93" s="16" t="s">
        <v>148</v>
      </c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528" priority="36" operator="containsText" text="Pivô ">
      <formula>NOT(ISERROR(SEARCH("Pivô ",A1)))</formula>
    </cfRule>
  </conditionalFormatting>
  <conditionalFormatting sqref="B5:H93">
    <cfRule type="containsText" dxfId="1516" priority="12" operator="containsText" text="Cardã">
      <formula>NOT(ISERROR(SEARCH("Cardã",B5)))</formula>
    </cfRule>
    <cfRule type="containsText" dxfId="1515" priority="13" operator="containsText" text="Pneu">
      <formula>NOT(ISERROR(SEARCH("Pneu",B5)))</formula>
    </cfRule>
    <cfRule type="containsText" dxfId="1514" priority="14" operator="containsText" text="Vedação">
      <formula>NOT(ISERROR(SEARCH("Vedação",B5)))</formula>
    </cfRule>
    <cfRule type="containsText" dxfId="1513" priority="15" operator="containsText" text="Retentor">
      <formula>NOT(ISERROR(SEARCH("Retentor",B5)))</formula>
    </cfRule>
    <cfRule type="containsText" dxfId="1512" priority="16" operator="containsText" text="Motorredutor">
      <formula>NOT(ISERROR(SEARCH("Motorredutor",B5)))</formula>
    </cfRule>
    <cfRule type="containsText" dxfId="1511" priority="17" operator="containsText" text="Redutor">
      <formula>NOT(ISERROR(SEARCH("Redutor",B5)))</formula>
    </cfRule>
    <cfRule type="containsText" dxfId="1510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8015646F-8F0E-47AE-BF24-4645524616BE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E652BCC-38AF-41A2-BFFC-99E5F76BF5B6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3288013B-CFE9-4091-AE12-EE4BB73C8179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97A88CF7-31C2-419F-BD5A-2B562AE84DA5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E66A639D-355C-4A8B-926E-695ADA776DE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E376AE79-287F-4F09-B601-2FB6233742BD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1A0CDADE-BB41-492A-8979-4B8BE5276BBA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2C8B6FC8-1E27-42E7-8543-C23A38918AA8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5038220B-F849-4E96-A961-B63BE8A43BFB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5B1CD5D2-5BE6-4BDE-A4B7-8C64661C00B9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83A68EDA-A372-47CC-A989-715D80068FC1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00DC4CBD-2C0C-468D-B5A0-BC5E2D2439F3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4E4AECDF-63BA-4846-A9DC-15B870C80451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7824EE5D-D75D-4A78-A4D1-E26FE9F1869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99C7BC97-A662-4645-A08F-70C596F44EC2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C7F1953D-0D3A-4588-AB67-A2F6B25CAAC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6FA8BE89-69ED-4580-9843-0263D2228A9E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E3C78CA8-F9A5-4766-936F-3DA5926779B4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E34AAD53-B27F-4B58-A6C4-C5C809FC2288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5DE9E91D-9123-4A96-BBAE-E0118ACF28E5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14EE8B32-6D2B-437C-9919-CBCB4D99D40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4914A8DE-C34B-4035-9862-04B721738BA5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92E8896D-1986-47E2-9B3D-8402BF3DD046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99AB0593-8D9A-4AD4-BBB4-1A9F5C53606D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6947-57C9-421F-9F6C-C5B24AB469AB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D16" sqref="D16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153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44795</v>
      </c>
      <c r="C3" s="43">
        <f>B3+1</f>
        <v>44796</v>
      </c>
      <c r="D3" s="43">
        <f t="shared" ref="D3:H3" si="0">C3+1</f>
        <v>44797</v>
      </c>
      <c r="E3" s="43">
        <f t="shared" si="0"/>
        <v>44798</v>
      </c>
      <c r="F3" s="43">
        <f t="shared" si="0"/>
        <v>44799</v>
      </c>
      <c r="G3" s="43">
        <f t="shared" si="0"/>
        <v>44800</v>
      </c>
      <c r="H3" s="43">
        <f t="shared" si="0"/>
        <v>44801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4" si="3">K5/$K$16</f>
        <v>0</v>
      </c>
      <c r="M5" s="48">
        <f>B3</f>
        <v>44795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2</v>
      </c>
      <c r="L8" s="45">
        <f t="shared" si="3"/>
        <v>0.5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2</v>
      </c>
      <c r="L9" s="45">
        <f t="shared" si="3"/>
        <v>0.5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0</v>
      </c>
      <c r="L15" s="45">
        <f>K15/$K$16</f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1" t="s">
        <v>1</v>
      </c>
      <c r="K16" s="1">
        <f>SUM(K5:K15)</f>
        <v>4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 t="s">
        <v>7</v>
      </c>
      <c r="C53" s="16" t="s">
        <v>7</v>
      </c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 t="s">
        <v>6</v>
      </c>
      <c r="E65" s="16" t="s">
        <v>6</v>
      </c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497" priority="36" operator="containsText" text="Pivô ">
      <formula>NOT(ISERROR(SEARCH("Pivô ",A1)))</formula>
    </cfRule>
  </conditionalFormatting>
  <conditionalFormatting sqref="B5:H93">
    <cfRule type="containsText" dxfId="1485" priority="12" operator="containsText" text="Cardã">
      <formula>NOT(ISERROR(SEARCH("Cardã",B5)))</formula>
    </cfRule>
    <cfRule type="containsText" dxfId="1484" priority="13" operator="containsText" text="Pneu">
      <formula>NOT(ISERROR(SEARCH("Pneu",B5)))</formula>
    </cfRule>
    <cfRule type="containsText" dxfId="1483" priority="14" operator="containsText" text="Vedação">
      <formula>NOT(ISERROR(SEARCH("Vedação",B5)))</formula>
    </cfRule>
    <cfRule type="containsText" dxfId="1482" priority="15" operator="containsText" text="Retentor">
      <formula>NOT(ISERROR(SEARCH("Retentor",B5)))</formula>
    </cfRule>
    <cfRule type="containsText" dxfId="1481" priority="16" operator="containsText" text="Motorredutor">
      <formula>NOT(ISERROR(SEARCH("Motorredutor",B5)))</formula>
    </cfRule>
    <cfRule type="containsText" dxfId="1480" priority="17" operator="containsText" text="Redutor">
      <formula>NOT(ISERROR(SEARCH("Redutor",B5)))</formula>
    </cfRule>
    <cfRule type="containsText" dxfId="1479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2C36CD8D-5BEC-446E-BCD4-ECE1B30F6EA9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94D3B09-4C6F-4441-B9DD-19D89216E814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FE5FB3AF-C4D6-46B0-8E19-4E1010D6B5C0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AABB37D4-EB8D-4E06-97DA-4F8AEECB880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003C964F-BE9D-4B50-A920-CFD1DBD92279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464A269B-C982-4E45-A6CE-C9351FBDC76D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3DDB112C-B331-4D9D-A89B-9815163A93E9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75DB00F7-40AC-44F4-9F1D-38E93EBBD4E2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524A3BA7-FFC6-49AD-B53C-991B9F893E4A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D26BDB5B-E3F3-45F4-9F4E-77C6BD91AFDB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B9013FC3-A4C8-45A5-89C3-C3536FB0788E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26930EB2-298E-4E9B-A14D-93EBDA343B87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2F83D0B4-7769-47EB-91E7-69E0F32FAE9C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4383BB6A-67F2-4882-BF50-FDD522E5CB3D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FA611AA8-8E58-4E18-A8DA-28EE3CA63CD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CC4E38F9-B519-4DB6-AB04-22B19AE7508D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979ADB25-F41A-406F-9B3E-D762807930FE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130E2AF6-F1A7-45B1-8C4E-B81372EF8067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6561D13C-AD44-441A-AB26-625EC7C8C2FF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55D68746-73F9-450C-BDB7-918E589B477D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F4EB9887-5005-4682-A77B-38847299828B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3CAFA5D6-C7EE-4FBD-879C-E8404320058E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75D96ECC-18BC-4D48-84CC-FE5B92866A98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430A0AB0-7055-4DFF-B7C8-604B8BA566A5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CC04F-105D-4CE9-BFD3-D4B8CF0F5A43}">
  <sheetPr>
    <tabColor theme="7"/>
    <pageSetUpPr fitToPage="1"/>
  </sheetPr>
  <dimension ref="A1:P93"/>
  <sheetViews>
    <sheetView showGridLines="0" zoomScaleNormal="100" workbookViewId="0">
      <pane ySplit="4" topLeftCell="A74" activePane="bottomLeft" state="frozen"/>
      <selection pane="bottomLeft" activeCell="H83" sqref="H83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154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44802</v>
      </c>
      <c r="C3" s="43">
        <f>B3+1</f>
        <v>44803</v>
      </c>
      <c r="D3" s="43">
        <f t="shared" ref="D3:H3" si="0">C3+1</f>
        <v>44804</v>
      </c>
      <c r="E3" s="43">
        <f t="shared" si="0"/>
        <v>44805</v>
      </c>
      <c r="F3" s="43">
        <f t="shared" si="0"/>
        <v>44806</v>
      </c>
      <c r="G3" s="43">
        <f t="shared" si="0"/>
        <v>44807</v>
      </c>
      <c r="H3" s="43">
        <f t="shared" si="0"/>
        <v>44808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4" si="3">K5/$K$16</f>
        <v>0</v>
      </c>
      <c r="M5" s="48">
        <f>B3</f>
        <v>44802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2</v>
      </c>
      <c r="L8" s="45">
        <f t="shared" si="3"/>
        <v>0.5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2</v>
      </c>
      <c r="L15" s="45">
        <f>K15/$K$16</f>
        <v>0.5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1" t="s">
        <v>1</v>
      </c>
      <c r="K16" s="1">
        <f>SUM(K5:K15)</f>
        <v>4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 t="s">
        <v>6</v>
      </c>
      <c r="E27" s="16" t="s">
        <v>6</v>
      </c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/>
      <c r="C82" s="16"/>
      <c r="D82" s="16"/>
      <c r="E82" s="16"/>
      <c r="F82" s="16"/>
      <c r="G82" s="16"/>
      <c r="H82" s="16" t="s">
        <v>148</v>
      </c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 t="s">
        <v>148</v>
      </c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466" priority="36" operator="containsText" text="Pivô ">
      <formula>NOT(ISERROR(SEARCH("Pivô ",A1)))</formula>
    </cfRule>
  </conditionalFormatting>
  <conditionalFormatting sqref="B5:H93">
    <cfRule type="containsText" dxfId="1454" priority="12" operator="containsText" text="Cardã">
      <formula>NOT(ISERROR(SEARCH("Cardã",B5)))</formula>
    </cfRule>
    <cfRule type="containsText" dxfId="1453" priority="13" operator="containsText" text="Pneu">
      <formula>NOT(ISERROR(SEARCH("Pneu",B5)))</formula>
    </cfRule>
    <cfRule type="containsText" dxfId="1452" priority="14" operator="containsText" text="Vedação">
      <formula>NOT(ISERROR(SEARCH("Vedação",B5)))</formula>
    </cfRule>
    <cfRule type="containsText" dxfId="1451" priority="15" operator="containsText" text="Retentor">
      <formula>NOT(ISERROR(SEARCH("Retentor",B5)))</formula>
    </cfRule>
    <cfRule type="containsText" dxfId="1450" priority="16" operator="containsText" text="Motorredutor">
      <formula>NOT(ISERROR(SEARCH("Motorredutor",B5)))</formula>
    </cfRule>
    <cfRule type="containsText" dxfId="1449" priority="17" operator="containsText" text="Redutor">
      <formula>NOT(ISERROR(SEARCH("Redutor",B5)))</formula>
    </cfRule>
    <cfRule type="containsText" dxfId="1448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B07F1781-C7AD-4DA4-8B4F-445041A2161E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BB0140A-6F15-474B-9E2C-BCFBE0496813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8DF351AE-B77B-4352-924B-892FDA7C50FE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E281C8F2-D039-4563-A0E6-E638AEF75F1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0265252C-823C-4E7C-A831-2896FC930023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A2B0E85C-E43D-48A9-AA60-6DE117265C84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345D591B-A17D-4D84-9CE0-18EC745A0344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701F6D37-ABCB-495A-9771-B99529B00946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2EB7D741-BB32-4EB3-A408-FBD5D97FD45E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8A136A49-0858-4B30-9DFD-7E4C3CE6BFEA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F6563588-2C56-4680-B04A-EE1798438A46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F4C72C7C-6033-4664-80C8-C02F5EA5D158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89557498-8F5B-4542-BCE1-30FDB213592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2755F5B1-053E-4F57-8321-0E4E94A0842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691CBE32-5C3C-4BD5-BA4B-2DB13E19FAA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8DFF7AF7-A1D0-410F-A2DA-2615CDCE6D7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A06DA8FD-AF4B-4342-A020-5CB4E829F977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528A11A8-B692-403E-8A4F-54EE4719C414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A45591AE-EAD0-439E-B2DE-294967CB795B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0103F82E-A565-4594-9ABE-440493AFD423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9B258942-E1DD-4CD3-987A-01997635A306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28C9F40F-B979-4CC8-986D-79B9870B716C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556A1933-73A7-48CF-AF38-973EEF5BE530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20CC5BF5-6A3F-4376-9D42-7F8A4FA513A3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1A56-FFCB-4B24-AF53-CF22B1FEBF63}">
  <sheetPr>
    <tabColor theme="7"/>
    <pageSetUpPr fitToPage="1"/>
  </sheetPr>
  <dimension ref="A1:P93"/>
  <sheetViews>
    <sheetView showGridLines="0" zoomScaleNormal="100" workbookViewId="0">
      <pane ySplit="4" topLeftCell="A11" activePane="bottomLeft" state="frozen"/>
      <selection pane="bottomLeft" activeCell="D17" sqref="D17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155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44809</v>
      </c>
      <c r="C3" s="43">
        <f>B3+1</f>
        <v>44810</v>
      </c>
      <c r="D3" s="43">
        <f t="shared" ref="D3:H3" si="0">C3+1</f>
        <v>44811</v>
      </c>
      <c r="E3" s="43">
        <f t="shared" si="0"/>
        <v>44812</v>
      </c>
      <c r="F3" s="43">
        <f t="shared" si="0"/>
        <v>44813</v>
      </c>
      <c r="G3" s="43">
        <f t="shared" si="0"/>
        <v>44814</v>
      </c>
      <c r="H3" s="43">
        <f t="shared" si="0"/>
        <v>44815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4" si="3">K5/$K$16</f>
        <v>0</v>
      </c>
      <c r="M5" s="48">
        <f>B3</f>
        <v>44809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0</v>
      </c>
      <c r="L8" s="45">
        <f t="shared" si="3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3</v>
      </c>
      <c r="L15" s="45">
        <f>K15/$K$16</f>
        <v>1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1" t="s">
        <v>1</v>
      </c>
      <c r="K16" s="1">
        <f>SUM(K5:K15)</f>
        <v>3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 t="s">
        <v>148</v>
      </c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 t="s">
        <v>148</v>
      </c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 t="s">
        <v>148</v>
      </c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435" priority="36" operator="containsText" text="Pivô ">
      <formula>NOT(ISERROR(SEARCH("Pivô ",A1)))</formula>
    </cfRule>
  </conditionalFormatting>
  <conditionalFormatting sqref="B5:H93">
    <cfRule type="containsText" dxfId="1423" priority="12" operator="containsText" text="Cardã">
      <formula>NOT(ISERROR(SEARCH("Cardã",B5)))</formula>
    </cfRule>
    <cfRule type="containsText" dxfId="1422" priority="13" operator="containsText" text="Pneu">
      <formula>NOT(ISERROR(SEARCH("Pneu",B5)))</formula>
    </cfRule>
    <cfRule type="containsText" dxfId="1421" priority="14" operator="containsText" text="Vedação">
      <formula>NOT(ISERROR(SEARCH("Vedação",B5)))</formula>
    </cfRule>
    <cfRule type="containsText" dxfId="1420" priority="15" operator="containsText" text="Retentor">
      <formula>NOT(ISERROR(SEARCH("Retentor",B5)))</formula>
    </cfRule>
    <cfRule type="containsText" dxfId="1419" priority="16" operator="containsText" text="Motorredutor">
      <formula>NOT(ISERROR(SEARCH("Motorredutor",B5)))</formula>
    </cfRule>
    <cfRule type="containsText" dxfId="1418" priority="17" operator="containsText" text="Redutor">
      <formula>NOT(ISERROR(SEARCH("Redutor",B5)))</formula>
    </cfRule>
    <cfRule type="containsText" dxfId="1417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3BA74919-0C91-4D74-8347-5240BEA64825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C15C8DC-1E15-49B3-AB08-BC3FD2EFC541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C390AB0D-FA0B-4E0E-88B4-94A538ED8285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48D6FED0-EE51-4F47-9441-59959128F073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4B7B3AB4-4E5D-421B-A1A4-26FB901535BA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AC363B2C-F4E4-4CF6-8074-BD53078779D1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E82A531C-DBCA-4E89-929B-DF823877284E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8EF25C2D-7F63-42F2-A16E-CE7BAA85B88F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F7B55A81-C979-4EDA-AF2D-DC4269A64754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F9604AE9-2A70-40E7-9A38-88B6C95F1891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134BEAA9-0C08-4178-BC4B-D8FB70B708D7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59EC1040-90B9-4479-B615-533D4878362B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A9CCF087-3D83-4016-A387-5515BE990FF7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CD6046EE-9156-4186-9580-83DB3B01BFFD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F6BF8AC1-F604-4AFB-999E-74BE9970FE1B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61FFAB32-F6CB-43C2-8E45-F082C3521F8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3429B4EB-8921-40D5-A7FD-0D249267477A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98FD3050-04DF-4FA5-8599-F8D94B61BE14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E2E8967A-F19E-496F-953A-2CDEE96A980A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1A74DA72-4505-434C-8148-5861A2FEE8CE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E36C76F7-0BD8-4D48-AF85-784023F7795D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166A98D0-8E99-4749-B3D3-291B26E755EC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2AB3A4F5-BABA-46F1-84C8-1FEEDADE260E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025C4AA6-D380-41F5-B13A-9FC0F198EB50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CC88-F390-4A74-A9E6-2BE575A64D70}">
  <sheetPr>
    <tabColor theme="7"/>
    <pageSetUpPr fitToPage="1"/>
  </sheetPr>
  <dimension ref="A1:P93"/>
  <sheetViews>
    <sheetView showGridLines="0" zoomScaleNormal="100" workbookViewId="0">
      <pane ySplit="4" topLeftCell="A53" activePane="bottomLeft" state="frozen"/>
      <selection pane="bottomLeft" activeCell="K5" sqref="K5:L15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156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44816</v>
      </c>
      <c r="C3" s="43">
        <f>B3+1</f>
        <v>44817</v>
      </c>
      <c r="D3" s="43">
        <f t="shared" ref="D3:H3" si="0">C3+1</f>
        <v>44818</v>
      </c>
      <c r="E3" s="43">
        <f t="shared" si="0"/>
        <v>44819</v>
      </c>
      <c r="F3" s="43">
        <f t="shared" si="0"/>
        <v>44820</v>
      </c>
      <c r="G3" s="43">
        <f t="shared" si="0"/>
        <v>44821</v>
      </c>
      <c r="H3" s="43">
        <f t="shared" si="0"/>
        <v>44822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4" si="3">K5/$K$16</f>
        <v>0</v>
      </c>
      <c r="M5" s="48">
        <f>B3</f>
        <v>44816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1</v>
      </c>
      <c r="L8" s="45">
        <f t="shared" si="3"/>
        <v>0.14285714285714285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5</v>
      </c>
      <c r="L9" s="45">
        <f t="shared" si="3"/>
        <v>0.7142857142857143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1</v>
      </c>
      <c r="L10" s="45">
        <f t="shared" si="3"/>
        <v>0.14285714285714285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0</v>
      </c>
      <c r="L15" s="45">
        <f>K15/$K$16</f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 t="s">
        <v>6</v>
      </c>
      <c r="H16" s="16"/>
      <c r="J16" s="1" t="s">
        <v>1</v>
      </c>
      <c r="K16" s="1">
        <f>SUM(K5:K15)</f>
        <v>7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 t="s">
        <v>7</v>
      </c>
      <c r="C59" s="16" t="s">
        <v>7</v>
      </c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 t="s">
        <v>7</v>
      </c>
      <c r="D63" s="16" t="s">
        <v>8</v>
      </c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 t="s">
        <v>7</v>
      </c>
      <c r="H74" s="16" t="s">
        <v>7</v>
      </c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404" priority="36" operator="containsText" text="Pivô ">
      <formula>NOT(ISERROR(SEARCH("Pivô ",A1)))</formula>
    </cfRule>
  </conditionalFormatting>
  <conditionalFormatting sqref="B5:H93">
    <cfRule type="containsText" dxfId="1392" priority="12" operator="containsText" text="Cardã">
      <formula>NOT(ISERROR(SEARCH("Cardã",B5)))</formula>
    </cfRule>
    <cfRule type="containsText" dxfId="1391" priority="13" operator="containsText" text="Pneu">
      <formula>NOT(ISERROR(SEARCH("Pneu",B5)))</formula>
    </cfRule>
    <cfRule type="containsText" dxfId="1390" priority="14" operator="containsText" text="Vedação">
      <formula>NOT(ISERROR(SEARCH("Vedação",B5)))</formula>
    </cfRule>
    <cfRule type="containsText" dxfId="1389" priority="15" operator="containsText" text="Retentor">
      <formula>NOT(ISERROR(SEARCH("Retentor",B5)))</formula>
    </cfRule>
    <cfRule type="containsText" dxfId="1388" priority="16" operator="containsText" text="Motorredutor">
      <formula>NOT(ISERROR(SEARCH("Motorredutor",B5)))</formula>
    </cfRule>
    <cfRule type="containsText" dxfId="1387" priority="17" operator="containsText" text="Redutor">
      <formula>NOT(ISERROR(SEARCH("Redutor",B5)))</formula>
    </cfRule>
    <cfRule type="containsText" dxfId="1386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306379AC-A8BB-435A-972C-462B863E1E5B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D686DDA-2A12-44E0-AA80-3BD137384EE2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08ADDB89-55E4-43E0-8B94-CC5EE7C81748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73DA052D-A093-4329-AC7B-BC2D63BA7F5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BD8B6078-FCF5-4F84-A2C6-55F39421B3BE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B54ABE35-79C0-4E25-A17E-E204926E7DD3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ACA0A9BB-5349-44A8-9220-50E72272FF7D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3F2FB476-51E7-4676-83BC-01DF844E5470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B6649EFF-03C5-4024-BA6D-AE743ABD7E0A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6DB3910F-61DC-4E59-AB94-5D689777EC76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1DF67C9B-060E-43DA-A4DA-46F257B3A7AF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7F46FF5F-BA9C-420F-AB33-FBA035A24DEB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9F208867-CB9F-4C3B-BFA7-21364977D7A0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7EE24E36-A94F-4348-B2D6-999C1FC3B764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80822765-0824-466A-914E-E06A7B8E3CD4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2E859CD6-093D-4142-98EC-294FC064589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11C39926-8FA9-4EF6-ADA4-3051D495452C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B3A4EBA2-469C-448B-90C6-D0B7963E463E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00DD92B9-3091-4506-9BB9-B8C5EC2942FE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616E6F08-13EC-44C6-9C64-7EC9FDB8A7A4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D38C86F0-6968-446F-8FD4-E0BA3B8C767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D585EA2A-D381-4152-853C-71D63D0523D8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059BDD19-A375-4ED3-A76D-E39D5CB413C8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0D601141-6D20-4208-88D1-43FD037E3D4A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C282-AC79-4FAE-BD92-5BB9A4CF8C35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157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44823</v>
      </c>
      <c r="C3" s="43">
        <f>B3+1</f>
        <v>44824</v>
      </c>
      <c r="D3" s="43">
        <f t="shared" ref="D3:H3" si="0">C3+1</f>
        <v>44825</v>
      </c>
      <c r="E3" s="43">
        <f t="shared" si="0"/>
        <v>44826</v>
      </c>
      <c r="F3" s="43">
        <f t="shared" si="0"/>
        <v>44827</v>
      </c>
      <c r="G3" s="43">
        <f t="shared" si="0"/>
        <v>44828</v>
      </c>
      <c r="H3" s="43">
        <f t="shared" si="0"/>
        <v>44829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4" si="3">K5/$K$16</f>
        <v>0</v>
      </c>
      <c r="M5" s="48">
        <f>B3</f>
        <v>44823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4</v>
      </c>
      <c r="L7" s="45">
        <f t="shared" si="3"/>
        <v>1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0</v>
      </c>
      <c r="L8" s="45">
        <f t="shared" si="3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0</v>
      </c>
      <c r="L15" s="45">
        <f>K15/$K$16</f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1" t="s">
        <v>1</v>
      </c>
      <c r="K16" s="1">
        <f>SUM(K5:K15)</f>
        <v>4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 t="s">
        <v>5</v>
      </c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 t="s">
        <v>5</v>
      </c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 t="s">
        <v>5</v>
      </c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 t="s">
        <v>5</v>
      </c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373" priority="36" operator="containsText" text="Pivô ">
      <formula>NOT(ISERROR(SEARCH("Pivô ",A1)))</formula>
    </cfRule>
  </conditionalFormatting>
  <conditionalFormatting sqref="B5:H93">
    <cfRule type="containsText" dxfId="1361" priority="12" operator="containsText" text="Cardã">
      <formula>NOT(ISERROR(SEARCH("Cardã",B5)))</formula>
    </cfRule>
    <cfRule type="containsText" dxfId="1360" priority="13" operator="containsText" text="Pneu">
      <formula>NOT(ISERROR(SEARCH("Pneu",B5)))</formula>
    </cfRule>
    <cfRule type="containsText" dxfId="1359" priority="14" operator="containsText" text="Vedação">
      <formula>NOT(ISERROR(SEARCH("Vedação",B5)))</formula>
    </cfRule>
    <cfRule type="containsText" dxfId="1358" priority="15" operator="containsText" text="Retentor">
      <formula>NOT(ISERROR(SEARCH("Retentor",B5)))</formula>
    </cfRule>
    <cfRule type="containsText" dxfId="1357" priority="16" operator="containsText" text="Motorredutor">
      <formula>NOT(ISERROR(SEARCH("Motorredutor",B5)))</formula>
    </cfRule>
    <cfRule type="containsText" dxfId="1356" priority="17" operator="containsText" text="Redutor">
      <formula>NOT(ISERROR(SEARCH("Redutor",B5)))</formula>
    </cfRule>
    <cfRule type="containsText" dxfId="1355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3B434891-32FB-40F9-B873-233763C4995A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9EF06CB-DA8F-4918-B7A2-165B4DA08D30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2FCEBBB9-8D43-43B0-83FF-6834DF931E04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03BCD793-0CF8-4992-AA1B-68470E1F92FD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FDD47D49-BAAA-4371-85E4-F946E769C730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52B640CF-B713-4782-AD98-993E74C12EDA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3A7C2CD5-ECDF-46A2-81F9-D34C05F8CA2F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ED4E4CBE-3D6F-4028-8C84-3B8533D8466C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1AD2D141-A2EE-412C-B0AF-33A801075144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9FAF0556-54EE-4930-9C28-B89BDACE6AA5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C6579F75-BFA8-4D00-AB43-51558C70C5A5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E0AF9E0D-273A-4D41-81A7-CCBF9324A295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FE1C4A03-330C-4A7D-A20F-AE6DC245B99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84A44E02-B3D6-4BB3-94EB-72D8003FD99F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B0937870-E474-4959-B4D8-2BF89EE343DD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87C62D02-276B-4BB6-BB0B-EFF551C83715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F0F2525A-F03C-4499-8C19-B2F30E07F75E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39762295-0BEB-4D20-B123-41E11B876A7D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2EAEF076-542A-4306-B80B-80F70BA89881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52423876-F2E5-41A8-A056-6E7E36E079F2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08431811-66D4-4165-A07B-B2AC239357C2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9D70E3AC-B113-4E8F-A1EA-7B0F11672EBB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0BB3E8ED-F6A1-4404-B549-3647F08DEB07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DB936FB3-6CDA-4A60-866E-E8AA02C099CC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020C-8BF5-470D-BCE0-C9E9EA6A5B79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28" sqref="J28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158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44830</v>
      </c>
      <c r="C3" s="43">
        <f>B3+1</f>
        <v>44831</v>
      </c>
      <c r="D3" s="43">
        <f t="shared" ref="D3:H3" si="0">C3+1</f>
        <v>44832</v>
      </c>
      <c r="E3" s="43">
        <f t="shared" si="0"/>
        <v>44833</v>
      </c>
      <c r="F3" s="43">
        <f t="shared" si="0"/>
        <v>44834</v>
      </c>
      <c r="G3" s="43">
        <f t="shared" si="0"/>
        <v>44835</v>
      </c>
      <c r="H3" s="43">
        <f t="shared" si="0"/>
        <v>44836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4" si="3">K5/$K$16</f>
        <v>0</v>
      </c>
      <c r="M5" s="48">
        <f>B3</f>
        <v>44830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0</v>
      </c>
      <c r="L8" s="45">
        <f t="shared" si="3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2</v>
      </c>
      <c r="L9" s="45">
        <f t="shared" si="3"/>
        <v>1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0</v>
      </c>
      <c r="L15" s="45">
        <f>K15/$K$16</f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1" t="s">
        <v>1</v>
      </c>
      <c r="K16" s="1">
        <f>SUM(K5:K15)</f>
        <v>2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 t="s">
        <v>7</v>
      </c>
      <c r="D30" s="16" t="s">
        <v>7</v>
      </c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342" priority="36" operator="containsText" text="Pivô ">
      <formula>NOT(ISERROR(SEARCH("Pivô ",A1)))</formula>
    </cfRule>
  </conditionalFormatting>
  <conditionalFormatting sqref="B5:H93">
    <cfRule type="containsText" dxfId="1330" priority="12" operator="containsText" text="Cardã">
      <formula>NOT(ISERROR(SEARCH("Cardã",B5)))</formula>
    </cfRule>
    <cfRule type="containsText" dxfId="1329" priority="13" operator="containsText" text="Pneu">
      <formula>NOT(ISERROR(SEARCH("Pneu",B5)))</formula>
    </cfRule>
    <cfRule type="containsText" dxfId="1328" priority="14" operator="containsText" text="Vedação">
      <formula>NOT(ISERROR(SEARCH("Vedação",B5)))</formula>
    </cfRule>
    <cfRule type="containsText" dxfId="1327" priority="15" operator="containsText" text="Retentor">
      <formula>NOT(ISERROR(SEARCH("Retentor",B5)))</formula>
    </cfRule>
    <cfRule type="containsText" dxfId="1326" priority="16" operator="containsText" text="Motorredutor">
      <formula>NOT(ISERROR(SEARCH("Motorredutor",B5)))</formula>
    </cfRule>
    <cfRule type="containsText" dxfId="1325" priority="17" operator="containsText" text="Redutor">
      <formula>NOT(ISERROR(SEARCH("Redutor",B5)))</formula>
    </cfRule>
    <cfRule type="containsText" dxfId="1324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60B9F02A-9D07-42A3-805B-5E235595C631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50101A3-8EAB-45FB-BDAA-D05D2DDDD0C1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74029F4C-0DD2-4BA2-A354-393D1F9F129E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C29BE74B-1E93-4A8C-A19B-AC8BCD3063C4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EC3BA3C1-B2F1-417B-BC77-AD9713FBCBFB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453FE3AD-69AA-4500-B420-DDBB7D61844E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BF7A5BB6-34AE-4F39-8F11-DCEDDA551430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2CAB6167-D620-4E64-9FC8-50E578B15AAE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059D48A4-5BE0-4101-9FC4-A843FA29C8DB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9B867B10-366C-49A9-B39D-1BFCD8CD0443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202A2437-5A0E-4092-8D00-2C85561D62D0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A831C32D-D966-43BF-A3FA-1B09D5DD1D48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EF0090DF-FC0F-4409-B43B-E5F025C2EC56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D54F8D8E-89C9-4EB4-B427-910F66E6DAC8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AF60057A-8324-421E-8A21-CACA461357DB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25E1105D-B0BE-4818-9AF6-6F8EA60B7D50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71FE6DEE-4933-4355-8469-0367F22ECB85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2688E506-466E-4641-A4B8-400DB5CFC77A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8F1AA497-1E87-4BB2-8908-49B89371BC2C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1351EE6E-45A1-4AE0-B1B8-9F5A3D20D228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38FE15F8-81BF-4E85-9262-27E284CBBDF3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B46B31D2-B4CB-47CB-9C66-ABB8217962C6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1ECC0F0E-C803-426F-A6AD-658AC4B7235C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8F167727-9A38-4ECE-8951-4CDA5C3BD6F9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1AD43-D4B9-47EC-B068-D1DD5E9168D7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159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44837</v>
      </c>
      <c r="C3" s="43">
        <f>B3+1</f>
        <v>44838</v>
      </c>
      <c r="D3" s="43">
        <f t="shared" ref="D3:H3" si="0">C3+1</f>
        <v>44839</v>
      </c>
      <c r="E3" s="43">
        <f t="shared" si="0"/>
        <v>44840</v>
      </c>
      <c r="F3" s="43">
        <f t="shared" si="0"/>
        <v>44841</v>
      </c>
      <c r="G3" s="43">
        <f t="shared" si="0"/>
        <v>44842</v>
      </c>
      <c r="H3" s="43">
        <f t="shared" si="0"/>
        <v>44843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4" si="3">K5/$K$16</f>
        <v>0</v>
      </c>
      <c r="M5" s="48">
        <f>B3</f>
        <v>44837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1</v>
      </c>
      <c r="L7" s="45">
        <f t="shared" si="3"/>
        <v>0.33333333333333331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1</v>
      </c>
      <c r="L8" s="45">
        <f t="shared" si="3"/>
        <v>0.33333333333333331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1</v>
      </c>
      <c r="L9" s="45">
        <f t="shared" si="3"/>
        <v>0.33333333333333331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0</v>
      </c>
      <c r="L15" s="45">
        <f>K15/$K$16</f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1" t="s">
        <v>1</v>
      </c>
      <c r="K16" s="1">
        <f>SUM(K5:K15)</f>
        <v>3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 t="s">
        <v>6</v>
      </c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 t="s">
        <v>7</v>
      </c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 t="s">
        <v>5</v>
      </c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311" priority="36" operator="containsText" text="Pivô ">
      <formula>NOT(ISERROR(SEARCH("Pivô ",A1)))</formula>
    </cfRule>
  </conditionalFormatting>
  <conditionalFormatting sqref="B5:H93">
    <cfRule type="containsText" dxfId="1299" priority="12" operator="containsText" text="Cardã">
      <formula>NOT(ISERROR(SEARCH("Cardã",B5)))</formula>
    </cfRule>
    <cfRule type="containsText" dxfId="1298" priority="13" operator="containsText" text="Pneu">
      <formula>NOT(ISERROR(SEARCH("Pneu",B5)))</formula>
    </cfRule>
    <cfRule type="containsText" dxfId="1297" priority="14" operator="containsText" text="Vedação">
      <formula>NOT(ISERROR(SEARCH("Vedação",B5)))</formula>
    </cfRule>
    <cfRule type="containsText" dxfId="1296" priority="15" operator="containsText" text="Retentor">
      <formula>NOT(ISERROR(SEARCH("Retentor",B5)))</formula>
    </cfRule>
    <cfRule type="containsText" dxfId="1295" priority="16" operator="containsText" text="Motorredutor">
      <formula>NOT(ISERROR(SEARCH("Motorredutor",B5)))</formula>
    </cfRule>
    <cfRule type="containsText" dxfId="1294" priority="17" operator="containsText" text="Redutor">
      <formula>NOT(ISERROR(SEARCH("Redutor",B5)))</formula>
    </cfRule>
    <cfRule type="containsText" dxfId="1293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28404D7A-55EA-4498-B24D-FE11AA348AC4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CC2D03D-83FA-49A8-AC84-6312758041F7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FE8DF544-4473-4176-8755-3BBFE7065E37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041C1E85-1E05-45F0-AF6E-81665FFE957D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808DD6D8-A8A9-408E-A0F2-9BC3787A6105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FFAFFFE7-8498-4F8A-A306-DE5D0E2765EC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30C48052-6FE5-4EFA-9B3D-4EE6FE9EAE23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D3748A95-D6C5-4FD4-84BD-5FA74F6EC960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D4E8D5C4-8429-4431-ACEE-B09BBC1071D6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9F0752AF-98C6-440B-B358-4558CEB72D69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D19CA763-6809-40BF-8AC7-4ADF33397264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275D5778-456A-41E7-A9D8-F6854CB1E5C5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D31814AE-7509-40AB-A61F-9BCC100478DF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C83097D7-F92B-40E4-80DB-582269B76F78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2148C974-FE17-426E-B77C-90C73F693495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99E751B2-CE1A-4513-8728-C5F0F9183FF1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7A357976-A9FD-4923-B1BE-3795AEF7DCDE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BE90EAD2-B260-40CE-9E58-2346662A2596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0C65FCC8-4C15-4537-B8A3-60BA5ED254C6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B4C363A5-2390-4474-9A9B-35DE2C1C8A03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339385F9-584A-4B79-92B8-BD525E486C1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F117A17C-B90B-4D0A-B9EB-F4F94A61B377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166DF6A2-977F-41C7-B578-CF26F4BB547E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966122DE-BA6B-47A4-BFC6-23E58CF670E9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EBA1-6F31-4458-916C-01E1A7944ACE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160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44844</v>
      </c>
      <c r="C3" s="43">
        <f>B3+1</f>
        <v>44845</v>
      </c>
      <c r="D3" s="43">
        <f t="shared" ref="D3:H3" si="0">C3+1</f>
        <v>44846</v>
      </c>
      <c r="E3" s="43">
        <f t="shared" si="0"/>
        <v>44847</v>
      </c>
      <c r="F3" s="43">
        <f t="shared" si="0"/>
        <v>44848</v>
      </c>
      <c r="G3" s="43">
        <f t="shared" si="0"/>
        <v>44849</v>
      </c>
      <c r="H3" s="43">
        <f t="shared" si="0"/>
        <v>44850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4" si="3">K5/$K$16</f>
        <v>0</v>
      </c>
      <c r="M5" s="48">
        <f>B3</f>
        <v>44844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 t="s">
        <v>7</v>
      </c>
      <c r="D7" s="16"/>
      <c r="E7" s="16"/>
      <c r="F7" s="16"/>
      <c r="G7" s="16"/>
      <c r="H7" s="16"/>
      <c r="J7" s="19" t="s">
        <v>5</v>
      </c>
      <c r="K7" s="4">
        <f t="shared" si="4"/>
        <v>2</v>
      </c>
      <c r="L7" s="45">
        <f t="shared" si="3"/>
        <v>0.33333333333333331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1</v>
      </c>
      <c r="L8" s="45">
        <f t="shared" si="3"/>
        <v>0.16666666666666666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2</v>
      </c>
      <c r="L9" s="45">
        <f t="shared" si="3"/>
        <v>0.33333333333333331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1</v>
      </c>
      <c r="L10" s="45">
        <f t="shared" si="3"/>
        <v>0.16666666666666666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0</v>
      </c>
      <c r="L15" s="45">
        <f>K15/$K$16</f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1" t="s">
        <v>1</v>
      </c>
      <c r="K16" s="1">
        <f>SUM(K5:K15)</f>
        <v>6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 t="s">
        <v>6</v>
      </c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 t="s">
        <v>7</v>
      </c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 t="s">
        <v>5</v>
      </c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 t="s">
        <v>5</v>
      </c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 t="s">
        <v>8</v>
      </c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280" priority="36" operator="containsText" text="Pivô ">
      <formula>NOT(ISERROR(SEARCH("Pivô ",A1)))</formula>
    </cfRule>
  </conditionalFormatting>
  <conditionalFormatting sqref="B5:H93">
    <cfRule type="containsText" dxfId="1268" priority="12" operator="containsText" text="Cardã">
      <formula>NOT(ISERROR(SEARCH("Cardã",B5)))</formula>
    </cfRule>
    <cfRule type="containsText" dxfId="1267" priority="13" operator="containsText" text="Pneu">
      <formula>NOT(ISERROR(SEARCH("Pneu",B5)))</formula>
    </cfRule>
    <cfRule type="containsText" dxfId="1266" priority="14" operator="containsText" text="Vedação">
      <formula>NOT(ISERROR(SEARCH("Vedação",B5)))</formula>
    </cfRule>
    <cfRule type="containsText" dxfId="1265" priority="15" operator="containsText" text="Retentor">
      <formula>NOT(ISERROR(SEARCH("Retentor",B5)))</formula>
    </cfRule>
    <cfRule type="containsText" dxfId="1264" priority="16" operator="containsText" text="Motorredutor">
      <formula>NOT(ISERROR(SEARCH("Motorredutor",B5)))</formula>
    </cfRule>
    <cfRule type="containsText" dxfId="1263" priority="17" operator="containsText" text="Redutor">
      <formula>NOT(ISERROR(SEARCH("Redutor",B5)))</formula>
    </cfRule>
    <cfRule type="containsText" dxfId="1262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CF9FB40C-D0AE-4913-9771-76F5F6C8E444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D1D5425-003D-41B5-99E0-577F252A6B24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5158FA51-2182-4738-BF28-DED4EE5EAD87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E793FD95-C30D-4A2B-9313-71539734777B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FDB54A73-FA95-4F9F-9C08-EFD6DFA3AD54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5AD1544A-15A9-42B2-9C4E-4FE8E59B98A8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8703ABCF-DBDF-490E-BA48-B2C6C8F96305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A406520E-9657-490E-80B5-7969F3E59730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C8282B48-B2C2-4C8D-85AA-806A20166CAF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45E2321D-E0CC-403E-A3C2-EFA99ACD3241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22803320-B996-45E1-A347-E0FCC9A979D9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8FE4C422-D991-4023-913A-4E970AB47D40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038218C0-CD6B-4454-A6C4-6EF4B9C4CD3F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230FB064-80FA-4BA1-A7FE-CCD6DAF312EA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1422E170-5753-4A1D-B835-A555281B043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CB0E3B97-8ACD-40D3-8C25-3213FEE2B31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87474162-94C3-4A2D-AB03-5F72B9B6D82F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D825E4C5-068E-4DB9-8E57-9151EDD34BC6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C8476C27-D4F4-4954-9D47-B0AA3F895552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50030ED7-1617-4EC0-8421-3611BAD972F6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DE7211F4-8036-4BA8-89E4-ADD217D5C07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E186B6CB-4DDF-4378-9516-DBACACE4C7C0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7971CFB0-AE95-4786-B0B3-DD2ED735CC36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C7EDB286-71F7-4934-82BD-7C330C895932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6B5B-E3F7-4FAD-BDC3-F0309DC4B146}">
  <sheetPr>
    <tabColor theme="7"/>
    <pageSetUpPr fitToPage="1"/>
  </sheetPr>
  <dimension ref="A1:P93"/>
  <sheetViews>
    <sheetView showGridLines="0" zoomScaleNormal="100" workbookViewId="0">
      <pane ySplit="4" topLeftCell="A68" activePane="bottomLeft" state="frozen"/>
      <selection pane="bottomLeft" activeCell="H14" sqref="H14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161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44851</v>
      </c>
      <c r="C3" s="43">
        <f>B3+1</f>
        <v>44852</v>
      </c>
      <c r="D3" s="43">
        <f t="shared" ref="D3:H3" si="0">C3+1</f>
        <v>44853</v>
      </c>
      <c r="E3" s="43">
        <f t="shared" si="0"/>
        <v>44854</v>
      </c>
      <c r="F3" s="43">
        <f t="shared" si="0"/>
        <v>44855</v>
      </c>
      <c r="G3" s="43">
        <f t="shared" si="0"/>
        <v>44856</v>
      </c>
      <c r="H3" s="43">
        <f t="shared" si="0"/>
        <v>44857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4" si="3">K5/$K$16</f>
        <v>0</v>
      </c>
      <c r="M5" s="48">
        <f>B3</f>
        <v>44851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1</v>
      </c>
      <c r="L8" s="45">
        <f t="shared" si="3"/>
        <v>0.33333333333333331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2</v>
      </c>
      <c r="L11" s="45">
        <f t="shared" si="3"/>
        <v>0.66666666666666663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0</v>
      </c>
      <c r="L15" s="45">
        <f>K15/$K$16</f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1" t="s">
        <v>1</v>
      </c>
      <c r="K16" s="1">
        <f>SUM(K5:K15)</f>
        <v>3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 t="s">
        <v>6</v>
      </c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 t="s">
        <v>9</v>
      </c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 t="s">
        <v>9</v>
      </c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249" priority="36" operator="containsText" text="Pivô ">
      <formula>NOT(ISERROR(SEARCH("Pivô ",A1)))</formula>
    </cfRule>
  </conditionalFormatting>
  <conditionalFormatting sqref="B5:H93">
    <cfRule type="containsText" dxfId="1237" priority="12" operator="containsText" text="Cardã">
      <formula>NOT(ISERROR(SEARCH("Cardã",B5)))</formula>
    </cfRule>
    <cfRule type="containsText" dxfId="1236" priority="13" operator="containsText" text="Pneu">
      <formula>NOT(ISERROR(SEARCH("Pneu",B5)))</formula>
    </cfRule>
    <cfRule type="containsText" dxfId="1235" priority="14" operator="containsText" text="Vedação">
      <formula>NOT(ISERROR(SEARCH("Vedação",B5)))</formula>
    </cfRule>
    <cfRule type="containsText" dxfId="1234" priority="15" operator="containsText" text="Retentor">
      <formula>NOT(ISERROR(SEARCH("Retentor",B5)))</formula>
    </cfRule>
    <cfRule type="containsText" dxfId="1233" priority="16" operator="containsText" text="Motorredutor">
      <formula>NOT(ISERROR(SEARCH("Motorredutor",B5)))</formula>
    </cfRule>
    <cfRule type="containsText" dxfId="1232" priority="17" operator="containsText" text="Redutor">
      <formula>NOT(ISERROR(SEARCH("Redutor",B5)))</formula>
    </cfRule>
    <cfRule type="containsText" dxfId="1231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A7665968-888B-49C1-9FBC-AF05D40D5CEC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27433261-F479-4C2D-A665-E1E1AA180BCB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D61E0C67-6D0E-4CA9-96A9-7EB463DFD36B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2804A701-9E39-454B-AC97-F727A8D18474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CD91623C-0271-4CF5-8772-AB18331F5987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C74BB3FD-DA1B-4C1D-9103-694CD71812D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F67D41C2-05B8-4E56-BFFB-CF2E45262774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0A59FAE7-7528-4038-9A98-8BE784F89E44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9AAB21CE-253F-473E-B977-100DCBEC0190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D28A6C6D-418F-490E-8EF4-3065076AE14D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EE8D32D5-30DF-4445-A7F4-FF3AD361F5EC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E141D501-99E5-473E-BB4E-D0D81A39E7B2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E39135E1-33E5-4770-BFA4-795DBA9116CD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B5C79A1A-B55D-4B1B-BC15-ADCC522526D1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A6FBBA68-25EE-4FAC-A703-82D2F19847D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C54C1300-28DB-45C0-AF6B-5203CF902954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3C987543-82B0-4B56-9103-B0943159C674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1E5CD370-93F2-41BE-A263-5BAD1EC0977C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A640CD8E-6D57-4FCA-8025-A6C682D3E3B5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A4DE98FA-8D64-4199-B536-B484AE0026D3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0326C8F6-16AD-44D9-886C-0F8BFD893DC4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4FE89F0A-A38B-4F59-B2F4-CBD06FFB9B48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8802310C-8517-4150-9604-BDB41DD83111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BFFB4D80-568B-40FF-82C3-3B64C01F1636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B7AF-16F6-4E8B-B564-2E29CC3A8657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E26" sqref="E26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162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44858</v>
      </c>
      <c r="C3" s="43">
        <f>B3+1</f>
        <v>44859</v>
      </c>
      <c r="D3" s="43">
        <f t="shared" ref="D3:H3" si="0">C3+1</f>
        <v>44860</v>
      </c>
      <c r="E3" s="43">
        <f t="shared" si="0"/>
        <v>44861</v>
      </c>
      <c r="F3" s="43">
        <f t="shared" si="0"/>
        <v>44862</v>
      </c>
      <c r="G3" s="43">
        <f t="shared" si="0"/>
        <v>44863</v>
      </c>
      <c r="H3" s="43">
        <f t="shared" si="0"/>
        <v>44864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 t="shared" ref="C4:D4" si="1">TEXT(C3,"ddd")</f>
        <v>ter</v>
      </c>
      <c r="D4" s="14" t="str">
        <f t="shared" si="1"/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4" si="3">K5/$K$16</f>
        <v>0</v>
      </c>
      <c r="M5" s="48">
        <f>B3</f>
        <v>44858</v>
      </c>
    </row>
    <row r="6" spans="1:16" x14ac:dyDescent="0.25">
      <c r="A6" s="11" t="s">
        <v>20</v>
      </c>
      <c r="B6" s="16" t="s">
        <v>7</v>
      </c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1</v>
      </c>
      <c r="L8" s="45">
        <f t="shared" si="3"/>
        <v>0.25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3</v>
      </c>
      <c r="L9" s="45">
        <f t="shared" si="3"/>
        <v>0.75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0</v>
      </c>
      <c r="L15" s="45">
        <f>K15/$K$16</f>
        <v>0</v>
      </c>
    </row>
    <row r="16" spans="1:16" x14ac:dyDescent="0.25">
      <c r="A16" s="11" t="s">
        <v>31</v>
      </c>
      <c r="B16" s="16"/>
      <c r="C16" s="16"/>
      <c r="D16" s="16"/>
      <c r="E16" s="16" t="s">
        <v>7</v>
      </c>
      <c r="F16" s="16"/>
      <c r="G16" s="16"/>
      <c r="H16" s="16"/>
      <c r="J16" s="1" t="s">
        <v>1</v>
      </c>
      <c r="K16" s="1">
        <f>SUM(K5:K15)</f>
        <v>4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 t="s">
        <v>6</v>
      </c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 t="s">
        <v>7</v>
      </c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218" priority="36" operator="containsText" text="Pivô ">
      <formula>NOT(ISERROR(SEARCH("Pivô ",A1)))</formula>
    </cfRule>
  </conditionalFormatting>
  <conditionalFormatting sqref="B5:H93">
    <cfRule type="containsText" dxfId="1206" priority="12" operator="containsText" text="Cardã">
      <formula>NOT(ISERROR(SEARCH("Cardã",B5)))</formula>
    </cfRule>
    <cfRule type="containsText" dxfId="1205" priority="13" operator="containsText" text="Pneu">
      <formula>NOT(ISERROR(SEARCH("Pneu",B5)))</formula>
    </cfRule>
    <cfRule type="containsText" dxfId="1204" priority="14" operator="containsText" text="Vedação">
      <formula>NOT(ISERROR(SEARCH("Vedação",B5)))</formula>
    </cfRule>
    <cfRule type="containsText" dxfId="1203" priority="15" operator="containsText" text="Retentor">
      <formula>NOT(ISERROR(SEARCH("Retentor",B5)))</formula>
    </cfRule>
    <cfRule type="containsText" dxfId="1202" priority="16" operator="containsText" text="Motorredutor">
      <formula>NOT(ISERROR(SEARCH("Motorredutor",B5)))</formula>
    </cfRule>
    <cfRule type="containsText" dxfId="1201" priority="17" operator="containsText" text="Redutor">
      <formula>NOT(ISERROR(SEARCH("Redutor",B5)))</formula>
    </cfRule>
    <cfRule type="containsText" dxfId="1200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658C45C2-F6ED-477D-9FCF-F5D186EF8069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A1A96FA-0FA9-403F-ABC8-4DE5318BAC9B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7511B258-A13E-4095-BC84-B9A3B9BDFDBD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23F41CBE-8EB1-4253-9ABE-641A700EF7A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1503607A-17D8-4EE2-A83B-56E9440EA622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274E0C30-EF14-48DD-BD5D-BE6CC80AB555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54858DB3-6F02-49F8-8FA4-51AABEB0A9DA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55EDB52E-65CF-4D8B-BA3F-B468DDD9B6C3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2E0BF322-5110-4D5D-A1E1-C32FD055766C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766B34A5-B638-47D1-A452-2AD1C09E4461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0577A687-8D44-48EF-AB4F-FB8953421CE6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145317A0-147F-4DCA-A979-C7FB888EEA60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F7552A31-98AC-4F81-996C-87D060D580DB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357302CB-8D9F-446E-ABDF-E82BB42E5CAB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C6833291-3CE9-4CA6-B9BE-DEA35909FE82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73E0659E-150B-4440-9AE2-6D7312D2A645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DFE8D801-90ED-4361-9898-6912A193C2D3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0E86B2DF-64BF-4936-AAF2-D69ACB370AF4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0C762A9B-5903-4A82-BA7E-86D03843B29E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3BA61C61-AA59-49C7-9376-90CBE46AD595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3F2B6C67-1893-40EC-94B9-8CC1952D162B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97339D8A-3586-4333-A56E-51CE51D54889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8B6A2C4B-6EBB-4C4B-A73E-978A06E135C7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49A1DA49-B2C9-4FC8-85BA-370E789E5752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2361B-8B84-4DA8-AE42-8FC35878AC1D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163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44865</v>
      </c>
      <c r="C3" s="43">
        <f>B3+1</f>
        <v>44866</v>
      </c>
      <c r="D3" s="43">
        <f t="shared" ref="D3:H3" si="0">C3+1</f>
        <v>44867</v>
      </c>
      <c r="E3" s="43">
        <f t="shared" si="0"/>
        <v>44868</v>
      </c>
      <c r="F3" s="43">
        <f t="shared" si="0"/>
        <v>44869</v>
      </c>
      <c r="G3" s="43">
        <f t="shared" si="0"/>
        <v>44870</v>
      </c>
      <c r="H3" s="43">
        <f t="shared" si="0"/>
        <v>44871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4" si="3">K5/$K$16</f>
        <v>0</v>
      </c>
      <c r="M5" s="48">
        <f>B3</f>
        <v>44865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1</v>
      </c>
      <c r="L8" s="45">
        <f t="shared" si="3"/>
        <v>0.5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1</v>
      </c>
      <c r="L9" s="45">
        <f t="shared" si="3"/>
        <v>0.5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0</v>
      </c>
      <c r="L15" s="45">
        <f>K15/$K$16</f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1" t="s">
        <v>1</v>
      </c>
      <c r="K16" s="1">
        <f>SUM(K5:K15)</f>
        <v>2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 t="s">
        <v>7</v>
      </c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 t="s">
        <v>6</v>
      </c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187" priority="36" operator="containsText" text="Pivô ">
      <formula>NOT(ISERROR(SEARCH("Pivô ",A1)))</formula>
    </cfRule>
  </conditionalFormatting>
  <conditionalFormatting sqref="B5:H93">
    <cfRule type="containsText" dxfId="1175" priority="12" operator="containsText" text="Cardã">
      <formula>NOT(ISERROR(SEARCH("Cardã",B5)))</formula>
    </cfRule>
    <cfRule type="containsText" dxfId="1174" priority="13" operator="containsText" text="Pneu">
      <formula>NOT(ISERROR(SEARCH("Pneu",B5)))</formula>
    </cfRule>
    <cfRule type="containsText" dxfId="1173" priority="14" operator="containsText" text="Vedação">
      <formula>NOT(ISERROR(SEARCH("Vedação",B5)))</formula>
    </cfRule>
    <cfRule type="containsText" dxfId="1172" priority="15" operator="containsText" text="Retentor">
      <formula>NOT(ISERROR(SEARCH("Retentor",B5)))</formula>
    </cfRule>
    <cfRule type="containsText" dxfId="1171" priority="16" operator="containsText" text="Motorredutor">
      <formula>NOT(ISERROR(SEARCH("Motorredutor",B5)))</formula>
    </cfRule>
    <cfRule type="containsText" dxfId="1170" priority="17" operator="containsText" text="Redutor">
      <formula>NOT(ISERROR(SEARCH("Redutor",B5)))</formula>
    </cfRule>
    <cfRule type="containsText" dxfId="1169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051F947E-189D-477F-8FCE-3C0C51908BF1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5BD983A-30F6-434D-BB2B-C249CDCFC222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6D3C6F0F-A96B-4A39-AC27-DDC402A9D622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37F8FA9F-D175-449C-B2B0-2B311189041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65668990-32C4-4BCA-9D6D-F1A649835F84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D1A61636-CD2E-4302-9276-A5ED1E5801F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12AEE973-3837-43CB-A447-EB411006C48C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107F53F8-4412-478D-B873-AC5189A292F9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B4F93531-9426-4A9D-9C76-C523714FAAFC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F2E271B6-21A1-4CB4-A36C-8BD465FF0264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30072A6D-F079-48E3-9D88-837CFC7F72EB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7BE2BE72-E565-4A35-9C63-62F3D2DEAF14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5685FA15-E1D6-43AE-8E77-100DE0F98DE0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91D40D3E-A731-46E6-9C5F-B765A5D243E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E48B4A17-60C1-4163-8E3A-D59C6DD35AD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4025CFCC-10F4-4DC7-8FBC-EB139579771D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4A936A57-006D-4AB0-89FF-B7EAA60853B1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DA8795C7-3D7A-43C7-8691-F7C851713E31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562201E1-978A-4019-A001-447D024CB417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09D9BA59-A565-44E0-BD31-7EB9A7CADEF2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D7EDCC22-AE85-486F-871C-A2ED799396E6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86210045-4610-44CC-A1C0-7EA5989DE75D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138BC751-F26C-46CB-8837-28F69C6B2166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A695D405-2BED-4C4B-8491-96C3149EF0C9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6A9A-7DE6-4D1C-A7B2-B370813B1085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164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44872</v>
      </c>
      <c r="C3" s="43">
        <f>B3+1</f>
        <v>44873</v>
      </c>
      <c r="D3" s="43">
        <f t="shared" ref="D3:H3" si="0">C3+1</f>
        <v>44874</v>
      </c>
      <c r="E3" s="43">
        <f t="shared" si="0"/>
        <v>44875</v>
      </c>
      <c r="F3" s="43">
        <f t="shared" si="0"/>
        <v>44876</v>
      </c>
      <c r="G3" s="43">
        <f t="shared" si="0"/>
        <v>44877</v>
      </c>
      <c r="H3" s="43">
        <f t="shared" si="0"/>
        <v>44878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4" si="3">K5/$K$16</f>
        <v>0</v>
      </c>
      <c r="M5" s="48">
        <f>B3</f>
        <v>44872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2</v>
      </c>
      <c r="L8" s="45">
        <f t="shared" si="3"/>
        <v>0.33333333333333331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1</v>
      </c>
      <c r="L9" s="45">
        <f t="shared" si="3"/>
        <v>0.16666666666666666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1</v>
      </c>
      <c r="L10" s="45">
        <f t="shared" si="3"/>
        <v>0.16666666666666666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1</v>
      </c>
      <c r="L12" s="45">
        <f t="shared" si="3"/>
        <v>0.16666666666666666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1</v>
      </c>
      <c r="L14" s="45">
        <f t="shared" si="3"/>
        <v>0.16666666666666666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0</v>
      </c>
      <c r="L15" s="45">
        <f>K15/$K$16</f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1" t="s">
        <v>1</v>
      </c>
      <c r="K16" s="1">
        <f>SUM(K5:K15)</f>
        <v>6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 t="s">
        <v>7</v>
      </c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 t="s">
        <v>114</v>
      </c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 t="s">
        <v>6</v>
      </c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 t="s">
        <v>6</v>
      </c>
      <c r="H64" s="16"/>
    </row>
    <row r="65" spans="1:8" x14ac:dyDescent="0.25">
      <c r="A65" s="11" t="s">
        <v>80</v>
      </c>
      <c r="B65" s="16"/>
      <c r="C65" s="16"/>
      <c r="D65" s="16" t="s">
        <v>8</v>
      </c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 t="s">
        <v>144</v>
      </c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156" priority="36" operator="containsText" text="Pivô ">
      <formula>NOT(ISERROR(SEARCH("Pivô ",A1)))</formula>
    </cfRule>
  </conditionalFormatting>
  <conditionalFormatting sqref="B5:H93">
    <cfRule type="containsText" dxfId="1144" priority="12" operator="containsText" text="Cardã">
      <formula>NOT(ISERROR(SEARCH("Cardã",B5)))</formula>
    </cfRule>
    <cfRule type="containsText" dxfId="1143" priority="13" operator="containsText" text="Pneu">
      <formula>NOT(ISERROR(SEARCH("Pneu",B5)))</formula>
    </cfRule>
    <cfRule type="containsText" dxfId="1142" priority="14" operator="containsText" text="Vedação">
      <formula>NOT(ISERROR(SEARCH("Vedação",B5)))</formula>
    </cfRule>
    <cfRule type="containsText" dxfId="1141" priority="15" operator="containsText" text="Retentor">
      <formula>NOT(ISERROR(SEARCH("Retentor",B5)))</formula>
    </cfRule>
    <cfRule type="containsText" dxfId="1140" priority="16" operator="containsText" text="Motorredutor">
      <formula>NOT(ISERROR(SEARCH("Motorredutor",B5)))</formula>
    </cfRule>
    <cfRule type="containsText" dxfId="1139" priority="17" operator="containsText" text="Redutor">
      <formula>NOT(ISERROR(SEARCH("Redutor",B5)))</formula>
    </cfRule>
    <cfRule type="containsText" dxfId="1138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F638666A-3448-4BC9-9C31-900F30ED16EB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4418B1C-D26E-417A-B69D-C15D158B5491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08292CD4-AE10-4667-A86E-D66B17986A76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D92EF7A8-4F1D-4DD0-B151-0EA67392E582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0E6C5E51-2688-43DC-A674-33BB52DF4B47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15BFDADB-4A51-4DC0-B2BC-82452DB0A6D3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A9352131-F18E-4559-8303-3F7CF0E03614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96234A35-86B5-4182-A533-7D78ECAC814A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9E0F2A72-BBDF-4DB0-8E05-56A98390427F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46EE363F-3550-4644-A5CD-AFA5062E27CE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8C09726B-FA8C-407B-993B-CC3E9565B8FC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C3344405-04F8-4DFB-81B9-C19753E46D0C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B1531455-C89D-435B-8AF7-C0BFE3B279FB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17E02DA6-DA2E-403B-8ADB-E7043CB2E915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9872EBE8-83C7-44B6-B8C4-0A53F91D261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04A992DA-BCD4-4BB8-B1B8-7F5E3608F1A4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A41F44E0-F19D-4C89-AEE6-B3BB12662FF1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021822FC-BA59-4809-A621-472F122DB093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60E4EB68-08C0-4198-AF23-A388C6D1DBF3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4FE05397-8494-43F2-996E-623147CC3486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5D05969E-19C9-44B5-9673-32FB55FF358F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F5CE3AB5-422C-4D02-B9F4-7E710300FBE0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6D32ADA0-6620-41F9-A3B3-3470430ED285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D47F5F31-D0F9-4407-ABE1-8A6911439107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F073-90B1-4E6D-9CD4-C131D68EF32C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165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44879</v>
      </c>
      <c r="C3" s="43">
        <f>B3+1</f>
        <v>44880</v>
      </c>
      <c r="D3" s="43">
        <f t="shared" ref="D3:H3" si="0">C3+1</f>
        <v>44881</v>
      </c>
      <c r="E3" s="43">
        <f t="shared" si="0"/>
        <v>44882</v>
      </c>
      <c r="F3" s="43">
        <f t="shared" si="0"/>
        <v>44883</v>
      </c>
      <c r="G3" s="43">
        <f t="shared" si="0"/>
        <v>44884</v>
      </c>
      <c r="H3" s="43">
        <f t="shared" si="0"/>
        <v>44885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4" si="3">K5/$K$16</f>
        <v>0</v>
      </c>
      <c r="M5" s="48">
        <f>B3</f>
        <v>44879</v>
      </c>
    </row>
    <row r="6" spans="1:16" x14ac:dyDescent="0.25">
      <c r="A6" s="11" t="s">
        <v>20</v>
      </c>
      <c r="B6" s="16" t="s">
        <v>6</v>
      </c>
      <c r="C6" s="16" t="s">
        <v>6</v>
      </c>
      <c r="D6" s="16" t="s">
        <v>6</v>
      </c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3</v>
      </c>
      <c r="L8" s="45">
        <f t="shared" si="3"/>
        <v>1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0</v>
      </c>
      <c r="L15" s="45">
        <f>K15/$K$16</f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1" t="s">
        <v>1</v>
      </c>
      <c r="K16" s="1">
        <f>SUM(K5:K15)</f>
        <v>3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125" priority="36" operator="containsText" text="Pivô ">
      <formula>NOT(ISERROR(SEARCH("Pivô ",A1)))</formula>
    </cfRule>
  </conditionalFormatting>
  <conditionalFormatting sqref="B5:H93">
    <cfRule type="containsText" dxfId="1113" priority="12" operator="containsText" text="Cardã">
      <formula>NOT(ISERROR(SEARCH("Cardã",B5)))</formula>
    </cfRule>
    <cfRule type="containsText" dxfId="1112" priority="13" operator="containsText" text="Pneu">
      <formula>NOT(ISERROR(SEARCH("Pneu",B5)))</formula>
    </cfRule>
    <cfRule type="containsText" dxfId="1111" priority="14" operator="containsText" text="Vedação">
      <formula>NOT(ISERROR(SEARCH("Vedação",B5)))</formula>
    </cfRule>
    <cfRule type="containsText" dxfId="1110" priority="15" operator="containsText" text="Retentor">
      <formula>NOT(ISERROR(SEARCH("Retentor",B5)))</formula>
    </cfRule>
    <cfRule type="containsText" dxfId="1109" priority="16" operator="containsText" text="Motorredutor">
      <formula>NOT(ISERROR(SEARCH("Motorredutor",B5)))</formula>
    </cfRule>
    <cfRule type="containsText" dxfId="1108" priority="17" operator="containsText" text="Redutor">
      <formula>NOT(ISERROR(SEARCH("Redutor",B5)))</formula>
    </cfRule>
    <cfRule type="containsText" dxfId="1107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640F58BF-DB14-4443-B3AA-7115660B612B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6B41D7F-00C2-470F-8C86-BED06779D0BA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0FBE372B-1C64-42DA-9C94-4415283486DB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E4665761-44C3-4484-9472-972807DDF41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E513B364-A9C1-48B9-8533-9EEFAAF507F1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B4C9E354-3888-4F73-8AA3-98CC07C68BA9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2D152DAB-46D4-414D-8D9A-A299472CC1E8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10FEC8C9-A44D-4981-A738-7BEDD1F4F772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040A0B67-6636-400D-BC96-5693A456189D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ED40F63B-812C-493C-B193-2F03BF75FDDE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FA904F85-12AD-4DCC-A588-2E378EC37341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391775FB-7639-4D64-97BB-62D76EC37942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C8021539-F7D8-45F4-9229-2E536CBF74C7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EBBBA33E-94C6-4A3A-9F7B-01087A89A8DA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3464ABDF-314E-405D-B274-FB00592A3F06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77591921-5021-434A-8EFF-3F3B9CEDBF9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FC6B9AD0-1CA9-409A-8D8C-FD533E559460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9760F3C6-D215-4256-B146-6BF70E2DD4B3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63BCD03A-F25D-405F-B2DF-3FFAC88B0584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C2E32A9C-DAC9-488A-B827-1953C2D305D1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BD02F709-AE50-4971-A2C2-65759B30BC26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B7679817-6AF1-4FD1-BA40-2DE4E269B21C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8551304B-BD0D-4965-ADFA-DB9FE3F7B7FE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0464D5C4-AE1F-4C53-9C4B-FEB892936ED2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0301-AD19-40EF-91C2-C7BFD84C30D0}">
  <sheetPr>
    <tabColor theme="7"/>
    <pageSetUpPr fitToPage="1"/>
  </sheetPr>
  <dimension ref="A1:P93"/>
  <sheetViews>
    <sheetView showGridLines="0" zoomScaleNormal="100" workbookViewId="0">
      <pane ySplit="4" topLeftCell="A20" activePane="bottomLeft" state="frozen"/>
      <selection pane="bottomLeft" activeCell="F29" sqref="F29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165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44893</v>
      </c>
      <c r="C3" s="43">
        <f>B3+1</f>
        <v>44894</v>
      </c>
      <c r="D3" s="43">
        <f t="shared" ref="D3:H3" si="0">C3+1</f>
        <v>44895</v>
      </c>
      <c r="E3" s="43">
        <f t="shared" si="0"/>
        <v>44896</v>
      </c>
      <c r="F3" s="43">
        <f t="shared" si="0"/>
        <v>44897</v>
      </c>
      <c r="G3" s="43">
        <f t="shared" si="0"/>
        <v>44898</v>
      </c>
      <c r="H3" s="43">
        <f t="shared" si="0"/>
        <v>44899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4" si="3">K5/$K$16</f>
        <v>0</v>
      </c>
      <c r="M5" s="48">
        <f>B3</f>
        <v>44893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1</v>
      </c>
      <c r="L8" s="45">
        <f t="shared" si="3"/>
        <v>1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0</v>
      </c>
      <c r="L15" s="45">
        <f>K15/$K$16</f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1" t="s">
        <v>1</v>
      </c>
      <c r="K16" s="1">
        <f>SUM(K5:K15)</f>
        <v>1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 t="s">
        <v>6</v>
      </c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094" priority="36" operator="containsText" text="Pivô ">
      <formula>NOT(ISERROR(SEARCH("Pivô ",A1)))</formula>
    </cfRule>
  </conditionalFormatting>
  <conditionalFormatting sqref="B5:H93">
    <cfRule type="containsText" dxfId="1082" priority="12" operator="containsText" text="Cardã">
      <formula>NOT(ISERROR(SEARCH("Cardã",B5)))</formula>
    </cfRule>
    <cfRule type="containsText" dxfId="1081" priority="13" operator="containsText" text="Pneu">
      <formula>NOT(ISERROR(SEARCH("Pneu",B5)))</formula>
    </cfRule>
    <cfRule type="containsText" dxfId="1080" priority="14" operator="containsText" text="Vedação">
      <formula>NOT(ISERROR(SEARCH("Vedação",B5)))</formula>
    </cfRule>
    <cfRule type="containsText" dxfId="1079" priority="15" operator="containsText" text="Retentor">
      <formula>NOT(ISERROR(SEARCH("Retentor",B5)))</formula>
    </cfRule>
    <cfRule type="containsText" dxfId="1078" priority="16" operator="containsText" text="Motorredutor">
      <formula>NOT(ISERROR(SEARCH("Motorredutor",B5)))</formula>
    </cfRule>
    <cfRule type="containsText" dxfId="1077" priority="17" operator="containsText" text="Redutor">
      <formula>NOT(ISERROR(SEARCH("Redutor",B5)))</formula>
    </cfRule>
    <cfRule type="containsText" dxfId="1076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4F49BA5F-3164-42F9-8B6E-019980E5629A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ED92DA0-2DD4-4128-861E-E862B40EE354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D41D5635-44BE-4989-8D30-80F51B22148F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7156B945-BE96-4E69-AC80-1241E4BCD92F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3AD22E6F-38FF-40CF-9DB5-3E5B660A2A20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621CFCE2-06EA-4616-BE39-A72146C8BA7E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4244E7C5-B7D0-49FE-9E0B-6CCAE42AFFAF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0CAB139C-AC64-41D9-ADD0-576679948B57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5F59517D-5EF5-476E-A650-70C397A57A14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2CAC690D-0047-420B-AF0C-6CE918AE471D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8776FECE-0F51-4C23-BF98-759F62061B4F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1AD0C717-9D14-49C8-AD4C-99563B252AEB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A32D24EF-0B0F-4054-97B0-7AC6A4208D5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ADC3AC30-760D-492D-BF9A-7F3E40ABD1AE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526BBD9B-B451-400F-9D76-466D5D352E95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AC98D5A7-DAAD-49F9-A7C6-BFE88C545F8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0B5AF71D-FFEA-4CEB-B8CB-AA073C68EC35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F28F9DAD-ADEF-4296-8756-CE34884A9C10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56750B60-5037-4414-827F-8D34B2C326AD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77D950B9-6117-41A4-AB75-CFAFFAB599A0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7707443A-DF94-473D-AB3C-61987096CEFF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FA51B3A9-B29C-4A8E-99A7-679FDC5CEF02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0F88386B-4F9B-4721-B5F7-893B613F3D40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D33162E6-08B6-4095-9146-BB6F443BEEDA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C897-3497-4658-AB4D-27875B754431}">
  <sheetPr>
    <tabColor theme="7"/>
    <pageSetUpPr fitToPage="1"/>
  </sheetPr>
  <dimension ref="A1:P93"/>
  <sheetViews>
    <sheetView showGridLines="0" zoomScaleNormal="100" workbookViewId="0">
      <pane ySplit="4" topLeftCell="A23" activePane="bottomLeft" state="frozen"/>
      <selection pane="bottomLeft" activeCell="F84" sqref="F84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166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44900</v>
      </c>
      <c r="C3" s="43">
        <f>B3+1</f>
        <v>44901</v>
      </c>
      <c r="D3" s="43">
        <f t="shared" ref="D3:H3" si="0">C3+1</f>
        <v>44902</v>
      </c>
      <c r="E3" s="43">
        <f t="shared" si="0"/>
        <v>44903</v>
      </c>
      <c r="F3" s="43">
        <f t="shared" si="0"/>
        <v>44904</v>
      </c>
      <c r="G3" s="43">
        <f t="shared" si="0"/>
        <v>44905</v>
      </c>
      <c r="H3" s="43">
        <f t="shared" si="0"/>
        <v>44906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2</v>
      </c>
      <c r="L5" s="45">
        <f t="shared" ref="L5:L14" si="3">K5/$K$16</f>
        <v>0.4</v>
      </c>
      <c r="M5" s="48">
        <f>B3</f>
        <v>44900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1</v>
      </c>
      <c r="L7" s="45">
        <f t="shared" si="3"/>
        <v>0.2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1</v>
      </c>
      <c r="L8" s="45">
        <f t="shared" si="3"/>
        <v>0.2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 t="s">
        <v>112</v>
      </c>
      <c r="D10" s="16" t="s">
        <v>112</v>
      </c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1</v>
      </c>
      <c r="L14" s="45">
        <f t="shared" si="3"/>
        <v>0.2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0</v>
      </c>
      <c r="L15" s="45">
        <f>K15/$K$16</f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1" t="s">
        <v>1</v>
      </c>
      <c r="K16" s="1">
        <f>SUM(K5:K15)</f>
        <v>5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 t="s">
        <v>144</v>
      </c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 t="s">
        <v>6</v>
      </c>
      <c r="E88" s="16" t="s">
        <v>5</v>
      </c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063" priority="36" operator="containsText" text="Pivô ">
      <formula>NOT(ISERROR(SEARCH("Pivô ",A1)))</formula>
    </cfRule>
  </conditionalFormatting>
  <conditionalFormatting sqref="B5:H93">
    <cfRule type="containsText" dxfId="1051" priority="12" operator="containsText" text="Cardã">
      <formula>NOT(ISERROR(SEARCH("Cardã",B5)))</formula>
    </cfRule>
    <cfRule type="containsText" dxfId="1050" priority="13" operator="containsText" text="Pneu">
      <formula>NOT(ISERROR(SEARCH("Pneu",B5)))</formula>
    </cfRule>
    <cfRule type="containsText" dxfId="1049" priority="14" operator="containsText" text="Vedação">
      <formula>NOT(ISERROR(SEARCH("Vedação",B5)))</formula>
    </cfRule>
    <cfRule type="containsText" dxfId="1048" priority="15" operator="containsText" text="Retentor">
      <formula>NOT(ISERROR(SEARCH("Retentor",B5)))</formula>
    </cfRule>
    <cfRule type="containsText" dxfId="1047" priority="16" operator="containsText" text="Motorredutor">
      <formula>NOT(ISERROR(SEARCH("Motorredutor",B5)))</formula>
    </cfRule>
    <cfRule type="containsText" dxfId="1046" priority="17" operator="containsText" text="Redutor">
      <formula>NOT(ISERROR(SEARCH("Redutor",B5)))</formula>
    </cfRule>
    <cfRule type="containsText" dxfId="1045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A4C80A14-40EC-4C69-9155-D5A26EB4190B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ABB8C5B-41E8-4F54-ACBC-D41F688F4C0E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90FEDE5F-3086-4CF3-BE8C-39E553A9A793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85EB5E94-7DB0-4895-83BD-ADAD2A2FBF7A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53449282-5C67-4250-86D3-A6C321D85129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2868BBC2-60B2-44BF-A6DB-C8329EAFF1A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0389486A-40C9-4D3C-9D09-F4C9B91ECF7C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40F9B6AC-CE16-493E-8EA6-02108005511D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C3B86A49-20BB-42F7-82ED-EF923186F660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50D227FC-88CA-44D0-A0A7-3B98841D7769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57196C17-AF04-46EB-8622-7E65A87FC082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D6D6ABE4-B6C1-4053-BC15-0A9AD0FE2A48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D0ED8BA0-3D02-49D5-A75D-603898DF3021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B41896C5-E300-40F1-B6B4-DC0480F81C64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3857D1F2-B606-4FCC-AD21-023377401B3A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68FA4B03-2101-4468-9DE2-7E666A99691C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6D409021-2F33-4CA4-BC32-ED03FB1AC1F3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D3CADAFC-BBCA-4093-9217-9BCEC9D1FD3C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55D2CCE4-FE3F-4625-9AC9-4CB5730D7FBC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646646DB-4BF4-4800-965E-B3792EDA5A97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3BF0DFD5-36D7-4D7F-B9BF-DA15C640216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C3CA80D5-0F43-4781-862E-9ECA2053667A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56A6902B-EEBA-4EB2-9A29-B06BDA183390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95E49128-85A1-4153-9B1D-231B1401E544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A07E9-BA88-4CD4-9791-058B63CE59FE}">
  <sheetPr>
    <tabColor theme="7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167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44914</v>
      </c>
      <c r="C3" s="43">
        <f>B3+1</f>
        <v>44915</v>
      </c>
      <c r="D3" s="43">
        <f t="shared" ref="D3:H3" si="0">C3+1</f>
        <v>44916</v>
      </c>
      <c r="E3" s="43">
        <f t="shared" si="0"/>
        <v>44917</v>
      </c>
      <c r="F3" s="43">
        <f t="shared" si="0"/>
        <v>44918</v>
      </c>
      <c r="G3" s="43">
        <f t="shared" si="0"/>
        <v>44919</v>
      </c>
      <c r="H3" s="43">
        <f t="shared" si="0"/>
        <v>44920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1</v>
      </c>
      <c r="L5" s="45">
        <f t="shared" ref="L5:L14" si="3">K5/$K$16</f>
        <v>0.5</v>
      </c>
      <c r="M5" s="48">
        <f>B3</f>
        <v>44914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0</v>
      </c>
      <c r="L8" s="45">
        <f t="shared" si="3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1</v>
      </c>
      <c r="L9" s="45">
        <f t="shared" si="3"/>
        <v>0.5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 t="s">
        <v>112</v>
      </c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 t="s">
        <v>7</v>
      </c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0</v>
      </c>
      <c r="L15" s="45">
        <f>K15/$K$16</f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1" t="s">
        <v>1</v>
      </c>
      <c r="K16" s="1">
        <f>SUM(K5:K15)</f>
        <v>2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032" priority="36" operator="containsText" text="Pivô ">
      <formula>NOT(ISERROR(SEARCH("Pivô ",A1)))</formula>
    </cfRule>
  </conditionalFormatting>
  <conditionalFormatting sqref="B5:H93">
    <cfRule type="containsText" dxfId="1020" priority="12" operator="containsText" text="Cardã">
      <formula>NOT(ISERROR(SEARCH("Cardã",B5)))</formula>
    </cfRule>
    <cfRule type="containsText" dxfId="1019" priority="13" operator="containsText" text="Pneu">
      <formula>NOT(ISERROR(SEARCH("Pneu",B5)))</formula>
    </cfRule>
    <cfRule type="containsText" dxfId="1018" priority="14" operator="containsText" text="Vedação">
      <formula>NOT(ISERROR(SEARCH("Vedação",B5)))</formula>
    </cfRule>
    <cfRule type="containsText" dxfId="1017" priority="15" operator="containsText" text="Retentor">
      <formula>NOT(ISERROR(SEARCH("Retentor",B5)))</formula>
    </cfRule>
    <cfRule type="containsText" dxfId="1016" priority="16" operator="containsText" text="Motorredutor">
      <formula>NOT(ISERROR(SEARCH("Motorredutor",B5)))</formula>
    </cfRule>
    <cfRule type="containsText" dxfId="1015" priority="17" operator="containsText" text="Redutor">
      <formula>NOT(ISERROR(SEARCH("Redutor",B5)))</formula>
    </cfRule>
    <cfRule type="containsText" dxfId="1014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73119B17-3CAC-4BB1-823A-33DD57436ED8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DF9DCF0-9258-4F7F-8304-5137DF9C1DA4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27BC2129-53A3-4FF4-AA79-111B5EAD4691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98DB9836-B7D5-4413-B0B4-D1691DD5EAAC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5B0AA3E2-5A61-4AD0-B9E8-94E91E4822B6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475A191D-37BE-4425-AA4E-36AC26FD10FD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23217304-BDA9-4A5B-B481-B39D52EF29D0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FB851CBF-93B3-4A66-AF65-FD71EB5023F6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A72D308A-46DA-4244-BFBC-E887EA56DE7F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AAAE16FA-F673-4377-B427-6B983CED873C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6C66A7AC-F053-4957-87DA-BE8D6048C3AF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3889012E-9EAD-427C-940B-A2B6723D3A78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3FF835EC-7A85-4388-9A0D-D0AD8CB9D1F2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0FE4CD6B-7FB0-44A6-B15F-29E529608BD2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8C28E5B2-4575-49BB-A188-B1BB547A84C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F5606436-693E-4D08-BA92-FA71941BA9A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20B54244-F4E4-4569-A6E3-0A83DDD4E075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01547D9E-FC1F-4BF7-9325-B8FFEED44047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63B47701-C44A-475D-87D3-48B85C8D59EB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5B51C316-3FAD-49D3-8A6B-4BD20AEE659C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8D5B5C76-4765-4FF3-9A33-79CD7DE270F0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678E14E2-9A29-4D19-8E45-F350A70F3259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7CEEFC56-0C47-4BA4-8231-76D1B128B90E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E521657B-CDE0-4707-B629-04850C3D4038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25AC-C332-45C0-89D5-1E2A6F41755D}">
  <sheetPr>
    <tabColor theme="7"/>
    <pageSetUpPr fitToPage="1"/>
  </sheetPr>
  <dimension ref="A1:P93"/>
  <sheetViews>
    <sheetView showGridLines="0" zoomScaleNormal="100" workbookViewId="0">
      <pane ySplit="4" topLeftCell="A74" activePane="bottomLeft" state="frozen"/>
      <selection pane="bottomLeft" activeCell="N84" sqref="N84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167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44921</v>
      </c>
      <c r="C3" s="43">
        <f>B3+1</f>
        <v>44922</v>
      </c>
      <c r="D3" s="43">
        <f t="shared" ref="D3:H3" si="0">C3+1</f>
        <v>44923</v>
      </c>
      <c r="E3" s="43">
        <f t="shared" si="0"/>
        <v>44924</v>
      </c>
      <c r="F3" s="43">
        <f t="shared" si="0"/>
        <v>44925</v>
      </c>
      <c r="G3" s="43">
        <f t="shared" si="0"/>
        <v>44926</v>
      </c>
      <c r="H3" s="43">
        <f t="shared" si="0"/>
        <v>44927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4" si="3">K5/$K$16</f>
        <v>0</v>
      </c>
      <c r="M5" s="48">
        <f>B3</f>
        <v>44921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1</v>
      </c>
      <c r="L8" s="45">
        <f t="shared" si="3"/>
        <v>1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3" t="s">
        <v>148</v>
      </c>
      <c r="K15" s="4">
        <f>COUNTIF($B$5:$H$93,J15)</f>
        <v>0</v>
      </c>
      <c r="L15" s="45">
        <f>K15/$K$16</f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1" t="s">
        <v>1</v>
      </c>
      <c r="K16" s="1">
        <f>SUM(K5:K15)</f>
        <v>1</v>
      </c>
    </row>
    <row r="17" spans="1:10" x14ac:dyDescent="0.25">
      <c r="A17" s="11" t="s">
        <v>32</v>
      </c>
      <c r="B17" s="16"/>
      <c r="C17" s="16"/>
      <c r="D17" s="16"/>
      <c r="E17" s="16"/>
      <c r="F17" s="16"/>
      <c r="G17" s="16"/>
      <c r="H17" s="16"/>
    </row>
    <row r="18" spans="1:10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0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0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0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0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0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0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0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0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0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0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0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0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0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0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 t="s">
        <v>6</v>
      </c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1001" priority="36" operator="containsText" text="Pivô ">
      <formula>NOT(ISERROR(SEARCH("Pivô ",A1)))</formula>
    </cfRule>
  </conditionalFormatting>
  <conditionalFormatting sqref="B5:H93">
    <cfRule type="containsText" dxfId="989" priority="12" operator="containsText" text="Cardã">
      <formula>NOT(ISERROR(SEARCH("Cardã",B5)))</formula>
    </cfRule>
    <cfRule type="containsText" dxfId="988" priority="13" operator="containsText" text="Pneu">
      <formula>NOT(ISERROR(SEARCH("Pneu",B5)))</formula>
    </cfRule>
    <cfRule type="containsText" dxfId="987" priority="14" operator="containsText" text="Vedação">
      <formula>NOT(ISERROR(SEARCH("Vedação",B5)))</formula>
    </cfRule>
    <cfRule type="containsText" dxfId="986" priority="15" operator="containsText" text="Retentor">
      <formula>NOT(ISERROR(SEARCH("Retentor",B5)))</formula>
    </cfRule>
    <cfRule type="containsText" dxfId="985" priority="16" operator="containsText" text="Motorredutor">
      <formula>NOT(ISERROR(SEARCH("Motorredutor",B5)))</formula>
    </cfRule>
    <cfRule type="containsText" dxfId="984" priority="17" operator="containsText" text="Redutor">
      <formula>NOT(ISERROR(SEARCH("Redutor",B5)))</formula>
    </cfRule>
    <cfRule type="containsText" dxfId="983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A3530104-4241-4F87-B439-0591B4BDFCEB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B6DC52B-C51C-4AE9-9C07-5B3636C2462B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2" operator="containsText" id="{C7353E06-D6A4-4779-A570-A8A606DA5400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34449A11-3F87-4712-8E66-1445054EB713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4C34E00A-31B8-4E9E-9F98-4A150E16F624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468A5C2F-D884-49D7-8A74-5B0382AB0C32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420D8A21-02E3-47EB-9F95-43C785ABC922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3AFC218D-35A6-4622-A34D-A0EEE6D4BDD4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ED565214-6A1A-4FFD-8B9E-3C5F7CDC37D8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F1842B32-3939-4EF0-96B3-A76421FB1EC8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F8219375-A8D9-4C9B-9E7A-03CF4D302B3E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8ED40950-ECF6-4897-BD69-27F3FB037809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4C7404E3-0008-4F82-B3BE-96434C863F6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0F679835-6CAE-4ABD-BFC3-F555CB70065B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3D15050F-D613-4A71-9496-E79409E4891D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30527FAA-6678-42A1-9E8A-A2AC1B17498C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585E4A2B-FDFC-4C3B-949E-476986E04A11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C100DBE3-6021-4973-BB3E-EBF83ADD4002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C3DB72B0-41E1-46BA-AE3F-3DAFB937311A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EFB15E8B-CF8A-4999-8B79-C470D1F19819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150B7A63-DC1B-4147-A4CA-4371578B49B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40012BCC-FD9E-4BB1-A0CE-8626441B9D36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3DC3B54F-1803-43F0-8D1B-33446513BA60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28322A4B-1971-4F0C-A666-3923E016E31B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1A21-744A-4771-912C-BFA8184FFCA0}">
  <sheetPr>
    <tabColor theme="7"/>
    <pageSetUpPr fitToPage="1"/>
  </sheetPr>
  <dimension ref="A1:P93"/>
  <sheetViews>
    <sheetView showGridLines="0" zoomScaleNormal="100" workbookViewId="0">
      <pane ySplit="4" topLeftCell="A14" activePane="bottomLeft" state="frozen"/>
      <selection pane="bottomLeft" activeCell="G34" sqref="G34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168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44928</v>
      </c>
      <c r="C3" s="43">
        <f>B3+1</f>
        <v>44929</v>
      </c>
      <c r="D3" s="43">
        <f t="shared" ref="D3:H3" si="0">C3+1</f>
        <v>44930</v>
      </c>
      <c r="E3" s="43">
        <f t="shared" si="0"/>
        <v>44931</v>
      </c>
      <c r="F3" s="43">
        <f t="shared" si="0"/>
        <v>44932</v>
      </c>
      <c r="G3" s="43">
        <f t="shared" si="0"/>
        <v>44933</v>
      </c>
      <c r="H3" s="43">
        <f t="shared" si="0"/>
        <v>44934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3</v>
      </c>
      <c r="L5" s="45">
        <f t="shared" ref="L5:L16" si="3">K5/$K$17</f>
        <v>0.3</v>
      </c>
      <c r="M5" s="48">
        <f>B3</f>
        <v>44928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5</v>
      </c>
      <c r="L8" s="45">
        <f t="shared" si="3"/>
        <v>0.5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 t="s">
        <v>112</v>
      </c>
      <c r="D10" s="16" t="s">
        <v>112</v>
      </c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 t="s">
        <v>112</v>
      </c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>COUNTIF($B$5:$H$93,J15)</f>
        <v>2</v>
      </c>
      <c r="L15" s="45">
        <f t="shared" si="3"/>
        <v>0.2</v>
      </c>
    </row>
    <row r="16" spans="1:16" x14ac:dyDescent="0.25">
      <c r="A16" s="11" t="s">
        <v>31</v>
      </c>
      <c r="B16" s="16"/>
      <c r="C16" s="16" t="s">
        <v>6</v>
      </c>
      <c r="D16" s="16"/>
      <c r="E16" s="16"/>
      <c r="F16" s="16"/>
      <c r="G16" s="16"/>
      <c r="H16" s="16"/>
      <c r="J16" s="53" t="s">
        <v>148</v>
      </c>
      <c r="K16" s="4">
        <f>COUNTIF($B$5:$H$93,J16)</f>
        <v>0</v>
      </c>
      <c r="L16" s="45">
        <f t="shared" si="3"/>
        <v>0</v>
      </c>
    </row>
    <row r="17" spans="1:11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1" t="s">
        <v>1</v>
      </c>
      <c r="K17" s="1">
        <f>SUM(K5:K16)</f>
        <v>10</v>
      </c>
    </row>
    <row r="18" spans="1:11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1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1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1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1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1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1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1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1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1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1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1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1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1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1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 t="s">
        <v>169</v>
      </c>
      <c r="D34" s="16" t="s">
        <v>169</v>
      </c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 t="s">
        <v>6</v>
      </c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 t="s">
        <v>6</v>
      </c>
      <c r="E62" s="16" t="s">
        <v>6</v>
      </c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 t="s">
        <v>6</v>
      </c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970" priority="37" operator="containsText" text="Pivô ">
      <formula>NOT(ISERROR(SEARCH("Pivô ",A1)))</formula>
    </cfRule>
  </conditionalFormatting>
  <conditionalFormatting sqref="B5:H93">
    <cfRule type="cellIs" dxfId="969" priority="1" operator="equal">
      <formula>$J$15</formula>
    </cfRule>
    <cfRule type="containsText" dxfId="958" priority="13" operator="containsText" text="Cardã">
      <formula>NOT(ISERROR(SEARCH("Cardã",B5)))</formula>
    </cfRule>
    <cfRule type="containsText" dxfId="957" priority="14" operator="containsText" text="Pneu">
      <formula>NOT(ISERROR(SEARCH("Pneu",B5)))</formula>
    </cfRule>
    <cfRule type="containsText" dxfId="956" priority="15" operator="containsText" text="Vedação">
      <formula>NOT(ISERROR(SEARCH("Vedação",B5)))</formula>
    </cfRule>
    <cfRule type="containsText" dxfId="955" priority="16" operator="containsText" text="Retentor">
      <formula>NOT(ISERROR(SEARCH("Retentor",B5)))</formula>
    </cfRule>
    <cfRule type="containsText" dxfId="954" priority="17" operator="containsText" text="Motorredutor">
      <formula>NOT(ISERROR(SEARCH("Motorredutor",B5)))</formula>
    </cfRule>
    <cfRule type="containsText" dxfId="953" priority="18" operator="containsText" text="Redutor">
      <formula>NOT(ISERROR(SEARCH("Redutor",B5)))</formula>
    </cfRule>
    <cfRule type="containsText" dxfId="952" priority="19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8DB4B1AC-3915-46A6-8981-8105385AFF7E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FEE9BC02-0F0B-4176-AC92-A3C32357129F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4" operator="containsText" id="{900486DF-8EC6-442C-A253-90D6C152E582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5" operator="containsText" id="{9AE5A2A6-D05D-46B9-968F-CD63E8333F4F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6" operator="containsText" id="{00E62467-DD8B-4931-AF65-73483EF2CF58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7" operator="containsText" id="{2F4B2A72-3274-4478-B0D8-BA35B167E31A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8" operator="containsText" id="{1A507C6B-76C9-483B-9965-F872DBF4E0AE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9" operator="containsText" id="{746A9F60-C4B4-4A13-BD08-BE98B8A4F92B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10" operator="containsText" id="{2B7E1857-B1DA-45E5-ACF3-9366B707EB69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1" operator="containsText" id="{E3EDFF51-94F3-40F9-86F7-E763288B954F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2" operator="containsText" id="{2FBACF07-2FE1-4CD7-955F-993C728D47CF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20" operator="containsText" id="{45CC33BA-70BD-4B70-9FF1-CDADCCBBC28F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1" operator="containsText" id="{C3E6C5D0-9018-4D1E-8A16-8689DF343026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86F8DDA2-90C9-4FA8-AA78-619C2BBFD45F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3" operator="containsText" id="{83AF871C-8BFE-4815-AFE7-2A8DFF98FE41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5" operator="containsText" id="{D3D4BBCC-F129-48C4-A38A-BB1F2BD68350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0" operator="containsText" id="{E3A036FF-CAE2-4B8D-B02F-094F3727BDC4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1" operator="containsText" id="{D12D9442-0AB7-4A1E-9CFD-BF24FEBAE16C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C43C277D-8B47-4EDF-AF08-3719477C0745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3" operator="containsText" id="{BC4EFF1B-B483-45B1-A624-5989CC025CB5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4" operator="containsText" id="{946CCFE2-2310-4D9D-8A1C-826BBB9E0DF4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5" operator="containsText" id="{79FF25EB-63F8-48DD-92CF-DF30FEAEF3DC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6" operator="containsText" id="{2CD43C86-BB95-4C72-A574-DBD2E441C0A9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43" operator="containsText" id="{B21C4D34-8361-41B2-8420-1D0B8B094C88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0588-511B-4793-BE07-17898463ABDF}">
  <sheetPr>
    <tabColor theme="7"/>
    <pageSetUpPr fitToPage="1"/>
  </sheetPr>
  <dimension ref="A1:P93"/>
  <sheetViews>
    <sheetView showGridLines="0" zoomScaleNormal="100" workbookViewId="0">
      <pane ySplit="4" topLeftCell="A38" activePane="bottomLeft" state="frozen"/>
      <selection pane="bottomLeft" activeCell="F79" sqref="F79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0.7109375" bestFit="1" customWidth="1"/>
  </cols>
  <sheetData>
    <row r="1" spans="1:16" s="8" customFormat="1" x14ac:dyDescent="0.25">
      <c r="A1" s="57" t="s">
        <v>168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44935</v>
      </c>
      <c r="C3" s="43">
        <f>B3+1</f>
        <v>44936</v>
      </c>
      <c r="D3" s="43">
        <f t="shared" ref="D3:H3" si="0">C3+1</f>
        <v>44937</v>
      </c>
      <c r="E3" s="43">
        <f t="shared" si="0"/>
        <v>44938</v>
      </c>
      <c r="F3" s="43">
        <f t="shared" si="0"/>
        <v>44939</v>
      </c>
      <c r="G3" s="43">
        <f t="shared" si="0"/>
        <v>44940</v>
      </c>
      <c r="H3" s="43">
        <f t="shared" si="0"/>
        <v>44941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6" si="3">K5/$K$17</f>
        <v>0</v>
      </c>
      <c r="M5" s="48">
        <f>B3</f>
        <v>44935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4</v>
      </c>
      <c r="L8" s="45">
        <f t="shared" si="3"/>
        <v>1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>COUNTIF($B$5:$H$93,J15)</f>
        <v>0</v>
      </c>
      <c r="L15" s="45">
        <f t="shared" si="3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148</v>
      </c>
      <c r="K16" s="4">
        <f>COUNTIF($B$5:$H$93,J16)</f>
        <v>0</v>
      </c>
      <c r="L16" s="45">
        <f t="shared" si="3"/>
        <v>0</v>
      </c>
    </row>
    <row r="17" spans="1:11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1" t="s">
        <v>1</v>
      </c>
      <c r="K17" s="1">
        <f>SUM(K5:K16)</f>
        <v>4</v>
      </c>
    </row>
    <row r="18" spans="1:11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1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1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1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1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1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1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1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1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1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1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1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1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1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1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 t="s">
        <v>6</v>
      </c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 t="s">
        <v>6</v>
      </c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 t="s">
        <v>6</v>
      </c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 t="s">
        <v>6</v>
      </c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938" priority="36" operator="containsText" text="Pivô ">
      <formula>NOT(ISERROR(SEARCH("Pivô ",A1)))</formula>
    </cfRule>
  </conditionalFormatting>
  <conditionalFormatting sqref="B5:H93">
    <cfRule type="cellIs" dxfId="937" priority="1" operator="equal">
      <formula>$J$15</formula>
    </cfRule>
    <cfRule type="containsText" dxfId="926" priority="12" operator="containsText" text="Cardã">
      <formula>NOT(ISERROR(SEARCH("Cardã",B5)))</formula>
    </cfRule>
    <cfRule type="containsText" dxfId="925" priority="13" operator="containsText" text="Pneu">
      <formula>NOT(ISERROR(SEARCH("Pneu",B5)))</formula>
    </cfRule>
    <cfRule type="containsText" dxfId="924" priority="14" operator="containsText" text="Vedação">
      <formula>NOT(ISERROR(SEARCH("Vedação",B5)))</formula>
    </cfRule>
    <cfRule type="containsText" dxfId="923" priority="15" operator="containsText" text="Retentor">
      <formula>NOT(ISERROR(SEARCH("Retentor",B5)))</formula>
    </cfRule>
    <cfRule type="containsText" dxfId="922" priority="16" operator="containsText" text="Motorredutor">
      <formula>NOT(ISERROR(SEARCH("Motorredutor",B5)))</formula>
    </cfRule>
    <cfRule type="containsText" dxfId="921" priority="17" operator="containsText" text="Redutor">
      <formula>NOT(ISERROR(SEARCH("Redutor",B5)))</formula>
    </cfRule>
    <cfRule type="containsText" dxfId="920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70255F3D-F51A-4CDE-BA5F-CDB046B32190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D2947E2A-46C8-417E-B887-A334BEFF0411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348BA17F-9DCA-4F44-88E3-3828921C03D6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D8B6A688-F7C9-426E-A642-EBE19A5E25C1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D8A062B4-F3E3-464C-81C4-AC12498E6B08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AA698CFB-BC07-4E1A-90C6-C3575A36C42D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41F8B970-CEA5-4DC9-BA6D-67F0555473DF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388D30DE-C795-4DCD-9889-D611B08F88A5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6657D1B8-C0DF-4CA5-BA8E-93A55D0476A4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E5A7E6B3-6CC2-498B-BE26-C6C4FA661576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404E9788-D02C-4FAC-97D0-E46A8F084B90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A2E74F44-EFD1-43A7-8021-10F5BCF51E67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CF010013-A080-470C-92D6-36541511E68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A9FA37B8-14EF-47CB-B7CF-524A2CCC3E1F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4E98469D-6D06-462E-A05C-947FE706654F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8044A158-A66E-43E7-A189-5BF6B0CF8340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36AE41E3-B2BD-4285-AA7B-9DEC02E6A9C8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0D522FCD-F024-424B-8D33-AC802E861A17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0852751C-25B1-45A4-BEF4-48EB0CBF6814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5CF1C1F3-398F-4675-BD8A-BE3A441FBCAC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58A32A97-8A0C-47E0-92CE-D049DDE74AF4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A1097900-EDFC-47D6-8350-8E3D8E9AA059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62111D4E-2A3C-4279-9271-D89C29D24C19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37" operator="containsText" id="{2ED9D367-6F82-48AB-B0B2-A0A8A486A6B6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5DBB-E654-4DF7-96BA-3D9327E9606A}">
  <sheetPr>
    <tabColor theme="7"/>
    <pageSetUpPr fitToPage="1"/>
  </sheetPr>
  <dimension ref="A1:P93"/>
  <sheetViews>
    <sheetView showGridLines="0" zoomScale="145" zoomScaleNormal="145" workbookViewId="0">
      <pane ySplit="4" topLeftCell="A5" activePane="bottomLeft" state="frozen"/>
      <selection pane="bottomLeft" activeCell="J5" sqref="J5:M16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140625" bestFit="1" customWidth="1"/>
  </cols>
  <sheetData>
    <row r="1" spans="1:16" s="8" customFormat="1" x14ac:dyDescent="0.25">
      <c r="A1" s="57" t="s">
        <v>170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44942</v>
      </c>
      <c r="C3" s="43">
        <f>B3+1</f>
        <v>44943</v>
      </c>
      <c r="D3" s="43">
        <f t="shared" ref="D3:H3" si="0">C3+1</f>
        <v>44944</v>
      </c>
      <c r="E3" s="43">
        <f t="shared" si="0"/>
        <v>44945</v>
      </c>
      <c r="F3" s="43">
        <f t="shared" si="0"/>
        <v>44946</v>
      </c>
      <c r="G3" s="43">
        <f t="shared" si="0"/>
        <v>44947</v>
      </c>
      <c r="H3" s="43">
        <f t="shared" si="0"/>
        <v>44948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1</v>
      </c>
      <c r="L5" s="45">
        <f t="shared" ref="L5:L16" si="3">K5/$K$17</f>
        <v>6.6666666666666666E-2</v>
      </c>
      <c r="M5" s="48">
        <f>B3</f>
        <v>44942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4</v>
      </c>
      <c r="L7" s="45">
        <f t="shared" si="3"/>
        <v>0.26666666666666666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6</v>
      </c>
      <c r="L8" s="45">
        <f t="shared" si="3"/>
        <v>0.4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1</v>
      </c>
      <c r="L9" s="45">
        <f t="shared" si="3"/>
        <v>6.6666666666666666E-2</v>
      </c>
      <c r="P9" s="2"/>
    </row>
    <row r="10" spans="1:16" x14ac:dyDescent="0.25">
      <c r="A10" s="11" t="s">
        <v>24</v>
      </c>
      <c r="B10" s="16"/>
      <c r="C10" s="16"/>
      <c r="D10" s="16"/>
      <c r="E10" s="16" t="s">
        <v>6</v>
      </c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 t="s">
        <v>6</v>
      </c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 t="s">
        <v>6</v>
      </c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3</v>
      </c>
      <c r="L14" s="45">
        <f t="shared" si="3"/>
        <v>0.2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>COUNTIF($B$5:$H$93,J15)</f>
        <v>0</v>
      </c>
      <c r="L15" s="45">
        <f t="shared" si="3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148</v>
      </c>
      <c r="K16" s="4">
        <f>COUNTIF($B$5:$H$93,J16)</f>
        <v>0</v>
      </c>
      <c r="L16" s="45">
        <f t="shared" si="3"/>
        <v>0</v>
      </c>
    </row>
    <row r="17" spans="1:11" x14ac:dyDescent="0.25">
      <c r="A17" s="11" t="s">
        <v>32</v>
      </c>
      <c r="B17" s="16"/>
      <c r="C17" s="16"/>
      <c r="D17" s="16"/>
      <c r="E17" s="16" t="s">
        <v>6</v>
      </c>
      <c r="F17" s="16"/>
      <c r="G17" s="16"/>
      <c r="H17" s="16"/>
      <c r="J17" s="1" t="s">
        <v>1</v>
      </c>
      <c r="K17" s="1">
        <f>SUM(K5:K16)</f>
        <v>15</v>
      </c>
    </row>
    <row r="18" spans="1:11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1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1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1" x14ac:dyDescent="0.25">
      <c r="A21" s="11" t="s">
        <v>36</v>
      </c>
      <c r="B21" s="16"/>
      <c r="C21" s="16"/>
      <c r="D21" s="16" t="s">
        <v>112</v>
      </c>
      <c r="E21" s="16"/>
      <c r="F21" s="16"/>
      <c r="G21" s="16"/>
      <c r="H21" s="16"/>
    </row>
    <row r="22" spans="1:11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1" x14ac:dyDescent="0.25">
      <c r="A23" s="11" t="s">
        <v>38</v>
      </c>
      <c r="B23" s="16"/>
      <c r="C23" s="16"/>
      <c r="D23" s="16" t="s">
        <v>144</v>
      </c>
      <c r="E23" s="16" t="s">
        <v>144</v>
      </c>
      <c r="F23" s="16" t="s">
        <v>144</v>
      </c>
      <c r="G23" s="16"/>
      <c r="H23" s="16"/>
    </row>
    <row r="24" spans="1:11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1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1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1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1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1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1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1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1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 t="s">
        <v>6</v>
      </c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 t="s">
        <v>7</v>
      </c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 t="s">
        <v>5</v>
      </c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 t="s">
        <v>6</v>
      </c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 t="s">
        <v>5</v>
      </c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 t="s">
        <v>5</v>
      </c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 t="s">
        <v>5</v>
      </c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906" priority="36" operator="containsText" text="Pivô ">
      <formula>NOT(ISERROR(SEARCH("Pivô ",A1)))</formula>
    </cfRule>
  </conditionalFormatting>
  <conditionalFormatting sqref="B5:H93">
    <cfRule type="cellIs" dxfId="905" priority="1" operator="equal">
      <formula>$J$15</formula>
    </cfRule>
    <cfRule type="containsText" dxfId="894" priority="12" operator="containsText" text="Cardã">
      <formula>NOT(ISERROR(SEARCH("Cardã",B5)))</formula>
    </cfRule>
    <cfRule type="containsText" dxfId="893" priority="13" operator="containsText" text="Pneu">
      <formula>NOT(ISERROR(SEARCH("Pneu",B5)))</formula>
    </cfRule>
    <cfRule type="containsText" dxfId="892" priority="14" operator="containsText" text="Vedação">
      <formula>NOT(ISERROR(SEARCH("Vedação",B5)))</formula>
    </cfRule>
    <cfRule type="containsText" dxfId="891" priority="15" operator="containsText" text="Retentor">
      <formula>NOT(ISERROR(SEARCH("Retentor",B5)))</formula>
    </cfRule>
    <cfRule type="containsText" dxfId="890" priority="16" operator="containsText" text="Motorredutor">
      <formula>NOT(ISERROR(SEARCH("Motorredutor",B5)))</formula>
    </cfRule>
    <cfRule type="containsText" dxfId="889" priority="17" operator="containsText" text="Redutor">
      <formula>NOT(ISERROR(SEARCH("Redutor",B5)))</formula>
    </cfRule>
    <cfRule type="containsText" dxfId="888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E36DA9C0-DD32-4B52-A471-1EDA80A2CE2D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29F732FA-A9E0-4F47-8A9D-F4317A96DB73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B230B253-F9B1-47E3-964B-FEF1744E0A3C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70F9FB47-09FB-4C02-85B1-A9207C6B5CB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081D4AB4-299B-4D16-8737-8EA3D59FCD4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934CE0FD-072C-4A5A-A4D0-79B5B51BC576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9EBB5759-973F-4EFF-8E22-BF6C5DE2FA27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8B314E22-BCA0-44DA-812A-8AFA0A831B75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14A62035-B557-4847-AF99-B734013BACA0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898CF609-D14D-4CAC-BC24-565DF5E565FD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3B3B6D5D-49E5-489E-B26A-468A4C54C2A4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B5C75DAA-8E10-47B7-BDB9-E926B63DA405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2127708B-2C32-4F73-929A-CC1FE550E95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71935F22-08B4-420F-BC0B-22D299253CED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BCF9AE9C-C6C7-4751-AB10-D64E4C3D1AE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BA880AF7-F4AF-4E48-9BEA-F9262F04009F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7819E806-8091-489C-85FC-26A3FE297326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A2349A91-356E-49B3-82B7-92D9EC052C99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3329C795-C5B3-46BC-B4C8-854EF37023D2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5FC23A1B-72A6-4B6F-BF00-74D4AE0DB193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7DF03F0A-18C0-4AD8-B9A4-F985C3FE5874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8DC6A5F9-C328-433E-8D85-C0275452B73C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F5857F92-52BD-4879-966D-6F498DB22D90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37" operator="containsText" id="{B166537E-5B36-40F8-95E0-BD2D8721ECAB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DCB6-3D30-4806-85B3-ADF406CF7296}">
  <sheetPr>
    <tabColor theme="7"/>
    <pageSetUpPr fitToPage="1"/>
  </sheetPr>
  <dimension ref="A1:P93"/>
  <sheetViews>
    <sheetView showGridLines="0" zoomScale="145" zoomScaleNormal="145" workbookViewId="0">
      <pane ySplit="4" topLeftCell="A72" activePane="bottomLeft" state="frozen"/>
      <selection pane="bottomLeft" activeCell="D79" sqref="D79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140625" bestFit="1" customWidth="1"/>
  </cols>
  <sheetData>
    <row r="1" spans="1:16" s="8" customFormat="1" x14ac:dyDescent="0.25">
      <c r="A1" s="57" t="s">
        <v>170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44949</v>
      </c>
      <c r="C3" s="43">
        <f>B3+1</f>
        <v>44950</v>
      </c>
      <c r="D3" s="43">
        <f t="shared" ref="D3:H3" si="0">C3+1</f>
        <v>44951</v>
      </c>
      <c r="E3" s="43">
        <f t="shared" si="0"/>
        <v>44952</v>
      </c>
      <c r="F3" s="43">
        <f t="shared" si="0"/>
        <v>44953</v>
      </c>
      <c r="G3" s="43">
        <f t="shared" si="0"/>
        <v>44954</v>
      </c>
      <c r="H3" s="43">
        <f t="shared" si="0"/>
        <v>44955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>COUNTIF($B$5:$H$93,J5)</f>
        <v>0</v>
      </c>
      <c r="L5" s="45">
        <f t="shared" ref="L5:L16" si="3">K5/$K$17</f>
        <v>0</v>
      </c>
      <c r="M5" s="48">
        <f>B3</f>
        <v>44949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0</v>
      </c>
      <c r="L6" s="45">
        <f t="shared" si="3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1</v>
      </c>
      <c r="L8" s="45">
        <f t="shared" si="3"/>
        <v>1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4"/>
        <v>0</v>
      </c>
      <c r="L9" s="45">
        <f t="shared" si="3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>COUNTIF($B$5:$H$93,J15)</f>
        <v>0</v>
      </c>
      <c r="L15" s="45">
        <f t="shared" si="3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148</v>
      </c>
      <c r="K16" s="4">
        <f>COUNTIF($B$5:$H$93,J16)</f>
        <v>0</v>
      </c>
      <c r="L16" s="45">
        <f t="shared" si="3"/>
        <v>0</v>
      </c>
    </row>
    <row r="17" spans="1:11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1" t="s">
        <v>1</v>
      </c>
      <c r="K17" s="1">
        <f>SUM(K5:K16)</f>
        <v>1</v>
      </c>
    </row>
    <row r="18" spans="1:11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1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1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1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1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1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1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1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1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1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1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1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1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1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1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 t="s">
        <v>6</v>
      </c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874" priority="36" operator="containsText" text="Pivô ">
      <formula>NOT(ISERROR(SEARCH("Pivô ",A1)))</formula>
    </cfRule>
  </conditionalFormatting>
  <conditionalFormatting sqref="B5:H93">
    <cfRule type="cellIs" dxfId="873" priority="1" operator="equal">
      <formula>$J$15</formula>
    </cfRule>
    <cfRule type="containsText" dxfId="862" priority="12" operator="containsText" text="Cardã">
      <formula>NOT(ISERROR(SEARCH("Cardã",B5)))</formula>
    </cfRule>
    <cfRule type="containsText" dxfId="861" priority="13" operator="containsText" text="Pneu">
      <formula>NOT(ISERROR(SEARCH("Pneu",B5)))</formula>
    </cfRule>
    <cfRule type="containsText" dxfId="860" priority="14" operator="containsText" text="Vedação">
      <formula>NOT(ISERROR(SEARCH("Vedação",B5)))</formula>
    </cfRule>
    <cfRule type="containsText" dxfId="859" priority="15" operator="containsText" text="Retentor">
      <formula>NOT(ISERROR(SEARCH("Retentor",B5)))</formula>
    </cfRule>
    <cfRule type="containsText" dxfId="858" priority="16" operator="containsText" text="Motorredutor">
      <formula>NOT(ISERROR(SEARCH("Motorredutor",B5)))</formula>
    </cfRule>
    <cfRule type="containsText" dxfId="857" priority="17" operator="containsText" text="Redutor">
      <formula>NOT(ISERROR(SEARCH("Redutor",B5)))</formula>
    </cfRule>
    <cfRule type="containsText" dxfId="856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9123B148-7C64-482A-8AD6-B6E577F83B3C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64287CAC-187B-42B0-9516-D9E630E69815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5E886FEC-30BB-4465-94EA-618644B8E395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8D88F9DD-D7BE-4457-8137-B8F39DFA4C8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38692BA2-5EFF-4D29-81D4-DD88065F5A65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96DD7F53-6407-4272-9C7B-2768A518D2C8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AA3CCEB9-64AA-4C7A-8D48-9232A5687DDC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8C901934-AD50-4D38-8459-C8ED39D99BB6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AE9D03DA-C075-480B-AE4D-C47F09B370FB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9D5E1A74-DE96-4F2A-A9D1-7552D0AD313A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3115988B-26A5-4ACE-9D86-3C83507D2BFD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5DBBB6DE-A1A8-4B40-99B2-4120A039F98A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A1E637EB-8616-4FF8-8EF8-E97C39ECA21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F4D4668C-5C73-47ED-9F8A-4E30E1BAED6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FFDD50F4-57EA-4BF3-9DE5-B99B4C94488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A55D1ACB-89DC-4607-8B55-1D6E62E2AAAB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C83563FF-F2CB-42C6-97DB-D0F05D1D58F5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BE43EE60-CD8C-4A5C-8708-49E40D282443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3A33948F-8F05-43BF-8F9C-7F9591E9D41A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E17DA44F-537D-4EFE-8EBE-53ADC11329C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A88839D7-9053-4E65-8ADB-8ACE613CB482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BF63958E-8B4D-46A2-8961-2E1461CFCCE5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E527F3B8-5CA1-4C5C-B4C4-DF6B9B8F005B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37" operator="containsText" id="{75A1B65B-FCB6-4681-BC94-77AB20A52E48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8EE6E-F96B-486F-B714-5C1B35F45C57}">
  <sheetPr>
    <tabColor theme="7"/>
    <pageSetUpPr fitToPage="1"/>
  </sheetPr>
  <dimension ref="A1:P93"/>
  <sheetViews>
    <sheetView showGridLines="0" zoomScale="145" zoomScaleNormal="145" workbookViewId="0">
      <pane ySplit="4" topLeftCell="A5" activePane="bottomLeft" state="frozen"/>
      <selection pane="bottomLeft" activeCell="J5" sqref="J5:L16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140625" bestFit="1" customWidth="1"/>
  </cols>
  <sheetData>
    <row r="1" spans="1:16" s="8" customFormat="1" x14ac:dyDescent="0.25">
      <c r="A1" s="57" t="s">
        <v>171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44956</v>
      </c>
      <c r="C3" s="43">
        <f>B3+1</f>
        <v>44957</v>
      </c>
      <c r="D3" s="43">
        <f t="shared" ref="D3:H3" si="0">C3+1</f>
        <v>44958</v>
      </c>
      <c r="E3" s="43">
        <f t="shared" si="0"/>
        <v>44959</v>
      </c>
      <c r="F3" s="43">
        <f t="shared" si="0"/>
        <v>44960</v>
      </c>
      <c r="G3" s="43">
        <f t="shared" si="0"/>
        <v>44961</v>
      </c>
      <c r="H3" s="43">
        <f t="shared" si="0"/>
        <v>44962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 t="s">
        <v>6</v>
      </c>
      <c r="E5" s="16"/>
      <c r="F5" s="16"/>
      <c r="G5" s="16"/>
      <c r="H5" s="16"/>
      <c r="J5" s="17" t="s">
        <v>112</v>
      </c>
      <c r="K5" s="4">
        <f>COUNTIF($B$5:$H$93,J5)</f>
        <v>1</v>
      </c>
      <c r="L5" s="45">
        <f t="shared" ref="L5:L16" si="3">K5/$K$17</f>
        <v>3.0303030303030304E-2</v>
      </c>
      <c r="M5" s="48">
        <f>B3</f>
        <v>44956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ref="K6:K12" si="4">COUNTIF($B$5:$H$93,J6)</f>
        <v>1</v>
      </c>
      <c r="L6" s="45">
        <f t="shared" si="3"/>
        <v>3.0303030303030304E-2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4"/>
        <v>0</v>
      </c>
      <c r="L7" s="45">
        <f t="shared" si="3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4"/>
        <v>30</v>
      </c>
      <c r="L8" s="45">
        <f t="shared" si="3"/>
        <v>0.90909090909090906</v>
      </c>
    </row>
    <row r="9" spans="1:16" x14ac:dyDescent="0.25">
      <c r="A9" s="11" t="s">
        <v>23</v>
      </c>
      <c r="B9" s="16"/>
      <c r="C9" s="16" t="s">
        <v>6</v>
      </c>
      <c r="D9" s="16" t="s">
        <v>6</v>
      </c>
      <c r="E9" s="16" t="s">
        <v>6</v>
      </c>
      <c r="F9" s="16" t="s">
        <v>6</v>
      </c>
      <c r="G9" s="16" t="s">
        <v>6</v>
      </c>
      <c r="H9" s="16" t="s">
        <v>6</v>
      </c>
      <c r="J9" s="21" t="s">
        <v>7</v>
      </c>
      <c r="K9" s="4">
        <f t="shared" si="4"/>
        <v>1</v>
      </c>
      <c r="L9" s="45">
        <f t="shared" si="3"/>
        <v>3.0303030303030304E-2</v>
      </c>
      <c r="P9" s="2"/>
    </row>
    <row r="10" spans="1:16" x14ac:dyDescent="0.25">
      <c r="A10" s="11" t="s">
        <v>24</v>
      </c>
      <c r="B10" s="16"/>
      <c r="C10" s="16" t="s">
        <v>6</v>
      </c>
      <c r="D10" s="16" t="s">
        <v>6</v>
      </c>
      <c r="E10" s="16" t="s">
        <v>6</v>
      </c>
      <c r="F10" s="16" t="s">
        <v>6</v>
      </c>
      <c r="G10" s="16" t="s">
        <v>6</v>
      </c>
      <c r="H10" s="16" t="s">
        <v>6</v>
      </c>
      <c r="J10" s="22" t="s">
        <v>8</v>
      </c>
      <c r="K10" s="4">
        <f t="shared" si="4"/>
        <v>0</v>
      </c>
      <c r="L10" s="45">
        <f t="shared" si="3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4"/>
        <v>0</v>
      </c>
      <c r="L11" s="45">
        <f t="shared" si="3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4"/>
        <v>0</v>
      </c>
      <c r="L12" s="45">
        <f t="shared" si="3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>COUNTIF($B$5:$H$93,J13)</f>
        <v>0</v>
      </c>
      <c r="L13" s="45">
        <f t="shared" si="3"/>
        <v>0</v>
      </c>
    </row>
    <row r="14" spans="1:16" x14ac:dyDescent="0.25">
      <c r="A14" s="11" t="s">
        <v>29</v>
      </c>
      <c r="B14" s="16"/>
      <c r="C14" s="16" t="s">
        <v>6</v>
      </c>
      <c r="D14" s="16"/>
      <c r="E14" s="16" t="s">
        <v>6</v>
      </c>
      <c r="F14" s="16"/>
      <c r="G14" s="16"/>
      <c r="H14" s="16"/>
      <c r="J14" s="47" t="s">
        <v>144</v>
      </c>
      <c r="K14" s="4">
        <f>COUNTIF($B$5:$H$93,J14)</f>
        <v>0</v>
      </c>
      <c r="L14" s="45">
        <f t="shared" si="3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>COUNTIF($B$5:$H$93,J15)</f>
        <v>0</v>
      </c>
      <c r="L15" s="45">
        <f t="shared" si="3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148</v>
      </c>
      <c r="K16" s="4">
        <f>COUNTIF($B$5:$H$93,J16)</f>
        <v>0</v>
      </c>
      <c r="L16" s="45">
        <f t="shared" si="3"/>
        <v>0</v>
      </c>
    </row>
    <row r="17" spans="1:11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1" t="s">
        <v>1</v>
      </c>
      <c r="K17" s="1">
        <f>SUM(K5:K16)</f>
        <v>33</v>
      </c>
    </row>
    <row r="18" spans="1:11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1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1" x14ac:dyDescent="0.25">
      <c r="A20" s="11" t="s">
        <v>35</v>
      </c>
      <c r="B20" s="16"/>
      <c r="C20" s="16" t="s">
        <v>4</v>
      </c>
      <c r="D20" s="16"/>
      <c r="E20" s="16"/>
      <c r="F20" s="16"/>
      <c r="G20" s="16"/>
      <c r="H20" s="16"/>
    </row>
    <row r="21" spans="1:11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1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1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1" x14ac:dyDescent="0.25">
      <c r="A24" s="11" t="s">
        <v>39</v>
      </c>
      <c r="B24" s="16"/>
      <c r="C24" s="16"/>
      <c r="D24" s="16" t="s">
        <v>6</v>
      </c>
      <c r="E24" s="16"/>
      <c r="F24" s="16"/>
      <c r="G24" s="16"/>
      <c r="H24" s="16"/>
    </row>
    <row r="25" spans="1:11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1" x14ac:dyDescent="0.25">
      <c r="A26" s="11" t="s">
        <v>41</v>
      </c>
      <c r="B26" s="16"/>
      <c r="C26" s="16"/>
      <c r="D26" s="16"/>
      <c r="E26" s="16"/>
      <c r="F26" s="16" t="s">
        <v>6</v>
      </c>
      <c r="G26" s="16"/>
      <c r="H26" s="16"/>
    </row>
    <row r="27" spans="1:11" x14ac:dyDescent="0.25">
      <c r="A27" s="11" t="s">
        <v>42</v>
      </c>
      <c r="B27" s="16"/>
      <c r="C27" s="16"/>
      <c r="D27" s="16" t="s">
        <v>6</v>
      </c>
      <c r="E27" s="16" t="s">
        <v>6</v>
      </c>
      <c r="F27" s="16" t="s">
        <v>6</v>
      </c>
      <c r="G27" s="16"/>
      <c r="H27" s="16"/>
    </row>
    <row r="28" spans="1:11" x14ac:dyDescent="0.25">
      <c r="A28" s="11" t="s">
        <v>43</v>
      </c>
      <c r="B28" s="16"/>
      <c r="C28" s="16"/>
      <c r="D28" s="16"/>
      <c r="E28" s="16" t="s">
        <v>6</v>
      </c>
      <c r="F28" s="16" t="s">
        <v>6</v>
      </c>
      <c r="G28" s="16"/>
      <c r="H28" s="16"/>
    </row>
    <row r="29" spans="1:11" x14ac:dyDescent="0.25">
      <c r="A29" s="11" t="s">
        <v>44</v>
      </c>
      <c r="B29" s="16"/>
      <c r="C29" s="16" t="s">
        <v>6</v>
      </c>
      <c r="D29" s="16"/>
      <c r="E29" s="16"/>
      <c r="F29" s="16"/>
      <c r="G29" s="16"/>
      <c r="H29" s="16"/>
    </row>
    <row r="30" spans="1:11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1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1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 t="s">
        <v>6</v>
      </c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 t="s">
        <v>112</v>
      </c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 t="s">
        <v>7</v>
      </c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 t="s">
        <v>6</v>
      </c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76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77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78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79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80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81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82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83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84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85</v>
      </c>
      <c r="B70" s="16"/>
      <c r="C70" s="16"/>
      <c r="D70" s="16" t="s">
        <v>6</v>
      </c>
      <c r="E70" s="16" t="s">
        <v>6</v>
      </c>
      <c r="F70" s="16"/>
      <c r="G70" s="16"/>
      <c r="H70" s="16"/>
    </row>
    <row r="71" spans="1:8" x14ac:dyDescent="0.25">
      <c r="A71" s="11" t="s">
        <v>86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87</v>
      </c>
      <c r="B72" s="16"/>
      <c r="C72" s="16" t="s">
        <v>6</v>
      </c>
      <c r="D72" s="16"/>
      <c r="E72" s="16"/>
      <c r="F72" s="16"/>
      <c r="G72" s="16"/>
      <c r="H72" s="16"/>
    </row>
    <row r="73" spans="1:8" x14ac:dyDescent="0.25">
      <c r="A73" s="11" t="s">
        <v>88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89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90</v>
      </c>
      <c r="B75" s="16"/>
      <c r="C75" s="16"/>
      <c r="D75" s="16" t="s">
        <v>6</v>
      </c>
      <c r="E75" s="16"/>
      <c r="F75" s="16"/>
      <c r="G75" s="16"/>
      <c r="H75" s="16"/>
    </row>
    <row r="76" spans="1:8" x14ac:dyDescent="0.25">
      <c r="A76" s="11" t="s">
        <v>91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92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93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94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95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96</v>
      </c>
      <c r="B81" s="16"/>
      <c r="C81" s="16"/>
      <c r="D81" s="16"/>
      <c r="E81" s="16"/>
      <c r="F81" s="16"/>
      <c r="G81" s="16"/>
      <c r="H81" s="16"/>
    </row>
    <row r="82" spans="1:8" ht="15.75" customHeight="1" x14ac:dyDescent="0.25">
      <c r="A82" s="11" t="s">
        <v>97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98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99</v>
      </c>
      <c r="B84" s="16"/>
      <c r="C84" s="16"/>
      <c r="D84" s="16" t="s">
        <v>6</v>
      </c>
      <c r="E84" s="16"/>
      <c r="F84" s="16"/>
      <c r="G84" s="16"/>
      <c r="H84" s="16"/>
    </row>
    <row r="85" spans="1:8" x14ac:dyDescent="0.25">
      <c r="A85" s="11" t="s">
        <v>100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101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102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103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104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105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106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107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108</v>
      </c>
      <c r="B93" s="16"/>
      <c r="C93" s="16"/>
      <c r="D93" s="16"/>
      <c r="E93" s="16"/>
      <c r="F93" s="16"/>
      <c r="G93" s="16"/>
      <c r="H93" s="16"/>
    </row>
  </sheetData>
  <mergeCells count="1">
    <mergeCell ref="A1:H2"/>
  </mergeCells>
  <conditionalFormatting sqref="A1:A1048576">
    <cfRule type="containsText" dxfId="842" priority="36" operator="containsText" text="Pivô ">
      <formula>NOT(ISERROR(SEARCH("Pivô ",A1)))</formula>
    </cfRule>
  </conditionalFormatting>
  <conditionalFormatting sqref="B5:H93">
    <cfRule type="cellIs" dxfId="841" priority="1" operator="equal">
      <formula>$J$15</formula>
    </cfRule>
    <cfRule type="containsText" dxfId="830" priority="12" operator="containsText" text="Cardã">
      <formula>NOT(ISERROR(SEARCH("Cardã",B5)))</formula>
    </cfRule>
    <cfRule type="containsText" dxfId="829" priority="13" operator="containsText" text="Pneu">
      <formula>NOT(ISERROR(SEARCH("Pneu",B5)))</formula>
    </cfRule>
    <cfRule type="containsText" dxfId="828" priority="14" operator="containsText" text="Vedação">
      <formula>NOT(ISERROR(SEARCH("Vedação",B5)))</formula>
    </cfRule>
    <cfRule type="containsText" dxfId="827" priority="15" operator="containsText" text="Retentor">
      <formula>NOT(ISERROR(SEARCH("Retentor",B5)))</formula>
    </cfRule>
    <cfRule type="containsText" dxfId="826" priority="16" operator="containsText" text="Motorredutor">
      <formula>NOT(ISERROR(SEARCH("Motorredutor",B5)))</formula>
    </cfRule>
    <cfRule type="containsText" dxfId="825" priority="17" operator="containsText" text="Redutor">
      <formula>NOT(ISERROR(SEARCH("Redutor",B5)))</formula>
    </cfRule>
    <cfRule type="containsText" dxfId="824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54D45AFE-C233-4680-968C-52B2D9E705C0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7B8E5C52-684B-4454-B767-4429B8C76A39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912E2858-AEEF-441F-BCEA-6500B447E095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9A742B75-D9C5-4246-BB42-82342CF94615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A3AC4B81-74A1-43CF-964A-24E8BB166A31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8A3AA6A6-E732-425C-A95C-F5952C6BD6FA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2C1D6F09-08C6-48BC-825A-441E552571E4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20026EEC-A826-4ADE-A760-A1E0A64FBEA2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EFFDF6A5-2C0B-4FFF-9B85-F2962D3002D0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94B1A127-0040-4C92-8DBF-D98394D6C600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B77668ED-943B-42A7-94D6-7D3F7B40C79B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F0E4B186-080A-4B29-B564-1E739C3F99C2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146D95E2-2D66-47B6-8199-5AA0E0EAF4A6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41143E3F-AD8C-44F2-82F9-2C1B7E76B7C1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F5BE4860-903E-4177-869E-36D06DDDD4DF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0C33920D-293F-4A4C-9B81-E188574AB5CD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51AC6BC7-BAC8-4360-A01E-20854B0F34F3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F4C99264-966B-42F5-AB14-17FE2EBBF5D1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675B6B7D-0163-435F-9480-C31AEF02858A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1E56C179-2427-46D8-BB70-6EEFF863405F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B4983B5D-C6F8-4B97-A309-9274D7B1F40C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D3EB0FD3-D22C-4B60-8AAA-B551DE84D925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7BD32B8F-1C16-4792-AB82-A50FDBC03CF1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37" operator="containsText" id="{E5ABFCE4-1425-4829-AF3D-3BAE945D003E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1DCA-1DF5-4EA4-A1F6-23576C6AA150}">
  <sheetPr>
    <tabColor theme="7"/>
    <pageSetUpPr fitToPage="1"/>
  </sheetPr>
  <dimension ref="A1:P109"/>
  <sheetViews>
    <sheetView showGridLines="0" zoomScale="145" zoomScaleNormal="145" workbookViewId="0">
      <pane ySplit="4" topLeftCell="A5" activePane="bottomLeft" state="frozen"/>
      <selection pane="bottomLeft" activeCell="J5" sqref="J5:M16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140625" bestFit="1" customWidth="1"/>
  </cols>
  <sheetData>
    <row r="1" spans="1:16" s="8" customFormat="1" x14ac:dyDescent="0.25">
      <c r="A1" s="57" t="s">
        <v>172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44963</v>
      </c>
      <c r="C3" s="43">
        <f>B3+1</f>
        <v>44964</v>
      </c>
      <c r="D3" s="43">
        <f t="shared" ref="D3:H3" si="0">C3+1</f>
        <v>44965</v>
      </c>
      <c r="E3" s="43">
        <f t="shared" si="0"/>
        <v>44966</v>
      </c>
      <c r="F3" s="43">
        <f t="shared" si="0"/>
        <v>44967</v>
      </c>
      <c r="G3" s="43">
        <f t="shared" si="0"/>
        <v>44968</v>
      </c>
      <c r="H3" s="43">
        <f t="shared" si="0"/>
        <v>44969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 t="s">
        <v>6</v>
      </c>
      <c r="C5" s="16"/>
      <c r="D5" s="16"/>
      <c r="E5" s="16"/>
      <c r="F5" s="16"/>
      <c r="G5" s="16"/>
      <c r="H5" s="16"/>
      <c r="J5" s="17" t="s">
        <v>112</v>
      </c>
      <c r="K5" s="4">
        <f t="shared" ref="K5:K16" si="3">COUNTIF($B$5:$H$109,J5)</f>
        <v>10</v>
      </c>
      <c r="L5" s="45">
        <f t="shared" ref="L5:L16" si="4">K5/$K$17</f>
        <v>0.37037037037037035</v>
      </c>
      <c r="M5" s="48">
        <f>B3</f>
        <v>44963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si="3"/>
        <v>1</v>
      </c>
      <c r="L6" s="45">
        <f t="shared" si="4"/>
        <v>3.7037037037037035E-2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4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4</v>
      </c>
      <c r="L8" s="45">
        <f t="shared" si="4"/>
        <v>0.14814814814814814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12</v>
      </c>
      <c r="L9" s="45">
        <f t="shared" si="4"/>
        <v>0.44444444444444442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0</v>
      </c>
      <c r="L10" s="45">
        <f t="shared" si="4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0</v>
      </c>
      <c r="L11" s="45">
        <f t="shared" si="4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0</v>
      </c>
      <c r="L13" s="45">
        <f t="shared" si="4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0</v>
      </c>
      <c r="L14" s="45">
        <f t="shared" si="4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148</v>
      </c>
      <c r="K16" s="4">
        <f t="shared" si="3"/>
        <v>0</v>
      </c>
      <c r="L16" s="45">
        <f t="shared" si="4"/>
        <v>0</v>
      </c>
    </row>
    <row r="17" spans="1:11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1" t="s">
        <v>1</v>
      </c>
      <c r="K17" s="1">
        <f>SUM(K5:K16)</f>
        <v>27</v>
      </c>
    </row>
    <row r="18" spans="1:11" x14ac:dyDescent="0.25">
      <c r="A18" s="11" t="s">
        <v>33</v>
      </c>
      <c r="B18" s="16"/>
      <c r="C18" s="16"/>
      <c r="D18" s="16"/>
      <c r="E18" s="16"/>
      <c r="F18" s="16"/>
      <c r="G18" s="16"/>
      <c r="H18" s="16"/>
    </row>
    <row r="19" spans="1:11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1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1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1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1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1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1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1" x14ac:dyDescent="0.25">
      <c r="A26" s="11" t="s">
        <v>41</v>
      </c>
      <c r="B26" s="16" t="s">
        <v>7</v>
      </c>
      <c r="C26" s="16" t="s">
        <v>7</v>
      </c>
      <c r="D26" s="16" t="s">
        <v>7</v>
      </c>
      <c r="E26" s="16" t="s">
        <v>7</v>
      </c>
      <c r="F26" s="16" t="s">
        <v>7</v>
      </c>
      <c r="G26" s="16" t="s">
        <v>7</v>
      </c>
      <c r="H26" s="16" t="s">
        <v>7</v>
      </c>
    </row>
    <row r="27" spans="1:11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1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1" x14ac:dyDescent="0.25">
      <c r="A29" s="11" t="s">
        <v>44</v>
      </c>
      <c r="B29" s="16"/>
      <c r="C29" s="16" t="s">
        <v>7</v>
      </c>
      <c r="D29" s="16"/>
      <c r="E29" s="16"/>
      <c r="F29" s="16"/>
      <c r="G29" s="16"/>
      <c r="H29" s="16"/>
    </row>
    <row r="30" spans="1:11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1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1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 t="s">
        <v>112</v>
      </c>
      <c r="F34" s="16" t="s">
        <v>112</v>
      </c>
      <c r="G34" s="16" t="s">
        <v>112</v>
      </c>
      <c r="H34" s="16" t="s">
        <v>112</v>
      </c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 t="s">
        <v>112</v>
      </c>
      <c r="C54" s="16" t="s">
        <v>112</v>
      </c>
      <c r="D54" s="16" t="s">
        <v>112</v>
      </c>
      <c r="E54" s="16" t="s">
        <v>112</v>
      </c>
      <c r="F54" s="16"/>
      <c r="G54" s="16" t="s">
        <v>112</v>
      </c>
      <c r="H54" s="16" t="s">
        <v>112</v>
      </c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175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177</v>
      </c>
      <c r="B65" s="16"/>
      <c r="C65" s="16"/>
      <c r="D65" s="16"/>
      <c r="E65" s="16" t="s">
        <v>6</v>
      </c>
      <c r="F65" s="16"/>
      <c r="G65" s="16"/>
      <c r="H65" s="16"/>
    </row>
    <row r="66" spans="1:8" x14ac:dyDescent="0.25">
      <c r="A66" s="11" t="s">
        <v>178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/>
      <c r="D70" s="16"/>
      <c r="E70" s="16" t="s">
        <v>4</v>
      </c>
      <c r="F70" s="16" t="s">
        <v>7</v>
      </c>
      <c r="G70" s="16" t="s">
        <v>7</v>
      </c>
      <c r="H70" s="16"/>
    </row>
    <row r="71" spans="1:8" x14ac:dyDescent="0.25">
      <c r="A71" s="11" t="s">
        <v>183</v>
      </c>
      <c r="B71" s="16"/>
      <c r="C71" s="16"/>
      <c r="D71" s="16"/>
      <c r="E71" s="16"/>
      <c r="F71" s="16"/>
      <c r="G71" s="16" t="s">
        <v>7</v>
      </c>
      <c r="H71" s="16"/>
    </row>
    <row r="72" spans="1:8" x14ac:dyDescent="0.25">
      <c r="A72" s="11" t="s">
        <v>184</v>
      </c>
      <c r="B72" s="16"/>
      <c r="C72" s="16"/>
      <c r="D72" s="16"/>
      <c r="E72" s="16"/>
      <c r="F72" s="16"/>
      <c r="G72" s="16" t="s">
        <v>7</v>
      </c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 t="s">
        <v>6</v>
      </c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/>
      <c r="C99" s="16"/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 t="s">
        <v>6</v>
      </c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108</v>
      </c>
      <c r="B109" s="16"/>
      <c r="C109" s="16"/>
      <c r="D109" s="16"/>
      <c r="E109" s="16"/>
      <c r="F109" s="16"/>
      <c r="G109" s="16"/>
      <c r="H109" s="16"/>
    </row>
  </sheetData>
  <mergeCells count="1">
    <mergeCell ref="A1:H2"/>
  </mergeCells>
  <phoneticPr fontId="3" type="noConversion"/>
  <conditionalFormatting sqref="A1:A1048576">
    <cfRule type="containsText" dxfId="810" priority="36" operator="containsText" text="Pivô ">
      <formula>NOT(ISERROR(SEARCH("Pivô ",A1)))</formula>
    </cfRule>
  </conditionalFormatting>
  <conditionalFormatting sqref="B5:H109">
    <cfRule type="cellIs" dxfId="809" priority="1" operator="equal">
      <formula>$J$15</formula>
    </cfRule>
    <cfRule type="containsText" dxfId="798" priority="12" operator="containsText" text="Cardã">
      <formula>NOT(ISERROR(SEARCH("Cardã",B5)))</formula>
    </cfRule>
    <cfRule type="containsText" dxfId="797" priority="13" operator="containsText" text="Pneu">
      <formula>NOT(ISERROR(SEARCH("Pneu",B5)))</formula>
    </cfRule>
    <cfRule type="containsText" dxfId="796" priority="14" operator="containsText" text="Vedação">
      <formula>NOT(ISERROR(SEARCH("Vedação",B5)))</formula>
    </cfRule>
    <cfRule type="containsText" dxfId="795" priority="15" operator="containsText" text="Retentor">
      <formula>NOT(ISERROR(SEARCH("Retentor",B5)))</formula>
    </cfRule>
    <cfRule type="containsText" dxfId="794" priority="16" operator="containsText" text="Motorredutor">
      <formula>NOT(ISERROR(SEARCH("Motorredutor",B5)))</formula>
    </cfRule>
    <cfRule type="containsText" dxfId="793" priority="17" operator="containsText" text="Redutor">
      <formula>NOT(ISERROR(SEARCH("Redutor",B5)))</formula>
    </cfRule>
    <cfRule type="containsText" dxfId="792" priority="18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722D028F-F6D1-4F9D-818D-D814A5C5D6D4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B9C2183-E070-4721-9B65-D1E1A039E2C7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D4CDF1E0-5493-4626-BD45-BCF16F68DC3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BF35FB0B-5535-4C3D-AC4E-F3ECB6655BFE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A4FC71F7-140F-4E71-A281-09BF59DD6514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466F117B-6B93-4B5A-9D45-79F4DF0E36AC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5F001750-4A8C-4D0B-8596-93F361FC9EFF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FB3542B2-0CCE-4969-9ABA-481FCE40A531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4352399D-6518-4957-AD6E-2F9873061F5D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62B404A8-EA3D-489C-AA97-3113B53C9B58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D6966077-7982-42AB-9C1C-4C9AC6C8AA70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9" operator="containsText" id="{CABA2AC0-7D41-4DCD-9782-700CE6AE12D4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0" operator="containsText" id="{338B75CC-8482-4F25-B78E-A3ADA86CA9B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1" operator="containsText" id="{A6E435CF-71A1-4A25-ADB6-825495B95F3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1CC1D037-EAC0-43C9-A483-C80B3598534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4" operator="containsText" id="{57E06E92-D903-408D-A7F2-64AC77B1F9EF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63AF0072-D032-4BB4-A66F-144F31DEF6F0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CAEC5B1F-4046-406C-B4C9-C535E72C806E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E8A2F340-061F-434B-9EFA-A5F7C6EAC0E8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FCD57754-CAEA-41FB-B5CE-9919A32BF556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5BD5E77E-FF42-46FF-ACF9-59D6EA23C8C8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FE2B95EE-91E7-4A65-9C6D-DBEA59E7BE6A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E2E864F6-2F2B-4AA8-A96F-4E59C810D1B1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37" operator="containsText" id="{452FD83A-FAF3-456E-B95F-E91B42C3FCD6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B5:H109</xm:sqref>
        </x14:conditionalFormatting>
      </x14:conditionalFormatting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BACA7-77C0-4E32-ACA5-FCEA3C193A96}">
  <sheetPr>
    <tabColor theme="7"/>
    <pageSetUpPr fitToPage="1"/>
  </sheetPr>
  <dimension ref="A1:P109"/>
  <sheetViews>
    <sheetView showGridLines="0" zoomScale="145" zoomScaleNormal="145" workbookViewId="0">
      <pane ySplit="4" topLeftCell="A5" activePane="bottomLeft" state="frozen"/>
      <selection pane="bottomLeft" activeCell="J5" sqref="J5:L17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140625" bestFit="1" customWidth="1"/>
  </cols>
  <sheetData>
    <row r="1" spans="1:16" s="8" customFormat="1" x14ac:dyDescent="0.25">
      <c r="A1" s="57" t="s">
        <v>189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44970</v>
      </c>
      <c r="C3" s="43">
        <f>B3+1</f>
        <v>44971</v>
      </c>
      <c r="D3" s="43">
        <f t="shared" ref="D3:H3" si="0">C3+1</f>
        <v>44972</v>
      </c>
      <c r="E3" s="43">
        <f t="shared" si="0"/>
        <v>44973</v>
      </c>
      <c r="F3" s="43">
        <f t="shared" si="0"/>
        <v>44974</v>
      </c>
      <c r="G3" s="43">
        <f t="shared" si="0"/>
        <v>44975</v>
      </c>
      <c r="H3" s="43">
        <f t="shared" si="0"/>
        <v>44976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 t="s">
        <v>9</v>
      </c>
      <c r="D5" s="16" t="s">
        <v>9</v>
      </c>
      <c r="E5" s="16"/>
      <c r="F5" s="16"/>
      <c r="G5" s="16"/>
      <c r="H5" s="16"/>
      <c r="J5" s="17" t="s">
        <v>112</v>
      </c>
      <c r="K5" s="4">
        <f t="shared" ref="K5:K16" si="3">COUNTIF($B$5:$H$109,J5)</f>
        <v>4</v>
      </c>
      <c r="L5" s="45">
        <f t="shared" ref="L5:L17" si="4">K5/$K$18</f>
        <v>0.16666666666666666</v>
      </c>
      <c r="M5" s="48">
        <f>B3</f>
        <v>44970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si="3"/>
        <v>0</v>
      </c>
      <c r="L6" s="45">
        <f t="shared" si="4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4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2</v>
      </c>
      <c r="L8" s="45">
        <f t="shared" si="4"/>
        <v>8.3333333333333329E-2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0</v>
      </c>
      <c r="L9" s="45">
        <f t="shared" si="4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0</v>
      </c>
      <c r="L10" s="45">
        <f t="shared" si="4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5</v>
      </c>
      <c r="L11" s="45">
        <f t="shared" si="4"/>
        <v>0.20833333333333334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4</v>
      </c>
      <c r="L13" s="45">
        <f t="shared" si="4"/>
        <v>0.16666666666666666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3</v>
      </c>
      <c r="L14" s="45">
        <f t="shared" si="4"/>
        <v>0.125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6</v>
      </c>
      <c r="L16" s="45">
        <f t="shared" si="4"/>
        <v>0.25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3" t="s">
        <v>148</v>
      </c>
      <c r="K17" s="4">
        <f t="shared" ref="K17" si="5">COUNTIF($B$5:$H$109,J17)</f>
        <v>0</v>
      </c>
      <c r="L17" s="45">
        <f t="shared" si="4"/>
        <v>0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s="1" t="s">
        <v>1</v>
      </c>
      <c r="K18" s="1">
        <f>SUM(K5:K17)</f>
        <v>24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2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2" x14ac:dyDescent="0.25">
      <c r="A21" s="11" t="s">
        <v>36</v>
      </c>
      <c r="B21" s="16"/>
      <c r="C21" s="16" t="s">
        <v>112</v>
      </c>
      <c r="D21" s="16"/>
      <c r="E21" s="16"/>
      <c r="F21" s="16" t="s">
        <v>112</v>
      </c>
      <c r="G21" s="16"/>
      <c r="H21" s="16"/>
    </row>
    <row r="22" spans="1:12" x14ac:dyDescent="0.25">
      <c r="A22" s="11" t="s">
        <v>37</v>
      </c>
      <c r="B22" s="16"/>
      <c r="C22" s="16"/>
      <c r="D22" s="16" t="s">
        <v>112</v>
      </c>
      <c r="E22" s="16"/>
      <c r="F22" s="16"/>
      <c r="G22" s="16"/>
      <c r="H22" s="16"/>
    </row>
    <row r="23" spans="1:12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 t="s">
        <v>190</v>
      </c>
      <c r="E39" s="16" t="s">
        <v>190</v>
      </c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 t="s">
        <v>190</v>
      </c>
      <c r="E56" s="16"/>
      <c r="F56" s="16"/>
      <c r="G56" s="16"/>
      <c r="H56" s="16"/>
    </row>
    <row r="57" spans="1:8" x14ac:dyDescent="0.25">
      <c r="A57" s="11" t="s">
        <v>72</v>
      </c>
      <c r="B57" s="16" t="s">
        <v>11</v>
      </c>
      <c r="C57" s="16"/>
      <c r="D57" s="16"/>
      <c r="E57" s="16" t="s">
        <v>190</v>
      </c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 t="s">
        <v>11</v>
      </c>
      <c r="C60" s="16"/>
      <c r="D60" s="16"/>
      <c r="E60" s="16" t="s">
        <v>190</v>
      </c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175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177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178</v>
      </c>
      <c r="B66" s="16" t="s">
        <v>11</v>
      </c>
      <c r="C66" s="16" t="s">
        <v>144</v>
      </c>
      <c r="D66" s="16"/>
      <c r="E66" s="16"/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183</v>
      </c>
      <c r="B71" s="16" t="s">
        <v>11</v>
      </c>
      <c r="C71" s="16"/>
      <c r="D71" s="16"/>
      <c r="E71" s="16"/>
      <c r="F71" s="16"/>
      <c r="G71" s="16"/>
      <c r="H71" s="16"/>
    </row>
    <row r="72" spans="1:8" x14ac:dyDescent="0.25">
      <c r="A72" s="11" t="s">
        <v>184</v>
      </c>
      <c r="B72" s="16"/>
      <c r="C72" s="16"/>
      <c r="D72" s="16"/>
      <c r="E72" s="16"/>
      <c r="F72" s="16"/>
      <c r="G72" s="16" t="s">
        <v>112</v>
      </c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 t="s">
        <v>6</v>
      </c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 t="s">
        <v>190</v>
      </c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 t="s">
        <v>9</v>
      </c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 t="s">
        <v>9</v>
      </c>
      <c r="D88" s="16" t="s">
        <v>9</v>
      </c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/>
      <c r="C99" s="16"/>
      <c r="D99" s="16"/>
      <c r="E99" s="16"/>
      <c r="F99" s="16"/>
      <c r="G99" s="16" t="s">
        <v>6</v>
      </c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 t="s">
        <v>144</v>
      </c>
      <c r="D102" s="16" t="s">
        <v>144</v>
      </c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108</v>
      </c>
      <c r="B109" s="16"/>
      <c r="C109" s="16"/>
      <c r="D109" s="16"/>
      <c r="E109" s="16"/>
      <c r="F109" s="16"/>
      <c r="G109" s="16"/>
      <c r="H109" s="16"/>
    </row>
  </sheetData>
  <mergeCells count="1">
    <mergeCell ref="A1:H2"/>
  </mergeCells>
  <conditionalFormatting sqref="A1:A1048576">
    <cfRule type="containsText" dxfId="778" priority="37" operator="containsText" text="Pivô ">
      <formula>NOT(ISERROR(SEARCH("Pivô ",A1)))</formula>
    </cfRule>
  </conditionalFormatting>
  <conditionalFormatting sqref="B5:H109">
    <cfRule type="cellIs" dxfId="777" priority="2" operator="equal">
      <formula>$J$15</formula>
    </cfRule>
    <cfRule type="containsText" dxfId="766" priority="13" operator="containsText" text="Cardã">
      <formula>NOT(ISERROR(SEARCH("Cardã",B5)))</formula>
    </cfRule>
    <cfRule type="containsText" dxfId="765" priority="14" operator="containsText" text="Pneu">
      <formula>NOT(ISERROR(SEARCH("Pneu",B5)))</formula>
    </cfRule>
    <cfRule type="containsText" dxfId="764" priority="15" operator="containsText" text="Vedação">
      <formula>NOT(ISERROR(SEARCH("Vedação",B5)))</formula>
    </cfRule>
    <cfRule type="containsText" dxfId="763" priority="16" operator="containsText" text="Retentor">
      <formula>NOT(ISERROR(SEARCH("Retentor",B5)))</formula>
    </cfRule>
    <cfRule type="containsText" dxfId="762" priority="17" operator="containsText" text="Motorredutor">
      <formula>NOT(ISERROR(SEARCH("Motorredutor",B5)))</formula>
    </cfRule>
    <cfRule type="containsText" dxfId="761" priority="18" operator="containsText" text="Redutor">
      <formula>NOT(ISERROR(SEARCH("Redutor",B5)))</formula>
    </cfRule>
    <cfRule type="containsText" dxfId="760" priority="19" operator="containsText" text="Bomba">
      <formula>NOT(ISERROR(SEARCH("Bomba",B5)))</formula>
    </cfRule>
    <cfRule type="cellIs" dxfId="747" priority="1" operator="equal">
      <formula>$J$17</formula>
    </cfRule>
  </conditionalFormatting>
  <dataValidations count="1">
    <dataValidation type="list" allowBlank="1" showInputMessage="1" showErrorMessage="1" sqref="B5:H109" xr:uid="{241A8AAD-225D-4176-AA29-279F2101BDAA}">
      <formula1>$J$5:$J$17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6E8A890B-C7D1-4FB3-A828-D7B80B2E6FE5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4" operator="containsText" id="{C8AB2A58-2CA3-40DE-A9F5-74B893CA742A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5" operator="containsText" id="{DD1B80A6-43B2-4905-90CD-E3C4212D85B6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6" operator="containsText" id="{BD939E41-0840-48E1-A519-5F09F74A0B2E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7" operator="containsText" id="{63AF3BD0-A968-4DA2-A62A-6F024C6222CA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8" operator="containsText" id="{67D2DC17-A4D4-4B70-A8E0-2A0BC4E785FA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9" operator="containsText" id="{F07489BD-586C-4BD1-8ACB-8F4504E2B688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10" operator="containsText" id="{B3144AA5-82DA-42C1-9CBD-DEC0E620CFC5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1" operator="containsText" id="{F72A0085-156A-4302-8476-DEED3A8EE824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2" operator="containsText" id="{315F442D-56F5-4A09-84D2-A906F2D5AE20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20" operator="containsText" id="{029A191D-4E3B-494D-A227-B5D0DB38B01C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1" operator="containsText" id="{1969511A-92C6-4E3D-A413-EFA866E118BB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05A5CFBB-E57E-4786-A3DE-FA1CD969E841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3" operator="containsText" id="{7995D365-D805-4497-A5AC-092A40E0FFB6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5" operator="containsText" id="{C7F1B1B4-FAF0-4B92-A6AE-6F42FF61121C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0" operator="containsText" id="{72944815-CD6B-4384-BC79-24517D1E062C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1" operator="containsText" id="{A64F4C73-9C22-494A-8761-A5E575AA79D5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8C6A3D43-6577-4085-B10B-9F4B0F3BC035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3" operator="containsText" id="{5A492EAE-75E8-4E29-8F2B-38764D7CBF6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4" operator="containsText" id="{2E0D106C-9D88-4FF8-A31E-1B1665A651C0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5" operator="containsText" id="{98C900EF-E8DA-455B-9928-561A0F3D876F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6" operator="containsText" id="{F11D63FC-59C3-411F-A6A8-2DD9C9D67A11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38" operator="containsText" id="{7A71B680-DB21-4449-B936-5CB4168A6870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B5:H109</xm:sqref>
        </x14:conditionalFormatting>
      </x14:conditionalFormatting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B42D7-990A-43D5-B3E5-C9509DD2F214}">
  <sheetPr>
    <tabColor theme="7"/>
    <pageSetUpPr fitToPage="1"/>
  </sheetPr>
  <dimension ref="A1:P109"/>
  <sheetViews>
    <sheetView showGridLines="0" zoomScale="145" zoomScaleNormal="145" workbookViewId="0">
      <pane ySplit="4" topLeftCell="A5" activePane="bottomLeft" state="frozen"/>
      <selection pane="bottomLeft" activeCell="K19" sqref="K19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140625" bestFit="1" customWidth="1"/>
  </cols>
  <sheetData>
    <row r="1" spans="1:16" s="8" customFormat="1" x14ac:dyDescent="0.25">
      <c r="A1" s="57" t="s">
        <v>189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44977</v>
      </c>
      <c r="C3" s="43">
        <f>B3+1</f>
        <v>44978</v>
      </c>
      <c r="D3" s="43">
        <f t="shared" ref="D3:H3" si="0">C3+1</f>
        <v>44979</v>
      </c>
      <c r="E3" s="43">
        <f t="shared" si="0"/>
        <v>44980</v>
      </c>
      <c r="F3" s="43">
        <f t="shared" si="0"/>
        <v>44981</v>
      </c>
      <c r="G3" s="43">
        <f t="shared" si="0"/>
        <v>44982</v>
      </c>
      <c r="H3" s="43">
        <f t="shared" si="0"/>
        <v>44983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 t="s">
        <v>8</v>
      </c>
      <c r="E5" s="16" t="s">
        <v>8</v>
      </c>
      <c r="F5" s="16" t="s">
        <v>8</v>
      </c>
      <c r="G5" s="16" t="s">
        <v>8</v>
      </c>
      <c r="H5" s="16"/>
      <c r="J5" s="17" t="s">
        <v>112</v>
      </c>
      <c r="K5" s="4">
        <f t="shared" ref="K5:K17" si="3">COUNTIF($B$5:$H$109,J5)</f>
        <v>0</v>
      </c>
      <c r="L5" s="45">
        <f t="shared" ref="L5:L17" si="4">K5/$K$18</f>
        <v>0</v>
      </c>
      <c r="M5" s="48">
        <f>B3</f>
        <v>44977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 t="s">
        <v>8</v>
      </c>
      <c r="J6" s="18" t="s">
        <v>4</v>
      </c>
      <c r="K6" s="4">
        <f t="shared" si="3"/>
        <v>0</v>
      </c>
      <c r="L6" s="45">
        <f t="shared" si="4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4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0</v>
      </c>
      <c r="L8" s="45">
        <f t="shared" si="4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2</v>
      </c>
      <c r="L9" s="45">
        <f t="shared" si="4"/>
        <v>0.13333333333333333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7</v>
      </c>
      <c r="L10" s="45">
        <f t="shared" si="4"/>
        <v>0.46666666666666667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2</v>
      </c>
      <c r="L11" s="45">
        <f t="shared" si="4"/>
        <v>0.13333333333333333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 t="s">
        <v>8</v>
      </c>
      <c r="H13" s="16" t="s">
        <v>8</v>
      </c>
      <c r="J13" s="46" t="s">
        <v>11</v>
      </c>
      <c r="K13" s="4">
        <f t="shared" si="3"/>
        <v>0</v>
      </c>
      <c r="L13" s="45">
        <f t="shared" si="4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 t="s">
        <v>9</v>
      </c>
      <c r="H14" s="16" t="s">
        <v>9</v>
      </c>
      <c r="J14" s="47" t="s">
        <v>144</v>
      </c>
      <c r="K14" s="4">
        <f t="shared" si="3"/>
        <v>3</v>
      </c>
      <c r="L14" s="45">
        <f t="shared" si="4"/>
        <v>0.2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1</v>
      </c>
      <c r="L16" s="45">
        <f t="shared" si="4"/>
        <v>6.6666666666666666E-2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3" t="s">
        <v>148</v>
      </c>
      <c r="K17" s="4">
        <f t="shared" si="3"/>
        <v>0</v>
      </c>
      <c r="L17" s="45">
        <f t="shared" si="4"/>
        <v>0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s="1" t="s">
        <v>1</v>
      </c>
      <c r="K18" s="1">
        <f>SUM(K5:K17)</f>
        <v>15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2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2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2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2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 t="s">
        <v>7</v>
      </c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 t="s">
        <v>190</v>
      </c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 t="s">
        <v>7</v>
      </c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175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177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178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183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184</v>
      </c>
      <c r="B72" s="16"/>
      <c r="C72" s="16"/>
      <c r="D72" s="16" t="s">
        <v>144</v>
      </c>
      <c r="E72" s="16" t="s">
        <v>144</v>
      </c>
      <c r="F72" s="16"/>
      <c r="G72" s="16"/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/>
      <c r="C99" s="16" t="s">
        <v>144</v>
      </c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108</v>
      </c>
      <c r="B109" s="16"/>
      <c r="C109" s="16"/>
      <c r="D109" s="16"/>
      <c r="E109" s="16"/>
      <c r="F109" s="16"/>
      <c r="G109" s="16"/>
      <c r="H109" s="16"/>
    </row>
  </sheetData>
  <mergeCells count="1">
    <mergeCell ref="A1:H2"/>
  </mergeCells>
  <conditionalFormatting sqref="A1:A1048576">
    <cfRule type="containsText" dxfId="745" priority="37" operator="containsText" text="Pivô ">
      <formula>NOT(ISERROR(SEARCH("Pivô ",A1)))</formula>
    </cfRule>
  </conditionalFormatting>
  <conditionalFormatting sqref="B5:H109">
    <cfRule type="cellIs" dxfId="744" priority="2" operator="equal">
      <formula>$J$15</formula>
    </cfRule>
    <cfRule type="containsText" dxfId="733" priority="13" operator="containsText" text="Cardã">
      <formula>NOT(ISERROR(SEARCH("Cardã",B5)))</formula>
    </cfRule>
    <cfRule type="containsText" dxfId="732" priority="14" operator="containsText" text="Pneu">
      <formula>NOT(ISERROR(SEARCH("Pneu",B5)))</formula>
    </cfRule>
    <cfRule type="containsText" dxfId="731" priority="15" operator="containsText" text="Vedação">
      <formula>NOT(ISERROR(SEARCH("Vedação",B5)))</formula>
    </cfRule>
    <cfRule type="containsText" dxfId="730" priority="16" operator="containsText" text="Retentor">
      <formula>NOT(ISERROR(SEARCH("Retentor",B5)))</formula>
    </cfRule>
    <cfRule type="containsText" dxfId="729" priority="17" operator="containsText" text="Motorredutor">
      <formula>NOT(ISERROR(SEARCH("Motorredutor",B5)))</formula>
    </cfRule>
    <cfRule type="containsText" dxfId="728" priority="18" operator="containsText" text="Redutor">
      <formula>NOT(ISERROR(SEARCH("Redutor",B5)))</formula>
    </cfRule>
    <cfRule type="containsText" dxfId="727" priority="19" operator="containsText" text="Bomba">
      <formula>NOT(ISERROR(SEARCH("Bomba",B5)))</formula>
    </cfRule>
    <cfRule type="cellIs" dxfId="714" priority="1" operator="equal">
      <formula>$J$17</formula>
    </cfRule>
  </conditionalFormatting>
  <dataValidations count="1">
    <dataValidation type="list" allowBlank="1" showInputMessage="1" showErrorMessage="1" sqref="B5:H109" xr:uid="{46DA3A99-E681-4AE7-81A7-98BA9B4E0FD3}">
      <formula1>$J$5:$J$17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65065F0A-3E89-4566-9666-07E5A0824A9F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4" operator="containsText" id="{BD7AE3CE-DF36-4F1D-9747-1DDB903D0F50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5" operator="containsText" id="{B828C62B-5CDD-423A-994E-B55DF5DA78F9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6" operator="containsText" id="{96EE4932-DDB8-467D-AAE5-9746CEC2F87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7" operator="containsText" id="{3015A761-2F9E-4437-A736-7875A780E97B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8" operator="containsText" id="{CECBEAA3-EA47-4B18-9C14-C7F094F5342A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9" operator="containsText" id="{9D4A81BF-EBB7-459D-8D12-8EC6A1386A67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10" operator="containsText" id="{CCF8BC3B-3564-4DEE-ACF4-CC9AAC0F4BCF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1" operator="containsText" id="{2D87A2AD-5210-4A40-B90C-C20D6D7B8C3A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2" operator="containsText" id="{7D3135CA-2C30-4F9F-8BF3-071880E6CB31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20" operator="containsText" id="{4DE3B1CC-1ABA-4C8C-825D-12F2C587C437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1" operator="containsText" id="{76AD040C-79EE-4F3A-A77A-7A395594DF88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64B6FFF3-CB94-4A71-A2AF-05FC33ABDD4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3" operator="containsText" id="{62F53FE4-82D0-41FA-87A5-985D0BE61F80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5" operator="containsText" id="{362CC21E-38AA-40B1-A627-E80BCA3FCD54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0" operator="containsText" id="{E743D097-7B90-436F-9294-565808F1DF94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1" operator="containsText" id="{9453232B-4614-4023-8E7F-333C557D1E40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A817400A-61DA-4965-8193-986EA861B65E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3" operator="containsText" id="{D30AF878-0874-4E93-B726-7D768600D037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4" operator="containsText" id="{769D8429-6C10-4A20-BB55-4A3F5734E15E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5" operator="containsText" id="{E6DD7358-5223-406D-979D-6B761243CD19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6" operator="containsText" id="{C32EE7D5-E2C1-45CE-94B3-27A029C13CD0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38" operator="containsText" id="{A317DA98-0E6F-4DAD-9E88-105961C34CDD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B5:H109</xm:sqref>
        </x14:conditionalFormatting>
      </x14:conditionalFormatting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ED76-203F-4956-97FF-69DE9E13AF13}">
  <sheetPr>
    <tabColor theme="7"/>
    <pageSetUpPr fitToPage="1"/>
  </sheetPr>
  <dimension ref="A1:P109"/>
  <sheetViews>
    <sheetView showGridLines="0" zoomScale="145" zoomScaleNormal="145" workbookViewId="0">
      <pane ySplit="4" topLeftCell="A5" activePane="bottomLeft" state="frozen"/>
      <selection pane="bottomLeft" activeCell="J5" sqref="J5:M17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140625" bestFit="1" customWidth="1"/>
  </cols>
  <sheetData>
    <row r="1" spans="1:16" s="8" customFormat="1" x14ac:dyDescent="0.25">
      <c r="A1" s="57" t="s">
        <v>189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44984</v>
      </c>
      <c r="C3" s="43">
        <f>B3+1</f>
        <v>44985</v>
      </c>
      <c r="D3" s="43">
        <f t="shared" ref="D3:H3" si="0">C3+1</f>
        <v>44986</v>
      </c>
      <c r="E3" s="43">
        <f t="shared" si="0"/>
        <v>44987</v>
      </c>
      <c r="F3" s="43">
        <f t="shared" si="0"/>
        <v>44988</v>
      </c>
      <c r="G3" s="43">
        <f t="shared" si="0"/>
        <v>44989</v>
      </c>
      <c r="H3" s="43">
        <f t="shared" si="0"/>
        <v>44990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 t="shared" ref="K5:K17" si="3">COUNTIF($B$5:$H$109,J5)</f>
        <v>2</v>
      </c>
      <c r="L5" s="45">
        <f t="shared" ref="L5:L17" si="4">K5/$K$18</f>
        <v>0.08</v>
      </c>
      <c r="M5" s="48">
        <f>B3</f>
        <v>44984</v>
      </c>
    </row>
    <row r="6" spans="1:16" x14ac:dyDescent="0.25">
      <c r="A6" s="11" t="s">
        <v>20</v>
      </c>
      <c r="B6" s="16" t="s">
        <v>8</v>
      </c>
      <c r="C6" s="16" t="s">
        <v>8</v>
      </c>
      <c r="D6" s="16" t="s">
        <v>112</v>
      </c>
      <c r="E6" s="16"/>
      <c r="F6" s="16"/>
      <c r="G6" s="16" t="s">
        <v>7</v>
      </c>
      <c r="H6" s="16" t="s">
        <v>112</v>
      </c>
      <c r="J6" s="18" t="s">
        <v>4</v>
      </c>
      <c r="K6" s="4">
        <f t="shared" si="3"/>
        <v>0</v>
      </c>
      <c r="L6" s="45">
        <f t="shared" si="4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6</v>
      </c>
      <c r="L7" s="45">
        <f t="shared" si="4"/>
        <v>0.24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2</v>
      </c>
      <c r="L8" s="45">
        <f t="shared" si="4"/>
        <v>0.08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3</v>
      </c>
      <c r="L9" s="45">
        <f t="shared" si="4"/>
        <v>0.12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3</v>
      </c>
      <c r="L10" s="45">
        <f t="shared" si="4"/>
        <v>0.12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1</v>
      </c>
      <c r="L11" s="45">
        <f t="shared" si="4"/>
        <v>0.04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 t="s">
        <v>8</v>
      </c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6</v>
      </c>
      <c r="L13" s="45">
        <f t="shared" si="4"/>
        <v>0.24</v>
      </c>
    </row>
    <row r="14" spans="1:16" x14ac:dyDescent="0.25">
      <c r="A14" s="11" t="s">
        <v>29</v>
      </c>
      <c r="B14" s="16" t="s">
        <v>9</v>
      </c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2</v>
      </c>
      <c r="L14" s="45">
        <f t="shared" si="4"/>
        <v>0.08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0</v>
      </c>
      <c r="L16" s="45">
        <f t="shared" si="4"/>
        <v>0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3" t="s">
        <v>148</v>
      </c>
      <c r="K17" s="4">
        <f t="shared" si="3"/>
        <v>0</v>
      </c>
      <c r="L17" s="45">
        <f t="shared" si="4"/>
        <v>0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s="1" t="s">
        <v>1</v>
      </c>
      <c r="K18" s="1">
        <f>SUM(K5:K17)</f>
        <v>25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2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2" x14ac:dyDescent="0.25">
      <c r="A21" s="11" t="s">
        <v>36</v>
      </c>
      <c r="B21" s="16"/>
      <c r="C21" s="16" t="s">
        <v>7</v>
      </c>
      <c r="D21" s="16"/>
      <c r="E21" s="16" t="s">
        <v>7</v>
      </c>
      <c r="F21" s="16"/>
      <c r="G21" s="16"/>
      <c r="H21" s="16" t="s">
        <v>6</v>
      </c>
    </row>
    <row r="22" spans="1:12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2" x14ac:dyDescent="0.25">
      <c r="A23" s="11" t="s">
        <v>38</v>
      </c>
      <c r="B23" s="16" t="s">
        <v>144</v>
      </c>
      <c r="C23" s="16"/>
      <c r="D23" s="16"/>
      <c r="E23" s="16"/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 t="s">
        <v>6</v>
      </c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 t="s">
        <v>11</v>
      </c>
    </row>
    <row r="61" spans="1:8" x14ac:dyDescent="0.25">
      <c r="A61" s="11" t="s">
        <v>173</v>
      </c>
      <c r="B61" s="16"/>
      <c r="C61" s="16"/>
      <c r="D61" s="16"/>
      <c r="E61" s="16"/>
      <c r="F61" s="16"/>
      <c r="G61" s="16"/>
      <c r="H61" s="16" t="s">
        <v>11</v>
      </c>
    </row>
    <row r="62" spans="1:8" x14ac:dyDescent="0.25">
      <c r="A62" s="11" t="s">
        <v>174</v>
      </c>
      <c r="B62" s="16"/>
      <c r="C62" s="16"/>
      <c r="D62" s="16"/>
      <c r="E62" s="16"/>
      <c r="F62" s="16"/>
      <c r="G62" s="16"/>
      <c r="H62" s="16" t="s">
        <v>11</v>
      </c>
    </row>
    <row r="63" spans="1:8" x14ac:dyDescent="0.25">
      <c r="A63" s="11" t="s">
        <v>175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/>
      <c r="D64" s="16"/>
      <c r="E64" s="16"/>
      <c r="F64" s="16"/>
      <c r="G64" s="16"/>
      <c r="H64" s="16" t="s">
        <v>11</v>
      </c>
    </row>
    <row r="65" spans="1:8" x14ac:dyDescent="0.25">
      <c r="A65" s="11" t="s">
        <v>177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178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183</v>
      </c>
      <c r="B71" s="16"/>
      <c r="C71" s="16"/>
      <c r="D71" s="16"/>
      <c r="E71" s="16"/>
      <c r="F71" s="16"/>
      <c r="G71" s="16"/>
      <c r="H71" s="16" t="s">
        <v>11</v>
      </c>
    </row>
    <row r="72" spans="1:8" x14ac:dyDescent="0.25">
      <c r="A72" s="11" t="s">
        <v>184</v>
      </c>
      <c r="B72" s="16"/>
      <c r="C72" s="16"/>
      <c r="D72" s="16"/>
      <c r="E72" s="16"/>
      <c r="F72" s="16"/>
      <c r="G72" s="16"/>
      <c r="H72" s="16" t="s">
        <v>11</v>
      </c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 t="s">
        <v>5</v>
      </c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 t="s">
        <v>5</v>
      </c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 t="s">
        <v>5</v>
      </c>
      <c r="C99" s="16"/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 t="s">
        <v>5</v>
      </c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 t="s">
        <v>5</v>
      </c>
      <c r="C106" s="16"/>
      <c r="D106" s="16"/>
      <c r="E106" s="16"/>
      <c r="F106" s="16" t="s">
        <v>144</v>
      </c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 t="s">
        <v>5</v>
      </c>
      <c r="C108" s="16"/>
      <c r="D108" s="16"/>
      <c r="E108" s="16"/>
      <c r="F108" s="16"/>
      <c r="G108" s="16"/>
      <c r="H108" s="16"/>
    </row>
    <row r="109" spans="1:8" x14ac:dyDescent="0.25">
      <c r="A109" s="11" t="s">
        <v>108</v>
      </c>
      <c r="B109" s="16"/>
      <c r="C109" s="16"/>
      <c r="D109" s="16"/>
      <c r="E109" s="16"/>
      <c r="F109" s="16"/>
      <c r="G109" s="16"/>
      <c r="H109" s="16"/>
    </row>
  </sheetData>
  <mergeCells count="1">
    <mergeCell ref="A1:H2"/>
  </mergeCells>
  <conditionalFormatting sqref="A1:A1048576">
    <cfRule type="containsText" dxfId="712" priority="37" operator="containsText" text="Pivô ">
      <formula>NOT(ISERROR(SEARCH("Pivô ",A1)))</formula>
    </cfRule>
  </conditionalFormatting>
  <conditionalFormatting sqref="B5:H109">
    <cfRule type="cellIs" dxfId="711" priority="2" operator="equal">
      <formula>$J$15</formula>
    </cfRule>
    <cfRule type="containsText" dxfId="700" priority="13" operator="containsText" text="Cardã">
      <formula>NOT(ISERROR(SEARCH("Cardã",B5)))</formula>
    </cfRule>
    <cfRule type="containsText" dxfId="699" priority="14" operator="containsText" text="Pneu">
      <formula>NOT(ISERROR(SEARCH("Pneu",B5)))</formula>
    </cfRule>
    <cfRule type="containsText" dxfId="698" priority="15" operator="containsText" text="Vedação">
      <formula>NOT(ISERROR(SEARCH("Vedação",B5)))</formula>
    </cfRule>
    <cfRule type="containsText" dxfId="697" priority="16" operator="containsText" text="Retentor">
      <formula>NOT(ISERROR(SEARCH("Retentor",B5)))</formula>
    </cfRule>
    <cfRule type="containsText" dxfId="696" priority="17" operator="containsText" text="Motorredutor">
      <formula>NOT(ISERROR(SEARCH("Motorredutor",B5)))</formula>
    </cfRule>
    <cfRule type="containsText" dxfId="695" priority="18" operator="containsText" text="Redutor">
      <formula>NOT(ISERROR(SEARCH("Redutor",B5)))</formula>
    </cfRule>
    <cfRule type="containsText" dxfId="694" priority="19" operator="containsText" text="Bomba">
      <formula>NOT(ISERROR(SEARCH("Bomba",B5)))</formula>
    </cfRule>
    <cfRule type="cellIs" dxfId="681" priority="1" operator="equal">
      <formula>$J$17</formula>
    </cfRule>
  </conditionalFormatting>
  <dataValidations count="1">
    <dataValidation type="list" allowBlank="1" showInputMessage="1" showErrorMessage="1" sqref="B5:H109" xr:uid="{35FB1556-50A2-4E2B-9643-0A0A35067BC3}">
      <formula1>$J$5:$J$17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EBE93958-BA31-4122-A9AE-C73D9AEA6899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4" operator="containsText" id="{A302D286-1E3A-417D-B02B-DF8A1A387860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5" operator="containsText" id="{201D3F62-EBFA-447F-B96B-C2AB2B15FC17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6" operator="containsText" id="{F50ADF13-F7D9-4AB3-BD21-F4475B84AAA2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7" operator="containsText" id="{5E696F97-A41A-49B4-9099-D9B9B24BB2A2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8" operator="containsText" id="{67A0CE81-D613-465D-90B4-59C2C6226871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9" operator="containsText" id="{199EE9AA-6BC6-47ED-BF80-59D8283FA532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10" operator="containsText" id="{2EE2CC6C-68D0-4D5A-A249-65BC0C7927F2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1" operator="containsText" id="{849996E9-684C-450B-BEC5-1666A8B8F43F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2" operator="containsText" id="{1E1925CC-FDA0-4B40-9810-0D97B429A86B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20" operator="containsText" id="{ADD156E4-5CC1-498B-8F9A-44271FA52A47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1" operator="containsText" id="{075023D5-2066-433F-9A20-93645A664F8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07485A3B-C1D6-4FDA-AAF0-19EB41C32056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3" operator="containsText" id="{FEA1309A-9086-49D1-AF09-A2F3DC2CD93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5" operator="containsText" id="{C2225699-77AE-4DB2-B20C-2E4E92929E93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0" operator="containsText" id="{E87ABB00-F83C-46A5-AA1F-6E47C849C341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1" operator="containsText" id="{F8C46570-1FD2-478C-9E58-7ACBD751A360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2783A901-3EFC-4A65-973B-44EDE437C545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3" operator="containsText" id="{D5E30297-4A6D-41BB-B5CA-2762AD398FF4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4" operator="containsText" id="{D964ABC7-AC9D-4EA9-87C8-9ECEF06F6C7C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5" operator="containsText" id="{49D84A9A-65C6-4897-88BF-809AB2C25C4E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6" operator="containsText" id="{391615F1-AAB9-4BBF-89D9-F00E50642148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38" operator="containsText" id="{87B6E1A5-1045-4837-BB60-4BFE2C239DC6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B5:H109</xm:sqref>
        </x14:conditionalFormatting>
      </x14:conditionalFormatting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A16DB-D92D-4CB5-8C5C-A606777072F4}">
  <sheetPr>
    <tabColor theme="7"/>
    <pageSetUpPr fitToPage="1"/>
  </sheetPr>
  <dimension ref="A1:P109"/>
  <sheetViews>
    <sheetView showGridLines="0" zoomScale="145" zoomScaleNormal="145" workbookViewId="0">
      <pane ySplit="4" topLeftCell="A5" activePane="bottomLeft" state="frozen"/>
      <selection pane="bottomLeft" activeCell="J5" sqref="J5:L17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140625" bestFit="1" customWidth="1"/>
  </cols>
  <sheetData>
    <row r="1" spans="1:16" s="8" customFormat="1" x14ac:dyDescent="0.25">
      <c r="A1" s="57" t="s">
        <v>189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44991</v>
      </c>
      <c r="C3" s="43">
        <f>B3+1</f>
        <v>44992</v>
      </c>
      <c r="D3" s="43">
        <f t="shared" ref="D3:H3" si="0">C3+1</f>
        <v>44993</v>
      </c>
      <c r="E3" s="43">
        <f t="shared" si="0"/>
        <v>44994</v>
      </c>
      <c r="F3" s="43">
        <f t="shared" si="0"/>
        <v>44995</v>
      </c>
      <c r="G3" s="43">
        <f t="shared" si="0"/>
        <v>44996</v>
      </c>
      <c r="H3" s="43">
        <f t="shared" si="0"/>
        <v>44997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 t="shared" ref="K5:K17" si="3">COUNTIF($B$5:$H$109,J5)</f>
        <v>5</v>
      </c>
      <c r="L5" s="45">
        <f t="shared" ref="L5:L17" si="4">K5/$K$18</f>
        <v>0.14285714285714285</v>
      </c>
      <c r="M5" s="48">
        <f>B3</f>
        <v>44991</v>
      </c>
    </row>
    <row r="6" spans="1:16" x14ac:dyDescent="0.25">
      <c r="A6" s="11" t="s">
        <v>20</v>
      </c>
      <c r="B6" s="16" t="s">
        <v>112</v>
      </c>
      <c r="C6" s="16"/>
      <c r="D6" s="16"/>
      <c r="E6" s="16"/>
      <c r="F6" s="16"/>
      <c r="G6" s="16"/>
      <c r="H6" s="16"/>
      <c r="J6" s="18" t="s">
        <v>4</v>
      </c>
      <c r="K6" s="4">
        <f t="shared" si="3"/>
        <v>0</v>
      </c>
      <c r="L6" s="45">
        <f t="shared" si="4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4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3</v>
      </c>
      <c r="L8" s="45">
        <f t="shared" si="4"/>
        <v>8.5714285714285715E-2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9</v>
      </c>
      <c r="L9" s="45">
        <f t="shared" si="4"/>
        <v>0.25714285714285712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1</v>
      </c>
      <c r="L10" s="45">
        <f t="shared" si="4"/>
        <v>2.8571428571428571E-2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0</v>
      </c>
      <c r="L11" s="45">
        <f t="shared" si="4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8</v>
      </c>
      <c r="L13" s="45">
        <f t="shared" si="4"/>
        <v>0.22857142857142856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6</v>
      </c>
      <c r="L14" s="45">
        <f t="shared" si="4"/>
        <v>0.17142857142857143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3</v>
      </c>
      <c r="L16" s="45">
        <f t="shared" si="4"/>
        <v>8.5714285714285715E-2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3" t="s">
        <v>148</v>
      </c>
      <c r="K17" s="4">
        <f t="shared" si="3"/>
        <v>0</v>
      </c>
      <c r="L17" s="45">
        <f t="shared" si="4"/>
        <v>0</v>
      </c>
    </row>
    <row r="18" spans="1:12" x14ac:dyDescent="0.25">
      <c r="A18" s="11" t="s">
        <v>33</v>
      </c>
      <c r="B18" s="16"/>
      <c r="C18" s="16"/>
      <c r="D18" s="16"/>
      <c r="E18" s="16" t="s">
        <v>190</v>
      </c>
      <c r="F18" s="16"/>
      <c r="G18" s="16"/>
      <c r="H18" s="16"/>
      <c r="J18" s="1" t="s">
        <v>1</v>
      </c>
      <c r="K18" s="1">
        <f>SUM(K5:K17)</f>
        <v>35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</row>
    <row r="20" spans="1:12" x14ac:dyDescent="0.25">
      <c r="A20" s="11" t="s">
        <v>35</v>
      </c>
      <c r="B20" s="16"/>
      <c r="C20" s="16"/>
      <c r="D20" s="16"/>
      <c r="E20" s="16"/>
      <c r="F20" s="16"/>
      <c r="G20" s="16" t="s">
        <v>144</v>
      </c>
      <c r="H20" s="16"/>
    </row>
    <row r="21" spans="1:12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2" x14ac:dyDescent="0.25">
      <c r="A22" s="11" t="s">
        <v>37</v>
      </c>
      <c r="B22" s="16"/>
      <c r="C22" s="16"/>
      <c r="D22" s="16"/>
      <c r="E22" s="16"/>
      <c r="F22" s="16"/>
      <c r="G22" s="16" t="s">
        <v>144</v>
      </c>
      <c r="H22" s="16" t="s">
        <v>144</v>
      </c>
    </row>
    <row r="23" spans="1:12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/>
      <c r="D27" s="16"/>
      <c r="E27" s="16" t="s">
        <v>190</v>
      </c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 t="s">
        <v>190</v>
      </c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/>
      <c r="E32" s="16"/>
      <c r="F32" s="16" t="s">
        <v>6</v>
      </c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 t="s">
        <v>112</v>
      </c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 t="s">
        <v>8</v>
      </c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 t="s">
        <v>112</v>
      </c>
      <c r="G49" s="16" t="s">
        <v>112</v>
      </c>
      <c r="H49" s="16" t="s">
        <v>112</v>
      </c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 t="s">
        <v>7</v>
      </c>
      <c r="G52" s="16" t="s">
        <v>7</v>
      </c>
      <c r="H52" s="16" t="s">
        <v>7</v>
      </c>
    </row>
    <row r="53" spans="1:8" x14ac:dyDescent="0.25">
      <c r="A53" s="11" t="s">
        <v>68</v>
      </c>
      <c r="B53" s="16"/>
      <c r="C53" s="16"/>
      <c r="D53" s="16"/>
      <c r="E53" s="16" t="s">
        <v>7</v>
      </c>
      <c r="F53" s="16" t="s">
        <v>7</v>
      </c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 t="s">
        <v>11</v>
      </c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 t="s">
        <v>11</v>
      </c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 t="s">
        <v>11</v>
      </c>
      <c r="C60" s="16"/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 t="s">
        <v>6</v>
      </c>
      <c r="H61" s="16"/>
    </row>
    <row r="62" spans="1:8" x14ac:dyDescent="0.25">
      <c r="A62" s="11" t="s">
        <v>174</v>
      </c>
      <c r="B62" s="16"/>
      <c r="C62" s="16"/>
      <c r="D62" s="16"/>
      <c r="E62" s="16"/>
      <c r="F62" s="16"/>
      <c r="G62" s="16" t="s">
        <v>6</v>
      </c>
      <c r="H62" s="16"/>
    </row>
    <row r="63" spans="1:8" x14ac:dyDescent="0.25">
      <c r="A63" s="11" t="s">
        <v>175</v>
      </c>
      <c r="B63" s="16" t="s">
        <v>11</v>
      </c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177</v>
      </c>
      <c r="B65" s="16" t="s">
        <v>11</v>
      </c>
      <c r="C65" s="16"/>
      <c r="D65" s="16"/>
      <c r="E65" s="16"/>
      <c r="F65" s="16"/>
      <c r="G65" s="16"/>
      <c r="H65" s="16"/>
    </row>
    <row r="66" spans="1:8" x14ac:dyDescent="0.25">
      <c r="A66" s="11" t="s">
        <v>178</v>
      </c>
      <c r="B66" s="16" t="s">
        <v>11</v>
      </c>
      <c r="C66" s="16"/>
      <c r="D66" s="16"/>
      <c r="E66" s="16"/>
      <c r="F66" s="16" t="s">
        <v>7</v>
      </c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 t="s">
        <v>11</v>
      </c>
      <c r="C70" s="16"/>
      <c r="D70" s="16"/>
      <c r="E70" s="16"/>
      <c r="F70" s="16"/>
      <c r="G70" s="16"/>
      <c r="H70" s="16"/>
    </row>
    <row r="71" spans="1:8" x14ac:dyDescent="0.25">
      <c r="A71" s="11" t="s">
        <v>183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184</v>
      </c>
      <c r="B72" s="16" t="s">
        <v>11</v>
      </c>
      <c r="C72" s="16"/>
      <c r="D72" s="16"/>
      <c r="E72" s="16" t="s">
        <v>144</v>
      </c>
      <c r="F72" s="16" t="s">
        <v>144</v>
      </c>
      <c r="G72" s="16" t="s">
        <v>144</v>
      </c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 t="s">
        <v>7</v>
      </c>
      <c r="D78" s="16" t="s">
        <v>7</v>
      </c>
      <c r="E78" s="16" t="s">
        <v>7</v>
      </c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/>
      <c r="C99" s="16"/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108</v>
      </c>
      <c r="B109" s="16"/>
      <c r="C109" s="16"/>
      <c r="D109" s="16"/>
      <c r="E109" s="16"/>
      <c r="F109" s="16"/>
      <c r="G109" s="16"/>
      <c r="H109" s="16"/>
    </row>
  </sheetData>
  <mergeCells count="1">
    <mergeCell ref="A1:H2"/>
  </mergeCells>
  <conditionalFormatting sqref="A1:A1048576">
    <cfRule type="containsText" dxfId="679" priority="37" operator="containsText" text="Pivô ">
      <formula>NOT(ISERROR(SEARCH("Pivô ",A1)))</formula>
    </cfRule>
  </conditionalFormatting>
  <conditionalFormatting sqref="B5:H109">
    <cfRule type="cellIs" dxfId="678" priority="2" operator="equal">
      <formula>$J$15</formula>
    </cfRule>
    <cfRule type="containsText" dxfId="667" priority="13" operator="containsText" text="Cardã">
      <formula>NOT(ISERROR(SEARCH("Cardã",B5)))</formula>
    </cfRule>
    <cfRule type="containsText" dxfId="666" priority="14" operator="containsText" text="Pneu">
      <formula>NOT(ISERROR(SEARCH("Pneu",B5)))</formula>
    </cfRule>
    <cfRule type="containsText" dxfId="665" priority="15" operator="containsText" text="Vedação">
      <formula>NOT(ISERROR(SEARCH("Vedação",B5)))</formula>
    </cfRule>
    <cfRule type="containsText" dxfId="664" priority="16" operator="containsText" text="Retentor">
      <formula>NOT(ISERROR(SEARCH("Retentor",B5)))</formula>
    </cfRule>
    <cfRule type="containsText" dxfId="663" priority="17" operator="containsText" text="Motorredutor">
      <formula>NOT(ISERROR(SEARCH("Motorredutor",B5)))</formula>
    </cfRule>
    <cfRule type="containsText" dxfId="662" priority="18" operator="containsText" text="Redutor">
      <formula>NOT(ISERROR(SEARCH("Redutor",B5)))</formula>
    </cfRule>
    <cfRule type="containsText" dxfId="661" priority="19" operator="containsText" text="Bomba">
      <formula>NOT(ISERROR(SEARCH("Bomba",B5)))</formula>
    </cfRule>
    <cfRule type="cellIs" dxfId="648" priority="1" operator="equal">
      <formula>$J$17</formula>
    </cfRule>
  </conditionalFormatting>
  <dataValidations count="1">
    <dataValidation type="list" allowBlank="1" showInputMessage="1" showErrorMessage="1" sqref="B5:H109" xr:uid="{04E89025-E074-40F3-A774-3CAFE6C2F69D}">
      <formula1>$J$5:$J$17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992505E8-4EAC-4ED5-BE10-221872B3A5FA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4" operator="containsText" id="{EEDB8813-672C-4CEF-96E2-5EBF66AEA611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5" operator="containsText" id="{92BC1464-273A-4840-BA18-D05B3C8942C2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6" operator="containsText" id="{9286CEC5-667C-443D-82AE-92830E4BD7A2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7" operator="containsText" id="{E89392BA-A03A-4911-9D00-D0E4A2340EDB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8" operator="containsText" id="{9C9889E8-A95D-4761-BACD-B031182CBDB3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9" operator="containsText" id="{0DBE2CA3-33A5-4DE0-B5B8-2B7F078EE559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10" operator="containsText" id="{D49606FF-11C9-4EEB-9732-2DF6E55F75B5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1" operator="containsText" id="{DCC60CA2-DDE5-41F3-AB1A-6D2357FB493E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2" operator="containsText" id="{A2CC4E11-E3F8-4ECA-8D81-B1984E56B031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20" operator="containsText" id="{513A6C65-48D1-4B92-8669-3A52947AE7D5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1" operator="containsText" id="{5EF96DC2-3EBE-4CCC-9CED-A595733220B1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2" operator="containsText" id="{9BABE662-D072-4240-979D-7262AD026C94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3" operator="containsText" id="{45D45602-7F26-40ED-84DB-FCB77039A22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5" operator="containsText" id="{42B4AAD8-0DA6-43E6-8078-C845BFFF8EF2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0" operator="containsText" id="{5E4CDA7A-0D3C-4E39-B2E4-BC14AB3B4C84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1" operator="containsText" id="{E79F188B-9E41-4346-8B2F-F1937DA2DA5F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D1B67936-438A-424A-8064-8343F333E29C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3" operator="containsText" id="{691D384A-43E3-4AA2-83B5-A64634D6DFD2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4" operator="containsText" id="{559A62CC-DD4A-42AA-B424-1AB1B2AEB051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5" operator="containsText" id="{263F50E5-183D-4139-B017-351B52CD027B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6" operator="containsText" id="{FE0F3427-A318-4783-A19E-D1C2D00D485F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38" operator="containsText" id="{B20D04BE-16FE-4DCC-9E81-12ECFCBD0EB0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B5:H109</xm:sqref>
        </x14:conditionalFormatting>
      </x14:conditionalFormatting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A3F6E-1892-4EC8-8BA7-8186FBEA6495}">
  <sheetPr>
    <tabColor theme="7"/>
    <pageSetUpPr fitToPage="1"/>
  </sheetPr>
  <dimension ref="A1:P109"/>
  <sheetViews>
    <sheetView showGridLines="0" zoomScale="145" zoomScaleNormal="14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21" sqref="I21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140625" bestFit="1" customWidth="1"/>
  </cols>
  <sheetData>
    <row r="1" spans="1:16" s="8" customFormat="1" x14ac:dyDescent="0.25">
      <c r="A1" s="57" t="s">
        <v>191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44998</v>
      </c>
      <c r="C3" s="43">
        <f>B3+1</f>
        <v>44999</v>
      </c>
      <c r="D3" s="43">
        <f t="shared" ref="D3:H3" si="0">C3+1</f>
        <v>45000</v>
      </c>
      <c r="E3" s="43">
        <f t="shared" si="0"/>
        <v>45001</v>
      </c>
      <c r="F3" s="43">
        <f t="shared" si="0"/>
        <v>45002</v>
      </c>
      <c r="G3" s="43">
        <f t="shared" si="0"/>
        <v>45003</v>
      </c>
      <c r="H3" s="43">
        <f t="shared" si="0"/>
        <v>45004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 t="shared" ref="K5:K18" si="3">COUNTIF($B$5:$H$109,J5)</f>
        <v>4</v>
      </c>
      <c r="L5" s="45">
        <f>K5/$K$19</f>
        <v>0.16</v>
      </c>
      <c r="M5" s="48">
        <f>B3</f>
        <v>44998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si="3"/>
        <v>0</v>
      </c>
      <c r="L6" s="45">
        <f t="shared" ref="L6:L18" si="4">K6/$K$19</f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4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0</v>
      </c>
      <c r="L8" s="45">
        <f t="shared" si="4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2</v>
      </c>
      <c r="L9" s="45">
        <f t="shared" si="4"/>
        <v>0.08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0</v>
      </c>
      <c r="L10" s="45">
        <f t="shared" si="4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1</v>
      </c>
      <c r="L11" s="45">
        <f t="shared" si="4"/>
        <v>0.04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0</v>
      </c>
      <c r="L13" s="45">
        <f t="shared" si="4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4</v>
      </c>
      <c r="L14" s="45">
        <f t="shared" si="4"/>
        <v>0.16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0</v>
      </c>
      <c r="L16" s="45">
        <f t="shared" si="4"/>
        <v>0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6" t="s">
        <v>192</v>
      </c>
      <c r="K17" s="4">
        <f t="shared" si="3"/>
        <v>10</v>
      </c>
      <c r="L17" s="45">
        <f t="shared" si="4"/>
        <v>0.4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s="53" t="s">
        <v>148</v>
      </c>
      <c r="K18" s="4">
        <f t="shared" si="3"/>
        <v>4</v>
      </c>
      <c r="L18" s="45">
        <f t="shared" si="4"/>
        <v>0.16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  <c r="J19" s="1" t="s">
        <v>1</v>
      </c>
      <c r="K19" s="1">
        <f>SUM(K5:K18)</f>
        <v>25</v>
      </c>
    </row>
    <row r="20" spans="1:12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2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2" x14ac:dyDescent="0.25">
      <c r="A22" s="11" t="s">
        <v>37</v>
      </c>
      <c r="B22" s="16" t="s">
        <v>144</v>
      </c>
      <c r="C22" s="16" t="s">
        <v>144</v>
      </c>
      <c r="D22" s="16" t="s">
        <v>144</v>
      </c>
      <c r="E22" s="16" t="s">
        <v>144</v>
      </c>
      <c r="F22" s="16"/>
      <c r="G22" s="16"/>
      <c r="H22" s="16"/>
    </row>
    <row r="23" spans="1:12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 t="s">
        <v>9</v>
      </c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 t="s">
        <v>112</v>
      </c>
      <c r="C49" s="16" t="s">
        <v>112</v>
      </c>
      <c r="D49" s="16" t="s">
        <v>112</v>
      </c>
      <c r="E49" s="16" t="s">
        <v>112</v>
      </c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 t="s">
        <v>7</v>
      </c>
      <c r="C52" s="16" t="s">
        <v>7</v>
      </c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175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177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178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183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184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 t="s">
        <v>192</v>
      </c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 t="s">
        <v>192</v>
      </c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 t="s">
        <v>192</v>
      </c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 t="s">
        <v>192</v>
      </c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 t="s">
        <v>192</v>
      </c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 t="s">
        <v>192</v>
      </c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 t="s">
        <v>192</v>
      </c>
      <c r="F98" s="16"/>
      <c r="G98" s="16"/>
      <c r="H98" s="16"/>
    </row>
    <row r="99" spans="1:8" x14ac:dyDescent="0.25">
      <c r="A99" s="11" t="s">
        <v>98</v>
      </c>
      <c r="B99" s="16"/>
      <c r="C99" s="16"/>
      <c r="D99" s="16" t="s">
        <v>148</v>
      </c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 t="s">
        <v>192</v>
      </c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 t="s">
        <v>148</v>
      </c>
      <c r="E101" s="16" t="s">
        <v>192</v>
      </c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 t="s">
        <v>148</v>
      </c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 t="s">
        <v>148</v>
      </c>
      <c r="E104" s="16" t="s">
        <v>192</v>
      </c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108</v>
      </c>
      <c r="B109" s="16"/>
      <c r="C109" s="16"/>
      <c r="D109" s="16"/>
      <c r="E109" s="16"/>
      <c r="F109" s="16"/>
      <c r="G109" s="16"/>
      <c r="H109" s="16"/>
    </row>
  </sheetData>
  <mergeCells count="1">
    <mergeCell ref="A1:H2"/>
  </mergeCells>
  <conditionalFormatting sqref="A1:A1048576">
    <cfRule type="containsText" dxfId="646" priority="38" operator="containsText" text="Pivô ">
      <formula>NOT(ISERROR(SEARCH("Pivô ",A1)))</formula>
    </cfRule>
  </conditionalFormatting>
  <conditionalFormatting sqref="B5:H109">
    <cfRule type="cellIs" dxfId="623" priority="1" operator="equal">
      <formula>$J$17</formula>
    </cfRule>
    <cfRule type="cellIs" dxfId="621" priority="45" operator="equal">
      <formula>$J$18</formula>
    </cfRule>
    <cfRule type="cellIs" dxfId="620" priority="46" operator="equal">
      <formula>$J$15</formula>
    </cfRule>
    <cfRule type="containsText" dxfId="619" priority="47" operator="containsText" text="Cardã">
      <formula>NOT(ISERROR(SEARCH("Cardã",B5)))</formula>
    </cfRule>
    <cfRule type="containsText" dxfId="618" priority="48" operator="containsText" text="Pneu">
      <formula>NOT(ISERROR(SEARCH("Pneu",B5)))</formula>
    </cfRule>
    <cfRule type="containsText" dxfId="617" priority="49" operator="containsText" text="Vedação">
      <formula>NOT(ISERROR(SEARCH("Vedação",B5)))</formula>
    </cfRule>
    <cfRule type="containsText" dxfId="616" priority="50" operator="containsText" text="Retentor">
      <formula>NOT(ISERROR(SEARCH("Retentor",B5)))</formula>
    </cfRule>
    <cfRule type="containsText" dxfId="615" priority="51" operator="containsText" text="Motorredutor">
      <formula>NOT(ISERROR(SEARCH("Motorredutor",B5)))</formula>
    </cfRule>
    <cfRule type="containsText" dxfId="614" priority="52" operator="containsText" text="Redutor">
      <formula>NOT(ISERROR(SEARCH("Redutor",B5)))</formula>
    </cfRule>
    <cfRule type="containsText" dxfId="613" priority="53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4B767949-DB4C-4C57-9F66-E1EDED03E213}">
      <formula1>$J$5:$J$18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6D6C961D-5642-4D60-8867-DE777D7E15A6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5" operator="containsText" id="{A577EF2D-AEAA-424A-AAB9-8B4B4622CDD2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6" operator="containsText" id="{C39195D6-5C08-43FE-8647-DFBE25731ED5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7" operator="containsText" id="{6911A790-1974-47ED-A097-0C8AE5FE9910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8" operator="containsText" id="{27AA9E80-A7E1-4C0F-80BE-6EEA9971D5AF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9" operator="containsText" id="{016B70E6-5213-4327-8EE5-8F7BDBDA0A47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10" operator="containsText" id="{F93C1A06-A4C8-4231-B38C-B3D39C737427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11" operator="containsText" id="{391B0F41-71E6-4386-8BF1-4E772C961820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2" operator="containsText" id="{04807E98-C563-4C63-8021-107A22112E6E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3" operator="containsText" id="{14C1EBC7-9184-48E3-9737-367B4E76B35A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21" operator="containsText" id="{4AED03EA-F004-41D0-906A-FA5E89496E8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2" operator="containsText" id="{1A863CEE-F077-4B2D-97F2-05372464830D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3" operator="containsText" id="{7E773F89-85C1-4961-84AF-892FA3069CE8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24" operator="containsText" id="{E6C23878-5E2E-411E-8E81-23ECBF96B1B2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26" operator="containsText" id="{3F097C99-DB04-4A05-BD6A-6C507B12290E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1" operator="containsText" id="{7A9149E9-E2AE-4F4C-881E-A6E6692442DD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2" operator="containsText" id="{50CE4F4F-E86D-41F7-93EB-45427B5915C9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3" operator="containsText" id="{BA30F3D5-5AAA-4779-A481-77A14302E1AD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4" operator="containsText" id="{4F5991F8-9A74-409D-91FA-85C1095DB42B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5" operator="containsText" id="{5B302A67-AC31-44AA-984A-238B911FA2AE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36" operator="containsText" id="{38FCDC3E-49A4-41C0-8568-C0685D695F1D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7" operator="containsText" id="{DBDDDC59-BF5E-471D-90CA-107B8883F244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39" operator="containsText" id="{89BD62D6-9520-4AFA-93AB-F13CD1DA4C8C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B5:H109</xm:sqref>
        </x14:conditionalFormatting>
      </x14:conditionalFormatting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5E9B-82AF-4C95-9A35-B0B1AA28DBCA}">
  <sheetPr>
    <tabColor theme="7"/>
    <pageSetUpPr fitToPage="1"/>
  </sheetPr>
  <dimension ref="A1:P109"/>
  <sheetViews>
    <sheetView showGridLines="0" zoomScale="145" zoomScaleNormal="14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5" sqref="J5:L18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140625" bestFit="1" customWidth="1"/>
  </cols>
  <sheetData>
    <row r="1" spans="1:16" s="8" customFormat="1" x14ac:dyDescent="0.25">
      <c r="A1" s="57" t="s">
        <v>191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45005</v>
      </c>
      <c r="C3" s="43">
        <f>B3+1</f>
        <v>45006</v>
      </c>
      <c r="D3" s="43">
        <f t="shared" ref="D3:H3" si="0">C3+1</f>
        <v>45007</v>
      </c>
      <c r="E3" s="43">
        <f t="shared" si="0"/>
        <v>45008</v>
      </c>
      <c r="F3" s="43">
        <f t="shared" si="0"/>
        <v>45009</v>
      </c>
      <c r="G3" s="43">
        <f t="shared" si="0"/>
        <v>45010</v>
      </c>
      <c r="H3" s="43">
        <f t="shared" si="0"/>
        <v>45011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 t="shared" ref="K5:K18" si="3">COUNTIF($B$5:$H$109,J5)</f>
        <v>3</v>
      </c>
      <c r="L5" s="45">
        <f>K5/$K$19</f>
        <v>0.21428571428571427</v>
      </c>
      <c r="M5" s="48">
        <f>B3</f>
        <v>45005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si="3"/>
        <v>1</v>
      </c>
      <c r="L6" s="45">
        <f t="shared" ref="L6:L18" si="4">K6/$K$19</f>
        <v>7.1428571428571425E-2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4</v>
      </c>
      <c r="L7" s="45">
        <f t="shared" si="4"/>
        <v>0.2857142857142857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0</v>
      </c>
      <c r="L8" s="45">
        <f t="shared" si="4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0</v>
      </c>
      <c r="L9" s="45">
        <f t="shared" si="4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0</v>
      </c>
      <c r="L10" s="45">
        <f t="shared" si="4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1</v>
      </c>
      <c r="L11" s="45">
        <f t="shared" si="4"/>
        <v>7.1428571428571425E-2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0</v>
      </c>
      <c r="L13" s="45">
        <f t="shared" si="4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3</v>
      </c>
      <c r="L14" s="45">
        <f t="shared" si="4"/>
        <v>0.21428571428571427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0</v>
      </c>
      <c r="L16" s="45">
        <f t="shared" si="4"/>
        <v>0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6" t="s">
        <v>192</v>
      </c>
      <c r="K17" s="4">
        <f t="shared" si="3"/>
        <v>2</v>
      </c>
      <c r="L17" s="45">
        <f t="shared" si="4"/>
        <v>0.14285714285714285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s="53" t="s">
        <v>148</v>
      </c>
      <c r="K18" s="4">
        <f t="shared" si="3"/>
        <v>0</v>
      </c>
      <c r="L18" s="45">
        <f t="shared" si="4"/>
        <v>0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  <c r="J19" s="1" t="s">
        <v>1</v>
      </c>
      <c r="K19" s="1">
        <f>SUM(K5:K18)</f>
        <v>14</v>
      </c>
    </row>
    <row r="20" spans="1:12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2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2" x14ac:dyDescent="0.25">
      <c r="A22" s="11" t="s">
        <v>37</v>
      </c>
      <c r="B22" s="16"/>
      <c r="C22" s="16"/>
      <c r="D22" s="16"/>
      <c r="E22" s="16" t="s">
        <v>144</v>
      </c>
      <c r="F22" s="16" t="s">
        <v>144</v>
      </c>
      <c r="G22" s="16" t="s">
        <v>144</v>
      </c>
      <c r="H22" s="16"/>
    </row>
    <row r="23" spans="1:12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 t="s">
        <v>112</v>
      </c>
      <c r="H26" s="16"/>
    </row>
    <row r="27" spans="1:12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 t="s">
        <v>9</v>
      </c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 t="s">
        <v>4</v>
      </c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 t="s">
        <v>5</v>
      </c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 t="s">
        <v>5</v>
      </c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 t="s">
        <v>5</v>
      </c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175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/>
      <c r="D64" s="16" t="s">
        <v>192</v>
      </c>
      <c r="E64" s="16"/>
      <c r="F64" s="16"/>
      <c r="G64" s="16"/>
      <c r="H64" s="16"/>
    </row>
    <row r="65" spans="1:8" x14ac:dyDescent="0.25">
      <c r="A65" s="11" t="s">
        <v>177</v>
      </c>
      <c r="B65" s="16"/>
      <c r="C65" s="16"/>
      <c r="D65" s="16" t="s">
        <v>192</v>
      </c>
      <c r="E65" s="16"/>
      <c r="F65" s="16"/>
      <c r="G65" s="16"/>
      <c r="H65" s="16"/>
    </row>
    <row r="66" spans="1:8" x14ac:dyDescent="0.25">
      <c r="A66" s="11" t="s">
        <v>178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183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184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 t="s">
        <v>5</v>
      </c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 t="s">
        <v>112</v>
      </c>
      <c r="G78" s="16" t="s">
        <v>112</v>
      </c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/>
      <c r="C99" s="16"/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108</v>
      </c>
      <c r="B109" s="16"/>
      <c r="C109" s="16"/>
      <c r="D109" s="16"/>
      <c r="E109" s="16"/>
      <c r="F109" s="16"/>
      <c r="G109" s="16"/>
      <c r="H109" s="16"/>
    </row>
  </sheetData>
  <mergeCells count="1">
    <mergeCell ref="A1:H2"/>
  </mergeCells>
  <conditionalFormatting sqref="A1:A1048576">
    <cfRule type="containsText" dxfId="612" priority="29" operator="containsText" text="Pivô ">
      <formula>NOT(ISERROR(SEARCH("Pivô ",A1)))</formula>
    </cfRule>
  </conditionalFormatting>
  <conditionalFormatting sqref="B5:H109">
    <cfRule type="cellIs" dxfId="589" priority="1" operator="equal">
      <formula>$J$17</formula>
    </cfRule>
    <cfRule type="cellIs" dxfId="587" priority="31" operator="equal">
      <formula>$J$18</formula>
    </cfRule>
    <cfRule type="cellIs" dxfId="586" priority="32" operator="equal">
      <formula>$J$15</formula>
    </cfRule>
    <cfRule type="containsText" dxfId="585" priority="33" operator="containsText" text="Cardã">
      <formula>NOT(ISERROR(SEARCH("Cardã",B5)))</formula>
    </cfRule>
    <cfRule type="containsText" dxfId="584" priority="34" operator="containsText" text="Pneu">
      <formula>NOT(ISERROR(SEARCH("Pneu",B5)))</formula>
    </cfRule>
    <cfRule type="containsText" dxfId="583" priority="35" operator="containsText" text="Vedação">
      <formula>NOT(ISERROR(SEARCH("Vedação",B5)))</formula>
    </cfRule>
    <cfRule type="containsText" dxfId="582" priority="36" operator="containsText" text="Retentor">
      <formula>NOT(ISERROR(SEARCH("Retentor",B5)))</formula>
    </cfRule>
    <cfRule type="containsText" dxfId="581" priority="37" operator="containsText" text="Motorredutor">
      <formula>NOT(ISERROR(SEARCH("Motorredutor",B5)))</formula>
    </cfRule>
    <cfRule type="containsText" dxfId="580" priority="38" operator="containsText" text="Redutor">
      <formula>NOT(ISERROR(SEARCH("Redutor",B5)))</formula>
    </cfRule>
    <cfRule type="containsText" dxfId="579" priority="39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EB171FE7-2621-474B-8A4C-123D5F4656B5}">
      <formula1>$J$5:$J$18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D1395CEC-F6B5-4641-918A-02003804182F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4BC07DDE-FC2F-424A-A268-1AF4A48D657C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2AF93259-ED5A-44D7-899C-7D68B9613C86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4DDE8195-8AE9-49DA-99AE-65084242674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21D0834D-41F9-44A7-BECF-CAF25E599BDF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70A38E61-C50E-45D4-9162-9B5EDA8ED354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02511B6D-A303-4EF9-8FFE-B200E2762026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8477C3A5-C109-4B47-B2F1-7EB08C4215ED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383D5BCA-5095-4BA1-B651-F779A6756491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DD983299-734F-44C1-86F5-FE685C389DAE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2" operator="containsText" id="{D32EB83C-1780-42B7-A3C8-D5CB76885391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3" operator="containsText" id="{81EA2342-2E77-449F-880B-7575C579C9F6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4" operator="containsText" id="{76B71AAF-4096-44D6-914E-2FA8A8E41FDD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5" operator="containsText" id="{30F11F93-5163-4D62-8704-694107E3A71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17" operator="containsText" id="{C810B4BB-2DE6-4790-980D-B020EA104681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" operator="containsText" id="{D44AA8B5-B42A-475C-804D-1E752F2F4DC5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3" operator="containsText" id="{7D02DB70-4EA7-4A54-8AA2-3E047720478D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4" operator="containsText" id="{578E642C-F1B4-4B4C-99E2-3F8150467DE8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5" operator="containsText" id="{74B128E8-901A-4030-934A-A10BEAE5B86A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6" operator="containsText" id="{E35B9135-E814-417E-9AC5-316EE1C078F5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27" operator="containsText" id="{73B792F5-AF14-4811-BF4F-96FD445350A2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8" operator="containsText" id="{B2CFE2F0-D215-4AFC-84FC-2F6C0ADD589C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30" operator="containsText" id="{9A9F4990-BE25-434C-A3FD-1017CB683604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B5:H109</xm:sqref>
        </x14:conditionalFormatting>
      </x14:conditionalFormatting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CE55-8C6A-4BD4-A6F9-F8415A7CB8D0}">
  <sheetPr>
    <tabColor theme="7"/>
    <pageSetUpPr fitToPage="1"/>
  </sheetPr>
  <dimension ref="A1:P109"/>
  <sheetViews>
    <sheetView showGridLines="0" zoomScale="145" zoomScaleNormal="145" workbookViewId="0">
      <pane xSplit="1" ySplit="4" topLeftCell="G5" activePane="bottomRight" state="frozen"/>
      <selection pane="topRight" activeCell="B1" sqref="B1"/>
      <selection pane="bottomLeft" activeCell="A5" sqref="A5"/>
      <selection pane="bottomRight" activeCell="E64" sqref="E64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140625" bestFit="1" customWidth="1"/>
  </cols>
  <sheetData>
    <row r="1" spans="1:16" s="8" customFormat="1" x14ac:dyDescent="0.25">
      <c r="A1" s="57" t="s">
        <v>191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45012</v>
      </c>
      <c r="C3" s="43">
        <f>B3+1</f>
        <v>45013</v>
      </c>
      <c r="D3" s="43">
        <f t="shared" ref="D3:H3" si="0">C3+1</f>
        <v>45014</v>
      </c>
      <c r="E3" s="43">
        <f t="shared" si="0"/>
        <v>45015</v>
      </c>
      <c r="F3" s="43">
        <f t="shared" si="0"/>
        <v>45016</v>
      </c>
      <c r="G3" s="43">
        <f t="shared" si="0"/>
        <v>45017</v>
      </c>
      <c r="H3" s="43">
        <f t="shared" si="0"/>
        <v>45018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 t="shared" ref="K5:K18" si="3">COUNTIF($B$5:$H$109,J5)</f>
        <v>0</v>
      </c>
      <c r="L5" s="45">
        <f>K5/$K$19</f>
        <v>0</v>
      </c>
      <c r="M5" s="48">
        <f>B3</f>
        <v>45012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si="3"/>
        <v>2</v>
      </c>
      <c r="L6" s="45">
        <f t="shared" ref="L6:L18" si="4">K6/$K$19</f>
        <v>0.2857142857142857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4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5</v>
      </c>
      <c r="L8" s="45">
        <f t="shared" si="4"/>
        <v>0.7142857142857143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0</v>
      </c>
      <c r="L9" s="45">
        <f t="shared" si="4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0</v>
      </c>
      <c r="L10" s="45">
        <f t="shared" si="4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0</v>
      </c>
      <c r="L11" s="45">
        <f t="shared" si="4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0</v>
      </c>
      <c r="L13" s="45">
        <f t="shared" si="4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0</v>
      </c>
      <c r="L14" s="45">
        <f t="shared" si="4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0</v>
      </c>
      <c r="L16" s="45">
        <f t="shared" si="4"/>
        <v>0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6" t="s">
        <v>192</v>
      </c>
      <c r="K17" s="4">
        <f t="shared" si="3"/>
        <v>0</v>
      </c>
      <c r="L17" s="45">
        <f t="shared" si="4"/>
        <v>0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s="53" t="s">
        <v>148</v>
      </c>
      <c r="K18" s="4">
        <f t="shared" si="3"/>
        <v>0</v>
      </c>
      <c r="L18" s="45">
        <f t="shared" si="4"/>
        <v>0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  <c r="J19" s="1" t="s">
        <v>1</v>
      </c>
      <c r="K19" s="1">
        <f>SUM(K5:K18)</f>
        <v>7</v>
      </c>
    </row>
    <row r="20" spans="1:12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2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2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2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 t="s">
        <v>4</v>
      </c>
      <c r="H39" s="16" t="s">
        <v>4</v>
      </c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175</v>
      </c>
      <c r="B63" s="16"/>
      <c r="C63" s="16"/>
      <c r="D63" s="16" t="s">
        <v>6</v>
      </c>
      <c r="E63" s="16"/>
      <c r="F63" s="16"/>
      <c r="G63" s="16"/>
      <c r="H63" s="16" t="s">
        <v>6</v>
      </c>
    </row>
    <row r="64" spans="1:8" x14ac:dyDescent="0.25">
      <c r="A64" s="11" t="s">
        <v>176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177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178</v>
      </c>
      <c r="B66" s="16"/>
      <c r="C66" s="16"/>
      <c r="D66" s="16"/>
      <c r="E66" s="16" t="s">
        <v>6</v>
      </c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183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184</v>
      </c>
      <c r="B72" s="16"/>
      <c r="C72" s="16"/>
      <c r="D72" s="16"/>
      <c r="E72" s="16" t="s">
        <v>6</v>
      </c>
      <c r="F72" s="16"/>
      <c r="G72" s="16" t="s">
        <v>6</v>
      </c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/>
      <c r="C99" s="16"/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108</v>
      </c>
      <c r="B109" s="16"/>
      <c r="C109" s="16"/>
      <c r="D109" s="16"/>
      <c r="E109" s="16"/>
      <c r="F109" s="16"/>
      <c r="G109" s="16"/>
      <c r="H109" s="16"/>
    </row>
  </sheetData>
  <mergeCells count="1">
    <mergeCell ref="A1:H2"/>
  </mergeCells>
  <conditionalFormatting sqref="A1:A1048576">
    <cfRule type="containsText" dxfId="578" priority="29" operator="containsText" text="Pivô ">
      <formula>NOT(ISERROR(SEARCH("Pivô ",A1)))</formula>
    </cfRule>
  </conditionalFormatting>
  <conditionalFormatting sqref="B5:H109">
    <cfRule type="cellIs" dxfId="555" priority="1" operator="equal">
      <formula>$J$17</formula>
    </cfRule>
    <cfRule type="cellIs" dxfId="553" priority="31" operator="equal">
      <formula>$J$18</formula>
    </cfRule>
    <cfRule type="cellIs" dxfId="552" priority="32" operator="equal">
      <formula>$J$15</formula>
    </cfRule>
    <cfRule type="containsText" dxfId="551" priority="33" operator="containsText" text="Cardã">
      <formula>NOT(ISERROR(SEARCH("Cardã",B5)))</formula>
    </cfRule>
    <cfRule type="containsText" dxfId="550" priority="34" operator="containsText" text="Pneu">
      <formula>NOT(ISERROR(SEARCH("Pneu",B5)))</formula>
    </cfRule>
    <cfRule type="containsText" dxfId="549" priority="35" operator="containsText" text="Vedação">
      <formula>NOT(ISERROR(SEARCH("Vedação",B5)))</formula>
    </cfRule>
    <cfRule type="containsText" dxfId="548" priority="36" operator="containsText" text="Retentor">
      <formula>NOT(ISERROR(SEARCH("Retentor",B5)))</formula>
    </cfRule>
    <cfRule type="containsText" dxfId="547" priority="37" operator="containsText" text="Motorredutor">
      <formula>NOT(ISERROR(SEARCH("Motorredutor",B5)))</formula>
    </cfRule>
    <cfRule type="containsText" dxfId="546" priority="38" operator="containsText" text="Redutor">
      <formula>NOT(ISERROR(SEARCH("Redutor",B5)))</formula>
    </cfRule>
    <cfRule type="containsText" dxfId="545" priority="39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DF106C0A-7912-43B7-828C-EF534673DCB3}">
      <formula1>$J$5:$J$18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0A9FA259-1E46-42F0-9679-30774CD00A8A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A55B423F-0213-4CEB-A8D8-A35F752CF68B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A849C32C-C481-4B41-A83E-64BF7247C9A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F3759FC7-2C1B-4EB0-BFAC-5A2C814D29FA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F3E36FE4-D493-42D8-B330-90983987F6AB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FDF8E780-9127-4232-9420-45F44ED9E4E6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E93E1061-1D09-4EED-9863-29B68804A1A6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AAE2BBDF-DE7F-4EB7-8010-9B80A5328266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CB3FB4FB-AF7B-4B47-B790-5BFC74500A85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AF14E7A0-5415-4955-A535-9B38BF310B33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2" operator="containsText" id="{2EB5C8E9-F601-40AA-8E3F-63FAE1D6D9A6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3" operator="containsText" id="{A17BF6C1-B95A-4C37-A8BE-70190638DBA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4" operator="containsText" id="{00E9ABBB-0815-4529-957F-2A9D5451B8FB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5" operator="containsText" id="{0937E210-A9C5-409E-8B87-1AB40B87779D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17" operator="containsText" id="{5B10A008-630C-4358-BDFC-F64DAC72B6F8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" operator="containsText" id="{BCDF5546-C824-4EA9-8BE5-338B8ACDE49A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3" operator="containsText" id="{34D6E0D3-1597-42D1-8EA7-D51A3FD8DC8A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4" operator="containsText" id="{0687705E-F5FD-4832-AC8A-C533FA76D406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5" operator="containsText" id="{06695B02-BE76-42FF-8739-21DCFC8817B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6" operator="containsText" id="{A6A72EBD-62EC-4A91-AD41-7AF61B16F9C7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27" operator="containsText" id="{D463B9F2-3A95-4E67-A550-1A72DDA19150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8" operator="containsText" id="{4854F05A-E8B9-4B3C-8D07-B3E9C9697C6D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30" operator="containsText" id="{43FDA44D-77C2-4E09-956A-353E2A2AC21C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B5:H109</xm:sqref>
        </x14:conditionalFormatting>
      </x14:conditionalFormatting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918E-9C32-4EEB-8639-0F600EEF36BE}">
  <sheetPr>
    <tabColor theme="7"/>
    <pageSetUpPr fitToPage="1"/>
  </sheetPr>
  <dimension ref="A1:P109"/>
  <sheetViews>
    <sheetView showGridLines="0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5" sqref="K5:L18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140625" bestFit="1" customWidth="1"/>
  </cols>
  <sheetData>
    <row r="1" spans="1:16" s="8" customFormat="1" x14ac:dyDescent="0.25">
      <c r="A1" s="57" t="s">
        <v>191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45019</v>
      </c>
      <c r="C3" s="43">
        <f>B3+1</f>
        <v>45020</v>
      </c>
      <c r="D3" s="43">
        <f t="shared" ref="D3:H3" si="0">C3+1</f>
        <v>45021</v>
      </c>
      <c r="E3" s="43">
        <f t="shared" si="0"/>
        <v>45022</v>
      </c>
      <c r="F3" s="43">
        <f t="shared" si="0"/>
        <v>45023</v>
      </c>
      <c r="G3" s="43">
        <f t="shared" si="0"/>
        <v>45024</v>
      </c>
      <c r="H3" s="43">
        <f t="shared" si="0"/>
        <v>45025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 t="shared" ref="K5:K18" si="3">COUNTIF($B$5:$H$109,J5)</f>
        <v>0</v>
      </c>
      <c r="L5" s="45">
        <f>K5/$K$19</f>
        <v>0</v>
      </c>
      <c r="M5" s="48">
        <f>B3</f>
        <v>45019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si="3"/>
        <v>1</v>
      </c>
      <c r="L6" s="45">
        <f t="shared" ref="L6:L18" si="4">K6/$K$19</f>
        <v>0.1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4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2</v>
      </c>
      <c r="L8" s="45">
        <f t="shared" si="4"/>
        <v>0.2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3</v>
      </c>
      <c r="L9" s="45">
        <f t="shared" si="4"/>
        <v>0.3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0</v>
      </c>
      <c r="L10" s="45">
        <f t="shared" si="4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1</v>
      </c>
      <c r="L11" s="45">
        <f t="shared" si="4"/>
        <v>0.1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1</v>
      </c>
      <c r="L13" s="45">
        <f t="shared" si="4"/>
        <v>0.1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0</v>
      </c>
      <c r="L14" s="45">
        <f t="shared" si="4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0</v>
      </c>
      <c r="L16" s="45">
        <f t="shared" si="4"/>
        <v>0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 t="s">
        <v>6</v>
      </c>
      <c r="J17" s="56" t="s">
        <v>192</v>
      </c>
      <c r="K17" s="4">
        <f t="shared" si="3"/>
        <v>0</v>
      </c>
      <c r="L17" s="45">
        <f t="shared" si="4"/>
        <v>0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s="53" t="s">
        <v>148</v>
      </c>
      <c r="K18" s="4">
        <f t="shared" si="3"/>
        <v>2</v>
      </c>
      <c r="L18" s="45">
        <f t="shared" si="4"/>
        <v>0.2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  <c r="J19" s="1" t="s">
        <v>1</v>
      </c>
      <c r="K19" s="1">
        <f>SUM(K5:K18)</f>
        <v>10</v>
      </c>
    </row>
    <row r="20" spans="1:12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2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2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2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 t="s">
        <v>6</v>
      </c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 t="s">
        <v>4</v>
      </c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 t="s">
        <v>7</v>
      </c>
    </row>
    <row r="27" spans="1:12" x14ac:dyDescent="0.25">
      <c r="A27" s="11" t="s">
        <v>42</v>
      </c>
      <c r="B27" s="16"/>
      <c r="C27" s="16"/>
      <c r="D27" s="16"/>
      <c r="E27" s="16"/>
      <c r="F27" s="16"/>
      <c r="G27" s="16" t="s">
        <v>7</v>
      </c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 t="s">
        <v>7</v>
      </c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173</v>
      </c>
      <c r="B61" s="16" t="s">
        <v>11</v>
      </c>
      <c r="C61" s="16"/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175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/>
      <c r="D64" s="16"/>
      <c r="E64" s="16"/>
      <c r="F64" s="16" t="s">
        <v>9</v>
      </c>
      <c r="G64" s="16"/>
      <c r="H64" s="16"/>
    </row>
    <row r="65" spans="1:8" x14ac:dyDescent="0.25">
      <c r="A65" s="11" t="s">
        <v>177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178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183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184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/>
      <c r="C99" s="16"/>
      <c r="D99" s="16"/>
      <c r="E99" s="16"/>
      <c r="F99" s="16"/>
      <c r="G99" s="16"/>
      <c r="H99" s="16" t="s">
        <v>148</v>
      </c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 t="s">
        <v>148</v>
      </c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108</v>
      </c>
      <c r="B109" s="16"/>
      <c r="C109" s="16"/>
      <c r="D109" s="16"/>
      <c r="E109" s="16"/>
      <c r="F109" s="16"/>
      <c r="G109" s="16"/>
      <c r="H109" s="16"/>
    </row>
  </sheetData>
  <mergeCells count="1">
    <mergeCell ref="A1:H2"/>
  </mergeCells>
  <conditionalFormatting sqref="A1:A1048576">
    <cfRule type="containsText" dxfId="544" priority="29" operator="containsText" text="Pivô ">
      <formula>NOT(ISERROR(SEARCH("Pivô ",A1)))</formula>
    </cfRule>
  </conditionalFormatting>
  <conditionalFormatting sqref="B5:H109">
    <cfRule type="cellIs" dxfId="521" priority="1" operator="equal">
      <formula>$J$17</formula>
    </cfRule>
    <cfRule type="cellIs" dxfId="519" priority="31" operator="equal">
      <formula>$J$18</formula>
    </cfRule>
    <cfRule type="cellIs" dxfId="518" priority="32" operator="equal">
      <formula>$J$15</formula>
    </cfRule>
    <cfRule type="containsText" dxfId="517" priority="33" operator="containsText" text="Cardã">
      <formula>NOT(ISERROR(SEARCH("Cardã",B5)))</formula>
    </cfRule>
    <cfRule type="containsText" dxfId="516" priority="34" operator="containsText" text="Pneu">
      <formula>NOT(ISERROR(SEARCH("Pneu",B5)))</formula>
    </cfRule>
    <cfRule type="containsText" dxfId="515" priority="35" operator="containsText" text="Vedação">
      <formula>NOT(ISERROR(SEARCH("Vedação",B5)))</formula>
    </cfRule>
    <cfRule type="containsText" dxfId="514" priority="36" operator="containsText" text="Retentor">
      <formula>NOT(ISERROR(SEARCH("Retentor",B5)))</formula>
    </cfRule>
    <cfRule type="containsText" dxfId="513" priority="37" operator="containsText" text="Motorredutor">
      <formula>NOT(ISERROR(SEARCH("Motorredutor",B5)))</formula>
    </cfRule>
    <cfRule type="containsText" dxfId="512" priority="38" operator="containsText" text="Redutor">
      <formula>NOT(ISERROR(SEARCH("Redutor",B5)))</formula>
    </cfRule>
    <cfRule type="containsText" dxfId="511" priority="39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B3A10C53-7619-4A4E-B9F3-7F736CAACE99}">
      <formula1>$J$5:$J$18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7CDB317D-35F6-43A2-81BC-EF1BE5C3A88B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9A5B360F-E08B-4364-8CB6-098B4CF000F6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9A509D93-498B-44CE-8285-1D44CB6C32D0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53DA4E1F-1DC7-4808-95FA-0B28DFE09DE8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5101D427-BAEE-42B2-8263-51D061FC0199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D7ACFF57-1EB2-4CA3-AE7C-7810A97965FB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B56DB4E9-3C0E-46F6-A58C-2FAA37FBB39D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F6CCC4B6-F38C-4677-8A7B-0B3D61FC3F58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DF35A225-87C6-41EE-95DC-160C4EE7549F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4E80FE25-597E-4644-986E-AA997995F1F3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2" operator="containsText" id="{FEE0E8B3-7C79-4AC0-939E-212D173B236C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3" operator="containsText" id="{D2644587-AD1E-40B0-BD1F-1615FF39F25F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4" operator="containsText" id="{277F3EB7-9B84-43FB-9355-393528A0DB23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5" operator="containsText" id="{C1BE2B15-20D7-4FBB-8674-357D49D8D6B1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17" operator="containsText" id="{46A58952-5ADA-4685-8D33-90E15D34ADB2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" operator="containsText" id="{BAC8C279-3007-4BD0-AD86-FAFE6558042A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3" operator="containsText" id="{D2BF97B8-D581-4A8E-B5A6-FB4140CFFAC5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4" operator="containsText" id="{A5DDE14D-4C64-4168-A7B1-D39F058F0118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5" operator="containsText" id="{9B41DF13-31CE-49A6-9FA6-1AF97FB8A8B1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6" operator="containsText" id="{CBB1CB70-0B90-40B9-91C9-A3C88A49C109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27" operator="containsText" id="{0B315EA0-2366-42A2-9DE9-25F3D7ED293A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8" operator="containsText" id="{5BD7D0EA-C7CF-4EE0-9534-3B66C6A38BC4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30" operator="containsText" id="{40D6E987-B7DA-4558-9C12-45EF0D23EA0F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B5:H109</xm:sqref>
        </x14:conditionalFormatting>
      </x14:conditionalFormatting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81F1F-AF7E-4054-A98B-6E6946980E72}">
  <sheetPr>
    <tabColor theme="7"/>
    <pageSetUpPr fitToPage="1"/>
  </sheetPr>
  <dimension ref="A1:P109"/>
  <sheetViews>
    <sheetView showGridLines="0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21" sqref="L21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140625" bestFit="1" customWidth="1"/>
  </cols>
  <sheetData>
    <row r="1" spans="1:16" s="8" customFormat="1" x14ac:dyDescent="0.25">
      <c r="A1" s="57" t="s">
        <v>191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45026</v>
      </c>
      <c r="C3" s="43">
        <f>B3+1</f>
        <v>45027</v>
      </c>
      <c r="D3" s="43">
        <f t="shared" ref="D3:H3" si="0">C3+1</f>
        <v>45028</v>
      </c>
      <c r="E3" s="43">
        <f t="shared" si="0"/>
        <v>45029</v>
      </c>
      <c r="F3" s="43">
        <f t="shared" si="0"/>
        <v>45030</v>
      </c>
      <c r="G3" s="43">
        <f t="shared" si="0"/>
        <v>45031</v>
      </c>
      <c r="H3" s="43">
        <f t="shared" si="0"/>
        <v>45032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 t="shared" ref="K5:K18" si="3">COUNTIF($B$5:$H$109,J5)</f>
        <v>0</v>
      </c>
      <c r="L5" s="45">
        <f>K5/$K$19</f>
        <v>0</v>
      </c>
      <c r="M5" s="48">
        <f>B3</f>
        <v>45026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si="3"/>
        <v>0</v>
      </c>
      <c r="L6" s="45">
        <f t="shared" ref="L6:L18" si="4">K6/$K$19</f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4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1</v>
      </c>
      <c r="L8" s="45">
        <f t="shared" si="4"/>
        <v>5.2631578947368418E-2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3</v>
      </c>
      <c r="L9" s="45">
        <f t="shared" si="4"/>
        <v>0.15789473684210525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0</v>
      </c>
      <c r="L10" s="45">
        <f t="shared" si="4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0</v>
      </c>
      <c r="L11" s="45">
        <f t="shared" si="4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15</v>
      </c>
      <c r="L13" s="45">
        <f t="shared" si="4"/>
        <v>0.78947368421052633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0</v>
      </c>
      <c r="L14" s="45">
        <f t="shared" si="4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0</v>
      </c>
      <c r="L16" s="45">
        <f t="shared" si="4"/>
        <v>0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6" t="s">
        <v>192</v>
      </c>
      <c r="K17" s="4">
        <f t="shared" si="3"/>
        <v>0</v>
      </c>
      <c r="L17" s="45">
        <f t="shared" si="4"/>
        <v>0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s="53" t="s">
        <v>148</v>
      </c>
      <c r="K18" s="4">
        <f t="shared" si="3"/>
        <v>0</v>
      </c>
      <c r="L18" s="45">
        <f t="shared" si="4"/>
        <v>0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  <c r="J19" s="1" t="s">
        <v>1</v>
      </c>
      <c r="K19" s="1">
        <f>SUM(K5:K18)</f>
        <v>19</v>
      </c>
    </row>
    <row r="20" spans="1:12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2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2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2" x14ac:dyDescent="0.25">
      <c r="A23" s="11" t="s">
        <v>38</v>
      </c>
      <c r="B23" s="16"/>
      <c r="C23" s="16"/>
      <c r="D23" s="16"/>
      <c r="E23" s="16" t="s">
        <v>7</v>
      </c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 t="s">
        <v>7</v>
      </c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 t="s">
        <v>11</v>
      </c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 t="s">
        <v>11</v>
      </c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 t="s">
        <v>11</v>
      </c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/>
      <c r="D62" s="16" t="s">
        <v>11</v>
      </c>
      <c r="E62" s="16"/>
      <c r="F62" s="16"/>
      <c r="G62" s="16"/>
      <c r="H62" s="16"/>
    </row>
    <row r="63" spans="1:8" x14ac:dyDescent="0.25">
      <c r="A63" s="11" t="s">
        <v>175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 t="s">
        <v>11</v>
      </c>
      <c r="D64" s="16"/>
      <c r="E64" s="16" t="s">
        <v>11</v>
      </c>
      <c r="F64" s="16"/>
      <c r="G64" s="16"/>
      <c r="H64" s="16"/>
    </row>
    <row r="65" spans="1:8" x14ac:dyDescent="0.25">
      <c r="A65" s="11" t="s">
        <v>177</v>
      </c>
      <c r="B65" s="16"/>
      <c r="C65" s="16"/>
      <c r="D65" s="16" t="s">
        <v>11</v>
      </c>
      <c r="E65" s="16"/>
      <c r="F65" s="16"/>
      <c r="G65" s="16"/>
      <c r="H65" s="16"/>
    </row>
    <row r="66" spans="1:8" x14ac:dyDescent="0.25">
      <c r="A66" s="11" t="s">
        <v>178</v>
      </c>
      <c r="B66" s="16"/>
      <c r="C66" s="16"/>
      <c r="D66" s="16" t="s">
        <v>11</v>
      </c>
      <c r="E66" s="16"/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 t="s">
        <v>11</v>
      </c>
      <c r="D70" s="16"/>
      <c r="E70" s="16" t="s">
        <v>11</v>
      </c>
      <c r="F70" s="16"/>
      <c r="G70" s="16"/>
      <c r="H70" s="16"/>
    </row>
    <row r="71" spans="1:8" x14ac:dyDescent="0.25">
      <c r="A71" s="11" t="s">
        <v>183</v>
      </c>
      <c r="B71" s="16"/>
      <c r="C71" s="16" t="s">
        <v>11</v>
      </c>
      <c r="D71" s="16"/>
      <c r="E71" s="16" t="s">
        <v>11</v>
      </c>
      <c r="F71" s="16"/>
      <c r="G71" s="16"/>
      <c r="H71" s="16"/>
    </row>
    <row r="72" spans="1:8" x14ac:dyDescent="0.25">
      <c r="A72" s="11" t="s">
        <v>184</v>
      </c>
      <c r="B72" s="16"/>
      <c r="C72" s="16" t="s">
        <v>11</v>
      </c>
      <c r="D72" s="16"/>
      <c r="E72" s="16" t="s">
        <v>11</v>
      </c>
      <c r="F72" s="16"/>
      <c r="G72" s="16"/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 t="s">
        <v>7</v>
      </c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 t="s">
        <v>6</v>
      </c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 t="s">
        <v>11</v>
      </c>
      <c r="E98" s="16"/>
      <c r="F98" s="16"/>
      <c r="G98" s="16"/>
      <c r="H98" s="16"/>
    </row>
    <row r="99" spans="1:8" x14ac:dyDescent="0.25">
      <c r="A99" s="11" t="s">
        <v>98</v>
      </c>
      <c r="B99" s="16"/>
      <c r="C99" s="16"/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108</v>
      </c>
      <c r="B109" s="16"/>
      <c r="C109" s="16"/>
      <c r="D109" s="16"/>
      <c r="E109" s="16"/>
      <c r="F109" s="16"/>
      <c r="G109" s="16"/>
      <c r="H109" s="16"/>
    </row>
  </sheetData>
  <mergeCells count="1">
    <mergeCell ref="A1:H2"/>
  </mergeCells>
  <conditionalFormatting sqref="A1:A1048576">
    <cfRule type="containsText" dxfId="510" priority="24" operator="containsText" text="Pivô ">
      <formula>NOT(ISERROR(SEARCH("Pivô ",A1)))</formula>
    </cfRule>
  </conditionalFormatting>
  <conditionalFormatting sqref="B5:H109">
    <cfRule type="cellIs" dxfId="487" priority="1" operator="equal">
      <formula>$J$17</formula>
    </cfRule>
    <cfRule type="cellIs" dxfId="485" priority="26" operator="equal">
      <formula>$J$18</formula>
    </cfRule>
    <cfRule type="cellIs" dxfId="484" priority="27" operator="equal">
      <formula>$J$15</formula>
    </cfRule>
    <cfRule type="containsText" dxfId="483" priority="28" operator="containsText" text="Cardã">
      <formula>NOT(ISERROR(SEARCH("Cardã",B5)))</formula>
    </cfRule>
    <cfRule type="containsText" dxfId="482" priority="29" operator="containsText" text="Pneu">
      <formula>NOT(ISERROR(SEARCH("Pneu",B5)))</formula>
    </cfRule>
    <cfRule type="containsText" dxfId="481" priority="30" operator="containsText" text="Vedação">
      <formula>NOT(ISERROR(SEARCH("Vedação",B5)))</formula>
    </cfRule>
    <cfRule type="containsText" dxfId="480" priority="31" operator="containsText" text="Retentor">
      <formula>NOT(ISERROR(SEARCH("Retentor",B5)))</formula>
    </cfRule>
    <cfRule type="containsText" dxfId="479" priority="32" operator="containsText" text="Motorredutor">
      <formula>NOT(ISERROR(SEARCH("Motorredutor",B5)))</formula>
    </cfRule>
    <cfRule type="containsText" dxfId="478" priority="33" operator="containsText" text="Redutor">
      <formula>NOT(ISERROR(SEARCH("Redutor",B5)))</formula>
    </cfRule>
    <cfRule type="containsText" dxfId="477" priority="34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C1940744-06F8-409E-A287-B98A3D505055}">
      <formula1>$J$5:$J$18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F5E7046C-1BE8-43C6-81EA-C3D446A41A3B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E79BD866-C969-4A7E-BA6A-DCCE5B809A48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58817B41-1EA1-4EAA-AF33-1465DEA7D870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D86AABFC-9688-435B-9AA0-E669A0F2E359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FB923546-7058-4A92-A518-D4DCEF078FCA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3CB966E9-895C-40D0-8E51-415B5AB804BB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5188389D-CC03-407E-B970-E86B9E5F8C36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AC30C097-149B-4EFA-8F42-C0640B9A4D35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BCF7FD93-2FF2-4D36-B1A0-AD5F829381F0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ECB5DC62-16DC-49FE-B838-0F71E2EDC2C3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2" operator="containsText" id="{0F289980-B8D0-411F-90F2-06ED5D7FD96A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3" operator="containsText" id="{4A8ED613-898E-4531-BB93-CA7DCF87B5F6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4" operator="containsText" id="{9E70A3F8-D9BB-4C91-9FD6-8816D53FF51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5" operator="containsText" id="{03D8DE83-1EAF-43A4-B07B-1440F9E4C507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16" operator="containsText" id="{A15C7E8C-0FE2-4535-AF27-3F0ADEB80231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" operator="containsText" id="{D3B7EF39-5BD5-4900-B826-FB677FE0344D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8" operator="containsText" id="{8FE7B6DF-8043-48D8-9D00-8BFEF661A493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" operator="containsText" id="{ECABC813-709E-4E71-B9A7-46E19802DF56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0" operator="containsText" id="{4245013E-77AE-45EF-934A-66803CA46E40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1" operator="containsText" id="{7399CF8D-3943-41B6-B4E7-D9B3F008C907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22" operator="containsText" id="{6C9B4B0E-2DB5-4A4D-9AF0-C2899778AA42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3" operator="containsText" id="{F87E2330-5411-44FE-8BBF-103C2ADD0377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25" operator="containsText" id="{97F8DF20-E2A8-48BC-A803-BA0405EAA6D0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B5:H109</xm:sqref>
        </x14:conditionalFormatting>
      </x14:conditionalFormatting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27AD-B012-4794-BBC0-D6A067E2DBEF}">
  <sheetPr>
    <tabColor theme="7"/>
    <pageSetUpPr fitToPage="1"/>
  </sheetPr>
  <dimension ref="A1:P109"/>
  <sheetViews>
    <sheetView showGridLines="0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5" sqref="K5:L18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140625" bestFit="1" customWidth="1"/>
  </cols>
  <sheetData>
    <row r="1" spans="1:16" s="8" customFormat="1" x14ac:dyDescent="0.25">
      <c r="A1" s="57" t="s">
        <v>191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45033</v>
      </c>
      <c r="C3" s="43">
        <f>B3+1</f>
        <v>45034</v>
      </c>
      <c r="D3" s="43">
        <f t="shared" ref="D3:H3" si="0">C3+1</f>
        <v>45035</v>
      </c>
      <c r="E3" s="43">
        <f t="shared" si="0"/>
        <v>45036</v>
      </c>
      <c r="F3" s="43">
        <f t="shared" si="0"/>
        <v>45037</v>
      </c>
      <c r="G3" s="43">
        <f t="shared" si="0"/>
        <v>45038</v>
      </c>
      <c r="H3" s="43">
        <f t="shared" si="0"/>
        <v>45039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 t="shared" ref="K5:K18" si="3">COUNTIF($B$5:$H$109,J5)</f>
        <v>0</v>
      </c>
      <c r="L5" s="45">
        <f>K5/$K$19</f>
        <v>0</v>
      </c>
      <c r="M5" s="48">
        <f>B3</f>
        <v>45033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si="3"/>
        <v>0</v>
      </c>
      <c r="L6" s="45">
        <f t="shared" ref="L6:L18" si="4">K6/$K$19</f>
        <v>0</v>
      </c>
    </row>
    <row r="7" spans="1:16" x14ac:dyDescent="0.25">
      <c r="A7" s="11" t="s">
        <v>21</v>
      </c>
      <c r="B7" s="16"/>
      <c r="C7" s="16" t="s">
        <v>6</v>
      </c>
      <c r="D7" s="16"/>
      <c r="E7" s="16"/>
      <c r="F7" s="16"/>
      <c r="G7" s="16"/>
      <c r="H7" s="16"/>
      <c r="J7" s="19" t="s">
        <v>5</v>
      </c>
      <c r="K7" s="4">
        <f t="shared" si="3"/>
        <v>2</v>
      </c>
      <c r="L7" s="45">
        <f t="shared" si="4"/>
        <v>0.16666666666666666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2</v>
      </c>
      <c r="L8" s="45">
        <f t="shared" si="4"/>
        <v>0.16666666666666666</v>
      </c>
    </row>
    <row r="9" spans="1:16" x14ac:dyDescent="0.25">
      <c r="A9" s="11" t="s">
        <v>23</v>
      </c>
      <c r="B9" s="16"/>
      <c r="C9" s="16" t="s">
        <v>6</v>
      </c>
      <c r="D9" s="16"/>
      <c r="E9" s="16"/>
      <c r="F9" s="16"/>
      <c r="G9" s="16"/>
      <c r="H9" s="16"/>
      <c r="J9" s="21" t="s">
        <v>7</v>
      </c>
      <c r="K9" s="4">
        <f t="shared" si="3"/>
        <v>2</v>
      </c>
      <c r="L9" s="45">
        <f t="shared" si="4"/>
        <v>0.16666666666666666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0</v>
      </c>
      <c r="L10" s="45">
        <f t="shared" si="4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0</v>
      </c>
      <c r="L11" s="45">
        <f t="shared" si="4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0</v>
      </c>
      <c r="L13" s="45">
        <f t="shared" si="4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0</v>
      </c>
      <c r="L14" s="45">
        <f t="shared" si="4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0</v>
      </c>
      <c r="L16" s="45">
        <f t="shared" si="4"/>
        <v>0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6" t="s">
        <v>192</v>
      </c>
      <c r="K17" s="4">
        <f t="shared" si="3"/>
        <v>1</v>
      </c>
      <c r="L17" s="45">
        <f t="shared" si="4"/>
        <v>8.3333333333333329E-2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s="53" t="s">
        <v>148</v>
      </c>
      <c r="K18" s="4">
        <f t="shared" si="3"/>
        <v>5</v>
      </c>
      <c r="L18" s="45">
        <f t="shared" si="4"/>
        <v>0.41666666666666669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  <c r="J19" s="1" t="s">
        <v>1</v>
      </c>
      <c r="K19" s="1">
        <f>SUM(K5:K18)</f>
        <v>12</v>
      </c>
    </row>
    <row r="20" spans="1:12" x14ac:dyDescent="0.25">
      <c r="A20" s="11" t="s">
        <v>35</v>
      </c>
      <c r="B20" s="16"/>
      <c r="C20" s="16"/>
      <c r="D20" s="16" t="s">
        <v>7</v>
      </c>
      <c r="E20" s="16"/>
      <c r="F20" s="16"/>
      <c r="G20" s="16"/>
      <c r="H20" s="16"/>
    </row>
    <row r="21" spans="1:12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2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2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 t="s">
        <v>7</v>
      </c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 t="s">
        <v>5</v>
      </c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 t="s">
        <v>5</v>
      </c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 t="s">
        <v>192</v>
      </c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 t="s">
        <v>148</v>
      </c>
      <c r="H61" s="16"/>
    </row>
    <row r="62" spans="1:8" x14ac:dyDescent="0.25">
      <c r="A62" s="11" t="s">
        <v>174</v>
      </c>
      <c r="B62" s="16"/>
      <c r="C62" s="16"/>
      <c r="D62" s="16"/>
      <c r="E62" s="16"/>
      <c r="F62" s="16"/>
      <c r="G62" s="16" t="s">
        <v>148</v>
      </c>
      <c r="H62" s="16"/>
    </row>
    <row r="63" spans="1:8" x14ac:dyDescent="0.25">
      <c r="A63" s="11" t="s">
        <v>175</v>
      </c>
      <c r="B63" s="16"/>
      <c r="C63" s="16"/>
      <c r="D63" s="16"/>
      <c r="E63" s="16"/>
      <c r="F63" s="16"/>
      <c r="G63" s="16" t="s">
        <v>148</v>
      </c>
      <c r="H63" s="16"/>
    </row>
    <row r="64" spans="1:8" x14ac:dyDescent="0.25">
      <c r="A64" s="11" t="s">
        <v>176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177</v>
      </c>
      <c r="B65" s="16"/>
      <c r="C65" s="16"/>
      <c r="D65" s="16"/>
      <c r="E65" s="16"/>
      <c r="F65" s="16"/>
      <c r="G65" s="16" t="s">
        <v>148</v>
      </c>
      <c r="H65" s="16"/>
    </row>
    <row r="66" spans="1:8" x14ac:dyDescent="0.25">
      <c r="A66" s="11" t="s">
        <v>178</v>
      </c>
      <c r="B66" s="16"/>
      <c r="C66" s="16"/>
      <c r="D66" s="16"/>
      <c r="E66" s="16"/>
      <c r="F66" s="16"/>
      <c r="G66" s="16" t="s">
        <v>148</v>
      </c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183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184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/>
      <c r="C99" s="16"/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108</v>
      </c>
      <c r="B109" s="16"/>
      <c r="C109" s="16"/>
      <c r="D109" s="16"/>
      <c r="E109" s="16"/>
      <c r="F109" s="16"/>
      <c r="G109" s="16"/>
      <c r="H109" s="16"/>
    </row>
  </sheetData>
  <mergeCells count="1">
    <mergeCell ref="A1:H2"/>
  </mergeCells>
  <conditionalFormatting sqref="A1:A1048576">
    <cfRule type="containsText" dxfId="476" priority="24" operator="containsText" text="Pivô ">
      <formula>NOT(ISERROR(SEARCH("Pivô ",A1)))</formula>
    </cfRule>
  </conditionalFormatting>
  <conditionalFormatting sqref="B5:H109">
    <cfRule type="cellIs" dxfId="453" priority="1" operator="equal">
      <formula>$J$17</formula>
    </cfRule>
    <cfRule type="cellIs" dxfId="451" priority="26" operator="equal">
      <formula>$J$18</formula>
    </cfRule>
    <cfRule type="cellIs" dxfId="450" priority="27" operator="equal">
      <formula>$J$15</formula>
    </cfRule>
    <cfRule type="containsText" dxfId="449" priority="28" operator="containsText" text="Cardã">
      <formula>NOT(ISERROR(SEARCH("Cardã",B5)))</formula>
    </cfRule>
    <cfRule type="containsText" dxfId="448" priority="29" operator="containsText" text="Pneu">
      <formula>NOT(ISERROR(SEARCH("Pneu",B5)))</formula>
    </cfRule>
    <cfRule type="containsText" dxfId="447" priority="30" operator="containsText" text="Vedação">
      <formula>NOT(ISERROR(SEARCH("Vedação",B5)))</formula>
    </cfRule>
    <cfRule type="containsText" dxfId="446" priority="31" operator="containsText" text="Retentor">
      <formula>NOT(ISERROR(SEARCH("Retentor",B5)))</formula>
    </cfRule>
    <cfRule type="containsText" dxfId="445" priority="32" operator="containsText" text="Motorredutor">
      <formula>NOT(ISERROR(SEARCH("Motorredutor",B5)))</formula>
    </cfRule>
    <cfRule type="containsText" dxfId="444" priority="33" operator="containsText" text="Redutor">
      <formula>NOT(ISERROR(SEARCH("Redutor",B5)))</formula>
    </cfRule>
    <cfRule type="containsText" dxfId="443" priority="34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E83CD9F2-24F6-4266-BFC8-0FFEA6482BE3}">
      <formula1>$J$5:$J$18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E795579D-0189-4530-9203-4947BF9879DE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2D073D9B-7133-43FA-A963-8CFCEF8171A0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A23A1931-433C-459A-B2CD-1367F4182E86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424E3C3E-4047-4A81-88DD-26B6428BCC08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2513FF51-1C2C-4676-918E-255E08D10D00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741FFFFD-A9FA-445D-BCD0-A992D4B71E0B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B709E4F5-5520-492F-A062-C5F176C7F6D3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85BDF130-0E5F-440B-908A-3ED8142B17F1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03B7FF32-5060-4D80-AB7F-80CFA6A45BB3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D1786E6A-43BD-4E9E-8D13-933B847A1C0A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2" operator="containsText" id="{4FD9F855-6356-4A73-B0D7-1B0C7F06258B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3" operator="containsText" id="{CB3683CD-6942-4533-9BDE-FF8905C700EE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4" operator="containsText" id="{311DEA92-8411-43D6-B480-3B3A223EC06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5" operator="containsText" id="{2646E01E-5A64-4757-A2DD-E89243A850CF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16" operator="containsText" id="{EE76E72E-147B-435C-8F6B-447B09FC026C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" operator="containsText" id="{2DF1AC44-2A53-4454-8B4A-0AF9AF9D7748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8" operator="containsText" id="{B49519C9-B5CF-4BBF-8F2C-6481E33F6081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" operator="containsText" id="{C714E984-56D5-4A54-9863-5256E84A5C6E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0" operator="containsText" id="{70CAF565-E314-4778-9CF3-E0D5CE19BD1B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1" operator="containsText" id="{2BA1163C-F06C-45DE-9737-6DF7C1D5D225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22" operator="containsText" id="{42D4D913-930E-477D-84DA-4ADD635121D5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3" operator="containsText" id="{4E2471DF-D909-49EF-8DD1-B9B11A752136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25" operator="containsText" id="{D455C6B0-B0CD-44AD-8A8B-EAE57855596F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B5:H109</xm:sqref>
        </x14:conditionalFormatting>
      </x14:conditionalFormatting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496F-3609-4FDF-BC3C-82F2C049510B}">
  <sheetPr>
    <tabColor theme="7"/>
    <pageSetUpPr fitToPage="1"/>
  </sheetPr>
  <dimension ref="A1:P109"/>
  <sheetViews>
    <sheetView showGridLines="0" zoomScale="85" zoomScaleNormal="85" workbookViewId="0">
      <pane xSplit="1" ySplit="4" topLeftCell="K5" activePane="bottomRight" state="frozen"/>
      <selection pane="topRight" activeCell="B1" sqref="B1"/>
      <selection pane="bottomLeft" activeCell="A5" sqref="A5"/>
      <selection pane="bottomRight" activeCell="K5" sqref="K5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140625" bestFit="1" customWidth="1"/>
  </cols>
  <sheetData>
    <row r="1" spans="1:16" s="8" customFormat="1" x14ac:dyDescent="0.25">
      <c r="A1" s="57" t="s">
        <v>191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45040</v>
      </c>
      <c r="C3" s="43">
        <f>B3+1</f>
        <v>45041</v>
      </c>
      <c r="D3" s="43">
        <f t="shared" ref="D3:H3" si="0">C3+1</f>
        <v>45042</v>
      </c>
      <c r="E3" s="43">
        <f t="shared" si="0"/>
        <v>45043</v>
      </c>
      <c r="F3" s="43">
        <f t="shared" si="0"/>
        <v>45044</v>
      </c>
      <c r="G3" s="43">
        <f t="shared" si="0"/>
        <v>45045</v>
      </c>
      <c r="H3" s="43">
        <f t="shared" si="0"/>
        <v>45046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 t="shared" ref="K5:K18" si="3">COUNTIF($B$5:$H$109,J5)</f>
        <v>0</v>
      </c>
      <c r="L5" s="45">
        <f>K5/$K$19</f>
        <v>0</v>
      </c>
      <c r="M5" s="48">
        <f>B3</f>
        <v>45040</v>
      </c>
    </row>
    <row r="6" spans="1:16" x14ac:dyDescent="0.25">
      <c r="A6" s="11" t="s">
        <v>20</v>
      </c>
      <c r="B6" s="16" t="s">
        <v>192</v>
      </c>
      <c r="C6" s="16"/>
      <c r="D6" s="16"/>
      <c r="E6" s="16" t="s">
        <v>7</v>
      </c>
      <c r="F6" s="16"/>
      <c r="G6" s="16"/>
      <c r="H6" s="16"/>
      <c r="J6" s="18" t="s">
        <v>4</v>
      </c>
      <c r="K6" s="4">
        <f t="shared" si="3"/>
        <v>2</v>
      </c>
      <c r="L6" s="45">
        <f t="shared" ref="L6:L18" si="4">K6/$K$19</f>
        <v>7.407407407407407E-2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4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4</v>
      </c>
      <c r="L8" s="45">
        <f t="shared" si="4"/>
        <v>0.14814814814814814</v>
      </c>
    </row>
    <row r="9" spans="1:16" x14ac:dyDescent="0.25">
      <c r="A9" s="11" t="s">
        <v>23</v>
      </c>
      <c r="B9" s="16" t="s">
        <v>192</v>
      </c>
      <c r="C9" s="16"/>
      <c r="D9" s="16"/>
      <c r="E9" s="16"/>
      <c r="F9" s="16"/>
      <c r="G9" s="16"/>
      <c r="H9" s="16"/>
      <c r="J9" s="21" t="s">
        <v>7</v>
      </c>
      <c r="K9" s="4">
        <f t="shared" si="3"/>
        <v>6</v>
      </c>
      <c r="L9" s="45">
        <f t="shared" si="4"/>
        <v>0.22222222222222221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0</v>
      </c>
      <c r="L10" s="45">
        <f t="shared" si="4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0</v>
      </c>
      <c r="L11" s="45">
        <f t="shared" si="4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0</v>
      </c>
      <c r="L13" s="45">
        <f t="shared" si="4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0</v>
      </c>
      <c r="L14" s="45">
        <f t="shared" si="4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1</v>
      </c>
      <c r="L16" s="45">
        <f t="shared" si="4"/>
        <v>3.7037037037037035E-2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6" t="s">
        <v>192</v>
      </c>
      <c r="K17" s="4">
        <f t="shared" si="3"/>
        <v>14</v>
      </c>
      <c r="L17" s="45">
        <f t="shared" si="4"/>
        <v>0.51851851851851849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s="53" t="s">
        <v>148</v>
      </c>
      <c r="K18" s="4">
        <f t="shared" si="3"/>
        <v>0</v>
      </c>
      <c r="L18" s="45">
        <f t="shared" si="4"/>
        <v>0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  <c r="J19" s="1" t="s">
        <v>1</v>
      </c>
      <c r="K19" s="1">
        <f>SUM(K5:K18)</f>
        <v>27</v>
      </c>
    </row>
    <row r="20" spans="1:12" x14ac:dyDescent="0.25">
      <c r="A20" s="11" t="s">
        <v>35</v>
      </c>
      <c r="B20" s="16"/>
      <c r="C20" s="16"/>
      <c r="D20" s="16"/>
      <c r="E20" s="16"/>
      <c r="F20" s="16"/>
      <c r="G20" s="16"/>
      <c r="H20" s="16"/>
    </row>
    <row r="21" spans="1:12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2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2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 t="s">
        <v>192</v>
      </c>
      <c r="C29" s="16" t="s">
        <v>6</v>
      </c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 t="s">
        <v>192</v>
      </c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 t="s">
        <v>4</v>
      </c>
      <c r="E32" s="16" t="s">
        <v>4</v>
      </c>
      <c r="F32" s="16"/>
      <c r="G32" s="16"/>
      <c r="H32" s="16"/>
    </row>
    <row r="33" spans="1:8" x14ac:dyDescent="0.25">
      <c r="A33" s="11" t="s">
        <v>48</v>
      </c>
      <c r="B33" s="16" t="s">
        <v>192</v>
      </c>
      <c r="C33" s="16" t="s">
        <v>7</v>
      </c>
      <c r="D33" s="16" t="s">
        <v>7</v>
      </c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 t="s">
        <v>192</v>
      </c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 t="s">
        <v>6</v>
      </c>
      <c r="D39" s="16"/>
      <c r="E39" s="16"/>
      <c r="F39" s="16"/>
      <c r="G39" s="16"/>
      <c r="H39" s="16"/>
    </row>
    <row r="40" spans="1:8" x14ac:dyDescent="0.25">
      <c r="A40" s="11" t="s">
        <v>55</v>
      </c>
      <c r="B40" s="16" t="s">
        <v>192</v>
      </c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 t="s">
        <v>192</v>
      </c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 t="s">
        <v>7</v>
      </c>
      <c r="E52" s="16"/>
      <c r="F52" s="16"/>
      <c r="G52" s="16" t="s">
        <v>7</v>
      </c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175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177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178</v>
      </c>
      <c r="B66" s="16"/>
      <c r="C66" s="16"/>
      <c r="D66" s="16"/>
      <c r="E66" s="16"/>
      <c r="F66" s="16" t="s">
        <v>6</v>
      </c>
      <c r="G66" s="16"/>
      <c r="H66" s="16" t="s">
        <v>7</v>
      </c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 t="s">
        <v>6</v>
      </c>
      <c r="D70" s="16"/>
      <c r="E70" s="16" t="s">
        <v>190</v>
      </c>
      <c r="F70" s="16"/>
      <c r="G70" s="16"/>
      <c r="H70" s="16"/>
    </row>
    <row r="71" spans="1:8" x14ac:dyDescent="0.25">
      <c r="A71" s="11" t="s">
        <v>183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184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 t="s">
        <v>192</v>
      </c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 t="s">
        <v>192</v>
      </c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 t="s">
        <v>192</v>
      </c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 t="s">
        <v>192</v>
      </c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/>
      <c r="C99" s="16"/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 t="s">
        <v>192</v>
      </c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 t="s">
        <v>192</v>
      </c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108</v>
      </c>
      <c r="B109" s="16"/>
      <c r="C109" s="16"/>
      <c r="D109" s="16"/>
      <c r="E109" s="16"/>
      <c r="F109" s="16"/>
      <c r="G109" s="16"/>
      <c r="H109" s="16"/>
    </row>
  </sheetData>
  <mergeCells count="1">
    <mergeCell ref="A1:H2"/>
  </mergeCells>
  <conditionalFormatting sqref="A1:A1048576">
    <cfRule type="containsText" dxfId="442" priority="24" operator="containsText" text="Pivô ">
      <formula>NOT(ISERROR(SEARCH("Pivô ",A1)))</formula>
    </cfRule>
  </conditionalFormatting>
  <conditionalFormatting sqref="B5:H109">
    <cfRule type="cellIs" dxfId="419" priority="1" operator="equal">
      <formula>$J$17</formula>
    </cfRule>
    <cfRule type="cellIs" dxfId="417" priority="26" operator="equal">
      <formula>$J$18</formula>
    </cfRule>
    <cfRule type="cellIs" dxfId="416" priority="27" operator="equal">
      <formula>$J$15</formula>
    </cfRule>
    <cfRule type="containsText" dxfId="415" priority="28" operator="containsText" text="Cardã">
      <formula>NOT(ISERROR(SEARCH("Cardã",B5)))</formula>
    </cfRule>
    <cfRule type="containsText" dxfId="414" priority="29" operator="containsText" text="Pneu">
      <formula>NOT(ISERROR(SEARCH("Pneu",B5)))</formula>
    </cfRule>
    <cfRule type="containsText" dxfId="413" priority="30" operator="containsText" text="Vedação">
      <formula>NOT(ISERROR(SEARCH("Vedação",B5)))</formula>
    </cfRule>
    <cfRule type="containsText" dxfId="412" priority="31" operator="containsText" text="Retentor">
      <formula>NOT(ISERROR(SEARCH("Retentor",B5)))</formula>
    </cfRule>
    <cfRule type="containsText" dxfId="411" priority="32" operator="containsText" text="Motorredutor">
      <formula>NOT(ISERROR(SEARCH("Motorredutor",B5)))</formula>
    </cfRule>
    <cfRule type="containsText" dxfId="410" priority="33" operator="containsText" text="Redutor">
      <formula>NOT(ISERROR(SEARCH("Redutor",B5)))</formula>
    </cfRule>
    <cfRule type="containsText" dxfId="409" priority="34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53D241F5-F85E-49E9-ACB0-96171270A0BF}">
      <formula1>$J$5:$J$18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9FE4ED4-14ED-453B-92E5-23DD39C02E21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431B226E-44C7-4B2A-8C47-FBF6F2557435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8DBA5F96-370E-45DD-A264-E2B664E524F3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A8814C94-E3E3-4F5F-8F8C-866BF07260B8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AD9E8923-5A0C-40A0-9DA4-1EF568C530D6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C2C70A18-BEEC-49BA-B0B5-1883462E2AB9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92BD3531-DE7B-458C-96F8-AB5C1B2B4887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014EBCB8-2025-45D5-9508-76326BBFC68D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86E3D4A9-2D92-4E19-A398-20B63B8E777F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D18B4C4A-71B2-486A-8E29-CE59E6CE6062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2" operator="containsText" id="{6B136554-24E0-458D-A0EE-A4829688C0F2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3" operator="containsText" id="{0AA1653F-5A47-4310-8AFA-C6DAC5DD9838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4" operator="containsText" id="{ACA3BD95-7BC4-44FE-9A19-9B99E0A8EE64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5" operator="containsText" id="{4607020D-856B-42C5-92BB-AF3D2A4CBA1C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16" operator="containsText" id="{C3E9DAD1-0ADF-498F-8FF7-C3DFD4988AA4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" operator="containsText" id="{A6EA1A6A-635A-45E2-848F-155247DED6B5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8" operator="containsText" id="{9F4D0040-26C6-40BA-AF5E-971BDAD4D868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" operator="containsText" id="{A634CFF2-2AD5-447A-A878-FCC2DB1D221C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0" operator="containsText" id="{AC06DB53-467D-43BB-8169-8EEAB532130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1" operator="containsText" id="{E5046DA2-555A-43A0-B217-052DA561E3BA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22" operator="containsText" id="{2293B7C7-F35B-4385-A3E1-373DB6518B74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3" operator="containsText" id="{E06BCD46-8714-45CA-8071-CB1A67C34EB1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25" operator="containsText" id="{31E47A54-7B7C-450B-A483-D70FD868E346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B5:H109</xm:sqref>
        </x14:conditionalFormatting>
      </x14:conditionalFormatting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18C1-CA60-469F-9C98-2E509E88B0E5}">
  <sheetPr>
    <tabColor theme="7"/>
    <pageSetUpPr fitToPage="1"/>
  </sheetPr>
  <dimension ref="A1:P109"/>
  <sheetViews>
    <sheetView showGridLines="0" zoomScale="115" zoomScaleNormal="115" workbookViewId="0">
      <pane xSplit="1" ySplit="4" topLeftCell="B35" activePane="bottomRight" state="frozen"/>
      <selection pane="topRight" activeCell="B1" sqref="B1"/>
      <selection pane="bottomLeft" activeCell="A5" sqref="A5"/>
      <selection pane="bottomRight" activeCell="G14" sqref="G14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85546875" bestFit="1" customWidth="1"/>
  </cols>
  <sheetData>
    <row r="1" spans="1:16" s="8" customFormat="1" x14ac:dyDescent="0.25">
      <c r="A1" s="57" t="s">
        <v>191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45047</v>
      </c>
      <c r="C3" s="43">
        <f>B3+1</f>
        <v>45048</v>
      </c>
      <c r="D3" s="43">
        <f t="shared" ref="D3:H3" si="0">C3+1</f>
        <v>45049</v>
      </c>
      <c r="E3" s="43">
        <f t="shared" si="0"/>
        <v>45050</v>
      </c>
      <c r="F3" s="43">
        <f t="shared" si="0"/>
        <v>45051</v>
      </c>
      <c r="G3" s="43">
        <f t="shared" si="0"/>
        <v>45052</v>
      </c>
      <c r="H3" s="43">
        <f t="shared" si="0"/>
        <v>45053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 t="shared" ref="K5:K18" si="3">COUNTIF($B$5:$H$109,J5)</f>
        <v>4</v>
      </c>
      <c r="L5" s="45">
        <f t="shared" ref="L5:L19" si="4">K5/$K$20</f>
        <v>9.0909090909090912E-2</v>
      </c>
      <c r="M5" s="48">
        <f>B3</f>
        <v>45047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si="3"/>
        <v>0</v>
      </c>
      <c r="L6" s="45">
        <f t="shared" si="4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4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3</v>
      </c>
      <c r="L8" s="45">
        <f t="shared" si="4"/>
        <v>6.8181818181818177E-2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6</v>
      </c>
      <c r="L9" s="45">
        <f t="shared" si="4"/>
        <v>0.13636363636363635</v>
      </c>
      <c r="P9" s="2"/>
    </row>
    <row r="10" spans="1:16" x14ac:dyDescent="0.25">
      <c r="A10" s="11" t="s">
        <v>24</v>
      </c>
      <c r="B10" s="16"/>
      <c r="C10" s="16" t="s">
        <v>6</v>
      </c>
      <c r="D10" s="16"/>
      <c r="E10" s="16" t="s">
        <v>7</v>
      </c>
      <c r="F10" s="16" t="s">
        <v>7</v>
      </c>
      <c r="G10" s="16"/>
      <c r="H10" s="16"/>
      <c r="J10" s="22" t="s">
        <v>8</v>
      </c>
      <c r="K10" s="4">
        <f t="shared" si="3"/>
        <v>0</v>
      </c>
      <c r="L10" s="45">
        <f t="shared" si="4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2</v>
      </c>
      <c r="L11" s="45">
        <f t="shared" si="4"/>
        <v>4.5454545454545456E-2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 t="s">
        <v>112</v>
      </c>
      <c r="J13" s="46" t="s">
        <v>11</v>
      </c>
      <c r="K13" s="4">
        <f t="shared" si="3"/>
        <v>0</v>
      </c>
      <c r="L13" s="45">
        <f t="shared" si="4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0</v>
      </c>
      <c r="L14" s="45">
        <f t="shared" si="4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1</v>
      </c>
      <c r="L16" s="45">
        <f t="shared" si="4"/>
        <v>2.2727272727272728E-2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6" t="s">
        <v>192</v>
      </c>
      <c r="K17" s="4">
        <f t="shared" si="3"/>
        <v>26</v>
      </c>
      <c r="L17" s="45">
        <f t="shared" si="4"/>
        <v>0.59090909090909094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t="s">
        <v>193</v>
      </c>
      <c r="K18" s="4">
        <f t="shared" si="3"/>
        <v>2</v>
      </c>
      <c r="L18" s="45">
        <f t="shared" si="4"/>
        <v>4.5454545454545456E-2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  <c r="J19" s="53" t="s">
        <v>148</v>
      </c>
      <c r="K19" s="4">
        <f>COUNTIF($B$5:$H$109,J19)</f>
        <v>0</v>
      </c>
      <c r="L19" s="45">
        <f t="shared" si="4"/>
        <v>0</v>
      </c>
    </row>
    <row r="20" spans="1:12" x14ac:dyDescent="0.25">
      <c r="A20" s="11" t="s">
        <v>35</v>
      </c>
      <c r="B20" s="16"/>
      <c r="C20" s="16"/>
      <c r="D20" s="16"/>
      <c r="E20" s="16"/>
      <c r="F20" s="16"/>
      <c r="G20" s="16"/>
      <c r="H20" s="16"/>
      <c r="J20" s="1" t="s">
        <v>1</v>
      </c>
      <c r="K20" s="1">
        <f>SUM(K5:K18)</f>
        <v>44</v>
      </c>
    </row>
    <row r="21" spans="1:12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2" x14ac:dyDescent="0.25">
      <c r="A22" s="11" t="s">
        <v>37</v>
      </c>
      <c r="B22" s="16" t="s">
        <v>7</v>
      </c>
      <c r="C22" s="16"/>
      <c r="D22" s="16"/>
      <c r="E22" s="16"/>
      <c r="F22" s="16"/>
      <c r="G22" s="16"/>
      <c r="H22" s="16"/>
    </row>
    <row r="23" spans="1:12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 t="s">
        <v>7</v>
      </c>
      <c r="E32" s="16"/>
      <c r="F32" s="16"/>
      <c r="G32" s="16"/>
      <c r="H32" s="16"/>
    </row>
    <row r="33" spans="1:8" x14ac:dyDescent="0.25">
      <c r="A33" s="11" t="s">
        <v>48</v>
      </c>
      <c r="B33" s="16" t="s">
        <v>6</v>
      </c>
      <c r="C33" s="16" t="s">
        <v>6</v>
      </c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 t="s">
        <v>193</v>
      </c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 t="s">
        <v>193</v>
      </c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 t="s">
        <v>7</v>
      </c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 t="s">
        <v>9</v>
      </c>
      <c r="C48" s="16"/>
      <c r="D48" s="16"/>
      <c r="E48" s="16" t="s">
        <v>9</v>
      </c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 t="s">
        <v>192</v>
      </c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 t="s">
        <v>192</v>
      </c>
      <c r="D52" s="16"/>
      <c r="E52" s="16"/>
      <c r="F52" s="16" t="s">
        <v>112</v>
      </c>
      <c r="G52" s="16" t="s">
        <v>112</v>
      </c>
      <c r="H52" s="16" t="s">
        <v>112</v>
      </c>
    </row>
    <row r="53" spans="1:8" x14ac:dyDescent="0.25">
      <c r="A53" s="11" t="s">
        <v>68</v>
      </c>
      <c r="B53" s="16"/>
      <c r="C53" s="16" t="s">
        <v>192</v>
      </c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 t="s">
        <v>192</v>
      </c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 t="s">
        <v>192</v>
      </c>
      <c r="D59" s="16"/>
      <c r="E59" s="16"/>
      <c r="F59" s="16" t="s">
        <v>7</v>
      </c>
      <c r="G59" s="16"/>
      <c r="H59" s="16"/>
    </row>
    <row r="60" spans="1:8" x14ac:dyDescent="0.25">
      <c r="A60" s="11" t="s">
        <v>75</v>
      </c>
      <c r="B60" s="16"/>
      <c r="C60" s="16" t="s">
        <v>192</v>
      </c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 t="s">
        <v>192</v>
      </c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 t="s">
        <v>192</v>
      </c>
      <c r="D62" s="16"/>
      <c r="E62" s="16"/>
      <c r="F62" s="16"/>
      <c r="G62" s="16"/>
      <c r="H62" s="16"/>
    </row>
    <row r="63" spans="1:8" x14ac:dyDescent="0.25">
      <c r="A63" s="11" t="s">
        <v>175</v>
      </c>
      <c r="B63" s="16"/>
      <c r="C63" s="16" t="s">
        <v>192</v>
      </c>
      <c r="D63" s="16"/>
      <c r="E63" s="16"/>
      <c r="F63" s="16"/>
      <c r="G63" s="16"/>
      <c r="H63" s="16"/>
    </row>
    <row r="64" spans="1:8" x14ac:dyDescent="0.25">
      <c r="A64" s="11" t="s">
        <v>176</v>
      </c>
      <c r="B64" s="16" t="s">
        <v>192</v>
      </c>
      <c r="C64" s="16"/>
      <c r="D64" s="16"/>
      <c r="E64" s="16"/>
      <c r="F64" s="16"/>
      <c r="G64" s="16"/>
      <c r="H64" s="16"/>
    </row>
    <row r="65" spans="1:8" x14ac:dyDescent="0.25">
      <c r="A65" s="11" t="s">
        <v>177</v>
      </c>
      <c r="B65" s="16"/>
      <c r="C65" s="16" t="s">
        <v>192</v>
      </c>
      <c r="D65" s="16"/>
      <c r="E65" s="16"/>
      <c r="F65" s="16"/>
      <c r="G65" s="16"/>
      <c r="H65" s="16"/>
    </row>
    <row r="66" spans="1:8" x14ac:dyDescent="0.25">
      <c r="A66" s="11" t="s">
        <v>178</v>
      </c>
      <c r="B66" s="16"/>
      <c r="C66" s="16" t="s">
        <v>192</v>
      </c>
      <c r="D66" s="16"/>
      <c r="E66" s="16"/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 t="s">
        <v>192</v>
      </c>
      <c r="C70" s="16"/>
      <c r="D70" s="16"/>
      <c r="E70" s="16"/>
      <c r="F70" s="16"/>
      <c r="G70" s="16" t="s">
        <v>190</v>
      </c>
      <c r="H70" s="16"/>
    </row>
    <row r="71" spans="1:8" x14ac:dyDescent="0.25">
      <c r="A71" s="11" t="s">
        <v>183</v>
      </c>
      <c r="B71" s="16" t="s">
        <v>192</v>
      </c>
      <c r="C71" s="16"/>
      <c r="D71" s="16"/>
      <c r="E71" s="16"/>
      <c r="F71" s="16"/>
      <c r="G71" s="16"/>
      <c r="H71" s="16"/>
    </row>
    <row r="72" spans="1:8" x14ac:dyDescent="0.25">
      <c r="A72" s="11" t="s">
        <v>184</v>
      </c>
      <c r="B72" s="16" t="s">
        <v>192</v>
      </c>
      <c r="C72" s="16"/>
      <c r="D72" s="16"/>
      <c r="E72" s="16"/>
      <c r="F72" s="16"/>
      <c r="G72" s="16"/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 t="s">
        <v>192</v>
      </c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 t="s">
        <v>192</v>
      </c>
      <c r="C76" s="16" t="s">
        <v>192</v>
      </c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 t="s">
        <v>192</v>
      </c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 t="s">
        <v>192</v>
      </c>
      <c r="E84" s="16"/>
      <c r="F84" s="16"/>
      <c r="G84" s="16"/>
      <c r="H84" s="16"/>
    </row>
    <row r="85" spans="1:8" x14ac:dyDescent="0.25">
      <c r="A85" s="11" t="s">
        <v>84</v>
      </c>
      <c r="B85" s="16"/>
      <c r="C85" s="16" t="s">
        <v>192</v>
      </c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 t="s">
        <v>192</v>
      </c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 t="s">
        <v>192</v>
      </c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 t="s">
        <v>192</v>
      </c>
      <c r="C99" s="16"/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 t="s">
        <v>192</v>
      </c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 t="s">
        <v>192</v>
      </c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108</v>
      </c>
      <c r="B109" s="16"/>
      <c r="C109" s="16"/>
      <c r="D109" s="16"/>
      <c r="E109" s="16"/>
      <c r="F109" s="16"/>
      <c r="G109" s="16"/>
      <c r="H109" s="16"/>
    </row>
  </sheetData>
  <mergeCells count="1">
    <mergeCell ref="A1:H2"/>
  </mergeCells>
  <conditionalFormatting sqref="A1:A1048576">
    <cfRule type="containsText" dxfId="408" priority="24" operator="containsText" text="Pivô ">
      <formula>NOT(ISERROR(SEARCH("Pivô ",A1)))</formula>
    </cfRule>
  </conditionalFormatting>
  <conditionalFormatting sqref="B5:H109">
    <cfRule type="cellIs" dxfId="384" priority="64" operator="equal">
      <formula>$J$17</formula>
    </cfRule>
    <cfRule type="cellIs" dxfId="383" priority="65" operator="equal">
      <formula>$J$19</formula>
    </cfRule>
    <cfRule type="cellIs" dxfId="382" priority="66" operator="equal">
      <formula>$J$15</formula>
    </cfRule>
    <cfRule type="containsText" dxfId="381" priority="67" operator="containsText" text="Cardã">
      <formula>NOT(ISERROR(SEARCH("Cardã",B5)))</formula>
    </cfRule>
    <cfRule type="containsText" dxfId="380" priority="68" operator="containsText" text="Pneu">
      <formula>NOT(ISERROR(SEARCH("Pneu",B5)))</formula>
    </cfRule>
    <cfRule type="containsText" dxfId="379" priority="69" operator="containsText" text="Vedação">
      <formula>NOT(ISERROR(SEARCH("Vedação",B5)))</formula>
    </cfRule>
    <cfRule type="containsText" dxfId="378" priority="70" operator="containsText" text="Retentor">
      <formula>NOT(ISERROR(SEARCH("Retentor",B5)))</formula>
    </cfRule>
    <cfRule type="containsText" dxfId="377" priority="71" operator="containsText" text="Motorredutor">
      <formula>NOT(ISERROR(SEARCH("Motorredutor",B5)))</formula>
    </cfRule>
    <cfRule type="containsText" dxfId="376" priority="72" operator="containsText" text="Redutor">
      <formula>NOT(ISERROR(SEARCH("Redutor",B5)))</formula>
    </cfRule>
    <cfRule type="containsText" dxfId="375" priority="73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9939E0A4-F1DA-4437-8BAA-509FDED42E35}">
      <formula1>$J$5:$J$18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72D00391-71A1-4ADB-AA40-BF252605C68A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4" operator="containsText" id="{FD7A812D-F0B9-4BEA-905F-3F57A1442810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5" operator="containsText" id="{DB733FCD-378B-471D-91DC-FBD10210F916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FB850BE2-1618-4195-BA45-250BE2895A27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7" operator="containsText" id="{9EA5B524-2A1A-41B5-898D-655D3BD7D301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8" operator="containsText" id="{E901FDFB-A572-4089-9BF7-5C8D9CCE892B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9" operator="containsText" id="{77D54739-E6F7-4537-A337-C60FB79314EE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0" operator="containsText" id="{B3E22B65-908A-4AA0-8CBC-FFD6332B2D3A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1" operator="containsText" id="{9040DC5B-A6C3-480A-B7F9-58B99FA251DB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2" operator="containsText" id="{6D55D56E-80DB-4081-AC6F-E707E9DBE997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3" operator="containsText" id="{9B054627-75EB-440D-8888-73E147721D4D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4" operator="containsText" id="{F85E4225-5A0B-4BF9-A287-A7A1F4406F35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5" operator="containsText" id="{25E8F739-8149-4742-A590-3218E4EE0E9C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16" operator="containsText" id="{30A451F4-7CC0-48F6-9586-3329E8C340BB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" operator="containsText" id="{7C3EF413-8642-4D53-ABFB-51D3F93BE5F4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8" operator="containsText" id="{C99A3C4B-7CBC-4AD5-A027-50E17639FF14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" operator="containsText" id="{A2D24BB4-9377-44BF-8650-B99E74DDFEDF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0" operator="containsText" id="{21A13059-ED23-4961-9305-C0907E6F738B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1" operator="containsText" id="{A5A2548A-3786-48DA-BD9C-E01A17691501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22" operator="containsText" id="{8367AE2C-C9AE-4F3E-A54A-6E7E3126F70B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3" operator="containsText" id="{AD1DEED7-6487-4717-9024-0DDE34377F98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6C4BF036-5E64-4A1B-8923-443A01D117FE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25" operator="containsText" id="{E3F0FB43-AFEC-4422-BF4F-E891A77C2B0B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B5:H109</xm:sqref>
        </x14:conditionalFormatting>
      </x14:conditionalFormatting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17A5D-D877-452E-9964-72AC263A6DCB}">
  <sheetPr>
    <tabColor theme="7"/>
    <pageSetUpPr fitToPage="1"/>
  </sheetPr>
  <dimension ref="A1:P109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5" sqref="J5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85546875" bestFit="1" customWidth="1"/>
  </cols>
  <sheetData>
    <row r="1" spans="1:16" s="8" customFormat="1" x14ac:dyDescent="0.25">
      <c r="A1" s="57" t="s">
        <v>191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45054</v>
      </c>
      <c r="C3" s="43">
        <f>B3+1</f>
        <v>45055</v>
      </c>
      <c r="D3" s="43">
        <f t="shared" ref="D3:H3" si="0">C3+1</f>
        <v>45056</v>
      </c>
      <c r="E3" s="43">
        <f t="shared" si="0"/>
        <v>45057</v>
      </c>
      <c r="F3" s="43">
        <f t="shared" si="0"/>
        <v>45058</v>
      </c>
      <c r="G3" s="43">
        <f t="shared" si="0"/>
        <v>45059</v>
      </c>
      <c r="H3" s="43">
        <f t="shared" si="0"/>
        <v>45060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 t="shared" ref="K5:K18" si="3">COUNTIF($B$5:$H$109,J5)</f>
        <v>3</v>
      </c>
      <c r="L5" s="45">
        <f t="shared" ref="L5:L19" si="4">K5/$K$20</f>
        <v>0.16666666666666666</v>
      </c>
      <c r="M5" s="48">
        <f>B3</f>
        <v>45054</v>
      </c>
    </row>
    <row r="6" spans="1:16" x14ac:dyDescent="0.25">
      <c r="A6" s="11" t="s">
        <v>20</v>
      </c>
      <c r="B6" s="16"/>
      <c r="C6" s="16"/>
      <c r="D6" s="16" t="s">
        <v>9</v>
      </c>
      <c r="E6" s="16" t="s">
        <v>9</v>
      </c>
      <c r="F6" s="16"/>
      <c r="G6" s="16"/>
      <c r="H6" s="16"/>
      <c r="J6" s="18" t="s">
        <v>4</v>
      </c>
      <c r="K6" s="4">
        <f t="shared" si="3"/>
        <v>1</v>
      </c>
      <c r="L6" s="45">
        <f t="shared" si="4"/>
        <v>5.5555555555555552E-2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4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0</v>
      </c>
      <c r="L8" s="45">
        <f t="shared" si="4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0</v>
      </c>
      <c r="L9" s="45">
        <f t="shared" si="4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3</v>
      </c>
      <c r="L10" s="45">
        <f t="shared" si="4"/>
        <v>0.16666666666666666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4</v>
      </c>
      <c r="L11" s="45">
        <f t="shared" si="4"/>
        <v>0.22222222222222221</v>
      </c>
    </row>
    <row r="12" spans="1:16" x14ac:dyDescent="0.25">
      <c r="A12" s="11" t="s">
        <v>26</v>
      </c>
      <c r="B12" s="16"/>
      <c r="C12" s="16"/>
      <c r="D12" s="16"/>
      <c r="E12" s="16" t="s">
        <v>190</v>
      </c>
      <c r="F12" s="16"/>
      <c r="G12" s="16"/>
      <c r="H12" s="16" t="s">
        <v>4</v>
      </c>
      <c r="J12" s="24" t="s">
        <v>114</v>
      </c>
      <c r="K12" s="4">
        <f t="shared" si="3"/>
        <v>1</v>
      </c>
      <c r="L12" s="45">
        <f t="shared" si="4"/>
        <v>5.5555555555555552E-2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0</v>
      </c>
      <c r="L13" s="45">
        <f t="shared" si="4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2</v>
      </c>
      <c r="L14" s="45">
        <f t="shared" si="4"/>
        <v>0.1111111111111111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4</v>
      </c>
      <c r="L16" s="45">
        <f t="shared" si="4"/>
        <v>0.22222222222222221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6" t="s">
        <v>192</v>
      </c>
      <c r="K17" s="4">
        <f t="shared" si="3"/>
        <v>0</v>
      </c>
      <c r="L17" s="45">
        <f t="shared" si="4"/>
        <v>0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t="s">
        <v>193</v>
      </c>
      <c r="K18" s="4">
        <f t="shared" si="3"/>
        <v>0</v>
      </c>
      <c r="L18" s="45">
        <f t="shared" si="4"/>
        <v>0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  <c r="J19" s="53" t="s">
        <v>148</v>
      </c>
      <c r="K19" s="4">
        <f>COUNTIF($B$5:$H$109,J19)</f>
        <v>0</v>
      </c>
      <c r="L19" s="45">
        <f t="shared" si="4"/>
        <v>0</v>
      </c>
    </row>
    <row r="20" spans="1:12" x14ac:dyDescent="0.25">
      <c r="A20" s="11" t="s">
        <v>35</v>
      </c>
      <c r="B20" s="16"/>
      <c r="C20" s="16"/>
      <c r="D20" s="16"/>
      <c r="E20" s="16" t="s">
        <v>8</v>
      </c>
      <c r="F20" s="16"/>
      <c r="G20" s="16"/>
      <c r="H20" s="16"/>
      <c r="J20" s="1" t="s">
        <v>1</v>
      </c>
      <c r="K20" s="1">
        <f>SUM(K5:K18)</f>
        <v>18</v>
      </c>
    </row>
    <row r="21" spans="1:12" x14ac:dyDescent="0.25">
      <c r="A21" s="11" t="s">
        <v>36</v>
      </c>
      <c r="B21" s="16" t="s">
        <v>9</v>
      </c>
      <c r="C21" s="16" t="s">
        <v>9</v>
      </c>
      <c r="D21" s="16"/>
      <c r="E21" s="16"/>
      <c r="F21" s="16"/>
      <c r="G21" s="16"/>
      <c r="H21" s="16"/>
    </row>
    <row r="22" spans="1:12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2" x14ac:dyDescent="0.25">
      <c r="A23" s="11" t="s">
        <v>38</v>
      </c>
      <c r="B23" s="16"/>
      <c r="C23" s="16"/>
      <c r="D23" s="16"/>
      <c r="E23" s="16"/>
      <c r="F23" s="16"/>
      <c r="G23" s="16" t="s">
        <v>144</v>
      </c>
      <c r="H23" s="16" t="s">
        <v>144</v>
      </c>
    </row>
    <row r="24" spans="1:12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 t="s">
        <v>114</v>
      </c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 t="s">
        <v>190</v>
      </c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 t="s">
        <v>190</v>
      </c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 t="s">
        <v>8</v>
      </c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 t="s">
        <v>112</v>
      </c>
      <c r="C52" s="16" t="s">
        <v>112</v>
      </c>
      <c r="D52" s="16"/>
      <c r="E52" s="16"/>
      <c r="F52" s="16"/>
      <c r="G52" s="16"/>
      <c r="H52" s="16" t="s">
        <v>112</v>
      </c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 t="s">
        <v>190</v>
      </c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175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177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178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183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184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 t="s">
        <v>8</v>
      </c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/>
      <c r="C99" s="16"/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108</v>
      </c>
      <c r="B109" s="16"/>
      <c r="C109" s="16"/>
      <c r="D109" s="16"/>
      <c r="E109" s="16"/>
      <c r="F109" s="16"/>
      <c r="G109" s="16"/>
      <c r="H109" s="16"/>
    </row>
  </sheetData>
  <mergeCells count="1">
    <mergeCell ref="A1:H2"/>
  </mergeCells>
  <conditionalFormatting sqref="A1:A1048576">
    <cfRule type="containsText" dxfId="374" priority="23" operator="containsText" text="Pivô ">
      <formula>NOT(ISERROR(SEARCH("Pivô ",A1)))</formula>
    </cfRule>
  </conditionalFormatting>
  <conditionalFormatting sqref="B5:H109">
    <cfRule type="cellIs" dxfId="350" priority="25" operator="equal">
      <formula>$J$17</formula>
    </cfRule>
    <cfRule type="cellIs" dxfId="349" priority="26" operator="equal">
      <formula>$J$19</formula>
    </cfRule>
    <cfRule type="cellIs" dxfId="348" priority="27" operator="equal">
      <formula>$J$15</formula>
    </cfRule>
    <cfRule type="containsText" dxfId="347" priority="28" operator="containsText" text="Cardã">
      <formula>NOT(ISERROR(SEARCH("Cardã",B5)))</formula>
    </cfRule>
    <cfRule type="containsText" dxfId="346" priority="29" operator="containsText" text="Pneu">
      <formula>NOT(ISERROR(SEARCH("Pneu",B5)))</formula>
    </cfRule>
    <cfRule type="containsText" dxfId="345" priority="30" operator="containsText" text="Vedação">
      <formula>NOT(ISERROR(SEARCH("Vedação",B5)))</formula>
    </cfRule>
    <cfRule type="containsText" dxfId="344" priority="31" operator="containsText" text="Retentor">
      <formula>NOT(ISERROR(SEARCH("Retentor",B5)))</formula>
    </cfRule>
    <cfRule type="containsText" dxfId="343" priority="32" operator="containsText" text="Motorredutor">
      <formula>NOT(ISERROR(SEARCH("Motorredutor",B5)))</formula>
    </cfRule>
    <cfRule type="containsText" dxfId="342" priority="33" operator="containsText" text="Redutor">
      <formula>NOT(ISERROR(SEARCH("Redutor",B5)))</formula>
    </cfRule>
    <cfRule type="containsText" dxfId="341" priority="34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50DA0206-FBA8-4B18-BFC4-7839711C62A6}">
      <formula1>$J$5:$J$18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907F0DD3-3C05-4749-B07F-4F65D4D81AC6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3" operator="containsText" id="{BE3A1A8D-76AB-47E4-943A-5A88D792EDFA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4" operator="containsText" id="{A9E207F5-76C8-4F2A-988D-8185072CD42D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5" operator="containsText" id="{EEBB09FE-8746-4188-9A34-0E68ED37AB91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6" operator="containsText" id="{0F4E5474-13EE-4C96-8916-E97FF6DB2AC2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7" operator="containsText" id="{2154816C-1441-483D-889D-7279D7E199E2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8" operator="containsText" id="{4D25D5C2-57CB-4382-9FC1-75A6E0710347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9" operator="containsText" id="{4000D6E3-AA74-4FC7-BCAD-8DD14BE24536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0" operator="containsText" id="{8595023F-4DC4-42E9-8DAB-B27C3718CF45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1" operator="containsText" id="{56636264-F05E-409D-8C56-071E79DD26E5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2" operator="containsText" id="{972947E2-7DEF-468F-A061-D2CF91B96D31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3" operator="containsText" id="{8BB969DA-A4BD-4663-96C2-8CADCEDAA9C4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4" operator="containsText" id="{FF433CBE-31C5-42B5-9B24-DA0F1CF22AC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15" operator="containsText" id="{3FF91B70-7CB9-46B7-802F-726133F34AC8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6" operator="containsText" id="{1F554F69-D899-4F6B-98ED-C9823180F1E6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82133F28-D746-4A54-8D9C-C1B9FBB51715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" operator="containsText" id="{A5A53C69-2FB0-49BA-BA1A-85DEB26F2125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9" operator="containsText" id="{C1D9E164-1B24-492D-A470-C55A9CA138CD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0" operator="containsText" id="{200F0D61-F155-40B3-9B78-E0301869E35B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21" operator="containsText" id="{F4198B82-61DC-493A-9BD3-3666878FABC7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2" operator="containsText" id="{5A93C262-8232-4AEF-A432-A305EEA5DF87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1" operator="containsText" id="{65C29C17-0C09-4FB9-8E23-DBDDE630181D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24" operator="containsText" id="{67E5D368-2CA1-4FB9-A07C-479BE4A6D8DE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B5:H109</xm:sqref>
        </x14:conditionalFormatting>
      </x14:conditionalFormatting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AB28-1561-4BD7-B56D-701D4096391A}">
  <sheetPr>
    <tabColor theme="7"/>
    <pageSetUpPr fitToPage="1"/>
  </sheetPr>
  <dimension ref="A1:P109"/>
  <sheetViews>
    <sheetView showGridLines="0" zoomScale="115" zoomScaleNormal="115" workbookViewId="0">
      <pane xSplit="1" ySplit="4" topLeftCell="J5" activePane="bottomRight" state="frozen"/>
      <selection pane="topRight" activeCell="B1" sqref="B1"/>
      <selection pane="bottomLeft" activeCell="A5" sqref="A5"/>
      <selection pane="bottomRight" activeCell="J5" sqref="J5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85546875" bestFit="1" customWidth="1"/>
  </cols>
  <sheetData>
    <row r="1" spans="1:16" s="8" customFormat="1" x14ac:dyDescent="0.25">
      <c r="A1" s="57" t="s">
        <v>191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45061</v>
      </c>
      <c r="C3" s="43">
        <f>B3+1</f>
        <v>45062</v>
      </c>
      <c r="D3" s="43">
        <f t="shared" ref="D3:H3" si="0">C3+1</f>
        <v>45063</v>
      </c>
      <c r="E3" s="43">
        <f t="shared" si="0"/>
        <v>45064</v>
      </c>
      <c r="F3" s="43">
        <f t="shared" si="0"/>
        <v>45065</v>
      </c>
      <c r="G3" s="43">
        <f t="shared" si="0"/>
        <v>45066</v>
      </c>
      <c r="H3" s="43">
        <f t="shared" si="0"/>
        <v>45067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 t="shared" ref="K5:K18" si="3">COUNTIF($B$5:$H$109,J5)</f>
        <v>0</v>
      </c>
      <c r="L5" s="45">
        <f t="shared" ref="L5:L19" si="4">K5/$K$20</f>
        <v>0</v>
      </c>
      <c r="M5" s="48">
        <f>B3</f>
        <v>45061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si="3"/>
        <v>1</v>
      </c>
      <c r="L6" s="45">
        <f t="shared" si="4"/>
        <v>0.16666666666666666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4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0</v>
      </c>
      <c r="L8" s="45">
        <f t="shared" si="4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0</v>
      </c>
      <c r="L9" s="45">
        <f t="shared" si="4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0</v>
      </c>
      <c r="L10" s="45">
        <f t="shared" si="4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1</v>
      </c>
      <c r="L11" s="45">
        <f t="shared" si="4"/>
        <v>0.16666666666666666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 t="s">
        <v>9</v>
      </c>
      <c r="F13" s="16"/>
      <c r="G13" s="16"/>
      <c r="H13" s="16"/>
      <c r="J13" s="46" t="s">
        <v>11</v>
      </c>
      <c r="K13" s="4">
        <f t="shared" si="3"/>
        <v>0</v>
      </c>
      <c r="L13" s="45">
        <f t="shared" si="4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4</v>
      </c>
      <c r="L14" s="45">
        <f t="shared" si="4"/>
        <v>0.66666666666666663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0</v>
      </c>
      <c r="L16" s="45">
        <f t="shared" si="4"/>
        <v>0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6" t="s">
        <v>192</v>
      </c>
      <c r="K17" s="4">
        <f t="shared" si="3"/>
        <v>0</v>
      </c>
      <c r="L17" s="45">
        <f t="shared" si="4"/>
        <v>0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t="s">
        <v>193</v>
      </c>
      <c r="K18" s="4">
        <f t="shared" si="3"/>
        <v>0</v>
      </c>
      <c r="L18" s="45">
        <f t="shared" si="4"/>
        <v>0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  <c r="J19" s="53" t="s">
        <v>148</v>
      </c>
      <c r="K19" s="4">
        <f>COUNTIF($B$5:$H$109,J19)</f>
        <v>0</v>
      </c>
      <c r="L19" s="45">
        <f t="shared" si="4"/>
        <v>0</v>
      </c>
    </row>
    <row r="20" spans="1:12" x14ac:dyDescent="0.25">
      <c r="A20" s="11" t="s">
        <v>35</v>
      </c>
      <c r="B20" s="16"/>
      <c r="C20" s="16"/>
      <c r="D20" s="16"/>
      <c r="E20" s="16"/>
      <c r="F20" s="16"/>
      <c r="G20" s="16"/>
      <c r="H20" s="16"/>
      <c r="J20" s="1" t="s">
        <v>1</v>
      </c>
      <c r="K20" s="1">
        <f>SUM(K5:K18)</f>
        <v>6</v>
      </c>
    </row>
    <row r="21" spans="1:12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2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2" x14ac:dyDescent="0.25">
      <c r="A23" s="11" t="s">
        <v>38</v>
      </c>
      <c r="B23" s="16" t="s">
        <v>144</v>
      </c>
      <c r="C23" s="16" t="s">
        <v>144</v>
      </c>
      <c r="D23" s="16" t="s">
        <v>144</v>
      </c>
      <c r="E23" s="16" t="s">
        <v>144</v>
      </c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/>
      <c r="G24" s="16" t="s">
        <v>4</v>
      </c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175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177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178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183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184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/>
      <c r="C99" s="16"/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108</v>
      </c>
      <c r="B109" s="16"/>
      <c r="C109" s="16"/>
      <c r="D109" s="16"/>
      <c r="E109" s="16"/>
      <c r="F109" s="16"/>
      <c r="G109" s="16"/>
      <c r="H109" s="16"/>
    </row>
  </sheetData>
  <mergeCells count="1">
    <mergeCell ref="A1:H2"/>
  </mergeCells>
  <conditionalFormatting sqref="A1:A1048576">
    <cfRule type="containsText" dxfId="340" priority="23" operator="containsText" text="Pivô ">
      <formula>NOT(ISERROR(SEARCH("Pivô ",A1)))</formula>
    </cfRule>
  </conditionalFormatting>
  <conditionalFormatting sqref="B5:H109">
    <cfRule type="cellIs" dxfId="316" priority="25" operator="equal">
      <formula>$J$17</formula>
    </cfRule>
    <cfRule type="cellIs" dxfId="315" priority="26" operator="equal">
      <formula>$J$19</formula>
    </cfRule>
    <cfRule type="cellIs" dxfId="314" priority="27" operator="equal">
      <formula>$J$15</formula>
    </cfRule>
    <cfRule type="containsText" dxfId="313" priority="28" operator="containsText" text="Cardã">
      <formula>NOT(ISERROR(SEARCH("Cardã",B5)))</formula>
    </cfRule>
    <cfRule type="containsText" dxfId="312" priority="29" operator="containsText" text="Pneu">
      <formula>NOT(ISERROR(SEARCH("Pneu",B5)))</formula>
    </cfRule>
    <cfRule type="containsText" dxfId="311" priority="30" operator="containsText" text="Vedação">
      <formula>NOT(ISERROR(SEARCH("Vedação",B5)))</formula>
    </cfRule>
    <cfRule type="containsText" dxfId="310" priority="31" operator="containsText" text="Retentor">
      <formula>NOT(ISERROR(SEARCH("Retentor",B5)))</formula>
    </cfRule>
    <cfRule type="containsText" dxfId="309" priority="32" operator="containsText" text="Motorredutor">
      <formula>NOT(ISERROR(SEARCH("Motorredutor",B5)))</formula>
    </cfRule>
    <cfRule type="containsText" dxfId="308" priority="33" operator="containsText" text="Redutor">
      <formula>NOT(ISERROR(SEARCH("Redutor",B5)))</formula>
    </cfRule>
    <cfRule type="containsText" dxfId="307" priority="34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6EFDFD02-D46E-4A3F-80E1-EF549036DD33}">
      <formula1>$J$5:$J$18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89E05A4-563D-43F5-8813-EC89A9DE705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3" operator="containsText" id="{A8527685-0046-4351-A930-C85337B26A0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4" operator="containsText" id="{0765C659-FC0E-43B0-8037-0E7C9E4887EC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5" operator="containsText" id="{902A9808-41A8-4615-8EA0-1C4E982495FB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6" operator="containsText" id="{1DFE00E8-68B9-43CB-8BAF-A323C050160B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7" operator="containsText" id="{305167BE-138D-4C8C-B5D8-A4B040A0D74B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8" operator="containsText" id="{D16F816D-012E-4FA8-BCAE-B362A18AA27A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9" operator="containsText" id="{2C818C71-D2B7-4D22-B847-6C8A7AEFFD8F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0" operator="containsText" id="{678BA2FF-DE7F-46E2-A801-D8812A15403D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1" operator="containsText" id="{2ABAE129-460B-4CBB-8669-C164F10A61C6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2" operator="containsText" id="{237C8F76-FC6C-4CB8-9BCE-4BD28E90E5B1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3" operator="containsText" id="{4F2CDB84-0C9E-4FB3-84B9-5EA966A51C62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4" operator="containsText" id="{B54C0B08-F6B2-449A-B319-57166C83E2B1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15" operator="containsText" id="{9D894137-DE52-45C5-B092-842BE50D7E2A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6" operator="containsText" id="{DCE6354F-4F62-417C-AC52-8AF83BF0473B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A8E149F5-8BEE-487E-BB12-1AAF06EC5B4B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" operator="containsText" id="{03575F2C-8500-45F9-BEBC-B85F22DD7479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9" operator="containsText" id="{E4F2E8D6-47AD-4709-9E89-BD654DC1D744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0" operator="containsText" id="{91A7CA92-4EE9-48C7-8A8E-0313C3398D72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21" operator="containsText" id="{5399D470-7FB6-4158-97F4-0481CDCEDB31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2" operator="containsText" id="{9AF6A646-943B-482D-9EC8-D86CF47C2AC3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1" operator="containsText" id="{9D257CB3-BA84-47CE-BF48-F22F0807AF56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24" operator="containsText" id="{C1CDD935-C994-4ACF-AB06-78199545055A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B5:H109</xm:sqref>
        </x14:conditionalFormatting>
      </x14:conditionalFormatting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E4AE6-5F93-48EB-ABED-29840EABEB51}">
  <sheetPr>
    <tabColor theme="7"/>
    <pageSetUpPr fitToPage="1"/>
  </sheetPr>
  <dimension ref="A1:P109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19" sqref="H19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85546875" bestFit="1" customWidth="1"/>
  </cols>
  <sheetData>
    <row r="1" spans="1:16" s="8" customFormat="1" x14ac:dyDescent="0.25">
      <c r="A1" s="57" t="s">
        <v>191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45068</v>
      </c>
      <c r="C3" s="43">
        <f>B3+1</f>
        <v>45069</v>
      </c>
      <c r="D3" s="43">
        <f t="shared" ref="D3:H3" si="0">C3+1</f>
        <v>45070</v>
      </c>
      <c r="E3" s="43">
        <f t="shared" si="0"/>
        <v>45071</v>
      </c>
      <c r="F3" s="43">
        <f t="shared" si="0"/>
        <v>45072</v>
      </c>
      <c r="G3" s="43">
        <f t="shared" si="0"/>
        <v>45073</v>
      </c>
      <c r="H3" s="43">
        <f t="shared" si="0"/>
        <v>45074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 t="shared" ref="K5:K18" si="3">COUNTIF($B$5:$H$109,J5)</f>
        <v>2</v>
      </c>
      <c r="L5" s="45">
        <f t="shared" ref="L5:L19" si="4">K5/$K$20</f>
        <v>0.4</v>
      </c>
      <c r="M5" s="48">
        <f>B3</f>
        <v>45068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si="3"/>
        <v>0</v>
      </c>
      <c r="L6" s="45">
        <f t="shared" si="4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4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0</v>
      </c>
      <c r="L8" s="45">
        <f t="shared" si="4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2</v>
      </c>
      <c r="L9" s="45">
        <f t="shared" si="4"/>
        <v>0.4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0</v>
      </c>
      <c r="L10" s="45">
        <f t="shared" si="4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0</v>
      </c>
      <c r="L11" s="45">
        <f t="shared" si="4"/>
        <v>0</v>
      </c>
    </row>
    <row r="12" spans="1:16" x14ac:dyDescent="0.25">
      <c r="A12" s="11" t="s">
        <v>26</v>
      </c>
      <c r="B12" s="16" t="s">
        <v>112</v>
      </c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0</v>
      </c>
      <c r="L13" s="45">
        <f t="shared" si="4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0</v>
      </c>
      <c r="L14" s="45">
        <f t="shared" si="4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0</v>
      </c>
      <c r="L16" s="45">
        <f t="shared" si="4"/>
        <v>0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6" t="s">
        <v>192</v>
      </c>
      <c r="K17" s="4">
        <f t="shared" si="3"/>
        <v>0</v>
      </c>
      <c r="L17" s="45">
        <f t="shared" si="4"/>
        <v>0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t="s">
        <v>193</v>
      </c>
      <c r="K18" s="4">
        <f t="shared" si="3"/>
        <v>1</v>
      </c>
      <c r="L18" s="45">
        <f t="shared" si="4"/>
        <v>0.2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  <c r="J19" s="53" t="s">
        <v>148</v>
      </c>
      <c r="K19" s="4">
        <f>COUNTIF($B$5:$H$109,J19)</f>
        <v>0</v>
      </c>
      <c r="L19" s="45">
        <f t="shared" si="4"/>
        <v>0</v>
      </c>
    </row>
    <row r="20" spans="1:12" x14ac:dyDescent="0.25">
      <c r="A20" s="11" t="s">
        <v>35</v>
      </c>
      <c r="B20" s="16"/>
      <c r="C20" s="16"/>
      <c r="D20" s="16"/>
      <c r="E20" s="16"/>
      <c r="F20" s="16"/>
      <c r="G20" s="16"/>
      <c r="H20" s="16"/>
      <c r="J20" s="1" t="s">
        <v>1</v>
      </c>
      <c r="K20" s="1">
        <f>SUM(K5:K18)</f>
        <v>5</v>
      </c>
    </row>
    <row r="21" spans="1:12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2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2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 t="s">
        <v>7</v>
      </c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 t="s">
        <v>112</v>
      </c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 t="s">
        <v>7</v>
      </c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 t="s">
        <v>193</v>
      </c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175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177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178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183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184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/>
      <c r="C99" s="16"/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108</v>
      </c>
      <c r="B109" s="16"/>
      <c r="C109" s="16"/>
      <c r="D109" s="16"/>
      <c r="E109" s="16"/>
      <c r="F109" s="16"/>
      <c r="G109" s="16"/>
      <c r="H109" s="16"/>
    </row>
  </sheetData>
  <mergeCells count="1">
    <mergeCell ref="A1:H2"/>
  </mergeCells>
  <conditionalFormatting sqref="A1:A1048576">
    <cfRule type="containsText" dxfId="306" priority="23" operator="containsText" text="Pivô ">
      <formula>NOT(ISERROR(SEARCH("Pivô ",A1)))</formula>
    </cfRule>
  </conditionalFormatting>
  <conditionalFormatting sqref="B5:H109">
    <cfRule type="cellIs" dxfId="282" priority="25" operator="equal">
      <formula>$J$17</formula>
    </cfRule>
    <cfRule type="cellIs" dxfId="281" priority="26" operator="equal">
      <formula>$J$19</formula>
    </cfRule>
    <cfRule type="cellIs" dxfId="280" priority="27" operator="equal">
      <formula>$J$15</formula>
    </cfRule>
    <cfRule type="containsText" dxfId="279" priority="28" operator="containsText" text="Cardã">
      <formula>NOT(ISERROR(SEARCH("Cardã",B5)))</formula>
    </cfRule>
    <cfRule type="containsText" dxfId="278" priority="29" operator="containsText" text="Pneu">
      <formula>NOT(ISERROR(SEARCH("Pneu",B5)))</formula>
    </cfRule>
    <cfRule type="containsText" dxfId="277" priority="30" operator="containsText" text="Vedação">
      <formula>NOT(ISERROR(SEARCH("Vedação",B5)))</formula>
    </cfRule>
    <cfRule type="containsText" dxfId="276" priority="31" operator="containsText" text="Retentor">
      <formula>NOT(ISERROR(SEARCH("Retentor",B5)))</formula>
    </cfRule>
    <cfRule type="containsText" dxfId="275" priority="32" operator="containsText" text="Motorredutor">
      <formula>NOT(ISERROR(SEARCH("Motorredutor",B5)))</formula>
    </cfRule>
    <cfRule type="containsText" dxfId="274" priority="33" operator="containsText" text="Redutor">
      <formula>NOT(ISERROR(SEARCH("Redutor",B5)))</formula>
    </cfRule>
    <cfRule type="containsText" dxfId="273" priority="34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19BB54B4-FEAB-4015-9525-488665A63ED8}">
      <formula1>$J$5:$J$19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F460147-C876-485F-B37C-64DFCAA22FAB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3" operator="containsText" id="{3FA567E7-9994-4591-B4E7-0EED03DD8799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4" operator="containsText" id="{1F5242EF-1C9F-4157-9370-F16D4CD34322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5" operator="containsText" id="{DD750F61-CCC5-4DBC-8A90-4E8343779333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6" operator="containsText" id="{EF5006AF-EA4C-47F3-9A06-528467489D28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7" operator="containsText" id="{1A07D1B3-29C2-4773-9AA7-0613B5228032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8" operator="containsText" id="{91FA5481-A668-4AC9-AD27-E33FB3EB28B1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9" operator="containsText" id="{720A7F09-8185-422F-82EB-8EBCE80BCFC9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0" operator="containsText" id="{3160228F-515E-480A-9E8C-AD75C933AD95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1" operator="containsText" id="{8095586C-6C62-4C4C-B313-C2CE9918C81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2" operator="containsText" id="{ABCE10F5-3955-4D4C-85F6-76C37E5A9ED8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3" operator="containsText" id="{FBC644B2-30F7-4B92-B92C-E68433CCF5DA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4" operator="containsText" id="{D40EACC0-029F-4715-AC7C-2CCEA9989DF6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15" operator="containsText" id="{5BCF2BE8-1E5B-4401-95CD-34D4F8F40169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6" operator="containsText" id="{8BD6755A-FE2A-47AE-A511-EADF3D7FA261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3926BBBE-F87D-4E32-ABD4-86B8D03FAE52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" operator="containsText" id="{91F04778-8D25-4B70-B3C7-5C2499A79CBC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9" operator="containsText" id="{13DA1BE7-4822-4699-8E1B-6A285F068657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0" operator="containsText" id="{03C9D9BD-6E95-4FA1-94CE-15957A36D8FD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21" operator="containsText" id="{57EB2749-CDF0-436C-9B88-EE6B076819C6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2" operator="containsText" id="{29CAA923-F0FE-4281-BD74-B0A4B1321A2C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1" operator="containsText" id="{4DFABE21-F02A-435D-9BCF-032639767B67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24" operator="containsText" id="{4888A8DD-B302-4909-BEA5-1CD6A8970747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B5:H109</xm:sqref>
        </x14:conditionalFormatting>
      </x14:conditionalFormatting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E552-1E0C-40D8-8A96-1BB5DBD29F59}">
  <sheetPr>
    <tabColor theme="7"/>
    <pageSetUpPr fitToPage="1"/>
  </sheetPr>
  <dimension ref="A1:P109"/>
  <sheetViews>
    <sheetView showGridLines="0" zoomScale="115" zoomScaleNormal="115" workbookViewId="0">
      <pane xSplit="1" ySplit="4" topLeftCell="E5" activePane="bottomRight" state="frozen"/>
      <selection pane="topRight" activeCell="B1" sqref="B1"/>
      <selection pane="bottomLeft" activeCell="A5" sqref="A5"/>
      <selection pane="bottomRight" activeCell="J5" sqref="J5:L19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85546875" bestFit="1" customWidth="1"/>
  </cols>
  <sheetData>
    <row r="1" spans="1:16" s="8" customFormat="1" x14ac:dyDescent="0.25">
      <c r="A1" s="57" t="s">
        <v>191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45082</v>
      </c>
      <c r="C3" s="43">
        <f>B3+1</f>
        <v>45083</v>
      </c>
      <c r="D3" s="43">
        <f t="shared" ref="D3:H3" si="0">C3+1</f>
        <v>45084</v>
      </c>
      <c r="E3" s="43">
        <f t="shared" si="0"/>
        <v>45085</v>
      </c>
      <c r="F3" s="43">
        <f t="shared" si="0"/>
        <v>45086</v>
      </c>
      <c r="G3" s="43">
        <f t="shared" si="0"/>
        <v>45087</v>
      </c>
      <c r="H3" s="43">
        <f t="shared" si="0"/>
        <v>45088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 t="shared" ref="K5:K18" si="3">COUNTIF($B$5:$H$109,J5)</f>
        <v>3</v>
      </c>
      <c r="L5" s="45">
        <f t="shared" ref="L5:L19" si="4">K5/$K$20</f>
        <v>0.75</v>
      </c>
      <c r="M5" s="48">
        <f>B3</f>
        <v>45082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si="3"/>
        <v>0</v>
      </c>
      <c r="L6" s="45">
        <f t="shared" si="4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4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1</v>
      </c>
      <c r="L8" s="45">
        <f t="shared" si="4"/>
        <v>0.25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0</v>
      </c>
      <c r="L9" s="45">
        <f t="shared" si="4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0</v>
      </c>
      <c r="L10" s="45">
        <f t="shared" si="4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0</v>
      </c>
      <c r="L11" s="45">
        <f t="shared" si="4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0</v>
      </c>
      <c r="L13" s="45">
        <f t="shared" si="4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0</v>
      </c>
      <c r="L14" s="45">
        <f t="shared" si="4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0</v>
      </c>
      <c r="L16" s="45">
        <f t="shared" si="4"/>
        <v>0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6" t="s">
        <v>192</v>
      </c>
      <c r="K17" s="4">
        <f t="shared" si="3"/>
        <v>0</v>
      </c>
      <c r="L17" s="45">
        <f t="shared" si="4"/>
        <v>0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t="s">
        <v>193</v>
      </c>
      <c r="K18" s="4">
        <f t="shared" si="3"/>
        <v>0</v>
      </c>
      <c r="L18" s="45">
        <f t="shared" si="4"/>
        <v>0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  <c r="J19" s="53" t="s">
        <v>148</v>
      </c>
      <c r="K19" s="4">
        <f>COUNTIF($B$5:$H$109,J19)</f>
        <v>0</v>
      </c>
      <c r="L19" s="45">
        <f t="shared" si="4"/>
        <v>0</v>
      </c>
    </row>
    <row r="20" spans="1:12" x14ac:dyDescent="0.25">
      <c r="A20" s="11" t="s">
        <v>35</v>
      </c>
      <c r="B20" s="16"/>
      <c r="C20" s="16"/>
      <c r="D20" s="16"/>
      <c r="E20" s="16"/>
      <c r="F20" s="16"/>
      <c r="G20" s="16"/>
      <c r="H20" s="16"/>
      <c r="J20" s="1" t="s">
        <v>1</v>
      </c>
      <c r="K20" s="1">
        <f>SUM(K5:K18)</f>
        <v>4</v>
      </c>
    </row>
    <row r="21" spans="1:12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2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2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/>
      <c r="G24" s="16"/>
      <c r="H24" s="16" t="s">
        <v>6</v>
      </c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 t="s">
        <v>112</v>
      </c>
      <c r="D32" s="16" t="s">
        <v>112</v>
      </c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 t="s">
        <v>112</v>
      </c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175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177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178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183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184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/>
      <c r="C99" s="16"/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108</v>
      </c>
      <c r="B109" s="16"/>
      <c r="C109" s="16"/>
      <c r="D109" s="16"/>
      <c r="E109" s="16"/>
      <c r="F109" s="16"/>
      <c r="G109" s="16"/>
      <c r="H109" s="16"/>
    </row>
  </sheetData>
  <mergeCells count="1">
    <mergeCell ref="A1:H2"/>
  </mergeCells>
  <conditionalFormatting sqref="A1:A1048576">
    <cfRule type="containsText" dxfId="272" priority="23" operator="containsText" text="Pivô ">
      <formula>NOT(ISERROR(SEARCH("Pivô ",A1)))</formula>
    </cfRule>
  </conditionalFormatting>
  <conditionalFormatting sqref="B5:H109">
    <cfRule type="cellIs" dxfId="248" priority="25" operator="equal">
      <formula>$J$17</formula>
    </cfRule>
    <cfRule type="cellIs" dxfId="247" priority="26" operator="equal">
      <formula>$J$19</formula>
    </cfRule>
    <cfRule type="cellIs" dxfId="246" priority="27" operator="equal">
      <formula>$J$15</formula>
    </cfRule>
    <cfRule type="containsText" dxfId="245" priority="28" operator="containsText" text="Cardã">
      <formula>NOT(ISERROR(SEARCH("Cardã",B5)))</formula>
    </cfRule>
    <cfRule type="containsText" dxfId="244" priority="29" operator="containsText" text="Pneu">
      <formula>NOT(ISERROR(SEARCH("Pneu",B5)))</formula>
    </cfRule>
    <cfRule type="containsText" dxfId="243" priority="30" operator="containsText" text="Vedação">
      <formula>NOT(ISERROR(SEARCH("Vedação",B5)))</formula>
    </cfRule>
    <cfRule type="containsText" dxfId="242" priority="31" operator="containsText" text="Retentor">
      <formula>NOT(ISERROR(SEARCH("Retentor",B5)))</formula>
    </cfRule>
    <cfRule type="containsText" dxfId="241" priority="32" operator="containsText" text="Motorredutor">
      <formula>NOT(ISERROR(SEARCH("Motorredutor",B5)))</formula>
    </cfRule>
    <cfRule type="containsText" dxfId="240" priority="33" operator="containsText" text="Redutor">
      <formula>NOT(ISERROR(SEARCH("Redutor",B5)))</formula>
    </cfRule>
    <cfRule type="containsText" dxfId="239" priority="34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DDF5C757-BAE4-486F-B585-26AE16222F20}">
      <formula1>$J$5:$J$19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7EBF9E7B-8F8C-40F3-8121-54F81D79DE2B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3" operator="containsText" id="{33CDF7CB-AC1C-4949-B771-AF2788CBEDF4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4" operator="containsText" id="{6E9EE90F-CCC8-4DB2-B636-54ABA03A3264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5" operator="containsText" id="{357DBC34-D07D-41D9-9308-F2CDEBC9AA9B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6" operator="containsText" id="{A4876293-CA7A-49CD-96B9-C36C378A09F9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7" operator="containsText" id="{9AF0BF21-DE2C-423F-98C5-3DF299CC5770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8" operator="containsText" id="{1DED481B-46B6-4A7B-98B9-1DBB7540A9F5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9" operator="containsText" id="{35530B88-1C90-4ADF-A077-7F8B4F49C2CF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0" operator="containsText" id="{3D931464-3A25-46D6-B534-3D0864777B1B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1" operator="containsText" id="{717D7E4C-7C70-4234-A092-4067E7B9958A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2" operator="containsText" id="{E7AE0173-6C85-4BD3-83CF-019C3CC51583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3" operator="containsText" id="{5018AEB5-1A17-4811-8ACB-7FABA8E612EA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4" operator="containsText" id="{1D8B7918-6027-49BC-AD14-5CB663ECA1EB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15" operator="containsText" id="{E421D050-85DA-43D6-B94E-9641473A0FF4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6" operator="containsText" id="{8FBAEE3C-37E2-47A6-82CD-C36C3C38C803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D5AA31A4-0A54-4610-8920-E6638DBDCF9C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" operator="containsText" id="{AA987D17-BDE2-480F-98CA-540C13015145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9" operator="containsText" id="{C9094206-8FE8-42C7-9497-ABC87EEDF1F2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0" operator="containsText" id="{9BEEAC18-5A7C-4C0F-8768-76CB3701B80B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21" operator="containsText" id="{B761E55D-26C0-4835-8608-73A2873879B0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2" operator="containsText" id="{1B059412-F740-495B-8041-AD1AF94E3FF7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1" operator="containsText" id="{2190925D-1837-4083-AFCB-28F6896E150B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24" operator="containsText" id="{2F117495-A9CA-4A04-B08C-A1578D6F79A7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B5:H109</xm:sqref>
        </x14:conditionalFormatting>
      </x14:conditionalFormatting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9C53-846C-4627-A31A-E1A106E5B775}">
  <sheetPr>
    <tabColor theme="7"/>
    <pageSetUpPr fitToPage="1"/>
  </sheetPr>
  <dimension ref="A1:P109"/>
  <sheetViews>
    <sheetView showGridLines="0" zoomScale="115" zoomScaleNormal="115" workbookViewId="0">
      <pane xSplit="1" ySplit="4" topLeftCell="B62" activePane="bottomRight" state="frozen"/>
      <selection pane="topRight" activeCell="B1" sqref="B1"/>
      <selection pane="bottomLeft" activeCell="A5" sqref="A5"/>
      <selection pane="bottomRight" activeCell="F27" sqref="F27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85546875" bestFit="1" customWidth="1"/>
  </cols>
  <sheetData>
    <row r="1" spans="1:16" s="8" customFormat="1" x14ac:dyDescent="0.25">
      <c r="A1" s="57" t="s">
        <v>191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45089</v>
      </c>
      <c r="C3" s="43">
        <f>B3+1</f>
        <v>45090</v>
      </c>
      <c r="D3" s="43">
        <f t="shared" ref="D3:H3" si="0">C3+1</f>
        <v>45091</v>
      </c>
      <c r="E3" s="43">
        <f t="shared" si="0"/>
        <v>45092</v>
      </c>
      <c r="F3" s="43">
        <f t="shared" si="0"/>
        <v>45093</v>
      </c>
      <c r="G3" s="43">
        <f t="shared" si="0"/>
        <v>45094</v>
      </c>
      <c r="H3" s="43">
        <f t="shared" si="0"/>
        <v>45095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 t="shared" ref="K5:K18" si="3">COUNTIF($B$5:$H$109,J5)</f>
        <v>0</v>
      </c>
      <c r="L5" s="45">
        <f t="shared" ref="L5:L19" si="4">K5/$K$20</f>
        <v>0</v>
      </c>
      <c r="M5" s="48">
        <f>B3</f>
        <v>45089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si="3"/>
        <v>0</v>
      </c>
      <c r="L6" s="45">
        <f t="shared" si="4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3</v>
      </c>
      <c r="L7" s="45">
        <f t="shared" si="4"/>
        <v>0.25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2</v>
      </c>
      <c r="L8" s="45">
        <f t="shared" si="4"/>
        <v>0.16666666666666666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1</v>
      </c>
      <c r="L9" s="45">
        <f t="shared" si="4"/>
        <v>8.3333333333333329E-2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0</v>
      </c>
      <c r="L10" s="45">
        <f t="shared" si="4"/>
        <v>0</v>
      </c>
    </row>
    <row r="11" spans="1:16" x14ac:dyDescent="0.25">
      <c r="A11" s="11" t="s">
        <v>25</v>
      </c>
      <c r="B11" s="16" t="s">
        <v>9</v>
      </c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1</v>
      </c>
      <c r="L11" s="45">
        <f t="shared" si="4"/>
        <v>8.3333333333333329E-2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0</v>
      </c>
      <c r="L13" s="45">
        <f t="shared" si="4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0</v>
      </c>
      <c r="L14" s="45">
        <f t="shared" si="4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0</v>
      </c>
      <c r="L16" s="45">
        <f t="shared" si="4"/>
        <v>0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6" t="s">
        <v>192</v>
      </c>
      <c r="K17" s="4">
        <f t="shared" si="3"/>
        <v>5</v>
      </c>
      <c r="L17" s="45">
        <f t="shared" si="4"/>
        <v>0.41666666666666669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t="s">
        <v>193</v>
      </c>
      <c r="K18" s="4">
        <f t="shared" si="3"/>
        <v>0</v>
      </c>
      <c r="L18" s="45">
        <f t="shared" si="4"/>
        <v>0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  <c r="J19" s="53" t="s">
        <v>148</v>
      </c>
      <c r="K19" s="4">
        <f>COUNTIF($B$5:$H$109,J19)</f>
        <v>0</v>
      </c>
      <c r="L19" s="45">
        <f t="shared" si="4"/>
        <v>0</v>
      </c>
    </row>
    <row r="20" spans="1:12" x14ac:dyDescent="0.25">
      <c r="A20" s="11" t="s">
        <v>35</v>
      </c>
      <c r="B20" s="16"/>
      <c r="C20" s="16"/>
      <c r="D20" s="16"/>
      <c r="E20" s="16"/>
      <c r="F20" s="16"/>
      <c r="G20" s="16"/>
      <c r="H20" s="16"/>
      <c r="J20" s="1" t="s">
        <v>1</v>
      </c>
      <c r="K20" s="1">
        <f>SUM(K5:K18)</f>
        <v>12</v>
      </c>
    </row>
    <row r="21" spans="1:12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2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2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2" x14ac:dyDescent="0.25">
      <c r="A24" s="11" t="s">
        <v>39</v>
      </c>
      <c r="B24" s="16" t="s">
        <v>6</v>
      </c>
      <c r="C24" s="16"/>
      <c r="D24" s="16"/>
      <c r="E24" s="16"/>
      <c r="F24" s="16"/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 t="s">
        <v>5</v>
      </c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 t="s">
        <v>192</v>
      </c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 t="s">
        <v>5</v>
      </c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175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177</v>
      </c>
      <c r="B65" s="16" t="s">
        <v>6</v>
      </c>
      <c r="C65" s="16"/>
      <c r="D65" s="16"/>
      <c r="E65" s="16"/>
      <c r="F65" s="16"/>
      <c r="G65" s="16"/>
      <c r="H65" s="16"/>
    </row>
    <row r="66" spans="1:8" x14ac:dyDescent="0.25">
      <c r="A66" s="11" t="s">
        <v>178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183</v>
      </c>
      <c r="B71" s="16"/>
      <c r="C71" s="16"/>
      <c r="D71" s="16" t="s">
        <v>192</v>
      </c>
      <c r="E71" s="16"/>
      <c r="F71" s="16"/>
      <c r="G71" s="16"/>
      <c r="H71" s="16"/>
    </row>
    <row r="72" spans="1:8" x14ac:dyDescent="0.25">
      <c r="A72" s="11" t="s">
        <v>184</v>
      </c>
      <c r="B72" s="16"/>
      <c r="C72" s="16"/>
      <c r="D72" s="16" t="s">
        <v>192</v>
      </c>
      <c r="E72" s="16"/>
      <c r="F72" s="16"/>
      <c r="G72" s="16"/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 t="s">
        <v>192</v>
      </c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 t="s">
        <v>192</v>
      </c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 t="s">
        <v>7</v>
      </c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/>
      <c r="C99" s="16"/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 t="s">
        <v>5</v>
      </c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108</v>
      </c>
      <c r="B109" s="16"/>
      <c r="C109" s="16"/>
      <c r="D109" s="16"/>
      <c r="E109" s="16"/>
      <c r="F109" s="16"/>
      <c r="G109" s="16"/>
      <c r="H109" s="16"/>
    </row>
  </sheetData>
  <mergeCells count="1">
    <mergeCell ref="A1:H2"/>
  </mergeCells>
  <conditionalFormatting sqref="A1:A1048576">
    <cfRule type="containsText" dxfId="238" priority="23" operator="containsText" text="Pivô ">
      <formula>NOT(ISERROR(SEARCH("Pivô ",A1)))</formula>
    </cfRule>
  </conditionalFormatting>
  <conditionalFormatting sqref="B5:H109">
    <cfRule type="cellIs" dxfId="214" priority="25" operator="equal">
      <formula>$J$17</formula>
    </cfRule>
    <cfRule type="cellIs" dxfId="213" priority="26" operator="equal">
      <formula>$J$19</formula>
    </cfRule>
    <cfRule type="cellIs" dxfId="212" priority="27" operator="equal">
      <formula>$J$15</formula>
    </cfRule>
    <cfRule type="containsText" dxfId="211" priority="28" operator="containsText" text="Cardã">
      <formula>NOT(ISERROR(SEARCH("Cardã",B5)))</formula>
    </cfRule>
    <cfRule type="containsText" dxfId="210" priority="29" operator="containsText" text="Pneu">
      <formula>NOT(ISERROR(SEARCH("Pneu",B5)))</formula>
    </cfRule>
    <cfRule type="containsText" dxfId="209" priority="30" operator="containsText" text="Vedação">
      <formula>NOT(ISERROR(SEARCH("Vedação",B5)))</formula>
    </cfRule>
    <cfRule type="containsText" dxfId="208" priority="31" operator="containsText" text="Retentor">
      <formula>NOT(ISERROR(SEARCH("Retentor",B5)))</formula>
    </cfRule>
    <cfRule type="containsText" dxfId="207" priority="32" operator="containsText" text="Motorredutor">
      <formula>NOT(ISERROR(SEARCH("Motorredutor",B5)))</formula>
    </cfRule>
    <cfRule type="containsText" dxfId="206" priority="33" operator="containsText" text="Redutor">
      <formula>NOT(ISERROR(SEARCH("Redutor",B5)))</formula>
    </cfRule>
    <cfRule type="containsText" dxfId="205" priority="34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39627795-477F-42E5-A432-ECDA2340BCEE}">
      <formula1>$J$5:$J$19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866EE3C9-D4B2-49D6-956D-279C7A87E1DD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3" operator="containsText" id="{DF10EDF4-B514-4F79-947E-3B89121C2E0D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4" operator="containsText" id="{7AC3AC29-CDC7-496D-9441-2E5E69B42630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5" operator="containsText" id="{2DBABBD1-9FB5-45A0-BF45-0E68CCA3B777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6" operator="containsText" id="{E7820C10-A48D-4252-8DDC-D973D2CEB388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7" operator="containsText" id="{808E13D4-6775-41E1-B97A-528830848601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8" operator="containsText" id="{7A9703CC-9F19-4A7E-9C20-183A7C7178A9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9" operator="containsText" id="{92C2A02B-AE85-446E-95B6-829D9FB74C4C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0" operator="containsText" id="{2C1E2FAA-8BC0-4C5A-927A-6AB7A9B56950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1" operator="containsText" id="{1D266FA1-F3B8-402F-B8E3-1EC5745DAA72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2" operator="containsText" id="{B33DFC2A-C4A9-4403-84F0-34627D3DBD7E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3" operator="containsText" id="{DCC9A011-A475-4FC3-B33A-5E9394926EE3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4" operator="containsText" id="{332A89FB-D5C4-4101-BB72-D730CF93E575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15" operator="containsText" id="{C74E8231-08FA-4E5D-ACAF-9D2E485E520B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6" operator="containsText" id="{8CBE53C4-8457-447A-82A9-ED6DED30614F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77F1A7BB-2B4D-44ED-8F98-6BF724ED523A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" operator="containsText" id="{43AA5BDC-A07B-4AB6-BBA8-10E1CE5F561D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9" operator="containsText" id="{6685ABDB-AAFF-4D7D-8D93-E51E6761B78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0" operator="containsText" id="{EB3514BA-10BA-4F0C-9D8F-41EE3EC2F043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21" operator="containsText" id="{C530A8D4-50D4-4D92-A727-050911BBF675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2" operator="containsText" id="{10CE1730-9232-488F-9F13-880A5B86A8B9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1" operator="containsText" id="{A4FE5944-8C59-48DC-BB6C-367DD4D9258D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24" operator="containsText" id="{335C619D-781F-4683-95FA-EB9DFBB43901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B5:H109</xm:sqref>
        </x14:conditionalFormatting>
      </x14:conditionalFormatting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1EFCD-9CA4-4D75-AEEB-C26DBE0A75B0}">
  <sheetPr>
    <tabColor theme="7"/>
    <pageSetUpPr fitToPage="1"/>
  </sheetPr>
  <dimension ref="A1:P111"/>
  <sheetViews>
    <sheetView showGridLines="0" zoomScale="115" zoomScaleNormal="115"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J5" sqref="J5:M19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85546875" bestFit="1" customWidth="1"/>
  </cols>
  <sheetData>
    <row r="1" spans="1:16" s="8" customFormat="1" x14ac:dyDescent="0.25">
      <c r="A1" s="57" t="s">
        <v>191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45096</v>
      </c>
      <c r="C3" s="43">
        <f>B3+1</f>
        <v>45097</v>
      </c>
      <c r="D3" s="43">
        <f t="shared" ref="D3:H3" si="0">C3+1</f>
        <v>45098</v>
      </c>
      <c r="E3" s="43">
        <f t="shared" si="0"/>
        <v>45099</v>
      </c>
      <c r="F3" s="43">
        <f t="shared" si="0"/>
        <v>45100</v>
      </c>
      <c r="G3" s="43">
        <f t="shared" si="0"/>
        <v>45101</v>
      </c>
      <c r="H3" s="43">
        <f t="shared" si="0"/>
        <v>45102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 t="shared" ref="K5:K18" si="3">COUNTIF($B$5:$H$111,J5)</f>
        <v>4</v>
      </c>
      <c r="L5" s="45">
        <f t="shared" ref="L5:L19" si="4">K5/$K$20</f>
        <v>0.5</v>
      </c>
      <c r="M5" s="48">
        <f>B3</f>
        <v>45096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si="3"/>
        <v>0</v>
      </c>
      <c r="L6" s="45">
        <f t="shared" si="4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4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0</v>
      </c>
      <c r="L8" s="45">
        <f t="shared" si="4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0</v>
      </c>
      <c r="L9" s="45">
        <f t="shared" si="4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1</v>
      </c>
      <c r="L10" s="45">
        <f t="shared" si="4"/>
        <v>0.125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1</v>
      </c>
      <c r="L11" s="45">
        <f t="shared" si="4"/>
        <v>0.125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0</v>
      </c>
      <c r="L13" s="45">
        <f t="shared" si="4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1</v>
      </c>
      <c r="L14" s="45">
        <f t="shared" si="4"/>
        <v>0.125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1</v>
      </c>
      <c r="L16" s="45">
        <f t="shared" si="4"/>
        <v>0.125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6" t="s">
        <v>192</v>
      </c>
      <c r="K17" s="4">
        <f t="shared" si="3"/>
        <v>0</v>
      </c>
      <c r="L17" s="45">
        <f t="shared" si="4"/>
        <v>0</v>
      </c>
    </row>
    <row r="18" spans="1:12" x14ac:dyDescent="0.25">
      <c r="A18" s="11" t="s">
        <v>33</v>
      </c>
      <c r="B18" s="16"/>
      <c r="C18" s="16"/>
      <c r="D18" s="16" t="s">
        <v>8</v>
      </c>
      <c r="E18" s="16"/>
      <c r="F18" s="16"/>
      <c r="G18" s="16"/>
      <c r="H18" s="16"/>
      <c r="J18" t="s">
        <v>193</v>
      </c>
      <c r="K18" s="4">
        <f t="shared" si="3"/>
        <v>0</v>
      </c>
      <c r="L18" s="45">
        <f t="shared" si="4"/>
        <v>0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  <c r="J19" s="53" t="s">
        <v>148</v>
      </c>
      <c r="K19" s="4">
        <f>COUNTIF($B$5:$H$111,J19)</f>
        <v>0</v>
      </c>
      <c r="L19" s="45">
        <f t="shared" si="4"/>
        <v>0</v>
      </c>
    </row>
    <row r="20" spans="1:12" x14ac:dyDescent="0.25">
      <c r="A20" s="11" t="s">
        <v>35</v>
      </c>
      <c r="B20" s="16"/>
      <c r="C20" s="16"/>
      <c r="D20" s="16"/>
      <c r="E20" s="16"/>
      <c r="F20" s="16"/>
      <c r="G20" s="16"/>
      <c r="H20" s="16"/>
      <c r="J20" s="1" t="s">
        <v>1</v>
      </c>
      <c r="K20" s="1">
        <f>SUM(K5:K18)</f>
        <v>8</v>
      </c>
    </row>
    <row r="21" spans="1:12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2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2" x14ac:dyDescent="0.25">
      <c r="A23" s="11" t="s">
        <v>38</v>
      </c>
      <c r="B23" s="16"/>
      <c r="C23" s="16"/>
      <c r="D23" s="16" t="s">
        <v>144</v>
      </c>
      <c r="E23" s="16"/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 t="s">
        <v>9</v>
      </c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 t="s">
        <v>190</v>
      </c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 t="s">
        <v>112</v>
      </c>
      <c r="C51" s="16" t="s">
        <v>112</v>
      </c>
      <c r="D51" s="16" t="s">
        <v>112</v>
      </c>
      <c r="E51" s="16" t="s">
        <v>112</v>
      </c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175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177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178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183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184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/>
      <c r="C99" s="16"/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202</v>
      </c>
      <c r="B109" s="16"/>
      <c r="C109" s="16"/>
      <c r="D109" s="16"/>
      <c r="E109" s="16"/>
      <c r="F109" s="16"/>
      <c r="G109" s="16"/>
      <c r="H109" s="16"/>
    </row>
    <row r="110" spans="1:8" x14ac:dyDescent="0.25">
      <c r="A110" s="11" t="s">
        <v>203</v>
      </c>
      <c r="B110" s="16"/>
      <c r="C110" s="16"/>
      <c r="D110" s="16"/>
      <c r="E110" s="16"/>
      <c r="F110" s="16"/>
      <c r="G110" s="16"/>
      <c r="H110" s="16"/>
    </row>
    <row r="111" spans="1:8" x14ac:dyDescent="0.25">
      <c r="A111" s="11" t="s">
        <v>108</v>
      </c>
      <c r="B111" s="16"/>
      <c r="C111" s="16"/>
      <c r="D111" s="16"/>
      <c r="E111" s="16"/>
      <c r="F111" s="16"/>
      <c r="G111" s="16"/>
      <c r="H111" s="16"/>
    </row>
  </sheetData>
  <mergeCells count="1">
    <mergeCell ref="A1:H2"/>
  </mergeCells>
  <phoneticPr fontId="3" type="noConversion"/>
  <conditionalFormatting sqref="A1:A1048576">
    <cfRule type="containsText" dxfId="204" priority="23" operator="containsText" text="Pivô ">
      <formula>NOT(ISERROR(SEARCH("Pivô ",A1)))</formula>
    </cfRule>
  </conditionalFormatting>
  <conditionalFormatting sqref="B5:H111">
    <cfRule type="cellIs" dxfId="180" priority="25" operator="equal">
      <formula>$J$17</formula>
    </cfRule>
    <cfRule type="cellIs" dxfId="179" priority="26" operator="equal">
      <formula>$J$19</formula>
    </cfRule>
    <cfRule type="cellIs" dxfId="178" priority="27" operator="equal">
      <formula>$J$15</formula>
    </cfRule>
    <cfRule type="containsText" dxfId="177" priority="28" operator="containsText" text="Cardã">
      <formula>NOT(ISERROR(SEARCH("Cardã",B5)))</formula>
    </cfRule>
    <cfRule type="containsText" dxfId="176" priority="29" operator="containsText" text="Pneu">
      <formula>NOT(ISERROR(SEARCH("Pneu",B5)))</formula>
    </cfRule>
    <cfRule type="containsText" dxfId="175" priority="30" operator="containsText" text="Vedação">
      <formula>NOT(ISERROR(SEARCH("Vedação",B5)))</formula>
    </cfRule>
    <cfRule type="containsText" dxfId="174" priority="31" operator="containsText" text="Retentor">
      <formula>NOT(ISERROR(SEARCH("Retentor",B5)))</formula>
    </cfRule>
    <cfRule type="containsText" dxfId="173" priority="32" operator="containsText" text="Motorredutor">
      <formula>NOT(ISERROR(SEARCH("Motorredutor",B5)))</formula>
    </cfRule>
    <cfRule type="containsText" dxfId="172" priority="33" operator="containsText" text="Redutor">
      <formula>NOT(ISERROR(SEARCH("Redutor",B5)))</formula>
    </cfRule>
    <cfRule type="containsText" dxfId="171" priority="34" operator="containsText" text="Bomba">
      <formula>NOT(ISERROR(SEARCH("Bomba",B5)))</formula>
    </cfRule>
  </conditionalFormatting>
  <dataValidations count="1">
    <dataValidation type="list" allowBlank="1" showInputMessage="1" showErrorMessage="1" sqref="B5:H111" xr:uid="{A33C7EF6-DDD9-430A-803B-F8CA30594188}">
      <formula1>$J$5:$J$19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7B4EF80-8208-482C-86FC-59EB91B69B7D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3" operator="containsText" id="{A8C84DF2-BA87-4DC0-9293-A1A97A6E45BF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4" operator="containsText" id="{E0E447E3-FC73-468D-9875-5F630CF39FDD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5" operator="containsText" id="{811A55D9-1658-4ECA-8805-C2A0427AF1A3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6" operator="containsText" id="{4F01F041-F5A1-4678-AD58-BB96A40CBCCC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7" operator="containsText" id="{E3046B42-2D7E-46B3-83DA-C9DD6FD24AC6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8" operator="containsText" id="{0F90D209-E66B-4779-A38B-F030BD09EFDB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9" operator="containsText" id="{D027EDD9-39E1-48A0-B781-93353B1B86B2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0" operator="containsText" id="{3810A3ED-8DC0-4DC4-9256-8BD058635009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1" operator="containsText" id="{98BC9595-F867-45D1-83EF-03BF8DB1A8CB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2" operator="containsText" id="{0C6EFB55-B0EE-43EC-B80E-FAC7431947B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3" operator="containsText" id="{53787C47-768A-43CB-91CB-229852D24AD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4" operator="containsText" id="{67E3FC08-C395-4A87-9AE7-3F9B1C489325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15" operator="containsText" id="{D3806D44-300D-4C63-BA05-350806BC3F33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6" operator="containsText" id="{5818E894-EA62-4B0B-B0CD-0F83BE3ADFBF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9F7CD397-3A2C-4791-8864-161AFE281CF6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" operator="containsText" id="{BC3D0B0C-4911-4609-A74F-D5FFC0445D63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9" operator="containsText" id="{A99AF33A-E8D8-4AEB-82A1-DC4EEC5F3602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0" operator="containsText" id="{4C580B45-BD84-4451-B364-F9CC39D34702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21" operator="containsText" id="{C5A91845-9E5F-469D-9EE8-42F4F5132848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2" operator="containsText" id="{51184F37-89D9-4566-87F2-2EB908AFB7D7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1" operator="containsText" id="{E76570DE-6CA8-45A5-A3E1-AEF1DF872053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24" operator="containsText" id="{639CA84B-FBC4-475F-9C2D-9365F5332729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B5:H111</xm:sqref>
        </x14:conditionalFormatting>
      </x14:conditionalFormatting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88DE-B866-4B0B-9AEA-216E2CCF083E}">
  <sheetPr>
    <tabColor theme="7"/>
    <pageSetUpPr fitToPage="1"/>
  </sheetPr>
  <dimension ref="A1:P111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19" sqref="E19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85546875" bestFit="1" customWidth="1"/>
  </cols>
  <sheetData>
    <row r="1" spans="1:16" s="8" customFormat="1" x14ac:dyDescent="0.25">
      <c r="A1" s="57" t="s">
        <v>191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45103</v>
      </c>
      <c r="C3" s="43">
        <f>B3+1</f>
        <v>45104</v>
      </c>
      <c r="D3" s="43">
        <f t="shared" ref="D3:H3" si="0">C3+1</f>
        <v>45105</v>
      </c>
      <c r="E3" s="43">
        <f t="shared" si="0"/>
        <v>45106</v>
      </c>
      <c r="F3" s="43">
        <f t="shared" si="0"/>
        <v>45107</v>
      </c>
      <c r="G3" s="43">
        <f t="shared" si="0"/>
        <v>45108</v>
      </c>
      <c r="H3" s="43">
        <f t="shared" si="0"/>
        <v>45109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 t="s">
        <v>9</v>
      </c>
      <c r="E5" s="16"/>
      <c r="F5" s="16"/>
      <c r="G5" s="16"/>
      <c r="H5" s="16"/>
      <c r="J5" s="17" t="s">
        <v>112</v>
      </c>
      <c r="K5" s="4">
        <f t="shared" ref="K5:K18" si="3">COUNTIF($B$5:$H$111,J5)</f>
        <v>0</v>
      </c>
      <c r="L5" s="45">
        <f t="shared" ref="L5:L19" si="4">K5/$K$20</f>
        <v>0</v>
      </c>
      <c r="M5" s="48">
        <f>B3</f>
        <v>45103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si="3"/>
        <v>0</v>
      </c>
      <c r="L6" s="45">
        <f t="shared" si="4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4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0</v>
      </c>
      <c r="L8" s="45">
        <f t="shared" si="4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0</v>
      </c>
      <c r="L9" s="45">
        <f t="shared" si="4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0</v>
      </c>
      <c r="L10" s="45">
        <f t="shared" si="4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1</v>
      </c>
      <c r="L11" s="45">
        <f t="shared" si="4"/>
        <v>0.33333333333333331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0</v>
      </c>
      <c r="L13" s="45">
        <f t="shared" si="4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0</v>
      </c>
      <c r="L14" s="45">
        <f t="shared" si="4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1</v>
      </c>
      <c r="L16" s="45">
        <f t="shared" si="4"/>
        <v>0.33333333333333331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6" t="s">
        <v>192</v>
      </c>
      <c r="K17" s="4">
        <f t="shared" si="3"/>
        <v>0</v>
      </c>
      <c r="L17" s="45">
        <f t="shared" si="4"/>
        <v>0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t="s">
        <v>193</v>
      </c>
      <c r="K18" s="4">
        <f t="shared" si="3"/>
        <v>1</v>
      </c>
      <c r="L18" s="45">
        <f t="shared" si="4"/>
        <v>0.33333333333333331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  <c r="J19" s="53" t="s">
        <v>148</v>
      </c>
      <c r="K19" s="4">
        <f>COUNTIF($B$5:$H$111,J19)</f>
        <v>0</v>
      </c>
      <c r="L19" s="45">
        <f t="shared" si="4"/>
        <v>0</v>
      </c>
    </row>
    <row r="20" spans="1:12" x14ac:dyDescent="0.25">
      <c r="A20" s="11" t="s">
        <v>35</v>
      </c>
      <c r="B20" s="16"/>
      <c r="C20" s="16"/>
      <c r="D20" s="16"/>
      <c r="E20" s="16"/>
      <c r="F20" s="16"/>
      <c r="G20" s="16"/>
      <c r="H20" s="16"/>
      <c r="J20" s="1" t="s">
        <v>1</v>
      </c>
      <c r="K20" s="1">
        <f>SUM(K5:K18)</f>
        <v>3</v>
      </c>
    </row>
    <row r="21" spans="1:12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2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2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 t="s">
        <v>190</v>
      </c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 t="s">
        <v>193</v>
      </c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175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177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178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183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184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/>
      <c r="C99" s="16"/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202</v>
      </c>
      <c r="B109" s="16"/>
      <c r="C109" s="16"/>
      <c r="D109" s="16"/>
      <c r="E109" s="16"/>
      <c r="F109" s="16"/>
      <c r="G109" s="16"/>
      <c r="H109" s="16"/>
    </row>
    <row r="110" spans="1:8" x14ac:dyDescent="0.25">
      <c r="A110" s="11" t="s">
        <v>203</v>
      </c>
      <c r="B110" s="16"/>
      <c r="C110" s="16"/>
      <c r="D110" s="16"/>
      <c r="E110" s="16"/>
      <c r="F110" s="16"/>
      <c r="G110" s="16"/>
      <c r="H110" s="16"/>
    </row>
    <row r="111" spans="1:8" x14ac:dyDescent="0.25">
      <c r="A111" s="11" t="s">
        <v>108</v>
      </c>
      <c r="B111" s="16"/>
      <c r="C111" s="16"/>
      <c r="D111" s="16"/>
      <c r="E111" s="16"/>
      <c r="F111" s="16"/>
      <c r="G111" s="16"/>
      <c r="H111" s="16"/>
    </row>
  </sheetData>
  <mergeCells count="1">
    <mergeCell ref="A1:H2"/>
  </mergeCells>
  <conditionalFormatting sqref="A1:A1048576">
    <cfRule type="containsText" dxfId="170" priority="23" operator="containsText" text="Pivô ">
      <formula>NOT(ISERROR(SEARCH("Pivô ",A1)))</formula>
    </cfRule>
  </conditionalFormatting>
  <conditionalFormatting sqref="B5:H111">
    <cfRule type="cellIs" dxfId="146" priority="25" operator="equal">
      <formula>$J$17</formula>
    </cfRule>
    <cfRule type="cellIs" dxfId="145" priority="26" operator="equal">
      <formula>$J$19</formula>
    </cfRule>
    <cfRule type="cellIs" dxfId="144" priority="27" operator="equal">
      <formula>$J$15</formula>
    </cfRule>
    <cfRule type="containsText" dxfId="143" priority="28" operator="containsText" text="Cardã">
      <formula>NOT(ISERROR(SEARCH("Cardã",B5)))</formula>
    </cfRule>
    <cfRule type="containsText" dxfId="142" priority="29" operator="containsText" text="Pneu">
      <formula>NOT(ISERROR(SEARCH("Pneu",B5)))</formula>
    </cfRule>
    <cfRule type="containsText" dxfId="141" priority="30" operator="containsText" text="Vedação">
      <formula>NOT(ISERROR(SEARCH("Vedação",B5)))</formula>
    </cfRule>
    <cfRule type="containsText" dxfId="140" priority="31" operator="containsText" text="Retentor">
      <formula>NOT(ISERROR(SEARCH("Retentor",B5)))</formula>
    </cfRule>
    <cfRule type="containsText" dxfId="139" priority="32" operator="containsText" text="Motorredutor">
      <formula>NOT(ISERROR(SEARCH("Motorredutor",B5)))</formula>
    </cfRule>
    <cfRule type="containsText" dxfId="138" priority="33" operator="containsText" text="Redutor">
      <formula>NOT(ISERROR(SEARCH("Redutor",B5)))</formula>
    </cfRule>
    <cfRule type="containsText" dxfId="137" priority="34" operator="containsText" text="Bomba">
      <formula>NOT(ISERROR(SEARCH("Bomba",B5)))</formula>
    </cfRule>
  </conditionalFormatting>
  <dataValidations count="1">
    <dataValidation type="list" allowBlank="1" showInputMessage="1" showErrorMessage="1" sqref="B5:H111" xr:uid="{B83A4B4C-E69A-4D2F-94CF-8923306E2D92}">
      <formula1>$J$5:$J$19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1435C7AF-2CB7-4AE8-B8D4-8FEEB632575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3" operator="containsText" id="{2DAE68A0-8413-45FB-9DC1-22CB5B1D26D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4" operator="containsText" id="{BF9D57B5-B821-4FA3-87E4-82324F944AB9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5" operator="containsText" id="{C842A35A-C734-4A96-9651-9CFF0D034135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6" operator="containsText" id="{1FD0C2FD-0100-4749-9883-3205D1BD79BB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7" operator="containsText" id="{4F6E5323-2E5B-4F8E-ACF7-16E6FE0DE4A0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8" operator="containsText" id="{55C872A6-C04C-45BE-971D-8CE7D532AFF9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9" operator="containsText" id="{1FE12E2D-6D26-412D-BFE6-F523D754D87C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0" operator="containsText" id="{84B84B93-D284-4D07-9125-942F5D176DBA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1" operator="containsText" id="{60CBE3B6-A196-4C59-97D2-C4A5E06DFB4E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2" operator="containsText" id="{3222B2CD-3D0B-4E9B-9AF9-ECF128A16569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3" operator="containsText" id="{33F4C966-6676-4848-B7F9-3FF35344D56C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4" operator="containsText" id="{D9CBA379-2E6B-4301-88AC-DA305ABE41B9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15" operator="containsText" id="{5AB6D3F7-9364-4FE9-B305-B1A6E6E2C6D1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6" operator="containsText" id="{86E9F4C0-EEB5-4BC0-8A2A-DE3DD4426B39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D3BB9A35-5AA6-4A83-91C5-6F494CA94E04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" operator="containsText" id="{B7C18C36-444C-4DFB-8050-88B77F309271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9" operator="containsText" id="{485BA4D8-8E00-42C4-9F85-96665BF34675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0" operator="containsText" id="{EF923D70-9CDC-4D44-AE58-A814E0192916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21" operator="containsText" id="{91C763BC-7AB8-481A-83FD-7A8BB3445665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2" operator="containsText" id="{4186D09D-1142-4CFD-99D6-315A52FBD2AB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1" operator="containsText" id="{9112C84F-14F1-458B-B5C2-EA8DA9D497D1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24" operator="containsText" id="{6FA7916F-7F80-4BE5-B898-E5DA264D57B5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B5:H111</xm:sqref>
        </x14:conditionalFormatting>
      </x14:conditionalFormatting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B281-A100-4F8A-BB78-7844335A7838}">
  <sheetPr>
    <tabColor theme="7"/>
    <pageSetUpPr fitToPage="1"/>
  </sheetPr>
  <dimension ref="A1:P111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5" sqref="J5:M19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85546875" bestFit="1" customWidth="1"/>
  </cols>
  <sheetData>
    <row r="1" spans="1:16" s="8" customFormat="1" x14ac:dyDescent="0.25">
      <c r="A1" s="57" t="s">
        <v>191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45110</v>
      </c>
      <c r="C3" s="43">
        <f>B3+1</f>
        <v>45111</v>
      </c>
      <c r="D3" s="43">
        <f t="shared" ref="D3:H3" si="0">C3+1</f>
        <v>45112</v>
      </c>
      <c r="E3" s="43">
        <f t="shared" si="0"/>
        <v>45113</v>
      </c>
      <c r="F3" s="43">
        <f t="shared" si="0"/>
        <v>45114</v>
      </c>
      <c r="G3" s="43">
        <f t="shared" si="0"/>
        <v>45115</v>
      </c>
      <c r="H3" s="43">
        <f t="shared" si="0"/>
        <v>45116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 t="shared" ref="K5:K18" si="3">COUNTIF($B$5:$H$111,J5)</f>
        <v>0</v>
      </c>
      <c r="L5" s="45">
        <f t="shared" ref="L5:L19" si="4">K5/$K$20</f>
        <v>0</v>
      </c>
      <c r="M5" s="48">
        <f>B3</f>
        <v>45110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si="3"/>
        <v>0</v>
      </c>
      <c r="L6" s="45">
        <f t="shared" si="4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4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0</v>
      </c>
      <c r="L8" s="45">
        <f t="shared" si="4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1</v>
      </c>
      <c r="L9" s="45">
        <f t="shared" si="4"/>
        <v>0.2</v>
      </c>
      <c r="P9" s="2"/>
    </row>
    <row r="10" spans="1:16" x14ac:dyDescent="0.25">
      <c r="A10" s="11" t="s">
        <v>24</v>
      </c>
      <c r="B10" s="16"/>
      <c r="C10" s="16" t="s">
        <v>192</v>
      </c>
      <c r="D10" s="16"/>
      <c r="E10" s="16"/>
      <c r="F10" s="16"/>
      <c r="G10" s="16"/>
      <c r="H10" s="16"/>
      <c r="J10" s="22" t="s">
        <v>8</v>
      </c>
      <c r="K10" s="4">
        <f t="shared" si="3"/>
        <v>0</v>
      </c>
      <c r="L10" s="45">
        <f t="shared" si="4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0</v>
      </c>
      <c r="L11" s="45">
        <f t="shared" si="4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0</v>
      </c>
      <c r="L13" s="45">
        <f t="shared" si="4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0</v>
      </c>
      <c r="L14" s="45">
        <f t="shared" si="4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0</v>
      </c>
      <c r="L16" s="45">
        <f t="shared" si="4"/>
        <v>0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6" t="s">
        <v>192</v>
      </c>
      <c r="K17" s="4">
        <f t="shared" si="3"/>
        <v>4</v>
      </c>
      <c r="L17" s="45">
        <f t="shared" si="4"/>
        <v>0.8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t="s">
        <v>193</v>
      </c>
      <c r="K18" s="4">
        <f t="shared" si="3"/>
        <v>0</v>
      </c>
      <c r="L18" s="45">
        <f t="shared" si="4"/>
        <v>0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  <c r="J19" s="53" t="s">
        <v>148</v>
      </c>
      <c r="K19" s="4">
        <f>COUNTIF($B$5:$H$111,J19)</f>
        <v>0</v>
      </c>
      <c r="L19" s="45">
        <f t="shared" si="4"/>
        <v>0</v>
      </c>
    </row>
    <row r="20" spans="1:12" x14ac:dyDescent="0.25">
      <c r="A20" s="11" t="s">
        <v>35</v>
      </c>
      <c r="B20" s="16"/>
      <c r="C20" s="16"/>
      <c r="D20" s="16"/>
      <c r="E20" s="16"/>
      <c r="F20" s="16"/>
      <c r="G20" s="16"/>
      <c r="H20" s="16"/>
      <c r="J20" s="1" t="s">
        <v>1</v>
      </c>
      <c r="K20" s="1">
        <f>SUM(K5:K18)</f>
        <v>5</v>
      </c>
    </row>
    <row r="21" spans="1:12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2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2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 t="s">
        <v>192</v>
      </c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 t="s">
        <v>192</v>
      </c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 t="s">
        <v>192</v>
      </c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/>
      <c r="D62" s="16"/>
      <c r="E62" s="16"/>
      <c r="F62" s="16"/>
      <c r="G62" s="16"/>
      <c r="H62" s="16" t="s">
        <v>7</v>
      </c>
    </row>
    <row r="63" spans="1:8" x14ac:dyDescent="0.25">
      <c r="A63" s="11" t="s">
        <v>175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177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178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183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184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/>
      <c r="C99" s="16"/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202</v>
      </c>
      <c r="B109" s="16"/>
      <c r="C109" s="16"/>
      <c r="D109" s="16"/>
      <c r="E109" s="16"/>
      <c r="F109" s="16"/>
      <c r="G109" s="16"/>
      <c r="H109" s="16"/>
    </row>
    <row r="110" spans="1:8" x14ac:dyDescent="0.25">
      <c r="A110" s="11" t="s">
        <v>203</v>
      </c>
      <c r="B110" s="16"/>
      <c r="C110" s="16"/>
      <c r="D110" s="16"/>
      <c r="E110" s="16"/>
      <c r="F110" s="16"/>
      <c r="G110" s="16"/>
      <c r="H110" s="16"/>
    </row>
    <row r="111" spans="1:8" x14ac:dyDescent="0.25">
      <c r="A111" s="11" t="s">
        <v>108</v>
      </c>
      <c r="B111" s="16"/>
      <c r="C111" s="16"/>
      <c r="D111" s="16"/>
      <c r="E111" s="16"/>
      <c r="F111" s="16"/>
      <c r="G111" s="16"/>
      <c r="H111" s="16"/>
    </row>
  </sheetData>
  <mergeCells count="1">
    <mergeCell ref="A1:H2"/>
  </mergeCells>
  <conditionalFormatting sqref="A1:A1048576">
    <cfRule type="containsText" dxfId="136" priority="23" operator="containsText" text="Pivô ">
      <formula>NOT(ISERROR(SEARCH("Pivô ",A1)))</formula>
    </cfRule>
  </conditionalFormatting>
  <conditionalFormatting sqref="B5:H111">
    <cfRule type="cellIs" dxfId="112" priority="25" operator="equal">
      <formula>$J$17</formula>
    </cfRule>
    <cfRule type="cellIs" dxfId="111" priority="26" operator="equal">
      <formula>$J$19</formula>
    </cfRule>
    <cfRule type="cellIs" dxfId="110" priority="27" operator="equal">
      <formula>$J$15</formula>
    </cfRule>
    <cfRule type="containsText" dxfId="109" priority="28" operator="containsText" text="Cardã">
      <formula>NOT(ISERROR(SEARCH("Cardã",B5)))</formula>
    </cfRule>
    <cfRule type="containsText" dxfId="108" priority="29" operator="containsText" text="Pneu">
      <formula>NOT(ISERROR(SEARCH("Pneu",B5)))</formula>
    </cfRule>
    <cfRule type="containsText" dxfId="107" priority="30" operator="containsText" text="Vedação">
      <formula>NOT(ISERROR(SEARCH("Vedação",B5)))</formula>
    </cfRule>
    <cfRule type="containsText" dxfId="106" priority="31" operator="containsText" text="Retentor">
      <formula>NOT(ISERROR(SEARCH("Retentor",B5)))</formula>
    </cfRule>
    <cfRule type="containsText" dxfId="105" priority="32" operator="containsText" text="Motorredutor">
      <formula>NOT(ISERROR(SEARCH("Motorredutor",B5)))</formula>
    </cfRule>
    <cfRule type="containsText" dxfId="104" priority="33" operator="containsText" text="Redutor">
      <formula>NOT(ISERROR(SEARCH("Redutor",B5)))</formula>
    </cfRule>
    <cfRule type="containsText" dxfId="103" priority="34" operator="containsText" text="Bomba">
      <formula>NOT(ISERROR(SEARCH("Bomba",B5)))</formula>
    </cfRule>
  </conditionalFormatting>
  <dataValidations count="1">
    <dataValidation type="list" allowBlank="1" showInputMessage="1" showErrorMessage="1" sqref="B5:H111" xr:uid="{5A531FC5-577E-4604-A90D-8DB6446A1649}">
      <formula1>$J$5:$J$19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8236FFC1-3C92-467E-8F3C-33EF1495161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3" operator="containsText" id="{1781DA12-EA7D-49D6-B730-7A6D698F3336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4" operator="containsText" id="{288FACC1-F33A-4040-878E-E96920FBA2C3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5" operator="containsText" id="{EA4BEB47-0FF9-4020-BBEA-617F730F5F70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6" operator="containsText" id="{91627167-87E1-45E6-9A6D-1599DB22FBE3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7" operator="containsText" id="{573707D0-07EF-49CB-B4A9-1A06203E7510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8" operator="containsText" id="{5EA3B197-9CC9-4349-9B00-8A4EA7D02345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9" operator="containsText" id="{F8AA07DB-0E31-4C33-B787-57C0C0C33F00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0" operator="containsText" id="{A0D19C79-4533-4DC8-AA8C-E3EB2950C120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1" operator="containsText" id="{701D6D35-FF82-42B3-90DC-FEBB37AA1BAA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2" operator="containsText" id="{D2ECD18B-9506-4C98-8EEF-CD4407AD96C0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3" operator="containsText" id="{D2255ABE-4D35-4D0E-B9B8-CABA1519BDED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4" operator="containsText" id="{EF9EB3C3-1226-42ED-A4A6-9967F737B421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15" operator="containsText" id="{BD0B7FEC-0D30-4D3C-A2F8-771D2F6DAD2E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6" operator="containsText" id="{079AD490-578D-4598-9DD1-950754D3D8FC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639408A2-BE60-4D6D-BAAE-979FFF72DB89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" operator="containsText" id="{384D6EF7-FC9A-4965-B888-28EE327154F2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9" operator="containsText" id="{F0729A2E-EC1B-4509-933E-866EB4C720D7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0" operator="containsText" id="{3443227D-0FD9-4A97-BB52-FC0C7B7DF779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21" operator="containsText" id="{C630E120-4231-4E23-A588-19D88D102FE7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2" operator="containsText" id="{7236E990-BCE8-4247-80A3-6940B454BC3D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1" operator="containsText" id="{98284CB0-465E-4E3D-BA72-A00988562813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24" operator="containsText" id="{0B989BD8-C14D-462C-82EC-B01F21BE1661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B5:H111</xm:sqref>
        </x14:conditionalFormatting>
      </x14:conditionalFormatting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8A98-4B21-4A9F-A680-F7B16C649296}">
  <sheetPr>
    <tabColor theme="7"/>
    <pageSetUpPr fitToPage="1"/>
  </sheetPr>
  <dimension ref="A1:P111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5" sqref="J5:M19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85546875" bestFit="1" customWidth="1"/>
  </cols>
  <sheetData>
    <row r="1" spans="1:16" s="8" customFormat="1" x14ac:dyDescent="0.25">
      <c r="A1" s="57" t="s">
        <v>191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45117</v>
      </c>
      <c r="C3" s="43">
        <f>B3+1</f>
        <v>45118</v>
      </c>
      <c r="D3" s="43">
        <f t="shared" ref="D3:H3" si="0">C3+1</f>
        <v>45119</v>
      </c>
      <c r="E3" s="43">
        <f t="shared" si="0"/>
        <v>45120</v>
      </c>
      <c r="F3" s="43">
        <f t="shared" si="0"/>
        <v>45121</v>
      </c>
      <c r="G3" s="43">
        <f t="shared" si="0"/>
        <v>45122</v>
      </c>
      <c r="H3" s="43">
        <f t="shared" si="0"/>
        <v>45123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 t="shared" ref="K5:K18" si="3">COUNTIF($B$5:$H$111,J5)</f>
        <v>0</v>
      </c>
      <c r="L5" s="45">
        <f t="shared" ref="L5:L19" si="4">K5/$K$20</f>
        <v>0</v>
      </c>
      <c r="M5" s="48">
        <f>B3</f>
        <v>45117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si="3"/>
        <v>0</v>
      </c>
      <c r="L6" s="45">
        <f t="shared" si="4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4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0</v>
      </c>
      <c r="L8" s="45">
        <f t="shared" si="4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1</v>
      </c>
      <c r="L9" s="45">
        <f t="shared" si="4"/>
        <v>1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0</v>
      </c>
      <c r="L10" s="45">
        <f t="shared" si="4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0</v>
      </c>
      <c r="L11" s="45">
        <f t="shared" si="4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0</v>
      </c>
      <c r="L13" s="45">
        <f t="shared" si="4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0</v>
      </c>
      <c r="L14" s="45">
        <f t="shared" si="4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0</v>
      </c>
      <c r="L16" s="45">
        <f t="shared" si="4"/>
        <v>0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6" t="s">
        <v>192</v>
      </c>
      <c r="K17" s="4">
        <f t="shared" si="3"/>
        <v>0</v>
      </c>
      <c r="L17" s="45">
        <f t="shared" si="4"/>
        <v>0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t="s">
        <v>193</v>
      </c>
      <c r="K18" s="4">
        <f t="shared" si="3"/>
        <v>0</v>
      </c>
      <c r="L18" s="45">
        <f t="shared" si="4"/>
        <v>0</v>
      </c>
    </row>
    <row r="19" spans="1:12" x14ac:dyDescent="0.25">
      <c r="A19" s="11" t="s">
        <v>34</v>
      </c>
      <c r="B19" s="16"/>
      <c r="C19" s="16"/>
      <c r="D19" s="16" t="s">
        <v>7</v>
      </c>
      <c r="E19" s="16"/>
      <c r="F19" s="16"/>
      <c r="G19" s="16"/>
      <c r="H19" s="16"/>
      <c r="J19" s="53" t="s">
        <v>148</v>
      </c>
      <c r="K19" s="4">
        <f>COUNTIF($B$5:$H$111,J19)</f>
        <v>0</v>
      </c>
      <c r="L19" s="45">
        <f t="shared" si="4"/>
        <v>0</v>
      </c>
    </row>
    <row r="20" spans="1:12" x14ac:dyDescent="0.25">
      <c r="A20" s="11" t="s">
        <v>35</v>
      </c>
      <c r="B20" s="16"/>
      <c r="C20" s="16"/>
      <c r="D20" s="16"/>
      <c r="E20" s="16"/>
      <c r="F20" s="16"/>
      <c r="G20" s="16"/>
      <c r="H20" s="16"/>
      <c r="J20" s="1" t="s">
        <v>1</v>
      </c>
      <c r="K20" s="1">
        <f>SUM(K5:K18)</f>
        <v>1</v>
      </c>
    </row>
    <row r="21" spans="1:12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2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2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175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177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178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183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184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/>
      <c r="C99" s="16"/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202</v>
      </c>
      <c r="B109" s="16"/>
      <c r="C109" s="16"/>
      <c r="D109" s="16"/>
      <c r="E109" s="16"/>
      <c r="F109" s="16"/>
      <c r="G109" s="16"/>
      <c r="H109" s="16"/>
    </row>
    <row r="110" spans="1:8" x14ac:dyDescent="0.25">
      <c r="A110" s="11" t="s">
        <v>203</v>
      </c>
      <c r="B110" s="16"/>
      <c r="C110" s="16"/>
      <c r="D110" s="16"/>
      <c r="E110" s="16"/>
      <c r="F110" s="16"/>
      <c r="G110" s="16"/>
      <c r="H110" s="16"/>
    </row>
    <row r="111" spans="1:8" x14ac:dyDescent="0.25">
      <c r="A111" s="11" t="s">
        <v>108</v>
      </c>
      <c r="B111" s="16"/>
      <c r="C111" s="16"/>
      <c r="D111" s="16"/>
      <c r="E111" s="16"/>
      <c r="F111" s="16"/>
      <c r="G111" s="16"/>
      <c r="H111" s="16"/>
    </row>
  </sheetData>
  <mergeCells count="1">
    <mergeCell ref="A1:H2"/>
  </mergeCells>
  <conditionalFormatting sqref="A1:A1048576">
    <cfRule type="containsText" dxfId="102" priority="23" operator="containsText" text="Pivô ">
      <formula>NOT(ISERROR(SEARCH("Pivô ",A1)))</formula>
    </cfRule>
  </conditionalFormatting>
  <conditionalFormatting sqref="B5:H111">
    <cfRule type="cellIs" dxfId="78" priority="25" operator="equal">
      <formula>$J$17</formula>
    </cfRule>
    <cfRule type="cellIs" dxfId="77" priority="26" operator="equal">
      <formula>$J$19</formula>
    </cfRule>
    <cfRule type="cellIs" dxfId="76" priority="27" operator="equal">
      <formula>$J$15</formula>
    </cfRule>
    <cfRule type="containsText" dxfId="75" priority="28" operator="containsText" text="Cardã">
      <formula>NOT(ISERROR(SEARCH("Cardã",B5)))</formula>
    </cfRule>
    <cfRule type="containsText" dxfId="74" priority="29" operator="containsText" text="Pneu">
      <formula>NOT(ISERROR(SEARCH("Pneu",B5)))</formula>
    </cfRule>
    <cfRule type="containsText" dxfId="73" priority="30" operator="containsText" text="Vedação">
      <formula>NOT(ISERROR(SEARCH("Vedação",B5)))</formula>
    </cfRule>
    <cfRule type="containsText" dxfId="72" priority="31" operator="containsText" text="Retentor">
      <formula>NOT(ISERROR(SEARCH("Retentor",B5)))</formula>
    </cfRule>
    <cfRule type="containsText" dxfId="71" priority="32" operator="containsText" text="Motorredutor">
      <formula>NOT(ISERROR(SEARCH("Motorredutor",B5)))</formula>
    </cfRule>
    <cfRule type="containsText" dxfId="70" priority="33" operator="containsText" text="Redutor">
      <formula>NOT(ISERROR(SEARCH("Redutor",B5)))</formula>
    </cfRule>
    <cfRule type="containsText" dxfId="69" priority="34" operator="containsText" text="Bomba">
      <formula>NOT(ISERROR(SEARCH("Bomba",B5)))</formula>
    </cfRule>
  </conditionalFormatting>
  <dataValidations count="1">
    <dataValidation type="list" allowBlank="1" showInputMessage="1" showErrorMessage="1" sqref="B5:H111" xr:uid="{50E37CCC-F864-44DE-A19B-60BBF78C8CB7}">
      <formula1>$J$5:$J$19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B44BDF61-0F43-417E-8387-DC59C71F10AB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3" operator="containsText" id="{F75FCE29-AB45-4231-AEA4-0D522CCAF34F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4" operator="containsText" id="{0EEF16A3-7115-44A7-AE5D-C741ABCE8380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5" operator="containsText" id="{02BBC736-9E17-4F61-A8A6-53C3898597AA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6" operator="containsText" id="{D382660D-DF93-4DF8-A6CE-056DE04983B3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7" operator="containsText" id="{3738092B-41EC-448E-9046-D6F98EEE9440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8" operator="containsText" id="{098DD1D1-6635-4206-87A0-88C83E980785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9" operator="containsText" id="{1BAA73CA-9293-477C-9B5B-11304C043DAB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0" operator="containsText" id="{8C5CDE7B-DD46-4621-A1CF-A4CEBBFBB417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1" operator="containsText" id="{49F0B1B7-637E-4F78-88C3-C1A14014825B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2" operator="containsText" id="{EC392E63-3405-45AF-9D77-B919F69E11B7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3" operator="containsText" id="{0F1497D2-D8C0-4154-A365-047C61508C41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4" operator="containsText" id="{AD5AF0A2-D762-46CC-88DC-E0864921893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15" operator="containsText" id="{06465D00-6D11-4D41-8EC9-737D6D277C2C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6" operator="containsText" id="{598B1F33-113A-4013-B54B-E6DA7FC52827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138FA72B-59DF-4FD7-9B55-C85AB17AF72C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" operator="containsText" id="{34EB7C18-653A-415A-8B4D-69FC09D47D79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9" operator="containsText" id="{4E0DCBF7-7B01-4D14-9CF0-503A7FDAFAC8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0" operator="containsText" id="{2D099DFC-69A4-4686-9694-B2635E21CFAE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21" operator="containsText" id="{6D6D3124-FFA0-4E32-930A-5C521F739EA5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2" operator="containsText" id="{137C2453-E04E-4D23-9169-C2DAA7B141E0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1" operator="containsText" id="{E8BEEB4A-872B-443E-9C30-AE0CDB5EC2AB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24" operator="containsText" id="{6E579A3D-0F20-410B-A2A8-DEA66EB6E7F3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B5:H111</xm:sqref>
        </x14:conditionalFormatting>
      </x14:conditionalFormattings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CD82-84F6-4D5D-8185-8DEE5F339C9F}">
  <sheetPr>
    <tabColor theme="7"/>
    <pageSetUpPr fitToPage="1"/>
  </sheetPr>
  <dimension ref="A1:P111"/>
  <sheetViews>
    <sheetView showGridLines="0" zoomScale="115" zoomScaleNormal="115" workbookViewId="0">
      <pane xSplit="1" ySplit="4" topLeftCell="E7" activePane="bottomRight" state="frozen"/>
      <selection pane="topRight" activeCell="B1" sqref="B1"/>
      <selection pane="bottomLeft" activeCell="A5" sqref="A5"/>
      <selection pane="bottomRight" activeCell="J5" sqref="J5:L19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85546875" bestFit="1" customWidth="1"/>
  </cols>
  <sheetData>
    <row r="1" spans="1:16" s="8" customFormat="1" x14ac:dyDescent="0.25">
      <c r="A1" s="57" t="s">
        <v>191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45124</v>
      </c>
      <c r="C3" s="43">
        <f>B3+1</f>
        <v>45125</v>
      </c>
      <c r="D3" s="43">
        <f t="shared" ref="D3:H3" si="0">C3+1</f>
        <v>45126</v>
      </c>
      <c r="E3" s="43">
        <f t="shared" si="0"/>
        <v>45127</v>
      </c>
      <c r="F3" s="43">
        <f t="shared" si="0"/>
        <v>45128</v>
      </c>
      <c r="G3" s="43">
        <f t="shared" si="0"/>
        <v>45129</v>
      </c>
      <c r="H3" s="43">
        <f t="shared" si="0"/>
        <v>45130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 t="shared" ref="K5:K18" si="3">COUNTIF($B$5:$H$111,J5)</f>
        <v>0</v>
      </c>
      <c r="L5" s="45">
        <f t="shared" ref="L5:L19" si="4">K5/$K$20</f>
        <v>0</v>
      </c>
      <c r="M5" s="48">
        <f>B3</f>
        <v>45124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si="3"/>
        <v>0</v>
      </c>
      <c r="L6" s="45">
        <f t="shared" si="4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4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0</v>
      </c>
      <c r="L8" s="45">
        <f t="shared" si="4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0</v>
      </c>
      <c r="L9" s="45">
        <f t="shared" si="4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1</v>
      </c>
      <c r="L10" s="45">
        <f t="shared" si="4"/>
        <v>1</v>
      </c>
    </row>
    <row r="11" spans="1:16" x14ac:dyDescent="0.25">
      <c r="A11" s="11" t="s">
        <v>25</v>
      </c>
      <c r="B11" s="16"/>
      <c r="C11" s="16"/>
      <c r="D11" s="16" t="s">
        <v>8</v>
      </c>
      <c r="E11" s="16"/>
      <c r="F11" s="16"/>
      <c r="G11" s="16"/>
      <c r="H11" s="16"/>
      <c r="J11" s="23" t="s">
        <v>9</v>
      </c>
      <c r="K11" s="4">
        <f t="shared" si="3"/>
        <v>0</v>
      </c>
      <c r="L11" s="45">
        <f t="shared" si="4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0</v>
      </c>
      <c r="L13" s="45">
        <f t="shared" si="4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0</v>
      </c>
      <c r="L14" s="45">
        <f t="shared" si="4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0</v>
      </c>
      <c r="L16" s="45">
        <f t="shared" si="4"/>
        <v>0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6" t="s">
        <v>192</v>
      </c>
      <c r="K17" s="4">
        <f t="shared" si="3"/>
        <v>0</v>
      </c>
      <c r="L17" s="45">
        <f t="shared" si="4"/>
        <v>0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t="s">
        <v>193</v>
      </c>
      <c r="K18" s="4">
        <f t="shared" si="3"/>
        <v>0</v>
      </c>
      <c r="L18" s="45">
        <f t="shared" si="4"/>
        <v>0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  <c r="J19" s="53" t="s">
        <v>148</v>
      </c>
      <c r="K19" s="4">
        <f>COUNTIF($B$5:$H$111,J19)</f>
        <v>0</v>
      </c>
      <c r="L19" s="45">
        <f t="shared" si="4"/>
        <v>0</v>
      </c>
    </row>
    <row r="20" spans="1:12" x14ac:dyDescent="0.25">
      <c r="A20" s="11" t="s">
        <v>35</v>
      </c>
      <c r="B20" s="16"/>
      <c r="C20" s="16"/>
      <c r="D20" s="16"/>
      <c r="E20" s="16"/>
      <c r="F20" s="16"/>
      <c r="G20" s="16"/>
      <c r="H20" s="16"/>
      <c r="J20" s="1" t="s">
        <v>1</v>
      </c>
      <c r="K20" s="1">
        <f>SUM(K5:K18)</f>
        <v>1</v>
      </c>
    </row>
    <row r="21" spans="1:12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2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2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/>
      <c r="D62" s="16"/>
      <c r="E62" s="16"/>
      <c r="F62" s="16"/>
      <c r="G62" s="16"/>
      <c r="H62" s="16"/>
    </row>
    <row r="63" spans="1:8" x14ac:dyDescent="0.25">
      <c r="A63" s="11" t="s">
        <v>175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/>
      <c r="D64" s="16"/>
      <c r="E64" s="16"/>
      <c r="F64" s="16"/>
      <c r="G64" s="16"/>
      <c r="H64" s="16"/>
    </row>
    <row r="65" spans="1:8" x14ac:dyDescent="0.25">
      <c r="A65" s="11" t="s">
        <v>177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178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183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184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/>
      <c r="C99" s="16"/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202</v>
      </c>
      <c r="B109" s="16"/>
      <c r="C109" s="16"/>
      <c r="D109" s="16"/>
      <c r="E109" s="16"/>
      <c r="F109" s="16"/>
      <c r="G109" s="16"/>
      <c r="H109" s="16"/>
    </row>
    <row r="110" spans="1:8" x14ac:dyDescent="0.25">
      <c r="A110" s="11" t="s">
        <v>203</v>
      </c>
      <c r="B110" s="16"/>
      <c r="C110" s="16"/>
      <c r="D110" s="16"/>
      <c r="E110" s="16"/>
      <c r="F110" s="16"/>
      <c r="G110" s="16"/>
      <c r="H110" s="16"/>
    </row>
    <row r="111" spans="1:8" x14ac:dyDescent="0.25">
      <c r="A111" s="11" t="s">
        <v>108</v>
      </c>
      <c r="B111" s="16"/>
      <c r="C111" s="16"/>
      <c r="D111" s="16"/>
      <c r="E111" s="16"/>
      <c r="F111" s="16"/>
      <c r="G111" s="16"/>
      <c r="H111" s="16"/>
    </row>
  </sheetData>
  <mergeCells count="1">
    <mergeCell ref="A1:H2"/>
  </mergeCells>
  <conditionalFormatting sqref="A1:A1048576">
    <cfRule type="containsText" dxfId="68" priority="23" operator="containsText" text="Pivô ">
      <formula>NOT(ISERROR(SEARCH("Pivô ",A1)))</formula>
    </cfRule>
  </conditionalFormatting>
  <conditionalFormatting sqref="B5:H111">
    <cfRule type="cellIs" dxfId="44" priority="25" operator="equal">
      <formula>$J$17</formula>
    </cfRule>
    <cfRule type="cellIs" dxfId="43" priority="26" operator="equal">
      <formula>$J$19</formula>
    </cfRule>
    <cfRule type="cellIs" dxfId="42" priority="27" operator="equal">
      <formula>$J$15</formula>
    </cfRule>
    <cfRule type="containsText" dxfId="41" priority="28" operator="containsText" text="Cardã">
      <formula>NOT(ISERROR(SEARCH("Cardã",B5)))</formula>
    </cfRule>
    <cfRule type="containsText" dxfId="40" priority="29" operator="containsText" text="Pneu">
      <formula>NOT(ISERROR(SEARCH("Pneu",B5)))</formula>
    </cfRule>
    <cfRule type="containsText" dxfId="39" priority="30" operator="containsText" text="Vedação">
      <formula>NOT(ISERROR(SEARCH("Vedação",B5)))</formula>
    </cfRule>
    <cfRule type="containsText" dxfId="38" priority="31" operator="containsText" text="Retentor">
      <formula>NOT(ISERROR(SEARCH("Retentor",B5)))</formula>
    </cfRule>
    <cfRule type="containsText" dxfId="37" priority="32" operator="containsText" text="Motorredutor">
      <formula>NOT(ISERROR(SEARCH("Motorredutor",B5)))</formula>
    </cfRule>
    <cfRule type="containsText" dxfId="36" priority="33" operator="containsText" text="Redutor">
      <formula>NOT(ISERROR(SEARCH("Redutor",B5)))</formula>
    </cfRule>
    <cfRule type="containsText" dxfId="35" priority="34" operator="containsText" text="Bomba">
      <formula>NOT(ISERROR(SEARCH("Bomba",B5)))</formula>
    </cfRule>
  </conditionalFormatting>
  <dataValidations count="1">
    <dataValidation type="list" allowBlank="1" showInputMessage="1" showErrorMessage="1" sqref="B5:H111" xr:uid="{95518C59-3459-4884-B32E-6A8DF76D9532}">
      <formula1>$J$5:$J$19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02617C0-3B13-4C35-8A7B-28194324B402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3" operator="containsText" id="{FAD23A67-31D6-4FFD-AA8E-18CB720F215A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4" operator="containsText" id="{7CD0089D-CB39-4BE2-8ECF-B752E0B58D76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5" operator="containsText" id="{415945F4-0039-4F0A-A393-9244251E80C6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6" operator="containsText" id="{04C589A8-F99C-4ABD-A4C4-721D16D4F90F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7" operator="containsText" id="{A8B18AF7-4931-46B9-8EAC-4A84E485E91D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8" operator="containsText" id="{28C7B987-1F2D-4D9C-BCDE-86628644CF4E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9" operator="containsText" id="{E1E56B27-E44E-4AC7-A4C6-2071551F31EC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0" operator="containsText" id="{2A1C0564-99AE-4400-A815-A11DA6FABE0D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1" operator="containsText" id="{A5C4F474-CF1F-4949-B94B-58F37A489BEF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2" operator="containsText" id="{EDBFDE79-D0DB-43A0-B17E-BB68DFDD7C94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3" operator="containsText" id="{D94973B3-C8A6-4589-8C11-0B3F185F1F13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4" operator="containsText" id="{05FFF485-05FC-4877-802C-365C65802D84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15" operator="containsText" id="{47560AC5-1C7A-4577-8CBC-3C4E2D1E35AA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6" operator="containsText" id="{58F975EE-B556-4D7B-B588-35B9F4CA8015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E1413463-DC42-40FB-A5FD-324E5C62372C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" operator="containsText" id="{1B5B5E65-B08A-4ED2-8D67-74A73E40FADC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9" operator="containsText" id="{F21A7C7E-874F-472F-B612-45A4A95EA9BA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0" operator="containsText" id="{3D0533F2-9B63-4173-A9CA-BE4790A5C849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21" operator="containsText" id="{5853140E-C542-4BF4-A957-E1CF71D102E7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2" operator="containsText" id="{F7A5E87A-56C1-4CCD-8A86-08909D305D70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1" operator="containsText" id="{D0C46356-7463-4D31-AE59-AA353BEF1584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24" operator="containsText" id="{2B47F866-E0CC-4D27-A7FC-C83EB3F8C9F5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B5:H111</xm:sqref>
        </x14:conditionalFormatting>
      </x14:conditionalFormattings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A069-5854-47AF-B6AF-1648C9D298CB}">
  <sheetPr>
    <tabColor theme="7"/>
    <pageSetUpPr fitToPage="1"/>
  </sheetPr>
  <dimension ref="A1:P111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5" sqref="J5:M19"/>
    </sheetView>
  </sheetViews>
  <sheetFormatPr defaultRowHeight="15" x14ac:dyDescent="0.25"/>
  <cols>
    <col min="1" max="1" width="9.140625" style="8"/>
    <col min="2" max="8" width="16.42578125" style="8" customWidth="1"/>
    <col min="10" max="10" width="15.85546875" bestFit="1" customWidth="1"/>
    <col min="11" max="11" width="9" customWidth="1"/>
    <col min="13" max="13" width="11.85546875" bestFit="1" customWidth="1"/>
  </cols>
  <sheetData>
    <row r="1" spans="1:16" s="8" customFormat="1" x14ac:dyDescent="0.25">
      <c r="A1" s="57" t="s">
        <v>191</v>
      </c>
      <c r="B1" s="57"/>
      <c r="C1" s="57"/>
      <c r="D1" s="57"/>
      <c r="E1" s="57"/>
      <c r="F1" s="57"/>
      <c r="G1" s="57"/>
      <c r="H1" s="57"/>
    </row>
    <row r="2" spans="1:16" s="8" customFormat="1" x14ac:dyDescent="0.25">
      <c r="A2" s="57"/>
      <c r="B2" s="57"/>
      <c r="C2" s="57"/>
      <c r="D2" s="57"/>
      <c r="E2" s="57"/>
      <c r="F2" s="57"/>
      <c r="G2" s="57"/>
      <c r="H2" s="57"/>
    </row>
    <row r="3" spans="1:16" s="8" customFormat="1" ht="15.75" x14ac:dyDescent="0.25">
      <c r="A3" s="12" t="s">
        <v>13</v>
      </c>
      <c r="B3" s="43">
        <v>45131</v>
      </c>
      <c r="C3" s="43">
        <f>B3+1</f>
        <v>45132</v>
      </c>
      <c r="D3" s="43">
        <f t="shared" ref="D3:H3" si="0">C3+1</f>
        <v>45133</v>
      </c>
      <c r="E3" s="43">
        <f t="shared" si="0"/>
        <v>45134</v>
      </c>
      <c r="F3" s="43">
        <f t="shared" si="0"/>
        <v>45135</v>
      </c>
      <c r="G3" s="43">
        <f t="shared" si="0"/>
        <v>45136</v>
      </c>
      <c r="H3" s="43">
        <f t="shared" si="0"/>
        <v>45137</v>
      </c>
      <c r="I3" s="10"/>
      <c r="K3" s="9"/>
    </row>
    <row r="4" spans="1:16" s="8" customFormat="1" ht="15.75" x14ac:dyDescent="0.25">
      <c r="A4" s="13" t="s">
        <v>14</v>
      </c>
      <c r="B4" s="14" t="str">
        <f>TEXT(B3,"ddd")</f>
        <v>seg</v>
      </c>
      <c r="C4" s="14" t="str">
        <f>TEXT(C3,"ddd")</f>
        <v>ter</v>
      </c>
      <c r="D4" s="14" t="str">
        <f t="shared" ref="D4" si="1">TEXT(D3,"ddd")</f>
        <v>qua</v>
      </c>
      <c r="E4" s="14" t="str">
        <f>TEXT(E3,"ddd")</f>
        <v>qui</v>
      </c>
      <c r="F4" s="14" t="str">
        <f t="shared" ref="F4:G4" si="2">TEXT(F3,"ddd")</f>
        <v>sex</v>
      </c>
      <c r="G4" s="14" t="str">
        <f t="shared" si="2"/>
        <v>sáb</v>
      </c>
      <c r="H4" s="15" t="str">
        <f>TEXT(H3,"ddd")</f>
        <v>dom</v>
      </c>
      <c r="I4" s="10"/>
      <c r="J4" s="9" t="s">
        <v>0</v>
      </c>
      <c r="K4" s="9" t="s">
        <v>15</v>
      </c>
      <c r="L4" s="8" t="s">
        <v>16</v>
      </c>
      <c r="M4" s="8" t="s">
        <v>17</v>
      </c>
    </row>
    <row r="5" spans="1:16" x14ac:dyDescent="0.25">
      <c r="A5" s="11" t="s">
        <v>18</v>
      </c>
      <c r="B5" s="16"/>
      <c r="C5" s="16"/>
      <c r="D5" s="16"/>
      <c r="E5" s="16"/>
      <c r="F5" s="16"/>
      <c r="G5" s="16"/>
      <c r="H5" s="16"/>
      <c r="J5" s="17" t="s">
        <v>112</v>
      </c>
      <c r="K5" s="4">
        <f t="shared" ref="K5:K18" si="3">COUNTIF($B$5:$H$111,J5)</f>
        <v>0</v>
      </c>
      <c r="L5" s="45">
        <f t="shared" ref="L5:L19" si="4">K5/$K$20</f>
        <v>0</v>
      </c>
      <c r="M5" s="48">
        <f>B3</f>
        <v>45131</v>
      </c>
    </row>
    <row r="6" spans="1:16" x14ac:dyDescent="0.25">
      <c r="A6" s="11" t="s">
        <v>20</v>
      </c>
      <c r="B6" s="16"/>
      <c r="C6" s="16"/>
      <c r="D6" s="16"/>
      <c r="E6" s="16"/>
      <c r="F6" s="16"/>
      <c r="G6" s="16"/>
      <c r="H6" s="16"/>
      <c r="J6" s="18" t="s">
        <v>4</v>
      </c>
      <c r="K6" s="4">
        <f t="shared" si="3"/>
        <v>0</v>
      </c>
      <c r="L6" s="45">
        <f t="shared" si="4"/>
        <v>0</v>
      </c>
    </row>
    <row r="7" spans="1:16" x14ac:dyDescent="0.25">
      <c r="A7" s="11" t="s">
        <v>21</v>
      </c>
      <c r="B7" s="16"/>
      <c r="C7" s="16"/>
      <c r="D7" s="16"/>
      <c r="E7" s="16"/>
      <c r="F7" s="16"/>
      <c r="G7" s="16"/>
      <c r="H7" s="16"/>
      <c r="J7" s="19" t="s">
        <v>5</v>
      </c>
      <c r="K7" s="4">
        <f t="shared" si="3"/>
        <v>0</v>
      </c>
      <c r="L7" s="45">
        <f t="shared" si="4"/>
        <v>0</v>
      </c>
    </row>
    <row r="8" spans="1:16" x14ac:dyDescent="0.25">
      <c r="A8" s="11" t="s">
        <v>22</v>
      </c>
      <c r="B8" s="16"/>
      <c r="C8" s="16"/>
      <c r="D8" s="16"/>
      <c r="E8" s="16"/>
      <c r="F8" s="16"/>
      <c r="G8" s="16"/>
      <c r="H8" s="16"/>
      <c r="J8" s="20" t="s">
        <v>6</v>
      </c>
      <c r="K8" s="4">
        <f t="shared" si="3"/>
        <v>0</v>
      </c>
      <c r="L8" s="45">
        <f t="shared" si="4"/>
        <v>0</v>
      </c>
    </row>
    <row r="9" spans="1:16" x14ac:dyDescent="0.25">
      <c r="A9" s="11" t="s">
        <v>23</v>
      </c>
      <c r="B9" s="16"/>
      <c r="C9" s="16"/>
      <c r="D9" s="16"/>
      <c r="E9" s="16"/>
      <c r="F9" s="16"/>
      <c r="G9" s="16"/>
      <c r="H9" s="16"/>
      <c r="J9" s="21" t="s">
        <v>7</v>
      </c>
      <c r="K9" s="4">
        <f t="shared" si="3"/>
        <v>0</v>
      </c>
      <c r="L9" s="45">
        <f t="shared" si="4"/>
        <v>0</v>
      </c>
      <c r="P9" s="2"/>
    </row>
    <row r="10" spans="1:16" x14ac:dyDescent="0.25">
      <c r="A10" s="11" t="s">
        <v>24</v>
      </c>
      <c r="B10" s="16"/>
      <c r="C10" s="16"/>
      <c r="D10" s="16"/>
      <c r="E10" s="16"/>
      <c r="F10" s="16"/>
      <c r="G10" s="16"/>
      <c r="H10" s="16"/>
      <c r="J10" s="22" t="s">
        <v>8</v>
      </c>
      <c r="K10" s="4">
        <f t="shared" si="3"/>
        <v>0</v>
      </c>
      <c r="L10" s="45">
        <f t="shared" si="4"/>
        <v>0</v>
      </c>
    </row>
    <row r="11" spans="1:16" x14ac:dyDescent="0.25">
      <c r="A11" s="11" t="s">
        <v>25</v>
      </c>
      <c r="B11" s="16"/>
      <c r="C11" s="16"/>
      <c r="D11" s="16"/>
      <c r="E11" s="16"/>
      <c r="F11" s="16"/>
      <c r="G11" s="16"/>
      <c r="H11" s="16"/>
      <c r="J11" s="23" t="s">
        <v>9</v>
      </c>
      <c r="K11" s="4">
        <f t="shared" si="3"/>
        <v>0</v>
      </c>
      <c r="L11" s="45">
        <f t="shared" si="4"/>
        <v>0</v>
      </c>
    </row>
    <row r="12" spans="1:16" x14ac:dyDescent="0.25">
      <c r="A12" s="11" t="s">
        <v>26</v>
      </c>
      <c r="B12" s="16"/>
      <c r="C12" s="16"/>
      <c r="D12" s="16"/>
      <c r="E12" s="16"/>
      <c r="F12" s="16"/>
      <c r="G12" s="16"/>
      <c r="H12" s="16"/>
      <c r="J12" s="24" t="s">
        <v>114</v>
      </c>
      <c r="K12" s="4">
        <f t="shared" si="3"/>
        <v>0</v>
      </c>
      <c r="L12" s="45">
        <f t="shared" si="4"/>
        <v>0</v>
      </c>
    </row>
    <row r="13" spans="1:16" x14ac:dyDescent="0.25">
      <c r="A13" s="11" t="s">
        <v>28</v>
      </c>
      <c r="B13" s="16"/>
      <c r="C13" s="16"/>
      <c r="D13" s="16"/>
      <c r="E13" s="16"/>
      <c r="F13" s="16"/>
      <c r="G13" s="16"/>
      <c r="H13" s="16"/>
      <c r="J13" s="46" t="s">
        <v>11</v>
      </c>
      <c r="K13" s="4">
        <f t="shared" si="3"/>
        <v>0</v>
      </c>
      <c r="L13" s="45">
        <f t="shared" si="4"/>
        <v>0</v>
      </c>
    </row>
    <row r="14" spans="1:16" x14ac:dyDescent="0.25">
      <c r="A14" s="11" t="s">
        <v>29</v>
      </c>
      <c r="B14" s="16"/>
      <c r="C14" s="16"/>
      <c r="D14" s="16"/>
      <c r="E14" s="16"/>
      <c r="F14" s="16"/>
      <c r="G14" s="16"/>
      <c r="H14" s="16"/>
      <c r="J14" s="47" t="s">
        <v>144</v>
      </c>
      <c r="K14" s="4">
        <f t="shared" si="3"/>
        <v>0</v>
      </c>
      <c r="L14" s="45">
        <f t="shared" si="4"/>
        <v>0</v>
      </c>
    </row>
    <row r="15" spans="1:16" x14ac:dyDescent="0.25">
      <c r="A15" s="11" t="s">
        <v>30</v>
      </c>
      <c r="B15" s="16"/>
      <c r="C15" s="16"/>
      <c r="D15" s="16"/>
      <c r="E15" s="16"/>
      <c r="F15" s="16"/>
      <c r="G15" s="16"/>
      <c r="H15" s="16"/>
      <c r="J15" s="54" t="s">
        <v>169</v>
      </c>
      <c r="K15" s="4">
        <f t="shared" si="3"/>
        <v>0</v>
      </c>
      <c r="L15" s="45">
        <f t="shared" si="4"/>
        <v>0</v>
      </c>
    </row>
    <row r="16" spans="1:16" x14ac:dyDescent="0.25">
      <c r="A16" s="11" t="s">
        <v>31</v>
      </c>
      <c r="B16" s="16"/>
      <c r="C16" s="16"/>
      <c r="D16" s="16"/>
      <c r="E16" s="16"/>
      <c r="F16" s="16"/>
      <c r="G16" s="16"/>
      <c r="H16" s="16"/>
      <c r="J16" s="53" t="s">
        <v>190</v>
      </c>
      <c r="K16" s="4">
        <f t="shared" si="3"/>
        <v>3</v>
      </c>
      <c r="L16" s="45">
        <f t="shared" si="4"/>
        <v>1</v>
      </c>
    </row>
    <row r="17" spans="1:12" x14ac:dyDescent="0.25">
      <c r="A17" s="11" t="s">
        <v>32</v>
      </c>
      <c r="B17" s="16"/>
      <c r="C17" s="16"/>
      <c r="D17" s="16"/>
      <c r="E17" s="16"/>
      <c r="F17" s="16"/>
      <c r="G17" s="16"/>
      <c r="H17" s="16"/>
      <c r="J17" s="56" t="s">
        <v>192</v>
      </c>
      <c r="K17" s="4">
        <f t="shared" si="3"/>
        <v>0</v>
      </c>
      <c r="L17" s="45">
        <f t="shared" si="4"/>
        <v>0</v>
      </c>
    </row>
    <row r="18" spans="1:12" x14ac:dyDescent="0.25">
      <c r="A18" s="11" t="s">
        <v>33</v>
      </c>
      <c r="B18" s="16"/>
      <c r="C18" s="16"/>
      <c r="D18" s="16"/>
      <c r="E18" s="16"/>
      <c r="F18" s="16"/>
      <c r="G18" s="16"/>
      <c r="H18" s="16"/>
      <c r="J18" t="s">
        <v>193</v>
      </c>
      <c r="K18" s="4">
        <f t="shared" si="3"/>
        <v>0</v>
      </c>
      <c r="L18" s="45">
        <f t="shared" si="4"/>
        <v>0</v>
      </c>
    </row>
    <row r="19" spans="1:12" x14ac:dyDescent="0.25">
      <c r="A19" s="11" t="s">
        <v>34</v>
      </c>
      <c r="B19" s="16"/>
      <c r="C19" s="16"/>
      <c r="D19" s="16"/>
      <c r="E19" s="16"/>
      <c r="F19" s="16"/>
      <c r="G19" s="16"/>
      <c r="H19" s="16"/>
      <c r="J19" s="53" t="s">
        <v>148</v>
      </c>
      <c r="K19" s="4">
        <f>COUNTIF($B$5:$H$111,J19)</f>
        <v>0</v>
      </c>
      <c r="L19" s="45">
        <f t="shared" si="4"/>
        <v>0</v>
      </c>
    </row>
    <row r="20" spans="1:12" x14ac:dyDescent="0.25">
      <c r="A20" s="11" t="s">
        <v>35</v>
      </c>
      <c r="B20" s="16"/>
      <c r="C20" s="16"/>
      <c r="D20" s="16"/>
      <c r="E20" s="16"/>
      <c r="F20" s="16"/>
      <c r="G20" s="16"/>
      <c r="H20" s="16"/>
      <c r="J20" s="1" t="s">
        <v>1</v>
      </c>
      <c r="K20" s="1">
        <f>SUM(K5:K18)</f>
        <v>3</v>
      </c>
    </row>
    <row r="21" spans="1:12" x14ac:dyDescent="0.25">
      <c r="A21" s="11" t="s">
        <v>36</v>
      </c>
      <c r="B21" s="16"/>
      <c r="C21" s="16"/>
      <c r="D21" s="16"/>
      <c r="E21" s="16"/>
      <c r="F21" s="16"/>
      <c r="G21" s="16"/>
      <c r="H21" s="16"/>
    </row>
    <row r="22" spans="1:12" x14ac:dyDescent="0.25">
      <c r="A22" s="11" t="s">
        <v>37</v>
      </c>
      <c r="B22" s="16"/>
      <c r="C22" s="16"/>
      <c r="D22" s="16"/>
      <c r="E22" s="16"/>
      <c r="F22" s="16"/>
      <c r="G22" s="16"/>
      <c r="H22" s="16"/>
    </row>
    <row r="23" spans="1:12" x14ac:dyDescent="0.25">
      <c r="A23" s="11" t="s">
        <v>38</v>
      </c>
      <c r="B23" s="16"/>
      <c r="C23" s="16"/>
      <c r="D23" s="16"/>
      <c r="E23" s="16"/>
      <c r="F23" s="16"/>
      <c r="G23" s="16"/>
      <c r="H23" s="16"/>
    </row>
    <row r="24" spans="1:12" x14ac:dyDescent="0.25">
      <c r="A24" s="11" t="s">
        <v>39</v>
      </c>
      <c r="B24" s="16"/>
      <c r="C24" s="16"/>
      <c r="D24" s="16"/>
      <c r="E24" s="16"/>
      <c r="F24" s="16"/>
      <c r="G24" s="16"/>
      <c r="H24" s="16"/>
    </row>
    <row r="25" spans="1:12" x14ac:dyDescent="0.25">
      <c r="A25" s="11" t="s">
        <v>40</v>
      </c>
      <c r="B25" s="16"/>
      <c r="C25" s="16"/>
      <c r="D25" s="16"/>
      <c r="E25" s="16"/>
      <c r="F25" s="16"/>
      <c r="G25" s="16"/>
      <c r="H25" s="16"/>
      <c r="J25" s="3"/>
    </row>
    <row r="26" spans="1:12" x14ac:dyDescent="0.25">
      <c r="A26" s="11" t="s">
        <v>41</v>
      </c>
      <c r="B26" s="16"/>
      <c r="C26" s="16"/>
      <c r="D26" s="16"/>
      <c r="E26" s="16"/>
      <c r="F26" s="16"/>
      <c r="G26" s="16"/>
      <c r="H26" s="16"/>
    </row>
    <row r="27" spans="1:12" x14ac:dyDescent="0.25">
      <c r="A27" s="11" t="s">
        <v>42</v>
      </c>
      <c r="B27" s="16"/>
      <c r="C27" s="16"/>
      <c r="D27" s="16"/>
      <c r="E27" s="16"/>
      <c r="F27" s="16"/>
      <c r="G27" s="16"/>
      <c r="H27" s="16"/>
    </row>
    <row r="28" spans="1:12" x14ac:dyDescent="0.25">
      <c r="A28" s="11" t="s">
        <v>43</v>
      </c>
      <c r="B28" s="16"/>
      <c r="C28" s="16"/>
      <c r="D28" s="16"/>
      <c r="E28" s="16"/>
      <c r="F28" s="16"/>
      <c r="G28" s="16"/>
      <c r="H28" s="16"/>
    </row>
    <row r="29" spans="1:12" x14ac:dyDescent="0.25">
      <c r="A29" s="11" t="s">
        <v>44</v>
      </c>
      <c r="B29" s="16"/>
      <c r="C29" s="16"/>
      <c r="D29" s="16"/>
      <c r="E29" s="16"/>
      <c r="F29" s="16"/>
      <c r="G29" s="16"/>
      <c r="H29" s="16"/>
    </row>
    <row r="30" spans="1:12" x14ac:dyDescent="0.25">
      <c r="A30" s="11" t="s">
        <v>45</v>
      </c>
      <c r="B30" s="16"/>
      <c r="C30" s="16"/>
      <c r="D30" s="16"/>
      <c r="E30" s="16"/>
      <c r="F30" s="16"/>
      <c r="G30" s="16"/>
      <c r="H30" s="16"/>
    </row>
    <row r="31" spans="1:12" x14ac:dyDescent="0.25">
      <c r="A31" s="11" t="s">
        <v>46</v>
      </c>
      <c r="B31" s="16"/>
      <c r="C31" s="16"/>
      <c r="D31" s="16"/>
      <c r="E31" s="16"/>
      <c r="F31" s="16"/>
      <c r="G31" s="16"/>
      <c r="H31" s="16"/>
    </row>
    <row r="32" spans="1:12" x14ac:dyDescent="0.25">
      <c r="A32" s="11" t="s">
        <v>47</v>
      </c>
      <c r="B32" s="16"/>
      <c r="C32" s="16"/>
      <c r="D32" s="16"/>
      <c r="E32" s="16"/>
      <c r="F32" s="16"/>
      <c r="G32" s="16"/>
      <c r="H32" s="16"/>
    </row>
    <row r="33" spans="1:8" x14ac:dyDescent="0.25">
      <c r="A33" s="11" t="s">
        <v>48</v>
      </c>
      <c r="B33" s="16"/>
      <c r="C33" s="16"/>
      <c r="D33" s="16"/>
      <c r="E33" s="16"/>
      <c r="F33" s="16"/>
      <c r="G33" s="16"/>
      <c r="H33" s="16"/>
    </row>
    <row r="34" spans="1:8" x14ac:dyDescent="0.25">
      <c r="A34" s="11" t="s">
        <v>49</v>
      </c>
      <c r="B34" s="16"/>
      <c r="C34" s="16"/>
      <c r="D34" s="16"/>
      <c r="E34" s="16"/>
      <c r="F34" s="16"/>
      <c r="G34" s="16"/>
      <c r="H34" s="16"/>
    </row>
    <row r="35" spans="1:8" x14ac:dyDescent="0.25">
      <c r="A35" s="11" t="s">
        <v>50</v>
      </c>
      <c r="B35" s="16"/>
      <c r="C35" s="16"/>
      <c r="D35" s="16"/>
      <c r="E35" s="16"/>
      <c r="F35" s="16"/>
      <c r="G35" s="16"/>
      <c r="H35" s="16"/>
    </row>
    <row r="36" spans="1:8" x14ac:dyDescent="0.25">
      <c r="A36" s="11" t="s">
        <v>51</v>
      </c>
      <c r="B36" s="16"/>
      <c r="C36" s="16"/>
      <c r="D36" s="16"/>
      <c r="E36" s="16"/>
      <c r="F36" s="16"/>
      <c r="G36" s="16"/>
      <c r="H36" s="16"/>
    </row>
    <row r="37" spans="1:8" x14ac:dyDescent="0.25">
      <c r="A37" s="11" t="s">
        <v>52</v>
      </c>
      <c r="B37" s="16"/>
      <c r="C37" s="16"/>
      <c r="D37" s="16"/>
      <c r="E37" s="16"/>
      <c r="F37" s="16"/>
      <c r="G37" s="16"/>
      <c r="H37" s="16"/>
    </row>
    <row r="38" spans="1:8" x14ac:dyDescent="0.25">
      <c r="A38" s="11" t="s">
        <v>53</v>
      </c>
      <c r="B38" s="16"/>
      <c r="C38" s="16"/>
      <c r="D38" s="16"/>
      <c r="E38" s="16"/>
      <c r="F38" s="16"/>
      <c r="G38" s="16"/>
      <c r="H38" s="16"/>
    </row>
    <row r="39" spans="1:8" x14ac:dyDescent="0.25">
      <c r="A39" s="11" t="s">
        <v>54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1" t="s">
        <v>55</v>
      </c>
      <c r="B40" s="16"/>
      <c r="C40" s="16"/>
      <c r="D40" s="16"/>
      <c r="E40" s="16"/>
      <c r="F40" s="16"/>
      <c r="G40" s="16"/>
      <c r="H40" s="16"/>
    </row>
    <row r="41" spans="1:8" x14ac:dyDescent="0.25">
      <c r="A41" s="11" t="s">
        <v>56</v>
      </c>
      <c r="B41" s="16"/>
      <c r="C41" s="16"/>
      <c r="D41" s="16"/>
      <c r="E41" s="16"/>
      <c r="F41" s="16"/>
      <c r="G41" s="16"/>
      <c r="H41" s="16"/>
    </row>
    <row r="42" spans="1:8" x14ac:dyDescent="0.25">
      <c r="A42" s="11" t="s">
        <v>57</v>
      </c>
      <c r="B42" s="16"/>
      <c r="C42" s="16"/>
      <c r="D42" s="16"/>
      <c r="E42" s="16"/>
      <c r="F42" s="16"/>
      <c r="G42" s="16"/>
      <c r="H42" s="16"/>
    </row>
    <row r="43" spans="1:8" x14ac:dyDescent="0.25">
      <c r="A43" s="11" t="s">
        <v>58</v>
      </c>
      <c r="B43" s="16"/>
      <c r="C43" s="16"/>
      <c r="D43" s="16"/>
      <c r="E43" s="16"/>
      <c r="F43" s="16"/>
      <c r="G43" s="16"/>
      <c r="H43" s="16"/>
    </row>
    <row r="44" spans="1:8" x14ac:dyDescent="0.25">
      <c r="A44" s="11" t="s">
        <v>59</v>
      </c>
      <c r="B44" s="16"/>
      <c r="C44" s="16"/>
      <c r="D44" s="16"/>
      <c r="E44" s="16"/>
      <c r="F44" s="16"/>
      <c r="G44" s="16"/>
      <c r="H44" s="16"/>
    </row>
    <row r="45" spans="1:8" x14ac:dyDescent="0.25">
      <c r="A45" s="11" t="s">
        <v>60</v>
      </c>
      <c r="B45" s="16"/>
      <c r="C45" s="16"/>
      <c r="D45" s="16"/>
      <c r="E45" s="16"/>
      <c r="F45" s="16"/>
      <c r="G45" s="16"/>
      <c r="H45" s="16"/>
    </row>
    <row r="46" spans="1:8" x14ac:dyDescent="0.25">
      <c r="A46" s="11" t="s">
        <v>61</v>
      </c>
      <c r="B46" s="16"/>
      <c r="C46" s="16"/>
      <c r="D46" s="16"/>
      <c r="E46" s="16"/>
      <c r="F46" s="16"/>
      <c r="G46" s="16"/>
      <c r="H46" s="16"/>
    </row>
    <row r="47" spans="1:8" x14ac:dyDescent="0.25">
      <c r="A47" s="11" t="s">
        <v>62</v>
      </c>
      <c r="B47" s="16"/>
      <c r="C47" s="16"/>
      <c r="D47" s="16"/>
      <c r="E47" s="16"/>
      <c r="F47" s="16"/>
      <c r="G47" s="16"/>
      <c r="H47" s="16"/>
    </row>
    <row r="48" spans="1:8" x14ac:dyDescent="0.25">
      <c r="A48" s="11" t="s">
        <v>63</v>
      </c>
      <c r="B48" s="16"/>
      <c r="C48" s="16"/>
      <c r="D48" s="16"/>
      <c r="E48" s="16"/>
      <c r="F48" s="16"/>
      <c r="G48" s="16"/>
      <c r="H48" s="16"/>
    </row>
    <row r="49" spans="1:8" x14ac:dyDescent="0.25">
      <c r="A49" s="11" t="s">
        <v>64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1" t="s">
        <v>65</v>
      </c>
      <c r="B50" s="16"/>
      <c r="C50" s="16"/>
      <c r="D50" s="16"/>
      <c r="E50" s="16"/>
      <c r="F50" s="16"/>
      <c r="G50" s="16"/>
      <c r="H50" s="16"/>
    </row>
    <row r="51" spans="1:8" x14ac:dyDescent="0.25">
      <c r="A51" s="11" t="s">
        <v>66</v>
      </c>
      <c r="B51" s="16"/>
      <c r="C51" s="16"/>
      <c r="D51" s="16"/>
      <c r="E51" s="16"/>
      <c r="F51" s="16"/>
      <c r="G51" s="16"/>
      <c r="H51" s="16"/>
    </row>
    <row r="52" spans="1:8" x14ac:dyDescent="0.25">
      <c r="A52" s="11" t="s">
        <v>67</v>
      </c>
      <c r="B52" s="16"/>
      <c r="C52" s="16"/>
      <c r="D52" s="16"/>
      <c r="E52" s="16"/>
      <c r="F52" s="16"/>
      <c r="G52" s="16"/>
      <c r="H52" s="16"/>
    </row>
    <row r="53" spans="1:8" x14ac:dyDescent="0.25">
      <c r="A53" s="11" t="s">
        <v>68</v>
      </c>
      <c r="B53" s="16"/>
      <c r="C53" s="16"/>
      <c r="D53" s="16"/>
      <c r="E53" s="16"/>
      <c r="F53" s="16"/>
      <c r="G53" s="16"/>
      <c r="H53" s="16"/>
    </row>
    <row r="54" spans="1:8" x14ac:dyDescent="0.25">
      <c r="A54" s="11" t="s">
        <v>69</v>
      </c>
      <c r="B54" s="16"/>
      <c r="C54" s="16"/>
      <c r="D54" s="16"/>
      <c r="E54" s="16"/>
      <c r="F54" s="16"/>
      <c r="G54" s="16"/>
      <c r="H54" s="16"/>
    </row>
    <row r="55" spans="1:8" x14ac:dyDescent="0.25">
      <c r="A55" s="11" t="s">
        <v>70</v>
      </c>
      <c r="B55" s="16"/>
      <c r="C55" s="16"/>
      <c r="D55" s="16"/>
      <c r="E55" s="16"/>
      <c r="F55" s="16"/>
      <c r="G55" s="16"/>
      <c r="H55" s="16"/>
    </row>
    <row r="56" spans="1:8" x14ac:dyDescent="0.25">
      <c r="A56" s="11" t="s">
        <v>71</v>
      </c>
      <c r="B56" s="16"/>
      <c r="C56" s="16"/>
      <c r="D56" s="16"/>
      <c r="E56" s="16"/>
      <c r="F56" s="16"/>
      <c r="G56" s="16"/>
      <c r="H56" s="16"/>
    </row>
    <row r="57" spans="1:8" x14ac:dyDescent="0.25">
      <c r="A57" s="11" t="s">
        <v>72</v>
      </c>
      <c r="B57" s="16"/>
      <c r="C57" s="16"/>
      <c r="D57" s="16"/>
      <c r="E57" s="16"/>
      <c r="F57" s="16"/>
      <c r="G57" s="16"/>
      <c r="H57" s="16"/>
    </row>
    <row r="58" spans="1:8" x14ac:dyDescent="0.25">
      <c r="A58" s="11" t="s">
        <v>73</v>
      </c>
      <c r="B58" s="16"/>
      <c r="C58" s="16"/>
      <c r="D58" s="16"/>
      <c r="E58" s="16"/>
      <c r="F58" s="16"/>
      <c r="G58" s="16"/>
      <c r="H58" s="16"/>
    </row>
    <row r="59" spans="1:8" x14ac:dyDescent="0.25">
      <c r="A59" s="11" t="s">
        <v>74</v>
      </c>
      <c r="B59" s="16"/>
      <c r="C59" s="16"/>
      <c r="D59" s="16"/>
      <c r="E59" s="16"/>
      <c r="F59" s="16"/>
      <c r="G59" s="16"/>
      <c r="H59" s="16"/>
    </row>
    <row r="60" spans="1:8" x14ac:dyDescent="0.25">
      <c r="A60" s="11" t="s">
        <v>75</v>
      </c>
      <c r="B60" s="16"/>
      <c r="C60" s="16"/>
      <c r="D60" s="16"/>
      <c r="E60" s="16"/>
      <c r="F60" s="16"/>
      <c r="G60" s="16"/>
      <c r="H60" s="16"/>
    </row>
    <row r="61" spans="1:8" x14ac:dyDescent="0.25">
      <c r="A61" s="11" t="s">
        <v>173</v>
      </c>
      <c r="B61" s="16"/>
      <c r="C61" s="16"/>
      <c r="D61" s="16"/>
      <c r="E61" s="16"/>
      <c r="F61" s="16"/>
      <c r="G61" s="16"/>
      <c r="H61" s="16"/>
    </row>
    <row r="62" spans="1:8" x14ac:dyDescent="0.25">
      <c r="A62" s="11" t="s">
        <v>174</v>
      </c>
      <c r="B62" s="16"/>
      <c r="C62" s="16"/>
      <c r="D62" s="16"/>
      <c r="E62" s="16" t="s">
        <v>190</v>
      </c>
      <c r="F62" s="16" t="s">
        <v>190</v>
      </c>
      <c r="G62" s="16"/>
      <c r="H62" s="16"/>
    </row>
    <row r="63" spans="1:8" x14ac:dyDescent="0.25">
      <c r="A63" s="11" t="s">
        <v>175</v>
      </c>
      <c r="B63" s="16"/>
      <c r="C63" s="16"/>
      <c r="D63" s="16"/>
      <c r="E63" s="16"/>
      <c r="F63" s="16"/>
      <c r="G63" s="16"/>
      <c r="H63" s="16"/>
    </row>
    <row r="64" spans="1:8" x14ac:dyDescent="0.25">
      <c r="A64" s="11" t="s">
        <v>176</v>
      </c>
      <c r="B64" s="16"/>
      <c r="C64" s="16"/>
      <c r="D64" s="16"/>
      <c r="E64" s="16"/>
      <c r="F64" s="16" t="s">
        <v>190</v>
      </c>
      <c r="G64" s="16"/>
      <c r="H64" s="16"/>
    </row>
    <row r="65" spans="1:8" x14ac:dyDescent="0.25">
      <c r="A65" s="11" t="s">
        <v>177</v>
      </c>
      <c r="B65" s="16"/>
      <c r="C65" s="16"/>
      <c r="D65" s="16"/>
      <c r="E65" s="16"/>
      <c r="F65" s="16"/>
      <c r="G65" s="16"/>
      <c r="H65" s="16"/>
    </row>
    <row r="66" spans="1:8" x14ac:dyDescent="0.25">
      <c r="A66" s="11" t="s">
        <v>178</v>
      </c>
      <c r="B66" s="16"/>
      <c r="C66" s="16"/>
      <c r="D66" s="16"/>
      <c r="E66" s="16"/>
      <c r="F66" s="16"/>
      <c r="G66" s="16"/>
      <c r="H66" s="16"/>
    </row>
    <row r="67" spans="1:8" x14ac:dyDescent="0.25">
      <c r="A67" s="11" t="s">
        <v>179</v>
      </c>
      <c r="B67" s="16"/>
      <c r="C67" s="16"/>
      <c r="D67" s="16"/>
      <c r="E67" s="16"/>
      <c r="F67" s="16"/>
      <c r="G67" s="16"/>
      <c r="H67" s="16"/>
    </row>
    <row r="68" spans="1:8" x14ac:dyDescent="0.25">
      <c r="A68" s="11" t="s">
        <v>180</v>
      </c>
      <c r="B68" s="16"/>
      <c r="C68" s="16"/>
      <c r="D68" s="16"/>
      <c r="E68" s="16"/>
      <c r="F68" s="16"/>
      <c r="G68" s="16"/>
      <c r="H68" s="16"/>
    </row>
    <row r="69" spans="1:8" x14ac:dyDescent="0.25">
      <c r="A69" s="11" t="s">
        <v>181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1" t="s">
        <v>182</v>
      </c>
      <c r="B70" s="16"/>
      <c r="C70" s="16"/>
      <c r="D70" s="16"/>
      <c r="E70" s="16"/>
      <c r="F70" s="16"/>
      <c r="G70" s="16"/>
      <c r="H70" s="16"/>
    </row>
    <row r="71" spans="1:8" x14ac:dyDescent="0.25">
      <c r="A71" s="11" t="s">
        <v>183</v>
      </c>
      <c r="B71" s="16"/>
      <c r="C71" s="16"/>
      <c r="D71" s="16"/>
      <c r="E71" s="16"/>
      <c r="F71" s="16"/>
      <c r="G71" s="16"/>
      <c r="H71" s="16"/>
    </row>
    <row r="72" spans="1:8" x14ac:dyDescent="0.25">
      <c r="A72" s="11" t="s">
        <v>184</v>
      </c>
      <c r="B72" s="16"/>
      <c r="C72" s="16"/>
      <c r="D72" s="16"/>
      <c r="E72" s="16"/>
      <c r="F72" s="16"/>
      <c r="G72" s="16"/>
      <c r="H72" s="16"/>
    </row>
    <row r="73" spans="1:8" x14ac:dyDescent="0.25">
      <c r="A73" s="11" t="s">
        <v>185</v>
      </c>
      <c r="B73" s="16"/>
      <c r="C73" s="16"/>
      <c r="D73" s="16"/>
      <c r="E73" s="16"/>
      <c r="F73" s="16"/>
      <c r="G73" s="16"/>
      <c r="H73" s="16"/>
    </row>
    <row r="74" spans="1:8" x14ac:dyDescent="0.25">
      <c r="A74" s="11" t="s">
        <v>186</v>
      </c>
      <c r="B74" s="16"/>
      <c r="C74" s="16"/>
      <c r="D74" s="16"/>
      <c r="E74" s="16"/>
      <c r="F74" s="16"/>
      <c r="G74" s="16"/>
      <c r="H74" s="16"/>
    </row>
    <row r="75" spans="1:8" x14ac:dyDescent="0.25">
      <c r="A75" s="11" t="s">
        <v>187</v>
      </c>
      <c r="B75" s="16"/>
      <c r="C75" s="16"/>
      <c r="D75" s="16"/>
      <c r="E75" s="16"/>
      <c r="F75" s="16"/>
      <c r="G75" s="16"/>
      <c r="H75" s="16"/>
    </row>
    <row r="76" spans="1:8" x14ac:dyDescent="0.25">
      <c r="A76" s="11" t="s">
        <v>188</v>
      </c>
      <c r="B76" s="16"/>
      <c r="C76" s="16"/>
      <c r="D76" s="16"/>
      <c r="E76" s="16"/>
      <c r="F76" s="16"/>
      <c r="G76" s="16"/>
      <c r="H76" s="16"/>
    </row>
    <row r="77" spans="1:8" x14ac:dyDescent="0.25">
      <c r="A77" s="11" t="s">
        <v>76</v>
      </c>
      <c r="B77" s="16"/>
      <c r="C77" s="16"/>
      <c r="D77" s="16"/>
      <c r="E77" s="16"/>
      <c r="F77" s="16"/>
      <c r="G77" s="16"/>
      <c r="H77" s="16"/>
    </row>
    <row r="78" spans="1:8" x14ac:dyDescent="0.25">
      <c r="A78" s="11" t="s">
        <v>77</v>
      </c>
      <c r="B78" s="16"/>
      <c r="C78" s="16"/>
      <c r="D78" s="16"/>
      <c r="E78" s="16"/>
      <c r="F78" s="16"/>
      <c r="G78" s="16"/>
      <c r="H78" s="16"/>
    </row>
    <row r="79" spans="1:8" x14ac:dyDescent="0.25">
      <c r="A79" s="11" t="s">
        <v>78</v>
      </c>
      <c r="B79" s="16"/>
      <c r="C79" s="16"/>
      <c r="D79" s="16"/>
      <c r="E79" s="16"/>
      <c r="F79" s="16"/>
      <c r="G79" s="16"/>
      <c r="H79" s="16"/>
    </row>
    <row r="80" spans="1:8" x14ac:dyDescent="0.25">
      <c r="A80" s="11" t="s">
        <v>79</v>
      </c>
      <c r="B80" s="16"/>
      <c r="C80" s="16"/>
      <c r="D80" s="16"/>
      <c r="E80" s="16"/>
      <c r="F80" s="16"/>
      <c r="G80" s="16"/>
      <c r="H80" s="16"/>
    </row>
    <row r="81" spans="1:8" x14ac:dyDescent="0.25">
      <c r="A81" s="11" t="s">
        <v>80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1" t="s">
        <v>81</v>
      </c>
      <c r="B82" s="16"/>
      <c r="C82" s="16"/>
      <c r="D82" s="16"/>
      <c r="E82" s="16"/>
      <c r="F82" s="16"/>
      <c r="G82" s="16"/>
      <c r="H82" s="16"/>
    </row>
    <row r="83" spans="1:8" x14ac:dyDescent="0.25">
      <c r="A83" s="11" t="s">
        <v>82</v>
      </c>
      <c r="B83" s="16"/>
      <c r="C83" s="16"/>
      <c r="D83" s="16"/>
      <c r="E83" s="16"/>
      <c r="F83" s="16"/>
      <c r="G83" s="16"/>
      <c r="H83" s="16"/>
    </row>
    <row r="84" spans="1:8" x14ac:dyDescent="0.25">
      <c r="A84" s="11" t="s">
        <v>83</v>
      </c>
      <c r="B84" s="16"/>
      <c r="C84" s="16"/>
      <c r="D84" s="16"/>
      <c r="E84" s="16"/>
      <c r="F84" s="16"/>
      <c r="G84" s="16"/>
      <c r="H84" s="16"/>
    </row>
    <row r="85" spans="1:8" x14ac:dyDescent="0.25">
      <c r="A85" s="11" t="s">
        <v>84</v>
      </c>
      <c r="B85" s="16"/>
      <c r="C85" s="16"/>
      <c r="D85" s="16"/>
      <c r="E85" s="16"/>
      <c r="F85" s="16"/>
      <c r="G85" s="16"/>
      <c r="H85" s="16"/>
    </row>
    <row r="86" spans="1:8" x14ac:dyDescent="0.25">
      <c r="A86" s="11" t="s">
        <v>85</v>
      </c>
      <c r="B86" s="16"/>
      <c r="C86" s="16"/>
      <c r="D86" s="16"/>
      <c r="E86" s="16"/>
      <c r="F86" s="16"/>
      <c r="G86" s="16"/>
      <c r="H86" s="16"/>
    </row>
    <row r="87" spans="1:8" x14ac:dyDescent="0.25">
      <c r="A87" s="11" t="s">
        <v>86</v>
      </c>
      <c r="B87" s="16"/>
      <c r="C87" s="16"/>
      <c r="D87" s="16"/>
      <c r="E87" s="16"/>
      <c r="F87" s="16"/>
      <c r="G87" s="16"/>
      <c r="H87" s="16"/>
    </row>
    <row r="88" spans="1:8" x14ac:dyDescent="0.25">
      <c r="A88" s="11" t="s">
        <v>87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1" t="s">
        <v>88</v>
      </c>
      <c r="B89" s="16"/>
      <c r="C89" s="16"/>
      <c r="D89" s="16"/>
      <c r="E89" s="16"/>
      <c r="F89" s="16"/>
      <c r="G89" s="16"/>
      <c r="H89" s="16"/>
    </row>
    <row r="90" spans="1:8" x14ac:dyDescent="0.25">
      <c r="A90" s="11" t="s">
        <v>89</v>
      </c>
      <c r="B90" s="16"/>
      <c r="C90" s="16"/>
      <c r="D90" s="16"/>
      <c r="E90" s="16"/>
      <c r="F90" s="16"/>
      <c r="G90" s="16"/>
      <c r="H90" s="16"/>
    </row>
    <row r="91" spans="1:8" x14ac:dyDescent="0.25">
      <c r="A91" s="11" t="s">
        <v>90</v>
      </c>
      <c r="B91" s="16"/>
      <c r="C91" s="16"/>
      <c r="D91" s="16"/>
      <c r="E91" s="16"/>
      <c r="F91" s="16"/>
      <c r="G91" s="16"/>
      <c r="H91" s="16"/>
    </row>
    <row r="92" spans="1:8" x14ac:dyDescent="0.25">
      <c r="A92" s="11" t="s">
        <v>91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1" t="s">
        <v>92</v>
      </c>
      <c r="B93" s="16"/>
      <c r="C93" s="16"/>
      <c r="D93" s="16"/>
      <c r="E93" s="16"/>
      <c r="F93" s="16"/>
      <c r="G93" s="16"/>
      <c r="H93" s="16"/>
    </row>
    <row r="94" spans="1:8" x14ac:dyDescent="0.25">
      <c r="A94" s="11" t="s">
        <v>93</v>
      </c>
      <c r="B94" s="16"/>
      <c r="C94" s="16"/>
      <c r="D94" s="16"/>
      <c r="E94" s="16"/>
      <c r="F94" s="16"/>
      <c r="G94" s="16"/>
      <c r="H94" s="16"/>
    </row>
    <row r="95" spans="1:8" x14ac:dyDescent="0.25">
      <c r="A95" s="11" t="s">
        <v>94</v>
      </c>
      <c r="B95" s="16"/>
      <c r="C95" s="16"/>
      <c r="D95" s="16"/>
      <c r="E95" s="16"/>
      <c r="F95" s="16"/>
      <c r="G95" s="16"/>
      <c r="H95" s="16"/>
    </row>
    <row r="96" spans="1:8" x14ac:dyDescent="0.25">
      <c r="A96" s="11" t="s">
        <v>95</v>
      </c>
      <c r="B96" s="16"/>
      <c r="C96" s="16"/>
      <c r="D96" s="16"/>
      <c r="E96" s="16"/>
      <c r="F96" s="16"/>
      <c r="G96" s="16"/>
      <c r="H96" s="16"/>
    </row>
    <row r="97" spans="1:8" x14ac:dyDescent="0.25">
      <c r="A97" s="11" t="s">
        <v>96</v>
      </c>
      <c r="B97" s="16"/>
      <c r="C97" s="16"/>
      <c r="D97" s="16"/>
      <c r="E97" s="16"/>
      <c r="F97" s="16"/>
      <c r="G97" s="16"/>
      <c r="H97" s="16"/>
    </row>
    <row r="98" spans="1:8" ht="15.75" customHeight="1" x14ac:dyDescent="0.25">
      <c r="A98" s="11" t="s">
        <v>97</v>
      </c>
      <c r="B98" s="16"/>
      <c r="C98" s="16"/>
      <c r="D98" s="16"/>
      <c r="E98" s="16"/>
      <c r="F98" s="16"/>
      <c r="G98" s="16"/>
      <c r="H98" s="16"/>
    </row>
    <row r="99" spans="1:8" x14ac:dyDescent="0.25">
      <c r="A99" s="11" t="s">
        <v>98</v>
      </c>
      <c r="B99" s="16"/>
      <c r="C99" s="16"/>
      <c r="D99" s="16"/>
      <c r="E99" s="16"/>
      <c r="F99" s="16"/>
      <c r="G99" s="16"/>
      <c r="H99" s="16"/>
    </row>
    <row r="100" spans="1:8" x14ac:dyDescent="0.25">
      <c r="A100" s="11" t="s">
        <v>99</v>
      </c>
      <c r="B100" s="16"/>
      <c r="C100" s="16"/>
      <c r="D100" s="16"/>
      <c r="E100" s="16"/>
      <c r="F100" s="16"/>
      <c r="G100" s="16"/>
      <c r="H100" s="16"/>
    </row>
    <row r="101" spans="1:8" x14ac:dyDescent="0.25">
      <c r="A101" s="11" t="s">
        <v>100</v>
      </c>
      <c r="B101" s="16"/>
      <c r="C101" s="16"/>
      <c r="D101" s="16"/>
      <c r="E101" s="16"/>
      <c r="F101" s="16"/>
      <c r="G101" s="16"/>
      <c r="H101" s="16"/>
    </row>
    <row r="102" spans="1:8" x14ac:dyDescent="0.25">
      <c r="A102" s="11" t="s">
        <v>101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1" t="s">
        <v>102</v>
      </c>
      <c r="B103" s="16"/>
      <c r="C103" s="16"/>
      <c r="D103" s="16"/>
      <c r="E103" s="16"/>
      <c r="F103" s="16"/>
      <c r="G103" s="16"/>
      <c r="H103" s="16"/>
    </row>
    <row r="104" spans="1:8" x14ac:dyDescent="0.25">
      <c r="A104" s="11" t="s">
        <v>103</v>
      </c>
      <c r="B104" s="16"/>
      <c r="C104" s="16"/>
      <c r="D104" s="16"/>
      <c r="E104" s="16"/>
      <c r="F104" s="16"/>
      <c r="G104" s="16"/>
      <c r="H104" s="16"/>
    </row>
    <row r="105" spans="1:8" x14ac:dyDescent="0.25">
      <c r="A105" s="11" t="s">
        <v>104</v>
      </c>
      <c r="B105" s="16"/>
      <c r="C105" s="16"/>
      <c r="D105" s="16"/>
      <c r="E105" s="16"/>
      <c r="F105" s="16"/>
      <c r="G105" s="16"/>
      <c r="H105" s="16"/>
    </row>
    <row r="106" spans="1:8" x14ac:dyDescent="0.25">
      <c r="A106" s="11" t="s">
        <v>105</v>
      </c>
      <c r="B106" s="16"/>
      <c r="C106" s="16"/>
      <c r="D106" s="16"/>
      <c r="E106" s="16"/>
      <c r="F106" s="16"/>
      <c r="G106" s="16"/>
      <c r="H106" s="16"/>
    </row>
    <row r="107" spans="1:8" x14ac:dyDescent="0.25">
      <c r="A107" s="11" t="s">
        <v>106</v>
      </c>
      <c r="B107" s="16"/>
      <c r="C107" s="16"/>
      <c r="D107" s="16"/>
      <c r="E107" s="16"/>
      <c r="F107" s="16"/>
      <c r="G107" s="16"/>
      <c r="H107" s="16"/>
    </row>
    <row r="108" spans="1:8" x14ac:dyDescent="0.25">
      <c r="A108" s="11" t="s">
        <v>107</v>
      </c>
      <c r="B108" s="16"/>
      <c r="C108" s="16"/>
      <c r="D108" s="16"/>
      <c r="E108" s="16"/>
      <c r="F108" s="16"/>
      <c r="G108" s="16"/>
      <c r="H108" s="16"/>
    </row>
    <row r="109" spans="1:8" x14ac:dyDescent="0.25">
      <c r="A109" s="11" t="s">
        <v>202</v>
      </c>
      <c r="B109" s="16"/>
      <c r="C109" s="16"/>
      <c r="D109" s="16"/>
      <c r="E109" s="16"/>
      <c r="F109" s="16"/>
      <c r="G109" s="16"/>
      <c r="H109" s="16"/>
    </row>
    <row r="110" spans="1:8" x14ac:dyDescent="0.25">
      <c r="A110" s="11" t="s">
        <v>203</v>
      </c>
      <c r="B110" s="16"/>
      <c r="C110" s="16"/>
      <c r="D110" s="16"/>
      <c r="E110" s="16"/>
      <c r="F110" s="16"/>
      <c r="G110" s="16"/>
      <c r="H110" s="16"/>
    </row>
    <row r="111" spans="1:8" x14ac:dyDescent="0.25">
      <c r="A111" s="11" t="s">
        <v>108</v>
      </c>
      <c r="B111" s="16"/>
      <c r="C111" s="16"/>
      <c r="D111" s="16"/>
      <c r="E111" s="16"/>
      <c r="F111" s="16"/>
      <c r="G111" s="16"/>
      <c r="H111" s="16"/>
    </row>
  </sheetData>
  <mergeCells count="1">
    <mergeCell ref="A1:H2"/>
  </mergeCells>
  <conditionalFormatting sqref="A1:A1048576">
    <cfRule type="containsText" dxfId="33" priority="23" operator="containsText" text="Pivô ">
      <formula>NOT(ISERROR(SEARCH("Pivô ",A1)))</formula>
    </cfRule>
  </conditionalFormatting>
  <conditionalFormatting sqref="B5:H111">
    <cfRule type="cellIs" dxfId="9" priority="25" operator="equal">
      <formula>$J$17</formula>
    </cfRule>
    <cfRule type="cellIs" dxfId="8" priority="26" operator="equal">
      <formula>$J$19</formula>
    </cfRule>
    <cfRule type="cellIs" dxfId="7" priority="27" operator="equal">
      <formula>$J$15</formula>
    </cfRule>
    <cfRule type="containsText" dxfId="6" priority="28" operator="containsText" text="Cardã">
      <formula>NOT(ISERROR(SEARCH("Cardã",B5)))</formula>
    </cfRule>
    <cfRule type="containsText" dxfId="5" priority="29" operator="containsText" text="Pneu">
      <formula>NOT(ISERROR(SEARCH("Pneu",B5)))</formula>
    </cfRule>
    <cfRule type="containsText" dxfId="4" priority="30" operator="containsText" text="Vedação">
      <formula>NOT(ISERROR(SEARCH("Vedação",B5)))</formula>
    </cfRule>
    <cfRule type="containsText" dxfId="3" priority="31" operator="containsText" text="Retentor">
      <formula>NOT(ISERROR(SEARCH("Retentor",B5)))</formula>
    </cfRule>
    <cfRule type="containsText" dxfId="2" priority="32" operator="containsText" text="Motorredutor">
      <formula>NOT(ISERROR(SEARCH("Motorredutor",B5)))</formula>
    </cfRule>
    <cfRule type="containsText" dxfId="1" priority="33" operator="containsText" text="Redutor">
      <formula>NOT(ISERROR(SEARCH("Redutor",B5)))</formula>
    </cfRule>
    <cfRule type="containsText" dxfId="0" priority="34" operator="containsText" text="Bomba">
      <formula>NOT(ISERROR(SEARCH("Bomba",B5)))</formula>
    </cfRule>
  </conditionalFormatting>
  <dataValidations count="1">
    <dataValidation type="list" allowBlank="1" showInputMessage="1" showErrorMessage="1" sqref="B5:H111" xr:uid="{7FC39335-9E10-43E5-936F-4D6605C537F6}">
      <formula1>$J$5:$J$19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84A956F-710D-4DF5-9686-6120D835AF73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theme="7"/>
                </patternFill>
              </fill>
            </x14:dxf>
          </x14:cfRule>
          <x14:cfRule type="containsText" priority="2" operator="containsText" id="{DA28690B-ACBF-406F-809C-F5961D5EE44A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7" tint="-0.499984740745262"/>
                </patternFill>
              </fill>
            </x14:dxf>
          </x14:cfRule>
          <x14:cfRule type="containsText" priority="3" operator="containsText" id="{C33579CC-65EC-46B5-BC4B-E1148EE98333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D13F"/>
                </patternFill>
              </fill>
            </x14:dxf>
          </x14:cfRule>
          <x14:cfRule type="containsText" priority="4" operator="containsText" id="{3ADF9F81-5CC8-4779-984A-440164E4AF2D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14:cfRule type="containsText" priority="5" operator="containsText" id="{33A523EC-DE02-4CFA-8AA9-5B5263F44752}">
            <xm:f>NOT(ISERROR(SEARCH($J$11,B5)))</xm:f>
            <xm:f>$J$11</xm:f>
            <x14:dxf>
              <font>
                <b/>
                <i val="0"/>
              </font>
              <fill>
                <patternFill>
                  <bgColor rgb="FFF98D2B"/>
                </patternFill>
              </fill>
            </x14:dxf>
          </x14:cfRule>
          <x14:cfRule type="containsText" priority="6" operator="containsText" id="{650F2870-375B-45C1-871F-C067D21C134A}">
            <xm:f>NOT(ISERROR(SEARCH($J$9,B5)))</xm:f>
            <xm:f>$J$9</xm:f>
            <x14:dxf>
              <font>
                <b/>
                <i val="0"/>
                <color theme="1"/>
              </font>
              <fill>
                <patternFill>
                  <bgColor theme="7" tint="-0.24994659260841701"/>
                </patternFill>
              </fill>
            </x14:dxf>
          </x14:cfRule>
          <x14:cfRule type="containsText" priority="7" operator="containsText" id="{58664D04-DC18-41A2-BBE3-4D1804B26FAE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8" operator="containsText" id="{4BFDC1C0-C6D8-4835-8BC8-E84D5C89451D}">
            <xm:f>NOT(ISERROR(SEARCH($J$7,B5)))</xm:f>
            <xm:f>$J$7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9" operator="containsText" id="{029DC040-FE0E-4D43-8837-29F736BB0AF6}">
            <xm:f>NOT(ISERROR(SEARCH($J$6,B5)))</xm:f>
            <xm:f>$J$6</xm:f>
            <x14:dxf>
              <font>
                <b/>
                <i val="0"/>
                <color auto="1"/>
              </font>
              <fill>
                <patternFill>
                  <bgColor rgb="FFF3A60D"/>
                </patternFill>
              </fill>
            </x14:dxf>
          </x14:cfRule>
          <x14:cfRule type="containsText" priority="10" operator="containsText" id="{54315DBE-1798-4CE3-954C-1DB5E56EA9A8}">
            <xm:f>NOT(ISERROR(SEARCH($J$5,B5)))</xm:f>
            <xm:f>$J$5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1" operator="containsText" id="{F5302354-769C-4A60-8F91-646B23D0AF24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2" operator="containsText" id="{AC5080B4-70B4-4F57-B656-B54F73E4903D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3" operator="containsText" id="{B7D63E93-43C2-450E-8719-58B060126DA4}">
            <xm:f>NOT(ISERROR(SEARCH(#REF!,B5)))</xm:f>
            <xm:f>#REF!</xm:f>
            <x14:dxf>
              <font>
                <b/>
                <i val="0"/>
              </font>
            </x14:dxf>
          </x14:cfRule>
          <x14:cfRule type="containsText" priority="14" operator="containsText" id="{353BE97F-4ADA-42A2-87DC-C5C3BB341390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containsText" priority="15" operator="containsText" id="{6E7CF9C7-684D-4E61-BA15-2193BF97B146}">
            <xm:f>NOT(ISERROR(SEARCH(#REF!,B5)))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6" operator="containsText" id="{C5318538-5FAC-4CC3-8343-E1A09DEA4DE7}">
            <xm:f>NOT(ISERROR(SEARCH(#REF!,B5)))</xm:f>
            <xm:f>#REF!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7" operator="containsText" id="{3FD3F264-81EE-4F42-A0E5-C55DC5C4429E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" operator="containsText" id="{C4C78D15-D89F-4451-872E-CF1257CECA6A}">
            <xm:f>NOT(ISERROR(SEARCH(#REF!,B5)))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9" operator="containsText" id="{7689F929-73F7-4750-B477-EE58A002ED3D}">
            <xm:f>NOT(ISERROR(SEARCH(#REF!,B5)))</xm:f>
            <xm:f>#REF!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20" operator="containsText" id="{FE89EB8D-8DA6-483B-B44A-ACA24882A9F1}">
            <xm:f>NOT(ISERROR(SEARCH($D$5,B5)))</xm:f>
            <xm:f>$D$5</xm:f>
            <x14:dxf>
              <fill>
                <patternFill>
                  <bgColor rgb="FFFFFF00"/>
                </patternFill>
              </fill>
            </x14:dxf>
          </x14:cfRule>
          <x14:cfRule type="containsText" priority="21" operator="containsText" id="{EC59923F-3AEC-4961-8DAC-5FAA4C1BD6B5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2" operator="containsText" id="{9CC38D77-A8F5-4E89-8FB1-202C44E12240}">
            <xm:f>NOT(ISERROR(SEARCH(#REF!,B5)))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24" operator="containsText" id="{CEE5240D-0457-45FC-8D4D-AC18BC3A95F3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7" tint="-0.24994659260841701"/>
                </patternFill>
              </fill>
            </x14:dxf>
          </x14:cfRule>
          <xm:sqref>B5:H111</xm:sqref>
        </x14:conditionalFormatting>
      </x14:conditionalFormattings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79B1-BE66-4627-B4BE-AA5A123BDA84}">
  <dimension ref="A1:G817"/>
  <sheetViews>
    <sheetView showGridLines="0" tabSelected="1" zoomScaleNormal="100" workbookViewId="0">
      <pane ySplit="1" topLeftCell="A792" activePane="bottomLeft" state="frozen"/>
      <selection pane="bottomLeft" activeCell="L808" sqref="L808"/>
    </sheetView>
  </sheetViews>
  <sheetFormatPr defaultRowHeight="15" x14ac:dyDescent="0.25"/>
  <cols>
    <col min="1" max="1" width="21.7109375" bestFit="1" customWidth="1"/>
    <col min="2" max="2" width="12.28515625" bestFit="1" customWidth="1"/>
    <col min="3" max="3" width="15" style="2" bestFit="1" customWidth="1"/>
    <col min="4" max="4" width="11.85546875" bestFit="1" customWidth="1"/>
    <col min="5" max="5" width="11.85546875" customWidth="1"/>
    <col min="7" max="7" width="11.7109375" bestFit="1" customWidth="1"/>
  </cols>
  <sheetData>
    <row r="1" spans="1:7" x14ac:dyDescent="0.25">
      <c r="A1" t="s">
        <v>0</v>
      </c>
      <c r="B1" t="s">
        <v>15</v>
      </c>
      <c r="C1" s="2" t="s">
        <v>16</v>
      </c>
      <c r="D1" t="s">
        <v>17</v>
      </c>
      <c r="E1" t="s">
        <v>194</v>
      </c>
      <c r="F1" t="s">
        <v>195</v>
      </c>
      <c r="G1" t="s">
        <v>196</v>
      </c>
    </row>
    <row r="2" spans="1:7" x14ac:dyDescent="0.25">
      <c r="A2" t="s">
        <v>112</v>
      </c>
      <c r="B2">
        <v>3</v>
      </c>
      <c r="C2" s="2">
        <v>0.1875</v>
      </c>
      <c r="D2" s="48">
        <v>44613</v>
      </c>
      <c r="E2" s="48" t="str">
        <f>TEXT(Base_de_Dados[[#This Row],[Semana]],"Mmmm")</f>
        <v>fevereiro</v>
      </c>
      <c r="F2">
        <f>YEAR(Base_de_Dados[[#This Row],[Semana]])</f>
        <v>2022</v>
      </c>
      <c r="G2" t="str">
        <f>IF(MONTH(Base_de_Dados[[#This Row],[Semana]])&lt;=6,"1ª Bimestre","2ª Bimestre")</f>
        <v>1ª Bimestre</v>
      </c>
    </row>
    <row r="3" spans="1:7" x14ac:dyDescent="0.25">
      <c r="A3" t="s">
        <v>4</v>
      </c>
      <c r="B3">
        <v>1</v>
      </c>
      <c r="C3" s="2">
        <v>6.25E-2</v>
      </c>
      <c r="D3" s="48">
        <v>44613</v>
      </c>
      <c r="E3" s="48" t="str">
        <f>TEXT(Base_de_Dados[[#This Row],[Semana]],"Mmmm")</f>
        <v>fevereiro</v>
      </c>
      <c r="F3">
        <f>YEAR(Base_de_Dados[[#This Row],[Semana]])</f>
        <v>2022</v>
      </c>
      <c r="G3" t="str">
        <f>IF(MONTH(Base_de_Dados[[#This Row],[Semana]])&lt;=6,"1ª Bimestre","2ª Bimestre")</f>
        <v>1ª Bimestre</v>
      </c>
    </row>
    <row r="4" spans="1:7" x14ac:dyDescent="0.25">
      <c r="A4" t="s">
        <v>5</v>
      </c>
      <c r="B4">
        <v>0</v>
      </c>
      <c r="C4" s="2">
        <v>0</v>
      </c>
      <c r="D4" s="48">
        <v>44613</v>
      </c>
      <c r="E4" s="48" t="str">
        <f>TEXT(Base_de_Dados[[#This Row],[Semana]],"Mmmm")</f>
        <v>fevereiro</v>
      </c>
      <c r="F4">
        <f>YEAR(Base_de_Dados[[#This Row],[Semana]])</f>
        <v>2022</v>
      </c>
      <c r="G4" t="str">
        <f>IF(MONTH(Base_de_Dados[[#This Row],[Semana]])&lt;=6,"1ª Bimestre","2ª Bimestre")</f>
        <v>1ª Bimestre</v>
      </c>
    </row>
    <row r="5" spans="1:7" x14ac:dyDescent="0.25">
      <c r="A5" t="s">
        <v>6</v>
      </c>
      <c r="B5">
        <v>5</v>
      </c>
      <c r="C5" s="2">
        <v>0.3125</v>
      </c>
      <c r="D5" s="48">
        <v>44613</v>
      </c>
      <c r="E5" s="48" t="str">
        <f>TEXT(Base_de_Dados[[#This Row],[Semana]],"Mmmm")</f>
        <v>fevereiro</v>
      </c>
      <c r="F5">
        <f>YEAR(Base_de_Dados[[#This Row],[Semana]])</f>
        <v>2022</v>
      </c>
      <c r="G5" t="str">
        <f>IF(MONTH(Base_de_Dados[[#This Row],[Semana]])&lt;=6,"1ª Bimestre","2ª Bimestre")</f>
        <v>1ª Bimestre</v>
      </c>
    </row>
    <row r="6" spans="1:7" x14ac:dyDescent="0.25">
      <c r="A6" t="s">
        <v>7</v>
      </c>
      <c r="B6">
        <v>5</v>
      </c>
      <c r="C6" s="2">
        <v>0.3125</v>
      </c>
      <c r="D6" s="48">
        <v>44613</v>
      </c>
      <c r="E6" s="48" t="str">
        <f>TEXT(Base_de_Dados[[#This Row],[Semana]],"Mmmm")</f>
        <v>fevereiro</v>
      </c>
      <c r="F6">
        <f>YEAR(Base_de_Dados[[#This Row],[Semana]])</f>
        <v>2022</v>
      </c>
      <c r="G6" t="str">
        <f>IF(MONTH(Base_de_Dados[[#This Row],[Semana]])&lt;=6,"1ª Bimestre","2ª Bimestre")</f>
        <v>1ª Bimestre</v>
      </c>
    </row>
    <row r="7" spans="1:7" x14ac:dyDescent="0.25">
      <c r="A7" t="s">
        <v>8</v>
      </c>
      <c r="B7">
        <v>0</v>
      </c>
      <c r="C7" s="2">
        <v>0</v>
      </c>
      <c r="D7" s="48">
        <v>44613</v>
      </c>
      <c r="E7" s="48" t="str">
        <f>TEXT(Base_de_Dados[[#This Row],[Semana]],"Mmmm")</f>
        <v>fevereiro</v>
      </c>
      <c r="F7">
        <f>YEAR(Base_de_Dados[[#This Row],[Semana]])</f>
        <v>2022</v>
      </c>
      <c r="G7" t="str">
        <f>IF(MONTH(Base_de_Dados[[#This Row],[Semana]])&lt;=6,"1ª Bimestre","2ª Bimestre")</f>
        <v>1ª Bimestre</v>
      </c>
    </row>
    <row r="8" spans="1:7" x14ac:dyDescent="0.25">
      <c r="A8" t="s">
        <v>9</v>
      </c>
      <c r="B8">
        <v>0</v>
      </c>
      <c r="C8" s="2">
        <v>0</v>
      </c>
      <c r="D8" s="48">
        <v>44613</v>
      </c>
      <c r="E8" s="48" t="str">
        <f>TEXT(Base_de_Dados[[#This Row],[Semana]],"Mmmm")</f>
        <v>fevereiro</v>
      </c>
      <c r="F8">
        <f>YEAR(Base_de_Dados[[#This Row],[Semana]])</f>
        <v>2022</v>
      </c>
      <c r="G8" t="str">
        <f>IF(MONTH(Base_de_Dados[[#This Row],[Semana]])&lt;=6,"1ª Bimestre","2ª Bimestre")</f>
        <v>1ª Bimestre</v>
      </c>
    </row>
    <row r="9" spans="1:7" x14ac:dyDescent="0.25">
      <c r="A9" t="s">
        <v>114</v>
      </c>
      <c r="B9">
        <v>2</v>
      </c>
      <c r="C9" s="2">
        <v>0.125</v>
      </c>
      <c r="D9" s="48">
        <v>44613</v>
      </c>
      <c r="E9" s="48" t="str">
        <f>TEXT(Base_de_Dados[[#This Row],[Semana]],"Mmmm")</f>
        <v>fevereiro</v>
      </c>
      <c r="F9">
        <f>YEAR(Base_de_Dados[[#This Row],[Semana]])</f>
        <v>2022</v>
      </c>
      <c r="G9" t="str">
        <f>IF(MONTH(Base_de_Dados[[#This Row],[Semana]])&lt;=6,"1ª Bimestre","2ª Bimestre")</f>
        <v>1ª Bimestre</v>
      </c>
    </row>
    <row r="10" spans="1:7" x14ac:dyDescent="0.25">
      <c r="A10" t="s">
        <v>112</v>
      </c>
      <c r="B10">
        <v>1</v>
      </c>
      <c r="C10" s="2">
        <v>7.1428571428571425E-2</v>
      </c>
      <c r="D10" s="48">
        <v>44620</v>
      </c>
      <c r="E10" s="48" t="str">
        <f>TEXT(Base_de_Dados[[#This Row],[Semana]],"Mmmm")</f>
        <v>fevereiro</v>
      </c>
      <c r="F10">
        <f>YEAR(Base_de_Dados[[#This Row],[Semana]])</f>
        <v>2022</v>
      </c>
      <c r="G10" t="str">
        <f>IF(MONTH(Base_de_Dados[[#This Row],[Semana]])&lt;=6,"1ª Bimestre","2ª Bimestre")</f>
        <v>1ª Bimestre</v>
      </c>
    </row>
    <row r="11" spans="1:7" x14ac:dyDescent="0.25">
      <c r="A11" t="s">
        <v>4</v>
      </c>
      <c r="B11">
        <v>2</v>
      </c>
      <c r="C11" s="2">
        <v>0.14285714285714285</v>
      </c>
      <c r="D11" s="48">
        <v>44620</v>
      </c>
      <c r="E11" s="48" t="str">
        <f>TEXT(Base_de_Dados[[#This Row],[Semana]],"Mmmm")</f>
        <v>fevereiro</v>
      </c>
      <c r="F11">
        <f>YEAR(Base_de_Dados[[#This Row],[Semana]])</f>
        <v>2022</v>
      </c>
      <c r="G11" t="str">
        <f>IF(MONTH(Base_de_Dados[[#This Row],[Semana]])&lt;=6,"1ª Bimestre","2ª Bimestre")</f>
        <v>1ª Bimestre</v>
      </c>
    </row>
    <row r="12" spans="1:7" x14ac:dyDescent="0.25">
      <c r="A12" t="s">
        <v>5</v>
      </c>
      <c r="B12">
        <v>3</v>
      </c>
      <c r="C12" s="2">
        <v>0.21428571428571427</v>
      </c>
      <c r="D12" s="48">
        <v>44620</v>
      </c>
      <c r="E12" s="48" t="str">
        <f>TEXT(Base_de_Dados[[#This Row],[Semana]],"Mmmm")</f>
        <v>fevereiro</v>
      </c>
      <c r="F12">
        <f>YEAR(Base_de_Dados[[#This Row],[Semana]])</f>
        <v>2022</v>
      </c>
      <c r="G12" t="str">
        <f>IF(MONTH(Base_de_Dados[[#This Row],[Semana]])&lt;=6,"1ª Bimestre","2ª Bimestre")</f>
        <v>1ª Bimestre</v>
      </c>
    </row>
    <row r="13" spans="1:7" x14ac:dyDescent="0.25">
      <c r="A13" t="s">
        <v>6</v>
      </c>
      <c r="B13">
        <v>2</v>
      </c>
      <c r="C13" s="2">
        <v>0.14285714285714285</v>
      </c>
      <c r="D13" s="48">
        <v>44620</v>
      </c>
      <c r="E13" s="48" t="str">
        <f>TEXT(Base_de_Dados[[#This Row],[Semana]],"Mmmm")</f>
        <v>fevereiro</v>
      </c>
      <c r="F13">
        <f>YEAR(Base_de_Dados[[#This Row],[Semana]])</f>
        <v>2022</v>
      </c>
      <c r="G13" t="str">
        <f>IF(MONTH(Base_de_Dados[[#This Row],[Semana]])&lt;=6,"1ª Bimestre","2ª Bimestre")</f>
        <v>1ª Bimestre</v>
      </c>
    </row>
    <row r="14" spans="1:7" x14ac:dyDescent="0.25">
      <c r="A14" t="s">
        <v>7</v>
      </c>
      <c r="B14">
        <v>1</v>
      </c>
      <c r="C14" s="2">
        <v>7.1428571428571425E-2</v>
      </c>
      <c r="D14" s="48">
        <v>44620</v>
      </c>
      <c r="E14" s="48" t="str">
        <f>TEXT(Base_de_Dados[[#This Row],[Semana]],"Mmmm")</f>
        <v>fevereiro</v>
      </c>
      <c r="F14">
        <f>YEAR(Base_de_Dados[[#This Row],[Semana]])</f>
        <v>2022</v>
      </c>
      <c r="G14" t="str">
        <f>IF(MONTH(Base_de_Dados[[#This Row],[Semana]])&lt;=6,"1ª Bimestre","2ª Bimestre")</f>
        <v>1ª Bimestre</v>
      </c>
    </row>
    <row r="15" spans="1:7" x14ac:dyDescent="0.25">
      <c r="A15" t="s">
        <v>8</v>
      </c>
      <c r="B15">
        <v>5</v>
      </c>
      <c r="C15" s="2">
        <v>0.35714285714285715</v>
      </c>
      <c r="D15" s="48">
        <v>44620</v>
      </c>
      <c r="E15" s="48" t="str">
        <f>TEXT(Base_de_Dados[[#This Row],[Semana]],"Mmmm")</f>
        <v>fevereiro</v>
      </c>
      <c r="F15">
        <f>YEAR(Base_de_Dados[[#This Row],[Semana]])</f>
        <v>2022</v>
      </c>
      <c r="G15" t="str">
        <f>IF(MONTH(Base_de_Dados[[#This Row],[Semana]])&lt;=6,"1ª Bimestre","2ª Bimestre")</f>
        <v>1ª Bimestre</v>
      </c>
    </row>
    <row r="16" spans="1:7" x14ac:dyDescent="0.25">
      <c r="A16" t="s">
        <v>9</v>
      </c>
      <c r="B16">
        <v>0</v>
      </c>
      <c r="C16" s="2">
        <v>0</v>
      </c>
      <c r="D16" s="48">
        <v>44620</v>
      </c>
      <c r="E16" s="48" t="str">
        <f>TEXT(Base_de_Dados[[#This Row],[Semana]],"Mmmm")</f>
        <v>fevereiro</v>
      </c>
      <c r="F16">
        <f>YEAR(Base_de_Dados[[#This Row],[Semana]])</f>
        <v>2022</v>
      </c>
      <c r="G16" t="str">
        <f>IF(MONTH(Base_de_Dados[[#This Row],[Semana]])&lt;=6,"1ª Bimestre","2ª Bimestre")</f>
        <v>1ª Bimestre</v>
      </c>
    </row>
    <row r="17" spans="1:7" x14ac:dyDescent="0.25">
      <c r="A17" t="s">
        <v>114</v>
      </c>
      <c r="B17">
        <v>0</v>
      </c>
      <c r="C17" s="2">
        <v>0</v>
      </c>
      <c r="D17" s="48">
        <v>44620</v>
      </c>
      <c r="E17" s="48" t="str">
        <f>TEXT(Base_de_Dados[[#This Row],[Semana]],"Mmmm")</f>
        <v>fevereiro</v>
      </c>
      <c r="F17">
        <f>YEAR(Base_de_Dados[[#This Row],[Semana]])</f>
        <v>2022</v>
      </c>
      <c r="G17" t="str">
        <f>IF(MONTH(Base_de_Dados[[#This Row],[Semana]])&lt;=6,"1ª Bimestre","2ª Bimestre")</f>
        <v>1ª Bimestre</v>
      </c>
    </row>
    <row r="18" spans="1:7" x14ac:dyDescent="0.25">
      <c r="A18" t="s">
        <v>112</v>
      </c>
      <c r="B18">
        <v>0</v>
      </c>
      <c r="C18" s="2">
        <v>0</v>
      </c>
      <c r="D18" s="48">
        <v>44627</v>
      </c>
      <c r="E18" s="48" t="str">
        <f>TEXT(Base_de_Dados[[#This Row],[Semana]],"Mmmm")</f>
        <v>março</v>
      </c>
      <c r="F18">
        <f>YEAR(Base_de_Dados[[#This Row],[Semana]])</f>
        <v>2022</v>
      </c>
      <c r="G18" t="str">
        <f>IF(MONTH(Base_de_Dados[[#This Row],[Semana]])&lt;=6,"1ª Bimestre","2ª Bimestre")</f>
        <v>1ª Bimestre</v>
      </c>
    </row>
    <row r="19" spans="1:7" x14ac:dyDescent="0.25">
      <c r="A19" t="s">
        <v>4</v>
      </c>
      <c r="B19">
        <v>2</v>
      </c>
      <c r="C19" s="2">
        <v>0.33333333333333331</v>
      </c>
      <c r="D19" s="48">
        <v>44627</v>
      </c>
      <c r="E19" s="48" t="str">
        <f>TEXT(Base_de_Dados[[#This Row],[Semana]],"Mmmm")</f>
        <v>março</v>
      </c>
      <c r="F19">
        <f>YEAR(Base_de_Dados[[#This Row],[Semana]])</f>
        <v>2022</v>
      </c>
      <c r="G19" t="str">
        <f>IF(MONTH(Base_de_Dados[[#This Row],[Semana]])&lt;=6,"1ª Bimestre","2ª Bimestre")</f>
        <v>1ª Bimestre</v>
      </c>
    </row>
    <row r="20" spans="1:7" x14ac:dyDescent="0.25">
      <c r="A20" t="s">
        <v>5</v>
      </c>
      <c r="B20">
        <v>0</v>
      </c>
      <c r="C20" s="2">
        <v>0</v>
      </c>
      <c r="D20" s="48">
        <v>44627</v>
      </c>
      <c r="E20" s="48" t="str">
        <f>TEXT(Base_de_Dados[[#This Row],[Semana]],"Mmmm")</f>
        <v>março</v>
      </c>
      <c r="F20">
        <f>YEAR(Base_de_Dados[[#This Row],[Semana]])</f>
        <v>2022</v>
      </c>
      <c r="G20" t="str">
        <f>IF(MONTH(Base_de_Dados[[#This Row],[Semana]])&lt;=6,"1ª Bimestre","2ª Bimestre")</f>
        <v>1ª Bimestre</v>
      </c>
    </row>
    <row r="21" spans="1:7" x14ac:dyDescent="0.25">
      <c r="A21" t="s">
        <v>6</v>
      </c>
      <c r="B21">
        <v>0</v>
      </c>
      <c r="C21" s="2">
        <v>0</v>
      </c>
      <c r="D21" s="48">
        <v>44627</v>
      </c>
      <c r="E21" s="48" t="str">
        <f>TEXT(Base_de_Dados[[#This Row],[Semana]],"Mmmm")</f>
        <v>março</v>
      </c>
      <c r="F21">
        <f>YEAR(Base_de_Dados[[#This Row],[Semana]])</f>
        <v>2022</v>
      </c>
      <c r="G21" t="str">
        <f>IF(MONTH(Base_de_Dados[[#This Row],[Semana]])&lt;=6,"1ª Bimestre","2ª Bimestre")</f>
        <v>1ª Bimestre</v>
      </c>
    </row>
    <row r="22" spans="1:7" x14ac:dyDescent="0.25">
      <c r="A22" t="s">
        <v>7</v>
      </c>
      <c r="B22">
        <v>1</v>
      </c>
      <c r="C22" s="2">
        <v>0.16666666666666666</v>
      </c>
      <c r="D22" s="48">
        <v>44627</v>
      </c>
      <c r="E22" s="48" t="str">
        <f>TEXT(Base_de_Dados[[#This Row],[Semana]],"Mmmm")</f>
        <v>março</v>
      </c>
      <c r="F22">
        <f>YEAR(Base_de_Dados[[#This Row],[Semana]])</f>
        <v>2022</v>
      </c>
      <c r="G22" t="str">
        <f>IF(MONTH(Base_de_Dados[[#This Row],[Semana]])&lt;=6,"1ª Bimestre","2ª Bimestre")</f>
        <v>1ª Bimestre</v>
      </c>
    </row>
    <row r="23" spans="1:7" x14ac:dyDescent="0.25">
      <c r="A23" t="s">
        <v>8</v>
      </c>
      <c r="B23">
        <v>3</v>
      </c>
      <c r="C23" s="2">
        <v>0.5</v>
      </c>
      <c r="D23" s="48">
        <v>44627</v>
      </c>
      <c r="E23" s="48" t="str">
        <f>TEXT(Base_de_Dados[[#This Row],[Semana]],"Mmmm")</f>
        <v>março</v>
      </c>
      <c r="F23">
        <f>YEAR(Base_de_Dados[[#This Row],[Semana]])</f>
        <v>2022</v>
      </c>
      <c r="G23" t="str">
        <f>IF(MONTH(Base_de_Dados[[#This Row],[Semana]])&lt;=6,"1ª Bimestre","2ª Bimestre")</f>
        <v>1ª Bimestre</v>
      </c>
    </row>
    <row r="24" spans="1:7" x14ac:dyDescent="0.25">
      <c r="A24" t="s">
        <v>9</v>
      </c>
      <c r="B24">
        <v>0</v>
      </c>
      <c r="C24" s="2">
        <v>0</v>
      </c>
      <c r="D24" s="48">
        <v>44627</v>
      </c>
      <c r="E24" s="48" t="str">
        <f>TEXT(Base_de_Dados[[#This Row],[Semana]],"Mmmm")</f>
        <v>março</v>
      </c>
      <c r="F24">
        <f>YEAR(Base_de_Dados[[#This Row],[Semana]])</f>
        <v>2022</v>
      </c>
      <c r="G24" t="str">
        <f>IF(MONTH(Base_de_Dados[[#This Row],[Semana]])&lt;=6,"1ª Bimestre","2ª Bimestre")</f>
        <v>1ª Bimestre</v>
      </c>
    </row>
    <row r="25" spans="1:7" x14ac:dyDescent="0.25">
      <c r="A25" t="s">
        <v>114</v>
      </c>
      <c r="B25">
        <v>0</v>
      </c>
      <c r="C25" s="2">
        <v>0</v>
      </c>
      <c r="D25" s="48">
        <v>44627</v>
      </c>
      <c r="E25" s="48" t="str">
        <f>TEXT(Base_de_Dados[[#This Row],[Semana]],"Mmmm")</f>
        <v>março</v>
      </c>
      <c r="F25">
        <f>YEAR(Base_de_Dados[[#This Row],[Semana]])</f>
        <v>2022</v>
      </c>
      <c r="G25" t="str">
        <f>IF(MONTH(Base_de_Dados[[#This Row],[Semana]])&lt;=6,"1ª Bimestre","2ª Bimestre")</f>
        <v>1ª Bimestre</v>
      </c>
    </row>
    <row r="26" spans="1:7" x14ac:dyDescent="0.25">
      <c r="A26" t="s">
        <v>112</v>
      </c>
      <c r="B26">
        <v>0</v>
      </c>
      <c r="C26" s="2">
        <v>0</v>
      </c>
      <c r="D26" s="48">
        <v>44634</v>
      </c>
      <c r="E26" s="48" t="str">
        <f>TEXT(Base_de_Dados[[#This Row],[Semana]],"Mmmm")</f>
        <v>março</v>
      </c>
      <c r="F26">
        <f>YEAR(Base_de_Dados[[#This Row],[Semana]])</f>
        <v>2022</v>
      </c>
      <c r="G26" t="str">
        <f>IF(MONTH(Base_de_Dados[[#This Row],[Semana]])&lt;=6,"1ª Bimestre","2ª Bimestre")</f>
        <v>1ª Bimestre</v>
      </c>
    </row>
    <row r="27" spans="1:7" x14ac:dyDescent="0.25">
      <c r="A27" t="s">
        <v>4</v>
      </c>
      <c r="B27">
        <v>2</v>
      </c>
      <c r="C27" s="2">
        <v>0.2</v>
      </c>
      <c r="D27" s="48">
        <v>44634</v>
      </c>
      <c r="E27" s="48" t="str">
        <f>TEXT(Base_de_Dados[[#This Row],[Semana]],"Mmmm")</f>
        <v>março</v>
      </c>
      <c r="F27">
        <f>YEAR(Base_de_Dados[[#This Row],[Semana]])</f>
        <v>2022</v>
      </c>
      <c r="G27" t="str">
        <f>IF(MONTH(Base_de_Dados[[#This Row],[Semana]])&lt;=6,"1ª Bimestre","2ª Bimestre")</f>
        <v>1ª Bimestre</v>
      </c>
    </row>
    <row r="28" spans="1:7" x14ac:dyDescent="0.25">
      <c r="A28" t="s">
        <v>5</v>
      </c>
      <c r="B28">
        <v>0</v>
      </c>
      <c r="C28" s="2">
        <v>0</v>
      </c>
      <c r="D28" s="48">
        <v>44634</v>
      </c>
      <c r="E28" s="48" t="str">
        <f>TEXT(Base_de_Dados[[#This Row],[Semana]],"Mmmm")</f>
        <v>março</v>
      </c>
      <c r="F28">
        <f>YEAR(Base_de_Dados[[#This Row],[Semana]])</f>
        <v>2022</v>
      </c>
      <c r="G28" t="str">
        <f>IF(MONTH(Base_de_Dados[[#This Row],[Semana]])&lt;=6,"1ª Bimestre","2ª Bimestre")</f>
        <v>1ª Bimestre</v>
      </c>
    </row>
    <row r="29" spans="1:7" x14ac:dyDescent="0.25">
      <c r="A29" t="s">
        <v>6</v>
      </c>
      <c r="B29">
        <v>3</v>
      </c>
      <c r="C29" s="2">
        <v>0.3</v>
      </c>
      <c r="D29" s="48">
        <v>44634</v>
      </c>
      <c r="E29" s="48" t="str">
        <f>TEXT(Base_de_Dados[[#This Row],[Semana]],"Mmmm")</f>
        <v>março</v>
      </c>
      <c r="F29">
        <f>YEAR(Base_de_Dados[[#This Row],[Semana]])</f>
        <v>2022</v>
      </c>
      <c r="G29" t="str">
        <f>IF(MONTH(Base_de_Dados[[#This Row],[Semana]])&lt;=6,"1ª Bimestre","2ª Bimestre")</f>
        <v>1ª Bimestre</v>
      </c>
    </row>
    <row r="30" spans="1:7" x14ac:dyDescent="0.25">
      <c r="A30" t="s">
        <v>7</v>
      </c>
      <c r="B30">
        <v>0</v>
      </c>
      <c r="C30" s="2">
        <v>0</v>
      </c>
      <c r="D30" s="48">
        <v>44634</v>
      </c>
      <c r="E30" s="48" t="str">
        <f>TEXT(Base_de_Dados[[#This Row],[Semana]],"Mmmm")</f>
        <v>março</v>
      </c>
      <c r="F30">
        <f>YEAR(Base_de_Dados[[#This Row],[Semana]])</f>
        <v>2022</v>
      </c>
      <c r="G30" t="str">
        <f>IF(MONTH(Base_de_Dados[[#This Row],[Semana]])&lt;=6,"1ª Bimestre","2ª Bimestre")</f>
        <v>1ª Bimestre</v>
      </c>
    </row>
    <row r="31" spans="1:7" x14ac:dyDescent="0.25">
      <c r="A31" t="s">
        <v>8</v>
      </c>
      <c r="B31">
        <v>1</v>
      </c>
      <c r="C31" s="2">
        <v>0.1</v>
      </c>
      <c r="D31" s="48">
        <v>44634</v>
      </c>
      <c r="E31" s="48" t="str">
        <f>TEXT(Base_de_Dados[[#This Row],[Semana]],"Mmmm")</f>
        <v>março</v>
      </c>
      <c r="F31">
        <f>YEAR(Base_de_Dados[[#This Row],[Semana]])</f>
        <v>2022</v>
      </c>
      <c r="G31" t="str">
        <f>IF(MONTH(Base_de_Dados[[#This Row],[Semana]])&lt;=6,"1ª Bimestre","2ª Bimestre")</f>
        <v>1ª Bimestre</v>
      </c>
    </row>
    <row r="32" spans="1:7" x14ac:dyDescent="0.25">
      <c r="A32" t="s">
        <v>9</v>
      </c>
      <c r="B32">
        <v>1</v>
      </c>
      <c r="C32" s="2">
        <v>0.1</v>
      </c>
      <c r="D32" s="48">
        <v>44634</v>
      </c>
      <c r="E32" s="48" t="str">
        <f>TEXT(Base_de_Dados[[#This Row],[Semana]],"Mmmm")</f>
        <v>março</v>
      </c>
      <c r="F32">
        <f>YEAR(Base_de_Dados[[#This Row],[Semana]])</f>
        <v>2022</v>
      </c>
      <c r="G32" t="str">
        <f>IF(MONTH(Base_de_Dados[[#This Row],[Semana]])&lt;=6,"1ª Bimestre","2ª Bimestre")</f>
        <v>1ª Bimestre</v>
      </c>
    </row>
    <row r="33" spans="1:7" x14ac:dyDescent="0.25">
      <c r="A33" t="s">
        <v>114</v>
      </c>
      <c r="B33">
        <v>3</v>
      </c>
      <c r="C33" s="2">
        <v>0.3</v>
      </c>
      <c r="D33" s="48">
        <v>44634</v>
      </c>
      <c r="E33" s="48" t="str">
        <f>TEXT(Base_de_Dados[[#This Row],[Semana]],"Mmmm")</f>
        <v>março</v>
      </c>
      <c r="F33">
        <f>YEAR(Base_de_Dados[[#This Row],[Semana]])</f>
        <v>2022</v>
      </c>
      <c r="G33" t="str">
        <f>IF(MONTH(Base_de_Dados[[#This Row],[Semana]])&lt;=6,"1ª Bimestre","2ª Bimestre")</f>
        <v>1ª Bimestre</v>
      </c>
    </row>
    <row r="34" spans="1:7" x14ac:dyDescent="0.25">
      <c r="A34" t="s">
        <v>112</v>
      </c>
      <c r="B34">
        <v>0</v>
      </c>
      <c r="C34" s="2">
        <v>0</v>
      </c>
      <c r="D34" s="48">
        <v>44641</v>
      </c>
      <c r="E34" s="48" t="str">
        <f>TEXT(Base_de_Dados[[#This Row],[Semana]],"Mmmm")</f>
        <v>março</v>
      </c>
      <c r="F34">
        <f>YEAR(Base_de_Dados[[#This Row],[Semana]])</f>
        <v>2022</v>
      </c>
      <c r="G34" t="str">
        <f>IF(MONTH(Base_de_Dados[[#This Row],[Semana]])&lt;=6,"1ª Bimestre","2ª Bimestre")</f>
        <v>1ª Bimestre</v>
      </c>
    </row>
    <row r="35" spans="1:7" x14ac:dyDescent="0.25">
      <c r="A35" t="s">
        <v>4</v>
      </c>
      <c r="B35">
        <v>0</v>
      </c>
      <c r="C35" s="2">
        <v>0</v>
      </c>
      <c r="D35" s="48">
        <v>44641</v>
      </c>
      <c r="E35" s="48" t="str">
        <f>TEXT(Base_de_Dados[[#This Row],[Semana]],"Mmmm")</f>
        <v>março</v>
      </c>
      <c r="F35">
        <f>YEAR(Base_de_Dados[[#This Row],[Semana]])</f>
        <v>2022</v>
      </c>
      <c r="G35" t="str">
        <f>IF(MONTH(Base_de_Dados[[#This Row],[Semana]])&lt;=6,"1ª Bimestre","2ª Bimestre")</f>
        <v>1ª Bimestre</v>
      </c>
    </row>
    <row r="36" spans="1:7" x14ac:dyDescent="0.25">
      <c r="A36" t="s">
        <v>5</v>
      </c>
      <c r="B36">
        <v>0</v>
      </c>
      <c r="C36" s="2">
        <v>0</v>
      </c>
      <c r="D36" s="48">
        <v>44641</v>
      </c>
      <c r="E36" s="48" t="str">
        <f>TEXT(Base_de_Dados[[#This Row],[Semana]],"Mmmm")</f>
        <v>março</v>
      </c>
      <c r="F36">
        <f>YEAR(Base_de_Dados[[#This Row],[Semana]])</f>
        <v>2022</v>
      </c>
      <c r="G36" t="str">
        <f>IF(MONTH(Base_de_Dados[[#This Row],[Semana]])&lt;=6,"1ª Bimestre","2ª Bimestre")</f>
        <v>1ª Bimestre</v>
      </c>
    </row>
    <row r="37" spans="1:7" x14ac:dyDescent="0.25">
      <c r="A37" t="s">
        <v>6</v>
      </c>
      <c r="B37">
        <v>1</v>
      </c>
      <c r="C37" s="2">
        <v>0.14285714285714285</v>
      </c>
      <c r="D37" s="48">
        <v>44641</v>
      </c>
      <c r="E37" s="48" t="str">
        <f>TEXT(Base_de_Dados[[#This Row],[Semana]],"Mmmm")</f>
        <v>março</v>
      </c>
      <c r="F37">
        <f>YEAR(Base_de_Dados[[#This Row],[Semana]])</f>
        <v>2022</v>
      </c>
      <c r="G37" t="str">
        <f>IF(MONTH(Base_de_Dados[[#This Row],[Semana]])&lt;=6,"1ª Bimestre","2ª Bimestre")</f>
        <v>1ª Bimestre</v>
      </c>
    </row>
    <row r="38" spans="1:7" x14ac:dyDescent="0.25">
      <c r="A38" t="s">
        <v>7</v>
      </c>
      <c r="B38">
        <v>2</v>
      </c>
      <c r="C38" s="2">
        <v>0.2857142857142857</v>
      </c>
      <c r="D38" s="48">
        <v>44641</v>
      </c>
      <c r="E38" s="48" t="str">
        <f>TEXT(Base_de_Dados[[#This Row],[Semana]],"Mmmm")</f>
        <v>março</v>
      </c>
      <c r="F38">
        <f>YEAR(Base_de_Dados[[#This Row],[Semana]])</f>
        <v>2022</v>
      </c>
      <c r="G38" t="str">
        <f>IF(MONTH(Base_de_Dados[[#This Row],[Semana]])&lt;=6,"1ª Bimestre","2ª Bimestre")</f>
        <v>1ª Bimestre</v>
      </c>
    </row>
    <row r="39" spans="1:7" x14ac:dyDescent="0.25">
      <c r="A39" t="s">
        <v>8</v>
      </c>
      <c r="B39">
        <v>0</v>
      </c>
      <c r="C39" s="2">
        <v>0</v>
      </c>
      <c r="D39" s="48">
        <v>44641</v>
      </c>
      <c r="E39" s="48" t="str">
        <f>TEXT(Base_de_Dados[[#This Row],[Semana]],"Mmmm")</f>
        <v>março</v>
      </c>
      <c r="F39">
        <f>YEAR(Base_de_Dados[[#This Row],[Semana]])</f>
        <v>2022</v>
      </c>
      <c r="G39" t="str">
        <f>IF(MONTH(Base_de_Dados[[#This Row],[Semana]])&lt;=6,"1ª Bimestre","2ª Bimestre")</f>
        <v>1ª Bimestre</v>
      </c>
    </row>
    <row r="40" spans="1:7" x14ac:dyDescent="0.25">
      <c r="A40" t="s">
        <v>9</v>
      </c>
      <c r="B40">
        <v>0</v>
      </c>
      <c r="C40" s="2">
        <v>0</v>
      </c>
      <c r="D40" s="48">
        <v>44641</v>
      </c>
      <c r="E40" s="48" t="str">
        <f>TEXT(Base_de_Dados[[#This Row],[Semana]],"Mmmm")</f>
        <v>março</v>
      </c>
      <c r="F40">
        <f>YEAR(Base_de_Dados[[#This Row],[Semana]])</f>
        <v>2022</v>
      </c>
      <c r="G40" t="str">
        <f>IF(MONTH(Base_de_Dados[[#This Row],[Semana]])&lt;=6,"1ª Bimestre","2ª Bimestre")</f>
        <v>1ª Bimestre</v>
      </c>
    </row>
    <row r="41" spans="1:7" x14ac:dyDescent="0.25">
      <c r="A41" t="s">
        <v>114</v>
      </c>
      <c r="B41">
        <v>4</v>
      </c>
      <c r="C41" s="2">
        <v>0.5714285714285714</v>
      </c>
      <c r="D41" s="48">
        <v>44641</v>
      </c>
      <c r="E41" s="48" t="str">
        <f>TEXT(Base_de_Dados[[#This Row],[Semana]],"Mmmm")</f>
        <v>março</v>
      </c>
      <c r="F41">
        <f>YEAR(Base_de_Dados[[#This Row],[Semana]])</f>
        <v>2022</v>
      </c>
      <c r="G41" t="str">
        <f>IF(MONTH(Base_de_Dados[[#This Row],[Semana]])&lt;=6,"1ª Bimestre","2ª Bimestre")</f>
        <v>1ª Bimestre</v>
      </c>
    </row>
    <row r="42" spans="1:7" x14ac:dyDescent="0.25">
      <c r="A42" t="s">
        <v>112</v>
      </c>
      <c r="B42">
        <v>1</v>
      </c>
      <c r="C42" s="2">
        <v>9.0909090909090912E-2</v>
      </c>
      <c r="D42" s="48">
        <v>44648</v>
      </c>
      <c r="E42" s="48" t="str">
        <f>TEXT(Base_de_Dados[[#This Row],[Semana]],"Mmmm")</f>
        <v>março</v>
      </c>
      <c r="F42">
        <f>YEAR(Base_de_Dados[[#This Row],[Semana]])</f>
        <v>2022</v>
      </c>
      <c r="G42" t="str">
        <f>IF(MONTH(Base_de_Dados[[#This Row],[Semana]])&lt;=6,"1ª Bimestre","2ª Bimestre")</f>
        <v>1ª Bimestre</v>
      </c>
    </row>
    <row r="43" spans="1:7" x14ac:dyDescent="0.25">
      <c r="A43" t="s">
        <v>4</v>
      </c>
      <c r="B43">
        <v>0</v>
      </c>
      <c r="C43" s="2">
        <v>0</v>
      </c>
      <c r="D43" s="48">
        <v>44648</v>
      </c>
      <c r="E43" s="48" t="str">
        <f>TEXT(Base_de_Dados[[#This Row],[Semana]],"Mmmm")</f>
        <v>março</v>
      </c>
      <c r="F43">
        <f>YEAR(Base_de_Dados[[#This Row],[Semana]])</f>
        <v>2022</v>
      </c>
      <c r="G43" t="str">
        <f>IF(MONTH(Base_de_Dados[[#This Row],[Semana]])&lt;=6,"1ª Bimestre","2ª Bimestre")</f>
        <v>1ª Bimestre</v>
      </c>
    </row>
    <row r="44" spans="1:7" x14ac:dyDescent="0.25">
      <c r="A44" t="s">
        <v>5</v>
      </c>
      <c r="B44">
        <v>4</v>
      </c>
      <c r="C44" s="2">
        <v>0.36363636363636365</v>
      </c>
      <c r="D44" s="48">
        <v>44648</v>
      </c>
      <c r="E44" s="48" t="str">
        <f>TEXT(Base_de_Dados[[#This Row],[Semana]],"Mmmm")</f>
        <v>março</v>
      </c>
      <c r="F44">
        <f>YEAR(Base_de_Dados[[#This Row],[Semana]])</f>
        <v>2022</v>
      </c>
      <c r="G44" t="str">
        <f>IF(MONTH(Base_de_Dados[[#This Row],[Semana]])&lt;=6,"1ª Bimestre","2ª Bimestre")</f>
        <v>1ª Bimestre</v>
      </c>
    </row>
    <row r="45" spans="1:7" x14ac:dyDescent="0.25">
      <c r="A45" t="s">
        <v>6</v>
      </c>
      <c r="B45">
        <v>0</v>
      </c>
      <c r="C45" s="2">
        <v>0</v>
      </c>
      <c r="D45" s="48">
        <v>44648</v>
      </c>
      <c r="E45" s="48" t="str">
        <f>TEXT(Base_de_Dados[[#This Row],[Semana]],"Mmmm")</f>
        <v>março</v>
      </c>
      <c r="F45">
        <f>YEAR(Base_de_Dados[[#This Row],[Semana]])</f>
        <v>2022</v>
      </c>
      <c r="G45" t="str">
        <f>IF(MONTH(Base_de_Dados[[#This Row],[Semana]])&lt;=6,"1ª Bimestre","2ª Bimestre")</f>
        <v>1ª Bimestre</v>
      </c>
    </row>
    <row r="46" spans="1:7" x14ac:dyDescent="0.25">
      <c r="A46" t="s">
        <v>7</v>
      </c>
      <c r="B46">
        <v>1</v>
      </c>
      <c r="C46" s="2">
        <v>9.0909090909090912E-2</v>
      </c>
      <c r="D46" s="48">
        <v>44648</v>
      </c>
      <c r="E46" s="48" t="str">
        <f>TEXT(Base_de_Dados[[#This Row],[Semana]],"Mmmm")</f>
        <v>março</v>
      </c>
      <c r="F46">
        <f>YEAR(Base_de_Dados[[#This Row],[Semana]])</f>
        <v>2022</v>
      </c>
      <c r="G46" t="str">
        <f>IF(MONTH(Base_de_Dados[[#This Row],[Semana]])&lt;=6,"1ª Bimestre","2ª Bimestre")</f>
        <v>1ª Bimestre</v>
      </c>
    </row>
    <row r="47" spans="1:7" x14ac:dyDescent="0.25">
      <c r="A47" t="s">
        <v>8</v>
      </c>
      <c r="B47">
        <v>1</v>
      </c>
      <c r="C47" s="2">
        <v>9.0909090909090912E-2</v>
      </c>
      <c r="D47" s="48">
        <v>44648</v>
      </c>
      <c r="E47" s="48" t="str">
        <f>TEXT(Base_de_Dados[[#This Row],[Semana]],"Mmmm")</f>
        <v>março</v>
      </c>
      <c r="F47">
        <f>YEAR(Base_de_Dados[[#This Row],[Semana]])</f>
        <v>2022</v>
      </c>
      <c r="G47" t="str">
        <f>IF(MONTH(Base_de_Dados[[#This Row],[Semana]])&lt;=6,"1ª Bimestre","2ª Bimestre")</f>
        <v>1ª Bimestre</v>
      </c>
    </row>
    <row r="48" spans="1:7" x14ac:dyDescent="0.25">
      <c r="A48" t="s">
        <v>9</v>
      </c>
      <c r="B48">
        <v>2</v>
      </c>
      <c r="C48" s="2">
        <v>0.18181818181818182</v>
      </c>
      <c r="D48" s="48">
        <v>44648</v>
      </c>
      <c r="E48" s="48" t="str">
        <f>TEXT(Base_de_Dados[[#This Row],[Semana]],"Mmmm")</f>
        <v>março</v>
      </c>
      <c r="F48">
        <f>YEAR(Base_de_Dados[[#This Row],[Semana]])</f>
        <v>2022</v>
      </c>
      <c r="G48" t="str">
        <f>IF(MONTH(Base_de_Dados[[#This Row],[Semana]])&lt;=6,"1ª Bimestre","2ª Bimestre")</f>
        <v>1ª Bimestre</v>
      </c>
    </row>
    <row r="49" spans="1:7" x14ac:dyDescent="0.25">
      <c r="A49" t="s">
        <v>114</v>
      </c>
      <c r="B49">
        <v>2</v>
      </c>
      <c r="C49" s="2">
        <v>0.18181818181818182</v>
      </c>
      <c r="D49" s="48">
        <v>44648</v>
      </c>
      <c r="E49" s="48" t="str">
        <f>TEXT(Base_de_Dados[[#This Row],[Semana]],"Mmmm")</f>
        <v>março</v>
      </c>
      <c r="F49">
        <f>YEAR(Base_de_Dados[[#This Row],[Semana]])</f>
        <v>2022</v>
      </c>
      <c r="G49" t="str">
        <f>IF(MONTH(Base_de_Dados[[#This Row],[Semana]])&lt;=6,"1ª Bimestre","2ª Bimestre")</f>
        <v>1ª Bimestre</v>
      </c>
    </row>
    <row r="50" spans="1:7" x14ac:dyDescent="0.25">
      <c r="A50" t="s">
        <v>112</v>
      </c>
      <c r="B50">
        <v>0</v>
      </c>
      <c r="C50" s="2">
        <v>0</v>
      </c>
      <c r="D50" s="48">
        <v>44655</v>
      </c>
      <c r="E50" s="48" t="str">
        <f>TEXT(Base_de_Dados[[#This Row],[Semana]],"Mmmm")</f>
        <v>abril</v>
      </c>
      <c r="F50">
        <f>YEAR(Base_de_Dados[[#This Row],[Semana]])</f>
        <v>2022</v>
      </c>
      <c r="G50" t="str">
        <f>IF(MONTH(Base_de_Dados[[#This Row],[Semana]])&lt;=6,"1ª Bimestre","2ª Bimestre")</f>
        <v>1ª Bimestre</v>
      </c>
    </row>
    <row r="51" spans="1:7" x14ac:dyDescent="0.25">
      <c r="A51" t="s">
        <v>4</v>
      </c>
      <c r="B51">
        <v>0</v>
      </c>
      <c r="C51" s="2">
        <v>0</v>
      </c>
      <c r="D51" s="48">
        <v>44655</v>
      </c>
      <c r="E51" s="48" t="str">
        <f>TEXT(Base_de_Dados[[#This Row],[Semana]],"Mmmm")</f>
        <v>abril</v>
      </c>
      <c r="F51">
        <f>YEAR(Base_de_Dados[[#This Row],[Semana]])</f>
        <v>2022</v>
      </c>
      <c r="G51" t="str">
        <f>IF(MONTH(Base_de_Dados[[#This Row],[Semana]])&lt;=6,"1ª Bimestre","2ª Bimestre")</f>
        <v>1ª Bimestre</v>
      </c>
    </row>
    <row r="52" spans="1:7" x14ac:dyDescent="0.25">
      <c r="A52" t="s">
        <v>5</v>
      </c>
      <c r="B52">
        <v>0</v>
      </c>
      <c r="C52" s="2">
        <v>0</v>
      </c>
      <c r="D52" s="48">
        <v>44655</v>
      </c>
      <c r="E52" s="48" t="str">
        <f>TEXT(Base_de_Dados[[#This Row],[Semana]],"Mmmm")</f>
        <v>abril</v>
      </c>
      <c r="F52">
        <f>YEAR(Base_de_Dados[[#This Row],[Semana]])</f>
        <v>2022</v>
      </c>
      <c r="G52" t="str">
        <f>IF(MONTH(Base_de_Dados[[#This Row],[Semana]])&lt;=6,"1ª Bimestre","2ª Bimestre")</f>
        <v>1ª Bimestre</v>
      </c>
    </row>
    <row r="53" spans="1:7" x14ac:dyDescent="0.25">
      <c r="A53" t="s">
        <v>6</v>
      </c>
      <c r="B53">
        <v>1</v>
      </c>
      <c r="C53" s="2">
        <v>0.16666666666666666</v>
      </c>
      <c r="D53" s="48">
        <v>44655</v>
      </c>
      <c r="E53" s="48" t="str">
        <f>TEXT(Base_de_Dados[[#This Row],[Semana]],"Mmmm")</f>
        <v>abril</v>
      </c>
      <c r="F53">
        <f>YEAR(Base_de_Dados[[#This Row],[Semana]])</f>
        <v>2022</v>
      </c>
      <c r="G53" t="str">
        <f>IF(MONTH(Base_de_Dados[[#This Row],[Semana]])&lt;=6,"1ª Bimestre","2ª Bimestre")</f>
        <v>1ª Bimestre</v>
      </c>
    </row>
    <row r="54" spans="1:7" x14ac:dyDescent="0.25">
      <c r="A54" t="s">
        <v>7</v>
      </c>
      <c r="B54">
        <v>2</v>
      </c>
      <c r="C54" s="2">
        <v>0.33333333333333331</v>
      </c>
      <c r="D54" s="48">
        <v>44655</v>
      </c>
      <c r="E54" s="48" t="str">
        <f>TEXT(Base_de_Dados[[#This Row],[Semana]],"Mmmm")</f>
        <v>abril</v>
      </c>
      <c r="F54">
        <f>YEAR(Base_de_Dados[[#This Row],[Semana]])</f>
        <v>2022</v>
      </c>
      <c r="G54" t="str">
        <f>IF(MONTH(Base_de_Dados[[#This Row],[Semana]])&lt;=6,"1ª Bimestre","2ª Bimestre")</f>
        <v>1ª Bimestre</v>
      </c>
    </row>
    <row r="55" spans="1:7" x14ac:dyDescent="0.25">
      <c r="A55" t="s">
        <v>8</v>
      </c>
      <c r="B55">
        <v>0</v>
      </c>
      <c r="C55" s="2">
        <v>0</v>
      </c>
      <c r="D55" s="48">
        <v>44655</v>
      </c>
      <c r="E55" s="48" t="str">
        <f>TEXT(Base_de_Dados[[#This Row],[Semana]],"Mmmm")</f>
        <v>abril</v>
      </c>
      <c r="F55">
        <f>YEAR(Base_de_Dados[[#This Row],[Semana]])</f>
        <v>2022</v>
      </c>
      <c r="G55" t="str">
        <f>IF(MONTH(Base_de_Dados[[#This Row],[Semana]])&lt;=6,"1ª Bimestre","2ª Bimestre")</f>
        <v>1ª Bimestre</v>
      </c>
    </row>
    <row r="56" spans="1:7" x14ac:dyDescent="0.25">
      <c r="A56" t="s">
        <v>9</v>
      </c>
      <c r="B56">
        <v>0</v>
      </c>
      <c r="C56" s="2">
        <v>0</v>
      </c>
      <c r="D56" s="48">
        <v>44655</v>
      </c>
      <c r="E56" s="48" t="str">
        <f>TEXT(Base_de_Dados[[#This Row],[Semana]],"Mmmm")</f>
        <v>abril</v>
      </c>
      <c r="F56">
        <f>YEAR(Base_de_Dados[[#This Row],[Semana]])</f>
        <v>2022</v>
      </c>
      <c r="G56" t="str">
        <f>IF(MONTH(Base_de_Dados[[#This Row],[Semana]])&lt;=6,"1ª Bimestre","2ª Bimestre")</f>
        <v>1ª Bimestre</v>
      </c>
    </row>
    <row r="57" spans="1:7" x14ac:dyDescent="0.25">
      <c r="A57" t="s">
        <v>114</v>
      </c>
      <c r="B57">
        <v>3</v>
      </c>
      <c r="C57" s="2">
        <v>0.5</v>
      </c>
      <c r="D57" s="48">
        <v>44655</v>
      </c>
      <c r="E57" s="48" t="str">
        <f>TEXT(Base_de_Dados[[#This Row],[Semana]],"Mmmm")</f>
        <v>abril</v>
      </c>
      <c r="F57">
        <f>YEAR(Base_de_Dados[[#This Row],[Semana]])</f>
        <v>2022</v>
      </c>
      <c r="G57" t="str">
        <f>IF(MONTH(Base_de_Dados[[#This Row],[Semana]])&lt;=6,"1ª Bimestre","2ª Bimestre")</f>
        <v>1ª Bimestre</v>
      </c>
    </row>
    <row r="58" spans="1:7" x14ac:dyDescent="0.25">
      <c r="A58" t="s">
        <v>112</v>
      </c>
      <c r="B58">
        <v>0</v>
      </c>
      <c r="C58" s="2">
        <v>0</v>
      </c>
      <c r="D58" s="48">
        <v>44662</v>
      </c>
      <c r="E58" s="48" t="str">
        <f>TEXT(Base_de_Dados[[#This Row],[Semana]],"Mmmm")</f>
        <v>abril</v>
      </c>
      <c r="F58">
        <f>YEAR(Base_de_Dados[[#This Row],[Semana]])</f>
        <v>2022</v>
      </c>
      <c r="G58" t="str">
        <f>IF(MONTH(Base_de_Dados[[#This Row],[Semana]])&lt;=6,"1ª Bimestre","2ª Bimestre")</f>
        <v>1ª Bimestre</v>
      </c>
    </row>
    <row r="59" spans="1:7" x14ac:dyDescent="0.25">
      <c r="A59" t="s">
        <v>4</v>
      </c>
      <c r="B59">
        <v>0</v>
      </c>
      <c r="C59" s="2">
        <v>0</v>
      </c>
      <c r="D59" s="48">
        <v>44662</v>
      </c>
      <c r="E59" s="48" t="str">
        <f>TEXT(Base_de_Dados[[#This Row],[Semana]],"Mmmm")</f>
        <v>abril</v>
      </c>
      <c r="F59">
        <f>YEAR(Base_de_Dados[[#This Row],[Semana]])</f>
        <v>2022</v>
      </c>
      <c r="G59" t="str">
        <f>IF(MONTH(Base_de_Dados[[#This Row],[Semana]])&lt;=6,"1ª Bimestre","2ª Bimestre")</f>
        <v>1ª Bimestre</v>
      </c>
    </row>
    <row r="60" spans="1:7" x14ac:dyDescent="0.25">
      <c r="A60" t="s">
        <v>5</v>
      </c>
      <c r="B60">
        <v>13</v>
      </c>
      <c r="C60" s="2">
        <v>0.61904761904761907</v>
      </c>
      <c r="D60" s="48">
        <v>44662</v>
      </c>
      <c r="E60" s="48" t="str">
        <f>TEXT(Base_de_Dados[[#This Row],[Semana]],"Mmmm")</f>
        <v>abril</v>
      </c>
      <c r="F60">
        <f>YEAR(Base_de_Dados[[#This Row],[Semana]])</f>
        <v>2022</v>
      </c>
      <c r="G60" t="str">
        <f>IF(MONTH(Base_de_Dados[[#This Row],[Semana]])&lt;=6,"1ª Bimestre","2ª Bimestre")</f>
        <v>1ª Bimestre</v>
      </c>
    </row>
    <row r="61" spans="1:7" x14ac:dyDescent="0.25">
      <c r="A61" t="s">
        <v>6</v>
      </c>
      <c r="B61">
        <v>0</v>
      </c>
      <c r="C61" s="2">
        <v>0</v>
      </c>
      <c r="D61" s="48">
        <v>44662</v>
      </c>
      <c r="E61" s="48" t="str">
        <f>TEXT(Base_de_Dados[[#This Row],[Semana]],"Mmmm")</f>
        <v>abril</v>
      </c>
      <c r="F61">
        <f>YEAR(Base_de_Dados[[#This Row],[Semana]])</f>
        <v>2022</v>
      </c>
      <c r="G61" t="str">
        <f>IF(MONTH(Base_de_Dados[[#This Row],[Semana]])&lt;=6,"1ª Bimestre","2ª Bimestre")</f>
        <v>1ª Bimestre</v>
      </c>
    </row>
    <row r="62" spans="1:7" x14ac:dyDescent="0.25">
      <c r="A62" t="s">
        <v>7</v>
      </c>
      <c r="B62">
        <v>1</v>
      </c>
      <c r="C62" s="2">
        <v>4.7619047619047616E-2</v>
      </c>
      <c r="D62" s="48">
        <v>44662</v>
      </c>
      <c r="E62" s="48" t="str">
        <f>TEXT(Base_de_Dados[[#This Row],[Semana]],"Mmmm")</f>
        <v>abril</v>
      </c>
      <c r="F62">
        <f>YEAR(Base_de_Dados[[#This Row],[Semana]])</f>
        <v>2022</v>
      </c>
      <c r="G62" t="str">
        <f>IF(MONTH(Base_de_Dados[[#This Row],[Semana]])&lt;=6,"1ª Bimestre","2ª Bimestre")</f>
        <v>1ª Bimestre</v>
      </c>
    </row>
    <row r="63" spans="1:7" x14ac:dyDescent="0.25">
      <c r="A63" t="s">
        <v>8</v>
      </c>
      <c r="B63">
        <v>0</v>
      </c>
      <c r="C63" s="2">
        <v>0</v>
      </c>
      <c r="D63" s="48">
        <v>44662</v>
      </c>
      <c r="E63" s="48" t="str">
        <f>TEXT(Base_de_Dados[[#This Row],[Semana]],"Mmmm")</f>
        <v>abril</v>
      </c>
      <c r="F63">
        <f>YEAR(Base_de_Dados[[#This Row],[Semana]])</f>
        <v>2022</v>
      </c>
      <c r="G63" t="str">
        <f>IF(MONTH(Base_de_Dados[[#This Row],[Semana]])&lt;=6,"1ª Bimestre","2ª Bimestre")</f>
        <v>1ª Bimestre</v>
      </c>
    </row>
    <row r="64" spans="1:7" x14ac:dyDescent="0.25">
      <c r="A64" t="s">
        <v>9</v>
      </c>
      <c r="B64">
        <v>5</v>
      </c>
      <c r="C64" s="2">
        <v>0.23809523809523808</v>
      </c>
      <c r="D64" s="48">
        <v>44662</v>
      </c>
      <c r="E64" s="48" t="str">
        <f>TEXT(Base_de_Dados[[#This Row],[Semana]],"Mmmm")</f>
        <v>abril</v>
      </c>
      <c r="F64">
        <f>YEAR(Base_de_Dados[[#This Row],[Semana]])</f>
        <v>2022</v>
      </c>
      <c r="G64" t="str">
        <f>IF(MONTH(Base_de_Dados[[#This Row],[Semana]])&lt;=6,"1ª Bimestre","2ª Bimestre")</f>
        <v>1ª Bimestre</v>
      </c>
    </row>
    <row r="65" spans="1:7" x14ac:dyDescent="0.25">
      <c r="A65" t="s">
        <v>114</v>
      </c>
      <c r="B65">
        <v>2</v>
      </c>
      <c r="C65" s="2">
        <v>9.5238095238095233E-2</v>
      </c>
      <c r="D65" s="48">
        <v>44662</v>
      </c>
      <c r="E65" s="48" t="str">
        <f>TEXT(Base_de_Dados[[#This Row],[Semana]],"Mmmm")</f>
        <v>abril</v>
      </c>
      <c r="F65">
        <f>YEAR(Base_de_Dados[[#This Row],[Semana]])</f>
        <v>2022</v>
      </c>
      <c r="G65" t="str">
        <f>IF(MONTH(Base_de_Dados[[#This Row],[Semana]])&lt;=6,"1ª Bimestre","2ª Bimestre")</f>
        <v>1ª Bimestre</v>
      </c>
    </row>
    <row r="66" spans="1:7" x14ac:dyDescent="0.25">
      <c r="A66" t="s">
        <v>112</v>
      </c>
      <c r="B66">
        <v>0</v>
      </c>
      <c r="C66" s="2">
        <v>0</v>
      </c>
      <c r="D66" s="48">
        <v>44669</v>
      </c>
      <c r="E66" s="48" t="str">
        <f>TEXT(Base_de_Dados[[#This Row],[Semana]],"Mmmm")</f>
        <v>abril</v>
      </c>
      <c r="F66">
        <f>YEAR(Base_de_Dados[[#This Row],[Semana]])</f>
        <v>2022</v>
      </c>
      <c r="G66" t="str">
        <f>IF(MONTH(Base_de_Dados[[#This Row],[Semana]])&lt;=6,"1ª Bimestre","2ª Bimestre")</f>
        <v>1ª Bimestre</v>
      </c>
    </row>
    <row r="67" spans="1:7" x14ac:dyDescent="0.25">
      <c r="A67" t="s">
        <v>4</v>
      </c>
      <c r="B67">
        <v>1</v>
      </c>
      <c r="C67" s="2">
        <v>0.125</v>
      </c>
      <c r="D67" s="48">
        <v>44669</v>
      </c>
      <c r="E67" s="48" t="str">
        <f>TEXT(Base_de_Dados[[#This Row],[Semana]],"Mmmm")</f>
        <v>abril</v>
      </c>
      <c r="F67">
        <f>YEAR(Base_de_Dados[[#This Row],[Semana]])</f>
        <v>2022</v>
      </c>
      <c r="G67" t="str">
        <f>IF(MONTH(Base_de_Dados[[#This Row],[Semana]])&lt;=6,"1ª Bimestre","2ª Bimestre")</f>
        <v>1ª Bimestre</v>
      </c>
    </row>
    <row r="68" spans="1:7" x14ac:dyDescent="0.25">
      <c r="A68" t="s">
        <v>5</v>
      </c>
      <c r="B68">
        <v>0</v>
      </c>
      <c r="C68" s="2">
        <v>0</v>
      </c>
      <c r="D68" s="48">
        <v>44669</v>
      </c>
      <c r="E68" s="48" t="str">
        <f>TEXT(Base_de_Dados[[#This Row],[Semana]],"Mmmm")</f>
        <v>abril</v>
      </c>
      <c r="F68">
        <f>YEAR(Base_de_Dados[[#This Row],[Semana]])</f>
        <v>2022</v>
      </c>
      <c r="G68" t="str">
        <f>IF(MONTH(Base_de_Dados[[#This Row],[Semana]])&lt;=6,"1ª Bimestre","2ª Bimestre")</f>
        <v>1ª Bimestre</v>
      </c>
    </row>
    <row r="69" spans="1:7" x14ac:dyDescent="0.25">
      <c r="A69" t="s">
        <v>6</v>
      </c>
      <c r="B69">
        <v>2</v>
      </c>
      <c r="C69" s="2">
        <v>0.25</v>
      </c>
      <c r="D69" s="48">
        <v>44669</v>
      </c>
      <c r="E69" s="48" t="str">
        <f>TEXT(Base_de_Dados[[#This Row],[Semana]],"Mmmm")</f>
        <v>abril</v>
      </c>
      <c r="F69">
        <f>YEAR(Base_de_Dados[[#This Row],[Semana]])</f>
        <v>2022</v>
      </c>
      <c r="G69" t="str">
        <f>IF(MONTH(Base_de_Dados[[#This Row],[Semana]])&lt;=6,"1ª Bimestre","2ª Bimestre")</f>
        <v>1ª Bimestre</v>
      </c>
    </row>
    <row r="70" spans="1:7" x14ac:dyDescent="0.25">
      <c r="A70" t="s">
        <v>7</v>
      </c>
      <c r="B70">
        <v>1</v>
      </c>
      <c r="C70" s="2">
        <v>0.125</v>
      </c>
      <c r="D70" s="48">
        <v>44669</v>
      </c>
      <c r="E70" s="48" t="str">
        <f>TEXT(Base_de_Dados[[#This Row],[Semana]],"Mmmm")</f>
        <v>abril</v>
      </c>
      <c r="F70">
        <f>YEAR(Base_de_Dados[[#This Row],[Semana]])</f>
        <v>2022</v>
      </c>
      <c r="G70" t="str">
        <f>IF(MONTH(Base_de_Dados[[#This Row],[Semana]])&lt;=6,"1ª Bimestre","2ª Bimestre")</f>
        <v>1ª Bimestre</v>
      </c>
    </row>
    <row r="71" spans="1:7" x14ac:dyDescent="0.25">
      <c r="A71" t="s">
        <v>8</v>
      </c>
      <c r="B71">
        <v>0</v>
      </c>
      <c r="C71" s="2">
        <v>0</v>
      </c>
      <c r="D71" s="48">
        <v>44669</v>
      </c>
      <c r="E71" s="48" t="str">
        <f>TEXT(Base_de_Dados[[#This Row],[Semana]],"Mmmm")</f>
        <v>abril</v>
      </c>
      <c r="F71">
        <f>YEAR(Base_de_Dados[[#This Row],[Semana]])</f>
        <v>2022</v>
      </c>
      <c r="G71" t="str">
        <f>IF(MONTH(Base_de_Dados[[#This Row],[Semana]])&lt;=6,"1ª Bimestre","2ª Bimestre")</f>
        <v>1ª Bimestre</v>
      </c>
    </row>
    <row r="72" spans="1:7" x14ac:dyDescent="0.25">
      <c r="A72" t="s">
        <v>9</v>
      </c>
      <c r="B72">
        <v>4</v>
      </c>
      <c r="C72" s="2">
        <v>0.5</v>
      </c>
      <c r="D72" s="48">
        <v>44669</v>
      </c>
      <c r="E72" s="48" t="str">
        <f>TEXT(Base_de_Dados[[#This Row],[Semana]],"Mmmm")</f>
        <v>abril</v>
      </c>
      <c r="F72">
        <f>YEAR(Base_de_Dados[[#This Row],[Semana]])</f>
        <v>2022</v>
      </c>
      <c r="G72" t="str">
        <f>IF(MONTH(Base_de_Dados[[#This Row],[Semana]])&lt;=6,"1ª Bimestre","2ª Bimestre")</f>
        <v>1ª Bimestre</v>
      </c>
    </row>
    <row r="73" spans="1:7" x14ac:dyDescent="0.25">
      <c r="A73" t="s">
        <v>114</v>
      </c>
      <c r="B73">
        <v>0</v>
      </c>
      <c r="C73" s="2">
        <v>0</v>
      </c>
      <c r="D73" s="48">
        <v>44669</v>
      </c>
      <c r="E73" s="48" t="str">
        <f>TEXT(Base_de_Dados[[#This Row],[Semana]],"Mmmm")</f>
        <v>abril</v>
      </c>
      <c r="F73">
        <f>YEAR(Base_de_Dados[[#This Row],[Semana]])</f>
        <v>2022</v>
      </c>
      <c r="G73" t="str">
        <f>IF(MONTH(Base_de_Dados[[#This Row],[Semana]])&lt;=6,"1ª Bimestre","2ª Bimestre")</f>
        <v>1ª Bimestre</v>
      </c>
    </row>
    <row r="74" spans="1:7" x14ac:dyDescent="0.25">
      <c r="A74" t="s">
        <v>112</v>
      </c>
      <c r="B74">
        <v>0</v>
      </c>
      <c r="C74" s="2">
        <v>0</v>
      </c>
      <c r="D74" s="48">
        <v>44676</v>
      </c>
      <c r="E74" s="48" t="str">
        <f>TEXT(Base_de_Dados[[#This Row],[Semana]],"Mmmm")</f>
        <v>abril</v>
      </c>
      <c r="F74">
        <f>YEAR(Base_de_Dados[[#This Row],[Semana]])</f>
        <v>2022</v>
      </c>
      <c r="G74" t="str">
        <f>IF(MONTH(Base_de_Dados[[#This Row],[Semana]])&lt;=6,"1ª Bimestre","2ª Bimestre")</f>
        <v>1ª Bimestre</v>
      </c>
    </row>
    <row r="75" spans="1:7" x14ac:dyDescent="0.25">
      <c r="A75" t="s">
        <v>4</v>
      </c>
      <c r="B75">
        <v>0</v>
      </c>
      <c r="C75" s="2">
        <v>0</v>
      </c>
      <c r="D75" s="48">
        <v>44676</v>
      </c>
      <c r="E75" s="48" t="str">
        <f>TEXT(Base_de_Dados[[#This Row],[Semana]],"Mmmm")</f>
        <v>abril</v>
      </c>
      <c r="F75">
        <f>YEAR(Base_de_Dados[[#This Row],[Semana]])</f>
        <v>2022</v>
      </c>
      <c r="G75" t="str">
        <f>IF(MONTH(Base_de_Dados[[#This Row],[Semana]])&lt;=6,"1ª Bimestre","2ª Bimestre")</f>
        <v>1ª Bimestre</v>
      </c>
    </row>
    <row r="76" spans="1:7" x14ac:dyDescent="0.25">
      <c r="A76" t="s">
        <v>5</v>
      </c>
      <c r="B76">
        <v>0</v>
      </c>
      <c r="C76" s="2">
        <v>0</v>
      </c>
      <c r="D76" s="48">
        <v>44676</v>
      </c>
      <c r="E76" s="48" t="str">
        <f>TEXT(Base_de_Dados[[#This Row],[Semana]],"Mmmm")</f>
        <v>abril</v>
      </c>
      <c r="F76">
        <f>YEAR(Base_de_Dados[[#This Row],[Semana]])</f>
        <v>2022</v>
      </c>
      <c r="G76" t="str">
        <f>IF(MONTH(Base_de_Dados[[#This Row],[Semana]])&lt;=6,"1ª Bimestre","2ª Bimestre")</f>
        <v>1ª Bimestre</v>
      </c>
    </row>
    <row r="77" spans="1:7" x14ac:dyDescent="0.25">
      <c r="A77" t="s">
        <v>6</v>
      </c>
      <c r="B77">
        <v>2</v>
      </c>
      <c r="C77" s="2">
        <v>0.22222222222222221</v>
      </c>
      <c r="D77" s="48">
        <v>44676</v>
      </c>
      <c r="E77" s="48" t="str">
        <f>TEXT(Base_de_Dados[[#This Row],[Semana]],"Mmmm")</f>
        <v>abril</v>
      </c>
      <c r="F77">
        <f>YEAR(Base_de_Dados[[#This Row],[Semana]])</f>
        <v>2022</v>
      </c>
      <c r="G77" t="str">
        <f>IF(MONTH(Base_de_Dados[[#This Row],[Semana]])&lt;=6,"1ª Bimestre","2ª Bimestre")</f>
        <v>1ª Bimestre</v>
      </c>
    </row>
    <row r="78" spans="1:7" x14ac:dyDescent="0.25">
      <c r="A78" t="s">
        <v>7</v>
      </c>
      <c r="B78">
        <v>2</v>
      </c>
      <c r="C78" s="2">
        <v>0.22222222222222221</v>
      </c>
      <c r="D78" s="48">
        <v>44676</v>
      </c>
      <c r="E78" s="48" t="str">
        <f>TEXT(Base_de_Dados[[#This Row],[Semana]],"Mmmm")</f>
        <v>abril</v>
      </c>
      <c r="F78">
        <f>YEAR(Base_de_Dados[[#This Row],[Semana]])</f>
        <v>2022</v>
      </c>
      <c r="G78" t="str">
        <f>IF(MONTH(Base_de_Dados[[#This Row],[Semana]])&lt;=6,"1ª Bimestre","2ª Bimestre")</f>
        <v>1ª Bimestre</v>
      </c>
    </row>
    <row r="79" spans="1:7" x14ac:dyDescent="0.25">
      <c r="A79" t="s">
        <v>8</v>
      </c>
      <c r="B79">
        <v>1</v>
      </c>
      <c r="C79" s="2">
        <v>0.1111111111111111</v>
      </c>
      <c r="D79" s="48">
        <v>44676</v>
      </c>
      <c r="E79" s="48" t="str">
        <f>TEXT(Base_de_Dados[[#This Row],[Semana]],"Mmmm")</f>
        <v>abril</v>
      </c>
      <c r="F79">
        <f>YEAR(Base_de_Dados[[#This Row],[Semana]])</f>
        <v>2022</v>
      </c>
      <c r="G79" t="str">
        <f>IF(MONTH(Base_de_Dados[[#This Row],[Semana]])&lt;=6,"1ª Bimestre","2ª Bimestre")</f>
        <v>1ª Bimestre</v>
      </c>
    </row>
    <row r="80" spans="1:7" x14ac:dyDescent="0.25">
      <c r="A80" t="s">
        <v>9</v>
      </c>
      <c r="B80">
        <v>2</v>
      </c>
      <c r="C80" s="2">
        <v>0.22222222222222221</v>
      </c>
      <c r="D80" s="48">
        <v>44676</v>
      </c>
      <c r="E80" s="48" t="str">
        <f>TEXT(Base_de_Dados[[#This Row],[Semana]],"Mmmm")</f>
        <v>abril</v>
      </c>
      <c r="F80">
        <f>YEAR(Base_de_Dados[[#This Row],[Semana]])</f>
        <v>2022</v>
      </c>
      <c r="G80" t="str">
        <f>IF(MONTH(Base_de_Dados[[#This Row],[Semana]])&lt;=6,"1ª Bimestre","2ª Bimestre")</f>
        <v>1ª Bimestre</v>
      </c>
    </row>
    <row r="81" spans="1:7" x14ac:dyDescent="0.25">
      <c r="A81" t="s">
        <v>114</v>
      </c>
      <c r="B81">
        <v>0</v>
      </c>
      <c r="C81" s="2">
        <v>0</v>
      </c>
      <c r="D81" s="48">
        <v>44676</v>
      </c>
      <c r="E81" s="48" t="str">
        <f>TEXT(Base_de_Dados[[#This Row],[Semana]],"Mmmm")</f>
        <v>abril</v>
      </c>
      <c r="F81">
        <f>YEAR(Base_de_Dados[[#This Row],[Semana]])</f>
        <v>2022</v>
      </c>
      <c r="G81" t="str">
        <f>IF(MONTH(Base_de_Dados[[#This Row],[Semana]])&lt;=6,"1ª Bimestre","2ª Bimestre")</f>
        <v>1ª Bimestre</v>
      </c>
    </row>
    <row r="82" spans="1:7" x14ac:dyDescent="0.25">
      <c r="A82" t="s">
        <v>11</v>
      </c>
      <c r="B82">
        <v>2</v>
      </c>
      <c r="C82" s="2">
        <v>0.22222222222222221</v>
      </c>
      <c r="D82" s="48">
        <v>44676</v>
      </c>
      <c r="E82" s="48" t="str">
        <f>TEXT(Base_de_Dados[[#This Row],[Semana]],"Mmmm")</f>
        <v>abril</v>
      </c>
      <c r="F82">
        <f>YEAR(Base_de_Dados[[#This Row],[Semana]])</f>
        <v>2022</v>
      </c>
      <c r="G82" t="str">
        <f>IF(MONTH(Base_de_Dados[[#This Row],[Semana]])&lt;=6,"1ª Bimestre","2ª Bimestre")</f>
        <v>1ª Bimestre</v>
      </c>
    </row>
    <row r="83" spans="1:7" x14ac:dyDescent="0.25">
      <c r="A83" t="s">
        <v>112</v>
      </c>
      <c r="B83">
        <v>0</v>
      </c>
      <c r="C83" s="2">
        <v>0</v>
      </c>
      <c r="D83" s="48">
        <v>44683</v>
      </c>
      <c r="E83" s="48" t="str">
        <f>TEXT(Base_de_Dados[[#This Row],[Semana]],"Mmmm")</f>
        <v>maio</v>
      </c>
      <c r="F83">
        <f>YEAR(Base_de_Dados[[#This Row],[Semana]])</f>
        <v>2022</v>
      </c>
      <c r="G83" t="str">
        <f>IF(MONTH(Base_de_Dados[[#This Row],[Semana]])&lt;=6,"1ª Bimestre","2ª Bimestre")</f>
        <v>1ª Bimestre</v>
      </c>
    </row>
    <row r="84" spans="1:7" x14ac:dyDescent="0.25">
      <c r="A84" t="s">
        <v>4</v>
      </c>
      <c r="B84">
        <v>0</v>
      </c>
      <c r="C84" s="2">
        <v>0</v>
      </c>
      <c r="D84" s="48">
        <v>44683</v>
      </c>
      <c r="E84" s="48" t="str">
        <f>TEXT(Base_de_Dados[[#This Row],[Semana]],"Mmmm")</f>
        <v>maio</v>
      </c>
      <c r="F84">
        <f>YEAR(Base_de_Dados[[#This Row],[Semana]])</f>
        <v>2022</v>
      </c>
      <c r="G84" t="str">
        <f>IF(MONTH(Base_de_Dados[[#This Row],[Semana]])&lt;=6,"1ª Bimestre","2ª Bimestre")</f>
        <v>1ª Bimestre</v>
      </c>
    </row>
    <row r="85" spans="1:7" x14ac:dyDescent="0.25">
      <c r="A85" t="s">
        <v>5</v>
      </c>
      <c r="B85">
        <v>0</v>
      </c>
      <c r="C85" s="2">
        <v>0</v>
      </c>
      <c r="D85" s="48">
        <v>44683</v>
      </c>
      <c r="E85" s="48" t="str">
        <f>TEXT(Base_de_Dados[[#This Row],[Semana]],"Mmmm")</f>
        <v>maio</v>
      </c>
      <c r="F85">
        <f>YEAR(Base_de_Dados[[#This Row],[Semana]])</f>
        <v>2022</v>
      </c>
      <c r="G85" t="str">
        <f>IF(MONTH(Base_de_Dados[[#This Row],[Semana]])&lt;=6,"1ª Bimestre","2ª Bimestre")</f>
        <v>1ª Bimestre</v>
      </c>
    </row>
    <row r="86" spans="1:7" x14ac:dyDescent="0.25">
      <c r="A86" t="s">
        <v>6</v>
      </c>
      <c r="B86">
        <v>2</v>
      </c>
      <c r="C86" s="2">
        <v>0.66666666666666663</v>
      </c>
      <c r="D86" s="48">
        <v>44683</v>
      </c>
      <c r="E86" s="48" t="str">
        <f>TEXT(Base_de_Dados[[#This Row],[Semana]],"Mmmm")</f>
        <v>maio</v>
      </c>
      <c r="F86">
        <f>YEAR(Base_de_Dados[[#This Row],[Semana]])</f>
        <v>2022</v>
      </c>
      <c r="G86" t="str">
        <f>IF(MONTH(Base_de_Dados[[#This Row],[Semana]])&lt;=6,"1ª Bimestre","2ª Bimestre")</f>
        <v>1ª Bimestre</v>
      </c>
    </row>
    <row r="87" spans="1:7" x14ac:dyDescent="0.25">
      <c r="A87" t="s">
        <v>7</v>
      </c>
      <c r="B87">
        <v>1</v>
      </c>
      <c r="C87" s="2">
        <v>0.33333333333333331</v>
      </c>
      <c r="D87" s="48">
        <v>44683</v>
      </c>
      <c r="E87" s="48" t="str">
        <f>TEXT(Base_de_Dados[[#This Row],[Semana]],"Mmmm")</f>
        <v>maio</v>
      </c>
      <c r="F87">
        <f>YEAR(Base_de_Dados[[#This Row],[Semana]])</f>
        <v>2022</v>
      </c>
      <c r="G87" t="str">
        <f>IF(MONTH(Base_de_Dados[[#This Row],[Semana]])&lt;=6,"1ª Bimestre","2ª Bimestre")</f>
        <v>1ª Bimestre</v>
      </c>
    </row>
    <row r="88" spans="1:7" x14ac:dyDescent="0.25">
      <c r="A88" t="s">
        <v>8</v>
      </c>
      <c r="B88">
        <v>0</v>
      </c>
      <c r="C88" s="2">
        <v>0</v>
      </c>
      <c r="D88" s="48">
        <v>44683</v>
      </c>
      <c r="E88" s="48" t="str">
        <f>TEXT(Base_de_Dados[[#This Row],[Semana]],"Mmmm")</f>
        <v>maio</v>
      </c>
      <c r="F88">
        <f>YEAR(Base_de_Dados[[#This Row],[Semana]])</f>
        <v>2022</v>
      </c>
      <c r="G88" t="str">
        <f>IF(MONTH(Base_de_Dados[[#This Row],[Semana]])&lt;=6,"1ª Bimestre","2ª Bimestre")</f>
        <v>1ª Bimestre</v>
      </c>
    </row>
    <row r="89" spans="1:7" x14ac:dyDescent="0.25">
      <c r="A89" t="s">
        <v>9</v>
      </c>
      <c r="B89">
        <v>0</v>
      </c>
      <c r="C89" s="2">
        <v>0</v>
      </c>
      <c r="D89" s="48">
        <v>44683</v>
      </c>
      <c r="E89" s="48" t="str">
        <f>TEXT(Base_de_Dados[[#This Row],[Semana]],"Mmmm")</f>
        <v>maio</v>
      </c>
      <c r="F89">
        <f>YEAR(Base_de_Dados[[#This Row],[Semana]])</f>
        <v>2022</v>
      </c>
      <c r="G89" t="str">
        <f>IF(MONTH(Base_de_Dados[[#This Row],[Semana]])&lt;=6,"1ª Bimestre","2ª Bimestre")</f>
        <v>1ª Bimestre</v>
      </c>
    </row>
    <row r="90" spans="1:7" x14ac:dyDescent="0.25">
      <c r="A90" t="s">
        <v>114</v>
      </c>
      <c r="B90">
        <v>0</v>
      </c>
      <c r="C90" s="2">
        <v>0</v>
      </c>
      <c r="D90" s="48">
        <v>44683</v>
      </c>
      <c r="E90" s="48" t="str">
        <f>TEXT(Base_de_Dados[[#This Row],[Semana]],"Mmmm")</f>
        <v>maio</v>
      </c>
      <c r="F90">
        <f>YEAR(Base_de_Dados[[#This Row],[Semana]])</f>
        <v>2022</v>
      </c>
      <c r="G90" t="str">
        <f>IF(MONTH(Base_de_Dados[[#This Row],[Semana]])&lt;=6,"1ª Bimestre","2ª Bimestre")</f>
        <v>1ª Bimestre</v>
      </c>
    </row>
    <row r="91" spans="1:7" x14ac:dyDescent="0.25">
      <c r="A91" t="s">
        <v>11</v>
      </c>
      <c r="B91">
        <v>0</v>
      </c>
      <c r="C91" s="2">
        <v>0</v>
      </c>
      <c r="D91" s="48">
        <v>44683</v>
      </c>
      <c r="E91" s="48" t="str">
        <f>TEXT(Base_de_Dados[[#This Row],[Semana]],"Mmmm")</f>
        <v>maio</v>
      </c>
      <c r="F91">
        <f>YEAR(Base_de_Dados[[#This Row],[Semana]])</f>
        <v>2022</v>
      </c>
      <c r="G91" t="str">
        <f>IF(MONTH(Base_de_Dados[[#This Row],[Semana]])&lt;=6,"1ª Bimestre","2ª Bimestre")</f>
        <v>1ª Bimestre</v>
      </c>
    </row>
    <row r="92" spans="1:7" x14ac:dyDescent="0.25">
      <c r="A92" t="s">
        <v>112</v>
      </c>
      <c r="B92">
        <v>0</v>
      </c>
      <c r="C92" s="2">
        <v>0</v>
      </c>
      <c r="D92" s="48">
        <v>44690</v>
      </c>
      <c r="E92" s="48" t="str">
        <f>TEXT(Base_de_Dados[[#This Row],[Semana]],"Mmmm")</f>
        <v>maio</v>
      </c>
      <c r="F92">
        <f>YEAR(Base_de_Dados[[#This Row],[Semana]])</f>
        <v>2022</v>
      </c>
      <c r="G92" t="str">
        <f>IF(MONTH(Base_de_Dados[[#This Row],[Semana]])&lt;=6,"1ª Bimestre","2ª Bimestre")</f>
        <v>1ª Bimestre</v>
      </c>
    </row>
    <row r="93" spans="1:7" x14ac:dyDescent="0.25">
      <c r="A93" t="s">
        <v>4</v>
      </c>
      <c r="B93">
        <v>0</v>
      </c>
      <c r="C93" s="2">
        <v>0</v>
      </c>
      <c r="D93" s="48">
        <v>44690</v>
      </c>
      <c r="E93" s="48" t="str">
        <f>TEXT(Base_de_Dados[[#This Row],[Semana]],"Mmmm")</f>
        <v>maio</v>
      </c>
      <c r="F93">
        <f>YEAR(Base_de_Dados[[#This Row],[Semana]])</f>
        <v>2022</v>
      </c>
      <c r="G93" t="str">
        <f>IF(MONTH(Base_de_Dados[[#This Row],[Semana]])&lt;=6,"1ª Bimestre","2ª Bimestre")</f>
        <v>1ª Bimestre</v>
      </c>
    </row>
    <row r="94" spans="1:7" x14ac:dyDescent="0.25">
      <c r="A94" t="s">
        <v>5</v>
      </c>
      <c r="B94">
        <v>1</v>
      </c>
      <c r="C94" s="2">
        <v>0.33333333333333331</v>
      </c>
      <c r="D94" s="48">
        <v>44690</v>
      </c>
      <c r="E94" s="48" t="str">
        <f>TEXT(Base_de_Dados[[#This Row],[Semana]],"Mmmm")</f>
        <v>maio</v>
      </c>
      <c r="F94">
        <f>YEAR(Base_de_Dados[[#This Row],[Semana]])</f>
        <v>2022</v>
      </c>
      <c r="G94" t="str">
        <f>IF(MONTH(Base_de_Dados[[#This Row],[Semana]])&lt;=6,"1ª Bimestre","2ª Bimestre")</f>
        <v>1ª Bimestre</v>
      </c>
    </row>
    <row r="95" spans="1:7" x14ac:dyDescent="0.25">
      <c r="A95" t="s">
        <v>6</v>
      </c>
      <c r="B95">
        <v>2</v>
      </c>
      <c r="C95" s="2">
        <v>0.66666666666666663</v>
      </c>
      <c r="D95" s="48">
        <v>44690</v>
      </c>
      <c r="E95" s="48" t="str">
        <f>TEXT(Base_de_Dados[[#This Row],[Semana]],"Mmmm")</f>
        <v>maio</v>
      </c>
      <c r="F95">
        <f>YEAR(Base_de_Dados[[#This Row],[Semana]])</f>
        <v>2022</v>
      </c>
      <c r="G95" t="str">
        <f>IF(MONTH(Base_de_Dados[[#This Row],[Semana]])&lt;=6,"1ª Bimestre","2ª Bimestre")</f>
        <v>1ª Bimestre</v>
      </c>
    </row>
    <row r="96" spans="1:7" x14ac:dyDescent="0.25">
      <c r="A96" t="s">
        <v>7</v>
      </c>
      <c r="B96">
        <v>0</v>
      </c>
      <c r="C96" s="2">
        <v>0</v>
      </c>
      <c r="D96" s="48">
        <v>44690</v>
      </c>
      <c r="E96" s="48" t="str">
        <f>TEXT(Base_de_Dados[[#This Row],[Semana]],"Mmmm")</f>
        <v>maio</v>
      </c>
      <c r="F96">
        <f>YEAR(Base_de_Dados[[#This Row],[Semana]])</f>
        <v>2022</v>
      </c>
      <c r="G96" t="str">
        <f>IF(MONTH(Base_de_Dados[[#This Row],[Semana]])&lt;=6,"1ª Bimestre","2ª Bimestre")</f>
        <v>1ª Bimestre</v>
      </c>
    </row>
    <row r="97" spans="1:7" x14ac:dyDescent="0.25">
      <c r="A97" t="s">
        <v>8</v>
      </c>
      <c r="B97">
        <v>0</v>
      </c>
      <c r="C97" s="2">
        <v>0</v>
      </c>
      <c r="D97" s="48">
        <v>44690</v>
      </c>
      <c r="E97" s="48" t="str">
        <f>TEXT(Base_de_Dados[[#This Row],[Semana]],"Mmmm")</f>
        <v>maio</v>
      </c>
      <c r="F97">
        <f>YEAR(Base_de_Dados[[#This Row],[Semana]])</f>
        <v>2022</v>
      </c>
      <c r="G97" t="str">
        <f>IF(MONTH(Base_de_Dados[[#This Row],[Semana]])&lt;=6,"1ª Bimestre","2ª Bimestre")</f>
        <v>1ª Bimestre</v>
      </c>
    </row>
    <row r="98" spans="1:7" x14ac:dyDescent="0.25">
      <c r="A98" t="s">
        <v>9</v>
      </c>
      <c r="B98">
        <v>0</v>
      </c>
      <c r="C98" s="2">
        <v>0</v>
      </c>
      <c r="D98" s="48">
        <v>44690</v>
      </c>
      <c r="E98" s="48" t="str">
        <f>TEXT(Base_de_Dados[[#This Row],[Semana]],"Mmmm")</f>
        <v>maio</v>
      </c>
      <c r="F98">
        <f>YEAR(Base_de_Dados[[#This Row],[Semana]])</f>
        <v>2022</v>
      </c>
      <c r="G98" t="str">
        <f>IF(MONTH(Base_de_Dados[[#This Row],[Semana]])&lt;=6,"1ª Bimestre","2ª Bimestre")</f>
        <v>1ª Bimestre</v>
      </c>
    </row>
    <row r="99" spans="1:7" x14ac:dyDescent="0.25">
      <c r="A99" t="s">
        <v>114</v>
      </c>
      <c r="B99">
        <v>0</v>
      </c>
      <c r="C99" s="2">
        <v>0</v>
      </c>
      <c r="D99" s="48">
        <v>44690</v>
      </c>
      <c r="E99" s="48" t="str">
        <f>TEXT(Base_de_Dados[[#This Row],[Semana]],"Mmmm")</f>
        <v>maio</v>
      </c>
      <c r="F99">
        <f>YEAR(Base_de_Dados[[#This Row],[Semana]])</f>
        <v>2022</v>
      </c>
      <c r="G99" t="str">
        <f>IF(MONTH(Base_de_Dados[[#This Row],[Semana]])&lt;=6,"1ª Bimestre","2ª Bimestre")</f>
        <v>1ª Bimestre</v>
      </c>
    </row>
    <row r="100" spans="1:7" x14ac:dyDescent="0.25">
      <c r="A100" t="s">
        <v>11</v>
      </c>
      <c r="B100">
        <v>0</v>
      </c>
      <c r="C100" s="2">
        <v>0</v>
      </c>
      <c r="D100" s="48">
        <v>44690</v>
      </c>
      <c r="E100" s="48" t="str">
        <f>TEXT(Base_de_Dados[[#This Row],[Semana]],"Mmmm")</f>
        <v>maio</v>
      </c>
      <c r="F100">
        <f>YEAR(Base_de_Dados[[#This Row],[Semana]])</f>
        <v>2022</v>
      </c>
      <c r="G100" t="str">
        <f>IF(MONTH(Base_de_Dados[[#This Row],[Semana]])&lt;=6,"1ª Bimestre","2ª Bimestre")</f>
        <v>1ª Bimestre</v>
      </c>
    </row>
    <row r="101" spans="1:7" x14ac:dyDescent="0.25">
      <c r="A101" t="s">
        <v>112</v>
      </c>
      <c r="B101">
        <v>0</v>
      </c>
      <c r="C101" s="2">
        <v>0</v>
      </c>
      <c r="D101" s="48">
        <v>44697</v>
      </c>
      <c r="E101" s="48" t="str">
        <f>TEXT(Base_de_Dados[[#This Row],[Semana]],"Mmmm")</f>
        <v>maio</v>
      </c>
      <c r="F101">
        <f>YEAR(Base_de_Dados[[#This Row],[Semana]])</f>
        <v>2022</v>
      </c>
      <c r="G101" t="str">
        <f>IF(MONTH(Base_de_Dados[[#This Row],[Semana]])&lt;=6,"1ª Bimestre","2ª Bimestre")</f>
        <v>1ª Bimestre</v>
      </c>
    </row>
    <row r="102" spans="1:7" x14ac:dyDescent="0.25">
      <c r="A102" t="s">
        <v>4</v>
      </c>
      <c r="B102">
        <v>0</v>
      </c>
      <c r="C102" s="2">
        <v>0</v>
      </c>
      <c r="D102" s="48">
        <v>44697</v>
      </c>
      <c r="E102" s="48" t="str">
        <f>TEXT(Base_de_Dados[[#This Row],[Semana]],"Mmmm")</f>
        <v>maio</v>
      </c>
      <c r="F102">
        <f>YEAR(Base_de_Dados[[#This Row],[Semana]])</f>
        <v>2022</v>
      </c>
      <c r="G102" t="str">
        <f>IF(MONTH(Base_de_Dados[[#This Row],[Semana]])&lt;=6,"1ª Bimestre","2ª Bimestre")</f>
        <v>1ª Bimestre</v>
      </c>
    </row>
    <row r="103" spans="1:7" x14ac:dyDescent="0.25">
      <c r="A103" t="s">
        <v>5</v>
      </c>
      <c r="B103">
        <v>0</v>
      </c>
      <c r="C103" s="2">
        <v>0</v>
      </c>
      <c r="D103" s="48">
        <v>44697</v>
      </c>
      <c r="E103" s="48" t="str">
        <f>TEXT(Base_de_Dados[[#This Row],[Semana]],"Mmmm")</f>
        <v>maio</v>
      </c>
      <c r="F103">
        <f>YEAR(Base_de_Dados[[#This Row],[Semana]])</f>
        <v>2022</v>
      </c>
      <c r="G103" t="str">
        <f>IF(MONTH(Base_de_Dados[[#This Row],[Semana]])&lt;=6,"1ª Bimestre","2ª Bimestre")</f>
        <v>1ª Bimestre</v>
      </c>
    </row>
    <row r="104" spans="1:7" x14ac:dyDescent="0.25">
      <c r="A104" t="s">
        <v>6</v>
      </c>
      <c r="B104">
        <v>3</v>
      </c>
      <c r="C104" s="2">
        <v>0.375</v>
      </c>
      <c r="D104" s="48">
        <v>44697</v>
      </c>
      <c r="E104" s="48" t="str">
        <f>TEXT(Base_de_Dados[[#This Row],[Semana]],"Mmmm")</f>
        <v>maio</v>
      </c>
      <c r="F104">
        <f>YEAR(Base_de_Dados[[#This Row],[Semana]])</f>
        <v>2022</v>
      </c>
      <c r="G104" t="str">
        <f>IF(MONTH(Base_de_Dados[[#This Row],[Semana]])&lt;=6,"1ª Bimestre","2ª Bimestre")</f>
        <v>1ª Bimestre</v>
      </c>
    </row>
    <row r="105" spans="1:7" x14ac:dyDescent="0.25">
      <c r="A105" t="s">
        <v>7</v>
      </c>
      <c r="B105">
        <v>0</v>
      </c>
      <c r="C105" s="2">
        <v>0</v>
      </c>
      <c r="D105" s="48">
        <v>44697</v>
      </c>
      <c r="E105" s="48" t="str">
        <f>TEXT(Base_de_Dados[[#This Row],[Semana]],"Mmmm")</f>
        <v>maio</v>
      </c>
      <c r="F105">
        <f>YEAR(Base_de_Dados[[#This Row],[Semana]])</f>
        <v>2022</v>
      </c>
      <c r="G105" t="str">
        <f>IF(MONTH(Base_de_Dados[[#This Row],[Semana]])&lt;=6,"1ª Bimestre","2ª Bimestre")</f>
        <v>1ª Bimestre</v>
      </c>
    </row>
    <row r="106" spans="1:7" x14ac:dyDescent="0.25">
      <c r="A106" t="s">
        <v>8</v>
      </c>
      <c r="B106">
        <v>5</v>
      </c>
      <c r="C106" s="2">
        <v>0.625</v>
      </c>
      <c r="D106" s="48">
        <v>44697</v>
      </c>
      <c r="E106" s="48" t="str">
        <f>TEXT(Base_de_Dados[[#This Row],[Semana]],"Mmmm")</f>
        <v>maio</v>
      </c>
      <c r="F106">
        <f>YEAR(Base_de_Dados[[#This Row],[Semana]])</f>
        <v>2022</v>
      </c>
      <c r="G106" t="str">
        <f>IF(MONTH(Base_de_Dados[[#This Row],[Semana]])&lt;=6,"1ª Bimestre","2ª Bimestre")</f>
        <v>1ª Bimestre</v>
      </c>
    </row>
    <row r="107" spans="1:7" x14ac:dyDescent="0.25">
      <c r="A107" t="s">
        <v>9</v>
      </c>
      <c r="B107">
        <v>0</v>
      </c>
      <c r="C107" s="2">
        <v>0</v>
      </c>
      <c r="D107" s="48">
        <v>44697</v>
      </c>
      <c r="E107" s="48" t="str">
        <f>TEXT(Base_de_Dados[[#This Row],[Semana]],"Mmmm")</f>
        <v>maio</v>
      </c>
      <c r="F107">
        <f>YEAR(Base_de_Dados[[#This Row],[Semana]])</f>
        <v>2022</v>
      </c>
      <c r="G107" t="str">
        <f>IF(MONTH(Base_de_Dados[[#This Row],[Semana]])&lt;=6,"1ª Bimestre","2ª Bimestre")</f>
        <v>1ª Bimestre</v>
      </c>
    </row>
    <row r="108" spans="1:7" x14ac:dyDescent="0.25">
      <c r="A108" t="s">
        <v>114</v>
      </c>
      <c r="B108">
        <v>0</v>
      </c>
      <c r="C108" s="2">
        <v>0</v>
      </c>
      <c r="D108" s="48">
        <v>44697</v>
      </c>
      <c r="E108" s="48" t="str">
        <f>TEXT(Base_de_Dados[[#This Row],[Semana]],"Mmmm")</f>
        <v>maio</v>
      </c>
      <c r="F108">
        <f>YEAR(Base_de_Dados[[#This Row],[Semana]])</f>
        <v>2022</v>
      </c>
      <c r="G108" t="str">
        <f>IF(MONTH(Base_de_Dados[[#This Row],[Semana]])&lt;=6,"1ª Bimestre","2ª Bimestre")</f>
        <v>1ª Bimestre</v>
      </c>
    </row>
    <row r="109" spans="1:7" x14ac:dyDescent="0.25">
      <c r="A109" t="s">
        <v>11</v>
      </c>
      <c r="B109">
        <v>0</v>
      </c>
      <c r="C109" s="2">
        <v>0</v>
      </c>
      <c r="D109" s="48">
        <v>44697</v>
      </c>
      <c r="E109" s="48" t="str">
        <f>TEXT(Base_de_Dados[[#This Row],[Semana]],"Mmmm")</f>
        <v>maio</v>
      </c>
      <c r="F109">
        <f>YEAR(Base_de_Dados[[#This Row],[Semana]])</f>
        <v>2022</v>
      </c>
      <c r="G109" t="str">
        <f>IF(MONTH(Base_de_Dados[[#This Row],[Semana]])&lt;=6,"1ª Bimestre","2ª Bimestre")</f>
        <v>1ª Bimestre</v>
      </c>
    </row>
    <row r="110" spans="1:7" x14ac:dyDescent="0.25">
      <c r="A110" t="s">
        <v>112</v>
      </c>
      <c r="B110">
        <v>0</v>
      </c>
      <c r="C110" s="2">
        <v>0</v>
      </c>
      <c r="D110" s="48">
        <v>44704</v>
      </c>
      <c r="E110" s="48" t="str">
        <f>TEXT(Base_de_Dados[[#This Row],[Semana]],"Mmmm")</f>
        <v>maio</v>
      </c>
      <c r="F110">
        <f>YEAR(Base_de_Dados[[#This Row],[Semana]])</f>
        <v>2022</v>
      </c>
      <c r="G110" t="str">
        <f>IF(MONTH(Base_de_Dados[[#This Row],[Semana]])&lt;=6,"1ª Bimestre","2ª Bimestre")</f>
        <v>1ª Bimestre</v>
      </c>
    </row>
    <row r="111" spans="1:7" x14ac:dyDescent="0.25">
      <c r="A111" t="s">
        <v>4</v>
      </c>
      <c r="B111">
        <v>0</v>
      </c>
      <c r="C111" s="2">
        <v>0</v>
      </c>
      <c r="D111" s="48">
        <v>44704</v>
      </c>
      <c r="E111" s="48" t="str">
        <f>TEXT(Base_de_Dados[[#This Row],[Semana]],"Mmmm")</f>
        <v>maio</v>
      </c>
      <c r="F111">
        <f>YEAR(Base_de_Dados[[#This Row],[Semana]])</f>
        <v>2022</v>
      </c>
      <c r="G111" t="str">
        <f>IF(MONTH(Base_de_Dados[[#This Row],[Semana]])&lt;=6,"1ª Bimestre","2ª Bimestre")</f>
        <v>1ª Bimestre</v>
      </c>
    </row>
    <row r="112" spans="1:7" x14ac:dyDescent="0.25">
      <c r="A112" t="s">
        <v>5</v>
      </c>
      <c r="B112">
        <v>0</v>
      </c>
      <c r="C112" s="2">
        <v>0</v>
      </c>
      <c r="D112" s="48">
        <v>44704</v>
      </c>
      <c r="E112" s="48" t="str">
        <f>TEXT(Base_de_Dados[[#This Row],[Semana]],"Mmmm")</f>
        <v>maio</v>
      </c>
      <c r="F112">
        <f>YEAR(Base_de_Dados[[#This Row],[Semana]])</f>
        <v>2022</v>
      </c>
      <c r="G112" t="str">
        <f>IF(MONTH(Base_de_Dados[[#This Row],[Semana]])&lt;=6,"1ª Bimestre","2ª Bimestre")</f>
        <v>1ª Bimestre</v>
      </c>
    </row>
    <row r="113" spans="1:7" x14ac:dyDescent="0.25">
      <c r="A113" t="s">
        <v>6</v>
      </c>
      <c r="B113">
        <v>0</v>
      </c>
      <c r="C113" s="2">
        <v>0</v>
      </c>
      <c r="D113" s="48">
        <v>44704</v>
      </c>
      <c r="E113" s="48" t="str">
        <f>TEXT(Base_de_Dados[[#This Row],[Semana]],"Mmmm")</f>
        <v>maio</v>
      </c>
      <c r="F113">
        <f>YEAR(Base_de_Dados[[#This Row],[Semana]])</f>
        <v>2022</v>
      </c>
      <c r="G113" t="str">
        <f>IF(MONTH(Base_de_Dados[[#This Row],[Semana]])&lt;=6,"1ª Bimestre","2ª Bimestre")</f>
        <v>1ª Bimestre</v>
      </c>
    </row>
    <row r="114" spans="1:7" x14ac:dyDescent="0.25">
      <c r="A114" t="s">
        <v>7</v>
      </c>
      <c r="B114">
        <v>0</v>
      </c>
      <c r="C114" s="2">
        <v>0</v>
      </c>
      <c r="D114" s="48">
        <v>44704</v>
      </c>
      <c r="E114" s="48" t="str">
        <f>TEXT(Base_de_Dados[[#This Row],[Semana]],"Mmmm")</f>
        <v>maio</v>
      </c>
      <c r="F114">
        <f>YEAR(Base_de_Dados[[#This Row],[Semana]])</f>
        <v>2022</v>
      </c>
      <c r="G114" t="str">
        <f>IF(MONTH(Base_de_Dados[[#This Row],[Semana]])&lt;=6,"1ª Bimestre","2ª Bimestre")</f>
        <v>1ª Bimestre</v>
      </c>
    </row>
    <row r="115" spans="1:7" x14ac:dyDescent="0.25">
      <c r="A115" t="s">
        <v>8</v>
      </c>
      <c r="B115">
        <v>3</v>
      </c>
      <c r="C115" s="2">
        <v>0.75</v>
      </c>
      <c r="D115" s="48">
        <v>44704</v>
      </c>
      <c r="E115" s="48" t="str">
        <f>TEXT(Base_de_Dados[[#This Row],[Semana]],"Mmmm")</f>
        <v>maio</v>
      </c>
      <c r="F115">
        <f>YEAR(Base_de_Dados[[#This Row],[Semana]])</f>
        <v>2022</v>
      </c>
      <c r="G115" t="str">
        <f>IF(MONTH(Base_de_Dados[[#This Row],[Semana]])&lt;=6,"1ª Bimestre","2ª Bimestre")</f>
        <v>1ª Bimestre</v>
      </c>
    </row>
    <row r="116" spans="1:7" x14ac:dyDescent="0.25">
      <c r="A116" t="s">
        <v>9</v>
      </c>
      <c r="B116">
        <v>0</v>
      </c>
      <c r="C116" s="2">
        <v>0</v>
      </c>
      <c r="D116" s="48">
        <v>44704</v>
      </c>
      <c r="E116" s="48" t="str">
        <f>TEXT(Base_de_Dados[[#This Row],[Semana]],"Mmmm")</f>
        <v>maio</v>
      </c>
      <c r="F116">
        <f>YEAR(Base_de_Dados[[#This Row],[Semana]])</f>
        <v>2022</v>
      </c>
      <c r="G116" t="str">
        <f>IF(MONTH(Base_de_Dados[[#This Row],[Semana]])&lt;=6,"1ª Bimestre","2ª Bimestre")</f>
        <v>1ª Bimestre</v>
      </c>
    </row>
    <row r="117" spans="1:7" x14ac:dyDescent="0.25">
      <c r="A117" t="s">
        <v>114</v>
      </c>
      <c r="B117">
        <v>1</v>
      </c>
      <c r="C117" s="2">
        <v>0.25</v>
      </c>
      <c r="D117" s="48">
        <v>44704</v>
      </c>
      <c r="E117" s="48" t="str">
        <f>TEXT(Base_de_Dados[[#This Row],[Semana]],"Mmmm")</f>
        <v>maio</v>
      </c>
      <c r="F117">
        <f>YEAR(Base_de_Dados[[#This Row],[Semana]])</f>
        <v>2022</v>
      </c>
      <c r="G117" t="str">
        <f>IF(MONTH(Base_de_Dados[[#This Row],[Semana]])&lt;=6,"1ª Bimestre","2ª Bimestre")</f>
        <v>1ª Bimestre</v>
      </c>
    </row>
    <row r="118" spans="1:7" x14ac:dyDescent="0.25">
      <c r="A118" t="s">
        <v>11</v>
      </c>
      <c r="B118">
        <v>0</v>
      </c>
      <c r="C118" s="2">
        <v>0</v>
      </c>
      <c r="D118" s="48">
        <v>44704</v>
      </c>
      <c r="E118" s="48" t="str">
        <f>TEXT(Base_de_Dados[[#This Row],[Semana]],"Mmmm")</f>
        <v>maio</v>
      </c>
      <c r="F118">
        <f>YEAR(Base_de_Dados[[#This Row],[Semana]])</f>
        <v>2022</v>
      </c>
      <c r="G118" t="str">
        <f>IF(MONTH(Base_de_Dados[[#This Row],[Semana]])&lt;=6,"1ª Bimestre","2ª Bimestre")</f>
        <v>1ª Bimestre</v>
      </c>
    </row>
    <row r="119" spans="1:7" x14ac:dyDescent="0.25">
      <c r="A119" t="s">
        <v>112</v>
      </c>
      <c r="B119">
        <v>0</v>
      </c>
      <c r="C119" s="2">
        <v>0</v>
      </c>
      <c r="D119" s="48">
        <v>44718</v>
      </c>
      <c r="E119" s="48" t="str">
        <f>TEXT(Base_de_Dados[[#This Row],[Semana]],"Mmmm")</f>
        <v>junho</v>
      </c>
      <c r="F119">
        <f>YEAR(Base_de_Dados[[#This Row],[Semana]])</f>
        <v>2022</v>
      </c>
      <c r="G119" t="str">
        <f>IF(MONTH(Base_de_Dados[[#This Row],[Semana]])&lt;=6,"1ª Bimestre","2ª Bimestre")</f>
        <v>1ª Bimestre</v>
      </c>
    </row>
    <row r="120" spans="1:7" x14ac:dyDescent="0.25">
      <c r="A120" t="s">
        <v>4</v>
      </c>
      <c r="B120">
        <v>0</v>
      </c>
      <c r="C120" s="2">
        <v>0</v>
      </c>
      <c r="D120" s="48">
        <v>44718</v>
      </c>
      <c r="E120" s="48" t="str">
        <f>TEXT(Base_de_Dados[[#This Row],[Semana]],"Mmmm")</f>
        <v>junho</v>
      </c>
      <c r="F120">
        <f>YEAR(Base_de_Dados[[#This Row],[Semana]])</f>
        <v>2022</v>
      </c>
      <c r="G120" t="str">
        <f>IF(MONTH(Base_de_Dados[[#This Row],[Semana]])&lt;=6,"1ª Bimestre","2ª Bimestre")</f>
        <v>1ª Bimestre</v>
      </c>
    </row>
    <row r="121" spans="1:7" x14ac:dyDescent="0.25">
      <c r="A121" t="s">
        <v>5</v>
      </c>
      <c r="B121">
        <v>0</v>
      </c>
      <c r="C121" s="2">
        <v>0</v>
      </c>
      <c r="D121" s="48">
        <v>44718</v>
      </c>
      <c r="E121" s="48" t="str">
        <f>TEXT(Base_de_Dados[[#This Row],[Semana]],"Mmmm")</f>
        <v>junho</v>
      </c>
      <c r="F121">
        <f>YEAR(Base_de_Dados[[#This Row],[Semana]])</f>
        <v>2022</v>
      </c>
      <c r="G121" t="str">
        <f>IF(MONTH(Base_de_Dados[[#This Row],[Semana]])&lt;=6,"1ª Bimestre","2ª Bimestre")</f>
        <v>1ª Bimestre</v>
      </c>
    </row>
    <row r="122" spans="1:7" x14ac:dyDescent="0.25">
      <c r="A122" t="s">
        <v>6</v>
      </c>
      <c r="B122">
        <v>1</v>
      </c>
      <c r="C122" s="2">
        <v>0.25</v>
      </c>
      <c r="D122" s="48">
        <v>44718</v>
      </c>
      <c r="E122" s="48" t="str">
        <f>TEXT(Base_de_Dados[[#This Row],[Semana]],"Mmmm")</f>
        <v>junho</v>
      </c>
      <c r="F122">
        <f>YEAR(Base_de_Dados[[#This Row],[Semana]])</f>
        <v>2022</v>
      </c>
      <c r="G122" t="str">
        <f>IF(MONTH(Base_de_Dados[[#This Row],[Semana]])&lt;=6,"1ª Bimestre","2ª Bimestre")</f>
        <v>1ª Bimestre</v>
      </c>
    </row>
    <row r="123" spans="1:7" x14ac:dyDescent="0.25">
      <c r="A123" t="s">
        <v>7</v>
      </c>
      <c r="B123">
        <v>1</v>
      </c>
      <c r="C123" s="2">
        <v>0.25</v>
      </c>
      <c r="D123" s="48">
        <v>44718</v>
      </c>
      <c r="E123" s="48" t="str">
        <f>TEXT(Base_de_Dados[[#This Row],[Semana]],"Mmmm")</f>
        <v>junho</v>
      </c>
      <c r="F123">
        <f>YEAR(Base_de_Dados[[#This Row],[Semana]])</f>
        <v>2022</v>
      </c>
      <c r="G123" t="str">
        <f>IF(MONTH(Base_de_Dados[[#This Row],[Semana]])&lt;=6,"1ª Bimestre","2ª Bimestre")</f>
        <v>1ª Bimestre</v>
      </c>
    </row>
    <row r="124" spans="1:7" x14ac:dyDescent="0.25">
      <c r="A124" t="s">
        <v>8</v>
      </c>
      <c r="B124">
        <v>2</v>
      </c>
      <c r="C124" s="2">
        <v>0.5</v>
      </c>
      <c r="D124" s="48">
        <v>44718</v>
      </c>
      <c r="E124" s="48" t="str">
        <f>TEXT(Base_de_Dados[[#This Row],[Semana]],"Mmmm")</f>
        <v>junho</v>
      </c>
      <c r="F124">
        <f>YEAR(Base_de_Dados[[#This Row],[Semana]])</f>
        <v>2022</v>
      </c>
      <c r="G124" t="str">
        <f>IF(MONTH(Base_de_Dados[[#This Row],[Semana]])&lt;=6,"1ª Bimestre","2ª Bimestre")</f>
        <v>1ª Bimestre</v>
      </c>
    </row>
    <row r="125" spans="1:7" x14ac:dyDescent="0.25">
      <c r="A125" t="s">
        <v>9</v>
      </c>
      <c r="B125">
        <v>0</v>
      </c>
      <c r="C125" s="2">
        <v>0</v>
      </c>
      <c r="D125" s="48">
        <v>44718</v>
      </c>
      <c r="E125" s="48" t="str">
        <f>TEXT(Base_de_Dados[[#This Row],[Semana]],"Mmmm")</f>
        <v>junho</v>
      </c>
      <c r="F125">
        <f>YEAR(Base_de_Dados[[#This Row],[Semana]])</f>
        <v>2022</v>
      </c>
      <c r="G125" t="str">
        <f>IF(MONTH(Base_de_Dados[[#This Row],[Semana]])&lt;=6,"1ª Bimestre","2ª Bimestre")</f>
        <v>1ª Bimestre</v>
      </c>
    </row>
    <row r="126" spans="1:7" x14ac:dyDescent="0.25">
      <c r="A126" t="s">
        <v>114</v>
      </c>
      <c r="B126">
        <v>0</v>
      </c>
      <c r="C126" s="2">
        <v>0</v>
      </c>
      <c r="D126" s="48">
        <v>44718</v>
      </c>
      <c r="E126" s="48" t="str">
        <f>TEXT(Base_de_Dados[[#This Row],[Semana]],"Mmmm")</f>
        <v>junho</v>
      </c>
      <c r="F126">
        <f>YEAR(Base_de_Dados[[#This Row],[Semana]])</f>
        <v>2022</v>
      </c>
      <c r="G126" t="str">
        <f>IF(MONTH(Base_de_Dados[[#This Row],[Semana]])&lt;=6,"1ª Bimestre","2ª Bimestre")</f>
        <v>1ª Bimestre</v>
      </c>
    </row>
    <row r="127" spans="1:7" x14ac:dyDescent="0.25">
      <c r="A127" t="s">
        <v>11</v>
      </c>
      <c r="B127">
        <v>0</v>
      </c>
      <c r="C127" s="2">
        <v>0</v>
      </c>
      <c r="D127" s="48">
        <v>44718</v>
      </c>
      <c r="E127" s="48" t="str">
        <f>TEXT(Base_de_Dados[[#This Row],[Semana]],"Mmmm")</f>
        <v>junho</v>
      </c>
      <c r="F127">
        <f>YEAR(Base_de_Dados[[#This Row],[Semana]])</f>
        <v>2022</v>
      </c>
      <c r="G127" t="str">
        <f>IF(MONTH(Base_de_Dados[[#This Row],[Semana]])&lt;=6,"1ª Bimestre","2ª Bimestre")</f>
        <v>1ª Bimestre</v>
      </c>
    </row>
    <row r="128" spans="1:7" x14ac:dyDescent="0.25">
      <c r="A128" t="s">
        <v>112</v>
      </c>
      <c r="B128">
        <v>0</v>
      </c>
      <c r="C128" s="2">
        <v>0</v>
      </c>
      <c r="D128" s="48">
        <v>44725</v>
      </c>
      <c r="E128" s="48" t="str">
        <f>TEXT(Base_de_Dados[[#This Row],[Semana]],"Mmmm")</f>
        <v>junho</v>
      </c>
      <c r="F128">
        <f>YEAR(Base_de_Dados[[#This Row],[Semana]])</f>
        <v>2022</v>
      </c>
      <c r="G128" t="str">
        <f>IF(MONTH(Base_de_Dados[[#This Row],[Semana]])&lt;=6,"1ª Bimestre","2ª Bimestre")</f>
        <v>1ª Bimestre</v>
      </c>
    </row>
    <row r="129" spans="1:7" x14ac:dyDescent="0.25">
      <c r="A129" t="s">
        <v>4</v>
      </c>
      <c r="B129">
        <v>5</v>
      </c>
      <c r="C129" s="2">
        <v>0.38461538461538464</v>
      </c>
      <c r="D129" s="48">
        <v>44725</v>
      </c>
      <c r="E129" s="48" t="str">
        <f>TEXT(Base_de_Dados[[#This Row],[Semana]],"Mmmm")</f>
        <v>junho</v>
      </c>
      <c r="F129">
        <f>YEAR(Base_de_Dados[[#This Row],[Semana]])</f>
        <v>2022</v>
      </c>
      <c r="G129" t="str">
        <f>IF(MONTH(Base_de_Dados[[#This Row],[Semana]])&lt;=6,"1ª Bimestre","2ª Bimestre")</f>
        <v>1ª Bimestre</v>
      </c>
    </row>
    <row r="130" spans="1:7" x14ac:dyDescent="0.25">
      <c r="A130" t="s">
        <v>5</v>
      </c>
      <c r="B130">
        <v>1</v>
      </c>
      <c r="C130" s="2">
        <v>7.6923076923076927E-2</v>
      </c>
      <c r="D130" s="48">
        <v>44725</v>
      </c>
      <c r="E130" s="48" t="str">
        <f>TEXT(Base_de_Dados[[#This Row],[Semana]],"Mmmm")</f>
        <v>junho</v>
      </c>
      <c r="F130">
        <f>YEAR(Base_de_Dados[[#This Row],[Semana]])</f>
        <v>2022</v>
      </c>
      <c r="G130" t="str">
        <f>IF(MONTH(Base_de_Dados[[#This Row],[Semana]])&lt;=6,"1ª Bimestre","2ª Bimestre")</f>
        <v>1ª Bimestre</v>
      </c>
    </row>
    <row r="131" spans="1:7" x14ac:dyDescent="0.25">
      <c r="A131" t="s">
        <v>6</v>
      </c>
      <c r="B131">
        <v>1</v>
      </c>
      <c r="C131" s="2">
        <v>7.6923076923076927E-2</v>
      </c>
      <c r="D131" s="48">
        <v>44725</v>
      </c>
      <c r="E131" s="48" t="str">
        <f>TEXT(Base_de_Dados[[#This Row],[Semana]],"Mmmm")</f>
        <v>junho</v>
      </c>
      <c r="F131">
        <f>YEAR(Base_de_Dados[[#This Row],[Semana]])</f>
        <v>2022</v>
      </c>
      <c r="G131" t="str">
        <f>IF(MONTH(Base_de_Dados[[#This Row],[Semana]])&lt;=6,"1ª Bimestre","2ª Bimestre")</f>
        <v>1ª Bimestre</v>
      </c>
    </row>
    <row r="132" spans="1:7" x14ac:dyDescent="0.25">
      <c r="A132" t="s">
        <v>7</v>
      </c>
      <c r="B132">
        <v>2</v>
      </c>
      <c r="C132" s="2">
        <v>0.15384615384615385</v>
      </c>
      <c r="D132" s="48">
        <v>44725</v>
      </c>
      <c r="E132" s="48" t="str">
        <f>TEXT(Base_de_Dados[[#This Row],[Semana]],"Mmmm")</f>
        <v>junho</v>
      </c>
      <c r="F132">
        <f>YEAR(Base_de_Dados[[#This Row],[Semana]])</f>
        <v>2022</v>
      </c>
      <c r="G132" t="str">
        <f>IF(MONTH(Base_de_Dados[[#This Row],[Semana]])&lt;=6,"1ª Bimestre","2ª Bimestre")</f>
        <v>1ª Bimestre</v>
      </c>
    </row>
    <row r="133" spans="1:7" x14ac:dyDescent="0.25">
      <c r="A133" t="s">
        <v>8</v>
      </c>
      <c r="B133">
        <v>0</v>
      </c>
      <c r="C133" s="2">
        <v>0</v>
      </c>
      <c r="D133" s="48">
        <v>44725</v>
      </c>
      <c r="E133" s="48" t="str">
        <f>TEXT(Base_de_Dados[[#This Row],[Semana]],"Mmmm")</f>
        <v>junho</v>
      </c>
      <c r="F133">
        <f>YEAR(Base_de_Dados[[#This Row],[Semana]])</f>
        <v>2022</v>
      </c>
      <c r="G133" t="str">
        <f>IF(MONTH(Base_de_Dados[[#This Row],[Semana]])&lt;=6,"1ª Bimestre","2ª Bimestre")</f>
        <v>1ª Bimestre</v>
      </c>
    </row>
    <row r="134" spans="1:7" x14ac:dyDescent="0.25">
      <c r="A134" t="s">
        <v>9</v>
      </c>
      <c r="B134">
        <v>1</v>
      </c>
      <c r="C134" s="2">
        <v>7.6923076923076927E-2</v>
      </c>
      <c r="D134" s="48">
        <v>44725</v>
      </c>
      <c r="E134" s="48" t="str">
        <f>TEXT(Base_de_Dados[[#This Row],[Semana]],"Mmmm")</f>
        <v>junho</v>
      </c>
      <c r="F134">
        <f>YEAR(Base_de_Dados[[#This Row],[Semana]])</f>
        <v>2022</v>
      </c>
      <c r="G134" t="str">
        <f>IF(MONTH(Base_de_Dados[[#This Row],[Semana]])&lt;=6,"1ª Bimestre","2ª Bimestre")</f>
        <v>1ª Bimestre</v>
      </c>
    </row>
    <row r="135" spans="1:7" x14ac:dyDescent="0.25">
      <c r="A135" t="s">
        <v>114</v>
      </c>
      <c r="B135">
        <v>3</v>
      </c>
      <c r="C135" s="2">
        <v>0.23076923076923078</v>
      </c>
      <c r="D135" s="48">
        <v>44725</v>
      </c>
      <c r="E135" s="48" t="str">
        <f>TEXT(Base_de_Dados[[#This Row],[Semana]],"Mmmm")</f>
        <v>junho</v>
      </c>
      <c r="F135">
        <f>YEAR(Base_de_Dados[[#This Row],[Semana]])</f>
        <v>2022</v>
      </c>
      <c r="G135" t="str">
        <f>IF(MONTH(Base_de_Dados[[#This Row],[Semana]])&lt;=6,"1ª Bimestre","2ª Bimestre")</f>
        <v>1ª Bimestre</v>
      </c>
    </row>
    <row r="136" spans="1:7" x14ac:dyDescent="0.25">
      <c r="A136" t="s">
        <v>11</v>
      </c>
      <c r="B136">
        <v>0</v>
      </c>
      <c r="C136" s="2">
        <v>0</v>
      </c>
      <c r="D136" s="48">
        <v>44725</v>
      </c>
      <c r="E136" s="48" t="str">
        <f>TEXT(Base_de_Dados[[#This Row],[Semana]],"Mmmm")</f>
        <v>junho</v>
      </c>
      <c r="F136">
        <f>YEAR(Base_de_Dados[[#This Row],[Semana]])</f>
        <v>2022</v>
      </c>
      <c r="G136" t="str">
        <f>IF(MONTH(Base_de_Dados[[#This Row],[Semana]])&lt;=6,"1ª Bimestre","2ª Bimestre")</f>
        <v>1ª Bimestre</v>
      </c>
    </row>
    <row r="137" spans="1:7" x14ac:dyDescent="0.25">
      <c r="A137" t="s">
        <v>112</v>
      </c>
      <c r="B137">
        <v>0</v>
      </c>
      <c r="C137" s="2">
        <v>0</v>
      </c>
      <c r="D137" s="48">
        <v>44732</v>
      </c>
      <c r="E137" s="48" t="str">
        <f>TEXT(Base_de_Dados[[#This Row],[Semana]],"Mmmm")</f>
        <v>junho</v>
      </c>
      <c r="F137">
        <f>YEAR(Base_de_Dados[[#This Row],[Semana]])</f>
        <v>2022</v>
      </c>
      <c r="G137" t="str">
        <f>IF(MONTH(Base_de_Dados[[#This Row],[Semana]])&lt;=6,"1ª Bimestre","2ª Bimestre")</f>
        <v>1ª Bimestre</v>
      </c>
    </row>
    <row r="138" spans="1:7" x14ac:dyDescent="0.25">
      <c r="A138" t="s">
        <v>4</v>
      </c>
      <c r="B138">
        <v>0</v>
      </c>
      <c r="C138" s="2">
        <v>0</v>
      </c>
      <c r="D138" s="48">
        <v>44732</v>
      </c>
      <c r="E138" s="48" t="str">
        <f>TEXT(Base_de_Dados[[#This Row],[Semana]],"Mmmm")</f>
        <v>junho</v>
      </c>
      <c r="F138">
        <f>YEAR(Base_de_Dados[[#This Row],[Semana]])</f>
        <v>2022</v>
      </c>
      <c r="G138" t="str">
        <f>IF(MONTH(Base_de_Dados[[#This Row],[Semana]])&lt;=6,"1ª Bimestre","2ª Bimestre")</f>
        <v>1ª Bimestre</v>
      </c>
    </row>
    <row r="139" spans="1:7" x14ac:dyDescent="0.25">
      <c r="A139" t="s">
        <v>5</v>
      </c>
      <c r="B139">
        <v>1</v>
      </c>
      <c r="C139" s="2">
        <v>1</v>
      </c>
      <c r="D139" s="48">
        <v>44732</v>
      </c>
      <c r="E139" s="48" t="str">
        <f>TEXT(Base_de_Dados[[#This Row],[Semana]],"Mmmm")</f>
        <v>junho</v>
      </c>
      <c r="F139">
        <f>YEAR(Base_de_Dados[[#This Row],[Semana]])</f>
        <v>2022</v>
      </c>
      <c r="G139" t="str">
        <f>IF(MONTH(Base_de_Dados[[#This Row],[Semana]])&lt;=6,"1ª Bimestre","2ª Bimestre")</f>
        <v>1ª Bimestre</v>
      </c>
    </row>
    <row r="140" spans="1:7" x14ac:dyDescent="0.25">
      <c r="A140" t="s">
        <v>6</v>
      </c>
      <c r="B140">
        <v>0</v>
      </c>
      <c r="C140" s="2">
        <v>0</v>
      </c>
      <c r="D140" s="48">
        <v>44732</v>
      </c>
      <c r="E140" s="48" t="str">
        <f>TEXT(Base_de_Dados[[#This Row],[Semana]],"Mmmm")</f>
        <v>junho</v>
      </c>
      <c r="F140">
        <f>YEAR(Base_de_Dados[[#This Row],[Semana]])</f>
        <v>2022</v>
      </c>
      <c r="G140" t="str">
        <f>IF(MONTH(Base_de_Dados[[#This Row],[Semana]])&lt;=6,"1ª Bimestre","2ª Bimestre")</f>
        <v>1ª Bimestre</v>
      </c>
    </row>
    <row r="141" spans="1:7" x14ac:dyDescent="0.25">
      <c r="A141" t="s">
        <v>7</v>
      </c>
      <c r="B141">
        <v>0</v>
      </c>
      <c r="C141" s="2">
        <v>0</v>
      </c>
      <c r="D141" s="48">
        <v>44732</v>
      </c>
      <c r="E141" s="48" t="str">
        <f>TEXT(Base_de_Dados[[#This Row],[Semana]],"Mmmm")</f>
        <v>junho</v>
      </c>
      <c r="F141">
        <f>YEAR(Base_de_Dados[[#This Row],[Semana]])</f>
        <v>2022</v>
      </c>
      <c r="G141" t="str">
        <f>IF(MONTH(Base_de_Dados[[#This Row],[Semana]])&lt;=6,"1ª Bimestre","2ª Bimestre")</f>
        <v>1ª Bimestre</v>
      </c>
    </row>
    <row r="142" spans="1:7" x14ac:dyDescent="0.25">
      <c r="A142" t="s">
        <v>8</v>
      </c>
      <c r="B142">
        <v>0</v>
      </c>
      <c r="C142" s="2">
        <v>0</v>
      </c>
      <c r="D142" s="48">
        <v>44732</v>
      </c>
      <c r="E142" s="48" t="str">
        <f>TEXT(Base_de_Dados[[#This Row],[Semana]],"Mmmm")</f>
        <v>junho</v>
      </c>
      <c r="F142">
        <f>YEAR(Base_de_Dados[[#This Row],[Semana]])</f>
        <v>2022</v>
      </c>
      <c r="G142" t="str">
        <f>IF(MONTH(Base_de_Dados[[#This Row],[Semana]])&lt;=6,"1ª Bimestre","2ª Bimestre")</f>
        <v>1ª Bimestre</v>
      </c>
    </row>
    <row r="143" spans="1:7" x14ac:dyDescent="0.25">
      <c r="A143" t="s">
        <v>9</v>
      </c>
      <c r="B143">
        <v>0</v>
      </c>
      <c r="C143" s="2">
        <v>0</v>
      </c>
      <c r="D143" s="48">
        <v>44732</v>
      </c>
      <c r="E143" s="48" t="str">
        <f>TEXT(Base_de_Dados[[#This Row],[Semana]],"Mmmm")</f>
        <v>junho</v>
      </c>
      <c r="F143">
        <f>YEAR(Base_de_Dados[[#This Row],[Semana]])</f>
        <v>2022</v>
      </c>
      <c r="G143" t="str">
        <f>IF(MONTH(Base_de_Dados[[#This Row],[Semana]])&lt;=6,"1ª Bimestre","2ª Bimestre")</f>
        <v>1ª Bimestre</v>
      </c>
    </row>
    <row r="144" spans="1:7" x14ac:dyDescent="0.25">
      <c r="A144" t="s">
        <v>114</v>
      </c>
      <c r="B144">
        <v>0</v>
      </c>
      <c r="C144" s="2">
        <v>0</v>
      </c>
      <c r="D144" s="48">
        <v>44732</v>
      </c>
      <c r="E144" s="48" t="str">
        <f>TEXT(Base_de_Dados[[#This Row],[Semana]],"Mmmm")</f>
        <v>junho</v>
      </c>
      <c r="F144">
        <f>YEAR(Base_de_Dados[[#This Row],[Semana]])</f>
        <v>2022</v>
      </c>
      <c r="G144" t="str">
        <f>IF(MONTH(Base_de_Dados[[#This Row],[Semana]])&lt;=6,"1ª Bimestre","2ª Bimestre")</f>
        <v>1ª Bimestre</v>
      </c>
    </row>
    <row r="145" spans="1:7" x14ac:dyDescent="0.25">
      <c r="A145" t="s">
        <v>11</v>
      </c>
      <c r="B145">
        <v>0</v>
      </c>
      <c r="C145" s="2">
        <v>0</v>
      </c>
      <c r="D145" s="48">
        <v>44732</v>
      </c>
      <c r="E145" s="48" t="str">
        <f>TEXT(Base_de_Dados[[#This Row],[Semana]],"Mmmm")</f>
        <v>junho</v>
      </c>
      <c r="F145">
        <f>YEAR(Base_de_Dados[[#This Row],[Semana]])</f>
        <v>2022</v>
      </c>
      <c r="G145" t="str">
        <f>IF(MONTH(Base_de_Dados[[#This Row],[Semana]])&lt;=6,"1ª Bimestre","2ª Bimestre")</f>
        <v>1ª Bimestre</v>
      </c>
    </row>
    <row r="146" spans="1:7" x14ac:dyDescent="0.25">
      <c r="A146" t="s">
        <v>112</v>
      </c>
      <c r="B146">
        <v>0</v>
      </c>
      <c r="C146" s="2">
        <v>0</v>
      </c>
      <c r="D146" s="48">
        <v>44739</v>
      </c>
      <c r="E146" s="48" t="str">
        <f>TEXT(Base_de_Dados[[#This Row],[Semana]],"Mmmm")</f>
        <v>junho</v>
      </c>
      <c r="F146">
        <f>YEAR(Base_de_Dados[[#This Row],[Semana]])</f>
        <v>2022</v>
      </c>
      <c r="G146" t="str">
        <f>IF(MONTH(Base_de_Dados[[#This Row],[Semana]])&lt;=6,"1ª Bimestre","2ª Bimestre")</f>
        <v>1ª Bimestre</v>
      </c>
    </row>
    <row r="147" spans="1:7" x14ac:dyDescent="0.25">
      <c r="A147" t="s">
        <v>4</v>
      </c>
      <c r="B147">
        <v>0</v>
      </c>
      <c r="C147" s="2">
        <v>0</v>
      </c>
      <c r="D147" s="48">
        <v>44739</v>
      </c>
      <c r="E147" s="48" t="str">
        <f>TEXT(Base_de_Dados[[#This Row],[Semana]],"Mmmm")</f>
        <v>junho</v>
      </c>
      <c r="F147">
        <f>YEAR(Base_de_Dados[[#This Row],[Semana]])</f>
        <v>2022</v>
      </c>
      <c r="G147" t="str">
        <f>IF(MONTH(Base_de_Dados[[#This Row],[Semana]])&lt;=6,"1ª Bimestre","2ª Bimestre")</f>
        <v>1ª Bimestre</v>
      </c>
    </row>
    <row r="148" spans="1:7" x14ac:dyDescent="0.25">
      <c r="A148" t="s">
        <v>5</v>
      </c>
      <c r="B148">
        <v>0</v>
      </c>
      <c r="C148" s="2">
        <v>0</v>
      </c>
      <c r="D148" s="48">
        <v>44739</v>
      </c>
      <c r="E148" s="48" t="str">
        <f>TEXT(Base_de_Dados[[#This Row],[Semana]],"Mmmm")</f>
        <v>junho</v>
      </c>
      <c r="F148">
        <f>YEAR(Base_de_Dados[[#This Row],[Semana]])</f>
        <v>2022</v>
      </c>
      <c r="G148" t="str">
        <f>IF(MONTH(Base_de_Dados[[#This Row],[Semana]])&lt;=6,"1ª Bimestre","2ª Bimestre")</f>
        <v>1ª Bimestre</v>
      </c>
    </row>
    <row r="149" spans="1:7" x14ac:dyDescent="0.25">
      <c r="A149" t="s">
        <v>6</v>
      </c>
      <c r="B149">
        <v>0</v>
      </c>
      <c r="C149" s="2">
        <v>0</v>
      </c>
      <c r="D149" s="48">
        <v>44739</v>
      </c>
      <c r="E149" s="48" t="str">
        <f>TEXT(Base_de_Dados[[#This Row],[Semana]],"Mmmm")</f>
        <v>junho</v>
      </c>
      <c r="F149">
        <f>YEAR(Base_de_Dados[[#This Row],[Semana]])</f>
        <v>2022</v>
      </c>
      <c r="G149" t="str">
        <f>IF(MONTH(Base_de_Dados[[#This Row],[Semana]])&lt;=6,"1ª Bimestre","2ª Bimestre")</f>
        <v>1ª Bimestre</v>
      </c>
    </row>
    <row r="150" spans="1:7" x14ac:dyDescent="0.25">
      <c r="A150" t="s">
        <v>7</v>
      </c>
      <c r="B150">
        <v>0</v>
      </c>
      <c r="C150" s="2">
        <v>0</v>
      </c>
      <c r="D150" s="48">
        <v>44739</v>
      </c>
      <c r="E150" s="48" t="str">
        <f>TEXT(Base_de_Dados[[#This Row],[Semana]],"Mmmm")</f>
        <v>junho</v>
      </c>
      <c r="F150">
        <f>YEAR(Base_de_Dados[[#This Row],[Semana]])</f>
        <v>2022</v>
      </c>
      <c r="G150" t="str">
        <f>IF(MONTH(Base_de_Dados[[#This Row],[Semana]])&lt;=6,"1ª Bimestre","2ª Bimestre")</f>
        <v>1ª Bimestre</v>
      </c>
    </row>
    <row r="151" spans="1:7" x14ac:dyDescent="0.25">
      <c r="A151" t="s">
        <v>8</v>
      </c>
      <c r="B151">
        <v>0</v>
      </c>
      <c r="C151" s="2">
        <v>0</v>
      </c>
      <c r="D151" s="48">
        <v>44739</v>
      </c>
      <c r="E151" s="48" t="str">
        <f>TEXT(Base_de_Dados[[#This Row],[Semana]],"Mmmm")</f>
        <v>junho</v>
      </c>
      <c r="F151">
        <f>YEAR(Base_de_Dados[[#This Row],[Semana]])</f>
        <v>2022</v>
      </c>
      <c r="G151" t="str">
        <f>IF(MONTH(Base_de_Dados[[#This Row],[Semana]])&lt;=6,"1ª Bimestre","2ª Bimestre")</f>
        <v>1ª Bimestre</v>
      </c>
    </row>
    <row r="152" spans="1:7" x14ac:dyDescent="0.25">
      <c r="A152" t="s">
        <v>9</v>
      </c>
      <c r="B152">
        <v>0</v>
      </c>
      <c r="C152" s="2">
        <v>0</v>
      </c>
      <c r="D152" s="48">
        <v>44739</v>
      </c>
      <c r="E152" s="48" t="str">
        <f>TEXT(Base_de_Dados[[#This Row],[Semana]],"Mmmm")</f>
        <v>junho</v>
      </c>
      <c r="F152">
        <f>YEAR(Base_de_Dados[[#This Row],[Semana]])</f>
        <v>2022</v>
      </c>
      <c r="G152" t="str">
        <f>IF(MONTH(Base_de_Dados[[#This Row],[Semana]])&lt;=6,"1ª Bimestre","2ª Bimestre")</f>
        <v>1ª Bimestre</v>
      </c>
    </row>
    <row r="153" spans="1:7" x14ac:dyDescent="0.25">
      <c r="A153" t="s">
        <v>114</v>
      </c>
      <c r="B153">
        <v>2</v>
      </c>
      <c r="C153" s="2">
        <v>1</v>
      </c>
      <c r="D153" s="48">
        <v>44739</v>
      </c>
      <c r="E153" s="48" t="str">
        <f>TEXT(Base_de_Dados[[#This Row],[Semana]],"Mmmm")</f>
        <v>junho</v>
      </c>
      <c r="F153">
        <f>YEAR(Base_de_Dados[[#This Row],[Semana]])</f>
        <v>2022</v>
      </c>
      <c r="G153" t="str">
        <f>IF(MONTH(Base_de_Dados[[#This Row],[Semana]])&lt;=6,"1ª Bimestre","2ª Bimestre")</f>
        <v>1ª Bimestre</v>
      </c>
    </row>
    <row r="154" spans="1:7" x14ac:dyDescent="0.25">
      <c r="A154" t="s">
        <v>11</v>
      </c>
      <c r="B154">
        <v>0</v>
      </c>
      <c r="C154" s="2">
        <v>0</v>
      </c>
      <c r="D154" s="48">
        <v>44739</v>
      </c>
      <c r="E154" s="48" t="str">
        <f>TEXT(Base_de_Dados[[#This Row],[Semana]],"Mmmm")</f>
        <v>junho</v>
      </c>
      <c r="F154">
        <f>YEAR(Base_de_Dados[[#This Row],[Semana]])</f>
        <v>2022</v>
      </c>
      <c r="G154" t="str">
        <f>IF(MONTH(Base_de_Dados[[#This Row],[Semana]])&lt;=6,"1ª Bimestre","2ª Bimestre")</f>
        <v>1ª Bimestre</v>
      </c>
    </row>
    <row r="155" spans="1:7" x14ac:dyDescent="0.25">
      <c r="A155" t="s">
        <v>144</v>
      </c>
      <c r="B155">
        <v>0</v>
      </c>
      <c r="C155" s="2">
        <v>0</v>
      </c>
      <c r="D155" s="48">
        <v>44739</v>
      </c>
      <c r="E155" s="48" t="str">
        <f>TEXT(Base_de_Dados[[#This Row],[Semana]],"Mmmm")</f>
        <v>junho</v>
      </c>
      <c r="F155">
        <f>YEAR(Base_de_Dados[[#This Row],[Semana]])</f>
        <v>2022</v>
      </c>
      <c r="G155" t="str">
        <f>IF(MONTH(Base_de_Dados[[#This Row],[Semana]])&lt;=6,"1ª Bimestre","2ª Bimestre")</f>
        <v>1ª Bimestre</v>
      </c>
    </row>
    <row r="156" spans="1:7" x14ac:dyDescent="0.25">
      <c r="A156" t="s">
        <v>112</v>
      </c>
      <c r="B156">
        <v>0</v>
      </c>
      <c r="C156" s="2">
        <v>0</v>
      </c>
      <c r="D156" s="48">
        <v>44746</v>
      </c>
      <c r="E156" s="48" t="str">
        <f>TEXT(Base_de_Dados[[#This Row],[Semana]],"Mmmm")</f>
        <v>julho</v>
      </c>
      <c r="F156">
        <f>YEAR(Base_de_Dados[[#This Row],[Semana]])</f>
        <v>2022</v>
      </c>
      <c r="G156" t="str">
        <f>IF(MONTH(Base_de_Dados[[#This Row],[Semana]])&lt;=6,"1ª Bimestre","2ª Bimestre")</f>
        <v>2ª Bimestre</v>
      </c>
    </row>
    <row r="157" spans="1:7" x14ac:dyDescent="0.25">
      <c r="A157" t="s">
        <v>4</v>
      </c>
      <c r="B157">
        <v>0</v>
      </c>
      <c r="C157" s="2">
        <v>0</v>
      </c>
      <c r="D157" s="48">
        <v>44746</v>
      </c>
      <c r="E157" s="48" t="str">
        <f>TEXT(Base_de_Dados[[#This Row],[Semana]],"Mmmm")</f>
        <v>julho</v>
      </c>
      <c r="F157">
        <f>YEAR(Base_de_Dados[[#This Row],[Semana]])</f>
        <v>2022</v>
      </c>
      <c r="G157" t="str">
        <f>IF(MONTH(Base_de_Dados[[#This Row],[Semana]])&lt;=6,"1ª Bimestre","2ª Bimestre")</f>
        <v>2ª Bimestre</v>
      </c>
    </row>
    <row r="158" spans="1:7" x14ac:dyDescent="0.25">
      <c r="A158" t="s">
        <v>5</v>
      </c>
      <c r="B158">
        <v>0</v>
      </c>
      <c r="C158" s="2">
        <v>0</v>
      </c>
      <c r="D158" s="48">
        <v>44746</v>
      </c>
      <c r="E158" s="48" t="str">
        <f>TEXT(Base_de_Dados[[#This Row],[Semana]],"Mmmm")</f>
        <v>julho</v>
      </c>
      <c r="F158">
        <f>YEAR(Base_de_Dados[[#This Row],[Semana]])</f>
        <v>2022</v>
      </c>
      <c r="G158" t="str">
        <f>IF(MONTH(Base_de_Dados[[#This Row],[Semana]])&lt;=6,"1ª Bimestre","2ª Bimestre")</f>
        <v>2ª Bimestre</v>
      </c>
    </row>
    <row r="159" spans="1:7" x14ac:dyDescent="0.25">
      <c r="A159" t="s">
        <v>6</v>
      </c>
      <c r="B159">
        <v>0</v>
      </c>
      <c r="C159" s="2">
        <v>0</v>
      </c>
      <c r="D159" s="48">
        <v>44746</v>
      </c>
      <c r="E159" s="48" t="str">
        <f>TEXT(Base_de_Dados[[#This Row],[Semana]],"Mmmm")</f>
        <v>julho</v>
      </c>
      <c r="F159">
        <f>YEAR(Base_de_Dados[[#This Row],[Semana]])</f>
        <v>2022</v>
      </c>
      <c r="G159" t="str">
        <f>IF(MONTH(Base_de_Dados[[#This Row],[Semana]])&lt;=6,"1ª Bimestre","2ª Bimestre")</f>
        <v>2ª Bimestre</v>
      </c>
    </row>
    <row r="160" spans="1:7" x14ac:dyDescent="0.25">
      <c r="A160" t="s">
        <v>7</v>
      </c>
      <c r="B160">
        <v>0</v>
      </c>
      <c r="C160" s="2">
        <v>0</v>
      </c>
      <c r="D160" s="48">
        <v>44746</v>
      </c>
      <c r="E160" s="48" t="str">
        <f>TEXT(Base_de_Dados[[#This Row],[Semana]],"Mmmm")</f>
        <v>julho</v>
      </c>
      <c r="F160">
        <f>YEAR(Base_de_Dados[[#This Row],[Semana]])</f>
        <v>2022</v>
      </c>
      <c r="G160" t="str">
        <f>IF(MONTH(Base_de_Dados[[#This Row],[Semana]])&lt;=6,"1ª Bimestre","2ª Bimestre")</f>
        <v>2ª Bimestre</v>
      </c>
    </row>
    <row r="161" spans="1:7" x14ac:dyDescent="0.25">
      <c r="A161" t="s">
        <v>8</v>
      </c>
      <c r="B161">
        <v>0</v>
      </c>
      <c r="C161" s="2">
        <v>0</v>
      </c>
      <c r="D161" s="48">
        <v>44746</v>
      </c>
      <c r="E161" s="48" t="str">
        <f>TEXT(Base_de_Dados[[#This Row],[Semana]],"Mmmm")</f>
        <v>julho</v>
      </c>
      <c r="F161">
        <f>YEAR(Base_de_Dados[[#This Row],[Semana]])</f>
        <v>2022</v>
      </c>
      <c r="G161" t="str">
        <f>IF(MONTH(Base_de_Dados[[#This Row],[Semana]])&lt;=6,"1ª Bimestre","2ª Bimestre")</f>
        <v>2ª Bimestre</v>
      </c>
    </row>
    <row r="162" spans="1:7" x14ac:dyDescent="0.25">
      <c r="A162" t="s">
        <v>9</v>
      </c>
      <c r="B162">
        <v>1</v>
      </c>
      <c r="C162" s="2">
        <v>0.33333333333333331</v>
      </c>
      <c r="D162" s="48">
        <v>44746</v>
      </c>
      <c r="E162" s="48" t="str">
        <f>TEXT(Base_de_Dados[[#This Row],[Semana]],"Mmmm")</f>
        <v>julho</v>
      </c>
      <c r="F162">
        <f>YEAR(Base_de_Dados[[#This Row],[Semana]])</f>
        <v>2022</v>
      </c>
      <c r="G162" t="str">
        <f>IF(MONTH(Base_de_Dados[[#This Row],[Semana]])&lt;=6,"1ª Bimestre","2ª Bimestre")</f>
        <v>2ª Bimestre</v>
      </c>
    </row>
    <row r="163" spans="1:7" x14ac:dyDescent="0.25">
      <c r="A163" t="s">
        <v>114</v>
      </c>
      <c r="B163">
        <v>1</v>
      </c>
      <c r="C163" s="2">
        <v>0.33333333333333331</v>
      </c>
      <c r="D163" s="48">
        <v>44746</v>
      </c>
      <c r="E163" s="48" t="str">
        <f>TEXT(Base_de_Dados[[#This Row],[Semana]],"Mmmm")</f>
        <v>julho</v>
      </c>
      <c r="F163">
        <f>YEAR(Base_de_Dados[[#This Row],[Semana]])</f>
        <v>2022</v>
      </c>
      <c r="G163" t="str">
        <f>IF(MONTH(Base_de_Dados[[#This Row],[Semana]])&lt;=6,"1ª Bimestre","2ª Bimestre")</f>
        <v>2ª Bimestre</v>
      </c>
    </row>
    <row r="164" spans="1:7" x14ac:dyDescent="0.25">
      <c r="A164" t="s">
        <v>11</v>
      </c>
      <c r="B164">
        <v>0</v>
      </c>
      <c r="C164" s="2">
        <v>0</v>
      </c>
      <c r="D164" s="48">
        <v>44746</v>
      </c>
      <c r="E164" s="48" t="str">
        <f>TEXT(Base_de_Dados[[#This Row],[Semana]],"Mmmm")</f>
        <v>julho</v>
      </c>
      <c r="F164">
        <f>YEAR(Base_de_Dados[[#This Row],[Semana]])</f>
        <v>2022</v>
      </c>
      <c r="G164" t="str">
        <f>IF(MONTH(Base_de_Dados[[#This Row],[Semana]])&lt;=6,"1ª Bimestre","2ª Bimestre")</f>
        <v>2ª Bimestre</v>
      </c>
    </row>
    <row r="165" spans="1:7" x14ac:dyDescent="0.25">
      <c r="A165" t="s">
        <v>144</v>
      </c>
      <c r="B165">
        <v>1</v>
      </c>
      <c r="C165" s="2">
        <v>0.33333333333333331</v>
      </c>
      <c r="D165" s="48">
        <v>44746</v>
      </c>
      <c r="E165" s="48" t="str">
        <f>TEXT(Base_de_Dados[[#This Row],[Semana]],"Mmmm")</f>
        <v>julho</v>
      </c>
      <c r="F165">
        <f>YEAR(Base_de_Dados[[#This Row],[Semana]])</f>
        <v>2022</v>
      </c>
      <c r="G165" t="str">
        <f>IF(MONTH(Base_de_Dados[[#This Row],[Semana]])&lt;=6,"1ª Bimestre","2ª Bimestre")</f>
        <v>2ª Bimestre</v>
      </c>
    </row>
    <row r="166" spans="1:7" x14ac:dyDescent="0.25">
      <c r="A166" t="s">
        <v>112</v>
      </c>
      <c r="B166">
        <v>2</v>
      </c>
      <c r="C166" s="2">
        <v>0.2857142857142857</v>
      </c>
      <c r="D166" s="48">
        <v>44753</v>
      </c>
      <c r="E166" s="48" t="str">
        <f>TEXT(Base_de_Dados[[#This Row],[Semana]],"Mmmm")</f>
        <v>julho</v>
      </c>
      <c r="F166">
        <f>YEAR(Base_de_Dados[[#This Row],[Semana]])</f>
        <v>2022</v>
      </c>
      <c r="G166" t="str">
        <f>IF(MONTH(Base_de_Dados[[#This Row],[Semana]])&lt;=6,"1ª Bimestre","2ª Bimestre")</f>
        <v>2ª Bimestre</v>
      </c>
    </row>
    <row r="167" spans="1:7" x14ac:dyDescent="0.25">
      <c r="A167" t="s">
        <v>4</v>
      </c>
      <c r="B167">
        <v>0</v>
      </c>
      <c r="C167" s="2">
        <v>0</v>
      </c>
      <c r="D167" s="48">
        <v>44753</v>
      </c>
      <c r="E167" s="48" t="str">
        <f>TEXT(Base_de_Dados[[#This Row],[Semana]],"Mmmm")</f>
        <v>julho</v>
      </c>
      <c r="F167">
        <f>YEAR(Base_de_Dados[[#This Row],[Semana]])</f>
        <v>2022</v>
      </c>
      <c r="G167" t="str">
        <f>IF(MONTH(Base_de_Dados[[#This Row],[Semana]])&lt;=6,"1ª Bimestre","2ª Bimestre")</f>
        <v>2ª Bimestre</v>
      </c>
    </row>
    <row r="168" spans="1:7" x14ac:dyDescent="0.25">
      <c r="A168" t="s">
        <v>5</v>
      </c>
      <c r="B168">
        <v>0</v>
      </c>
      <c r="C168" s="2">
        <v>0</v>
      </c>
      <c r="D168" s="48">
        <v>44753</v>
      </c>
      <c r="E168" s="48" t="str">
        <f>TEXT(Base_de_Dados[[#This Row],[Semana]],"Mmmm")</f>
        <v>julho</v>
      </c>
      <c r="F168">
        <f>YEAR(Base_de_Dados[[#This Row],[Semana]])</f>
        <v>2022</v>
      </c>
      <c r="G168" t="str">
        <f>IF(MONTH(Base_de_Dados[[#This Row],[Semana]])&lt;=6,"1ª Bimestre","2ª Bimestre")</f>
        <v>2ª Bimestre</v>
      </c>
    </row>
    <row r="169" spans="1:7" x14ac:dyDescent="0.25">
      <c r="A169" t="s">
        <v>6</v>
      </c>
      <c r="B169">
        <v>0</v>
      </c>
      <c r="C169" s="2">
        <v>0</v>
      </c>
      <c r="D169" s="48">
        <v>44753</v>
      </c>
      <c r="E169" s="48" t="str">
        <f>TEXT(Base_de_Dados[[#This Row],[Semana]],"Mmmm")</f>
        <v>julho</v>
      </c>
      <c r="F169">
        <f>YEAR(Base_de_Dados[[#This Row],[Semana]])</f>
        <v>2022</v>
      </c>
      <c r="G169" t="str">
        <f>IF(MONTH(Base_de_Dados[[#This Row],[Semana]])&lt;=6,"1ª Bimestre","2ª Bimestre")</f>
        <v>2ª Bimestre</v>
      </c>
    </row>
    <row r="170" spans="1:7" x14ac:dyDescent="0.25">
      <c r="A170" t="s">
        <v>7</v>
      </c>
      <c r="B170">
        <v>0</v>
      </c>
      <c r="C170" s="2">
        <v>0</v>
      </c>
      <c r="D170" s="48">
        <v>44753</v>
      </c>
      <c r="E170" s="48" t="str">
        <f>TEXT(Base_de_Dados[[#This Row],[Semana]],"Mmmm")</f>
        <v>julho</v>
      </c>
      <c r="F170">
        <f>YEAR(Base_de_Dados[[#This Row],[Semana]])</f>
        <v>2022</v>
      </c>
      <c r="G170" t="str">
        <f>IF(MONTH(Base_de_Dados[[#This Row],[Semana]])&lt;=6,"1ª Bimestre","2ª Bimestre")</f>
        <v>2ª Bimestre</v>
      </c>
    </row>
    <row r="171" spans="1:7" x14ac:dyDescent="0.25">
      <c r="A171" t="s">
        <v>8</v>
      </c>
      <c r="B171">
        <v>0</v>
      </c>
      <c r="C171" s="2">
        <v>0</v>
      </c>
      <c r="D171" s="48">
        <v>44753</v>
      </c>
      <c r="E171" s="48" t="str">
        <f>TEXT(Base_de_Dados[[#This Row],[Semana]],"Mmmm")</f>
        <v>julho</v>
      </c>
      <c r="F171">
        <f>YEAR(Base_de_Dados[[#This Row],[Semana]])</f>
        <v>2022</v>
      </c>
      <c r="G171" t="str">
        <f>IF(MONTH(Base_de_Dados[[#This Row],[Semana]])&lt;=6,"1ª Bimestre","2ª Bimestre")</f>
        <v>2ª Bimestre</v>
      </c>
    </row>
    <row r="172" spans="1:7" x14ac:dyDescent="0.25">
      <c r="A172" t="s">
        <v>9</v>
      </c>
      <c r="B172">
        <v>2</v>
      </c>
      <c r="C172" s="2">
        <v>0.2857142857142857</v>
      </c>
      <c r="D172" s="48">
        <v>44753</v>
      </c>
      <c r="E172" s="48" t="str">
        <f>TEXT(Base_de_Dados[[#This Row],[Semana]],"Mmmm")</f>
        <v>julho</v>
      </c>
      <c r="F172">
        <f>YEAR(Base_de_Dados[[#This Row],[Semana]])</f>
        <v>2022</v>
      </c>
      <c r="G172" t="str">
        <f>IF(MONTH(Base_de_Dados[[#This Row],[Semana]])&lt;=6,"1ª Bimestre","2ª Bimestre")</f>
        <v>2ª Bimestre</v>
      </c>
    </row>
    <row r="173" spans="1:7" x14ac:dyDescent="0.25">
      <c r="A173" t="s">
        <v>114</v>
      </c>
      <c r="B173">
        <v>2</v>
      </c>
      <c r="C173" s="2">
        <v>0.2857142857142857</v>
      </c>
      <c r="D173" s="48">
        <v>44753</v>
      </c>
      <c r="E173" s="48" t="str">
        <f>TEXT(Base_de_Dados[[#This Row],[Semana]],"Mmmm")</f>
        <v>julho</v>
      </c>
      <c r="F173">
        <f>YEAR(Base_de_Dados[[#This Row],[Semana]])</f>
        <v>2022</v>
      </c>
      <c r="G173" t="str">
        <f>IF(MONTH(Base_de_Dados[[#This Row],[Semana]])&lt;=6,"1ª Bimestre","2ª Bimestre")</f>
        <v>2ª Bimestre</v>
      </c>
    </row>
    <row r="174" spans="1:7" x14ac:dyDescent="0.25">
      <c r="A174" t="s">
        <v>11</v>
      </c>
      <c r="B174">
        <v>0</v>
      </c>
      <c r="C174" s="2">
        <v>0</v>
      </c>
      <c r="D174" s="48">
        <v>44753</v>
      </c>
      <c r="E174" s="48" t="str">
        <f>TEXT(Base_de_Dados[[#This Row],[Semana]],"Mmmm")</f>
        <v>julho</v>
      </c>
      <c r="F174">
        <f>YEAR(Base_de_Dados[[#This Row],[Semana]])</f>
        <v>2022</v>
      </c>
      <c r="G174" t="str">
        <f>IF(MONTH(Base_de_Dados[[#This Row],[Semana]])&lt;=6,"1ª Bimestre","2ª Bimestre")</f>
        <v>2ª Bimestre</v>
      </c>
    </row>
    <row r="175" spans="1:7" x14ac:dyDescent="0.25">
      <c r="A175" t="s">
        <v>144</v>
      </c>
      <c r="B175">
        <v>1</v>
      </c>
      <c r="C175" s="2">
        <v>0.14285714285714285</v>
      </c>
      <c r="D175" s="48">
        <v>44753</v>
      </c>
      <c r="E175" s="48" t="str">
        <f>TEXT(Base_de_Dados[[#This Row],[Semana]],"Mmmm")</f>
        <v>julho</v>
      </c>
      <c r="F175">
        <f>YEAR(Base_de_Dados[[#This Row],[Semana]])</f>
        <v>2022</v>
      </c>
      <c r="G175" t="str">
        <f>IF(MONTH(Base_de_Dados[[#This Row],[Semana]])&lt;=6,"1ª Bimestre","2ª Bimestre")</f>
        <v>2ª Bimestre</v>
      </c>
    </row>
    <row r="176" spans="1:7" x14ac:dyDescent="0.25">
      <c r="A176" t="s">
        <v>112</v>
      </c>
      <c r="B176">
        <v>0</v>
      </c>
      <c r="C176" s="2">
        <v>0</v>
      </c>
      <c r="D176" s="48">
        <v>44760</v>
      </c>
      <c r="E176" s="48" t="str">
        <f>TEXT(Base_de_Dados[[#This Row],[Semana]],"Mmmm")</f>
        <v>julho</v>
      </c>
      <c r="F176">
        <f>YEAR(Base_de_Dados[[#This Row],[Semana]])</f>
        <v>2022</v>
      </c>
      <c r="G176" t="str">
        <f>IF(MONTH(Base_de_Dados[[#This Row],[Semana]])&lt;=6,"1ª Bimestre","2ª Bimestre")</f>
        <v>2ª Bimestre</v>
      </c>
    </row>
    <row r="177" spans="1:7" x14ac:dyDescent="0.25">
      <c r="A177" t="s">
        <v>4</v>
      </c>
      <c r="B177">
        <v>0</v>
      </c>
      <c r="C177" s="2">
        <v>0</v>
      </c>
      <c r="D177" s="48">
        <v>44760</v>
      </c>
      <c r="E177" s="48" t="str">
        <f>TEXT(Base_de_Dados[[#This Row],[Semana]],"Mmmm")</f>
        <v>julho</v>
      </c>
      <c r="F177">
        <f>YEAR(Base_de_Dados[[#This Row],[Semana]])</f>
        <v>2022</v>
      </c>
      <c r="G177" t="str">
        <f>IF(MONTH(Base_de_Dados[[#This Row],[Semana]])&lt;=6,"1ª Bimestre","2ª Bimestre")</f>
        <v>2ª Bimestre</v>
      </c>
    </row>
    <row r="178" spans="1:7" x14ac:dyDescent="0.25">
      <c r="A178" t="s">
        <v>5</v>
      </c>
      <c r="B178">
        <v>1</v>
      </c>
      <c r="C178" s="2">
        <v>0.2</v>
      </c>
      <c r="D178" s="48">
        <v>44760</v>
      </c>
      <c r="E178" s="48" t="str">
        <f>TEXT(Base_de_Dados[[#This Row],[Semana]],"Mmmm")</f>
        <v>julho</v>
      </c>
      <c r="F178">
        <f>YEAR(Base_de_Dados[[#This Row],[Semana]])</f>
        <v>2022</v>
      </c>
      <c r="G178" t="str">
        <f>IF(MONTH(Base_de_Dados[[#This Row],[Semana]])&lt;=6,"1ª Bimestre","2ª Bimestre")</f>
        <v>2ª Bimestre</v>
      </c>
    </row>
    <row r="179" spans="1:7" x14ac:dyDescent="0.25">
      <c r="A179" t="s">
        <v>6</v>
      </c>
      <c r="B179">
        <v>1</v>
      </c>
      <c r="C179" s="2">
        <v>0.2</v>
      </c>
      <c r="D179" s="48">
        <v>44760</v>
      </c>
      <c r="E179" s="48" t="str">
        <f>TEXT(Base_de_Dados[[#This Row],[Semana]],"Mmmm")</f>
        <v>julho</v>
      </c>
      <c r="F179">
        <f>YEAR(Base_de_Dados[[#This Row],[Semana]])</f>
        <v>2022</v>
      </c>
      <c r="G179" t="str">
        <f>IF(MONTH(Base_de_Dados[[#This Row],[Semana]])&lt;=6,"1ª Bimestre","2ª Bimestre")</f>
        <v>2ª Bimestre</v>
      </c>
    </row>
    <row r="180" spans="1:7" x14ac:dyDescent="0.25">
      <c r="A180" t="s">
        <v>7</v>
      </c>
      <c r="B180">
        <v>0</v>
      </c>
      <c r="C180" s="2">
        <v>0</v>
      </c>
      <c r="D180" s="48">
        <v>44760</v>
      </c>
      <c r="E180" s="48" t="str">
        <f>TEXT(Base_de_Dados[[#This Row],[Semana]],"Mmmm")</f>
        <v>julho</v>
      </c>
      <c r="F180">
        <f>YEAR(Base_de_Dados[[#This Row],[Semana]])</f>
        <v>2022</v>
      </c>
      <c r="G180" t="str">
        <f>IF(MONTH(Base_de_Dados[[#This Row],[Semana]])&lt;=6,"1ª Bimestre","2ª Bimestre")</f>
        <v>2ª Bimestre</v>
      </c>
    </row>
    <row r="181" spans="1:7" x14ac:dyDescent="0.25">
      <c r="A181" t="s">
        <v>8</v>
      </c>
      <c r="B181">
        <v>0</v>
      </c>
      <c r="C181" s="2">
        <v>0</v>
      </c>
      <c r="D181" s="48">
        <v>44760</v>
      </c>
      <c r="E181" s="48" t="str">
        <f>TEXT(Base_de_Dados[[#This Row],[Semana]],"Mmmm")</f>
        <v>julho</v>
      </c>
      <c r="F181">
        <f>YEAR(Base_de_Dados[[#This Row],[Semana]])</f>
        <v>2022</v>
      </c>
      <c r="G181" t="str">
        <f>IF(MONTH(Base_de_Dados[[#This Row],[Semana]])&lt;=6,"1ª Bimestre","2ª Bimestre")</f>
        <v>2ª Bimestre</v>
      </c>
    </row>
    <row r="182" spans="1:7" x14ac:dyDescent="0.25">
      <c r="A182" t="s">
        <v>9</v>
      </c>
      <c r="B182">
        <v>0</v>
      </c>
      <c r="C182" s="2">
        <v>0</v>
      </c>
      <c r="D182" s="48">
        <v>44760</v>
      </c>
      <c r="E182" s="48" t="str">
        <f>TEXT(Base_de_Dados[[#This Row],[Semana]],"Mmmm")</f>
        <v>julho</v>
      </c>
      <c r="F182">
        <f>YEAR(Base_de_Dados[[#This Row],[Semana]])</f>
        <v>2022</v>
      </c>
      <c r="G182" t="str">
        <f>IF(MONTH(Base_de_Dados[[#This Row],[Semana]])&lt;=6,"1ª Bimestre","2ª Bimestre")</f>
        <v>2ª Bimestre</v>
      </c>
    </row>
    <row r="183" spans="1:7" x14ac:dyDescent="0.25">
      <c r="A183" t="s">
        <v>114</v>
      </c>
      <c r="B183">
        <v>2</v>
      </c>
      <c r="C183" s="2">
        <v>0.4</v>
      </c>
      <c r="D183" s="48">
        <v>44760</v>
      </c>
      <c r="E183" s="48" t="str">
        <f>TEXT(Base_de_Dados[[#This Row],[Semana]],"Mmmm")</f>
        <v>julho</v>
      </c>
      <c r="F183">
        <f>YEAR(Base_de_Dados[[#This Row],[Semana]])</f>
        <v>2022</v>
      </c>
      <c r="G183" t="str">
        <f>IF(MONTH(Base_de_Dados[[#This Row],[Semana]])&lt;=6,"1ª Bimestre","2ª Bimestre")</f>
        <v>2ª Bimestre</v>
      </c>
    </row>
    <row r="184" spans="1:7" x14ac:dyDescent="0.25">
      <c r="A184" t="s">
        <v>11</v>
      </c>
      <c r="B184">
        <v>1</v>
      </c>
      <c r="C184" s="2">
        <v>0.2</v>
      </c>
      <c r="D184" s="48">
        <v>44760</v>
      </c>
      <c r="E184" s="48" t="str">
        <f>TEXT(Base_de_Dados[[#This Row],[Semana]],"Mmmm")</f>
        <v>julho</v>
      </c>
      <c r="F184">
        <f>YEAR(Base_de_Dados[[#This Row],[Semana]])</f>
        <v>2022</v>
      </c>
      <c r="G184" t="str">
        <f>IF(MONTH(Base_de_Dados[[#This Row],[Semana]])&lt;=6,"1ª Bimestre","2ª Bimestre")</f>
        <v>2ª Bimestre</v>
      </c>
    </row>
    <row r="185" spans="1:7" x14ac:dyDescent="0.25">
      <c r="A185" t="s">
        <v>144</v>
      </c>
      <c r="B185">
        <v>0</v>
      </c>
      <c r="C185" s="2">
        <v>0</v>
      </c>
      <c r="D185" s="48">
        <v>44760</v>
      </c>
      <c r="E185" s="48" t="str">
        <f>TEXT(Base_de_Dados[[#This Row],[Semana]],"Mmmm")</f>
        <v>julho</v>
      </c>
      <c r="F185">
        <f>YEAR(Base_de_Dados[[#This Row],[Semana]])</f>
        <v>2022</v>
      </c>
      <c r="G185" t="str">
        <f>IF(MONTH(Base_de_Dados[[#This Row],[Semana]])&lt;=6,"1ª Bimestre","2ª Bimestre")</f>
        <v>2ª Bimestre</v>
      </c>
    </row>
    <row r="186" spans="1:7" x14ac:dyDescent="0.25">
      <c r="A186" t="s">
        <v>112</v>
      </c>
      <c r="B186">
        <v>0</v>
      </c>
      <c r="C186" s="2">
        <v>0</v>
      </c>
      <c r="D186" s="48">
        <v>44767</v>
      </c>
      <c r="E186" s="48" t="str">
        <f>TEXT(Base_de_Dados[[#This Row],[Semana]],"Mmmm")</f>
        <v>julho</v>
      </c>
      <c r="F186">
        <f>YEAR(Base_de_Dados[[#This Row],[Semana]])</f>
        <v>2022</v>
      </c>
      <c r="G186" t="str">
        <f>IF(MONTH(Base_de_Dados[[#This Row],[Semana]])&lt;=6,"1ª Bimestre","2ª Bimestre")</f>
        <v>2ª Bimestre</v>
      </c>
    </row>
    <row r="187" spans="1:7" x14ac:dyDescent="0.25">
      <c r="A187" t="s">
        <v>4</v>
      </c>
      <c r="B187">
        <v>0</v>
      </c>
      <c r="C187" s="2">
        <v>0</v>
      </c>
      <c r="D187" s="48">
        <v>44767</v>
      </c>
      <c r="E187" s="48" t="str">
        <f>TEXT(Base_de_Dados[[#This Row],[Semana]],"Mmmm")</f>
        <v>julho</v>
      </c>
      <c r="F187">
        <f>YEAR(Base_de_Dados[[#This Row],[Semana]])</f>
        <v>2022</v>
      </c>
      <c r="G187" t="str">
        <f>IF(MONTH(Base_de_Dados[[#This Row],[Semana]])&lt;=6,"1ª Bimestre","2ª Bimestre")</f>
        <v>2ª Bimestre</v>
      </c>
    </row>
    <row r="188" spans="1:7" x14ac:dyDescent="0.25">
      <c r="A188" t="s">
        <v>5</v>
      </c>
      <c r="B188">
        <v>3</v>
      </c>
      <c r="C188" s="2">
        <v>0.5</v>
      </c>
      <c r="D188" s="48">
        <v>44767</v>
      </c>
      <c r="E188" s="48" t="str">
        <f>TEXT(Base_de_Dados[[#This Row],[Semana]],"Mmmm")</f>
        <v>julho</v>
      </c>
      <c r="F188">
        <f>YEAR(Base_de_Dados[[#This Row],[Semana]])</f>
        <v>2022</v>
      </c>
      <c r="G188" t="str">
        <f>IF(MONTH(Base_de_Dados[[#This Row],[Semana]])&lt;=6,"1ª Bimestre","2ª Bimestre")</f>
        <v>2ª Bimestre</v>
      </c>
    </row>
    <row r="189" spans="1:7" x14ac:dyDescent="0.25">
      <c r="A189" t="s">
        <v>6</v>
      </c>
      <c r="B189">
        <v>0</v>
      </c>
      <c r="C189" s="2">
        <v>0</v>
      </c>
      <c r="D189" s="48">
        <v>44767</v>
      </c>
      <c r="E189" s="48" t="str">
        <f>TEXT(Base_de_Dados[[#This Row],[Semana]],"Mmmm")</f>
        <v>julho</v>
      </c>
      <c r="F189">
        <f>YEAR(Base_de_Dados[[#This Row],[Semana]])</f>
        <v>2022</v>
      </c>
      <c r="G189" t="str">
        <f>IF(MONTH(Base_de_Dados[[#This Row],[Semana]])&lt;=6,"1ª Bimestre","2ª Bimestre")</f>
        <v>2ª Bimestre</v>
      </c>
    </row>
    <row r="190" spans="1:7" x14ac:dyDescent="0.25">
      <c r="A190" t="s">
        <v>7</v>
      </c>
      <c r="B190">
        <v>3</v>
      </c>
      <c r="C190" s="2">
        <v>0.5</v>
      </c>
      <c r="D190" s="48">
        <v>44767</v>
      </c>
      <c r="E190" s="48" t="str">
        <f>TEXT(Base_de_Dados[[#This Row],[Semana]],"Mmmm")</f>
        <v>julho</v>
      </c>
      <c r="F190">
        <f>YEAR(Base_de_Dados[[#This Row],[Semana]])</f>
        <v>2022</v>
      </c>
      <c r="G190" t="str">
        <f>IF(MONTH(Base_de_Dados[[#This Row],[Semana]])&lt;=6,"1ª Bimestre","2ª Bimestre")</f>
        <v>2ª Bimestre</v>
      </c>
    </row>
    <row r="191" spans="1:7" x14ac:dyDescent="0.25">
      <c r="A191" t="s">
        <v>8</v>
      </c>
      <c r="B191">
        <v>0</v>
      </c>
      <c r="C191" s="2">
        <v>0</v>
      </c>
      <c r="D191" s="48">
        <v>44767</v>
      </c>
      <c r="E191" s="48" t="str">
        <f>TEXT(Base_de_Dados[[#This Row],[Semana]],"Mmmm")</f>
        <v>julho</v>
      </c>
      <c r="F191">
        <f>YEAR(Base_de_Dados[[#This Row],[Semana]])</f>
        <v>2022</v>
      </c>
      <c r="G191" t="str">
        <f>IF(MONTH(Base_de_Dados[[#This Row],[Semana]])&lt;=6,"1ª Bimestre","2ª Bimestre")</f>
        <v>2ª Bimestre</v>
      </c>
    </row>
    <row r="192" spans="1:7" x14ac:dyDescent="0.25">
      <c r="A192" t="s">
        <v>9</v>
      </c>
      <c r="B192">
        <v>0</v>
      </c>
      <c r="C192" s="2">
        <v>0</v>
      </c>
      <c r="D192" s="48">
        <v>44767</v>
      </c>
      <c r="E192" s="48" t="str">
        <f>TEXT(Base_de_Dados[[#This Row],[Semana]],"Mmmm")</f>
        <v>julho</v>
      </c>
      <c r="F192">
        <f>YEAR(Base_de_Dados[[#This Row],[Semana]])</f>
        <v>2022</v>
      </c>
      <c r="G192" t="str">
        <f>IF(MONTH(Base_de_Dados[[#This Row],[Semana]])&lt;=6,"1ª Bimestre","2ª Bimestre")</f>
        <v>2ª Bimestre</v>
      </c>
    </row>
    <row r="193" spans="1:7" x14ac:dyDescent="0.25">
      <c r="A193" t="s">
        <v>114</v>
      </c>
      <c r="B193">
        <v>0</v>
      </c>
      <c r="C193" s="2">
        <v>0</v>
      </c>
      <c r="D193" s="48">
        <v>44767</v>
      </c>
      <c r="E193" s="48" t="str">
        <f>TEXT(Base_de_Dados[[#This Row],[Semana]],"Mmmm")</f>
        <v>julho</v>
      </c>
      <c r="F193">
        <f>YEAR(Base_de_Dados[[#This Row],[Semana]])</f>
        <v>2022</v>
      </c>
      <c r="G193" t="str">
        <f>IF(MONTH(Base_de_Dados[[#This Row],[Semana]])&lt;=6,"1ª Bimestre","2ª Bimestre")</f>
        <v>2ª Bimestre</v>
      </c>
    </row>
    <row r="194" spans="1:7" x14ac:dyDescent="0.25">
      <c r="A194" t="s">
        <v>11</v>
      </c>
      <c r="B194">
        <v>0</v>
      </c>
      <c r="C194" s="2">
        <v>0</v>
      </c>
      <c r="D194" s="48">
        <v>44767</v>
      </c>
      <c r="E194" s="48" t="str">
        <f>TEXT(Base_de_Dados[[#This Row],[Semana]],"Mmmm")</f>
        <v>julho</v>
      </c>
      <c r="F194">
        <f>YEAR(Base_de_Dados[[#This Row],[Semana]])</f>
        <v>2022</v>
      </c>
      <c r="G194" t="str">
        <f>IF(MONTH(Base_de_Dados[[#This Row],[Semana]])&lt;=6,"1ª Bimestre","2ª Bimestre")</f>
        <v>2ª Bimestre</v>
      </c>
    </row>
    <row r="195" spans="1:7" x14ac:dyDescent="0.25">
      <c r="A195" t="s">
        <v>144</v>
      </c>
      <c r="B195">
        <v>0</v>
      </c>
      <c r="C195" s="2">
        <v>0</v>
      </c>
      <c r="D195" s="48">
        <v>44767</v>
      </c>
      <c r="E195" s="48" t="str">
        <f>TEXT(Base_de_Dados[[#This Row],[Semana]],"Mmmm")</f>
        <v>julho</v>
      </c>
      <c r="F195">
        <f>YEAR(Base_de_Dados[[#This Row],[Semana]])</f>
        <v>2022</v>
      </c>
      <c r="G195" t="str">
        <f>IF(MONTH(Base_de_Dados[[#This Row],[Semana]])&lt;=6,"1ª Bimestre","2ª Bimestre")</f>
        <v>2ª Bimestre</v>
      </c>
    </row>
    <row r="196" spans="1:7" x14ac:dyDescent="0.25">
      <c r="A196" t="s">
        <v>148</v>
      </c>
      <c r="B196">
        <v>0</v>
      </c>
      <c r="C196" s="2">
        <v>0</v>
      </c>
      <c r="D196" s="48">
        <v>44767</v>
      </c>
      <c r="E196" s="48" t="str">
        <f>TEXT(Base_de_Dados[[#This Row],[Semana]],"Mmmm")</f>
        <v>julho</v>
      </c>
      <c r="F196">
        <f>YEAR(Base_de_Dados[[#This Row],[Semana]])</f>
        <v>2022</v>
      </c>
      <c r="G196" t="str">
        <f>IF(MONTH(Base_de_Dados[[#This Row],[Semana]])&lt;=6,"1ª Bimestre","2ª Bimestre")</f>
        <v>2ª Bimestre</v>
      </c>
    </row>
    <row r="197" spans="1:7" x14ac:dyDescent="0.25">
      <c r="A197" t="s">
        <v>112</v>
      </c>
      <c r="B197">
        <v>0</v>
      </c>
      <c r="C197" s="2">
        <v>0</v>
      </c>
      <c r="D197" s="48">
        <v>44774</v>
      </c>
      <c r="E197" s="48" t="str">
        <f>TEXT(Base_de_Dados[[#This Row],[Semana]],"Mmmm")</f>
        <v>agosto</v>
      </c>
      <c r="F197">
        <f>YEAR(Base_de_Dados[[#This Row],[Semana]])</f>
        <v>2022</v>
      </c>
      <c r="G197" t="str">
        <f>IF(MONTH(Base_de_Dados[[#This Row],[Semana]])&lt;=6,"1ª Bimestre","2ª Bimestre")</f>
        <v>2ª Bimestre</v>
      </c>
    </row>
    <row r="198" spans="1:7" x14ac:dyDescent="0.25">
      <c r="A198" t="s">
        <v>4</v>
      </c>
      <c r="B198">
        <v>0</v>
      </c>
      <c r="C198" s="2">
        <v>0</v>
      </c>
      <c r="D198" s="48">
        <v>44774</v>
      </c>
      <c r="E198" s="48" t="str">
        <f>TEXT(Base_de_Dados[[#This Row],[Semana]],"Mmmm")</f>
        <v>agosto</v>
      </c>
      <c r="F198">
        <f>YEAR(Base_de_Dados[[#This Row],[Semana]])</f>
        <v>2022</v>
      </c>
      <c r="G198" t="str">
        <f>IF(MONTH(Base_de_Dados[[#This Row],[Semana]])&lt;=6,"1ª Bimestre","2ª Bimestre")</f>
        <v>2ª Bimestre</v>
      </c>
    </row>
    <row r="199" spans="1:7" x14ac:dyDescent="0.25">
      <c r="A199" t="s">
        <v>5</v>
      </c>
      <c r="B199">
        <v>0</v>
      </c>
      <c r="C199" s="2">
        <v>0</v>
      </c>
      <c r="D199" s="48">
        <v>44774</v>
      </c>
      <c r="E199" s="48" t="str">
        <f>TEXT(Base_de_Dados[[#This Row],[Semana]],"Mmmm")</f>
        <v>agosto</v>
      </c>
      <c r="F199">
        <f>YEAR(Base_de_Dados[[#This Row],[Semana]])</f>
        <v>2022</v>
      </c>
      <c r="G199" t="str">
        <f>IF(MONTH(Base_de_Dados[[#This Row],[Semana]])&lt;=6,"1ª Bimestre","2ª Bimestre")</f>
        <v>2ª Bimestre</v>
      </c>
    </row>
    <row r="200" spans="1:7" x14ac:dyDescent="0.25">
      <c r="A200" t="s">
        <v>6</v>
      </c>
      <c r="B200">
        <v>0</v>
      </c>
      <c r="C200" s="2">
        <v>0</v>
      </c>
      <c r="D200" s="48">
        <v>44774</v>
      </c>
      <c r="E200" s="48" t="str">
        <f>TEXT(Base_de_Dados[[#This Row],[Semana]],"Mmmm")</f>
        <v>agosto</v>
      </c>
      <c r="F200">
        <f>YEAR(Base_de_Dados[[#This Row],[Semana]])</f>
        <v>2022</v>
      </c>
      <c r="G200" t="str">
        <f>IF(MONTH(Base_de_Dados[[#This Row],[Semana]])&lt;=6,"1ª Bimestre","2ª Bimestre")</f>
        <v>2ª Bimestre</v>
      </c>
    </row>
    <row r="201" spans="1:7" x14ac:dyDescent="0.25">
      <c r="A201" t="s">
        <v>7</v>
      </c>
      <c r="B201">
        <v>0</v>
      </c>
      <c r="C201" s="2">
        <v>0</v>
      </c>
      <c r="D201" s="48">
        <v>44774</v>
      </c>
      <c r="E201" s="48" t="str">
        <f>TEXT(Base_de_Dados[[#This Row],[Semana]],"Mmmm")</f>
        <v>agosto</v>
      </c>
      <c r="F201">
        <f>YEAR(Base_de_Dados[[#This Row],[Semana]])</f>
        <v>2022</v>
      </c>
      <c r="G201" t="str">
        <f>IF(MONTH(Base_de_Dados[[#This Row],[Semana]])&lt;=6,"1ª Bimestre","2ª Bimestre")</f>
        <v>2ª Bimestre</v>
      </c>
    </row>
    <row r="202" spans="1:7" x14ac:dyDescent="0.25">
      <c r="A202" t="s">
        <v>8</v>
      </c>
      <c r="B202">
        <v>2</v>
      </c>
      <c r="C202" s="2">
        <v>0.5</v>
      </c>
      <c r="D202" s="48">
        <v>44774</v>
      </c>
      <c r="E202" s="48" t="str">
        <f>TEXT(Base_de_Dados[[#This Row],[Semana]],"Mmmm")</f>
        <v>agosto</v>
      </c>
      <c r="F202">
        <f>YEAR(Base_de_Dados[[#This Row],[Semana]])</f>
        <v>2022</v>
      </c>
      <c r="G202" t="str">
        <f>IF(MONTH(Base_de_Dados[[#This Row],[Semana]])&lt;=6,"1ª Bimestre","2ª Bimestre")</f>
        <v>2ª Bimestre</v>
      </c>
    </row>
    <row r="203" spans="1:7" x14ac:dyDescent="0.25">
      <c r="A203" t="s">
        <v>9</v>
      </c>
      <c r="B203">
        <v>0</v>
      </c>
      <c r="C203" s="2">
        <v>0</v>
      </c>
      <c r="D203" s="48">
        <v>44774</v>
      </c>
      <c r="E203" s="48" t="str">
        <f>TEXT(Base_de_Dados[[#This Row],[Semana]],"Mmmm")</f>
        <v>agosto</v>
      </c>
      <c r="F203">
        <f>YEAR(Base_de_Dados[[#This Row],[Semana]])</f>
        <v>2022</v>
      </c>
      <c r="G203" t="str">
        <f>IF(MONTH(Base_de_Dados[[#This Row],[Semana]])&lt;=6,"1ª Bimestre","2ª Bimestre")</f>
        <v>2ª Bimestre</v>
      </c>
    </row>
    <row r="204" spans="1:7" x14ac:dyDescent="0.25">
      <c r="A204" t="s">
        <v>114</v>
      </c>
      <c r="B204">
        <v>2</v>
      </c>
      <c r="C204" s="2">
        <v>0.5</v>
      </c>
      <c r="D204" s="48">
        <v>44774</v>
      </c>
      <c r="E204" s="48" t="str">
        <f>TEXT(Base_de_Dados[[#This Row],[Semana]],"Mmmm")</f>
        <v>agosto</v>
      </c>
      <c r="F204">
        <f>YEAR(Base_de_Dados[[#This Row],[Semana]])</f>
        <v>2022</v>
      </c>
      <c r="G204" t="str">
        <f>IF(MONTH(Base_de_Dados[[#This Row],[Semana]])&lt;=6,"1ª Bimestre","2ª Bimestre")</f>
        <v>2ª Bimestre</v>
      </c>
    </row>
    <row r="205" spans="1:7" x14ac:dyDescent="0.25">
      <c r="A205" t="s">
        <v>11</v>
      </c>
      <c r="B205">
        <v>0</v>
      </c>
      <c r="C205" s="2">
        <v>0</v>
      </c>
      <c r="D205" s="48">
        <v>44774</v>
      </c>
      <c r="E205" s="48" t="str">
        <f>TEXT(Base_de_Dados[[#This Row],[Semana]],"Mmmm")</f>
        <v>agosto</v>
      </c>
      <c r="F205">
        <f>YEAR(Base_de_Dados[[#This Row],[Semana]])</f>
        <v>2022</v>
      </c>
      <c r="G205" t="str">
        <f>IF(MONTH(Base_de_Dados[[#This Row],[Semana]])&lt;=6,"1ª Bimestre","2ª Bimestre")</f>
        <v>2ª Bimestre</v>
      </c>
    </row>
    <row r="206" spans="1:7" x14ac:dyDescent="0.25">
      <c r="A206" t="s">
        <v>144</v>
      </c>
      <c r="B206">
        <v>0</v>
      </c>
      <c r="C206" s="2">
        <v>0</v>
      </c>
      <c r="D206" s="48">
        <v>44774</v>
      </c>
      <c r="E206" s="48" t="str">
        <f>TEXT(Base_de_Dados[[#This Row],[Semana]],"Mmmm")</f>
        <v>agosto</v>
      </c>
      <c r="F206">
        <f>YEAR(Base_de_Dados[[#This Row],[Semana]])</f>
        <v>2022</v>
      </c>
      <c r="G206" t="str">
        <f>IF(MONTH(Base_de_Dados[[#This Row],[Semana]])&lt;=6,"1ª Bimestre","2ª Bimestre")</f>
        <v>2ª Bimestre</v>
      </c>
    </row>
    <row r="207" spans="1:7" x14ac:dyDescent="0.25">
      <c r="A207" t="s">
        <v>148</v>
      </c>
      <c r="B207">
        <v>0</v>
      </c>
      <c r="C207" s="2">
        <v>0</v>
      </c>
      <c r="D207" s="48">
        <v>44774</v>
      </c>
      <c r="E207" s="48" t="str">
        <f>TEXT(Base_de_Dados[[#This Row],[Semana]],"Mmmm")</f>
        <v>agosto</v>
      </c>
      <c r="F207">
        <f>YEAR(Base_de_Dados[[#This Row],[Semana]])</f>
        <v>2022</v>
      </c>
      <c r="G207" t="str">
        <f>IF(MONTH(Base_de_Dados[[#This Row],[Semana]])&lt;=6,"1ª Bimestre","2ª Bimestre")</f>
        <v>2ª Bimestre</v>
      </c>
    </row>
    <row r="208" spans="1:7" x14ac:dyDescent="0.25">
      <c r="A208" t="s">
        <v>112</v>
      </c>
      <c r="B208">
        <v>0</v>
      </c>
      <c r="C208" s="2">
        <v>0</v>
      </c>
      <c r="D208" s="48">
        <v>44781</v>
      </c>
      <c r="E208" s="48" t="str">
        <f>TEXT(Base_de_Dados[[#This Row],[Semana]],"Mmmm")</f>
        <v>agosto</v>
      </c>
      <c r="F208">
        <f>YEAR(Base_de_Dados[[#This Row],[Semana]])</f>
        <v>2022</v>
      </c>
      <c r="G208" t="str">
        <f>IF(MONTH(Base_de_Dados[[#This Row],[Semana]])&lt;=6,"1ª Bimestre","2ª Bimestre")</f>
        <v>2ª Bimestre</v>
      </c>
    </row>
    <row r="209" spans="1:7" x14ac:dyDescent="0.25">
      <c r="A209" t="s">
        <v>4</v>
      </c>
      <c r="B209">
        <v>0</v>
      </c>
      <c r="C209" s="2">
        <v>0</v>
      </c>
      <c r="D209" s="48">
        <v>44781</v>
      </c>
      <c r="E209" s="48" t="str">
        <f>TEXT(Base_de_Dados[[#This Row],[Semana]],"Mmmm")</f>
        <v>agosto</v>
      </c>
      <c r="F209">
        <f>YEAR(Base_de_Dados[[#This Row],[Semana]])</f>
        <v>2022</v>
      </c>
      <c r="G209" t="str">
        <f>IF(MONTH(Base_de_Dados[[#This Row],[Semana]])&lt;=6,"1ª Bimestre","2ª Bimestre")</f>
        <v>2ª Bimestre</v>
      </c>
    </row>
    <row r="210" spans="1:7" x14ac:dyDescent="0.25">
      <c r="A210" t="s">
        <v>5</v>
      </c>
      <c r="B210">
        <v>0</v>
      </c>
      <c r="C210" s="2">
        <v>0</v>
      </c>
      <c r="D210" s="48">
        <v>44781</v>
      </c>
      <c r="E210" s="48" t="str">
        <f>TEXT(Base_de_Dados[[#This Row],[Semana]],"Mmmm")</f>
        <v>agosto</v>
      </c>
      <c r="F210">
        <f>YEAR(Base_de_Dados[[#This Row],[Semana]])</f>
        <v>2022</v>
      </c>
      <c r="G210" t="str">
        <f>IF(MONTH(Base_de_Dados[[#This Row],[Semana]])&lt;=6,"1ª Bimestre","2ª Bimestre")</f>
        <v>2ª Bimestre</v>
      </c>
    </row>
    <row r="211" spans="1:7" x14ac:dyDescent="0.25">
      <c r="A211" t="s">
        <v>6</v>
      </c>
      <c r="B211">
        <v>0</v>
      </c>
      <c r="C211" s="2">
        <v>0</v>
      </c>
      <c r="D211" s="48">
        <v>44781</v>
      </c>
      <c r="E211" s="48" t="str">
        <f>TEXT(Base_de_Dados[[#This Row],[Semana]],"Mmmm")</f>
        <v>agosto</v>
      </c>
      <c r="F211">
        <f>YEAR(Base_de_Dados[[#This Row],[Semana]])</f>
        <v>2022</v>
      </c>
      <c r="G211" t="str">
        <f>IF(MONTH(Base_de_Dados[[#This Row],[Semana]])&lt;=6,"1ª Bimestre","2ª Bimestre")</f>
        <v>2ª Bimestre</v>
      </c>
    </row>
    <row r="212" spans="1:7" x14ac:dyDescent="0.25">
      <c r="A212" t="s">
        <v>7</v>
      </c>
      <c r="B212">
        <v>0</v>
      </c>
      <c r="C212" s="2">
        <v>0</v>
      </c>
      <c r="D212" s="48">
        <v>44781</v>
      </c>
      <c r="E212" s="48" t="str">
        <f>TEXT(Base_de_Dados[[#This Row],[Semana]],"Mmmm")</f>
        <v>agosto</v>
      </c>
      <c r="F212">
        <f>YEAR(Base_de_Dados[[#This Row],[Semana]])</f>
        <v>2022</v>
      </c>
      <c r="G212" t="str">
        <f>IF(MONTH(Base_de_Dados[[#This Row],[Semana]])&lt;=6,"1ª Bimestre","2ª Bimestre")</f>
        <v>2ª Bimestre</v>
      </c>
    </row>
    <row r="213" spans="1:7" x14ac:dyDescent="0.25">
      <c r="A213" t="s">
        <v>8</v>
      </c>
      <c r="B213">
        <v>0</v>
      </c>
      <c r="C213" s="2">
        <v>0</v>
      </c>
      <c r="D213" s="48">
        <v>44781</v>
      </c>
      <c r="E213" s="48" t="str">
        <f>TEXT(Base_de_Dados[[#This Row],[Semana]],"Mmmm")</f>
        <v>agosto</v>
      </c>
      <c r="F213">
        <f>YEAR(Base_de_Dados[[#This Row],[Semana]])</f>
        <v>2022</v>
      </c>
      <c r="G213" t="str">
        <f>IF(MONTH(Base_de_Dados[[#This Row],[Semana]])&lt;=6,"1ª Bimestre","2ª Bimestre")</f>
        <v>2ª Bimestre</v>
      </c>
    </row>
    <row r="214" spans="1:7" x14ac:dyDescent="0.25">
      <c r="A214" t="s">
        <v>9</v>
      </c>
      <c r="B214">
        <v>1</v>
      </c>
      <c r="C214" s="2">
        <v>0.33333333333333331</v>
      </c>
      <c r="D214" s="48">
        <v>44781</v>
      </c>
      <c r="E214" s="48" t="str">
        <f>TEXT(Base_de_Dados[[#This Row],[Semana]],"Mmmm")</f>
        <v>agosto</v>
      </c>
      <c r="F214">
        <f>YEAR(Base_de_Dados[[#This Row],[Semana]])</f>
        <v>2022</v>
      </c>
      <c r="G214" t="str">
        <f>IF(MONTH(Base_de_Dados[[#This Row],[Semana]])&lt;=6,"1ª Bimestre","2ª Bimestre")</f>
        <v>2ª Bimestre</v>
      </c>
    </row>
    <row r="215" spans="1:7" x14ac:dyDescent="0.25">
      <c r="A215" t="s">
        <v>114</v>
      </c>
      <c r="B215">
        <v>0</v>
      </c>
      <c r="C215" s="2">
        <v>0</v>
      </c>
      <c r="D215" s="48">
        <v>44781</v>
      </c>
      <c r="E215" s="48" t="str">
        <f>TEXT(Base_de_Dados[[#This Row],[Semana]],"Mmmm")</f>
        <v>agosto</v>
      </c>
      <c r="F215">
        <f>YEAR(Base_de_Dados[[#This Row],[Semana]])</f>
        <v>2022</v>
      </c>
      <c r="G215" t="str">
        <f>IF(MONTH(Base_de_Dados[[#This Row],[Semana]])&lt;=6,"1ª Bimestre","2ª Bimestre")</f>
        <v>2ª Bimestre</v>
      </c>
    </row>
    <row r="216" spans="1:7" x14ac:dyDescent="0.25">
      <c r="A216" t="s">
        <v>11</v>
      </c>
      <c r="B216">
        <v>0</v>
      </c>
      <c r="C216" s="2">
        <v>0</v>
      </c>
      <c r="D216" s="48">
        <v>44781</v>
      </c>
      <c r="E216" s="48" t="str">
        <f>TEXT(Base_de_Dados[[#This Row],[Semana]],"Mmmm")</f>
        <v>agosto</v>
      </c>
      <c r="F216">
        <f>YEAR(Base_de_Dados[[#This Row],[Semana]])</f>
        <v>2022</v>
      </c>
      <c r="G216" t="str">
        <f>IF(MONTH(Base_de_Dados[[#This Row],[Semana]])&lt;=6,"1ª Bimestre","2ª Bimestre")</f>
        <v>2ª Bimestre</v>
      </c>
    </row>
    <row r="217" spans="1:7" x14ac:dyDescent="0.25">
      <c r="A217" t="s">
        <v>144</v>
      </c>
      <c r="B217">
        <v>0</v>
      </c>
      <c r="C217" s="2">
        <v>0</v>
      </c>
      <c r="D217" s="48">
        <v>44781</v>
      </c>
      <c r="E217" s="48" t="str">
        <f>TEXT(Base_de_Dados[[#This Row],[Semana]],"Mmmm")</f>
        <v>agosto</v>
      </c>
      <c r="F217">
        <f>YEAR(Base_de_Dados[[#This Row],[Semana]])</f>
        <v>2022</v>
      </c>
      <c r="G217" t="str">
        <f>IF(MONTH(Base_de_Dados[[#This Row],[Semana]])&lt;=6,"1ª Bimestre","2ª Bimestre")</f>
        <v>2ª Bimestre</v>
      </c>
    </row>
    <row r="218" spans="1:7" x14ac:dyDescent="0.25">
      <c r="A218" t="s">
        <v>148</v>
      </c>
      <c r="B218">
        <v>2</v>
      </c>
      <c r="C218" s="2">
        <v>0.66666666666666663</v>
      </c>
      <c r="D218" s="48">
        <v>44781</v>
      </c>
      <c r="E218" s="48" t="str">
        <f>TEXT(Base_de_Dados[[#This Row],[Semana]],"Mmmm")</f>
        <v>agosto</v>
      </c>
      <c r="F218">
        <f>YEAR(Base_de_Dados[[#This Row],[Semana]])</f>
        <v>2022</v>
      </c>
      <c r="G218" t="str">
        <f>IF(MONTH(Base_de_Dados[[#This Row],[Semana]])&lt;=6,"1ª Bimestre","2ª Bimestre")</f>
        <v>2ª Bimestre</v>
      </c>
    </row>
    <row r="219" spans="1:7" x14ac:dyDescent="0.25">
      <c r="A219" t="s">
        <v>112</v>
      </c>
      <c r="B219">
        <v>0</v>
      </c>
      <c r="C219" s="2">
        <v>0</v>
      </c>
      <c r="D219" s="48">
        <v>44788</v>
      </c>
      <c r="E219" s="48" t="str">
        <f>TEXT(Base_de_Dados[[#This Row],[Semana]],"Mmmm")</f>
        <v>agosto</v>
      </c>
      <c r="F219">
        <f>YEAR(Base_de_Dados[[#This Row],[Semana]])</f>
        <v>2022</v>
      </c>
      <c r="G219" t="str">
        <f>IF(MONTH(Base_de_Dados[[#This Row],[Semana]])&lt;=6,"1ª Bimestre","2ª Bimestre")</f>
        <v>2ª Bimestre</v>
      </c>
    </row>
    <row r="220" spans="1:7" x14ac:dyDescent="0.25">
      <c r="A220" t="s">
        <v>4</v>
      </c>
      <c r="B220">
        <v>0</v>
      </c>
      <c r="C220" s="2">
        <v>0</v>
      </c>
      <c r="D220" s="48">
        <v>44788</v>
      </c>
      <c r="E220" s="48" t="str">
        <f>TEXT(Base_de_Dados[[#This Row],[Semana]],"Mmmm")</f>
        <v>agosto</v>
      </c>
      <c r="F220">
        <f>YEAR(Base_de_Dados[[#This Row],[Semana]])</f>
        <v>2022</v>
      </c>
      <c r="G220" t="str">
        <f>IF(MONTH(Base_de_Dados[[#This Row],[Semana]])&lt;=6,"1ª Bimestre","2ª Bimestre")</f>
        <v>2ª Bimestre</v>
      </c>
    </row>
    <row r="221" spans="1:7" x14ac:dyDescent="0.25">
      <c r="A221" t="s">
        <v>5</v>
      </c>
      <c r="B221">
        <v>0</v>
      </c>
      <c r="C221" s="2">
        <v>0</v>
      </c>
      <c r="D221" s="48">
        <v>44788</v>
      </c>
      <c r="E221" s="48" t="str">
        <f>TEXT(Base_de_Dados[[#This Row],[Semana]],"Mmmm")</f>
        <v>agosto</v>
      </c>
      <c r="F221">
        <f>YEAR(Base_de_Dados[[#This Row],[Semana]])</f>
        <v>2022</v>
      </c>
      <c r="G221" t="str">
        <f>IF(MONTH(Base_de_Dados[[#This Row],[Semana]])&lt;=6,"1ª Bimestre","2ª Bimestre")</f>
        <v>2ª Bimestre</v>
      </c>
    </row>
    <row r="222" spans="1:7" x14ac:dyDescent="0.25">
      <c r="A222" t="s">
        <v>6</v>
      </c>
      <c r="B222">
        <v>0</v>
      </c>
      <c r="C222" s="2">
        <v>0</v>
      </c>
      <c r="D222" s="48">
        <v>44788</v>
      </c>
      <c r="E222" s="48" t="str">
        <f>TEXT(Base_de_Dados[[#This Row],[Semana]],"Mmmm")</f>
        <v>agosto</v>
      </c>
      <c r="F222">
        <f>YEAR(Base_de_Dados[[#This Row],[Semana]])</f>
        <v>2022</v>
      </c>
      <c r="G222" t="str">
        <f>IF(MONTH(Base_de_Dados[[#This Row],[Semana]])&lt;=6,"1ª Bimestre","2ª Bimestre")</f>
        <v>2ª Bimestre</v>
      </c>
    </row>
    <row r="223" spans="1:7" x14ac:dyDescent="0.25">
      <c r="A223" t="s">
        <v>7</v>
      </c>
      <c r="B223">
        <v>1</v>
      </c>
      <c r="C223" s="2">
        <v>7.1428571428571425E-2</v>
      </c>
      <c r="D223" s="48">
        <v>44788</v>
      </c>
      <c r="E223" s="48" t="str">
        <f>TEXT(Base_de_Dados[[#This Row],[Semana]],"Mmmm")</f>
        <v>agosto</v>
      </c>
      <c r="F223">
        <f>YEAR(Base_de_Dados[[#This Row],[Semana]])</f>
        <v>2022</v>
      </c>
      <c r="G223" t="str">
        <f>IF(MONTH(Base_de_Dados[[#This Row],[Semana]])&lt;=6,"1ª Bimestre","2ª Bimestre")</f>
        <v>2ª Bimestre</v>
      </c>
    </row>
    <row r="224" spans="1:7" x14ac:dyDescent="0.25">
      <c r="A224" t="s">
        <v>8</v>
      </c>
      <c r="B224">
        <v>0</v>
      </c>
      <c r="C224" s="2">
        <v>0</v>
      </c>
      <c r="D224" s="48">
        <v>44788</v>
      </c>
      <c r="E224" s="48" t="str">
        <f>TEXT(Base_de_Dados[[#This Row],[Semana]],"Mmmm")</f>
        <v>agosto</v>
      </c>
      <c r="F224">
        <f>YEAR(Base_de_Dados[[#This Row],[Semana]])</f>
        <v>2022</v>
      </c>
      <c r="G224" t="str">
        <f>IF(MONTH(Base_de_Dados[[#This Row],[Semana]])&lt;=6,"1ª Bimestre","2ª Bimestre")</f>
        <v>2ª Bimestre</v>
      </c>
    </row>
    <row r="225" spans="1:7" x14ac:dyDescent="0.25">
      <c r="A225" t="s">
        <v>9</v>
      </c>
      <c r="B225">
        <v>0</v>
      </c>
      <c r="C225" s="2">
        <v>0</v>
      </c>
      <c r="D225" s="48">
        <v>44788</v>
      </c>
      <c r="E225" s="48" t="str">
        <f>TEXT(Base_de_Dados[[#This Row],[Semana]],"Mmmm")</f>
        <v>agosto</v>
      </c>
      <c r="F225">
        <f>YEAR(Base_de_Dados[[#This Row],[Semana]])</f>
        <v>2022</v>
      </c>
      <c r="G225" t="str">
        <f>IF(MONTH(Base_de_Dados[[#This Row],[Semana]])&lt;=6,"1ª Bimestre","2ª Bimestre")</f>
        <v>2ª Bimestre</v>
      </c>
    </row>
    <row r="226" spans="1:7" x14ac:dyDescent="0.25">
      <c r="A226" t="s">
        <v>114</v>
      </c>
      <c r="B226">
        <v>1</v>
      </c>
      <c r="C226" s="2">
        <v>7.1428571428571425E-2</v>
      </c>
      <c r="D226" s="48">
        <v>44788</v>
      </c>
      <c r="E226" s="48" t="str">
        <f>TEXT(Base_de_Dados[[#This Row],[Semana]],"Mmmm")</f>
        <v>agosto</v>
      </c>
      <c r="F226">
        <f>YEAR(Base_de_Dados[[#This Row],[Semana]])</f>
        <v>2022</v>
      </c>
      <c r="G226" t="str">
        <f>IF(MONTH(Base_de_Dados[[#This Row],[Semana]])&lt;=6,"1ª Bimestre","2ª Bimestre")</f>
        <v>2ª Bimestre</v>
      </c>
    </row>
    <row r="227" spans="1:7" x14ac:dyDescent="0.25">
      <c r="A227" t="s">
        <v>11</v>
      </c>
      <c r="B227">
        <v>0</v>
      </c>
      <c r="C227" s="2">
        <v>0</v>
      </c>
      <c r="D227" s="48">
        <v>44788</v>
      </c>
      <c r="E227" s="48" t="str">
        <f>TEXT(Base_de_Dados[[#This Row],[Semana]],"Mmmm")</f>
        <v>agosto</v>
      </c>
      <c r="F227">
        <f>YEAR(Base_de_Dados[[#This Row],[Semana]])</f>
        <v>2022</v>
      </c>
      <c r="G227" t="str">
        <f>IF(MONTH(Base_de_Dados[[#This Row],[Semana]])&lt;=6,"1ª Bimestre","2ª Bimestre")</f>
        <v>2ª Bimestre</v>
      </c>
    </row>
    <row r="228" spans="1:7" x14ac:dyDescent="0.25">
      <c r="A228" t="s">
        <v>144</v>
      </c>
      <c r="B228">
        <v>0</v>
      </c>
      <c r="C228" s="2">
        <v>0</v>
      </c>
      <c r="D228" s="48">
        <v>44788</v>
      </c>
      <c r="E228" s="48" t="str">
        <f>TEXT(Base_de_Dados[[#This Row],[Semana]],"Mmmm")</f>
        <v>agosto</v>
      </c>
      <c r="F228">
        <f>YEAR(Base_de_Dados[[#This Row],[Semana]])</f>
        <v>2022</v>
      </c>
      <c r="G228" t="str">
        <f>IF(MONTH(Base_de_Dados[[#This Row],[Semana]])&lt;=6,"1ª Bimestre","2ª Bimestre")</f>
        <v>2ª Bimestre</v>
      </c>
    </row>
    <row r="229" spans="1:7" x14ac:dyDescent="0.25">
      <c r="A229" t="s">
        <v>148</v>
      </c>
      <c r="B229">
        <v>12</v>
      </c>
      <c r="C229" s="2">
        <v>0.8571428571428571</v>
      </c>
      <c r="D229" s="48">
        <v>44788</v>
      </c>
      <c r="E229" s="48" t="str">
        <f>TEXT(Base_de_Dados[[#This Row],[Semana]],"Mmmm")</f>
        <v>agosto</v>
      </c>
      <c r="F229">
        <f>YEAR(Base_de_Dados[[#This Row],[Semana]])</f>
        <v>2022</v>
      </c>
      <c r="G229" t="str">
        <f>IF(MONTH(Base_de_Dados[[#This Row],[Semana]])&lt;=6,"1ª Bimestre","2ª Bimestre")</f>
        <v>2ª Bimestre</v>
      </c>
    </row>
    <row r="230" spans="1:7" x14ac:dyDescent="0.25">
      <c r="A230" t="s">
        <v>112</v>
      </c>
      <c r="B230">
        <v>0</v>
      </c>
      <c r="C230" s="2">
        <v>0</v>
      </c>
      <c r="D230" s="48">
        <v>44795</v>
      </c>
      <c r="E230" s="48" t="str">
        <f>TEXT(Base_de_Dados[[#This Row],[Semana]],"Mmmm")</f>
        <v>agosto</v>
      </c>
      <c r="F230">
        <f>YEAR(Base_de_Dados[[#This Row],[Semana]])</f>
        <v>2022</v>
      </c>
      <c r="G230" t="str">
        <f>IF(MONTH(Base_de_Dados[[#This Row],[Semana]])&lt;=6,"1ª Bimestre","2ª Bimestre")</f>
        <v>2ª Bimestre</v>
      </c>
    </row>
    <row r="231" spans="1:7" x14ac:dyDescent="0.25">
      <c r="A231" t="s">
        <v>4</v>
      </c>
      <c r="B231">
        <v>0</v>
      </c>
      <c r="C231" s="2">
        <v>0</v>
      </c>
      <c r="D231" s="48">
        <v>44795</v>
      </c>
      <c r="E231" s="48" t="str">
        <f>TEXT(Base_de_Dados[[#This Row],[Semana]],"Mmmm")</f>
        <v>agosto</v>
      </c>
      <c r="F231">
        <f>YEAR(Base_de_Dados[[#This Row],[Semana]])</f>
        <v>2022</v>
      </c>
      <c r="G231" t="str">
        <f>IF(MONTH(Base_de_Dados[[#This Row],[Semana]])&lt;=6,"1ª Bimestre","2ª Bimestre")</f>
        <v>2ª Bimestre</v>
      </c>
    </row>
    <row r="232" spans="1:7" x14ac:dyDescent="0.25">
      <c r="A232" t="s">
        <v>5</v>
      </c>
      <c r="B232">
        <v>0</v>
      </c>
      <c r="C232" s="2">
        <v>0</v>
      </c>
      <c r="D232" s="48">
        <v>44795</v>
      </c>
      <c r="E232" s="48" t="str">
        <f>TEXT(Base_de_Dados[[#This Row],[Semana]],"Mmmm")</f>
        <v>agosto</v>
      </c>
      <c r="F232">
        <f>YEAR(Base_de_Dados[[#This Row],[Semana]])</f>
        <v>2022</v>
      </c>
      <c r="G232" t="str">
        <f>IF(MONTH(Base_de_Dados[[#This Row],[Semana]])&lt;=6,"1ª Bimestre","2ª Bimestre")</f>
        <v>2ª Bimestre</v>
      </c>
    </row>
    <row r="233" spans="1:7" x14ac:dyDescent="0.25">
      <c r="A233" t="s">
        <v>6</v>
      </c>
      <c r="B233">
        <v>2</v>
      </c>
      <c r="C233" s="2">
        <v>0.5</v>
      </c>
      <c r="D233" s="48">
        <v>44795</v>
      </c>
      <c r="E233" s="48" t="str">
        <f>TEXT(Base_de_Dados[[#This Row],[Semana]],"Mmmm")</f>
        <v>agosto</v>
      </c>
      <c r="F233">
        <f>YEAR(Base_de_Dados[[#This Row],[Semana]])</f>
        <v>2022</v>
      </c>
      <c r="G233" t="str">
        <f>IF(MONTH(Base_de_Dados[[#This Row],[Semana]])&lt;=6,"1ª Bimestre","2ª Bimestre")</f>
        <v>2ª Bimestre</v>
      </c>
    </row>
    <row r="234" spans="1:7" x14ac:dyDescent="0.25">
      <c r="A234" t="s">
        <v>7</v>
      </c>
      <c r="B234">
        <v>2</v>
      </c>
      <c r="C234" s="2">
        <v>0.5</v>
      </c>
      <c r="D234" s="48">
        <v>44795</v>
      </c>
      <c r="E234" s="48" t="str">
        <f>TEXT(Base_de_Dados[[#This Row],[Semana]],"Mmmm")</f>
        <v>agosto</v>
      </c>
      <c r="F234">
        <f>YEAR(Base_de_Dados[[#This Row],[Semana]])</f>
        <v>2022</v>
      </c>
      <c r="G234" t="str">
        <f>IF(MONTH(Base_de_Dados[[#This Row],[Semana]])&lt;=6,"1ª Bimestre","2ª Bimestre")</f>
        <v>2ª Bimestre</v>
      </c>
    </row>
    <row r="235" spans="1:7" x14ac:dyDescent="0.25">
      <c r="A235" t="s">
        <v>8</v>
      </c>
      <c r="B235">
        <v>0</v>
      </c>
      <c r="C235" s="2">
        <v>0</v>
      </c>
      <c r="D235" s="48">
        <v>44795</v>
      </c>
      <c r="E235" s="48" t="str">
        <f>TEXT(Base_de_Dados[[#This Row],[Semana]],"Mmmm")</f>
        <v>agosto</v>
      </c>
      <c r="F235">
        <f>YEAR(Base_de_Dados[[#This Row],[Semana]])</f>
        <v>2022</v>
      </c>
      <c r="G235" t="str">
        <f>IF(MONTH(Base_de_Dados[[#This Row],[Semana]])&lt;=6,"1ª Bimestre","2ª Bimestre")</f>
        <v>2ª Bimestre</v>
      </c>
    </row>
    <row r="236" spans="1:7" x14ac:dyDescent="0.25">
      <c r="A236" t="s">
        <v>9</v>
      </c>
      <c r="B236">
        <v>0</v>
      </c>
      <c r="C236" s="2">
        <v>0</v>
      </c>
      <c r="D236" s="48">
        <v>44795</v>
      </c>
      <c r="E236" s="48" t="str">
        <f>TEXT(Base_de_Dados[[#This Row],[Semana]],"Mmmm")</f>
        <v>agosto</v>
      </c>
      <c r="F236">
        <f>YEAR(Base_de_Dados[[#This Row],[Semana]])</f>
        <v>2022</v>
      </c>
      <c r="G236" t="str">
        <f>IF(MONTH(Base_de_Dados[[#This Row],[Semana]])&lt;=6,"1ª Bimestre","2ª Bimestre")</f>
        <v>2ª Bimestre</v>
      </c>
    </row>
    <row r="237" spans="1:7" x14ac:dyDescent="0.25">
      <c r="A237" t="s">
        <v>114</v>
      </c>
      <c r="B237">
        <v>0</v>
      </c>
      <c r="C237" s="2">
        <v>0</v>
      </c>
      <c r="D237" s="48">
        <v>44795</v>
      </c>
      <c r="E237" s="48" t="str">
        <f>TEXT(Base_de_Dados[[#This Row],[Semana]],"Mmmm")</f>
        <v>agosto</v>
      </c>
      <c r="F237">
        <f>YEAR(Base_de_Dados[[#This Row],[Semana]])</f>
        <v>2022</v>
      </c>
      <c r="G237" t="str">
        <f>IF(MONTH(Base_de_Dados[[#This Row],[Semana]])&lt;=6,"1ª Bimestre","2ª Bimestre")</f>
        <v>2ª Bimestre</v>
      </c>
    </row>
    <row r="238" spans="1:7" x14ac:dyDescent="0.25">
      <c r="A238" t="s">
        <v>11</v>
      </c>
      <c r="B238">
        <v>0</v>
      </c>
      <c r="C238" s="2">
        <v>0</v>
      </c>
      <c r="D238" s="48">
        <v>44795</v>
      </c>
      <c r="E238" s="48" t="str">
        <f>TEXT(Base_de_Dados[[#This Row],[Semana]],"Mmmm")</f>
        <v>agosto</v>
      </c>
      <c r="F238">
        <f>YEAR(Base_de_Dados[[#This Row],[Semana]])</f>
        <v>2022</v>
      </c>
      <c r="G238" t="str">
        <f>IF(MONTH(Base_de_Dados[[#This Row],[Semana]])&lt;=6,"1ª Bimestre","2ª Bimestre")</f>
        <v>2ª Bimestre</v>
      </c>
    </row>
    <row r="239" spans="1:7" x14ac:dyDescent="0.25">
      <c r="A239" t="s">
        <v>144</v>
      </c>
      <c r="B239">
        <v>0</v>
      </c>
      <c r="C239" s="2">
        <v>0</v>
      </c>
      <c r="D239" s="48">
        <v>44795</v>
      </c>
      <c r="E239" s="48" t="str">
        <f>TEXT(Base_de_Dados[[#This Row],[Semana]],"Mmmm")</f>
        <v>agosto</v>
      </c>
      <c r="F239">
        <f>YEAR(Base_de_Dados[[#This Row],[Semana]])</f>
        <v>2022</v>
      </c>
      <c r="G239" t="str">
        <f>IF(MONTH(Base_de_Dados[[#This Row],[Semana]])&lt;=6,"1ª Bimestre","2ª Bimestre")</f>
        <v>2ª Bimestre</v>
      </c>
    </row>
    <row r="240" spans="1:7" x14ac:dyDescent="0.25">
      <c r="A240" t="s">
        <v>148</v>
      </c>
      <c r="B240">
        <v>0</v>
      </c>
      <c r="C240" s="2">
        <v>0</v>
      </c>
      <c r="D240" s="48">
        <v>44795</v>
      </c>
      <c r="E240" s="48" t="str">
        <f>TEXT(Base_de_Dados[[#This Row],[Semana]],"Mmmm")</f>
        <v>agosto</v>
      </c>
      <c r="F240">
        <f>YEAR(Base_de_Dados[[#This Row],[Semana]])</f>
        <v>2022</v>
      </c>
      <c r="G240" t="str">
        <f>IF(MONTH(Base_de_Dados[[#This Row],[Semana]])&lt;=6,"1ª Bimestre","2ª Bimestre")</f>
        <v>2ª Bimestre</v>
      </c>
    </row>
    <row r="241" spans="1:7" x14ac:dyDescent="0.25">
      <c r="A241" t="s">
        <v>112</v>
      </c>
      <c r="B241">
        <v>0</v>
      </c>
      <c r="C241" s="2">
        <v>0</v>
      </c>
      <c r="D241" s="48">
        <v>44802</v>
      </c>
      <c r="E241" s="48" t="str">
        <f>TEXT(Base_de_Dados[[#This Row],[Semana]],"Mmmm")</f>
        <v>agosto</v>
      </c>
      <c r="F241">
        <f>YEAR(Base_de_Dados[[#This Row],[Semana]])</f>
        <v>2022</v>
      </c>
      <c r="G241" t="str">
        <f>IF(MONTH(Base_de_Dados[[#This Row],[Semana]])&lt;=6,"1ª Bimestre","2ª Bimestre")</f>
        <v>2ª Bimestre</v>
      </c>
    </row>
    <row r="242" spans="1:7" x14ac:dyDescent="0.25">
      <c r="A242" t="s">
        <v>4</v>
      </c>
      <c r="B242">
        <v>0</v>
      </c>
      <c r="C242" s="2">
        <v>0</v>
      </c>
      <c r="D242" s="48">
        <v>44802</v>
      </c>
      <c r="E242" s="48" t="str">
        <f>TEXT(Base_de_Dados[[#This Row],[Semana]],"Mmmm")</f>
        <v>agosto</v>
      </c>
      <c r="F242">
        <f>YEAR(Base_de_Dados[[#This Row],[Semana]])</f>
        <v>2022</v>
      </c>
      <c r="G242" t="str">
        <f>IF(MONTH(Base_de_Dados[[#This Row],[Semana]])&lt;=6,"1ª Bimestre","2ª Bimestre")</f>
        <v>2ª Bimestre</v>
      </c>
    </row>
    <row r="243" spans="1:7" x14ac:dyDescent="0.25">
      <c r="A243" t="s">
        <v>5</v>
      </c>
      <c r="B243">
        <v>0</v>
      </c>
      <c r="C243" s="2">
        <v>0</v>
      </c>
      <c r="D243" s="48">
        <v>44802</v>
      </c>
      <c r="E243" s="48" t="str">
        <f>TEXT(Base_de_Dados[[#This Row],[Semana]],"Mmmm")</f>
        <v>agosto</v>
      </c>
      <c r="F243">
        <f>YEAR(Base_de_Dados[[#This Row],[Semana]])</f>
        <v>2022</v>
      </c>
      <c r="G243" t="str">
        <f>IF(MONTH(Base_de_Dados[[#This Row],[Semana]])&lt;=6,"1ª Bimestre","2ª Bimestre")</f>
        <v>2ª Bimestre</v>
      </c>
    </row>
    <row r="244" spans="1:7" x14ac:dyDescent="0.25">
      <c r="A244" t="s">
        <v>6</v>
      </c>
      <c r="B244">
        <v>2</v>
      </c>
      <c r="C244" s="2">
        <v>0.5</v>
      </c>
      <c r="D244" s="48">
        <v>44802</v>
      </c>
      <c r="E244" s="48" t="str">
        <f>TEXT(Base_de_Dados[[#This Row],[Semana]],"Mmmm")</f>
        <v>agosto</v>
      </c>
      <c r="F244">
        <f>YEAR(Base_de_Dados[[#This Row],[Semana]])</f>
        <v>2022</v>
      </c>
      <c r="G244" t="str">
        <f>IF(MONTH(Base_de_Dados[[#This Row],[Semana]])&lt;=6,"1ª Bimestre","2ª Bimestre")</f>
        <v>2ª Bimestre</v>
      </c>
    </row>
    <row r="245" spans="1:7" x14ac:dyDescent="0.25">
      <c r="A245" t="s">
        <v>7</v>
      </c>
      <c r="B245">
        <v>0</v>
      </c>
      <c r="C245" s="2">
        <v>0</v>
      </c>
      <c r="D245" s="48">
        <v>44802</v>
      </c>
      <c r="E245" s="48" t="str">
        <f>TEXT(Base_de_Dados[[#This Row],[Semana]],"Mmmm")</f>
        <v>agosto</v>
      </c>
      <c r="F245">
        <f>YEAR(Base_de_Dados[[#This Row],[Semana]])</f>
        <v>2022</v>
      </c>
      <c r="G245" t="str">
        <f>IF(MONTH(Base_de_Dados[[#This Row],[Semana]])&lt;=6,"1ª Bimestre","2ª Bimestre")</f>
        <v>2ª Bimestre</v>
      </c>
    </row>
    <row r="246" spans="1:7" x14ac:dyDescent="0.25">
      <c r="A246" t="s">
        <v>8</v>
      </c>
      <c r="B246">
        <v>0</v>
      </c>
      <c r="C246" s="2">
        <v>0</v>
      </c>
      <c r="D246" s="48">
        <v>44802</v>
      </c>
      <c r="E246" s="48" t="str">
        <f>TEXT(Base_de_Dados[[#This Row],[Semana]],"Mmmm")</f>
        <v>agosto</v>
      </c>
      <c r="F246">
        <f>YEAR(Base_de_Dados[[#This Row],[Semana]])</f>
        <v>2022</v>
      </c>
      <c r="G246" t="str">
        <f>IF(MONTH(Base_de_Dados[[#This Row],[Semana]])&lt;=6,"1ª Bimestre","2ª Bimestre")</f>
        <v>2ª Bimestre</v>
      </c>
    </row>
    <row r="247" spans="1:7" x14ac:dyDescent="0.25">
      <c r="A247" t="s">
        <v>9</v>
      </c>
      <c r="B247">
        <v>0</v>
      </c>
      <c r="C247" s="2">
        <v>0</v>
      </c>
      <c r="D247" s="48">
        <v>44802</v>
      </c>
      <c r="E247" s="48" t="str">
        <f>TEXT(Base_de_Dados[[#This Row],[Semana]],"Mmmm")</f>
        <v>agosto</v>
      </c>
      <c r="F247">
        <f>YEAR(Base_de_Dados[[#This Row],[Semana]])</f>
        <v>2022</v>
      </c>
      <c r="G247" t="str">
        <f>IF(MONTH(Base_de_Dados[[#This Row],[Semana]])&lt;=6,"1ª Bimestre","2ª Bimestre")</f>
        <v>2ª Bimestre</v>
      </c>
    </row>
    <row r="248" spans="1:7" x14ac:dyDescent="0.25">
      <c r="A248" t="s">
        <v>114</v>
      </c>
      <c r="B248">
        <v>0</v>
      </c>
      <c r="C248" s="2">
        <v>0</v>
      </c>
      <c r="D248" s="48">
        <v>44802</v>
      </c>
      <c r="E248" s="48" t="str">
        <f>TEXT(Base_de_Dados[[#This Row],[Semana]],"Mmmm")</f>
        <v>agosto</v>
      </c>
      <c r="F248">
        <f>YEAR(Base_de_Dados[[#This Row],[Semana]])</f>
        <v>2022</v>
      </c>
      <c r="G248" t="str">
        <f>IF(MONTH(Base_de_Dados[[#This Row],[Semana]])&lt;=6,"1ª Bimestre","2ª Bimestre")</f>
        <v>2ª Bimestre</v>
      </c>
    </row>
    <row r="249" spans="1:7" x14ac:dyDescent="0.25">
      <c r="A249" t="s">
        <v>11</v>
      </c>
      <c r="B249">
        <v>0</v>
      </c>
      <c r="C249" s="2">
        <v>0</v>
      </c>
      <c r="D249" s="48">
        <v>44802</v>
      </c>
      <c r="E249" s="48" t="str">
        <f>TEXT(Base_de_Dados[[#This Row],[Semana]],"Mmmm")</f>
        <v>agosto</v>
      </c>
      <c r="F249">
        <f>YEAR(Base_de_Dados[[#This Row],[Semana]])</f>
        <v>2022</v>
      </c>
      <c r="G249" t="str">
        <f>IF(MONTH(Base_de_Dados[[#This Row],[Semana]])&lt;=6,"1ª Bimestre","2ª Bimestre")</f>
        <v>2ª Bimestre</v>
      </c>
    </row>
    <row r="250" spans="1:7" x14ac:dyDescent="0.25">
      <c r="A250" t="s">
        <v>144</v>
      </c>
      <c r="B250">
        <v>0</v>
      </c>
      <c r="C250" s="2">
        <v>0</v>
      </c>
      <c r="D250" s="48">
        <v>44802</v>
      </c>
      <c r="E250" s="48" t="str">
        <f>TEXT(Base_de_Dados[[#This Row],[Semana]],"Mmmm")</f>
        <v>agosto</v>
      </c>
      <c r="F250">
        <f>YEAR(Base_de_Dados[[#This Row],[Semana]])</f>
        <v>2022</v>
      </c>
      <c r="G250" t="str">
        <f>IF(MONTH(Base_de_Dados[[#This Row],[Semana]])&lt;=6,"1ª Bimestre","2ª Bimestre")</f>
        <v>2ª Bimestre</v>
      </c>
    </row>
    <row r="251" spans="1:7" x14ac:dyDescent="0.25">
      <c r="A251" t="s">
        <v>148</v>
      </c>
      <c r="B251">
        <v>2</v>
      </c>
      <c r="C251" s="2">
        <v>0.5</v>
      </c>
      <c r="D251" s="48">
        <v>44802</v>
      </c>
      <c r="E251" s="48" t="str">
        <f>TEXT(Base_de_Dados[[#This Row],[Semana]],"Mmmm")</f>
        <v>agosto</v>
      </c>
      <c r="F251">
        <f>YEAR(Base_de_Dados[[#This Row],[Semana]])</f>
        <v>2022</v>
      </c>
      <c r="G251" t="str">
        <f>IF(MONTH(Base_de_Dados[[#This Row],[Semana]])&lt;=6,"1ª Bimestre","2ª Bimestre")</f>
        <v>2ª Bimestre</v>
      </c>
    </row>
    <row r="252" spans="1:7" x14ac:dyDescent="0.25">
      <c r="A252" t="s">
        <v>112</v>
      </c>
      <c r="B252">
        <v>0</v>
      </c>
      <c r="C252" s="2">
        <v>0</v>
      </c>
      <c r="D252" s="48">
        <v>44809</v>
      </c>
      <c r="E252" s="48" t="str">
        <f>TEXT(Base_de_Dados[[#This Row],[Semana]],"Mmmm")</f>
        <v>setembro</v>
      </c>
      <c r="F252">
        <f>YEAR(Base_de_Dados[[#This Row],[Semana]])</f>
        <v>2022</v>
      </c>
      <c r="G252" t="str">
        <f>IF(MONTH(Base_de_Dados[[#This Row],[Semana]])&lt;=6,"1ª Bimestre","2ª Bimestre")</f>
        <v>2ª Bimestre</v>
      </c>
    </row>
    <row r="253" spans="1:7" x14ac:dyDescent="0.25">
      <c r="A253" t="s">
        <v>4</v>
      </c>
      <c r="B253">
        <v>0</v>
      </c>
      <c r="C253" s="2">
        <v>0</v>
      </c>
      <c r="D253" s="48">
        <v>44809</v>
      </c>
      <c r="E253" s="48" t="str">
        <f>TEXT(Base_de_Dados[[#This Row],[Semana]],"Mmmm")</f>
        <v>setembro</v>
      </c>
      <c r="F253">
        <f>YEAR(Base_de_Dados[[#This Row],[Semana]])</f>
        <v>2022</v>
      </c>
      <c r="G253" t="str">
        <f>IF(MONTH(Base_de_Dados[[#This Row],[Semana]])&lt;=6,"1ª Bimestre","2ª Bimestre")</f>
        <v>2ª Bimestre</v>
      </c>
    </row>
    <row r="254" spans="1:7" x14ac:dyDescent="0.25">
      <c r="A254" t="s">
        <v>5</v>
      </c>
      <c r="B254">
        <v>0</v>
      </c>
      <c r="C254" s="2">
        <v>0</v>
      </c>
      <c r="D254" s="48">
        <v>44809</v>
      </c>
      <c r="E254" s="48" t="str">
        <f>TEXT(Base_de_Dados[[#This Row],[Semana]],"Mmmm")</f>
        <v>setembro</v>
      </c>
      <c r="F254">
        <f>YEAR(Base_de_Dados[[#This Row],[Semana]])</f>
        <v>2022</v>
      </c>
      <c r="G254" t="str">
        <f>IF(MONTH(Base_de_Dados[[#This Row],[Semana]])&lt;=6,"1ª Bimestre","2ª Bimestre")</f>
        <v>2ª Bimestre</v>
      </c>
    </row>
    <row r="255" spans="1:7" x14ac:dyDescent="0.25">
      <c r="A255" t="s">
        <v>6</v>
      </c>
      <c r="B255">
        <v>0</v>
      </c>
      <c r="C255" s="2">
        <v>0</v>
      </c>
      <c r="D255" s="48">
        <v>44809</v>
      </c>
      <c r="E255" s="48" t="str">
        <f>TEXT(Base_de_Dados[[#This Row],[Semana]],"Mmmm")</f>
        <v>setembro</v>
      </c>
      <c r="F255">
        <f>YEAR(Base_de_Dados[[#This Row],[Semana]])</f>
        <v>2022</v>
      </c>
      <c r="G255" t="str">
        <f>IF(MONTH(Base_de_Dados[[#This Row],[Semana]])&lt;=6,"1ª Bimestre","2ª Bimestre")</f>
        <v>2ª Bimestre</v>
      </c>
    </row>
    <row r="256" spans="1:7" x14ac:dyDescent="0.25">
      <c r="A256" t="s">
        <v>7</v>
      </c>
      <c r="B256">
        <v>0</v>
      </c>
      <c r="C256" s="2">
        <v>0</v>
      </c>
      <c r="D256" s="48">
        <v>44809</v>
      </c>
      <c r="E256" s="48" t="str">
        <f>TEXT(Base_de_Dados[[#This Row],[Semana]],"Mmmm")</f>
        <v>setembro</v>
      </c>
      <c r="F256">
        <f>YEAR(Base_de_Dados[[#This Row],[Semana]])</f>
        <v>2022</v>
      </c>
      <c r="G256" t="str">
        <f>IF(MONTH(Base_de_Dados[[#This Row],[Semana]])&lt;=6,"1ª Bimestre","2ª Bimestre")</f>
        <v>2ª Bimestre</v>
      </c>
    </row>
    <row r="257" spans="1:7" x14ac:dyDescent="0.25">
      <c r="A257" t="s">
        <v>8</v>
      </c>
      <c r="B257">
        <v>0</v>
      </c>
      <c r="C257" s="2">
        <v>0</v>
      </c>
      <c r="D257" s="48">
        <v>44809</v>
      </c>
      <c r="E257" s="48" t="str">
        <f>TEXT(Base_de_Dados[[#This Row],[Semana]],"Mmmm")</f>
        <v>setembro</v>
      </c>
      <c r="F257">
        <f>YEAR(Base_de_Dados[[#This Row],[Semana]])</f>
        <v>2022</v>
      </c>
      <c r="G257" t="str">
        <f>IF(MONTH(Base_de_Dados[[#This Row],[Semana]])&lt;=6,"1ª Bimestre","2ª Bimestre")</f>
        <v>2ª Bimestre</v>
      </c>
    </row>
    <row r="258" spans="1:7" x14ac:dyDescent="0.25">
      <c r="A258" t="s">
        <v>9</v>
      </c>
      <c r="B258">
        <v>0</v>
      </c>
      <c r="C258" s="2">
        <v>0</v>
      </c>
      <c r="D258" s="48">
        <v>44809</v>
      </c>
      <c r="E258" s="48" t="str">
        <f>TEXT(Base_de_Dados[[#This Row],[Semana]],"Mmmm")</f>
        <v>setembro</v>
      </c>
      <c r="F258">
        <f>YEAR(Base_de_Dados[[#This Row],[Semana]])</f>
        <v>2022</v>
      </c>
      <c r="G258" t="str">
        <f>IF(MONTH(Base_de_Dados[[#This Row],[Semana]])&lt;=6,"1ª Bimestre","2ª Bimestre")</f>
        <v>2ª Bimestre</v>
      </c>
    </row>
    <row r="259" spans="1:7" x14ac:dyDescent="0.25">
      <c r="A259" t="s">
        <v>114</v>
      </c>
      <c r="B259">
        <v>0</v>
      </c>
      <c r="C259" s="2">
        <v>0</v>
      </c>
      <c r="D259" s="48">
        <v>44809</v>
      </c>
      <c r="E259" s="48" t="str">
        <f>TEXT(Base_de_Dados[[#This Row],[Semana]],"Mmmm")</f>
        <v>setembro</v>
      </c>
      <c r="F259">
        <f>YEAR(Base_de_Dados[[#This Row],[Semana]])</f>
        <v>2022</v>
      </c>
      <c r="G259" t="str">
        <f>IF(MONTH(Base_de_Dados[[#This Row],[Semana]])&lt;=6,"1ª Bimestre","2ª Bimestre")</f>
        <v>2ª Bimestre</v>
      </c>
    </row>
    <row r="260" spans="1:7" x14ac:dyDescent="0.25">
      <c r="A260" t="s">
        <v>11</v>
      </c>
      <c r="B260">
        <v>0</v>
      </c>
      <c r="C260" s="2">
        <v>0</v>
      </c>
      <c r="D260" s="48">
        <v>44809</v>
      </c>
      <c r="E260" s="48" t="str">
        <f>TEXT(Base_de_Dados[[#This Row],[Semana]],"Mmmm")</f>
        <v>setembro</v>
      </c>
      <c r="F260">
        <f>YEAR(Base_de_Dados[[#This Row],[Semana]])</f>
        <v>2022</v>
      </c>
      <c r="G260" t="str">
        <f>IF(MONTH(Base_de_Dados[[#This Row],[Semana]])&lt;=6,"1ª Bimestre","2ª Bimestre")</f>
        <v>2ª Bimestre</v>
      </c>
    </row>
    <row r="261" spans="1:7" x14ac:dyDescent="0.25">
      <c r="A261" t="s">
        <v>144</v>
      </c>
      <c r="B261">
        <v>0</v>
      </c>
      <c r="C261" s="2">
        <v>0</v>
      </c>
      <c r="D261" s="48">
        <v>44809</v>
      </c>
      <c r="E261" s="48" t="str">
        <f>TEXT(Base_de_Dados[[#This Row],[Semana]],"Mmmm")</f>
        <v>setembro</v>
      </c>
      <c r="F261">
        <f>YEAR(Base_de_Dados[[#This Row],[Semana]])</f>
        <v>2022</v>
      </c>
      <c r="G261" t="str">
        <f>IF(MONTH(Base_de_Dados[[#This Row],[Semana]])&lt;=6,"1ª Bimestre","2ª Bimestre")</f>
        <v>2ª Bimestre</v>
      </c>
    </row>
    <row r="262" spans="1:7" x14ac:dyDescent="0.25">
      <c r="A262" t="s">
        <v>148</v>
      </c>
      <c r="B262">
        <v>3</v>
      </c>
      <c r="C262" s="2">
        <v>1</v>
      </c>
      <c r="D262" s="48">
        <v>44809</v>
      </c>
      <c r="E262" s="48" t="str">
        <f>TEXT(Base_de_Dados[[#This Row],[Semana]],"Mmmm")</f>
        <v>setembro</v>
      </c>
      <c r="F262">
        <f>YEAR(Base_de_Dados[[#This Row],[Semana]])</f>
        <v>2022</v>
      </c>
      <c r="G262" t="str">
        <f>IF(MONTH(Base_de_Dados[[#This Row],[Semana]])&lt;=6,"1ª Bimestre","2ª Bimestre")</f>
        <v>2ª Bimestre</v>
      </c>
    </row>
    <row r="263" spans="1:7" x14ac:dyDescent="0.25">
      <c r="A263" t="s">
        <v>112</v>
      </c>
      <c r="B263">
        <v>0</v>
      </c>
      <c r="C263" s="2">
        <v>0</v>
      </c>
      <c r="D263" s="48">
        <v>44816</v>
      </c>
      <c r="E263" s="48" t="str">
        <f>TEXT(Base_de_Dados[[#This Row],[Semana]],"Mmmm")</f>
        <v>setembro</v>
      </c>
      <c r="F263">
        <f>YEAR(Base_de_Dados[[#This Row],[Semana]])</f>
        <v>2022</v>
      </c>
      <c r="G263" t="str">
        <f>IF(MONTH(Base_de_Dados[[#This Row],[Semana]])&lt;=6,"1ª Bimestre","2ª Bimestre")</f>
        <v>2ª Bimestre</v>
      </c>
    </row>
    <row r="264" spans="1:7" x14ac:dyDescent="0.25">
      <c r="A264" t="s">
        <v>4</v>
      </c>
      <c r="B264">
        <v>0</v>
      </c>
      <c r="C264" s="2">
        <v>0</v>
      </c>
      <c r="D264" s="48">
        <v>44816</v>
      </c>
      <c r="E264" s="48" t="str">
        <f>TEXT(Base_de_Dados[[#This Row],[Semana]],"Mmmm")</f>
        <v>setembro</v>
      </c>
      <c r="F264">
        <f>YEAR(Base_de_Dados[[#This Row],[Semana]])</f>
        <v>2022</v>
      </c>
      <c r="G264" t="str">
        <f>IF(MONTH(Base_de_Dados[[#This Row],[Semana]])&lt;=6,"1ª Bimestre","2ª Bimestre")</f>
        <v>2ª Bimestre</v>
      </c>
    </row>
    <row r="265" spans="1:7" x14ac:dyDescent="0.25">
      <c r="A265" t="s">
        <v>5</v>
      </c>
      <c r="B265">
        <v>0</v>
      </c>
      <c r="C265" s="2">
        <v>0</v>
      </c>
      <c r="D265" s="48">
        <v>44816</v>
      </c>
      <c r="E265" s="48" t="str">
        <f>TEXT(Base_de_Dados[[#This Row],[Semana]],"Mmmm")</f>
        <v>setembro</v>
      </c>
      <c r="F265">
        <f>YEAR(Base_de_Dados[[#This Row],[Semana]])</f>
        <v>2022</v>
      </c>
      <c r="G265" t="str">
        <f>IF(MONTH(Base_de_Dados[[#This Row],[Semana]])&lt;=6,"1ª Bimestre","2ª Bimestre")</f>
        <v>2ª Bimestre</v>
      </c>
    </row>
    <row r="266" spans="1:7" x14ac:dyDescent="0.25">
      <c r="A266" t="s">
        <v>6</v>
      </c>
      <c r="B266">
        <v>1</v>
      </c>
      <c r="C266" s="2">
        <v>0.14285714285714285</v>
      </c>
      <c r="D266" s="48">
        <v>44816</v>
      </c>
      <c r="E266" s="48" t="str">
        <f>TEXT(Base_de_Dados[[#This Row],[Semana]],"Mmmm")</f>
        <v>setembro</v>
      </c>
      <c r="F266">
        <f>YEAR(Base_de_Dados[[#This Row],[Semana]])</f>
        <v>2022</v>
      </c>
      <c r="G266" t="str">
        <f>IF(MONTH(Base_de_Dados[[#This Row],[Semana]])&lt;=6,"1ª Bimestre","2ª Bimestre")</f>
        <v>2ª Bimestre</v>
      </c>
    </row>
    <row r="267" spans="1:7" x14ac:dyDescent="0.25">
      <c r="A267" t="s">
        <v>7</v>
      </c>
      <c r="B267">
        <v>5</v>
      </c>
      <c r="C267" s="2">
        <v>0.7142857142857143</v>
      </c>
      <c r="D267" s="48">
        <v>44816</v>
      </c>
      <c r="E267" s="48" t="str">
        <f>TEXT(Base_de_Dados[[#This Row],[Semana]],"Mmmm")</f>
        <v>setembro</v>
      </c>
      <c r="F267">
        <f>YEAR(Base_de_Dados[[#This Row],[Semana]])</f>
        <v>2022</v>
      </c>
      <c r="G267" t="str">
        <f>IF(MONTH(Base_de_Dados[[#This Row],[Semana]])&lt;=6,"1ª Bimestre","2ª Bimestre")</f>
        <v>2ª Bimestre</v>
      </c>
    </row>
    <row r="268" spans="1:7" x14ac:dyDescent="0.25">
      <c r="A268" t="s">
        <v>8</v>
      </c>
      <c r="B268">
        <v>1</v>
      </c>
      <c r="C268" s="2">
        <v>0.14285714285714285</v>
      </c>
      <c r="D268" s="48">
        <v>44816</v>
      </c>
      <c r="E268" s="48" t="str">
        <f>TEXT(Base_de_Dados[[#This Row],[Semana]],"Mmmm")</f>
        <v>setembro</v>
      </c>
      <c r="F268">
        <f>YEAR(Base_de_Dados[[#This Row],[Semana]])</f>
        <v>2022</v>
      </c>
      <c r="G268" t="str">
        <f>IF(MONTH(Base_de_Dados[[#This Row],[Semana]])&lt;=6,"1ª Bimestre","2ª Bimestre")</f>
        <v>2ª Bimestre</v>
      </c>
    </row>
    <row r="269" spans="1:7" x14ac:dyDescent="0.25">
      <c r="A269" t="s">
        <v>9</v>
      </c>
      <c r="B269">
        <v>0</v>
      </c>
      <c r="C269" s="2">
        <v>0</v>
      </c>
      <c r="D269" s="48">
        <v>44816</v>
      </c>
      <c r="E269" s="48" t="str">
        <f>TEXT(Base_de_Dados[[#This Row],[Semana]],"Mmmm")</f>
        <v>setembro</v>
      </c>
      <c r="F269">
        <f>YEAR(Base_de_Dados[[#This Row],[Semana]])</f>
        <v>2022</v>
      </c>
      <c r="G269" t="str">
        <f>IF(MONTH(Base_de_Dados[[#This Row],[Semana]])&lt;=6,"1ª Bimestre","2ª Bimestre")</f>
        <v>2ª Bimestre</v>
      </c>
    </row>
    <row r="270" spans="1:7" x14ac:dyDescent="0.25">
      <c r="A270" t="s">
        <v>114</v>
      </c>
      <c r="B270">
        <v>0</v>
      </c>
      <c r="C270" s="2">
        <v>0</v>
      </c>
      <c r="D270" s="48">
        <v>44816</v>
      </c>
      <c r="E270" s="48" t="str">
        <f>TEXT(Base_de_Dados[[#This Row],[Semana]],"Mmmm")</f>
        <v>setembro</v>
      </c>
      <c r="F270">
        <f>YEAR(Base_de_Dados[[#This Row],[Semana]])</f>
        <v>2022</v>
      </c>
      <c r="G270" t="str">
        <f>IF(MONTH(Base_de_Dados[[#This Row],[Semana]])&lt;=6,"1ª Bimestre","2ª Bimestre")</f>
        <v>2ª Bimestre</v>
      </c>
    </row>
    <row r="271" spans="1:7" x14ac:dyDescent="0.25">
      <c r="A271" t="s">
        <v>11</v>
      </c>
      <c r="B271">
        <v>0</v>
      </c>
      <c r="C271" s="2">
        <v>0</v>
      </c>
      <c r="D271" s="48">
        <v>44816</v>
      </c>
      <c r="E271" s="48" t="str">
        <f>TEXT(Base_de_Dados[[#This Row],[Semana]],"Mmmm")</f>
        <v>setembro</v>
      </c>
      <c r="F271">
        <f>YEAR(Base_de_Dados[[#This Row],[Semana]])</f>
        <v>2022</v>
      </c>
      <c r="G271" t="str">
        <f>IF(MONTH(Base_de_Dados[[#This Row],[Semana]])&lt;=6,"1ª Bimestre","2ª Bimestre")</f>
        <v>2ª Bimestre</v>
      </c>
    </row>
    <row r="272" spans="1:7" x14ac:dyDescent="0.25">
      <c r="A272" t="s">
        <v>144</v>
      </c>
      <c r="B272">
        <v>0</v>
      </c>
      <c r="C272" s="2">
        <v>0</v>
      </c>
      <c r="D272" s="48">
        <v>44816</v>
      </c>
      <c r="E272" s="48" t="str">
        <f>TEXT(Base_de_Dados[[#This Row],[Semana]],"Mmmm")</f>
        <v>setembro</v>
      </c>
      <c r="F272">
        <f>YEAR(Base_de_Dados[[#This Row],[Semana]])</f>
        <v>2022</v>
      </c>
      <c r="G272" t="str">
        <f>IF(MONTH(Base_de_Dados[[#This Row],[Semana]])&lt;=6,"1ª Bimestre","2ª Bimestre")</f>
        <v>2ª Bimestre</v>
      </c>
    </row>
    <row r="273" spans="1:7" x14ac:dyDescent="0.25">
      <c r="A273" t="s">
        <v>148</v>
      </c>
      <c r="B273">
        <v>0</v>
      </c>
      <c r="C273" s="2">
        <v>0</v>
      </c>
      <c r="D273" s="48">
        <v>44816</v>
      </c>
      <c r="E273" s="48" t="str">
        <f>TEXT(Base_de_Dados[[#This Row],[Semana]],"Mmmm")</f>
        <v>setembro</v>
      </c>
      <c r="F273">
        <f>YEAR(Base_de_Dados[[#This Row],[Semana]])</f>
        <v>2022</v>
      </c>
      <c r="G273" t="str">
        <f>IF(MONTH(Base_de_Dados[[#This Row],[Semana]])&lt;=6,"1ª Bimestre","2ª Bimestre")</f>
        <v>2ª Bimestre</v>
      </c>
    </row>
    <row r="274" spans="1:7" x14ac:dyDescent="0.25">
      <c r="A274" t="s">
        <v>112</v>
      </c>
      <c r="B274">
        <v>0</v>
      </c>
      <c r="C274" s="2">
        <v>0</v>
      </c>
      <c r="D274" s="48">
        <v>44823</v>
      </c>
      <c r="E274" s="48" t="str">
        <f>TEXT(Base_de_Dados[[#This Row],[Semana]],"Mmmm")</f>
        <v>setembro</v>
      </c>
      <c r="F274">
        <f>YEAR(Base_de_Dados[[#This Row],[Semana]])</f>
        <v>2022</v>
      </c>
      <c r="G274" t="str">
        <f>IF(MONTH(Base_de_Dados[[#This Row],[Semana]])&lt;=6,"1ª Bimestre","2ª Bimestre")</f>
        <v>2ª Bimestre</v>
      </c>
    </row>
    <row r="275" spans="1:7" x14ac:dyDescent="0.25">
      <c r="A275" t="s">
        <v>4</v>
      </c>
      <c r="B275">
        <v>0</v>
      </c>
      <c r="C275" s="2">
        <v>0</v>
      </c>
      <c r="D275" s="48">
        <v>44823</v>
      </c>
      <c r="E275" s="48" t="str">
        <f>TEXT(Base_de_Dados[[#This Row],[Semana]],"Mmmm")</f>
        <v>setembro</v>
      </c>
      <c r="F275">
        <f>YEAR(Base_de_Dados[[#This Row],[Semana]])</f>
        <v>2022</v>
      </c>
      <c r="G275" t="str">
        <f>IF(MONTH(Base_de_Dados[[#This Row],[Semana]])&lt;=6,"1ª Bimestre","2ª Bimestre")</f>
        <v>2ª Bimestre</v>
      </c>
    </row>
    <row r="276" spans="1:7" x14ac:dyDescent="0.25">
      <c r="A276" t="s">
        <v>5</v>
      </c>
      <c r="B276">
        <v>4</v>
      </c>
      <c r="C276" s="2">
        <v>1</v>
      </c>
      <c r="D276" s="48">
        <v>44823</v>
      </c>
      <c r="E276" s="48" t="str">
        <f>TEXT(Base_de_Dados[[#This Row],[Semana]],"Mmmm")</f>
        <v>setembro</v>
      </c>
      <c r="F276">
        <f>YEAR(Base_de_Dados[[#This Row],[Semana]])</f>
        <v>2022</v>
      </c>
      <c r="G276" t="str">
        <f>IF(MONTH(Base_de_Dados[[#This Row],[Semana]])&lt;=6,"1ª Bimestre","2ª Bimestre")</f>
        <v>2ª Bimestre</v>
      </c>
    </row>
    <row r="277" spans="1:7" x14ac:dyDescent="0.25">
      <c r="A277" t="s">
        <v>6</v>
      </c>
      <c r="B277">
        <v>0</v>
      </c>
      <c r="C277" s="2">
        <v>0</v>
      </c>
      <c r="D277" s="48">
        <v>44823</v>
      </c>
      <c r="E277" s="48" t="str">
        <f>TEXT(Base_de_Dados[[#This Row],[Semana]],"Mmmm")</f>
        <v>setembro</v>
      </c>
      <c r="F277">
        <f>YEAR(Base_de_Dados[[#This Row],[Semana]])</f>
        <v>2022</v>
      </c>
      <c r="G277" t="str">
        <f>IF(MONTH(Base_de_Dados[[#This Row],[Semana]])&lt;=6,"1ª Bimestre","2ª Bimestre")</f>
        <v>2ª Bimestre</v>
      </c>
    </row>
    <row r="278" spans="1:7" x14ac:dyDescent="0.25">
      <c r="A278" t="s">
        <v>7</v>
      </c>
      <c r="B278">
        <v>0</v>
      </c>
      <c r="C278" s="2">
        <v>0</v>
      </c>
      <c r="D278" s="48">
        <v>44823</v>
      </c>
      <c r="E278" s="48" t="str">
        <f>TEXT(Base_de_Dados[[#This Row],[Semana]],"Mmmm")</f>
        <v>setembro</v>
      </c>
      <c r="F278">
        <f>YEAR(Base_de_Dados[[#This Row],[Semana]])</f>
        <v>2022</v>
      </c>
      <c r="G278" t="str">
        <f>IF(MONTH(Base_de_Dados[[#This Row],[Semana]])&lt;=6,"1ª Bimestre","2ª Bimestre")</f>
        <v>2ª Bimestre</v>
      </c>
    </row>
    <row r="279" spans="1:7" x14ac:dyDescent="0.25">
      <c r="A279" t="s">
        <v>8</v>
      </c>
      <c r="B279">
        <v>0</v>
      </c>
      <c r="C279" s="2">
        <v>0</v>
      </c>
      <c r="D279" s="48">
        <v>44823</v>
      </c>
      <c r="E279" s="48" t="str">
        <f>TEXT(Base_de_Dados[[#This Row],[Semana]],"Mmmm")</f>
        <v>setembro</v>
      </c>
      <c r="F279">
        <f>YEAR(Base_de_Dados[[#This Row],[Semana]])</f>
        <v>2022</v>
      </c>
      <c r="G279" t="str">
        <f>IF(MONTH(Base_de_Dados[[#This Row],[Semana]])&lt;=6,"1ª Bimestre","2ª Bimestre")</f>
        <v>2ª Bimestre</v>
      </c>
    </row>
    <row r="280" spans="1:7" x14ac:dyDescent="0.25">
      <c r="A280" t="s">
        <v>9</v>
      </c>
      <c r="B280">
        <v>0</v>
      </c>
      <c r="C280" s="2">
        <v>0</v>
      </c>
      <c r="D280" s="48">
        <v>44823</v>
      </c>
      <c r="E280" s="48" t="str">
        <f>TEXT(Base_de_Dados[[#This Row],[Semana]],"Mmmm")</f>
        <v>setembro</v>
      </c>
      <c r="F280">
        <f>YEAR(Base_de_Dados[[#This Row],[Semana]])</f>
        <v>2022</v>
      </c>
      <c r="G280" t="str">
        <f>IF(MONTH(Base_de_Dados[[#This Row],[Semana]])&lt;=6,"1ª Bimestre","2ª Bimestre")</f>
        <v>2ª Bimestre</v>
      </c>
    </row>
    <row r="281" spans="1:7" x14ac:dyDescent="0.25">
      <c r="A281" t="s">
        <v>114</v>
      </c>
      <c r="B281">
        <v>0</v>
      </c>
      <c r="C281" s="2">
        <v>0</v>
      </c>
      <c r="D281" s="48">
        <v>44823</v>
      </c>
      <c r="E281" s="48" t="str">
        <f>TEXT(Base_de_Dados[[#This Row],[Semana]],"Mmmm")</f>
        <v>setembro</v>
      </c>
      <c r="F281">
        <f>YEAR(Base_de_Dados[[#This Row],[Semana]])</f>
        <v>2022</v>
      </c>
      <c r="G281" t="str">
        <f>IF(MONTH(Base_de_Dados[[#This Row],[Semana]])&lt;=6,"1ª Bimestre","2ª Bimestre")</f>
        <v>2ª Bimestre</v>
      </c>
    </row>
    <row r="282" spans="1:7" x14ac:dyDescent="0.25">
      <c r="A282" t="s">
        <v>11</v>
      </c>
      <c r="B282">
        <v>0</v>
      </c>
      <c r="C282" s="2">
        <v>0</v>
      </c>
      <c r="D282" s="48">
        <v>44823</v>
      </c>
      <c r="E282" s="48" t="str">
        <f>TEXT(Base_de_Dados[[#This Row],[Semana]],"Mmmm")</f>
        <v>setembro</v>
      </c>
      <c r="F282">
        <f>YEAR(Base_de_Dados[[#This Row],[Semana]])</f>
        <v>2022</v>
      </c>
      <c r="G282" t="str">
        <f>IF(MONTH(Base_de_Dados[[#This Row],[Semana]])&lt;=6,"1ª Bimestre","2ª Bimestre")</f>
        <v>2ª Bimestre</v>
      </c>
    </row>
    <row r="283" spans="1:7" x14ac:dyDescent="0.25">
      <c r="A283" t="s">
        <v>144</v>
      </c>
      <c r="B283">
        <v>0</v>
      </c>
      <c r="C283" s="2">
        <v>0</v>
      </c>
      <c r="D283" s="48">
        <v>44823</v>
      </c>
      <c r="E283" s="48" t="str">
        <f>TEXT(Base_de_Dados[[#This Row],[Semana]],"Mmmm")</f>
        <v>setembro</v>
      </c>
      <c r="F283">
        <f>YEAR(Base_de_Dados[[#This Row],[Semana]])</f>
        <v>2022</v>
      </c>
      <c r="G283" t="str">
        <f>IF(MONTH(Base_de_Dados[[#This Row],[Semana]])&lt;=6,"1ª Bimestre","2ª Bimestre")</f>
        <v>2ª Bimestre</v>
      </c>
    </row>
    <row r="284" spans="1:7" x14ac:dyDescent="0.25">
      <c r="A284" t="s">
        <v>148</v>
      </c>
      <c r="B284">
        <v>0</v>
      </c>
      <c r="C284" s="2">
        <v>0</v>
      </c>
      <c r="D284" s="48">
        <v>44823</v>
      </c>
      <c r="E284" s="48" t="str">
        <f>TEXT(Base_de_Dados[[#This Row],[Semana]],"Mmmm")</f>
        <v>setembro</v>
      </c>
      <c r="F284">
        <f>YEAR(Base_de_Dados[[#This Row],[Semana]])</f>
        <v>2022</v>
      </c>
      <c r="G284" t="str">
        <f>IF(MONTH(Base_de_Dados[[#This Row],[Semana]])&lt;=6,"1ª Bimestre","2ª Bimestre")</f>
        <v>2ª Bimestre</v>
      </c>
    </row>
    <row r="285" spans="1:7" x14ac:dyDescent="0.25">
      <c r="A285" t="s">
        <v>112</v>
      </c>
      <c r="B285">
        <v>0</v>
      </c>
      <c r="C285" s="2">
        <v>0</v>
      </c>
      <c r="D285" s="48">
        <v>44830</v>
      </c>
      <c r="E285" s="48" t="str">
        <f>TEXT(Base_de_Dados[[#This Row],[Semana]],"Mmmm")</f>
        <v>setembro</v>
      </c>
      <c r="F285">
        <f>YEAR(Base_de_Dados[[#This Row],[Semana]])</f>
        <v>2022</v>
      </c>
      <c r="G285" t="str">
        <f>IF(MONTH(Base_de_Dados[[#This Row],[Semana]])&lt;=6,"1ª Bimestre","2ª Bimestre")</f>
        <v>2ª Bimestre</v>
      </c>
    </row>
    <row r="286" spans="1:7" x14ac:dyDescent="0.25">
      <c r="A286" t="s">
        <v>4</v>
      </c>
      <c r="B286">
        <v>0</v>
      </c>
      <c r="C286" s="2">
        <v>0</v>
      </c>
      <c r="D286" s="48">
        <v>44830</v>
      </c>
      <c r="E286" s="48" t="str">
        <f>TEXT(Base_de_Dados[[#This Row],[Semana]],"Mmmm")</f>
        <v>setembro</v>
      </c>
      <c r="F286">
        <f>YEAR(Base_de_Dados[[#This Row],[Semana]])</f>
        <v>2022</v>
      </c>
      <c r="G286" t="str">
        <f>IF(MONTH(Base_de_Dados[[#This Row],[Semana]])&lt;=6,"1ª Bimestre","2ª Bimestre")</f>
        <v>2ª Bimestre</v>
      </c>
    </row>
    <row r="287" spans="1:7" x14ac:dyDescent="0.25">
      <c r="A287" t="s">
        <v>5</v>
      </c>
      <c r="B287">
        <v>0</v>
      </c>
      <c r="C287" s="2">
        <v>0</v>
      </c>
      <c r="D287" s="48">
        <v>44830</v>
      </c>
      <c r="E287" s="48" t="str">
        <f>TEXT(Base_de_Dados[[#This Row],[Semana]],"Mmmm")</f>
        <v>setembro</v>
      </c>
      <c r="F287">
        <f>YEAR(Base_de_Dados[[#This Row],[Semana]])</f>
        <v>2022</v>
      </c>
      <c r="G287" t="str">
        <f>IF(MONTH(Base_de_Dados[[#This Row],[Semana]])&lt;=6,"1ª Bimestre","2ª Bimestre")</f>
        <v>2ª Bimestre</v>
      </c>
    </row>
    <row r="288" spans="1:7" x14ac:dyDescent="0.25">
      <c r="A288" t="s">
        <v>6</v>
      </c>
      <c r="B288">
        <v>0</v>
      </c>
      <c r="C288" s="2">
        <v>0</v>
      </c>
      <c r="D288" s="48">
        <v>44830</v>
      </c>
      <c r="E288" s="48" t="str">
        <f>TEXT(Base_de_Dados[[#This Row],[Semana]],"Mmmm")</f>
        <v>setembro</v>
      </c>
      <c r="F288">
        <f>YEAR(Base_de_Dados[[#This Row],[Semana]])</f>
        <v>2022</v>
      </c>
      <c r="G288" t="str">
        <f>IF(MONTH(Base_de_Dados[[#This Row],[Semana]])&lt;=6,"1ª Bimestre","2ª Bimestre")</f>
        <v>2ª Bimestre</v>
      </c>
    </row>
    <row r="289" spans="1:7" x14ac:dyDescent="0.25">
      <c r="A289" t="s">
        <v>7</v>
      </c>
      <c r="B289">
        <v>2</v>
      </c>
      <c r="C289" s="2">
        <v>1</v>
      </c>
      <c r="D289" s="48">
        <v>44830</v>
      </c>
      <c r="E289" s="48" t="str">
        <f>TEXT(Base_de_Dados[[#This Row],[Semana]],"Mmmm")</f>
        <v>setembro</v>
      </c>
      <c r="F289">
        <f>YEAR(Base_de_Dados[[#This Row],[Semana]])</f>
        <v>2022</v>
      </c>
      <c r="G289" t="str">
        <f>IF(MONTH(Base_de_Dados[[#This Row],[Semana]])&lt;=6,"1ª Bimestre","2ª Bimestre")</f>
        <v>2ª Bimestre</v>
      </c>
    </row>
    <row r="290" spans="1:7" x14ac:dyDescent="0.25">
      <c r="A290" t="s">
        <v>8</v>
      </c>
      <c r="B290">
        <v>0</v>
      </c>
      <c r="C290" s="2">
        <v>0</v>
      </c>
      <c r="D290" s="48">
        <v>44830</v>
      </c>
      <c r="E290" s="48" t="str">
        <f>TEXT(Base_de_Dados[[#This Row],[Semana]],"Mmmm")</f>
        <v>setembro</v>
      </c>
      <c r="F290">
        <f>YEAR(Base_de_Dados[[#This Row],[Semana]])</f>
        <v>2022</v>
      </c>
      <c r="G290" t="str">
        <f>IF(MONTH(Base_de_Dados[[#This Row],[Semana]])&lt;=6,"1ª Bimestre","2ª Bimestre")</f>
        <v>2ª Bimestre</v>
      </c>
    </row>
    <row r="291" spans="1:7" x14ac:dyDescent="0.25">
      <c r="A291" t="s">
        <v>9</v>
      </c>
      <c r="B291">
        <v>0</v>
      </c>
      <c r="C291" s="2">
        <v>0</v>
      </c>
      <c r="D291" s="48">
        <v>44830</v>
      </c>
      <c r="E291" s="48" t="str">
        <f>TEXT(Base_de_Dados[[#This Row],[Semana]],"Mmmm")</f>
        <v>setembro</v>
      </c>
      <c r="F291">
        <f>YEAR(Base_de_Dados[[#This Row],[Semana]])</f>
        <v>2022</v>
      </c>
      <c r="G291" t="str">
        <f>IF(MONTH(Base_de_Dados[[#This Row],[Semana]])&lt;=6,"1ª Bimestre","2ª Bimestre")</f>
        <v>2ª Bimestre</v>
      </c>
    </row>
    <row r="292" spans="1:7" x14ac:dyDescent="0.25">
      <c r="A292" t="s">
        <v>114</v>
      </c>
      <c r="B292">
        <v>0</v>
      </c>
      <c r="C292" s="2">
        <v>0</v>
      </c>
      <c r="D292" s="48">
        <v>44830</v>
      </c>
      <c r="E292" s="48" t="str">
        <f>TEXT(Base_de_Dados[[#This Row],[Semana]],"Mmmm")</f>
        <v>setembro</v>
      </c>
      <c r="F292">
        <f>YEAR(Base_de_Dados[[#This Row],[Semana]])</f>
        <v>2022</v>
      </c>
      <c r="G292" t="str">
        <f>IF(MONTH(Base_de_Dados[[#This Row],[Semana]])&lt;=6,"1ª Bimestre","2ª Bimestre")</f>
        <v>2ª Bimestre</v>
      </c>
    </row>
    <row r="293" spans="1:7" x14ac:dyDescent="0.25">
      <c r="A293" t="s">
        <v>11</v>
      </c>
      <c r="B293">
        <v>0</v>
      </c>
      <c r="C293" s="2">
        <v>0</v>
      </c>
      <c r="D293" s="48">
        <v>44830</v>
      </c>
      <c r="E293" s="48" t="str">
        <f>TEXT(Base_de_Dados[[#This Row],[Semana]],"Mmmm")</f>
        <v>setembro</v>
      </c>
      <c r="F293">
        <f>YEAR(Base_de_Dados[[#This Row],[Semana]])</f>
        <v>2022</v>
      </c>
      <c r="G293" t="str">
        <f>IF(MONTH(Base_de_Dados[[#This Row],[Semana]])&lt;=6,"1ª Bimestre","2ª Bimestre")</f>
        <v>2ª Bimestre</v>
      </c>
    </row>
    <row r="294" spans="1:7" x14ac:dyDescent="0.25">
      <c r="A294" t="s">
        <v>144</v>
      </c>
      <c r="B294">
        <v>0</v>
      </c>
      <c r="C294" s="2">
        <v>0</v>
      </c>
      <c r="D294" s="48">
        <v>44830</v>
      </c>
      <c r="E294" s="48" t="str">
        <f>TEXT(Base_de_Dados[[#This Row],[Semana]],"Mmmm")</f>
        <v>setembro</v>
      </c>
      <c r="F294">
        <f>YEAR(Base_de_Dados[[#This Row],[Semana]])</f>
        <v>2022</v>
      </c>
      <c r="G294" t="str">
        <f>IF(MONTH(Base_de_Dados[[#This Row],[Semana]])&lt;=6,"1ª Bimestre","2ª Bimestre")</f>
        <v>2ª Bimestre</v>
      </c>
    </row>
    <row r="295" spans="1:7" x14ac:dyDescent="0.25">
      <c r="A295" t="s">
        <v>148</v>
      </c>
      <c r="B295">
        <v>0</v>
      </c>
      <c r="C295" s="2">
        <v>0</v>
      </c>
      <c r="D295" s="48">
        <v>44830</v>
      </c>
      <c r="E295" s="48" t="str">
        <f>TEXT(Base_de_Dados[[#This Row],[Semana]],"Mmmm")</f>
        <v>setembro</v>
      </c>
      <c r="F295">
        <f>YEAR(Base_de_Dados[[#This Row],[Semana]])</f>
        <v>2022</v>
      </c>
      <c r="G295" t="str">
        <f>IF(MONTH(Base_de_Dados[[#This Row],[Semana]])&lt;=6,"1ª Bimestre","2ª Bimestre")</f>
        <v>2ª Bimestre</v>
      </c>
    </row>
    <row r="296" spans="1:7" x14ac:dyDescent="0.25">
      <c r="A296" t="s">
        <v>112</v>
      </c>
      <c r="B296">
        <v>0</v>
      </c>
      <c r="C296" s="2">
        <v>0</v>
      </c>
      <c r="D296" s="48">
        <v>44837</v>
      </c>
      <c r="E296" s="48" t="str">
        <f>TEXT(Base_de_Dados[[#This Row],[Semana]],"Mmmm")</f>
        <v>outubro</v>
      </c>
      <c r="F296">
        <f>YEAR(Base_de_Dados[[#This Row],[Semana]])</f>
        <v>2022</v>
      </c>
      <c r="G296" t="str">
        <f>IF(MONTH(Base_de_Dados[[#This Row],[Semana]])&lt;=6,"1ª Bimestre","2ª Bimestre")</f>
        <v>2ª Bimestre</v>
      </c>
    </row>
    <row r="297" spans="1:7" x14ac:dyDescent="0.25">
      <c r="A297" t="s">
        <v>4</v>
      </c>
      <c r="B297">
        <v>0</v>
      </c>
      <c r="C297" s="2">
        <v>0</v>
      </c>
      <c r="D297" s="48">
        <v>44837</v>
      </c>
      <c r="E297" s="48" t="str">
        <f>TEXT(Base_de_Dados[[#This Row],[Semana]],"Mmmm")</f>
        <v>outubro</v>
      </c>
      <c r="F297">
        <f>YEAR(Base_de_Dados[[#This Row],[Semana]])</f>
        <v>2022</v>
      </c>
      <c r="G297" t="str">
        <f>IF(MONTH(Base_de_Dados[[#This Row],[Semana]])&lt;=6,"1ª Bimestre","2ª Bimestre")</f>
        <v>2ª Bimestre</v>
      </c>
    </row>
    <row r="298" spans="1:7" x14ac:dyDescent="0.25">
      <c r="A298" t="s">
        <v>5</v>
      </c>
      <c r="B298">
        <v>1</v>
      </c>
      <c r="C298" s="2">
        <v>0.33333333333333331</v>
      </c>
      <c r="D298" s="48">
        <v>44837</v>
      </c>
      <c r="E298" s="48" t="str">
        <f>TEXT(Base_de_Dados[[#This Row],[Semana]],"Mmmm")</f>
        <v>outubro</v>
      </c>
      <c r="F298">
        <f>YEAR(Base_de_Dados[[#This Row],[Semana]])</f>
        <v>2022</v>
      </c>
      <c r="G298" t="str">
        <f>IF(MONTH(Base_de_Dados[[#This Row],[Semana]])&lt;=6,"1ª Bimestre","2ª Bimestre")</f>
        <v>2ª Bimestre</v>
      </c>
    </row>
    <row r="299" spans="1:7" x14ac:dyDescent="0.25">
      <c r="A299" t="s">
        <v>6</v>
      </c>
      <c r="B299">
        <v>1</v>
      </c>
      <c r="C299" s="2">
        <v>0.33333333333333331</v>
      </c>
      <c r="D299" s="48">
        <v>44837</v>
      </c>
      <c r="E299" s="48" t="str">
        <f>TEXT(Base_de_Dados[[#This Row],[Semana]],"Mmmm")</f>
        <v>outubro</v>
      </c>
      <c r="F299">
        <f>YEAR(Base_de_Dados[[#This Row],[Semana]])</f>
        <v>2022</v>
      </c>
      <c r="G299" t="str">
        <f>IF(MONTH(Base_de_Dados[[#This Row],[Semana]])&lt;=6,"1ª Bimestre","2ª Bimestre")</f>
        <v>2ª Bimestre</v>
      </c>
    </row>
    <row r="300" spans="1:7" x14ac:dyDescent="0.25">
      <c r="A300" t="s">
        <v>7</v>
      </c>
      <c r="B300">
        <v>1</v>
      </c>
      <c r="C300" s="2">
        <v>0.33333333333333331</v>
      </c>
      <c r="D300" s="48">
        <v>44837</v>
      </c>
      <c r="E300" s="48" t="str">
        <f>TEXT(Base_de_Dados[[#This Row],[Semana]],"Mmmm")</f>
        <v>outubro</v>
      </c>
      <c r="F300">
        <f>YEAR(Base_de_Dados[[#This Row],[Semana]])</f>
        <v>2022</v>
      </c>
      <c r="G300" t="str">
        <f>IF(MONTH(Base_de_Dados[[#This Row],[Semana]])&lt;=6,"1ª Bimestre","2ª Bimestre")</f>
        <v>2ª Bimestre</v>
      </c>
    </row>
    <row r="301" spans="1:7" x14ac:dyDescent="0.25">
      <c r="A301" t="s">
        <v>8</v>
      </c>
      <c r="B301">
        <v>0</v>
      </c>
      <c r="C301" s="2">
        <v>0</v>
      </c>
      <c r="D301" s="48">
        <v>44837</v>
      </c>
      <c r="E301" s="48" t="str">
        <f>TEXT(Base_de_Dados[[#This Row],[Semana]],"Mmmm")</f>
        <v>outubro</v>
      </c>
      <c r="F301">
        <f>YEAR(Base_de_Dados[[#This Row],[Semana]])</f>
        <v>2022</v>
      </c>
      <c r="G301" t="str">
        <f>IF(MONTH(Base_de_Dados[[#This Row],[Semana]])&lt;=6,"1ª Bimestre","2ª Bimestre")</f>
        <v>2ª Bimestre</v>
      </c>
    </row>
    <row r="302" spans="1:7" x14ac:dyDescent="0.25">
      <c r="A302" t="s">
        <v>9</v>
      </c>
      <c r="B302">
        <v>0</v>
      </c>
      <c r="C302" s="2">
        <v>0</v>
      </c>
      <c r="D302" s="48">
        <v>44837</v>
      </c>
      <c r="E302" s="48" t="str">
        <f>TEXT(Base_de_Dados[[#This Row],[Semana]],"Mmmm")</f>
        <v>outubro</v>
      </c>
      <c r="F302">
        <f>YEAR(Base_de_Dados[[#This Row],[Semana]])</f>
        <v>2022</v>
      </c>
      <c r="G302" t="str">
        <f>IF(MONTH(Base_de_Dados[[#This Row],[Semana]])&lt;=6,"1ª Bimestre","2ª Bimestre")</f>
        <v>2ª Bimestre</v>
      </c>
    </row>
    <row r="303" spans="1:7" x14ac:dyDescent="0.25">
      <c r="A303" t="s">
        <v>114</v>
      </c>
      <c r="B303">
        <v>0</v>
      </c>
      <c r="C303" s="2">
        <v>0</v>
      </c>
      <c r="D303" s="48">
        <v>44837</v>
      </c>
      <c r="E303" s="48" t="str">
        <f>TEXT(Base_de_Dados[[#This Row],[Semana]],"Mmmm")</f>
        <v>outubro</v>
      </c>
      <c r="F303">
        <f>YEAR(Base_de_Dados[[#This Row],[Semana]])</f>
        <v>2022</v>
      </c>
      <c r="G303" t="str">
        <f>IF(MONTH(Base_de_Dados[[#This Row],[Semana]])&lt;=6,"1ª Bimestre","2ª Bimestre")</f>
        <v>2ª Bimestre</v>
      </c>
    </row>
    <row r="304" spans="1:7" x14ac:dyDescent="0.25">
      <c r="A304" t="s">
        <v>11</v>
      </c>
      <c r="B304">
        <v>0</v>
      </c>
      <c r="C304" s="2">
        <v>0</v>
      </c>
      <c r="D304" s="48">
        <v>44837</v>
      </c>
      <c r="E304" s="48" t="str">
        <f>TEXT(Base_de_Dados[[#This Row],[Semana]],"Mmmm")</f>
        <v>outubro</v>
      </c>
      <c r="F304">
        <f>YEAR(Base_de_Dados[[#This Row],[Semana]])</f>
        <v>2022</v>
      </c>
      <c r="G304" t="str">
        <f>IF(MONTH(Base_de_Dados[[#This Row],[Semana]])&lt;=6,"1ª Bimestre","2ª Bimestre")</f>
        <v>2ª Bimestre</v>
      </c>
    </row>
    <row r="305" spans="1:7" x14ac:dyDescent="0.25">
      <c r="A305" t="s">
        <v>144</v>
      </c>
      <c r="B305">
        <v>0</v>
      </c>
      <c r="C305" s="2">
        <v>0</v>
      </c>
      <c r="D305" s="48">
        <v>44837</v>
      </c>
      <c r="E305" s="48" t="str">
        <f>TEXT(Base_de_Dados[[#This Row],[Semana]],"Mmmm")</f>
        <v>outubro</v>
      </c>
      <c r="F305">
        <f>YEAR(Base_de_Dados[[#This Row],[Semana]])</f>
        <v>2022</v>
      </c>
      <c r="G305" t="str">
        <f>IF(MONTH(Base_de_Dados[[#This Row],[Semana]])&lt;=6,"1ª Bimestre","2ª Bimestre")</f>
        <v>2ª Bimestre</v>
      </c>
    </row>
    <row r="306" spans="1:7" x14ac:dyDescent="0.25">
      <c r="A306" t="s">
        <v>148</v>
      </c>
      <c r="B306">
        <v>0</v>
      </c>
      <c r="C306" s="2">
        <v>0</v>
      </c>
      <c r="D306" s="48">
        <v>44837</v>
      </c>
      <c r="E306" s="48" t="str">
        <f>TEXT(Base_de_Dados[[#This Row],[Semana]],"Mmmm")</f>
        <v>outubro</v>
      </c>
      <c r="F306">
        <f>YEAR(Base_de_Dados[[#This Row],[Semana]])</f>
        <v>2022</v>
      </c>
      <c r="G306" t="str">
        <f>IF(MONTH(Base_de_Dados[[#This Row],[Semana]])&lt;=6,"1ª Bimestre","2ª Bimestre")</f>
        <v>2ª Bimestre</v>
      </c>
    </row>
    <row r="307" spans="1:7" x14ac:dyDescent="0.25">
      <c r="A307" t="s">
        <v>112</v>
      </c>
      <c r="B307">
        <v>0</v>
      </c>
      <c r="C307" s="2">
        <v>0</v>
      </c>
      <c r="D307" s="48">
        <v>44844</v>
      </c>
      <c r="E307" s="48" t="str">
        <f>TEXT(Base_de_Dados[[#This Row],[Semana]],"Mmmm")</f>
        <v>outubro</v>
      </c>
      <c r="F307">
        <f>YEAR(Base_de_Dados[[#This Row],[Semana]])</f>
        <v>2022</v>
      </c>
      <c r="G307" t="str">
        <f>IF(MONTH(Base_de_Dados[[#This Row],[Semana]])&lt;=6,"1ª Bimestre","2ª Bimestre")</f>
        <v>2ª Bimestre</v>
      </c>
    </row>
    <row r="308" spans="1:7" x14ac:dyDescent="0.25">
      <c r="A308" t="s">
        <v>4</v>
      </c>
      <c r="B308">
        <v>0</v>
      </c>
      <c r="C308" s="2">
        <v>0</v>
      </c>
      <c r="D308" s="48">
        <v>44844</v>
      </c>
      <c r="E308" s="48" t="str">
        <f>TEXT(Base_de_Dados[[#This Row],[Semana]],"Mmmm")</f>
        <v>outubro</v>
      </c>
      <c r="F308">
        <f>YEAR(Base_de_Dados[[#This Row],[Semana]])</f>
        <v>2022</v>
      </c>
      <c r="G308" t="str">
        <f>IF(MONTH(Base_de_Dados[[#This Row],[Semana]])&lt;=6,"1ª Bimestre","2ª Bimestre")</f>
        <v>2ª Bimestre</v>
      </c>
    </row>
    <row r="309" spans="1:7" x14ac:dyDescent="0.25">
      <c r="A309" t="s">
        <v>5</v>
      </c>
      <c r="B309">
        <v>2</v>
      </c>
      <c r="C309" s="2">
        <v>0.33333333333333331</v>
      </c>
      <c r="D309" s="48">
        <v>44844</v>
      </c>
      <c r="E309" s="48" t="str">
        <f>TEXT(Base_de_Dados[[#This Row],[Semana]],"Mmmm")</f>
        <v>outubro</v>
      </c>
      <c r="F309">
        <f>YEAR(Base_de_Dados[[#This Row],[Semana]])</f>
        <v>2022</v>
      </c>
      <c r="G309" t="str">
        <f>IF(MONTH(Base_de_Dados[[#This Row],[Semana]])&lt;=6,"1ª Bimestre","2ª Bimestre")</f>
        <v>2ª Bimestre</v>
      </c>
    </row>
    <row r="310" spans="1:7" x14ac:dyDescent="0.25">
      <c r="A310" t="s">
        <v>6</v>
      </c>
      <c r="B310">
        <v>1</v>
      </c>
      <c r="C310" s="2">
        <v>0.16666666666666666</v>
      </c>
      <c r="D310" s="48">
        <v>44844</v>
      </c>
      <c r="E310" s="48" t="str">
        <f>TEXT(Base_de_Dados[[#This Row],[Semana]],"Mmmm")</f>
        <v>outubro</v>
      </c>
      <c r="F310">
        <f>YEAR(Base_de_Dados[[#This Row],[Semana]])</f>
        <v>2022</v>
      </c>
      <c r="G310" t="str">
        <f>IF(MONTH(Base_de_Dados[[#This Row],[Semana]])&lt;=6,"1ª Bimestre","2ª Bimestre")</f>
        <v>2ª Bimestre</v>
      </c>
    </row>
    <row r="311" spans="1:7" x14ac:dyDescent="0.25">
      <c r="A311" t="s">
        <v>7</v>
      </c>
      <c r="B311">
        <v>2</v>
      </c>
      <c r="C311" s="2">
        <v>0.33333333333333331</v>
      </c>
      <c r="D311" s="48">
        <v>44844</v>
      </c>
      <c r="E311" s="48" t="str">
        <f>TEXT(Base_de_Dados[[#This Row],[Semana]],"Mmmm")</f>
        <v>outubro</v>
      </c>
      <c r="F311">
        <f>YEAR(Base_de_Dados[[#This Row],[Semana]])</f>
        <v>2022</v>
      </c>
      <c r="G311" t="str">
        <f>IF(MONTH(Base_de_Dados[[#This Row],[Semana]])&lt;=6,"1ª Bimestre","2ª Bimestre")</f>
        <v>2ª Bimestre</v>
      </c>
    </row>
    <row r="312" spans="1:7" x14ac:dyDescent="0.25">
      <c r="A312" t="s">
        <v>8</v>
      </c>
      <c r="B312">
        <v>1</v>
      </c>
      <c r="C312" s="2">
        <v>0.16666666666666666</v>
      </c>
      <c r="D312" s="48">
        <v>44844</v>
      </c>
      <c r="E312" s="48" t="str">
        <f>TEXT(Base_de_Dados[[#This Row],[Semana]],"Mmmm")</f>
        <v>outubro</v>
      </c>
      <c r="F312">
        <f>YEAR(Base_de_Dados[[#This Row],[Semana]])</f>
        <v>2022</v>
      </c>
      <c r="G312" t="str">
        <f>IF(MONTH(Base_de_Dados[[#This Row],[Semana]])&lt;=6,"1ª Bimestre","2ª Bimestre")</f>
        <v>2ª Bimestre</v>
      </c>
    </row>
    <row r="313" spans="1:7" x14ac:dyDescent="0.25">
      <c r="A313" t="s">
        <v>9</v>
      </c>
      <c r="B313">
        <v>0</v>
      </c>
      <c r="C313" s="2">
        <v>0</v>
      </c>
      <c r="D313" s="48">
        <v>44844</v>
      </c>
      <c r="E313" s="48" t="str">
        <f>TEXT(Base_de_Dados[[#This Row],[Semana]],"Mmmm")</f>
        <v>outubro</v>
      </c>
      <c r="F313">
        <f>YEAR(Base_de_Dados[[#This Row],[Semana]])</f>
        <v>2022</v>
      </c>
      <c r="G313" t="str">
        <f>IF(MONTH(Base_de_Dados[[#This Row],[Semana]])&lt;=6,"1ª Bimestre","2ª Bimestre")</f>
        <v>2ª Bimestre</v>
      </c>
    </row>
    <row r="314" spans="1:7" x14ac:dyDescent="0.25">
      <c r="A314" t="s">
        <v>114</v>
      </c>
      <c r="B314">
        <v>0</v>
      </c>
      <c r="C314" s="2">
        <v>0</v>
      </c>
      <c r="D314" s="48">
        <v>44844</v>
      </c>
      <c r="E314" s="48" t="str">
        <f>TEXT(Base_de_Dados[[#This Row],[Semana]],"Mmmm")</f>
        <v>outubro</v>
      </c>
      <c r="F314">
        <f>YEAR(Base_de_Dados[[#This Row],[Semana]])</f>
        <v>2022</v>
      </c>
      <c r="G314" t="str">
        <f>IF(MONTH(Base_de_Dados[[#This Row],[Semana]])&lt;=6,"1ª Bimestre","2ª Bimestre")</f>
        <v>2ª Bimestre</v>
      </c>
    </row>
    <row r="315" spans="1:7" x14ac:dyDescent="0.25">
      <c r="A315" t="s">
        <v>11</v>
      </c>
      <c r="B315">
        <v>0</v>
      </c>
      <c r="C315" s="2">
        <v>0</v>
      </c>
      <c r="D315" s="48">
        <v>44844</v>
      </c>
      <c r="E315" s="48" t="str">
        <f>TEXT(Base_de_Dados[[#This Row],[Semana]],"Mmmm")</f>
        <v>outubro</v>
      </c>
      <c r="F315">
        <f>YEAR(Base_de_Dados[[#This Row],[Semana]])</f>
        <v>2022</v>
      </c>
      <c r="G315" t="str">
        <f>IF(MONTH(Base_de_Dados[[#This Row],[Semana]])&lt;=6,"1ª Bimestre","2ª Bimestre")</f>
        <v>2ª Bimestre</v>
      </c>
    </row>
    <row r="316" spans="1:7" x14ac:dyDescent="0.25">
      <c r="A316" t="s">
        <v>144</v>
      </c>
      <c r="B316">
        <v>0</v>
      </c>
      <c r="C316" s="2">
        <v>0</v>
      </c>
      <c r="D316" s="48">
        <v>44844</v>
      </c>
      <c r="E316" s="48" t="str">
        <f>TEXT(Base_de_Dados[[#This Row],[Semana]],"Mmmm")</f>
        <v>outubro</v>
      </c>
      <c r="F316">
        <f>YEAR(Base_de_Dados[[#This Row],[Semana]])</f>
        <v>2022</v>
      </c>
      <c r="G316" t="str">
        <f>IF(MONTH(Base_de_Dados[[#This Row],[Semana]])&lt;=6,"1ª Bimestre","2ª Bimestre")</f>
        <v>2ª Bimestre</v>
      </c>
    </row>
    <row r="317" spans="1:7" x14ac:dyDescent="0.25">
      <c r="A317" t="s">
        <v>148</v>
      </c>
      <c r="B317">
        <v>0</v>
      </c>
      <c r="C317" s="2">
        <v>0</v>
      </c>
      <c r="D317" s="48">
        <v>44844</v>
      </c>
      <c r="E317" s="48" t="str">
        <f>TEXT(Base_de_Dados[[#This Row],[Semana]],"Mmmm")</f>
        <v>outubro</v>
      </c>
      <c r="F317">
        <f>YEAR(Base_de_Dados[[#This Row],[Semana]])</f>
        <v>2022</v>
      </c>
      <c r="G317" t="str">
        <f>IF(MONTH(Base_de_Dados[[#This Row],[Semana]])&lt;=6,"1ª Bimestre","2ª Bimestre")</f>
        <v>2ª Bimestre</v>
      </c>
    </row>
    <row r="318" spans="1:7" x14ac:dyDescent="0.25">
      <c r="A318" t="s">
        <v>112</v>
      </c>
      <c r="B318">
        <v>0</v>
      </c>
      <c r="C318" s="2">
        <v>0</v>
      </c>
      <c r="D318" s="48">
        <v>44851</v>
      </c>
      <c r="E318" s="48" t="str">
        <f>TEXT(Base_de_Dados[[#This Row],[Semana]],"Mmmm")</f>
        <v>outubro</v>
      </c>
      <c r="F318">
        <f>YEAR(Base_de_Dados[[#This Row],[Semana]])</f>
        <v>2022</v>
      </c>
      <c r="G318" t="str">
        <f>IF(MONTH(Base_de_Dados[[#This Row],[Semana]])&lt;=6,"1ª Bimestre","2ª Bimestre")</f>
        <v>2ª Bimestre</v>
      </c>
    </row>
    <row r="319" spans="1:7" x14ac:dyDescent="0.25">
      <c r="A319" t="s">
        <v>4</v>
      </c>
      <c r="B319">
        <v>0</v>
      </c>
      <c r="C319" s="2">
        <v>0</v>
      </c>
      <c r="D319" s="48">
        <v>44851</v>
      </c>
      <c r="E319" s="48" t="str">
        <f>TEXT(Base_de_Dados[[#This Row],[Semana]],"Mmmm")</f>
        <v>outubro</v>
      </c>
      <c r="F319">
        <f>YEAR(Base_de_Dados[[#This Row],[Semana]])</f>
        <v>2022</v>
      </c>
      <c r="G319" t="str">
        <f>IF(MONTH(Base_de_Dados[[#This Row],[Semana]])&lt;=6,"1ª Bimestre","2ª Bimestre")</f>
        <v>2ª Bimestre</v>
      </c>
    </row>
    <row r="320" spans="1:7" x14ac:dyDescent="0.25">
      <c r="A320" t="s">
        <v>5</v>
      </c>
      <c r="B320">
        <v>0</v>
      </c>
      <c r="C320" s="2">
        <v>0</v>
      </c>
      <c r="D320" s="48">
        <v>44851</v>
      </c>
      <c r="E320" s="48" t="str">
        <f>TEXT(Base_de_Dados[[#This Row],[Semana]],"Mmmm")</f>
        <v>outubro</v>
      </c>
      <c r="F320">
        <f>YEAR(Base_de_Dados[[#This Row],[Semana]])</f>
        <v>2022</v>
      </c>
      <c r="G320" t="str">
        <f>IF(MONTH(Base_de_Dados[[#This Row],[Semana]])&lt;=6,"1ª Bimestre","2ª Bimestre")</f>
        <v>2ª Bimestre</v>
      </c>
    </row>
    <row r="321" spans="1:7" x14ac:dyDescent="0.25">
      <c r="A321" t="s">
        <v>6</v>
      </c>
      <c r="B321">
        <v>1</v>
      </c>
      <c r="C321" s="2">
        <v>0.33333333333333331</v>
      </c>
      <c r="D321" s="48">
        <v>44851</v>
      </c>
      <c r="E321" s="48" t="str">
        <f>TEXT(Base_de_Dados[[#This Row],[Semana]],"Mmmm")</f>
        <v>outubro</v>
      </c>
      <c r="F321">
        <f>YEAR(Base_de_Dados[[#This Row],[Semana]])</f>
        <v>2022</v>
      </c>
      <c r="G321" t="str">
        <f>IF(MONTH(Base_de_Dados[[#This Row],[Semana]])&lt;=6,"1ª Bimestre","2ª Bimestre")</f>
        <v>2ª Bimestre</v>
      </c>
    </row>
    <row r="322" spans="1:7" x14ac:dyDescent="0.25">
      <c r="A322" t="s">
        <v>7</v>
      </c>
      <c r="B322">
        <v>0</v>
      </c>
      <c r="C322" s="2">
        <v>0</v>
      </c>
      <c r="D322" s="48">
        <v>44851</v>
      </c>
      <c r="E322" s="48" t="str">
        <f>TEXT(Base_de_Dados[[#This Row],[Semana]],"Mmmm")</f>
        <v>outubro</v>
      </c>
      <c r="F322">
        <f>YEAR(Base_de_Dados[[#This Row],[Semana]])</f>
        <v>2022</v>
      </c>
      <c r="G322" t="str">
        <f>IF(MONTH(Base_de_Dados[[#This Row],[Semana]])&lt;=6,"1ª Bimestre","2ª Bimestre")</f>
        <v>2ª Bimestre</v>
      </c>
    </row>
    <row r="323" spans="1:7" x14ac:dyDescent="0.25">
      <c r="A323" t="s">
        <v>8</v>
      </c>
      <c r="B323">
        <v>0</v>
      </c>
      <c r="C323" s="2">
        <v>0</v>
      </c>
      <c r="D323" s="48">
        <v>44851</v>
      </c>
      <c r="E323" s="48" t="str">
        <f>TEXT(Base_de_Dados[[#This Row],[Semana]],"Mmmm")</f>
        <v>outubro</v>
      </c>
      <c r="F323">
        <f>YEAR(Base_de_Dados[[#This Row],[Semana]])</f>
        <v>2022</v>
      </c>
      <c r="G323" t="str">
        <f>IF(MONTH(Base_de_Dados[[#This Row],[Semana]])&lt;=6,"1ª Bimestre","2ª Bimestre")</f>
        <v>2ª Bimestre</v>
      </c>
    </row>
    <row r="324" spans="1:7" x14ac:dyDescent="0.25">
      <c r="A324" t="s">
        <v>9</v>
      </c>
      <c r="B324">
        <v>2</v>
      </c>
      <c r="C324" s="2">
        <v>0.66666666666666663</v>
      </c>
      <c r="D324" s="48">
        <v>44851</v>
      </c>
      <c r="E324" s="48" t="str">
        <f>TEXT(Base_de_Dados[[#This Row],[Semana]],"Mmmm")</f>
        <v>outubro</v>
      </c>
      <c r="F324">
        <f>YEAR(Base_de_Dados[[#This Row],[Semana]])</f>
        <v>2022</v>
      </c>
      <c r="G324" t="str">
        <f>IF(MONTH(Base_de_Dados[[#This Row],[Semana]])&lt;=6,"1ª Bimestre","2ª Bimestre")</f>
        <v>2ª Bimestre</v>
      </c>
    </row>
    <row r="325" spans="1:7" x14ac:dyDescent="0.25">
      <c r="A325" t="s">
        <v>114</v>
      </c>
      <c r="B325">
        <v>0</v>
      </c>
      <c r="C325" s="2">
        <v>0</v>
      </c>
      <c r="D325" s="48">
        <v>44851</v>
      </c>
      <c r="E325" s="48" t="str">
        <f>TEXT(Base_de_Dados[[#This Row],[Semana]],"Mmmm")</f>
        <v>outubro</v>
      </c>
      <c r="F325">
        <f>YEAR(Base_de_Dados[[#This Row],[Semana]])</f>
        <v>2022</v>
      </c>
      <c r="G325" t="str">
        <f>IF(MONTH(Base_de_Dados[[#This Row],[Semana]])&lt;=6,"1ª Bimestre","2ª Bimestre")</f>
        <v>2ª Bimestre</v>
      </c>
    </row>
    <row r="326" spans="1:7" x14ac:dyDescent="0.25">
      <c r="A326" t="s">
        <v>11</v>
      </c>
      <c r="B326">
        <v>0</v>
      </c>
      <c r="C326" s="2">
        <v>0</v>
      </c>
      <c r="D326" s="48">
        <v>44851</v>
      </c>
      <c r="E326" s="48" t="str">
        <f>TEXT(Base_de_Dados[[#This Row],[Semana]],"Mmmm")</f>
        <v>outubro</v>
      </c>
      <c r="F326">
        <f>YEAR(Base_de_Dados[[#This Row],[Semana]])</f>
        <v>2022</v>
      </c>
      <c r="G326" t="str">
        <f>IF(MONTH(Base_de_Dados[[#This Row],[Semana]])&lt;=6,"1ª Bimestre","2ª Bimestre")</f>
        <v>2ª Bimestre</v>
      </c>
    </row>
    <row r="327" spans="1:7" x14ac:dyDescent="0.25">
      <c r="A327" t="s">
        <v>144</v>
      </c>
      <c r="B327">
        <v>0</v>
      </c>
      <c r="C327" s="2">
        <v>0</v>
      </c>
      <c r="D327" s="48">
        <v>44851</v>
      </c>
      <c r="E327" s="48" t="str">
        <f>TEXT(Base_de_Dados[[#This Row],[Semana]],"Mmmm")</f>
        <v>outubro</v>
      </c>
      <c r="F327">
        <f>YEAR(Base_de_Dados[[#This Row],[Semana]])</f>
        <v>2022</v>
      </c>
      <c r="G327" t="str">
        <f>IF(MONTH(Base_de_Dados[[#This Row],[Semana]])&lt;=6,"1ª Bimestre","2ª Bimestre")</f>
        <v>2ª Bimestre</v>
      </c>
    </row>
    <row r="328" spans="1:7" x14ac:dyDescent="0.25">
      <c r="A328" t="s">
        <v>148</v>
      </c>
      <c r="B328">
        <v>0</v>
      </c>
      <c r="C328" s="2">
        <v>0</v>
      </c>
      <c r="D328" s="48">
        <v>44851</v>
      </c>
      <c r="E328" s="48" t="str">
        <f>TEXT(Base_de_Dados[[#This Row],[Semana]],"Mmmm")</f>
        <v>outubro</v>
      </c>
      <c r="F328">
        <f>YEAR(Base_de_Dados[[#This Row],[Semana]])</f>
        <v>2022</v>
      </c>
      <c r="G328" t="str">
        <f>IF(MONTH(Base_de_Dados[[#This Row],[Semana]])&lt;=6,"1ª Bimestre","2ª Bimestre")</f>
        <v>2ª Bimestre</v>
      </c>
    </row>
    <row r="329" spans="1:7" x14ac:dyDescent="0.25">
      <c r="A329" t="s">
        <v>112</v>
      </c>
      <c r="B329">
        <v>0</v>
      </c>
      <c r="C329" s="2">
        <v>0</v>
      </c>
      <c r="D329" s="48">
        <v>44858</v>
      </c>
      <c r="E329" s="48" t="str">
        <f>TEXT(Base_de_Dados[[#This Row],[Semana]],"Mmmm")</f>
        <v>outubro</v>
      </c>
      <c r="F329">
        <f>YEAR(Base_de_Dados[[#This Row],[Semana]])</f>
        <v>2022</v>
      </c>
      <c r="G329" t="str">
        <f>IF(MONTH(Base_de_Dados[[#This Row],[Semana]])&lt;=6,"1ª Bimestre","2ª Bimestre")</f>
        <v>2ª Bimestre</v>
      </c>
    </row>
    <row r="330" spans="1:7" x14ac:dyDescent="0.25">
      <c r="A330" t="s">
        <v>4</v>
      </c>
      <c r="B330">
        <v>0</v>
      </c>
      <c r="C330" s="2">
        <v>0</v>
      </c>
      <c r="D330" s="48">
        <v>44858</v>
      </c>
      <c r="E330" s="48" t="str">
        <f>TEXT(Base_de_Dados[[#This Row],[Semana]],"Mmmm")</f>
        <v>outubro</v>
      </c>
      <c r="F330">
        <f>YEAR(Base_de_Dados[[#This Row],[Semana]])</f>
        <v>2022</v>
      </c>
      <c r="G330" t="str">
        <f>IF(MONTH(Base_de_Dados[[#This Row],[Semana]])&lt;=6,"1ª Bimestre","2ª Bimestre")</f>
        <v>2ª Bimestre</v>
      </c>
    </row>
    <row r="331" spans="1:7" x14ac:dyDescent="0.25">
      <c r="A331" t="s">
        <v>5</v>
      </c>
      <c r="B331">
        <v>0</v>
      </c>
      <c r="C331" s="2">
        <v>0</v>
      </c>
      <c r="D331" s="48">
        <v>44858</v>
      </c>
      <c r="E331" s="48" t="str">
        <f>TEXT(Base_de_Dados[[#This Row],[Semana]],"Mmmm")</f>
        <v>outubro</v>
      </c>
      <c r="F331">
        <f>YEAR(Base_de_Dados[[#This Row],[Semana]])</f>
        <v>2022</v>
      </c>
      <c r="G331" t="str">
        <f>IF(MONTH(Base_de_Dados[[#This Row],[Semana]])&lt;=6,"1ª Bimestre","2ª Bimestre")</f>
        <v>2ª Bimestre</v>
      </c>
    </row>
    <row r="332" spans="1:7" x14ac:dyDescent="0.25">
      <c r="A332" t="s">
        <v>6</v>
      </c>
      <c r="B332">
        <v>1</v>
      </c>
      <c r="C332" s="2">
        <v>0.25</v>
      </c>
      <c r="D332" s="48">
        <v>44858</v>
      </c>
      <c r="E332" s="48" t="str">
        <f>TEXT(Base_de_Dados[[#This Row],[Semana]],"Mmmm")</f>
        <v>outubro</v>
      </c>
      <c r="F332">
        <f>YEAR(Base_de_Dados[[#This Row],[Semana]])</f>
        <v>2022</v>
      </c>
      <c r="G332" t="str">
        <f>IF(MONTH(Base_de_Dados[[#This Row],[Semana]])&lt;=6,"1ª Bimestre","2ª Bimestre")</f>
        <v>2ª Bimestre</v>
      </c>
    </row>
    <row r="333" spans="1:7" x14ac:dyDescent="0.25">
      <c r="A333" t="s">
        <v>7</v>
      </c>
      <c r="B333">
        <v>3</v>
      </c>
      <c r="C333" s="2">
        <v>0.75</v>
      </c>
      <c r="D333" s="48">
        <v>44858</v>
      </c>
      <c r="E333" s="48" t="str">
        <f>TEXT(Base_de_Dados[[#This Row],[Semana]],"Mmmm")</f>
        <v>outubro</v>
      </c>
      <c r="F333">
        <f>YEAR(Base_de_Dados[[#This Row],[Semana]])</f>
        <v>2022</v>
      </c>
      <c r="G333" t="str">
        <f>IF(MONTH(Base_de_Dados[[#This Row],[Semana]])&lt;=6,"1ª Bimestre","2ª Bimestre")</f>
        <v>2ª Bimestre</v>
      </c>
    </row>
    <row r="334" spans="1:7" x14ac:dyDescent="0.25">
      <c r="A334" t="s">
        <v>8</v>
      </c>
      <c r="B334">
        <v>0</v>
      </c>
      <c r="C334" s="2">
        <v>0</v>
      </c>
      <c r="D334" s="48">
        <v>44858</v>
      </c>
      <c r="E334" s="48" t="str">
        <f>TEXT(Base_de_Dados[[#This Row],[Semana]],"Mmmm")</f>
        <v>outubro</v>
      </c>
      <c r="F334">
        <f>YEAR(Base_de_Dados[[#This Row],[Semana]])</f>
        <v>2022</v>
      </c>
      <c r="G334" t="str">
        <f>IF(MONTH(Base_de_Dados[[#This Row],[Semana]])&lt;=6,"1ª Bimestre","2ª Bimestre")</f>
        <v>2ª Bimestre</v>
      </c>
    </row>
    <row r="335" spans="1:7" x14ac:dyDescent="0.25">
      <c r="A335" t="s">
        <v>9</v>
      </c>
      <c r="B335">
        <v>0</v>
      </c>
      <c r="C335" s="2">
        <v>0</v>
      </c>
      <c r="D335" s="48">
        <v>44858</v>
      </c>
      <c r="E335" s="48" t="str">
        <f>TEXT(Base_de_Dados[[#This Row],[Semana]],"Mmmm")</f>
        <v>outubro</v>
      </c>
      <c r="F335">
        <f>YEAR(Base_de_Dados[[#This Row],[Semana]])</f>
        <v>2022</v>
      </c>
      <c r="G335" t="str">
        <f>IF(MONTH(Base_de_Dados[[#This Row],[Semana]])&lt;=6,"1ª Bimestre","2ª Bimestre")</f>
        <v>2ª Bimestre</v>
      </c>
    </row>
    <row r="336" spans="1:7" x14ac:dyDescent="0.25">
      <c r="A336" t="s">
        <v>114</v>
      </c>
      <c r="B336">
        <v>0</v>
      </c>
      <c r="C336" s="2">
        <v>0</v>
      </c>
      <c r="D336" s="48">
        <v>44858</v>
      </c>
      <c r="E336" s="48" t="str">
        <f>TEXT(Base_de_Dados[[#This Row],[Semana]],"Mmmm")</f>
        <v>outubro</v>
      </c>
      <c r="F336">
        <f>YEAR(Base_de_Dados[[#This Row],[Semana]])</f>
        <v>2022</v>
      </c>
      <c r="G336" t="str">
        <f>IF(MONTH(Base_de_Dados[[#This Row],[Semana]])&lt;=6,"1ª Bimestre","2ª Bimestre")</f>
        <v>2ª Bimestre</v>
      </c>
    </row>
    <row r="337" spans="1:7" x14ac:dyDescent="0.25">
      <c r="A337" t="s">
        <v>11</v>
      </c>
      <c r="B337">
        <v>0</v>
      </c>
      <c r="C337" s="2">
        <v>0</v>
      </c>
      <c r="D337" s="48">
        <v>44858</v>
      </c>
      <c r="E337" s="48" t="str">
        <f>TEXT(Base_de_Dados[[#This Row],[Semana]],"Mmmm")</f>
        <v>outubro</v>
      </c>
      <c r="F337">
        <f>YEAR(Base_de_Dados[[#This Row],[Semana]])</f>
        <v>2022</v>
      </c>
      <c r="G337" t="str">
        <f>IF(MONTH(Base_de_Dados[[#This Row],[Semana]])&lt;=6,"1ª Bimestre","2ª Bimestre")</f>
        <v>2ª Bimestre</v>
      </c>
    </row>
    <row r="338" spans="1:7" x14ac:dyDescent="0.25">
      <c r="A338" t="s">
        <v>144</v>
      </c>
      <c r="B338">
        <v>0</v>
      </c>
      <c r="C338" s="2">
        <v>0</v>
      </c>
      <c r="D338" s="48">
        <v>44858</v>
      </c>
      <c r="E338" s="48" t="str">
        <f>TEXT(Base_de_Dados[[#This Row],[Semana]],"Mmmm")</f>
        <v>outubro</v>
      </c>
      <c r="F338">
        <f>YEAR(Base_de_Dados[[#This Row],[Semana]])</f>
        <v>2022</v>
      </c>
      <c r="G338" t="str">
        <f>IF(MONTH(Base_de_Dados[[#This Row],[Semana]])&lt;=6,"1ª Bimestre","2ª Bimestre")</f>
        <v>2ª Bimestre</v>
      </c>
    </row>
    <row r="339" spans="1:7" x14ac:dyDescent="0.25">
      <c r="A339" t="s">
        <v>148</v>
      </c>
      <c r="B339">
        <v>0</v>
      </c>
      <c r="C339" s="2">
        <v>0</v>
      </c>
      <c r="D339" s="48">
        <v>44858</v>
      </c>
      <c r="E339" s="48" t="str">
        <f>TEXT(Base_de_Dados[[#This Row],[Semana]],"Mmmm")</f>
        <v>outubro</v>
      </c>
      <c r="F339">
        <f>YEAR(Base_de_Dados[[#This Row],[Semana]])</f>
        <v>2022</v>
      </c>
      <c r="G339" t="str">
        <f>IF(MONTH(Base_de_Dados[[#This Row],[Semana]])&lt;=6,"1ª Bimestre","2ª Bimestre")</f>
        <v>2ª Bimestre</v>
      </c>
    </row>
    <row r="340" spans="1:7" x14ac:dyDescent="0.25">
      <c r="A340" t="s">
        <v>112</v>
      </c>
      <c r="B340">
        <v>0</v>
      </c>
      <c r="C340" s="2">
        <v>0</v>
      </c>
      <c r="D340" s="48">
        <v>44865</v>
      </c>
      <c r="E340" s="48" t="str">
        <f>TEXT(Base_de_Dados[[#This Row],[Semana]],"Mmmm")</f>
        <v>outubro</v>
      </c>
      <c r="F340">
        <f>YEAR(Base_de_Dados[[#This Row],[Semana]])</f>
        <v>2022</v>
      </c>
      <c r="G340" t="str">
        <f>IF(MONTH(Base_de_Dados[[#This Row],[Semana]])&lt;=6,"1ª Bimestre","2ª Bimestre")</f>
        <v>2ª Bimestre</v>
      </c>
    </row>
    <row r="341" spans="1:7" x14ac:dyDescent="0.25">
      <c r="A341" t="s">
        <v>4</v>
      </c>
      <c r="B341">
        <v>0</v>
      </c>
      <c r="C341" s="2">
        <v>0</v>
      </c>
      <c r="D341" s="48">
        <v>44865</v>
      </c>
      <c r="E341" s="48" t="str">
        <f>TEXT(Base_de_Dados[[#This Row],[Semana]],"Mmmm")</f>
        <v>outubro</v>
      </c>
      <c r="F341">
        <f>YEAR(Base_de_Dados[[#This Row],[Semana]])</f>
        <v>2022</v>
      </c>
      <c r="G341" t="str">
        <f>IF(MONTH(Base_de_Dados[[#This Row],[Semana]])&lt;=6,"1ª Bimestre","2ª Bimestre")</f>
        <v>2ª Bimestre</v>
      </c>
    </row>
    <row r="342" spans="1:7" x14ac:dyDescent="0.25">
      <c r="A342" t="s">
        <v>5</v>
      </c>
      <c r="B342">
        <v>0</v>
      </c>
      <c r="C342" s="2">
        <v>0</v>
      </c>
      <c r="D342" s="48">
        <v>44865</v>
      </c>
      <c r="E342" s="48" t="str">
        <f>TEXT(Base_de_Dados[[#This Row],[Semana]],"Mmmm")</f>
        <v>outubro</v>
      </c>
      <c r="F342">
        <f>YEAR(Base_de_Dados[[#This Row],[Semana]])</f>
        <v>2022</v>
      </c>
      <c r="G342" t="str">
        <f>IF(MONTH(Base_de_Dados[[#This Row],[Semana]])&lt;=6,"1ª Bimestre","2ª Bimestre")</f>
        <v>2ª Bimestre</v>
      </c>
    </row>
    <row r="343" spans="1:7" x14ac:dyDescent="0.25">
      <c r="A343" t="s">
        <v>6</v>
      </c>
      <c r="B343">
        <v>1</v>
      </c>
      <c r="C343" s="2">
        <v>0.5</v>
      </c>
      <c r="D343" s="48">
        <v>44865</v>
      </c>
      <c r="E343" s="48" t="str">
        <f>TEXT(Base_de_Dados[[#This Row],[Semana]],"Mmmm")</f>
        <v>outubro</v>
      </c>
      <c r="F343">
        <f>YEAR(Base_de_Dados[[#This Row],[Semana]])</f>
        <v>2022</v>
      </c>
      <c r="G343" t="str">
        <f>IF(MONTH(Base_de_Dados[[#This Row],[Semana]])&lt;=6,"1ª Bimestre","2ª Bimestre")</f>
        <v>2ª Bimestre</v>
      </c>
    </row>
    <row r="344" spans="1:7" x14ac:dyDescent="0.25">
      <c r="A344" t="s">
        <v>7</v>
      </c>
      <c r="B344">
        <v>1</v>
      </c>
      <c r="C344" s="2">
        <v>0.5</v>
      </c>
      <c r="D344" s="48">
        <v>44865</v>
      </c>
      <c r="E344" s="48" t="str">
        <f>TEXT(Base_de_Dados[[#This Row],[Semana]],"Mmmm")</f>
        <v>outubro</v>
      </c>
      <c r="F344">
        <f>YEAR(Base_de_Dados[[#This Row],[Semana]])</f>
        <v>2022</v>
      </c>
      <c r="G344" t="str">
        <f>IF(MONTH(Base_de_Dados[[#This Row],[Semana]])&lt;=6,"1ª Bimestre","2ª Bimestre")</f>
        <v>2ª Bimestre</v>
      </c>
    </row>
    <row r="345" spans="1:7" x14ac:dyDescent="0.25">
      <c r="A345" t="s">
        <v>8</v>
      </c>
      <c r="B345">
        <v>0</v>
      </c>
      <c r="C345" s="2">
        <v>0</v>
      </c>
      <c r="D345" s="48">
        <v>44865</v>
      </c>
      <c r="E345" s="48" t="str">
        <f>TEXT(Base_de_Dados[[#This Row],[Semana]],"Mmmm")</f>
        <v>outubro</v>
      </c>
      <c r="F345">
        <f>YEAR(Base_de_Dados[[#This Row],[Semana]])</f>
        <v>2022</v>
      </c>
      <c r="G345" t="str">
        <f>IF(MONTH(Base_de_Dados[[#This Row],[Semana]])&lt;=6,"1ª Bimestre","2ª Bimestre")</f>
        <v>2ª Bimestre</v>
      </c>
    </row>
    <row r="346" spans="1:7" x14ac:dyDescent="0.25">
      <c r="A346" t="s">
        <v>9</v>
      </c>
      <c r="B346">
        <v>0</v>
      </c>
      <c r="C346" s="2">
        <v>0</v>
      </c>
      <c r="D346" s="48">
        <v>44865</v>
      </c>
      <c r="E346" s="48" t="str">
        <f>TEXT(Base_de_Dados[[#This Row],[Semana]],"Mmmm")</f>
        <v>outubro</v>
      </c>
      <c r="F346">
        <f>YEAR(Base_de_Dados[[#This Row],[Semana]])</f>
        <v>2022</v>
      </c>
      <c r="G346" t="str">
        <f>IF(MONTH(Base_de_Dados[[#This Row],[Semana]])&lt;=6,"1ª Bimestre","2ª Bimestre")</f>
        <v>2ª Bimestre</v>
      </c>
    </row>
    <row r="347" spans="1:7" x14ac:dyDescent="0.25">
      <c r="A347" t="s">
        <v>114</v>
      </c>
      <c r="B347">
        <v>0</v>
      </c>
      <c r="C347" s="2">
        <v>0</v>
      </c>
      <c r="D347" s="48">
        <v>44865</v>
      </c>
      <c r="E347" s="48" t="str">
        <f>TEXT(Base_de_Dados[[#This Row],[Semana]],"Mmmm")</f>
        <v>outubro</v>
      </c>
      <c r="F347">
        <f>YEAR(Base_de_Dados[[#This Row],[Semana]])</f>
        <v>2022</v>
      </c>
      <c r="G347" t="str">
        <f>IF(MONTH(Base_de_Dados[[#This Row],[Semana]])&lt;=6,"1ª Bimestre","2ª Bimestre")</f>
        <v>2ª Bimestre</v>
      </c>
    </row>
    <row r="348" spans="1:7" x14ac:dyDescent="0.25">
      <c r="A348" t="s">
        <v>11</v>
      </c>
      <c r="B348">
        <v>0</v>
      </c>
      <c r="C348" s="2">
        <v>0</v>
      </c>
      <c r="D348" s="48">
        <v>44865</v>
      </c>
      <c r="E348" s="48" t="str">
        <f>TEXT(Base_de_Dados[[#This Row],[Semana]],"Mmmm")</f>
        <v>outubro</v>
      </c>
      <c r="F348">
        <f>YEAR(Base_de_Dados[[#This Row],[Semana]])</f>
        <v>2022</v>
      </c>
      <c r="G348" t="str">
        <f>IF(MONTH(Base_de_Dados[[#This Row],[Semana]])&lt;=6,"1ª Bimestre","2ª Bimestre")</f>
        <v>2ª Bimestre</v>
      </c>
    </row>
    <row r="349" spans="1:7" x14ac:dyDescent="0.25">
      <c r="A349" t="s">
        <v>144</v>
      </c>
      <c r="B349">
        <v>0</v>
      </c>
      <c r="C349" s="2">
        <v>0</v>
      </c>
      <c r="D349" s="48">
        <v>44865</v>
      </c>
      <c r="E349" s="48" t="str">
        <f>TEXT(Base_de_Dados[[#This Row],[Semana]],"Mmmm")</f>
        <v>outubro</v>
      </c>
      <c r="F349">
        <f>YEAR(Base_de_Dados[[#This Row],[Semana]])</f>
        <v>2022</v>
      </c>
      <c r="G349" t="str">
        <f>IF(MONTH(Base_de_Dados[[#This Row],[Semana]])&lt;=6,"1ª Bimestre","2ª Bimestre")</f>
        <v>2ª Bimestre</v>
      </c>
    </row>
    <row r="350" spans="1:7" x14ac:dyDescent="0.25">
      <c r="A350" t="s">
        <v>148</v>
      </c>
      <c r="B350">
        <v>0</v>
      </c>
      <c r="C350" s="2">
        <v>0</v>
      </c>
      <c r="D350" s="48">
        <v>44865</v>
      </c>
      <c r="E350" s="48" t="str">
        <f>TEXT(Base_de_Dados[[#This Row],[Semana]],"Mmmm")</f>
        <v>outubro</v>
      </c>
      <c r="F350">
        <f>YEAR(Base_de_Dados[[#This Row],[Semana]])</f>
        <v>2022</v>
      </c>
      <c r="G350" t="str">
        <f>IF(MONTH(Base_de_Dados[[#This Row],[Semana]])&lt;=6,"1ª Bimestre","2ª Bimestre")</f>
        <v>2ª Bimestre</v>
      </c>
    </row>
    <row r="351" spans="1:7" x14ac:dyDescent="0.25">
      <c r="A351" t="s">
        <v>112</v>
      </c>
      <c r="B351">
        <v>0</v>
      </c>
      <c r="C351" s="2">
        <v>0</v>
      </c>
      <c r="D351" s="48">
        <v>44872</v>
      </c>
      <c r="E351" s="48" t="str">
        <f>TEXT(Base_de_Dados[[#This Row],[Semana]],"Mmmm")</f>
        <v>novembro</v>
      </c>
      <c r="F351">
        <f>YEAR(Base_de_Dados[[#This Row],[Semana]])</f>
        <v>2022</v>
      </c>
      <c r="G351" t="str">
        <f>IF(MONTH(Base_de_Dados[[#This Row],[Semana]])&lt;=6,"1ª Bimestre","2ª Bimestre")</f>
        <v>2ª Bimestre</v>
      </c>
    </row>
    <row r="352" spans="1:7" x14ac:dyDescent="0.25">
      <c r="A352" t="s">
        <v>4</v>
      </c>
      <c r="B352">
        <v>0</v>
      </c>
      <c r="C352" s="2">
        <v>0</v>
      </c>
      <c r="D352" s="48">
        <v>44872</v>
      </c>
      <c r="E352" s="48" t="str">
        <f>TEXT(Base_de_Dados[[#This Row],[Semana]],"Mmmm")</f>
        <v>novembro</v>
      </c>
      <c r="F352">
        <f>YEAR(Base_de_Dados[[#This Row],[Semana]])</f>
        <v>2022</v>
      </c>
      <c r="G352" t="str">
        <f>IF(MONTH(Base_de_Dados[[#This Row],[Semana]])&lt;=6,"1ª Bimestre","2ª Bimestre")</f>
        <v>2ª Bimestre</v>
      </c>
    </row>
    <row r="353" spans="1:7" x14ac:dyDescent="0.25">
      <c r="A353" t="s">
        <v>5</v>
      </c>
      <c r="B353">
        <v>0</v>
      </c>
      <c r="C353" s="2">
        <v>0</v>
      </c>
      <c r="D353" s="48">
        <v>44872</v>
      </c>
      <c r="E353" s="48" t="str">
        <f>TEXT(Base_de_Dados[[#This Row],[Semana]],"Mmmm")</f>
        <v>novembro</v>
      </c>
      <c r="F353">
        <f>YEAR(Base_de_Dados[[#This Row],[Semana]])</f>
        <v>2022</v>
      </c>
      <c r="G353" t="str">
        <f>IF(MONTH(Base_de_Dados[[#This Row],[Semana]])&lt;=6,"1ª Bimestre","2ª Bimestre")</f>
        <v>2ª Bimestre</v>
      </c>
    </row>
    <row r="354" spans="1:7" x14ac:dyDescent="0.25">
      <c r="A354" t="s">
        <v>6</v>
      </c>
      <c r="B354">
        <v>2</v>
      </c>
      <c r="C354" s="2">
        <v>0.33333333333333331</v>
      </c>
      <c r="D354" s="48">
        <v>44872</v>
      </c>
      <c r="E354" s="48" t="str">
        <f>TEXT(Base_de_Dados[[#This Row],[Semana]],"Mmmm")</f>
        <v>novembro</v>
      </c>
      <c r="F354">
        <f>YEAR(Base_de_Dados[[#This Row],[Semana]])</f>
        <v>2022</v>
      </c>
      <c r="G354" t="str">
        <f>IF(MONTH(Base_de_Dados[[#This Row],[Semana]])&lt;=6,"1ª Bimestre","2ª Bimestre")</f>
        <v>2ª Bimestre</v>
      </c>
    </row>
    <row r="355" spans="1:7" x14ac:dyDescent="0.25">
      <c r="A355" t="s">
        <v>7</v>
      </c>
      <c r="B355">
        <v>1</v>
      </c>
      <c r="C355" s="2">
        <v>0.16666666666666666</v>
      </c>
      <c r="D355" s="48">
        <v>44872</v>
      </c>
      <c r="E355" s="48" t="str">
        <f>TEXT(Base_de_Dados[[#This Row],[Semana]],"Mmmm")</f>
        <v>novembro</v>
      </c>
      <c r="F355">
        <f>YEAR(Base_de_Dados[[#This Row],[Semana]])</f>
        <v>2022</v>
      </c>
      <c r="G355" t="str">
        <f>IF(MONTH(Base_de_Dados[[#This Row],[Semana]])&lt;=6,"1ª Bimestre","2ª Bimestre")</f>
        <v>2ª Bimestre</v>
      </c>
    </row>
    <row r="356" spans="1:7" x14ac:dyDescent="0.25">
      <c r="A356" t="s">
        <v>8</v>
      </c>
      <c r="B356">
        <v>1</v>
      </c>
      <c r="C356" s="2">
        <v>0.16666666666666666</v>
      </c>
      <c r="D356" s="48">
        <v>44872</v>
      </c>
      <c r="E356" s="48" t="str">
        <f>TEXT(Base_de_Dados[[#This Row],[Semana]],"Mmmm")</f>
        <v>novembro</v>
      </c>
      <c r="F356">
        <f>YEAR(Base_de_Dados[[#This Row],[Semana]])</f>
        <v>2022</v>
      </c>
      <c r="G356" t="str">
        <f>IF(MONTH(Base_de_Dados[[#This Row],[Semana]])&lt;=6,"1ª Bimestre","2ª Bimestre")</f>
        <v>2ª Bimestre</v>
      </c>
    </row>
    <row r="357" spans="1:7" x14ac:dyDescent="0.25">
      <c r="A357" t="s">
        <v>9</v>
      </c>
      <c r="B357">
        <v>0</v>
      </c>
      <c r="C357" s="2">
        <v>0</v>
      </c>
      <c r="D357" s="48">
        <v>44872</v>
      </c>
      <c r="E357" s="48" t="str">
        <f>TEXT(Base_de_Dados[[#This Row],[Semana]],"Mmmm")</f>
        <v>novembro</v>
      </c>
      <c r="F357">
        <f>YEAR(Base_de_Dados[[#This Row],[Semana]])</f>
        <v>2022</v>
      </c>
      <c r="G357" t="str">
        <f>IF(MONTH(Base_de_Dados[[#This Row],[Semana]])&lt;=6,"1ª Bimestre","2ª Bimestre")</f>
        <v>2ª Bimestre</v>
      </c>
    </row>
    <row r="358" spans="1:7" x14ac:dyDescent="0.25">
      <c r="A358" t="s">
        <v>114</v>
      </c>
      <c r="B358">
        <v>1</v>
      </c>
      <c r="C358" s="2">
        <v>0.16666666666666666</v>
      </c>
      <c r="D358" s="48">
        <v>44872</v>
      </c>
      <c r="E358" s="48" t="str">
        <f>TEXT(Base_de_Dados[[#This Row],[Semana]],"Mmmm")</f>
        <v>novembro</v>
      </c>
      <c r="F358">
        <f>YEAR(Base_de_Dados[[#This Row],[Semana]])</f>
        <v>2022</v>
      </c>
      <c r="G358" t="str">
        <f>IF(MONTH(Base_de_Dados[[#This Row],[Semana]])&lt;=6,"1ª Bimestre","2ª Bimestre")</f>
        <v>2ª Bimestre</v>
      </c>
    </row>
    <row r="359" spans="1:7" x14ac:dyDescent="0.25">
      <c r="A359" t="s">
        <v>11</v>
      </c>
      <c r="B359">
        <v>0</v>
      </c>
      <c r="C359" s="2">
        <v>0</v>
      </c>
      <c r="D359" s="48">
        <v>44872</v>
      </c>
      <c r="E359" s="48" t="str">
        <f>TEXT(Base_de_Dados[[#This Row],[Semana]],"Mmmm")</f>
        <v>novembro</v>
      </c>
      <c r="F359">
        <f>YEAR(Base_de_Dados[[#This Row],[Semana]])</f>
        <v>2022</v>
      </c>
      <c r="G359" t="str">
        <f>IF(MONTH(Base_de_Dados[[#This Row],[Semana]])&lt;=6,"1ª Bimestre","2ª Bimestre")</f>
        <v>2ª Bimestre</v>
      </c>
    </row>
    <row r="360" spans="1:7" x14ac:dyDescent="0.25">
      <c r="A360" t="s">
        <v>144</v>
      </c>
      <c r="B360">
        <v>1</v>
      </c>
      <c r="C360" s="2">
        <v>0.16666666666666666</v>
      </c>
      <c r="D360" s="48">
        <v>44872</v>
      </c>
      <c r="E360" s="48" t="str">
        <f>TEXT(Base_de_Dados[[#This Row],[Semana]],"Mmmm")</f>
        <v>novembro</v>
      </c>
      <c r="F360">
        <f>YEAR(Base_de_Dados[[#This Row],[Semana]])</f>
        <v>2022</v>
      </c>
      <c r="G360" t="str">
        <f>IF(MONTH(Base_de_Dados[[#This Row],[Semana]])&lt;=6,"1ª Bimestre","2ª Bimestre")</f>
        <v>2ª Bimestre</v>
      </c>
    </row>
    <row r="361" spans="1:7" x14ac:dyDescent="0.25">
      <c r="A361" t="s">
        <v>148</v>
      </c>
      <c r="B361">
        <v>0</v>
      </c>
      <c r="C361" s="2">
        <v>0</v>
      </c>
      <c r="D361" s="48">
        <v>44872</v>
      </c>
      <c r="E361" s="48" t="str">
        <f>TEXT(Base_de_Dados[[#This Row],[Semana]],"Mmmm")</f>
        <v>novembro</v>
      </c>
      <c r="F361">
        <f>YEAR(Base_de_Dados[[#This Row],[Semana]])</f>
        <v>2022</v>
      </c>
      <c r="G361" t="str">
        <f>IF(MONTH(Base_de_Dados[[#This Row],[Semana]])&lt;=6,"1ª Bimestre","2ª Bimestre")</f>
        <v>2ª Bimestre</v>
      </c>
    </row>
    <row r="362" spans="1:7" x14ac:dyDescent="0.25">
      <c r="A362" t="s">
        <v>112</v>
      </c>
      <c r="B362">
        <v>0</v>
      </c>
      <c r="C362" s="2">
        <v>0</v>
      </c>
      <c r="D362" s="48">
        <v>44879</v>
      </c>
      <c r="E362" s="48" t="str">
        <f>TEXT(Base_de_Dados[[#This Row],[Semana]],"Mmmm")</f>
        <v>novembro</v>
      </c>
      <c r="F362">
        <f>YEAR(Base_de_Dados[[#This Row],[Semana]])</f>
        <v>2022</v>
      </c>
      <c r="G362" t="str">
        <f>IF(MONTH(Base_de_Dados[[#This Row],[Semana]])&lt;=6,"1ª Bimestre","2ª Bimestre")</f>
        <v>2ª Bimestre</v>
      </c>
    </row>
    <row r="363" spans="1:7" x14ac:dyDescent="0.25">
      <c r="A363" t="s">
        <v>4</v>
      </c>
      <c r="B363">
        <v>0</v>
      </c>
      <c r="C363" s="2">
        <v>0</v>
      </c>
      <c r="D363" s="48">
        <v>44879</v>
      </c>
      <c r="E363" s="48" t="str">
        <f>TEXT(Base_de_Dados[[#This Row],[Semana]],"Mmmm")</f>
        <v>novembro</v>
      </c>
      <c r="F363">
        <f>YEAR(Base_de_Dados[[#This Row],[Semana]])</f>
        <v>2022</v>
      </c>
      <c r="G363" t="str">
        <f>IF(MONTH(Base_de_Dados[[#This Row],[Semana]])&lt;=6,"1ª Bimestre","2ª Bimestre")</f>
        <v>2ª Bimestre</v>
      </c>
    </row>
    <row r="364" spans="1:7" x14ac:dyDescent="0.25">
      <c r="A364" t="s">
        <v>5</v>
      </c>
      <c r="B364">
        <v>0</v>
      </c>
      <c r="C364" s="2">
        <v>0</v>
      </c>
      <c r="D364" s="48">
        <v>44879</v>
      </c>
      <c r="E364" s="48" t="str">
        <f>TEXT(Base_de_Dados[[#This Row],[Semana]],"Mmmm")</f>
        <v>novembro</v>
      </c>
      <c r="F364">
        <f>YEAR(Base_de_Dados[[#This Row],[Semana]])</f>
        <v>2022</v>
      </c>
      <c r="G364" t="str">
        <f>IF(MONTH(Base_de_Dados[[#This Row],[Semana]])&lt;=6,"1ª Bimestre","2ª Bimestre")</f>
        <v>2ª Bimestre</v>
      </c>
    </row>
    <row r="365" spans="1:7" x14ac:dyDescent="0.25">
      <c r="A365" t="s">
        <v>6</v>
      </c>
      <c r="B365">
        <v>3</v>
      </c>
      <c r="C365" s="2">
        <v>1</v>
      </c>
      <c r="D365" s="48">
        <v>44879</v>
      </c>
      <c r="E365" s="48" t="str">
        <f>TEXT(Base_de_Dados[[#This Row],[Semana]],"Mmmm")</f>
        <v>novembro</v>
      </c>
      <c r="F365">
        <f>YEAR(Base_de_Dados[[#This Row],[Semana]])</f>
        <v>2022</v>
      </c>
      <c r="G365" t="str">
        <f>IF(MONTH(Base_de_Dados[[#This Row],[Semana]])&lt;=6,"1ª Bimestre","2ª Bimestre")</f>
        <v>2ª Bimestre</v>
      </c>
    </row>
    <row r="366" spans="1:7" x14ac:dyDescent="0.25">
      <c r="A366" t="s">
        <v>7</v>
      </c>
      <c r="B366">
        <v>0</v>
      </c>
      <c r="C366" s="2">
        <v>0</v>
      </c>
      <c r="D366" s="48">
        <v>44879</v>
      </c>
      <c r="E366" s="48" t="str">
        <f>TEXT(Base_de_Dados[[#This Row],[Semana]],"Mmmm")</f>
        <v>novembro</v>
      </c>
      <c r="F366">
        <f>YEAR(Base_de_Dados[[#This Row],[Semana]])</f>
        <v>2022</v>
      </c>
      <c r="G366" t="str">
        <f>IF(MONTH(Base_de_Dados[[#This Row],[Semana]])&lt;=6,"1ª Bimestre","2ª Bimestre")</f>
        <v>2ª Bimestre</v>
      </c>
    </row>
    <row r="367" spans="1:7" x14ac:dyDescent="0.25">
      <c r="A367" t="s">
        <v>8</v>
      </c>
      <c r="B367">
        <v>0</v>
      </c>
      <c r="C367" s="2">
        <v>0</v>
      </c>
      <c r="D367" s="48">
        <v>44879</v>
      </c>
      <c r="E367" s="48" t="str">
        <f>TEXT(Base_de_Dados[[#This Row],[Semana]],"Mmmm")</f>
        <v>novembro</v>
      </c>
      <c r="F367">
        <f>YEAR(Base_de_Dados[[#This Row],[Semana]])</f>
        <v>2022</v>
      </c>
      <c r="G367" t="str">
        <f>IF(MONTH(Base_de_Dados[[#This Row],[Semana]])&lt;=6,"1ª Bimestre","2ª Bimestre")</f>
        <v>2ª Bimestre</v>
      </c>
    </row>
    <row r="368" spans="1:7" x14ac:dyDescent="0.25">
      <c r="A368" t="s">
        <v>9</v>
      </c>
      <c r="B368">
        <v>0</v>
      </c>
      <c r="C368" s="2">
        <v>0</v>
      </c>
      <c r="D368" s="48">
        <v>44879</v>
      </c>
      <c r="E368" s="48" t="str">
        <f>TEXT(Base_de_Dados[[#This Row],[Semana]],"Mmmm")</f>
        <v>novembro</v>
      </c>
      <c r="F368">
        <f>YEAR(Base_de_Dados[[#This Row],[Semana]])</f>
        <v>2022</v>
      </c>
      <c r="G368" t="str">
        <f>IF(MONTH(Base_de_Dados[[#This Row],[Semana]])&lt;=6,"1ª Bimestre","2ª Bimestre")</f>
        <v>2ª Bimestre</v>
      </c>
    </row>
    <row r="369" spans="1:7" x14ac:dyDescent="0.25">
      <c r="A369" t="s">
        <v>114</v>
      </c>
      <c r="B369">
        <v>0</v>
      </c>
      <c r="C369" s="2">
        <v>0</v>
      </c>
      <c r="D369" s="48">
        <v>44879</v>
      </c>
      <c r="E369" s="48" t="str">
        <f>TEXT(Base_de_Dados[[#This Row],[Semana]],"Mmmm")</f>
        <v>novembro</v>
      </c>
      <c r="F369">
        <f>YEAR(Base_de_Dados[[#This Row],[Semana]])</f>
        <v>2022</v>
      </c>
      <c r="G369" t="str">
        <f>IF(MONTH(Base_de_Dados[[#This Row],[Semana]])&lt;=6,"1ª Bimestre","2ª Bimestre")</f>
        <v>2ª Bimestre</v>
      </c>
    </row>
    <row r="370" spans="1:7" x14ac:dyDescent="0.25">
      <c r="A370" t="s">
        <v>11</v>
      </c>
      <c r="B370">
        <v>0</v>
      </c>
      <c r="C370" s="2">
        <v>0</v>
      </c>
      <c r="D370" s="48">
        <v>44879</v>
      </c>
      <c r="E370" s="48" t="str">
        <f>TEXT(Base_de_Dados[[#This Row],[Semana]],"Mmmm")</f>
        <v>novembro</v>
      </c>
      <c r="F370">
        <f>YEAR(Base_de_Dados[[#This Row],[Semana]])</f>
        <v>2022</v>
      </c>
      <c r="G370" t="str">
        <f>IF(MONTH(Base_de_Dados[[#This Row],[Semana]])&lt;=6,"1ª Bimestre","2ª Bimestre")</f>
        <v>2ª Bimestre</v>
      </c>
    </row>
    <row r="371" spans="1:7" x14ac:dyDescent="0.25">
      <c r="A371" t="s">
        <v>144</v>
      </c>
      <c r="B371">
        <v>0</v>
      </c>
      <c r="C371" s="2">
        <v>0</v>
      </c>
      <c r="D371" s="48">
        <v>44879</v>
      </c>
      <c r="E371" s="48" t="str">
        <f>TEXT(Base_de_Dados[[#This Row],[Semana]],"Mmmm")</f>
        <v>novembro</v>
      </c>
      <c r="F371">
        <f>YEAR(Base_de_Dados[[#This Row],[Semana]])</f>
        <v>2022</v>
      </c>
      <c r="G371" t="str">
        <f>IF(MONTH(Base_de_Dados[[#This Row],[Semana]])&lt;=6,"1ª Bimestre","2ª Bimestre")</f>
        <v>2ª Bimestre</v>
      </c>
    </row>
    <row r="372" spans="1:7" x14ac:dyDescent="0.25">
      <c r="A372" t="s">
        <v>148</v>
      </c>
      <c r="B372">
        <v>0</v>
      </c>
      <c r="C372" s="2">
        <v>0</v>
      </c>
      <c r="D372" s="48">
        <v>44879</v>
      </c>
      <c r="E372" s="48" t="str">
        <f>TEXT(Base_de_Dados[[#This Row],[Semana]],"Mmmm")</f>
        <v>novembro</v>
      </c>
      <c r="F372">
        <f>YEAR(Base_de_Dados[[#This Row],[Semana]])</f>
        <v>2022</v>
      </c>
      <c r="G372" t="str">
        <f>IF(MONTH(Base_de_Dados[[#This Row],[Semana]])&lt;=6,"1ª Bimestre","2ª Bimestre")</f>
        <v>2ª Bimestre</v>
      </c>
    </row>
    <row r="373" spans="1:7" x14ac:dyDescent="0.25">
      <c r="A373" t="s">
        <v>112</v>
      </c>
      <c r="B373">
        <v>0</v>
      </c>
      <c r="C373" s="2">
        <v>0</v>
      </c>
      <c r="D373" s="48">
        <v>44893</v>
      </c>
      <c r="E373" s="48" t="str">
        <f>TEXT(Base_de_Dados[[#This Row],[Semana]],"Mmmm")</f>
        <v>novembro</v>
      </c>
      <c r="F373">
        <f>YEAR(Base_de_Dados[[#This Row],[Semana]])</f>
        <v>2022</v>
      </c>
      <c r="G373" t="str">
        <f>IF(MONTH(Base_de_Dados[[#This Row],[Semana]])&lt;=6,"1ª Bimestre","2ª Bimestre")</f>
        <v>2ª Bimestre</v>
      </c>
    </row>
    <row r="374" spans="1:7" x14ac:dyDescent="0.25">
      <c r="A374" t="s">
        <v>4</v>
      </c>
      <c r="B374">
        <v>0</v>
      </c>
      <c r="C374" s="2">
        <v>0</v>
      </c>
      <c r="D374" s="48">
        <v>44893</v>
      </c>
      <c r="E374" s="48" t="str">
        <f>TEXT(Base_de_Dados[[#This Row],[Semana]],"Mmmm")</f>
        <v>novembro</v>
      </c>
      <c r="F374">
        <f>YEAR(Base_de_Dados[[#This Row],[Semana]])</f>
        <v>2022</v>
      </c>
      <c r="G374" t="str">
        <f>IF(MONTH(Base_de_Dados[[#This Row],[Semana]])&lt;=6,"1ª Bimestre","2ª Bimestre")</f>
        <v>2ª Bimestre</v>
      </c>
    </row>
    <row r="375" spans="1:7" x14ac:dyDescent="0.25">
      <c r="A375" t="s">
        <v>5</v>
      </c>
      <c r="B375">
        <v>0</v>
      </c>
      <c r="C375" s="2">
        <v>0</v>
      </c>
      <c r="D375" s="48">
        <v>44893</v>
      </c>
      <c r="E375" s="48" t="str">
        <f>TEXT(Base_de_Dados[[#This Row],[Semana]],"Mmmm")</f>
        <v>novembro</v>
      </c>
      <c r="F375">
        <f>YEAR(Base_de_Dados[[#This Row],[Semana]])</f>
        <v>2022</v>
      </c>
      <c r="G375" t="str">
        <f>IF(MONTH(Base_de_Dados[[#This Row],[Semana]])&lt;=6,"1ª Bimestre","2ª Bimestre")</f>
        <v>2ª Bimestre</v>
      </c>
    </row>
    <row r="376" spans="1:7" x14ac:dyDescent="0.25">
      <c r="A376" t="s">
        <v>6</v>
      </c>
      <c r="B376">
        <v>1</v>
      </c>
      <c r="C376" s="2">
        <v>1</v>
      </c>
      <c r="D376" s="48">
        <v>44893</v>
      </c>
      <c r="E376" s="48" t="str">
        <f>TEXT(Base_de_Dados[[#This Row],[Semana]],"Mmmm")</f>
        <v>novembro</v>
      </c>
      <c r="F376">
        <f>YEAR(Base_de_Dados[[#This Row],[Semana]])</f>
        <v>2022</v>
      </c>
      <c r="G376" t="str">
        <f>IF(MONTH(Base_de_Dados[[#This Row],[Semana]])&lt;=6,"1ª Bimestre","2ª Bimestre")</f>
        <v>2ª Bimestre</v>
      </c>
    </row>
    <row r="377" spans="1:7" x14ac:dyDescent="0.25">
      <c r="A377" t="s">
        <v>7</v>
      </c>
      <c r="B377">
        <v>0</v>
      </c>
      <c r="C377" s="2">
        <v>0</v>
      </c>
      <c r="D377" s="48">
        <v>44893</v>
      </c>
      <c r="E377" s="48" t="str">
        <f>TEXT(Base_de_Dados[[#This Row],[Semana]],"Mmmm")</f>
        <v>novembro</v>
      </c>
      <c r="F377">
        <f>YEAR(Base_de_Dados[[#This Row],[Semana]])</f>
        <v>2022</v>
      </c>
      <c r="G377" t="str">
        <f>IF(MONTH(Base_de_Dados[[#This Row],[Semana]])&lt;=6,"1ª Bimestre","2ª Bimestre")</f>
        <v>2ª Bimestre</v>
      </c>
    </row>
    <row r="378" spans="1:7" x14ac:dyDescent="0.25">
      <c r="A378" t="s">
        <v>8</v>
      </c>
      <c r="B378">
        <v>0</v>
      </c>
      <c r="C378" s="2">
        <v>0</v>
      </c>
      <c r="D378" s="48">
        <v>44893</v>
      </c>
      <c r="E378" s="48" t="str">
        <f>TEXT(Base_de_Dados[[#This Row],[Semana]],"Mmmm")</f>
        <v>novembro</v>
      </c>
      <c r="F378">
        <f>YEAR(Base_de_Dados[[#This Row],[Semana]])</f>
        <v>2022</v>
      </c>
      <c r="G378" t="str">
        <f>IF(MONTH(Base_de_Dados[[#This Row],[Semana]])&lt;=6,"1ª Bimestre","2ª Bimestre")</f>
        <v>2ª Bimestre</v>
      </c>
    </row>
    <row r="379" spans="1:7" x14ac:dyDescent="0.25">
      <c r="A379" t="s">
        <v>9</v>
      </c>
      <c r="B379">
        <v>0</v>
      </c>
      <c r="C379" s="2">
        <v>0</v>
      </c>
      <c r="D379" s="48">
        <v>44893</v>
      </c>
      <c r="E379" s="48" t="str">
        <f>TEXT(Base_de_Dados[[#This Row],[Semana]],"Mmmm")</f>
        <v>novembro</v>
      </c>
      <c r="F379">
        <f>YEAR(Base_de_Dados[[#This Row],[Semana]])</f>
        <v>2022</v>
      </c>
      <c r="G379" t="str">
        <f>IF(MONTH(Base_de_Dados[[#This Row],[Semana]])&lt;=6,"1ª Bimestre","2ª Bimestre")</f>
        <v>2ª Bimestre</v>
      </c>
    </row>
    <row r="380" spans="1:7" x14ac:dyDescent="0.25">
      <c r="A380" t="s">
        <v>114</v>
      </c>
      <c r="B380">
        <v>0</v>
      </c>
      <c r="C380" s="2">
        <v>0</v>
      </c>
      <c r="D380" s="48">
        <v>44893</v>
      </c>
      <c r="E380" s="48" t="str">
        <f>TEXT(Base_de_Dados[[#This Row],[Semana]],"Mmmm")</f>
        <v>novembro</v>
      </c>
      <c r="F380">
        <f>YEAR(Base_de_Dados[[#This Row],[Semana]])</f>
        <v>2022</v>
      </c>
      <c r="G380" t="str">
        <f>IF(MONTH(Base_de_Dados[[#This Row],[Semana]])&lt;=6,"1ª Bimestre","2ª Bimestre")</f>
        <v>2ª Bimestre</v>
      </c>
    </row>
    <row r="381" spans="1:7" x14ac:dyDescent="0.25">
      <c r="A381" t="s">
        <v>11</v>
      </c>
      <c r="B381">
        <v>0</v>
      </c>
      <c r="C381" s="2">
        <v>0</v>
      </c>
      <c r="D381" s="48">
        <v>44893</v>
      </c>
      <c r="E381" s="48" t="str">
        <f>TEXT(Base_de_Dados[[#This Row],[Semana]],"Mmmm")</f>
        <v>novembro</v>
      </c>
      <c r="F381">
        <f>YEAR(Base_de_Dados[[#This Row],[Semana]])</f>
        <v>2022</v>
      </c>
      <c r="G381" t="str">
        <f>IF(MONTH(Base_de_Dados[[#This Row],[Semana]])&lt;=6,"1ª Bimestre","2ª Bimestre")</f>
        <v>2ª Bimestre</v>
      </c>
    </row>
    <row r="382" spans="1:7" x14ac:dyDescent="0.25">
      <c r="A382" t="s">
        <v>144</v>
      </c>
      <c r="B382">
        <v>0</v>
      </c>
      <c r="C382" s="2">
        <v>0</v>
      </c>
      <c r="D382" s="48">
        <v>44893</v>
      </c>
      <c r="E382" s="48" t="str">
        <f>TEXT(Base_de_Dados[[#This Row],[Semana]],"Mmmm")</f>
        <v>novembro</v>
      </c>
      <c r="F382">
        <f>YEAR(Base_de_Dados[[#This Row],[Semana]])</f>
        <v>2022</v>
      </c>
      <c r="G382" t="str">
        <f>IF(MONTH(Base_de_Dados[[#This Row],[Semana]])&lt;=6,"1ª Bimestre","2ª Bimestre")</f>
        <v>2ª Bimestre</v>
      </c>
    </row>
    <row r="383" spans="1:7" x14ac:dyDescent="0.25">
      <c r="A383" t="s">
        <v>148</v>
      </c>
      <c r="B383">
        <v>0</v>
      </c>
      <c r="C383" s="2">
        <v>0</v>
      </c>
      <c r="D383" s="48">
        <v>44893</v>
      </c>
      <c r="E383" s="48" t="str">
        <f>TEXT(Base_de_Dados[[#This Row],[Semana]],"Mmmm")</f>
        <v>novembro</v>
      </c>
      <c r="F383">
        <f>YEAR(Base_de_Dados[[#This Row],[Semana]])</f>
        <v>2022</v>
      </c>
      <c r="G383" t="str">
        <f>IF(MONTH(Base_de_Dados[[#This Row],[Semana]])&lt;=6,"1ª Bimestre","2ª Bimestre")</f>
        <v>2ª Bimestre</v>
      </c>
    </row>
    <row r="384" spans="1:7" x14ac:dyDescent="0.25">
      <c r="A384" t="s">
        <v>112</v>
      </c>
      <c r="B384">
        <v>2</v>
      </c>
      <c r="C384" s="2">
        <v>0.4</v>
      </c>
      <c r="D384" s="48">
        <v>44900</v>
      </c>
      <c r="E384" s="48" t="str">
        <f>TEXT(Base_de_Dados[[#This Row],[Semana]],"Mmmm")</f>
        <v>dezembro</v>
      </c>
      <c r="F384">
        <f>YEAR(Base_de_Dados[[#This Row],[Semana]])</f>
        <v>2022</v>
      </c>
      <c r="G384" t="str">
        <f>IF(MONTH(Base_de_Dados[[#This Row],[Semana]])&lt;=6,"1ª Bimestre","2ª Bimestre")</f>
        <v>2ª Bimestre</v>
      </c>
    </row>
    <row r="385" spans="1:7" x14ac:dyDescent="0.25">
      <c r="A385" t="s">
        <v>4</v>
      </c>
      <c r="B385">
        <v>0</v>
      </c>
      <c r="C385" s="2">
        <v>0</v>
      </c>
      <c r="D385" s="48">
        <v>44900</v>
      </c>
      <c r="E385" s="48" t="str">
        <f>TEXT(Base_de_Dados[[#This Row],[Semana]],"Mmmm")</f>
        <v>dezembro</v>
      </c>
      <c r="F385">
        <f>YEAR(Base_de_Dados[[#This Row],[Semana]])</f>
        <v>2022</v>
      </c>
      <c r="G385" t="str">
        <f>IF(MONTH(Base_de_Dados[[#This Row],[Semana]])&lt;=6,"1ª Bimestre","2ª Bimestre")</f>
        <v>2ª Bimestre</v>
      </c>
    </row>
    <row r="386" spans="1:7" x14ac:dyDescent="0.25">
      <c r="A386" t="s">
        <v>5</v>
      </c>
      <c r="B386">
        <v>1</v>
      </c>
      <c r="C386" s="2">
        <v>0.2</v>
      </c>
      <c r="D386" s="48">
        <v>44900</v>
      </c>
      <c r="E386" s="48" t="str">
        <f>TEXT(Base_de_Dados[[#This Row],[Semana]],"Mmmm")</f>
        <v>dezembro</v>
      </c>
      <c r="F386">
        <f>YEAR(Base_de_Dados[[#This Row],[Semana]])</f>
        <v>2022</v>
      </c>
      <c r="G386" t="str">
        <f>IF(MONTH(Base_de_Dados[[#This Row],[Semana]])&lt;=6,"1ª Bimestre","2ª Bimestre")</f>
        <v>2ª Bimestre</v>
      </c>
    </row>
    <row r="387" spans="1:7" x14ac:dyDescent="0.25">
      <c r="A387" t="s">
        <v>6</v>
      </c>
      <c r="B387">
        <v>1</v>
      </c>
      <c r="C387" s="2">
        <v>0.2</v>
      </c>
      <c r="D387" s="48">
        <v>44900</v>
      </c>
      <c r="E387" s="48" t="str">
        <f>TEXT(Base_de_Dados[[#This Row],[Semana]],"Mmmm")</f>
        <v>dezembro</v>
      </c>
      <c r="F387">
        <f>YEAR(Base_de_Dados[[#This Row],[Semana]])</f>
        <v>2022</v>
      </c>
      <c r="G387" t="str">
        <f>IF(MONTH(Base_de_Dados[[#This Row],[Semana]])&lt;=6,"1ª Bimestre","2ª Bimestre")</f>
        <v>2ª Bimestre</v>
      </c>
    </row>
    <row r="388" spans="1:7" x14ac:dyDescent="0.25">
      <c r="A388" t="s">
        <v>7</v>
      </c>
      <c r="B388">
        <v>0</v>
      </c>
      <c r="C388" s="2">
        <v>0</v>
      </c>
      <c r="D388" s="48">
        <v>44900</v>
      </c>
      <c r="E388" s="48" t="str">
        <f>TEXT(Base_de_Dados[[#This Row],[Semana]],"Mmmm")</f>
        <v>dezembro</v>
      </c>
      <c r="F388">
        <f>YEAR(Base_de_Dados[[#This Row],[Semana]])</f>
        <v>2022</v>
      </c>
      <c r="G388" t="str">
        <f>IF(MONTH(Base_de_Dados[[#This Row],[Semana]])&lt;=6,"1ª Bimestre","2ª Bimestre")</f>
        <v>2ª Bimestre</v>
      </c>
    </row>
    <row r="389" spans="1:7" x14ac:dyDescent="0.25">
      <c r="A389" t="s">
        <v>8</v>
      </c>
      <c r="B389">
        <v>0</v>
      </c>
      <c r="C389" s="2">
        <v>0</v>
      </c>
      <c r="D389" s="48">
        <v>44900</v>
      </c>
      <c r="E389" s="48" t="str">
        <f>TEXT(Base_de_Dados[[#This Row],[Semana]],"Mmmm")</f>
        <v>dezembro</v>
      </c>
      <c r="F389">
        <f>YEAR(Base_de_Dados[[#This Row],[Semana]])</f>
        <v>2022</v>
      </c>
      <c r="G389" t="str">
        <f>IF(MONTH(Base_de_Dados[[#This Row],[Semana]])&lt;=6,"1ª Bimestre","2ª Bimestre")</f>
        <v>2ª Bimestre</v>
      </c>
    </row>
    <row r="390" spans="1:7" x14ac:dyDescent="0.25">
      <c r="A390" t="s">
        <v>9</v>
      </c>
      <c r="B390">
        <v>0</v>
      </c>
      <c r="C390" s="2">
        <v>0</v>
      </c>
      <c r="D390" s="48">
        <v>44900</v>
      </c>
      <c r="E390" s="48" t="str">
        <f>TEXT(Base_de_Dados[[#This Row],[Semana]],"Mmmm")</f>
        <v>dezembro</v>
      </c>
      <c r="F390">
        <f>YEAR(Base_de_Dados[[#This Row],[Semana]])</f>
        <v>2022</v>
      </c>
      <c r="G390" t="str">
        <f>IF(MONTH(Base_de_Dados[[#This Row],[Semana]])&lt;=6,"1ª Bimestre","2ª Bimestre")</f>
        <v>2ª Bimestre</v>
      </c>
    </row>
    <row r="391" spans="1:7" x14ac:dyDescent="0.25">
      <c r="A391" t="s">
        <v>114</v>
      </c>
      <c r="B391">
        <v>0</v>
      </c>
      <c r="C391" s="2">
        <v>0</v>
      </c>
      <c r="D391" s="48">
        <v>44900</v>
      </c>
      <c r="E391" s="48" t="str">
        <f>TEXT(Base_de_Dados[[#This Row],[Semana]],"Mmmm")</f>
        <v>dezembro</v>
      </c>
      <c r="F391">
        <f>YEAR(Base_de_Dados[[#This Row],[Semana]])</f>
        <v>2022</v>
      </c>
      <c r="G391" t="str">
        <f>IF(MONTH(Base_de_Dados[[#This Row],[Semana]])&lt;=6,"1ª Bimestre","2ª Bimestre")</f>
        <v>2ª Bimestre</v>
      </c>
    </row>
    <row r="392" spans="1:7" x14ac:dyDescent="0.25">
      <c r="A392" t="s">
        <v>11</v>
      </c>
      <c r="B392">
        <v>0</v>
      </c>
      <c r="C392" s="2">
        <v>0</v>
      </c>
      <c r="D392" s="48">
        <v>44900</v>
      </c>
      <c r="E392" s="48" t="str">
        <f>TEXT(Base_de_Dados[[#This Row],[Semana]],"Mmmm")</f>
        <v>dezembro</v>
      </c>
      <c r="F392">
        <f>YEAR(Base_de_Dados[[#This Row],[Semana]])</f>
        <v>2022</v>
      </c>
      <c r="G392" t="str">
        <f>IF(MONTH(Base_de_Dados[[#This Row],[Semana]])&lt;=6,"1ª Bimestre","2ª Bimestre")</f>
        <v>2ª Bimestre</v>
      </c>
    </row>
    <row r="393" spans="1:7" x14ac:dyDescent="0.25">
      <c r="A393" t="s">
        <v>144</v>
      </c>
      <c r="B393">
        <v>1</v>
      </c>
      <c r="C393" s="2">
        <v>0.2</v>
      </c>
      <c r="D393" s="48">
        <v>44900</v>
      </c>
      <c r="E393" s="48" t="str">
        <f>TEXT(Base_de_Dados[[#This Row],[Semana]],"Mmmm")</f>
        <v>dezembro</v>
      </c>
      <c r="F393">
        <f>YEAR(Base_de_Dados[[#This Row],[Semana]])</f>
        <v>2022</v>
      </c>
      <c r="G393" t="str">
        <f>IF(MONTH(Base_de_Dados[[#This Row],[Semana]])&lt;=6,"1ª Bimestre","2ª Bimestre")</f>
        <v>2ª Bimestre</v>
      </c>
    </row>
    <row r="394" spans="1:7" x14ac:dyDescent="0.25">
      <c r="A394" t="s">
        <v>148</v>
      </c>
      <c r="B394">
        <v>0</v>
      </c>
      <c r="C394" s="2">
        <v>0</v>
      </c>
      <c r="D394" s="48">
        <v>44900</v>
      </c>
      <c r="E394" s="48" t="str">
        <f>TEXT(Base_de_Dados[[#This Row],[Semana]],"Mmmm")</f>
        <v>dezembro</v>
      </c>
      <c r="F394">
        <f>YEAR(Base_de_Dados[[#This Row],[Semana]])</f>
        <v>2022</v>
      </c>
      <c r="G394" t="str">
        <f>IF(MONTH(Base_de_Dados[[#This Row],[Semana]])&lt;=6,"1ª Bimestre","2ª Bimestre")</f>
        <v>2ª Bimestre</v>
      </c>
    </row>
    <row r="395" spans="1:7" x14ac:dyDescent="0.25">
      <c r="A395" t="s">
        <v>112</v>
      </c>
      <c r="B395">
        <v>1</v>
      </c>
      <c r="C395" s="2">
        <v>0.5</v>
      </c>
      <c r="D395" s="48">
        <v>44914</v>
      </c>
      <c r="E395" s="48" t="str">
        <f>TEXT(Base_de_Dados[[#This Row],[Semana]],"Mmmm")</f>
        <v>dezembro</v>
      </c>
      <c r="F395">
        <f>YEAR(Base_de_Dados[[#This Row],[Semana]])</f>
        <v>2022</v>
      </c>
      <c r="G395" t="str">
        <f>IF(MONTH(Base_de_Dados[[#This Row],[Semana]])&lt;=6,"1ª Bimestre","2ª Bimestre")</f>
        <v>2ª Bimestre</v>
      </c>
    </row>
    <row r="396" spans="1:7" x14ac:dyDescent="0.25">
      <c r="A396" t="s">
        <v>4</v>
      </c>
      <c r="B396">
        <v>0</v>
      </c>
      <c r="C396" s="2">
        <v>0</v>
      </c>
      <c r="D396" s="48">
        <v>44914</v>
      </c>
      <c r="E396" s="48" t="str">
        <f>TEXT(Base_de_Dados[[#This Row],[Semana]],"Mmmm")</f>
        <v>dezembro</v>
      </c>
      <c r="F396">
        <f>YEAR(Base_de_Dados[[#This Row],[Semana]])</f>
        <v>2022</v>
      </c>
      <c r="G396" t="str">
        <f>IF(MONTH(Base_de_Dados[[#This Row],[Semana]])&lt;=6,"1ª Bimestre","2ª Bimestre")</f>
        <v>2ª Bimestre</v>
      </c>
    </row>
    <row r="397" spans="1:7" x14ac:dyDescent="0.25">
      <c r="A397" t="s">
        <v>5</v>
      </c>
      <c r="B397">
        <v>0</v>
      </c>
      <c r="C397" s="2">
        <v>0</v>
      </c>
      <c r="D397" s="48">
        <v>44914</v>
      </c>
      <c r="E397" s="48" t="str">
        <f>TEXT(Base_de_Dados[[#This Row],[Semana]],"Mmmm")</f>
        <v>dezembro</v>
      </c>
      <c r="F397">
        <f>YEAR(Base_de_Dados[[#This Row],[Semana]])</f>
        <v>2022</v>
      </c>
      <c r="G397" t="str">
        <f>IF(MONTH(Base_de_Dados[[#This Row],[Semana]])&lt;=6,"1ª Bimestre","2ª Bimestre")</f>
        <v>2ª Bimestre</v>
      </c>
    </row>
    <row r="398" spans="1:7" x14ac:dyDescent="0.25">
      <c r="A398" t="s">
        <v>6</v>
      </c>
      <c r="B398">
        <v>0</v>
      </c>
      <c r="C398" s="2">
        <v>0</v>
      </c>
      <c r="D398" s="48">
        <v>44914</v>
      </c>
      <c r="E398" s="48" t="str">
        <f>TEXT(Base_de_Dados[[#This Row],[Semana]],"Mmmm")</f>
        <v>dezembro</v>
      </c>
      <c r="F398">
        <f>YEAR(Base_de_Dados[[#This Row],[Semana]])</f>
        <v>2022</v>
      </c>
      <c r="G398" t="str">
        <f>IF(MONTH(Base_de_Dados[[#This Row],[Semana]])&lt;=6,"1ª Bimestre","2ª Bimestre")</f>
        <v>2ª Bimestre</v>
      </c>
    </row>
    <row r="399" spans="1:7" x14ac:dyDescent="0.25">
      <c r="A399" t="s">
        <v>7</v>
      </c>
      <c r="B399">
        <v>1</v>
      </c>
      <c r="C399" s="2">
        <v>0.5</v>
      </c>
      <c r="D399" s="48">
        <v>44914</v>
      </c>
      <c r="E399" s="48" t="str">
        <f>TEXT(Base_de_Dados[[#This Row],[Semana]],"Mmmm")</f>
        <v>dezembro</v>
      </c>
      <c r="F399">
        <f>YEAR(Base_de_Dados[[#This Row],[Semana]])</f>
        <v>2022</v>
      </c>
      <c r="G399" t="str">
        <f>IF(MONTH(Base_de_Dados[[#This Row],[Semana]])&lt;=6,"1ª Bimestre","2ª Bimestre")</f>
        <v>2ª Bimestre</v>
      </c>
    </row>
    <row r="400" spans="1:7" x14ac:dyDescent="0.25">
      <c r="A400" t="s">
        <v>8</v>
      </c>
      <c r="B400">
        <v>0</v>
      </c>
      <c r="C400" s="2">
        <v>0</v>
      </c>
      <c r="D400" s="48">
        <v>44914</v>
      </c>
      <c r="E400" s="48" t="str">
        <f>TEXT(Base_de_Dados[[#This Row],[Semana]],"Mmmm")</f>
        <v>dezembro</v>
      </c>
      <c r="F400">
        <f>YEAR(Base_de_Dados[[#This Row],[Semana]])</f>
        <v>2022</v>
      </c>
      <c r="G400" t="str">
        <f>IF(MONTH(Base_de_Dados[[#This Row],[Semana]])&lt;=6,"1ª Bimestre","2ª Bimestre")</f>
        <v>2ª Bimestre</v>
      </c>
    </row>
    <row r="401" spans="1:7" x14ac:dyDescent="0.25">
      <c r="A401" t="s">
        <v>9</v>
      </c>
      <c r="B401">
        <v>0</v>
      </c>
      <c r="C401" s="2">
        <v>0</v>
      </c>
      <c r="D401" s="48">
        <v>44914</v>
      </c>
      <c r="E401" s="48" t="str">
        <f>TEXT(Base_de_Dados[[#This Row],[Semana]],"Mmmm")</f>
        <v>dezembro</v>
      </c>
      <c r="F401">
        <f>YEAR(Base_de_Dados[[#This Row],[Semana]])</f>
        <v>2022</v>
      </c>
      <c r="G401" t="str">
        <f>IF(MONTH(Base_de_Dados[[#This Row],[Semana]])&lt;=6,"1ª Bimestre","2ª Bimestre")</f>
        <v>2ª Bimestre</v>
      </c>
    </row>
    <row r="402" spans="1:7" x14ac:dyDescent="0.25">
      <c r="A402" t="s">
        <v>114</v>
      </c>
      <c r="B402">
        <v>0</v>
      </c>
      <c r="C402" s="2">
        <v>0</v>
      </c>
      <c r="D402" s="48">
        <v>44914</v>
      </c>
      <c r="E402" s="48" t="str">
        <f>TEXT(Base_de_Dados[[#This Row],[Semana]],"Mmmm")</f>
        <v>dezembro</v>
      </c>
      <c r="F402">
        <f>YEAR(Base_de_Dados[[#This Row],[Semana]])</f>
        <v>2022</v>
      </c>
      <c r="G402" t="str">
        <f>IF(MONTH(Base_de_Dados[[#This Row],[Semana]])&lt;=6,"1ª Bimestre","2ª Bimestre")</f>
        <v>2ª Bimestre</v>
      </c>
    </row>
    <row r="403" spans="1:7" x14ac:dyDescent="0.25">
      <c r="A403" t="s">
        <v>11</v>
      </c>
      <c r="B403">
        <v>0</v>
      </c>
      <c r="C403" s="2">
        <v>0</v>
      </c>
      <c r="D403" s="48">
        <v>44914</v>
      </c>
      <c r="E403" s="48" t="str">
        <f>TEXT(Base_de_Dados[[#This Row],[Semana]],"Mmmm")</f>
        <v>dezembro</v>
      </c>
      <c r="F403">
        <f>YEAR(Base_de_Dados[[#This Row],[Semana]])</f>
        <v>2022</v>
      </c>
      <c r="G403" t="str">
        <f>IF(MONTH(Base_de_Dados[[#This Row],[Semana]])&lt;=6,"1ª Bimestre","2ª Bimestre")</f>
        <v>2ª Bimestre</v>
      </c>
    </row>
    <row r="404" spans="1:7" x14ac:dyDescent="0.25">
      <c r="A404" t="s">
        <v>144</v>
      </c>
      <c r="B404">
        <v>0</v>
      </c>
      <c r="C404" s="2">
        <v>0</v>
      </c>
      <c r="D404" s="48">
        <v>44914</v>
      </c>
      <c r="E404" s="48" t="str">
        <f>TEXT(Base_de_Dados[[#This Row],[Semana]],"Mmmm")</f>
        <v>dezembro</v>
      </c>
      <c r="F404">
        <f>YEAR(Base_de_Dados[[#This Row],[Semana]])</f>
        <v>2022</v>
      </c>
      <c r="G404" t="str">
        <f>IF(MONTH(Base_de_Dados[[#This Row],[Semana]])&lt;=6,"1ª Bimestre","2ª Bimestre")</f>
        <v>2ª Bimestre</v>
      </c>
    </row>
    <row r="405" spans="1:7" x14ac:dyDescent="0.25">
      <c r="A405" t="s">
        <v>148</v>
      </c>
      <c r="B405">
        <v>0</v>
      </c>
      <c r="C405" s="2">
        <v>0</v>
      </c>
      <c r="D405" s="48">
        <v>44914</v>
      </c>
      <c r="E405" s="48" t="str">
        <f>TEXT(Base_de_Dados[[#This Row],[Semana]],"Mmmm")</f>
        <v>dezembro</v>
      </c>
      <c r="F405">
        <f>YEAR(Base_de_Dados[[#This Row],[Semana]])</f>
        <v>2022</v>
      </c>
      <c r="G405" t="str">
        <f>IF(MONTH(Base_de_Dados[[#This Row],[Semana]])&lt;=6,"1ª Bimestre","2ª Bimestre")</f>
        <v>2ª Bimestre</v>
      </c>
    </row>
    <row r="406" spans="1:7" x14ac:dyDescent="0.25">
      <c r="A406" t="s">
        <v>112</v>
      </c>
      <c r="B406">
        <v>0</v>
      </c>
      <c r="C406" s="2">
        <v>0</v>
      </c>
      <c r="D406" s="48">
        <v>44921</v>
      </c>
      <c r="E406" s="48" t="str">
        <f>TEXT(Base_de_Dados[[#This Row],[Semana]],"Mmmm")</f>
        <v>dezembro</v>
      </c>
      <c r="F406">
        <f>YEAR(Base_de_Dados[[#This Row],[Semana]])</f>
        <v>2022</v>
      </c>
      <c r="G406" t="str">
        <f>IF(MONTH(Base_de_Dados[[#This Row],[Semana]])&lt;=6,"1ª Bimestre","2ª Bimestre")</f>
        <v>2ª Bimestre</v>
      </c>
    </row>
    <row r="407" spans="1:7" x14ac:dyDescent="0.25">
      <c r="A407" t="s">
        <v>4</v>
      </c>
      <c r="B407">
        <v>0</v>
      </c>
      <c r="C407" s="2">
        <v>0</v>
      </c>
      <c r="D407" s="48">
        <v>44921</v>
      </c>
      <c r="E407" s="48" t="str">
        <f>TEXT(Base_de_Dados[[#This Row],[Semana]],"Mmmm")</f>
        <v>dezembro</v>
      </c>
      <c r="F407">
        <f>YEAR(Base_de_Dados[[#This Row],[Semana]])</f>
        <v>2022</v>
      </c>
      <c r="G407" t="str">
        <f>IF(MONTH(Base_de_Dados[[#This Row],[Semana]])&lt;=6,"1ª Bimestre","2ª Bimestre")</f>
        <v>2ª Bimestre</v>
      </c>
    </row>
    <row r="408" spans="1:7" x14ac:dyDescent="0.25">
      <c r="A408" t="s">
        <v>5</v>
      </c>
      <c r="B408">
        <v>0</v>
      </c>
      <c r="C408" s="2">
        <v>0</v>
      </c>
      <c r="D408" s="48">
        <v>44921</v>
      </c>
      <c r="E408" s="48" t="str">
        <f>TEXT(Base_de_Dados[[#This Row],[Semana]],"Mmmm")</f>
        <v>dezembro</v>
      </c>
      <c r="F408">
        <f>YEAR(Base_de_Dados[[#This Row],[Semana]])</f>
        <v>2022</v>
      </c>
      <c r="G408" t="str">
        <f>IF(MONTH(Base_de_Dados[[#This Row],[Semana]])&lt;=6,"1ª Bimestre","2ª Bimestre")</f>
        <v>2ª Bimestre</v>
      </c>
    </row>
    <row r="409" spans="1:7" x14ac:dyDescent="0.25">
      <c r="A409" t="s">
        <v>6</v>
      </c>
      <c r="B409">
        <v>1</v>
      </c>
      <c r="C409" s="2">
        <v>1</v>
      </c>
      <c r="D409" s="48">
        <v>44921</v>
      </c>
      <c r="E409" s="48" t="str">
        <f>TEXT(Base_de_Dados[[#This Row],[Semana]],"Mmmm")</f>
        <v>dezembro</v>
      </c>
      <c r="F409">
        <f>YEAR(Base_de_Dados[[#This Row],[Semana]])</f>
        <v>2022</v>
      </c>
      <c r="G409" t="str">
        <f>IF(MONTH(Base_de_Dados[[#This Row],[Semana]])&lt;=6,"1ª Bimestre","2ª Bimestre")</f>
        <v>2ª Bimestre</v>
      </c>
    </row>
    <row r="410" spans="1:7" x14ac:dyDescent="0.25">
      <c r="A410" t="s">
        <v>7</v>
      </c>
      <c r="B410">
        <v>0</v>
      </c>
      <c r="C410" s="2">
        <v>0</v>
      </c>
      <c r="D410" s="48">
        <v>44921</v>
      </c>
      <c r="E410" s="48" t="str">
        <f>TEXT(Base_de_Dados[[#This Row],[Semana]],"Mmmm")</f>
        <v>dezembro</v>
      </c>
      <c r="F410">
        <f>YEAR(Base_de_Dados[[#This Row],[Semana]])</f>
        <v>2022</v>
      </c>
      <c r="G410" t="str">
        <f>IF(MONTH(Base_de_Dados[[#This Row],[Semana]])&lt;=6,"1ª Bimestre","2ª Bimestre")</f>
        <v>2ª Bimestre</v>
      </c>
    </row>
    <row r="411" spans="1:7" x14ac:dyDescent="0.25">
      <c r="A411" t="s">
        <v>8</v>
      </c>
      <c r="B411">
        <v>0</v>
      </c>
      <c r="C411" s="2">
        <v>0</v>
      </c>
      <c r="D411" s="48">
        <v>44921</v>
      </c>
      <c r="E411" s="48" t="str">
        <f>TEXT(Base_de_Dados[[#This Row],[Semana]],"Mmmm")</f>
        <v>dezembro</v>
      </c>
      <c r="F411">
        <f>YEAR(Base_de_Dados[[#This Row],[Semana]])</f>
        <v>2022</v>
      </c>
      <c r="G411" t="str">
        <f>IF(MONTH(Base_de_Dados[[#This Row],[Semana]])&lt;=6,"1ª Bimestre","2ª Bimestre")</f>
        <v>2ª Bimestre</v>
      </c>
    </row>
    <row r="412" spans="1:7" x14ac:dyDescent="0.25">
      <c r="A412" t="s">
        <v>9</v>
      </c>
      <c r="B412">
        <v>0</v>
      </c>
      <c r="C412" s="2">
        <v>0</v>
      </c>
      <c r="D412" s="48">
        <v>44921</v>
      </c>
      <c r="E412" s="48" t="str">
        <f>TEXT(Base_de_Dados[[#This Row],[Semana]],"Mmmm")</f>
        <v>dezembro</v>
      </c>
      <c r="F412">
        <f>YEAR(Base_de_Dados[[#This Row],[Semana]])</f>
        <v>2022</v>
      </c>
      <c r="G412" t="str">
        <f>IF(MONTH(Base_de_Dados[[#This Row],[Semana]])&lt;=6,"1ª Bimestre","2ª Bimestre")</f>
        <v>2ª Bimestre</v>
      </c>
    </row>
    <row r="413" spans="1:7" x14ac:dyDescent="0.25">
      <c r="A413" t="s">
        <v>114</v>
      </c>
      <c r="B413">
        <v>0</v>
      </c>
      <c r="C413" s="2">
        <v>0</v>
      </c>
      <c r="D413" s="48">
        <v>44921</v>
      </c>
      <c r="E413" s="48" t="str">
        <f>TEXT(Base_de_Dados[[#This Row],[Semana]],"Mmmm")</f>
        <v>dezembro</v>
      </c>
      <c r="F413">
        <f>YEAR(Base_de_Dados[[#This Row],[Semana]])</f>
        <v>2022</v>
      </c>
      <c r="G413" t="str">
        <f>IF(MONTH(Base_de_Dados[[#This Row],[Semana]])&lt;=6,"1ª Bimestre","2ª Bimestre")</f>
        <v>2ª Bimestre</v>
      </c>
    </row>
    <row r="414" spans="1:7" x14ac:dyDescent="0.25">
      <c r="A414" t="s">
        <v>11</v>
      </c>
      <c r="B414">
        <v>0</v>
      </c>
      <c r="C414" s="2">
        <v>0</v>
      </c>
      <c r="D414" s="48">
        <v>44921</v>
      </c>
      <c r="E414" s="48" t="str">
        <f>TEXT(Base_de_Dados[[#This Row],[Semana]],"Mmmm")</f>
        <v>dezembro</v>
      </c>
      <c r="F414">
        <f>YEAR(Base_de_Dados[[#This Row],[Semana]])</f>
        <v>2022</v>
      </c>
      <c r="G414" t="str">
        <f>IF(MONTH(Base_de_Dados[[#This Row],[Semana]])&lt;=6,"1ª Bimestre","2ª Bimestre")</f>
        <v>2ª Bimestre</v>
      </c>
    </row>
    <row r="415" spans="1:7" x14ac:dyDescent="0.25">
      <c r="A415" t="s">
        <v>144</v>
      </c>
      <c r="B415">
        <v>0</v>
      </c>
      <c r="C415" s="2">
        <v>0</v>
      </c>
      <c r="D415" s="48">
        <v>44921</v>
      </c>
      <c r="E415" s="48" t="str">
        <f>TEXT(Base_de_Dados[[#This Row],[Semana]],"Mmmm")</f>
        <v>dezembro</v>
      </c>
      <c r="F415">
        <f>YEAR(Base_de_Dados[[#This Row],[Semana]])</f>
        <v>2022</v>
      </c>
      <c r="G415" t="str">
        <f>IF(MONTH(Base_de_Dados[[#This Row],[Semana]])&lt;=6,"1ª Bimestre","2ª Bimestre")</f>
        <v>2ª Bimestre</v>
      </c>
    </row>
    <row r="416" spans="1:7" x14ac:dyDescent="0.25">
      <c r="A416" t="s">
        <v>148</v>
      </c>
      <c r="B416">
        <v>0</v>
      </c>
      <c r="C416" s="2">
        <v>0</v>
      </c>
      <c r="D416" s="48">
        <v>44921</v>
      </c>
      <c r="E416" s="48" t="str">
        <f>TEXT(Base_de_Dados[[#This Row],[Semana]],"Mmmm")</f>
        <v>dezembro</v>
      </c>
      <c r="F416">
        <f>YEAR(Base_de_Dados[[#This Row],[Semana]])</f>
        <v>2022</v>
      </c>
      <c r="G416" t="str">
        <f>IF(MONTH(Base_de_Dados[[#This Row],[Semana]])&lt;=6,"1ª Bimestre","2ª Bimestre")</f>
        <v>2ª Bimestre</v>
      </c>
    </row>
    <row r="417" spans="1:7" x14ac:dyDescent="0.25">
      <c r="A417" t="s">
        <v>112</v>
      </c>
      <c r="B417">
        <v>3</v>
      </c>
      <c r="C417" s="2">
        <v>0.3</v>
      </c>
      <c r="D417" s="48">
        <v>44928</v>
      </c>
      <c r="E417" s="48" t="str">
        <f>TEXT(Base_de_Dados[[#This Row],[Semana]],"Mmmm")</f>
        <v>janeiro</v>
      </c>
      <c r="F417">
        <f>YEAR(Base_de_Dados[[#This Row],[Semana]])</f>
        <v>2023</v>
      </c>
      <c r="G417" t="str">
        <f>IF(MONTH(Base_de_Dados[[#This Row],[Semana]])&lt;=6,"1ª Bimestre","2ª Bimestre")</f>
        <v>1ª Bimestre</v>
      </c>
    </row>
    <row r="418" spans="1:7" x14ac:dyDescent="0.25">
      <c r="A418" t="s">
        <v>4</v>
      </c>
      <c r="B418">
        <v>0</v>
      </c>
      <c r="C418" s="2">
        <v>0</v>
      </c>
      <c r="D418" s="48">
        <v>44928</v>
      </c>
      <c r="E418" s="48" t="str">
        <f>TEXT(Base_de_Dados[[#This Row],[Semana]],"Mmmm")</f>
        <v>janeiro</v>
      </c>
      <c r="F418">
        <f>YEAR(Base_de_Dados[[#This Row],[Semana]])</f>
        <v>2023</v>
      </c>
      <c r="G418" t="str">
        <f>IF(MONTH(Base_de_Dados[[#This Row],[Semana]])&lt;=6,"1ª Bimestre","2ª Bimestre")</f>
        <v>1ª Bimestre</v>
      </c>
    </row>
    <row r="419" spans="1:7" x14ac:dyDescent="0.25">
      <c r="A419" t="s">
        <v>5</v>
      </c>
      <c r="B419">
        <v>0</v>
      </c>
      <c r="C419" s="2">
        <v>0</v>
      </c>
      <c r="D419" s="48">
        <v>44928</v>
      </c>
      <c r="E419" s="48" t="str">
        <f>TEXT(Base_de_Dados[[#This Row],[Semana]],"Mmmm")</f>
        <v>janeiro</v>
      </c>
      <c r="F419">
        <f>YEAR(Base_de_Dados[[#This Row],[Semana]])</f>
        <v>2023</v>
      </c>
      <c r="G419" t="str">
        <f>IF(MONTH(Base_de_Dados[[#This Row],[Semana]])&lt;=6,"1ª Bimestre","2ª Bimestre")</f>
        <v>1ª Bimestre</v>
      </c>
    </row>
    <row r="420" spans="1:7" x14ac:dyDescent="0.25">
      <c r="A420" t="s">
        <v>6</v>
      </c>
      <c r="B420">
        <v>5</v>
      </c>
      <c r="C420" s="2">
        <v>0.5</v>
      </c>
      <c r="D420" s="48">
        <v>44928</v>
      </c>
      <c r="E420" s="48" t="str">
        <f>TEXT(Base_de_Dados[[#This Row],[Semana]],"Mmmm")</f>
        <v>janeiro</v>
      </c>
      <c r="F420">
        <f>YEAR(Base_de_Dados[[#This Row],[Semana]])</f>
        <v>2023</v>
      </c>
      <c r="G420" t="str">
        <f>IF(MONTH(Base_de_Dados[[#This Row],[Semana]])&lt;=6,"1ª Bimestre","2ª Bimestre")</f>
        <v>1ª Bimestre</v>
      </c>
    </row>
    <row r="421" spans="1:7" x14ac:dyDescent="0.25">
      <c r="A421" t="s">
        <v>7</v>
      </c>
      <c r="B421">
        <v>0</v>
      </c>
      <c r="C421" s="2">
        <v>0</v>
      </c>
      <c r="D421" s="48">
        <v>44928</v>
      </c>
      <c r="E421" s="48" t="str">
        <f>TEXT(Base_de_Dados[[#This Row],[Semana]],"Mmmm")</f>
        <v>janeiro</v>
      </c>
      <c r="F421">
        <f>YEAR(Base_de_Dados[[#This Row],[Semana]])</f>
        <v>2023</v>
      </c>
      <c r="G421" t="str">
        <f>IF(MONTH(Base_de_Dados[[#This Row],[Semana]])&lt;=6,"1ª Bimestre","2ª Bimestre")</f>
        <v>1ª Bimestre</v>
      </c>
    </row>
    <row r="422" spans="1:7" x14ac:dyDescent="0.25">
      <c r="A422" t="s">
        <v>8</v>
      </c>
      <c r="B422">
        <v>0</v>
      </c>
      <c r="C422" s="2">
        <v>0</v>
      </c>
      <c r="D422" s="48">
        <v>44928</v>
      </c>
      <c r="E422" s="48" t="str">
        <f>TEXT(Base_de_Dados[[#This Row],[Semana]],"Mmmm")</f>
        <v>janeiro</v>
      </c>
      <c r="F422">
        <f>YEAR(Base_de_Dados[[#This Row],[Semana]])</f>
        <v>2023</v>
      </c>
      <c r="G422" t="str">
        <f>IF(MONTH(Base_de_Dados[[#This Row],[Semana]])&lt;=6,"1ª Bimestre","2ª Bimestre")</f>
        <v>1ª Bimestre</v>
      </c>
    </row>
    <row r="423" spans="1:7" x14ac:dyDescent="0.25">
      <c r="A423" t="s">
        <v>9</v>
      </c>
      <c r="B423">
        <v>0</v>
      </c>
      <c r="C423" s="2">
        <v>0</v>
      </c>
      <c r="D423" s="48">
        <v>44928</v>
      </c>
      <c r="E423" s="48" t="str">
        <f>TEXT(Base_de_Dados[[#This Row],[Semana]],"Mmmm")</f>
        <v>janeiro</v>
      </c>
      <c r="F423">
        <f>YEAR(Base_de_Dados[[#This Row],[Semana]])</f>
        <v>2023</v>
      </c>
      <c r="G423" t="str">
        <f>IF(MONTH(Base_de_Dados[[#This Row],[Semana]])&lt;=6,"1ª Bimestre","2ª Bimestre")</f>
        <v>1ª Bimestre</v>
      </c>
    </row>
    <row r="424" spans="1:7" x14ac:dyDescent="0.25">
      <c r="A424" t="s">
        <v>114</v>
      </c>
      <c r="B424">
        <v>0</v>
      </c>
      <c r="C424" s="2">
        <v>0</v>
      </c>
      <c r="D424" s="48">
        <v>44928</v>
      </c>
      <c r="E424" s="48" t="str">
        <f>TEXT(Base_de_Dados[[#This Row],[Semana]],"Mmmm")</f>
        <v>janeiro</v>
      </c>
      <c r="F424">
        <f>YEAR(Base_de_Dados[[#This Row],[Semana]])</f>
        <v>2023</v>
      </c>
      <c r="G424" t="str">
        <f>IF(MONTH(Base_de_Dados[[#This Row],[Semana]])&lt;=6,"1ª Bimestre","2ª Bimestre")</f>
        <v>1ª Bimestre</v>
      </c>
    </row>
    <row r="425" spans="1:7" x14ac:dyDescent="0.25">
      <c r="A425" t="s">
        <v>11</v>
      </c>
      <c r="B425">
        <v>0</v>
      </c>
      <c r="C425" s="2">
        <v>0</v>
      </c>
      <c r="D425" s="48">
        <v>44928</v>
      </c>
      <c r="E425" s="48" t="str">
        <f>TEXT(Base_de_Dados[[#This Row],[Semana]],"Mmmm")</f>
        <v>janeiro</v>
      </c>
      <c r="F425">
        <f>YEAR(Base_de_Dados[[#This Row],[Semana]])</f>
        <v>2023</v>
      </c>
      <c r="G425" t="str">
        <f>IF(MONTH(Base_de_Dados[[#This Row],[Semana]])&lt;=6,"1ª Bimestre","2ª Bimestre")</f>
        <v>1ª Bimestre</v>
      </c>
    </row>
    <row r="426" spans="1:7" x14ac:dyDescent="0.25">
      <c r="A426" t="s">
        <v>144</v>
      </c>
      <c r="B426">
        <v>0</v>
      </c>
      <c r="C426" s="2">
        <v>0</v>
      </c>
      <c r="D426" s="48">
        <v>44928</v>
      </c>
      <c r="E426" s="48" t="str">
        <f>TEXT(Base_de_Dados[[#This Row],[Semana]],"Mmmm")</f>
        <v>janeiro</v>
      </c>
      <c r="F426">
        <f>YEAR(Base_de_Dados[[#This Row],[Semana]])</f>
        <v>2023</v>
      </c>
      <c r="G426" t="str">
        <f>IF(MONTH(Base_de_Dados[[#This Row],[Semana]])&lt;=6,"1ª Bimestre","2ª Bimestre")</f>
        <v>1ª Bimestre</v>
      </c>
    </row>
    <row r="427" spans="1:7" x14ac:dyDescent="0.25">
      <c r="A427" t="s">
        <v>169</v>
      </c>
      <c r="B427">
        <v>2</v>
      </c>
      <c r="C427" s="2">
        <v>0.2</v>
      </c>
      <c r="D427" s="48">
        <v>44928</v>
      </c>
      <c r="E427" s="48" t="str">
        <f>TEXT(Base_de_Dados[[#This Row],[Semana]],"Mmmm")</f>
        <v>janeiro</v>
      </c>
      <c r="F427">
        <f>YEAR(Base_de_Dados[[#This Row],[Semana]])</f>
        <v>2023</v>
      </c>
      <c r="G427" t="str">
        <f>IF(MONTH(Base_de_Dados[[#This Row],[Semana]])&lt;=6,"1ª Bimestre","2ª Bimestre")</f>
        <v>1ª Bimestre</v>
      </c>
    </row>
    <row r="428" spans="1:7" x14ac:dyDescent="0.25">
      <c r="A428" t="s">
        <v>148</v>
      </c>
      <c r="B428">
        <v>0</v>
      </c>
      <c r="C428" s="2">
        <v>0</v>
      </c>
      <c r="D428" s="48">
        <v>44928</v>
      </c>
      <c r="E428" s="48" t="str">
        <f>TEXT(Base_de_Dados[[#This Row],[Semana]],"Mmmm")</f>
        <v>janeiro</v>
      </c>
      <c r="F428">
        <f>YEAR(Base_de_Dados[[#This Row],[Semana]])</f>
        <v>2023</v>
      </c>
      <c r="G428" t="str">
        <f>IF(MONTH(Base_de_Dados[[#This Row],[Semana]])&lt;=6,"1ª Bimestre","2ª Bimestre")</f>
        <v>1ª Bimestre</v>
      </c>
    </row>
    <row r="429" spans="1:7" x14ac:dyDescent="0.25">
      <c r="A429" t="s">
        <v>112</v>
      </c>
      <c r="B429">
        <v>0</v>
      </c>
      <c r="C429" s="2">
        <v>0</v>
      </c>
      <c r="D429" s="48">
        <v>44935</v>
      </c>
      <c r="E429" s="48" t="str">
        <f>TEXT(Base_de_Dados[[#This Row],[Semana]],"Mmmm")</f>
        <v>janeiro</v>
      </c>
      <c r="F429">
        <f>YEAR(Base_de_Dados[[#This Row],[Semana]])</f>
        <v>2023</v>
      </c>
      <c r="G429" t="str">
        <f>IF(MONTH(Base_de_Dados[[#This Row],[Semana]])&lt;=6,"1ª Bimestre","2ª Bimestre")</f>
        <v>1ª Bimestre</v>
      </c>
    </row>
    <row r="430" spans="1:7" x14ac:dyDescent="0.25">
      <c r="A430" t="s">
        <v>4</v>
      </c>
      <c r="B430">
        <v>0</v>
      </c>
      <c r="C430" s="2">
        <v>0</v>
      </c>
      <c r="D430" s="48">
        <v>44935</v>
      </c>
      <c r="E430" s="48" t="str">
        <f>TEXT(Base_de_Dados[[#This Row],[Semana]],"Mmmm")</f>
        <v>janeiro</v>
      </c>
      <c r="F430">
        <f>YEAR(Base_de_Dados[[#This Row],[Semana]])</f>
        <v>2023</v>
      </c>
      <c r="G430" t="str">
        <f>IF(MONTH(Base_de_Dados[[#This Row],[Semana]])&lt;=6,"1ª Bimestre","2ª Bimestre")</f>
        <v>1ª Bimestre</v>
      </c>
    </row>
    <row r="431" spans="1:7" x14ac:dyDescent="0.25">
      <c r="A431" t="s">
        <v>5</v>
      </c>
      <c r="B431">
        <v>0</v>
      </c>
      <c r="C431" s="2">
        <v>0</v>
      </c>
      <c r="D431" s="48">
        <v>44935</v>
      </c>
      <c r="E431" s="48" t="str">
        <f>TEXT(Base_de_Dados[[#This Row],[Semana]],"Mmmm")</f>
        <v>janeiro</v>
      </c>
      <c r="F431">
        <f>YEAR(Base_de_Dados[[#This Row],[Semana]])</f>
        <v>2023</v>
      </c>
      <c r="G431" t="str">
        <f>IF(MONTH(Base_de_Dados[[#This Row],[Semana]])&lt;=6,"1ª Bimestre","2ª Bimestre")</f>
        <v>1ª Bimestre</v>
      </c>
    </row>
    <row r="432" spans="1:7" x14ac:dyDescent="0.25">
      <c r="A432" t="s">
        <v>6</v>
      </c>
      <c r="B432">
        <v>4</v>
      </c>
      <c r="C432" s="2">
        <v>1</v>
      </c>
      <c r="D432" s="48">
        <v>44935</v>
      </c>
      <c r="E432" s="48" t="str">
        <f>TEXT(Base_de_Dados[[#This Row],[Semana]],"Mmmm")</f>
        <v>janeiro</v>
      </c>
      <c r="F432">
        <f>YEAR(Base_de_Dados[[#This Row],[Semana]])</f>
        <v>2023</v>
      </c>
      <c r="G432" t="str">
        <f>IF(MONTH(Base_de_Dados[[#This Row],[Semana]])&lt;=6,"1ª Bimestre","2ª Bimestre")</f>
        <v>1ª Bimestre</v>
      </c>
    </row>
    <row r="433" spans="1:7" x14ac:dyDescent="0.25">
      <c r="A433" t="s">
        <v>7</v>
      </c>
      <c r="B433">
        <v>0</v>
      </c>
      <c r="C433" s="2">
        <v>0</v>
      </c>
      <c r="D433" s="48">
        <v>44935</v>
      </c>
      <c r="E433" s="48" t="str">
        <f>TEXT(Base_de_Dados[[#This Row],[Semana]],"Mmmm")</f>
        <v>janeiro</v>
      </c>
      <c r="F433">
        <f>YEAR(Base_de_Dados[[#This Row],[Semana]])</f>
        <v>2023</v>
      </c>
      <c r="G433" t="str">
        <f>IF(MONTH(Base_de_Dados[[#This Row],[Semana]])&lt;=6,"1ª Bimestre","2ª Bimestre")</f>
        <v>1ª Bimestre</v>
      </c>
    </row>
    <row r="434" spans="1:7" x14ac:dyDescent="0.25">
      <c r="A434" t="s">
        <v>8</v>
      </c>
      <c r="B434">
        <v>0</v>
      </c>
      <c r="C434" s="2">
        <v>0</v>
      </c>
      <c r="D434" s="48">
        <v>44935</v>
      </c>
      <c r="E434" s="48" t="str">
        <f>TEXT(Base_de_Dados[[#This Row],[Semana]],"Mmmm")</f>
        <v>janeiro</v>
      </c>
      <c r="F434">
        <f>YEAR(Base_de_Dados[[#This Row],[Semana]])</f>
        <v>2023</v>
      </c>
      <c r="G434" t="str">
        <f>IF(MONTH(Base_de_Dados[[#This Row],[Semana]])&lt;=6,"1ª Bimestre","2ª Bimestre")</f>
        <v>1ª Bimestre</v>
      </c>
    </row>
    <row r="435" spans="1:7" x14ac:dyDescent="0.25">
      <c r="A435" t="s">
        <v>9</v>
      </c>
      <c r="B435">
        <v>0</v>
      </c>
      <c r="C435" s="2">
        <v>0</v>
      </c>
      <c r="D435" s="48">
        <v>44935</v>
      </c>
      <c r="E435" s="48" t="str">
        <f>TEXT(Base_de_Dados[[#This Row],[Semana]],"Mmmm")</f>
        <v>janeiro</v>
      </c>
      <c r="F435">
        <f>YEAR(Base_de_Dados[[#This Row],[Semana]])</f>
        <v>2023</v>
      </c>
      <c r="G435" t="str">
        <f>IF(MONTH(Base_de_Dados[[#This Row],[Semana]])&lt;=6,"1ª Bimestre","2ª Bimestre")</f>
        <v>1ª Bimestre</v>
      </c>
    </row>
    <row r="436" spans="1:7" x14ac:dyDescent="0.25">
      <c r="A436" t="s">
        <v>114</v>
      </c>
      <c r="B436">
        <v>0</v>
      </c>
      <c r="C436" s="2">
        <v>0</v>
      </c>
      <c r="D436" s="48">
        <v>44935</v>
      </c>
      <c r="E436" s="48" t="str">
        <f>TEXT(Base_de_Dados[[#This Row],[Semana]],"Mmmm")</f>
        <v>janeiro</v>
      </c>
      <c r="F436">
        <f>YEAR(Base_de_Dados[[#This Row],[Semana]])</f>
        <v>2023</v>
      </c>
      <c r="G436" t="str">
        <f>IF(MONTH(Base_de_Dados[[#This Row],[Semana]])&lt;=6,"1ª Bimestre","2ª Bimestre")</f>
        <v>1ª Bimestre</v>
      </c>
    </row>
    <row r="437" spans="1:7" x14ac:dyDescent="0.25">
      <c r="A437" t="s">
        <v>11</v>
      </c>
      <c r="B437">
        <v>0</v>
      </c>
      <c r="C437" s="2">
        <v>0</v>
      </c>
      <c r="D437" s="48">
        <v>44935</v>
      </c>
      <c r="E437" s="48" t="str">
        <f>TEXT(Base_de_Dados[[#This Row],[Semana]],"Mmmm")</f>
        <v>janeiro</v>
      </c>
      <c r="F437">
        <f>YEAR(Base_de_Dados[[#This Row],[Semana]])</f>
        <v>2023</v>
      </c>
      <c r="G437" t="str">
        <f>IF(MONTH(Base_de_Dados[[#This Row],[Semana]])&lt;=6,"1ª Bimestre","2ª Bimestre")</f>
        <v>1ª Bimestre</v>
      </c>
    </row>
    <row r="438" spans="1:7" x14ac:dyDescent="0.25">
      <c r="A438" t="s">
        <v>144</v>
      </c>
      <c r="B438">
        <v>0</v>
      </c>
      <c r="C438" s="2">
        <v>0</v>
      </c>
      <c r="D438" s="48">
        <v>44935</v>
      </c>
      <c r="E438" s="48" t="str">
        <f>TEXT(Base_de_Dados[[#This Row],[Semana]],"Mmmm")</f>
        <v>janeiro</v>
      </c>
      <c r="F438">
        <f>YEAR(Base_de_Dados[[#This Row],[Semana]])</f>
        <v>2023</v>
      </c>
      <c r="G438" t="str">
        <f>IF(MONTH(Base_de_Dados[[#This Row],[Semana]])&lt;=6,"1ª Bimestre","2ª Bimestre")</f>
        <v>1ª Bimestre</v>
      </c>
    </row>
    <row r="439" spans="1:7" x14ac:dyDescent="0.25">
      <c r="A439" t="s">
        <v>169</v>
      </c>
      <c r="B439">
        <v>0</v>
      </c>
      <c r="C439" s="2">
        <v>0</v>
      </c>
      <c r="D439" s="48">
        <v>44935</v>
      </c>
      <c r="E439" s="48" t="str">
        <f>TEXT(Base_de_Dados[[#This Row],[Semana]],"Mmmm")</f>
        <v>janeiro</v>
      </c>
      <c r="F439">
        <f>YEAR(Base_de_Dados[[#This Row],[Semana]])</f>
        <v>2023</v>
      </c>
      <c r="G439" t="str">
        <f>IF(MONTH(Base_de_Dados[[#This Row],[Semana]])&lt;=6,"1ª Bimestre","2ª Bimestre")</f>
        <v>1ª Bimestre</v>
      </c>
    </row>
    <row r="440" spans="1:7" x14ac:dyDescent="0.25">
      <c r="A440" t="s">
        <v>148</v>
      </c>
      <c r="B440">
        <v>0</v>
      </c>
      <c r="C440" s="2">
        <v>0</v>
      </c>
      <c r="D440" s="48">
        <v>44935</v>
      </c>
      <c r="E440" s="48" t="str">
        <f>TEXT(Base_de_Dados[[#This Row],[Semana]],"Mmmm")</f>
        <v>janeiro</v>
      </c>
      <c r="F440">
        <f>YEAR(Base_de_Dados[[#This Row],[Semana]])</f>
        <v>2023</v>
      </c>
      <c r="G440" t="str">
        <f>IF(MONTH(Base_de_Dados[[#This Row],[Semana]])&lt;=6,"1ª Bimestre","2ª Bimestre")</f>
        <v>1ª Bimestre</v>
      </c>
    </row>
    <row r="441" spans="1:7" x14ac:dyDescent="0.25">
      <c r="A441" t="s">
        <v>112</v>
      </c>
      <c r="B441">
        <v>1</v>
      </c>
      <c r="C441" s="2">
        <v>6.6666666666666666E-2</v>
      </c>
      <c r="D441" s="48">
        <v>44942</v>
      </c>
      <c r="E441" s="48" t="str">
        <f>TEXT(Base_de_Dados[[#This Row],[Semana]],"Mmmm")</f>
        <v>janeiro</v>
      </c>
      <c r="F441">
        <f>YEAR(Base_de_Dados[[#This Row],[Semana]])</f>
        <v>2023</v>
      </c>
      <c r="G441" t="str">
        <f>IF(MONTH(Base_de_Dados[[#This Row],[Semana]])&lt;=6,"1ª Bimestre","2ª Bimestre")</f>
        <v>1ª Bimestre</v>
      </c>
    </row>
    <row r="442" spans="1:7" x14ac:dyDescent="0.25">
      <c r="A442" t="s">
        <v>4</v>
      </c>
      <c r="B442">
        <v>0</v>
      </c>
      <c r="C442" s="2">
        <v>0</v>
      </c>
      <c r="D442" s="48">
        <v>44942</v>
      </c>
      <c r="E442" s="48" t="str">
        <f>TEXT(Base_de_Dados[[#This Row],[Semana]],"Mmmm")</f>
        <v>janeiro</v>
      </c>
      <c r="F442">
        <f>YEAR(Base_de_Dados[[#This Row],[Semana]])</f>
        <v>2023</v>
      </c>
      <c r="G442" t="str">
        <f>IF(MONTH(Base_de_Dados[[#This Row],[Semana]])&lt;=6,"1ª Bimestre","2ª Bimestre")</f>
        <v>1ª Bimestre</v>
      </c>
    </row>
    <row r="443" spans="1:7" x14ac:dyDescent="0.25">
      <c r="A443" t="s">
        <v>5</v>
      </c>
      <c r="B443">
        <v>4</v>
      </c>
      <c r="C443" s="2">
        <v>0.26666666666666666</v>
      </c>
      <c r="D443" s="48">
        <v>44942</v>
      </c>
      <c r="E443" s="48" t="str">
        <f>TEXT(Base_de_Dados[[#This Row],[Semana]],"Mmmm")</f>
        <v>janeiro</v>
      </c>
      <c r="F443">
        <f>YEAR(Base_de_Dados[[#This Row],[Semana]])</f>
        <v>2023</v>
      </c>
      <c r="G443" t="str">
        <f>IF(MONTH(Base_de_Dados[[#This Row],[Semana]])&lt;=6,"1ª Bimestre","2ª Bimestre")</f>
        <v>1ª Bimestre</v>
      </c>
    </row>
    <row r="444" spans="1:7" x14ac:dyDescent="0.25">
      <c r="A444" t="s">
        <v>6</v>
      </c>
      <c r="B444">
        <v>6</v>
      </c>
      <c r="C444" s="2">
        <v>0.4</v>
      </c>
      <c r="D444" s="48">
        <v>44942</v>
      </c>
      <c r="E444" s="48" t="str">
        <f>TEXT(Base_de_Dados[[#This Row],[Semana]],"Mmmm")</f>
        <v>janeiro</v>
      </c>
      <c r="F444">
        <f>YEAR(Base_de_Dados[[#This Row],[Semana]])</f>
        <v>2023</v>
      </c>
      <c r="G444" t="str">
        <f>IF(MONTH(Base_de_Dados[[#This Row],[Semana]])&lt;=6,"1ª Bimestre","2ª Bimestre")</f>
        <v>1ª Bimestre</v>
      </c>
    </row>
    <row r="445" spans="1:7" x14ac:dyDescent="0.25">
      <c r="A445" t="s">
        <v>7</v>
      </c>
      <c r="B445">
        <v>1</v>
      </c>
      <c r="C445" s="2">
        <v>6.6666666666666666E-2</v>
      </c>
      <c r="D445" s="48">
        <v>44942</v>
      </c>
      <c r="E445" s="48" t="str">
        <f>TEXT(Base_de_Dados[[#This Row],[Semana]],"Mmmm")</f>
        <v>janeiro</v>
      </c>
      <c r="F445">
        <f>YEAR(Base_de_Dados[[#This Row],[Semana]])</f>
        <v>2023</v>
      </c>
      <c r="G445" t="str">
        <f>IF(MONTH(Base_de_Dados[[#This Row],[Semana]])&lt;=6,"1ª Bimestre","2ª Bimestre")</f>
        <v>1ª Bimestre</v>
      </c>
    </row>
    <row r="446" spans="1:7" x14ac:dyDescent="0.25">
      <c r="A446" t="s">
        <v>8</v>
      </c>
      <c r="B446">
        <v>0</v>
      </c>
      <c r="C446" s="2">
        <v>0</v>
      </c>
      <c r="D446" s="48">
        <v>44942</v>
      </c>
      <c r="E446" s="48" t="str">
        <f>TEXT(Base_de_Dados[[#This Row],[Semana]],"Mmmm")</f>
        <v>janeiro</v>
      </c>
      <c r="F446">
        <f>YEAR(Base_de_Dados[[#This Row],[Semana]])</f>
        <v>2023</v>
      </c>
      <c r="G446" t="str">
        <f>IF(MONTH(Base_de_Dados[[#This Row],[Semana]])&lt;=6,"1ª Bimestre","2ª Bimestre")</f>
        <v>1ª Bimestre</v>
      </c>
    </row>
    <row r="447" spans="1:7" x14ac:dyDescent="0.25">
      <c r="A447" t="s">
        <v>9</v>
      </c>
      <c r="B447">
        <v>0</v>
      </c>
      <c r="C447" s="2">
        <v>0</v>
      </c>
      <c r="D447" s="48">
        <v>44942</v>
      </c>
      <c r="E447" s="48" t="str">
        <f>TEXT(Base_de_Dados[[#This Row],[Semana]],"Mmmm")</f>
        <v>janeiro</v>
      </c>
      <c r="F447">
        <f>YEAR(Base_de_Dados[[#This Row],[Semana]])</f>
        <v>2023</v>
      </c>
      <c r="G447" t="str">
        <f>IF(MONTH(Base_de_Dados[[#This Row],[Semana]])&lt;=6,"1ª Bimestre","2ª Bimestre")</f>
        <v>1ª Bimestre</v>
      </c>
    </row>
    <row r="448" spans="1:7" x14ac:dyDescent="0.25">
      <c r="A448" t="s">
        <v>114</v>
      </c>
      <c r="B448">
        <v>0</v>
      </c>
      <c r="C448" s="2">
        <v>0</v>
      </c>
      <c r="D448" s="48">
        <v>44942</v>
      </c>
      <c r="E448" s="48" t="str">
        <f>TEXT(Base_de_Dados[[#This Row],[Semana]],"Mmmm")</f>
        <v>janeiro</v>
      </c>
      <c r="F448">
        <f>YEAR(Base_de_Dados[[#This Row],[Semana]])</f>
        <v>2023</v>
      </c>
      <c r="G448" t="str">
        <f>IF(MONTH(Base_de_Dados[[#This Row],[Semana]])&lt;=6,"1ª Bimestre","2ª Bimestre")</f>
        <v>1ª Bimestre</v>
      </c>
    </row>
    <row r="449" spans="1:7" x14ac:dyDescent="0.25">
      <c r="A449" t="s">
        <v>11</v>
      </c>
      <c r="B449">
        <v>0</v>
      </c>
      <c r="C449" s="2">
        <v>0</v>
      </c>
      <c r="D449" s="48">
        <v>44942</v>
      </c>
      <c r="E449" s="48" t="str">
        <f>TEXT(Base_de_Dados[[#This Row],[Semana]],"Mmmm")</f>
        <v>janeiro</v>
      </c>
      <c r="F449">
        <f>YEAR(Base_de_Dados[[#This Row],[Semana]])</f>
        <v>2023</v>
      </c>
      <c r="G449" t="str">
        <f>IF(MONTH(Base_de_Dados[[#This Row],[Semana]])&lt;=6,"1ª Bimestre","2ª Bimestre")</f>
        <v>1ª Bimestre</v>
      </c>
    </row>
    <row r="450" spans="1:7" x14ac:dyDescent="0.25">
      <c r="A450" t="s">
        <v>144</v>
      </c>
      <c r="B450">
        <v>3</v>
      </c>
      <c r="C450" s="2">
        <v>0.2</v>
      </c>
      <c r="D450" s="48">
        <v>44942</v>
      </c>
      <c r="E450" s="48" t="str">
        <f>TEXT(Base_de_Dados[[#This Row],[Semana]],"Mmmm")</f>
        <v>janeiro</v>
      </c>
      <c r="F450">
        <f>YEAR(Base_de_Dados[[#This Row],[Semana]])</f>
        <v>2023</v>
      </c>
      <c r="G450" t="str">
        <f>IF(MONTH(Base_de_Dados[[#This Row],[Semana]])&lt;=6,"1ª Bimestre","2ª Bimestre")</f>
        <v>1ª Bimestre</v>
      </c>
    </row>
    <row r="451" spans="1:7" x14ac:dyDescent="0.25">
      <c r="A451" t="s">
        <v>169</v>
      </c>
      <c r="B451">
        <v>0</v>
      </c>
      <c r="C451" s="2">
        <v>0</v>
      </c>
      <c r="D451" s="48">
        <v>44942</v>
      </c>
      <c r="E451" s="48" t="str">
        <f>TEXT(Base_de_Dados[[#This Row],[Semana]],"Mmmm")</f>
        <v>janeiro</v>
      </c>
      <c r="F451">
        <f>YEAR(Base_de_Dados[[#This Row],[Semana]])</f>
        <v>2023</v>
      </c>
      <c r="G451" t="str">
        <f>IF(MONTH(Base_de_Dados[[#This Row],[Semana]])&lt;=6,"1ª Bimestre","2ª Bimestre")</f>
        <v>1ª Bimestre</v>
      </c>
    </row>
    <row r="452" spans="1:7" x14ac:dyDescent="0.25">
      <c r="A452" t="s">
        <v>148</v>
      </c>
      <c r="B452">
        <v>0</v>
      </c>
      <c r="C452" s="2">
        <v>0</v>
      </c>
      <c r="D452" s="48">
        <v>44942</v>
      </c>
      <c r="E452" s="48" t="str">
        <f>TEXT(Base_de_Dados[[#This Row],[Semana]],"Mmmm")</f>
        <v>janeiro</v>
      </c>
      <c r="F452">
        <f>YEAR(Base_de_Dados[[#This Row],[Semana]])</f>
        <v>2023</v>
      </c>
      <c r="G452" t="str">
        <f>IF(MONTH(Base_de_Dados[[#This Row],[Semana]])&lt;=6,"1ª Bimestre","2ª Bimestre")</f>
        <v>1ª Bimestre</v>
      </c>
    </row>
    <row r="453" spans="1:7" x14ac:dyDescent="0.25">
      <c r="A453" t="s">
        <v>112</v>
      </c>
      <c r="B453">
        <v>0</v>
      </c>
      <c r="C453" s="2">
        <v>0</v>
      </c>
      <c r="D453" s="48">
        <v>44949</v>
      </c>
      <c r="E453" s="48" t="str">
        <f>TEXT(Base_de_Dados[[#This Row],[Semana]],"Mmmm")</f>
        <v>janeiro</v>
      </c>
      <c r="F453">
        <f>YEAR(Base_de_Dados[[#This Row],[Semana]])</f>
        <v>2023</v>
      </c>
      <c r="G453" t="str">
        <f>IF(MONTH(Base_de_Dados[[#This Row],[Semana]])&lt;=6,"1ª Bimestre","2ª Bimestre")</f>
        <v>1ª Bimestre</v>
      </c>
    </row>
    <row r="454" spans="1:7" x14ac:dyDescent="0.25">
      <c r="A454" t="s">
        <v>4</v>
      </c>
      <c r="B454">
        <v>0</v>
      </c>
      <c r="C454" s="2">
        <v>0</v>
      </c>
      <c r="D454" s="48">
        <v>44949</v>
      </c>
      <c r="E454" s="48" t="str">
        <f>TEXT(Base_de_Dados[[#This Row],[Semana]],"Mmmm")</f>
        <v>janeiro</v>
      </c>
      <c r="F454">
        <f>YEAR(Base_de_Dados[[#This Row],[Semana]])</f>
        <v>2023</v>
      </c>
      <c r="G454" t="str">
        <f>IF(MONTH(Base_de_Dados[[#This Row],[Semana]])&lt;=6,"1ª Bimestre","2ª Bimestre")</f>
        <v>1ª Bimestre</v>
      </c>
    </row>
    <row r="455" spans="1:7" x14ac:dyDescent="0.25">
      <c r="A455" t="s">
        <v>5</v>
      </c>
      <c r="B455">
        <v>0</v>
      </c>
      <c r="C455" s="2">
        <v>0</v>
      </c>
      <c r="D455" s="48">
        <v>44949</v>
      </c>
      <c r="E455" s="48" t="str">
        <f>TEXT(Base_de_Dados[[#This Row],[Semana]],"Mmmm")</f>
        <v>janeiro</v>
      </c>
      <c r="F455">
        <f>YEAR(Base_de_Dados[[#This Row],[Semana]])</f>
        <v>2023</v>
      </c>
      <c r="G455" t="str">
        <f>IF(MONTH(Base_de_Dados[[#This Row],[Semana]])&lt;=6,"1ª Bimestre","2ª Bimestre")</f>
        <v>1ª Bimestre</v>
      </c>
    </row>
    <row r="456" spans="1:7" x14ac:dyDescent="0.25">
      <c r="A456" t="s">
        <v>6</v>
      </c>
      <c r="B456">
        <v>1</v>
      </c>
      <c r="C456" s="2">
        <v>1</v>
      </c>
      <c r="D456" s="48">
        <v>44949</v>
      </c>
      <c r="E456" s="48" t="str">
        <f>TEXT(Base_de_Dados[[#This Row],[Semana]],"Mmmm")</f>
        <v>janeiro</v>
      </c>
      <c r="F456">
        <f>YEAR(Base_de_Dados[[#This Row],[Semana]])</f>
        <v>2023</v>
      </c>
      <c r="G456" t="str">
        <f>IF(MONTH(Base_de_Dados[[#This Row],[Semana]])&lt;=6,"1ª Bimestre","2ª Bimestre")</f>
        <v>1ª Bimestre</v>
      </c>
    </row>
    <row r="457" spans="1:7" x14ac:dyDescent="0.25">
      <c r="A457" t="s">
        <v>7</v>
      </c>
      <c r="B457">
        <v>0</v>
      </c>
      <c r="C457" s="2">
        <v>0</v>
      </c>
      <c r="D457" s="48">
        <v>44949</v>
      </c>
      <c r="E457" s="48" t="str">
        <f>TEXT(Base_de_Dados[[#This Row],[Semana]],"Mmmm")</f>
        <v>janeiro</v>
      </c>
      <c r="F457">
        <f>YEAR(Base_de_Dados[[#This Row],[Semana]])</f>
        <v>2023</v>
      </c>
      <c r="G457" t="str">
        <f>IF(MONTH(Base_de_Dados[[#This Row],[Semana]])&lt;=6,"1ª Bimestre","2ª Bimestre")</f>
        <v>1ª Bimestre</v>
      </c>
    </row>
    <row r="458" spans="1:7" x14ac:dyDescent="0.25">
      <c r="A458" t="s">
        <v>8</v>
      </c>
      <c r="B458">
        <v>0</v>
      </c>
      <c r="C458" s="2">
        <v>0</v>
      </c>
      <c r="D458" s="48">
        <v>44949</v>
      </c>
      <c r="E458" s="48" t="str">
        <f>TEXT(Base_de_Dados[[#This Row],[Semana]],"Mmmm")</f>
        <v>janeiro</v>
      </c>
      <c r="F458">
        <f>YEAR(Base_de_Dados[[#This Row],[Semana]])</f>
        <v>2023</v>
      </c>
      <c r="G458" t="str">
        <f>IF(MONTH(Base_de_Dados[[#This Row],[Semana]])&lt;=6,"1ª Bimestre","2ª Bimestre")</f>
        <v>1ª Bimestre</v>
      </c>
    </row>
    <row r="459" spans="1:7" x14ac:dyDescent="0.25">
      <c r="A459" t="s">
        <v>9</v>
      </c>
      <c r="B459">
        <v>0</v>
      </c>
      <c r="C459" s="2">
        <v>0</v>
      </c>
      <c r="D459" s="48">
        <v>44949</v>
      </c>
      <c r="E459" s="48" t="str">
        <f>TEXT(Base_de_Dados[[#This Row],[Semana]],"Mmmm")</f>
        <v>janeiro</v>
      </c>
      <c r="F459">
        <f>YEAR(Base_de_Dados[[#This Row],[Semana]])</f>
        <v>2023</v>
      </c>
      <c r="G459" t="str">
        <f>IF(MONTH(Base_de_Dados[[#This Row],[Semana]])&lt;=6,"1ª Bimestre","2ª Bimestre")</f>
        <v>1ª Bimestre</v>
      </c>
    </row>
    <row r="460" spans="1:7" x14ac:dyDescent="0.25">
      <c r="A460" t="s">
        <v>114</v>
      </c>
      <c r="B460">
        <v>0</v>
      </c>
      <c r="C460" s="2">
        <v>0</v>
      </c>
      <c r="D460" s="48">
        <v>44949</v>
      </c>
      <c r="E460" s="48" t="str">
        <f>TEXT(Base_de_Dados[[#This Row],[Semana]],"Mmmm")</f>
        <v>janeiro</v>
      </c>
      <c r="F460">
        <f>YEAR(Base_de_Dados[[#This Row],[Semana]])</f>
        <v>2023</v>
      </c>
      <c r="G460" t="str">
        <f>IF(MONTH(Base_de_Dados[[#This Row],[Semana]])&lt;=6,"1ª Bimestre","2ª Bimestre")</f>
        <v>1ª Bimestre</v>
      </c>
    </row>
    <row r="461" spans="1:7" x14ac:dyDescent="0.25">
      <c r="A461" t="s">
        <v>11</v>
      </c>
      <c r="B461">
        <v>0</v>
      </c>
      <c r="C461" s="2">
        <v>0</v>
      </c>
      <c r="D461" s="48">
        <v>44949</v>
      </c>
      <c r="E461" s="48" t="str">
        <f>TEXT(Base_de_Dados[[#This Row],[Semana]],"Mmmm")</f>
        <v>janeiro</v>
      </c>
      <c r="F461">
        <f>YEAR(Base_de_Dados[[#This Row],[Semana]])</f>
        <v>2023</v>
      </c>
      <c r="G461" t="str">
        <f>IF(MONTH(Base_de_Dados[[#This Row],[Semana]])&lt;=6,"1ª Bimestre","2ª Bimestre")</f>
        <v>1ª Bimestre</v>
      </c>
    </row>
    <row r="462" spans="1:7" x14ac:dyDescent="0.25">
      <c r="A462" t="s">
        <v>144</v>
      </c>
      <c r="B462">
        <v>0</v>
      </c>
      <c r="C462" s="2">
        <v>0</v>
      </c>
      <c r="D462" s="48">
        <v>44949</v>
      </c>
      <c r="E462" s="48" t="str">
        <f>TEXT(Base_de_Dados[[#This Row],[Semana]],"Mmmm")</f>
        <v>janeiro</v>
      </c>
      <c r="F462">
        <f>YEAR(Base_de_Dados[[#This Row],[Semana]])</f>
        <v>2023</v>
      </c>
      <c r="G462" t="str">
        <f>IF(MONTH(Base_de_Dados[[#This Row],[Semana]])&lt;=6,"1ª Bimestre","2ª Bimestre")</f>
        <v>1ª Bimestre</v>
      </c>
    </row>
    <row r="463" spans="1:7" x14ac:dyDescent="0.25">
      <c r="A463" t="s">
        <v>169</v>
      </c>
      <c r="B463">
        <v>0</v>
      </c>
      <c r="C463" s="2">
        <v>0</v>
      </c>
      <c r="D463" s="48">
        <v>44949</v>
      </c>
      <c r="E463" s="48" t="str">
        <f>TEXT(Base_de_Dados[[#This Row],[Semana]],"Mmmm")</f>
        <v>janeiro</v>
      </c>
      <c r="F463">
        <f>YEAR(Base_de_Dados[[#This Row],[Semana]])</f>
        <v>2023</v>
      </c>
      <c r="G463" t="str">
        <f>IF(MONTH(Base_de_Dados[[#This Row],[Semana]])&lt;=6,"1ª Bimestre","2ª Bimestre")</f>
        <v>1ª Bimestre</v>
      </c>
    </row>
    <row r="464" spans="1:7" x14ac:dyDescent="0.25">
      <c r="A464" t="s">
        <v>148</v>
      </c>
      <c r="B464">
        <v>0</v>
      </c>
      <c r="C464" s="2">
        <v>0</v>
      </c>
      <c r="D464" s="48">
        <v>44949</v>
      </c>
      <c r="E464" s="48" t="str">
        <f>TEXT(Base_de_Dados[[#This Row],[Semana]],"Mmmm")</f>
        <v>janeiro</v>
      </c>
      <c r="F464">
        <f>YEAR(Base_de_Dados[[#This Row],[Semana]])</f>
        <v>2023</v>
      </c>
      <c r="G464" t="str">
        <f>IF(MONTH(Base_de_Dados[[#This Row],[Semana]])&lt;=6,"1ª Bimestre","2ª Bimestre")</f>
        <v>1ª Bimestre</v>
      </c>
    </row>
    <row r="465" spans="1:7" x14ac:dyDescent="0.25">
      <c r="A465" t="s">
        <v>112</v>
      </c>
      <c r="B465">
        <v>1</v>
      </c>
      <c r="C465" s="2">
        <v>3.0303030303030304E-2</v>
      </c>
      <c r="D465" s="48">
        <v>44956</v>
      </c>
      <c r="E465" s="48" t="str">
        <f>TEXT(Base_de_Dados[[#This Row],[Semana]],"Mmmm")</f>
        <v>janeiro</v>
      </c>
      <c r="F465">
        <f>YEAR(Base_de_Dados[[#This Row],[Semana]])</f>
        <v>2023</v>
      </c>
      <c r="G465" t="str">
        <f>IF(MONTH(Base_de_Dados[[#This Row],[Semana]])&lt;=6,"1ª Bimestre","2ª Bimestre")</f>
        <v>1ª Bimestre</v>
      </c>
    </row>
    <row r="466" spans="1:7" x14ac:dyDescent="0.25">
      <c r="A466" t="s">
        <v>4</v>
      </c>
      <c r="B466">
        <v>1</v>
      </c>
      <c r="C466" s="2">
        <v>3.0303030303030304E-2</v>
      </c>
      <c r="D466" s="48">
        <v>44956</v>
      </c>
      <c r="E466" s="48" t="str">
        <f>TEXT(Base_de_Dados[[#This Row],[Semana]],"Mmmm")</f>
        <v>janeiro</v>
      </c>
      <c r="F466">
        <f>YEAR(Base_de_Dados[[#This Row],[Semana]])</f>
        <v>2023</v>
      </c>
      <c r="G466" t="str">
        <f>IF(MONTH(Base_de_Dados[[#This Row],[Semana]])&lt;=6,"1ª Bimestre","2ª Bimestre")</f>
        <v>1ª Bimestre</v>
      </c>
    </row>
    <row r="467" spans="1:7" x14ac:dyDescent="0.25">
      <c r="A467" t="s">
        <v>5</v>
      </c>
      <c r="B467">
        <v>0</v>
      </c>
      <c r="C467" s="2">
        <v>0</v>
      </c>
      <c r="D467" s="48">
        <v>44956</v>
      </c>
      <c r="E467" s="48" t="str">
        <f>TEXT(Base_de_Dados[[#This Row],[Semana]],"Mmmm")</f>
        <v>janeiro</v>
      </c>
      <c r="F467">
        <f>YEAR(Base_de_Dados[[#This Row],[Semana]])</f>
        <v>2023</v>
      </c>
      <c r="G467" t="str">
        <f>IF(MONTH(Base_de_Dados[[#This Row],[Semana]])&lt;=6,"1ª Bimestre","2ª Bimestre")</f>
        <v>1ª Bimestre</v>
      </c>
    </row>
    <row r="468" spans="1:7" x14ac:dyDescent="0.25">
      <c r="A468" t="s">
        <v>6</v>
      </c>
      <c r="B468">
        <v>30</v>
      </c>
      <c r="C468" s="2">
        <v>0.90909090909090906</v>
      </c>
      <c r="D468" s="48">
        <v>44956</v>
      </c>
      <c r="E468" s="48" t="str">
        <f>TEXT(Base_de_Dados[[#This Row],[Semana]],"Mmmm")</f>
        <v>janeiro</v>
      </c>
      <c r="F468">
        <f>YEAR(Base_de_Dados[[#This Row],[Semana]])</f>
        <v>2023</v>
      </c>
      <c r="G468" t="str">
        <f>IF(MONTH(Base_de_Dados[[#This Row],[Semana]])&lt;=6,"1ª Bimestre","2ª Bimestre")</f>
        <v>1ª Bimestre</v>
      </c>
    </row>
    <row r="469" spans="1:7" x14ac:dyDescent="0.25">
      <c r="A469" t="s">
        <v>7</v>
      </c>
      <c r="B469">
        <v>1</v>
      </c>
      <c r="C469" s="2">
        <v>3.0303030303030304E-2</v>
      </c>
      <c r="D469" s="48">
        <v>44956</v>
      </c>
      <c r="E469" s="48" t="str">
        <f>TEXT(Base_de_Dados[[#This Row],[Semana]],"Mmmm")</f>
        <v>janeiro</v>
      </c>
      <c r="F469">
        <f>YEAR(Base_de_Dados[[#This Row],[Semana]])</f>
        <v>2023</v>
      </c>
      <c r="G469" t="str">
        <f>IF(MONTH(Base_de_Dados[[#This Row],[Semana]])&lt;=6,"1ª Bimestre","2ª Bimestre")</f>
        <v>1ª Bimestre</v>
      </c>
    </row>
    <row r="470" spans="1:7" x14ac:dyDescent="0.25">
      <c r="A470" t="s">
        <v>8</v>
      </c>
      <c r="B470">
        <v>0</v>
      </c>
      <c r="C470" s="2">
        <v>0</v>
      </c>
      <c r="D470" s="48">
        <v>44956</v>
      </c>
      <c r="E470" s="48" t="str">
        <f>TEXT(Base_de_Dados[[#This Row],[Semana]],"Mmmm")</f>
        <v>janeiro</v>
      </c>
      <c r="F470">
        <f>YEAR(Base_de_Dados[[#This Row],[Semana]])</f>
        <v>2023</v>
      </c>
      <c r="G470" t="str">
        <f>IF(MONTH(Base_de_Dados[[#This Row],[Semana]])&lt;=6,"1ª Bimestre","2ª Bimestre")</f>
        <v>1ª Bimestre</v>
      </c>
    </row>
    <row r="471" spans="1:7" x14ac:dyDescent="0.25">
      <c r="A471" t="s">
        <v>9</v>
      </c>
      <c r="B471">
        <v>0</v>
      </c>
      <c r="C471" s="2">
        <v>0</v>
      </c>
      <c r="D471" s="48">
        <v>44956</v>
      </c>
      <c r="E471" s="48" t="str">
        <f>TEXT(Base_de_Dados[[#This Row],[Semana]],"Mmmm")</f>
        <v>janeiro</v>
      </c>
      <c r="F471">
        <f>YEAR(Base_de_Dados[[#This Row],[Semana]])</f>
        <v>2023</v>
      </c>
      <c r="G471" t="str">
        <f>IF(MONTH(Base_de_Dados[[#This Row],[Semana]])&lt;=6,"1ª Bimestre","2ª Bimestre")</f>
        <v>1ª Bimestre</v>
      </c>
    </row>
    <row r="472" spans="1:7" x14ac:dyDescent="0.25">
      <c r="A472" t="s">
        <v>114</v>
      </c>
      <c r="B472">
        <v>0</v>
      </c>
      <c r="C472" s="2">
        <v>0</v>
      </c>
      <c r="D472" s="48">
        <v>44956</v>
      </c>
      <c r="E472" s="48" t="str">
        <f>TEXT(Base_de_Dados[[#This Row],[Semana]],"Mmmm")</f>
        <v>janeiro</v>
      </c>
      <c r="F472">
        <f>YEAR(Base_de_Dados[[#This Row],[Semana]])</f>
        <v>2023</v>
      </c>
      <c r="G472" t="str">
        <f>IF(MONTH(Base_de_Dados[[#This Row],[Semana]])&lt;=6,"1ª Bimestre","2ª Bimestre")</f>
        <v>1ª Bimestre</v>
      </c>
    </row>
    <row r="473" spans="1:7" x14ac:dyDescent="0.25">
      <c r="A473" t="s">
        <v>11</v>
      </c>
      <c r="B473">
        <v>0</v>
      </c>
      <c r="C473" s="2">
        <v>0</v>
      </c>
      <c r="D473" s="48">
        <v>44956</v>
      </c>
      <c r="E473" s="48" t="str">
        <f>TEXT(Base_de_Dados[[#This Row],[Semana]],"Mmmm")</f>
        <v>janeiro</v>
      </c>
      <c r="F473">
        <f>YEAR(Base_de_Dados[[#This Row],[Semana]])</f>
        <v>2023</v>
      </c>
      <c r="G473" t="str">
        <f>IF(MONTH(Base_de_Dados[[#This Row],[Semana]])&lt;=6,"1ª Bimestre","2ª Bimestre")</f>
        <v>1ª Bimestre</v>
      </c>
    </row>
    <row r="474" spans="1:7" x14ac:dyDescent="0.25">
      <c r="A474" t="s">
        <v>144</v>
      </c>
      <c r="B474">
        <v>0</v>
      </c>
      <c r="C474" s="2">
        <v>0</v>
      </c>
      <c r="D474" s="48">
        <v>44956</v>
      </c>
      <c r="E474" s="48" t="str">
        <f>TEXT(Base_de_Dados[[#This Row],[Semana]],"Mmmm")</f>
        <v>janeiro</v>
      </c>
      <c r="F474">
        <f>YEAR(Base_de_Dados[[#This Row],[Semana]])</f>
        <v>2023</v>
      </c>
      <c r="G474" t="str">
        <f>IF(MONTH(Base_de_Dados[[#This Row],[Semana]])&lt;=6,"1ª Bimestre","2ª Bimestre")</f>
        <v>1ª Bimestre</v>
      </c>
    </row>
    <row r="475" spans="1:7" x14ac:dyDescent="0.25">
      <c r="A475" t="s">
        <v>169</v>
      </c>
      <c r="B475">
        <v>0</v>
      </c>
      <c r="C475" s="2">
        <v>0</v>
      </c>
      <c r="D475" s="48">
        <v>44956</v>
      </c>
      <c r="E475" s="48" t="str">
        <f>TEXT(Base_de_Dados[[#This Row],[Semana]],"Mmmm")</f>
        <v>janeiro</v>
      </c>
      <c r="F475">
        <f>YEAR(Base_de_Dados[[#This Row],[Semana]])</f>
        <v>2023</v>
      </c>
      <c r="G475" t="str">
        <f>IF(MONTH(Base_de_Dados[[#This Row],[Semana]])&lt;=6,"1ª Bimestre","2ª Bimestre")</f>
        <v>1ª Bimestre</v>
      </c>
    </row>
    <row r="476" spans="1:7" x14ac:dyDescent="0.25">
      <c r="A476" t="s">
        <v>148</v>
      </c>
      <c r="B476">
        <v>0</v>
      </c>
      <c r="C476" s="2">
        <v>0</v>
      </c>
      <c r="D476" s="48">
        <v>44956</v>
      </c>
      <c r="E476" s="48" t="str">
        <f>TEXT(Base_de_Dados[[#This Row],[Semana]],"Mmmm")</f>
        <v>janeiro</v>
      </c>
      <c r="F476">
        <f>YEAR(Base_de_Dados[[#This Row],[Semana]])</f>
        <v>2023</v>
      </c>
      <c r="G476" t="str">
        <f>IF(MONTH(Base_de_Dados[[#This Row],[Semana]])&lt;=6,"1ª Bimestre","2ª Bimestre")</f>
        <v>1ª Bimestre</v>
      </c>
    </row>
    <row r="477" spans="1:7" x14ac:dyDescent="0.25">
      <c r="A477" t="s">
        <v>112</v>
      </c>
      <c r="B477">
        <v>10</v>
      </c>
      <c r="C477" s="2">
        <v>0.37037037037037035</v>
      </c>
      <c r="D477" s="48">
        <v>44963</v>
      </c>
      <c r="E477" s="48" t="str">
        <f>TEXT(Base_de_Dados[[#This Row],[Semana]],"Mmmm")</f>
        <v>fevereiro</v>
      </c>
      <c r="F477">
        <f>YEAR(Base_de_Dados[[#This Row],[Semana]])</f>
        <v>2023</v>
      </c>
      <c r="G477" t="str">
        <f>IF(MONTH(Base_de_Dados[[#This Row],[Semana]])&lt;=6,"1ª Bimestre","2ª Bimestre")</f>
        <v>1ª Bimestre</v>
      </c>
    </row>
    <row r="478" spans="1:7" x14ac:dyDescent="0.25">
      <c r="A478" t="s">
        <v>4</v>
      </c>
      <c r="B478">
        <v>1</v>
      </c>
      <c r="C478" s="2">
        <v>3.7037037037037035E-2</v>
      </c>
      <c r="D478" s="48">
        <v>44963</v>
      </c>
      <c r="E478" s="48" t="str">
        <f>TEXT(Base_de_Dados[[#This Row],[Semana]],"Mmmm")</f>
        <v>fevereiro</v>
      </c>
      <c r="F478">
        <f>YEAR(Base_de_Dados[[#This Row],[Semana]])</f>
        <v>2023</v>
      </c>
      <c r="G478" t="str">
        <f>IF(MONTH(Base_de_Dados[[#This Row],[Semana]])&lt;=6,"1ª Bimestre","2ª Bimestre")</f>
        <v>1ª Bimestre</v>
      </c>
    </row>
    <row r="479" spans="1:7" x14ac:dyDescent="0.25">
      <c r="A479" t="s">
        <v>5</v>
      </c>
      <c r="B479">
        <v>0</v>
      </c>
      <c r="C479" s="2">
        <v>0</v>
      </c>
      <c r="D479" s="48">
        <v>44963</v>
      </c>
      <c r="E479" s="48" t="str">
        <f>TEXT(Base_de_Dados[[#This Row],[Semana]],"Mmmm")</f>
        <v>fevereiro</v>
      </c>
      <c r="F479">
        <f>YEAR(Base_de_Dados[[#This Row],[Semana]])</f>
        <v>2023</v>
      </c>
      <c r="G479" t="str">
        <f>IF(MONTH(Base_de_Dados[[#This Row],[Semana]])&lt;=6,"1ª Bimestre","2ª Bimestre")</f>
        <v>1ª Bimestre</v>
      </c>
    </row>
    <row r="480" spans="1:7" x14ac:dyDescent="0.25">
      <c r="A480" t="s">
        <v>6</v>
      </c>
      <c r="B480">
        <v>4</v>
      </c>
      <c r="C480" s="2">
        <v>0.14814814814814814</v>
      </c>
      <c r="D480" s="48">
        <v>44963</v>
      </c>
      <c r="E480" s="48" t="str">
        <f>TEXT(Base_de_Dados[[#This Row],[Semana]],"Mmmm")</f>
        <v>fevereiro</v>
      </c>
      <c r="F480">
        <f>YEAR(Base_de_Dados[[#This Row],[Semana]])</f>
        <v>2023</v>
      </c>
      <c r="G480" t="str">
        <f>IF(MONTH(Base_de_Dados[[#This Row],[Semana]])&lt;=6,"1ª Bimestre","2ª Bimestre")</f>
        <v>1ª Bimestre</v>
      </c>
    </row>
    <row r="481" spans="1:7" x14ac:dyDescent="0.25">
      <c r="A481" t="s">
        <v>7</v>
      </c>
      <c r="B481">
        <v>12</v>
      </c>
      <c r="C481" s="2">
        <v>0.44444444444444442</v>
      </c>
      <c r="D481" s="48">
        <v>44963</v>
      </c>
      <c r="E481" s="48" t="str">
        <f>TEXT(Base_de_Dados[[#This Row],[Semana]],"Mmmm")</f>
        <v>fevereiro</v>
      </c>
      <c r="F481">
        <f>YEAR(Base_de_Dados[[#This Row],[Semana]])</f>
        <v>2023</v>
      </c>
      <c r="G481" t="str">
        <f>IF(MONTH(Base_de_Dados[[#This Row],[Semana]])&lt;=6,"1ª Bimestre","2ª Bimestre")</f>
        <v>1ª Bimestre</v>
      </c>
    </row>
    <row r="482" spans="1:7" x14ac:dyDescent="0.25">
      <c r="A482" t="s">
        <v>8</v>
      </c>
      <c r="B482">
        <v>0</v>
      </c>
      <c r="C482" s="2">
        <v>0</v>
      </c>
      <c r="D482" s="48">
        <v>44963</v>
      </c>
      <c r="E482" s="48" t="str">
        <f>TEXT(Base_de_Dados[[#This Row],[Semana]],"Mmmm")</f>
        <v>fevereiro</v>
      </c>
      <c r="F482">
        <f>YEAR(Base_de_Dados[[#This Row],[Semana]])</f>
        <v>2023</v>
      </c>
      <c r="G482" t="str">
        <f>IF(MONTH(Base_de_Dados[[#This Row],[Semana]])&lt;=6,"1ª Bimestre","2ª Bimestre")</f>
        <v>1ª Bimestre</v>
      </c>
    </row>
    <row r="483" spans="1:7" x14ac:dyDescent="0.25">
      <c r="A483" t="s">
        <v>9</v>
      </c>
      <c r="B483">
        <v>0</v>
      </c>
      <c r="C483" s="2">
        <v>0</v>
      </c>
      <c r="D483" s="48">
        <v>44963</v>
      </c>
      <c r="E483" s="48" t="str">
        <f>TEXT(Base_de_Dados[[#This Row],[Semana]],"Mmmm")</f>
        <v>fevereiro</v>
      </c>
      <c r="F483">
        <f>YEAR(Base_de_Dados[[#This Row],[Semana]])</f>
        <v>2023</v>
      </c>
      <c r="G483" t="str">
        <f>IF(MONTH(Base_de_Dados[[#This Row],[Semana]])&lt;=6,"1ª Bimestre","2ª Bimestre")</f>
        <v>1ª Bimestre</v>
      </c>
    </row>
    <row r="484" spans="1:7" x14ac:dyDescent="0.25">
      <c r="A484" t="s">
        <v>114</v>
      </c>
      <c r="B484">
        <v>0</v>
      </c>
      <c r="C484" s="2">
        <v>0</v>
      </c>
      <c r="D484" s="48">
        <v>44963</v>
      </c>
      <c r="E484" s="48" t="str">
        <f>TEXT(Base_de_Dados[[#This Row],[Semana]],"Mmmm")</f>
        <v>fevereiro</v>
      </c>
      <c r="F484">
        <f>YEAR(Base_de_Dados[[#This Row],[Semana]])</f>
        <v>2023</v>
      </c>
      <c r="G484" t="str">
        <f>IF(MONTH(Base_de_Dados[[#This Row],[Semana]])&lt;=6,"1ª Bimestre","2ª Bimestre")</f>
        <v>1ª Bimestre</v>
      </c>
    </row>
    <row r="485" spans="1:7" x14ac:dyDescent="0.25">
      <c r="A485" t="s">
        <v>11</v>
      </c>
      <c r="B485">
        <v>0</v>
      </c>
      <c r="C485" s="2">
        <v>0</v>
      </c>
      <c r="D485" s="48">
        <v>44963</v>
      </c>
      <c r="E485" s="48" t="str">
        <f>TEXT(Base_de_Dados[[#This Row],[Semana]],"Mmmm")</f>
        <v>fevereiro</v>
      </c>
      <c r="F485">
        <f>YEAR(Base_de_Dados[[#This Row],[Semana]])</f>
        <v>2023</v>
      </c>
      <c r="G485" t="str">
        <f>IF(MONTH(Base_de_Dados[[#This Row],[Semana]])&lt;=6,"1ª Bimestre","2ª Bimestre")</f>
        <v>1ª Bimestre</v>
      </c>
    </row>
    <row r="486" spans="1:7" x14ac:dyDescent="0.25">
      <c r="A486" t="s">
        <v>144</v>
      </c>
      <c r="B486">
        <v>0</v>
      </c>
      <c r="C486" s="2">
        <v>0</v>
      </c>
      <c r="D486" s="48">
        <v>44963</v>
      </c>
      <c r="E486" s="48" t="str">
        <f>TEXT(Base_de_Dados[[#This Row],[Semana]],"Mmmm")</f>
        <v>fevereiro</v>
      </c>
      <c r="F486">
        <f>YEAR(Base_de_Dados[[#This Row],[Semana]])</f>
        <v>2023</v>
      </c>
      <c r="G486" t="str">
        <f>IF(MONTH(Base_de_Dados[[#This Row],[Semana]])&lt;=6,"1ª Bimestre","2ª Bimestre")</f>
        <v>1ª Bimestre</v>
      </c>
    </row>
    <row r="487" spans="1:7" x14ac:dyDescent="0.25">
      <c r="A487" t="s">
        <v>169</v>
      </c>
      <c r="B487">
        <v>0</v>
      </c>
      <c r="C487" s="2">
        <v>0</v>
      </c>
      <c r="D487" s="48">
        <v>44963</v>
      </c>
      <c r="E487" s="48" t="str">
        <f>TEXT(Base_de_Dados[[#This Row],[Semana]],"Mmmm")</f>
        <v>fevereiro</v>
      </c>
      <c r="F487">
        <f>YEAR(Base_de_Dados[[#This Row],[Semana]])</f>
        <v>2023</v>
      </c>
      <c r="G487" t="str">
        <f>IF(MONTH(Base_de_Dados[[#This Row],[Semana]])&lt;=6,"1ª Bimestre","2ª Bimestre")</f>
        <v>1ª Bimestre</v>
      </c>
    </row>
    <row r="488" spans="1:7" x14ac:dyDescent="0.25">
      <c r="A488" t="s">
        <v>148</v>
      </c>
      <c r="B488">
        <v>0</v>
      </c>
      <c r="C488" s="2">
        <v>0</v>
      </c>
      <c r="D488" s="48">
        <v>44963</v>
      </c>
      <c r="E488" s="48" t="str">
        <f>TEXT(Base_de_Dados[[#This Row],[Semana]],"Mmmm")</f>
        <v>fevereiro</v>
      </c>
      <c r="F488">
        <f>YEAR(Base_de_Dados[[#This Row],[Semana]])</f>
        <v>2023</v>
      </c>
      <c r="G488" t="str">
        <f>IF(MONTH(Base_de_Dados[[#This Row],[Semana]])&lt;=6,"1ª Bimestre","2ª Bimestre")</f>
        <v>1ª Bimestre</v>
      </c>
    </row>
    <row r="489" spans="1:7" x14ac:dyDescent="0.25">
      <c r="A489" t="s">
        <v>112</v>
      </c>
      <c r="B489">
        <v>4</v>
      </c>
      <c r="C489" s="2">
        <v>0.16666666666666666</v>
      </c>
      <c r="D489" s="48">
        <v>44970</v>
      </c>
      <c r="E489" s="48" t="str">
        <f>TEXT(Base_de_Dados[[#This Row],[Semana]],"Mmmm")</f>
        <v>fevereiro</v>
      </c>
      <c r="F489">
        <f>YEAR(Base_de_Dados[[#This Row],[Semana]])</f>
        <v>2023</v>
      </c>
      <c r="G489" t="str">
        <f>IF(MONTH(Base_de_Dados[[#This Row],[Semana]])&lt;=6,"1ª Bimestre","2ª Bimestre")</f>
        <v>1ª Bimestre</v>
      </c>
    </row>
    <row r="490" spans="1:7" x14ac:dyDescent="0.25">
      <c r="A490" t="s">
        <v>4</v>
      </c>
      <c r="B490">
        <v>0</v>
      </c>
      <c r="C490" s="2">
        <v>0</v>
      </c>
      <c r="D490" s="48">
        <v>44970</v>
      </c>
      <c r="E490" s="48" t="str">
        <f>TEXT(Base_de_Dados[[#This Row],[Semana]],"Mmmm")</f>
        <v>fevereiro</v>
      </c>
      <c r="F490">
        <f>YEAR(Base_de_Dados[[#This Row],[Semana]])</f>
        <v>2023</v>
      </c>
      <c r="G490" t="str">
        <f>IF(MONTH(Base_de_Dados[[#This Row],[Semana]])&lt;=6,"1ª Bimestre","2ª Bimestre")</f>
        <v>1ª Bimestre</v>
      </c>
    </row>
    <row r="491" spans="1:7" x14ac:dyDescent="0.25">
      <c r="A491" t="s">
        <v>5</v>
      </c>
      <c r="B491">
        <v>0</v>
      </c>
      <c r="C491" s="2">
        <v>0</v>
      </c>
      <c r="D491" s="48">
        <v>44970</v>
      </c>
      <c r="E491" s="48" t="str">
        <f>TEXT(Base_de_Dados[[#This Row],[Semana]],"Mmmm")</f>
        <v>fevereiro</v>
      </c>
      <c r="F491">
        <f>YEAR(Base_de_Dados[[#This Row],[Semana]])</f>
        <v>2023</v>
      </c>
      <c r="G491" t="str">
        <f>IF(MONTH(Base_de_Dados[[#This Row],[Semana]])&lt;=6,"1ª Bimestre","2ª Bimestre")</f>
        <v>1ª Bimestre</v>
      </c>
    </row>
    <row r="492" spans="1:7" x14ac:dyDescent="0.25">
      <c r="A492" t="s">
        <v>6</v>
      </c>
      <c r="B492">
        <v>2</v>
      </c>
      <c r="C492" s="2">
        <v>8.3333333333333329E-2</v>
      </c>
      <c r="D492" s="48">
        <v>44970</v>
      </c>
      <c r="E492" s="48" t="str">
        <f>TEXT(Base_de_Dados[[#This Row],[Semana]],"Mmmm")</f>
        <v>fevereiro</v>
      </c>
      <c r="F492">
        <f>YEAR(Base_de_Dados[[#This Row],[Semana]])</f>
        <v>2023</v>
      </c>
      <c r="G492" t="str">
        <f>IF(MONTH(Base_de_Dados[[#This Row],[Semana]])&lt;=6,"1ª Bimestre","2ª Bimestre")</f>
        <v>1ª Bimestre</v>
      </c>
    </row>
    <row r="493" spans="1:7" x14ac:dyDescent="0.25">
      <c r="A493" t="s">
        <v>7</v>
      </c>
      <c r="B493">
        <v>0</v>
      </c>
      <c r="C493" s="2">
        <v>0</v>
      </c>
      <c r="D493" s="48">
        <v>44970</v>
      </c>
      <c r="E493" s="48" t="str">
        <f>TEXT(Base_de_Dados[[#This Row],[Semana]],"Mmmm")</f>
        <v>fevereiro</v>
      </c>
      <c r="F493">
        <f>YEAR(Base_de_Dados[[#This Row],[Semana]])</f>
        <v>2023</v>
      </c>
      <c r="G493" t="str">
        <f>IF(MONTH(Base_de_Dados[[#This Row],[Semana]])&lt;=6,"1ª Bimestre","2ª Bimestre")</f>
        <v>1ª Bimestre</v>
      </c>
    </row>
    <row r="494" spans="1:7" x14ac:dyDescent="0.25">
      <c r="A494" t="s">
        <v>8</v>
      </c>
      <c r="B494">
        <v>0</v>
      </c>
      <c r="C494" s="2">
        <v>0</v>
      </c>
      <c r="D494" s="48">
        <v>44970</v>
      </c>
      <c r="E494" s="48" t="str">
        <f>TEXT(Base_de_Dados[[#This Row],[Semana]],"Mmmm")</f>
        <v>fevereiro</v>
      </c>
      <c r="F494">
        <f>YEAR(Base_de_Dados[[#This Row],[Semana]])</f>
        <v>2023</v>
      </c>
      <c r="G494" t="str">
        <f>IF(MONTH(Base_de_Dados[[#This Row],[Semana]])&lt;=6,"1ª Bimestre","2ª Bimestre")</f>
        <v>1ª Bimestre</v>
      </c>
    </row>
    <row r="495" spans="1:7" x14ac:dyDescent="0.25">
      <c r="A495" t="s">
        <v>9</v>
      </c>
      <c r="B495">
        <v>5</v>
      </c>
      <c r="C495" s="2">
        <v>0.20833333333333334</v>
      </c>
      <c r="D495" s="48">
        <v>44970</v>
      </c>
      <c r="E495" s="48" t="str">
        <f>TEXT(Base_de_Dados[[#This Row],[Semana]],"Mmmm")</f>
        <v>fevereiro</v>
      </c>
      <c r="F495">
        <f>YEAR(Base_de_Dados[[#This Row],[Semana]])</f>
        <v>2023</v>
      </c>
      <c r="G495" t="str">
        <f>IF(MONTH(Base_de_Dados[[#This Row],[Semana]])&lt;=6,"1ª Bimestre","2ª Bimestre")</f>
        <v>1ª Bimestre</v>
      </c>
    </row>
    <row r="496" spans="1:7" x14ac:dyDescent="0.25">
      <c r="A496" t="s">
        <v>114</v>
      </c>
      <c r="B496">
        <v>0</v>
      </c>
      <c r="C496" s="2">
        <v>0</v>
      </c>
      <c r="D496" s="48">
        <v>44970</v>
      </c>
      <c r="E496" s="48" t="str">
        <f>TEXT(Base_de_Dados[[#This Row],[Semana]],"Mmmm")</f>
        <v>fevereiro</v>
      </c>
      <c r="F496">
        <f>YEAR(Base_de_Dados[[#This Row],[Semana]])</f>
        <v>2023</v>
      </c>
      <c r="G496" t="str">
        <f>IF(MONTH(Base_de_Dados[[#This Row],[Semana]])&lt;=6,"1ª Bimestre","2ª Bimestre")</f>
        <v>1ª Bimestre</v>
      </c>
    </row>
    <row r="497" spans="1:7" x14ac:dyDescent="0.25">
      <c r="A497" t="s">
        <v>11</v>
      </c>
      <c r="B497">
        <v>4</v>
      </c>
      <c r="C497" s="2">
        <v>0.16666666666666666</v>
      </c>
      <c r="D497" s="48">
        <v>44970</v>
      </c>
      <c r="E497" s="48" t="str">
        <f>TEXT(Base_de_Dados[[#This Row],[Semana]],"Mmmm")</f>
        <v>fevereiro</v>
      </c>
      <c r="F497">
        <f>YEAR(Base_de_Dados[[#This Row],[Semana]])</f>
        <v>2023</v>
      </c>
      <c r="G497" t="str">
        <f>IF(MONTH(Base_de_Dados[[#This Row],[Semana]])&lt;=6,"1ª Bimestre","2ª Bimestre")</f>
        <v>1ª Bimestre</v>
      </c>
    </row>
    <row r="498" spans="1:7" x14ac:dyDescent="0.25">
      <c r="A498" t="s">
        <v>144</v>
      </c>
      <c r="B498">
        <v>3</v>
      </c>
      <c r="C498" s="2">
        <v>0.125</v>
      </c>
      <c r="D498" s="48">
        <v>44970</v>
      </c>
      <c r="E498" s="48" t="str">
        <f>TEXT(Base_de_Dados[[#This Row],[Semana]],"Mmmm")</f>
        <v>fevereiro</v>
      </c>
      <c r="F498">
        <f>YEAR(Base_de_Dados[[#This Row],[Semana]])</f>
        <v>2023</v>
      </c>
      <c r="G498" t="str">
        <f>IF(MONTH(Base_de_Dados[[#This Row],[Semana]])&lt;=6,"1ª Bimestre","2ª Bimestre")</f>
        <v>1ª Bimestre</v>
      </c>
    </row>
    <row r="499" spans="1:7" x14ac:dyDescent="0.25">
      <c r="A499" t="s">
        <v>169</v>
      </c>
      <c r="B499">
        <v>0</v>
      </c>
      <c r="C499" s="2">
        <v>0</v>
      </c>
      <c r="D499" s="48">
        <v>44970</v>
      </c>
      <c r="E499" s="48" t="str">
        <f>TEXT(Base_de_Dados[[#This Row],[Semana]],"Mmmm")</f>
        <v>fevereiro</v>
      </c>
      <c r="F499">
        <f>YEAR(Base_de_Dados[[#This Row],[Semana]])</f>
        <v>2023</v>
      </c>
      <c r="G499" t="str">
        <f>IF(MONTH(Base_de_Dados[[#This Row],[Semana]])&lt;=6,"1ª Bimestre","2ª Bimestre")</f>
        <v>1ª Bimestre</v>
      </c>
    </row>
    <row r="500" spans="1:7" x14ac:dyDescent="0.25">
      <c r="A500" t="s">
        <v>190</v>
      </c>
      <c r="B500">
        <v>6</v>
      </c>
      <c r="C500" s="2">
        <v>0.25</v>
      </c>
      <c r="D500" s="48">
        <v>44970</v>
      </c>
      <c r="E500" s="48" t="str">
        <f>TEXT(Base_de_Dados[[#This Row],[Semana]],"Mmmm")</f>
        <v>fevereiro</v>
      </c>
      <c r="F500">
        <f>YEAR(Base_de_Dados[[#This Row],[Semana]])</f>
        <v>2023</v>
      </c>
      <c r="G500" t="str">
        <f>IF(MONTH(Base_de_Dados[[#This Row],[Semana]])&lt;=6,"1ª Bimestre","2ª Bimestre")</f>
        <v>1ª Bimestre</v>
      </c>
    </row>
    <row r="501" spans="1:7" x14ac:dyDescent="0.25">
      <c r="A501" t="s">
        <v>148</v>
      </c>
      <c r="B501">
        <v>0</v>
      </c>
      <c r="C501" s="2">
        <v>0</v>
      </c>
      <c r="D501" s="48">
        <v>44970</v>
      </c>
      <c r="E501" s="48" t="str">
        <f>TEXT(Base_de_Dados[[#This Row],[Semana]],"Mmmm")</f>
        <v>fevereiro</v>
      </c>
      <c r="F501">
        <f>YEAR(Base_de_Dados[[#This Row],[Semana]])</f>
        <v>2023</v>
      </c>
      <c r="G501" t="str">
        <f>IF(MONTH(Base_de_Dados[[#This Row],[Semana]])&lt;=6,"1ª Bimestre","2ª Bimestre")</f>
        <v>1ª Bimestre</v>
      </c>
    </row>
    <row r="502" spans="1:7" x14ac:dyDescent="0.25">
      <c r="A502" t="s">
        <v>112</v>
      </c>
      <c r="B502">
        <v>0</v>
      </c>
      <c r="C502" s="2">
        <v>0</v>
      </c>
      <c r="D502" s="48">
        <v>44977</v>
      </c>
      <c r="E502" s="48" t="str">
        <f>TEXT(Base_de_Dados[[#This Row],[Semana]],"Mmmm")</f>
        <v>fevereiro</v>
      </c>
      <c r="F502">
        <f>YEAR(Base_de_Dados[[#This Row],[Semana]])</f>
        <v>2023</v>
      </c>
      <c r="G502" t="str">
        <f>IF(MONTH(Base_de_Dados[[#This Row],[Semana]])&lt;=6,"1ª Bimestre","2ª Bimestre")</f>
        <v>1ª Bimestre</v>
      </c>
    </row>
    <row r="503" spans="1:7" x14ac:dyDescent="0.25">
      <c r="A503" t="s">
        <v>4</v>
      </c>
      <c r="B503">
        <v>0</v>
      </c>
      <c r="C503" s="2">
        <v>0</v>
      </c>
      <c r="D503" s="48">
        <v>44977</v>
      </c>
      <c r="E503" s="48" t="str">
        <f>TEXT(Base_de_Dados[[#This Row],[Semana]],"Mmmm")</f>
        <v>fevereiro</v>
      </c>
      <c r="F503">
        <f>YEAR(Base_de_Dados[[#This Row],[Semana]])</f>
        <v>2023</v>
      </c>
      <c r="G503" t="str">
        <f>IF(MONTH(Base_de_Dados[[#This Row],[Semana]])&lt;=6,"1ª Bimestre","2ª Bimestre")</f>
        <v>1ª Bimestre</v>
      </c>
    </row>
    <row r="504" spans="1:7" x14ac:dyDescent="0.25">
      <c r="A504" t="s">
        <v>5</v>
      </c>
      <c r="B504">
        <v>0</v>
      </c>
      <c r="C504" s="2">
        <v>0</v>
      </c>
      <c r="D504" s="48">
        <v>44977</v>
      </c>
      <c r="E504" s="48" t="str">
        <f>TEXT(Base_de_Dados[[#This Row],[Semana]],"Mmmm")</f>
        <v>fevereiro</v>
      </c>
      <c r="F504">
        <f>YEAR(Base_de_Dados[[#This Row],[Semana]])</f>
        <v>2023</v>
      </c>
      <c r="G504" t="str">
        <f>IF(MONTH(Base_de_Dados[[#This Row],[Semana]])&lt;=6,"1ª Bimestre","2ª Bimestre")</f>
        <v>1ª Bimestre</v>
      </c>
    </row>
    <row r="505" spans="1:7" x14ac:dyDescent="0.25">
      <c r="A505" t="s">
        <v>6</v>
      </c>
      <c r="B505">
        <v>0</v>
      </c>
      <c r="C505" s="2">
        <v>0</v>
      </c>
      <c r="D505" s="48">
        <v>44977</v>
      </c>
      <c r="E505" s="48" t="str">
        <f>TEXT(Base_de_Dados[[#This Row],[Semana]],"Mmmm")</f>
        <v>fevereiro</v>
      </c>
      <c r="F505">
        <f>YEAR(Base_de_Dados[[#This Row],[Semana]])</f>
        <v>2023</v>
      </c>
      <c r="G505" t="str">
        <f>IF(MONTH(Base_de_Dados[[#This Row],[Semana]])&lt;=6,"1ª Bimestre","2ª Bimestre")</f>
        <v>1ª Bimestre</v>
      </c>
    </row>
    <row r="506" spans="1:7" x14ac:dyDescent="0.25">
      <c r="A506" t="s">
        <v>7</v>
      </c>
      <c r="B506">
        <v>2</v>
      </c>
      <c r="C506" s="2">
        <v>0.13333333333333333</v>
      </c>
      <c r="D506" s="48">
        <v>44977</v>
      </c>
      <c r="E506" s="48" t="str">
        <f>TEXT(Base_de_Dados[[#This Row],[Semana]],"Mmmm")</f>
        <v>fevereiro</v>
      </c>
      <c r="F506">
        <f>YEAR(Base_de_Dados[[#This Row],[Semana]])</f>
        <v>2023</v>
      </c>
      <c r="G506" t="str">
        <f>IF(MONTH(Base_de_Dados[[#This Row],[Semana]])&lt;=6,"1ª Bimestre","2ª Bimestre")</f>
        <v>1ª Bimestre</v>
      </c>
    </row>
    <row r="507" spans="1:7" x14ac:dyDescent="0.25">
      <c r="A507" t="s">
        <v>8</v>
      </c>
      <c r="B507">
        <v>7</v>
      </c>
      <c r="C507" s="2">
        <v>0.46666666666666667</v>
      </c>
      <c r="D507" s="48">
        <v>44977</v>
      </c>
      <c r="E507" s="48" t="str">
        <f>TEXT(Base_de_Dados[[#This Row],[Semana]],"Mmmm")</f>
        <v>fevereiro</v>
      </c>
      <c r="F507">
        <f>YEAR(Base_de_Dados[[#This Row],[Semana]])</f>
        <v>2023</v>
      </c>
      <c r="G507" t="str">
        <f>IF(MONTH(Base_de_Dados[[#This Row],[Semana]])&lt;=6,"1ª Bimestre","2ª Bimestre")</f>
        <v>1ª Bimestre</v>
      </c>
    </row>
    <row r="508" spans="1:7" x14ac:dyDescent="0.25">
      <c r="A508" t="s">
        <v>9</v>
      </c>
      <c r="B508">
        <v>2</v>
      </c>
      <c r="C508" s="2">
        <v>0.13333333333333333</v>
      </c>
      <c r="D508" s="48">
        <v>44977</v>
      </c>
      <c r="E508" s="48" t="str">
        <f>TEXT(Base_de_Dados[[#This Row],[Semana]],"Mmmm")</f>
        <v>fevereiro</v>
      </c>
      <c r="F508">
        <f>YEAR(Base_de_Dados[[#This Row],[Semana]])</f>
        <v>2023</v>
      </c>
      <c r="G508" t="str">
        <f>IF(MONTH(Base_de_Dados[[#This Row],[Semana]])&lt;=6,"1ª Bimestre","2ª Bimestre")</f>
        <v>1ª Bimestre</v>
      </c>
    </row>
    <row r="509" spans="1:7" x14ac:dyDescent="0.25">
      <c r="A509" t="s">
        <v>114</v>
      </c>
      <c r="B509">
        <v>0</v>
      </c>
      <c r="C509" s="2">
        <v>0</v>
      </c>
      <c r="D509" s="48">
        <v>44977</v>
      </c>
      <c r="E509" s="48" t="str">
        <f>TEXT(Base_de_Dados[[#This Row],[Semana]],"Mmmm")</f>
        <v>fevereiro</v>
      </c>
      <c r="F509">
        <f>YEAR(Base_de_Dados[[#This Row],[Semana]])</f>
        <v>2023</v>
      </c>
      <c r="G509" t="str">
        <f>IF(MONTH(Base_de_Dados[[#This Row],[Semana]])&lt;=6,"1ª Bimestre","2ª Bimestre")</f>
        <v>1ª Bimestre</v>
      </c>
    </row>
    <row r="510" spans="1:7" x14ac:dyDescent="0.25">
      <c r="A510" t="s">
        <v>11</v>
      </c>
      <c r="B510">
        <v>0</v>
      </c>
      <c r="C510" s="2">
        <v>0</v>
      </c>
      <c r="D510" s="48">
        <v>44977</v>
      </c>
      <c r="E510" s="48" t="str">
        <f>TEXT(Base_de_Dados[[#This Row],[Semana]],"Mmmm")</f>
        <v>fevereiro</v>
      </c>
      <c r="F510">
        <f>YEAR(Base_de_Dados[[#This Row],[Semana]])</f>
        <v>2023</v>
      </c>
      <c r="G510" t="str">
        <f>IF(MONTH(Base_de_Dados[[#This Row],[Semana]])&lt;=6,"1ª Bimestre","2ª Bimestre")</f>
        <v>1ª Bimestre</v>
      </c>
    </row>
    <row r="511" spans="1:7" x14ac:dyDescent="0.25">
      <c r="A511" t="s">
        <v>144</v>
      </c>
      <c r="B511">
        <v>3</v>
      </c>
      <c r="C511" s="2">
        <v>0.2</v>
      </c>
      <c r="D511" s="48">
        <v>44977</v>
      </c>
      <c r="E511" s="48" t="str">
        <f>TEXT(Base_de_Dados[[#This Row],[Semana]],"Mmmm")</f>
        <v>fevereiro</v>
      </c>
      <c r="F511">
        <f>YEAR(Base_de_Dados[[#This Row],[Semana]])</f>
        <v>2023</v>
      </c>
      <c r="G511" t="str">
        <f>IF(MONTH(Base_de_Dados[[#This Row],[Semana]])&lt;=6,"1ª Bimestre","2ª Bimestre")</f>
        <v>1ª Bimestre</v>
      </c>
    </row>
    <row r="512" spans="1:7" x14ac:dyDescent="0.25">
      <c r="A512" t="s">
        <v>169</v>
      </c>
      <c r="B512">
        <v>0</v>
      </c>
      <c r="C512" s="2">
        <v>0</v>
      </c>
      <c r="D512" s="48">
        <v>44977</v>
      </c>
      <c r="E512" s="48" t="str">
        <f>TEXT(Base_de_Dados[[#This Row],[Semana]],"Mmmm")</f>
        <v>fevereiro</v>
      </c>
      <c r="F512">
        <f>YEAR(Base_de_Dados[[#This Row],[Semana]])</f>
        <v>2023</v>
      </c>
      <c r="G512" t="str">
        <f>IF(MONTH(Base_de_Dados[[#This Row],[Semana]])&lt;=6,"1ª Bimestre","2ª Bimestre")</f>
        <v>1ª Bimestre</v>
      </c>
    </row>
    <row r="513" spans="1:7" x14ac:dyDescent="0.25">
      <c r="A513" t="s">
        <v>190</v>
      </c>
      <c r="B513">
        <v>1</v>
      </c>
      <c r="C513" s="2">
        <v>6.6666666666666666E-2</v>
      </c>
      <c r="D513" s="48">
        <v>44977</v>
      </c>
      <c r="E513" s="48" t="str">
        <f>TEXT(Base_de_Dados[[#This Row],[Semana]],"Mmmm")</f>
        <v>fevereiro</v>
      </c>
      <c r="F513">
        <f>YEAR(Base_de_Dados[[#This Row],[Semana]])</f>
        <v>2023</v>
      </c>
      <c r="G513" t="str">
        <f>IF(MONTH(Base_de_Dados[[#This Row],[Semana]])&lt;=6,"1ª Bimestre","2ª Bimestre")</f>
        <v>1ª Bimestre</v>
      </c>
    </row>
    <row r="514" spans="1:7" x14ac:dyDescent="0.25">
      <c r="A514" t="s">
        <v>148</v>
      </c>
      <c r="B514">
        <v>0</v>
      </c>
      <c r="C514" s="2">
        <v>0</v>
      </c>
      <c r="D514" s="48">
        <v>44977</v>
      </c>
      <c r="E514" s="48" t="str">
        <f>TEXT(Base_de_Dados[[#This Row],[Semana]],"Mmmm")</f>
        <v>fevereiro</v>
      </c>
      <c r="F514">
        <f>YEAR(Base_de_Dados[[#This Row],[Semana]])</f>
        <v>2023</v>
      </c>
      <c r="G514" t="str">
        <f>IF(MONTH(Base_de_Dados[[#This Row],[Semana]])&lt;=6,"1ª Bimestre","2ª Bimestre")</f>
        <v>1ª Bimestre</v>
      </c>
    </row>
    <row r="515" spans="1:7" x14ac:dyDescent="0.25">
      <c r="A515" t="s">
        <v>112</v>
      </c>
      <c r="B515">
        <v>2</v>
      </c>
      <c r="C515" s="2">
        <v>0.08</v>
      </c>
      <c r="D515" s="48">
        <v>44984</v>
      </c>
      <c r="E515" s="48" t="str">
        <f>TEXT(Base_de_Dados[[#This Row],[Semana]],"Mmmm")</f>
        <v>fevereiro</v>
      </c>
      <c r="F515">
        <f>YEAR(Base_de_Dados[[#This Row],[Semana]])</f>
        <v>2023</v>
      </c>
      <c r="G515" t="str">
        <f>IF(MONTH(Base_de_Dados[[#This Row],[Semana]])&lt;=6,"1ª Bimestre","2ª Bimestre")</f>
        <v>1ª Bimestre</v>
      </c>
    </row>
    <row r="516" spans="1:7" x14ac:dyDescent="0.25">
      <c r="A516" t="s">
        <v>4</v>
      </c>
      <c r="B516">
        <v>0</v>
      </c>
      <c r="C516" s="2">
        <v>0</v>
      </c>
      <c r="D516" s="48">
        <v>44984</v>
      </c>
      <c r="E516" s="48" t="str">
        <f>TEXT(Base_de_Dados[[#This Row],[Semana]],"Mmmm")</f>
        <v>fevereiro</v>
      </c>
      <c r="F516">
        <f>YEAR(Base_de_Dados[[#This Row],[Semana]])</f>
        <v>2023</v>
      </c>
      <c r="G516" t="str">
        <f>IF(MONTH(Base_de_Dados[[#This Row],[Semana]])&lt;=6,"1ª Bimestre","2ª Bimestre")</f>
        <v>1ª Bimestre</v>
      </c>
    </row>
    <row r="517" spans="1:7" x14ac:dyDescent="0.25">
      <c r="A517" t="s">
        <v>5</v>
      </c>
      <c r="B517">
        <v>6</v>
      </c>
      <c r="C517" s="2">
        <v>0.24</v>
      </c>
      <c r="D517" s="48">
        <v>44984</v>
      </c>
      <c r="E517" s="48" t="str">
        <f>TEXT(Base_de_Dados[[#This Row],[Semana]],"Mmmm")</f>
        <v>fevereiro</v>
      </c>
      <c r="F517">
        <f>YEAR(Base_de_Dados[[#This Row],[Semana]])</f>
        <v>2023</v>
      </c>
      <c r="G517" t="str">
        <f>IF(MONTH(Base_de_Dados[[#This Row],[Semana]])&lt;=6,"1ª Bimestre","2ª Bimestre")</f>
        <v>1ª Bimestre</v>
      </c>
    </row>
    <row r="518" spans="1:7" x14ac:dyDescent="0.25">
      <c r="A518" t="s">
        <v>6</v>
      </c>
      <c r="B518">
        <v>2</v>
      </c>
      <c r="C518" s="2">
        <v>0.08</v>
      </c>
      <c r="D518" s="48">
        <v>44984</v>
      </c>
      <c r="E518" s="48" t="str">
        <f>TEXT(Base_de_Dados[[#This Row],[Semana]],"Mmmm")</f>
        <v>fevereiro</v>
      </c>
      <c r="F518">
        <f>YEAR(Base_de_Dados[[#This Row],[Semana]])</f>
        <v>2023</v>
      </c>
      <c r="G518" t="str">
        <f>IF(MONTH(Base_de_Dados[[#This Row],[Semana]])&lt;=6,"1ª Bimestre","2ª Bimestre")</f>
        <v>1ª Bimestre</v>
      </c>
    </row>
    <row r="519" spans="1:7" x14ac:dyDescent="0.25">
      <c r="A519" t="s">
        <v>7</v>
      </c>
      <c r="B519">
        <v>3</v>
      </c>
      <c r="C519" s="2">
        <v>0.12</v>
      </c>
      <c r="D519" s="48">
        <v>44984</v>
      </c>
      <c r="E519" s="48" t="str">
        <f>TEXT(Base_de_Dados[[#This Row],[Semana]],"Mmmm")</f>
        <v>fevereiro</v>
      </c>
      <c r="F519">
        <f>YEAR(Base_de_Dados[[#This Row],[Semana]])</f>
        <v>2023</v>
      </c>
      <c r="G519" t="str">
        <f>IF(MONTH(Base_de_Dados[[#This Row],[Semana]])&lt;=6,"1ª Bimestre","2ª Bimestre")</f>
        <v>1ª Bimestre</v>
      </c>
    </row>
    <row r="520" spans="1:7" x14ac:dyDescent="0.25">
      <c r="A520" t="s">
        <v>8</v>
      </c>
      <c r="B520">
        <v>3</v>
      </c>
      <c r="C520" s="2">
        <v>0.12</v>
      </c>
      <c r="D520" s="48">
        <v>44984</v>
      </c>
      <c r="E520" s="48" t="str">
        <f>TEXT(Base_de_Dados[[#This Row],[Semana]],"Mmmm")</f>
        <v>fevereiro</v>
      </c>
      <c r="F520">
        <f>YEAR(Base_de_Dados[[#This Row],[Semana]])</f>
        <v>2023</v>
      </c>
      <c r="G520" t="str">
        <f>IF(MONTH(Base_de_Dados[[#This Row],[Semana]])&lt;=6,"1ª Bimestre","2ª Bimestre")</f>
        <v>1ª Bimestre</v>
      </c>
    </row>
    <row r="521" spans="1:7" x14ac:dyDescent="0.25">
      <c r="A521" t="s">
        <v>9</v>
      </c>
      <c r="B521">
        <v>1</v>
      </c>
      <c r="C521" s="2">
        <v>0.04</v>
      </c>
      <c r="D521" s="48">
        <v>44984</v>
      </c>
      <c r="E521" s="48" t="str">
        <f>TEXT(Base_de_Dados[[#This Row],[Semana]],"Mmmm")</f>
        <v>fevereiro</v>
      </c>
      <c r="F521">
        <f>YEAR(Base_de_Dados[[#This Row],[Semana]])</f>
        <v>2023</v>
      </c>
      <c r="G521" t="str">
        <f>IF(MONTH(Base_de_Dados[[#This Row],[Semana]])&lt;=6,"1ª Bimestre","2ª Bimestre")</f>
        <v>1ª Bimestre</v>
      </c>
    </row>
    <row r="522" spans="1:7" x14ac:dyDescent="0.25">
      <c r="A522" t="s">
        <v>114</v>
      </c>
      <c r="B522">
        <v>0</v>
      </c>
      <c r="C522" s="2">
        <v>0</v>
      </c>
      <c r="D522" s="48">
        <v>44984</v>
      </c>
      <c r="E522" s="48" t="str">
        <f>TEXT(Base_de_Dados[[#This Row],[Semana]],"Mmmm")</f>
        <v>fevereiro</v>
      </c>
      <c r="F522">
        <f>YEAR(Base_de_Dados[[#This Row],[Semana]])</f>
        <v>2023</v>
      </c>
      <c r="G522" t="str">
        <f>IF(MONTH(Base_de_Dados[[#This Row],[Semana]])&lt;=6,"1ª Bimestre","2ª Bimestre")</f>
        <v>1ª Bimestre</v>
      </c>
    </row>
    <row r="523" spans="1:7" x14ac:dyDescent="0.25">
      <c r="A523" t="s">
        <v>11</v>
      </c>
      <c r="B523">
        <v>6</v>
      </c>
      <c r="C523" s="2">
        <v>0.24</v>
      </c>
      <c r="D523" s="48">
        <v>44984</v>
      </c>
      <c r="E523" s="48" t="str">
        <f>TEXT(Base_de_Dados[[#This Row],[Semana]],"Mmmm")</f>
        <v>fevereiro</v>
      </c>
      <c r="F523">
        <f>YEAR(Base_de_Dados[[#This Row],[Semana]])</f>
        <v>2023</v>
      </c>
      <c r="G523" t="str">
        <f>IF(MONTH(Base_de_Dados[[#This Row],[Semana]])&lt;=6,"1ª Bimestre","2ª Bimestre")</f>
        <v>1ª Bimestre</v>
      </c>
    </row>
    <row r="524" spans="1:7" x14ac:dyDescent="0.25">
      <c r="A524" t="s">
        <v>144</v>
      </c>
      <c r="B524">
        <v>2</v>
      </c>
      <c r="C524" s="2">
        <v>0.08</v>
      </c>
      <c r="D524" s="48">
        <v>44984</v>
      </c>
      <c r="E524" s="48" t="str">
        <f>TEXT(Base_de_Dados[[#This Row],[Semana]],"Mmmm")</f>
        <v>fevereiro</v>
      </c>
      <c r="F524">
        <f>YEAR(Base_de_Dados[[#This Row],[Semana]])</f>
        <v>2023</v>
      </c>
      <c r="G524" t="str">
        <f>IF(MONTH(Base_de_Dados[[#This Row],[Semana]])&lt;=6,"1ª Bimestre","2ª Bimestre")</f>
        <v>1ª Bimestre</v>
      </c>
    </row>
    <row r="525" spans="1:7" x14ac:dyDescent="0.25">
      <c r="A525" t="s">
        <v>169</v>
      </c>
      <c r="B525">
        <v>0</v>
      </c>
      <c r="C525" s="2">
        <v>0</v>
      </c>
      <c r="D525" s="48">
        <v>44984</v>
      </c>
      <c r="E525" s="48" t="str">
        <f>TEXT(Base_de_Dados[[#This Row],[Semana]],"Mmmm")</f>
        <v>fevereiro</v>
      </c>
      <c r="F525">
        <f>YEAR(Base_de_Dados[[#This Row],[Semana]])</f>
        <v>2023</v>
      </c>
      <c r="G525" t="str">
        <f>IF(MONTH(Base_de_Dados[[#This Row],[Semana]])&lt;=6,"1ª Bimestre","2ª Bimestre")</f>
        <v>1ª Bimestre</v>
      </c>
    </row>
    <row r="526" spans="1:7" x14ac:dyDescent="0.25">
      <c r="A526" t="s">
        <v>190</v>
      </c>
      <c r="B526">
        <v>0</v>
      </c>
      <c r="C526" s="2">
        <v>0</v>
      </c>
      <c r="D526" s="48">
        <v>44984</v>
      </c>
      <c r="E526" s="48" t="str">
        <f>TEXT(Base_de_Dados[[#This Row],[Semana]],"Mmmm")</f>
        <v>fevereiro</v>
      </c>
      <c r="F526">
        <f>YEAR(Base_de_Dados[[#This Row],[Semana]])</f>
        <v>2023</v>
      </c>
      <c r="G526" t="str">
        <f>IF(MONTH(Base_de_Dados[[#This Row],[Semana]])&lt;=6,"1ª Bimestre","2ª Bimestre")</f>
        <v>1ª Bimestre</v>
      </c>
    </row>
    <row r="527" spans="1:7" x14ac:dyDescent="0.25">
      <c r="A527" t="s">
        <v>148</v>
      </c>
      <c r="B527">
        <v>0</v>
      </c>
      <c r="C527" s="2">
        <v>0</v>
      </c>
      <c r="D527" s="48">
        <v>44984</v>
      </c>
      <c r="E527" s="48" t="str">
        <f>TEXT(Base_de_Dados[[#This Row],[Semana]],"Mmmm")</f>
        <v>fevereiro</v>
      </c>
      <c r="F527">
        <f>YEAR(Base_de_Dados[[#This Row],[Semana]])</f>
        <v>2023</v>
      </c>
      <c r="G527" t="str">
        <f>IF(MONTH(Base_de_Dados[[#This Row],[Semana]])&lt;=6,"1ª Bimestre","2ª Bimestre")</f>
        <v>1ª Bimestre</v>
      </c>
    </row>
    <row r="528" spans="1:7" x14ac:dyDescent="0.25">
      <c r="A528" t="s">
        <v>112</v>
      </c>
      <c r="B528">
        <v>5</v>
      </c>
      <c r="C528" s="2">
        <v>0.14285714285714285</v>
      </c>
      <c r="D528" s="48">
        <v>44991</v>
      </c>
      <c r="E528" s="48" t="str">
        <f>TEXT(Base_de_Dados[[#This Row],[Semana]],"Mmmm")</f>
        <v>março</v>
      </c>
      <c r="F528">
        <f>YEAR(Base_de_Dados[[#This Row],[Semana]])</f>
        <v>2023</v>
      </c>
      <c r="G528" t="str">
        <f>IF(MONTH(Base_de_Dados[[#This Row],[Semana]])&lt;=6,"1ª Bimestre","2ª Bimestre")</f>
        <v>1ª Bimestre</v>
      </c>
    </row>
    <row r="529" spans="1:7" x14ac:dyDescent="0.25">
      <c r="A529" t="s">
        <v>4</v>
      </c>
      <c r="B529">
        <v>0</v>
      </c>
      <c r="C529" s="2">
        <v>0</v>
      </c>
      <c r="D529" s="48">
        <v>44991</v>
      </c>
      <c r="E529" s="48" t="str">
        <f>TEXT(Base_de_Dados[[#This Row],[Semana]],"Mmmm")</f>
        <v>março</v>
      </c>
      <c r="F529">
        <f>YEAR(Base_de_Dados[[#This Row],[Semana]])</f>
        <v>2023</v>
      </c>
      <c r="G529" t="str">
        <f>IF(MONTH(Base_de_Dados[[#This Row],[Semana]])&lt;=6,"1ª Bimestre","2ª Bimestre")</f>
        <v>1ª Bimestre</v>
      </c>
    </row>
    <row r="530" spans="1:7" x14ac:dyDescent="0.25">
      <c r="A530" t="s">
        <v>5</v>
      </c>
      <c r="B530">
        <v>0</v>
      </c>
      <c r="C530" s="2">
        <v>0</v>
      </c>
      <c r="D530" s="48">
        <v>44991</v>
      </c>
      <c r="E530" s="48" t="str">
        <f>TEXT(Base_de_Dados[[#This Row],[Semana]],"Mmmm")</f>
        <v>março</v>
      </c>
      <c r="F530">
        <f>YEAR(Base_de_Dados[[#This Row],[Semana]])</f>
        <v>2023</v>
      </c>
      <c r="G530" t="str">
        <f>IF(MONTH(Base_de_Dados[[#This Row],[Semana]])&lt;=6,"1ª Bimestre","2ª Bimestre")</f>
        <v>1ª Bimestre</v>
      </c>
    </row>
    <row r="531" spans="1:7" x14ac:dyDescent="0.25">
      <c r="A531" t="s">
        <v>6</v>
      </c>
      <c r="B531">
        <v>3</v>
      </c>
      <c r="C531" s="2">
        <v>8.5714285714285715E-2</v>
      </c>
      <c r="D531" s="48">
        <v>44991</v>
      </c>
      <c r="E531" s="48" t="str">
        <f>TEXT(Base_de_Dados[[#This Row],[Semana]],"Mmmm")</f>
        <v>março</v>
      </c>
      <c r="F531">
        <f>YEAR(Base_de_Dados[[#This Row],[Semana]])</f>
        <v>2023</v>
      </c>
      <c r="G531" t="str">
        <f>IF(MONTH(Base_de_Dados[[#This Row],[Semana]])&lt;=6,"1ª Bimestre","2ª Bimestre")</f>
        <v>1ª Bimestre</v>
      </c>
    </row>
    <row r="532" spans="1:7" x14ac:dyDescent="0.25">
      <c r="A532" t="s">
        <v>7</v>
      </c>
      <c r="B532">
        <v>9</v>
      </c>
      <c r="C532" s="2">
        <v>0.25714285714285712</v>
      </c>
      <c r="D532" s="48">
        <v>44991</v>
      </c>
      <c r="E532" s="48" t="str">
        <f>TEXT(Base_de_Dados[[#This Row],[Semana]],"Mmmm")</f>
        <v>março</v>
      </c>
      <c r="F532">
        <f>YEAR(Base_de_Dados[[#This Row],[Semana]])</f>
        <v>2023</v>
      </c>
      <c r="G532" t="str">
        <f>IF(MONTH(Base_de_Dados[[#This Row],[Semana]])&lt;=6,"1ª Bimestre","2ª Bimestre")</f>
        <v>1ª Bimestre</v>
      </c>
    </row>
    <row r="533" spans="1:7" x14ac:dyDescent="0.25">
      <c r="A533" t="s">
        <v>8</v>
      </c>
      <c r="B533">
        <v>1</v>
      </c>
      <c r="C533" s="2">
        <v>2.8571428571428571E-2</v>
      </c>
      <c r="D533" s="48">
        <v>44991</v>
      </c>
      <c r="E533" s="48" t="str">
        <f>TEXT(Base_de_Dados[[#This Row],[Semana]],"Mmmm")</f>
        <v>março</v>
      </c>
      <c r="F533">
        <f>YEAR(Base_de_Dados[[#This Row],[Semana]])</f>
        <v>2023</v>
      </c>
      <c r="G533" t="str">
        <f>IF(MONTH(Base_de_Dados[[#This Row],[Semana]])&lt;=6,"1ª Bimestre","2ª Bimestre")</f>
        <v>1ª Bimestre</v>
      </c>
    </row>
    <row r="534" spans="1:7" x14ac:dyDescent="0.25">
      <c r="A534" t="s">
        <v>9</v>
      </c>
      <c r="B534">
        <v>0</v>
      </c>
      <c r="C534" s="2">
        <v>0</v>
      </c>
      <c r="D534" s="48">
        <v>44991</v>
      </c>
      <c r="E534" s="48" t="str">
        <f>TEXT(Base_de_Dados[[#This Row],[Semana]],"Mmmm")</f>
        <v>março</v>
      </c>
      <c r="F534">
        <f>YEAR(Base_de_Dados[[#This Row],[Semana]])</f>
        <v>2023</v>
      </c>
      <c r="G534" t="str">
        <f>IF(MONTH(Base_de_Dados[[#This Row],[Semana]])&lt;=6,"1ª Bimestre","2ª Bimestre")</f>
        <v>1ª Bimestre</v>
      </c>
    </row>
    <row r="535" spans="1:7" x14ac:dyDescent="0.25">
      <c r="A535" t="s">
        <v>114</v>
      </c>
      <c r="B535">
        <v>0</v>
      </c>
      <c r="C535" s="2">
        <v>0</v>
      </c>
      <c r="D535" s="48">
        <v>44991</v>
      </c>
      <c r="E535" s="48" t="str">
        <f>TEXT(Base_de_Dados[[#This Row],[Semana]],"Mmmm")</f>
        <v>março</v>
      </c>
      <c r="F535">
        <f>YEAR(Base_de_Dados[[#This Row],[Semana]])</f>
        <v>2023</v>
      </c>
      <c r="G535" t="str">
        <f>IF(MONTH(Base_de_Dados[[#This Row],[Semana]])&lt;=6,"1ª Bimestre","2ª Bimestre")</f>
        <v>1ª Bimestre</v>
      </c>
    </row>
    <row r="536" spans="1:7" x14ac:dyDescent="0.25">
      <c r="A536" t="s">
        <v>11</v>
      </c>
      <c r="B536">
        <v>8</v>
      </c>
      <c r="C536" s="2">
        <v>0.22857142857142856</v>
      </c>
      <c r="D536" s="48">
        <v>44991</v>
      </c>
      <c r="E536" s="48" t="str">
        <f>TEXT(Base_de_Dados[[#This Row],[Semana]],"Mmmm")</f>
        <v>março</v>
      </c>
      <c r="F536">
        <f>YEAR(Base_de_Dados[[#This Row],[Semana]])</f>
        <v>2023</v>
      </c>
      <c r="G536" t="str">
        <f>IF(MONTH(Base_de_Dados[[#This Row],[Semana]])&lt;=6,"1ª Bimestre","2ª Bimestre")</f>
        <v>1ª Bimestre</v>
      </c>
    </row>
    <row r="537" spans="1:7" x14ac:dyDescent="0.25">
      <c r="A537" t="s">
        <v>144</v>
      </c>
      <c r="B537">
        <v>6</v>
      </c>
      <c r="C537" s="2">
        <v>0.17142857142857143</v>
      </c>
      <c r="D537" s="48">
        <v>44991</v>
      </c>
      <c r="E537" s="48" t="str">
        <f>TEXT(Base_de_Dados[[#This Row],[Semana]],"Mmmm")</f>
        <v>março</v>
      </c>
      <c r="F537">
        <f>YEAR(Base_de_Dados[[#This Row],[Semana]])</f>
        <v>2023</v>
      </c>
      <c r="G537" t="str">
        <f>IF(MONTH(Base_de_Dados[[#This Row],[Semana]])&lt;=6,"1ª Bimestre","2ª Bimestre")</f>
        <v>1ª Bimestre</v>
      </c>
    </row>
    <row r="538" spans="1:7" x14ac:dyDescent="0.25">
      <c r="A538" t="s">
        <v>169</v>
      </c>
      <c r="B538">
        <v>0</v>
      </c>
      <c r="C538" s="2">
        <v>0</v>
      </c>
      <c r="D538" s="48">
        <v>44991</v>
      </c>
      <c r="E538" s="48" t="str">
        <f>TEXT(Base_de_Dados[[#This Row],[Semana]],"Mmmm")</f>
        <v>março</v>
      </c>
      <c r="F538">
        <f>YEAR(Base_de_Dados[[#This Row],[Semana]])</f>
        <v>2023</v>
      </c>
      <c r="G538" t="str">
        <f>IF(MONTH(Base_de_Dados[[#This Row],[Semana]])&lt;=6,"1ª Bimestre","2ª Bimestre")</f>
        <v>1ª Bimestre</v>
      </c>
    </row>
    <row r="539" spans="1:7" x14ac:dyDescent="0.25">
      <c r="A539" t="s">
        <v>190</v>
      </c>
      <c r="B539">
        <v>3</v>
      </c>
      <c r="C539" s="2">
        <v>8.5714285714285715E-2</v>
      </c>
      <c r="D539" s="48">
        <v>44991</v>
      </c>
      <c r="E539" s="48" t="str">
        <f>TEXT(Base_de_Dados[[#This Row],[Semana]],"Mmmm")</f>
        <v>março</v>
      </c>
      <c r="F539">
        <f>YEAR(Base_de_Dados[[#This Row],[Semana]])</f>
        <v>2023</v>
      </c>
      <c r="G539" t="str">
        <f>IF(MONTH(Base_de_Dados[[#This Row],[Semana]])&lt;=6,"1ª Bimestre","2ª Bimestre")</f>
        <v>1ª Bimestre</v>
      </c>
    </row>
    <row r="540" spans="1:7" x14ac:dyDescent="0.25">
      <c r="A540" t="s">
        <v>148</v>
      </c>
      <c r="B540">
        <v>0</v>
      </c>
      <c r="C540" s="2">
        <v>0</v>
      </c>
      <c r="D540" s="48">
        <v>44991</v>
      </c>
      <c r="E540" s="48" t="str">
        <f>TEXT(Base_de_Dados[[#This Row],[Semana]],"Mmmm")</f>
        <v>março</v>
      </c>
      <c r="F540">
        <f>YEAR(Base_de_Dados[[#This Row],[Semana]])</f>
        <v>2023</v>
      </c>
      <c r="G540" t="str">
        <f>IF(MONTH(Base_de_Dados[[#This Row],[Semana]])&lt;=6,"1ª Bimestre","2ª Bimestre")</f>
        <v>1ª Bimestre</v>
      </c>
    </row>
    <row r="541" spans="1:7" x14ac:dyDescent="0.25">
      <c r="A541" t="s">
        <v>112</v>
      </c>
      <c r="B541">
        <v>4</v>
      </c>
      <c r="C541" s="2">
        <v>0.16</v>
      </c>
      <c r="D541" s="48">
        <v>44998</v>
      </c>
      <c r="E541" s="48" t="str">
        <f>TEXT(Base_de_Dados[[#This Row],[Semana]],"Mmmm")</f>
        <v>março</v>
      </c>
      <c r="F541">
        <f>YEAR(Base_de_Dados[[#This Row],[Semana]])</f>
        <v>2023</v>
      </c>
      <c r="G541" t="str">
        <f>IF(MONTH(Base_de_Dados[[#This Row],[Semana]])&lt;=6,"1ª Bimestre","2ª Bimestre")</f>
        <v>1ª Bimestre</v>
      </c>
    </row>
    <row r="542" spans="1:7" x14ac:dyDescent="0.25">
      <c r="A542" t="s">
        <v>4</v>
      </c>
      <c r="B542">
        <v>0</v>
      </c>
      <c r="C542" s="2">
        <v>0</v>
      </c>
      <c r="D542" s="48">
        <v>44998</v>
      </c>
      <c r="E542" s="48" t="str">
        <f>TEXT(Base_de_Dados[[#This Row],[Semana]],"Mmmm")</f>
        <v>março</v>
      </c>
      <c r="F542">
        <f>YEAR(Base_de_Dados[[#This Row],[Semana]])</f>
        <v>2023</v>
      </c>
      <c r="G542" t="str">
        <f>IF(MONTH(Base_de_Dados[[#This Row],[Semana]])&lt;=6,"1ª Bimestre","2ª Bimestre")</f>
        <v>1ª Bimestre</v>
      </c>
    </row>
    <row r="543" spans="1:7" x14ac:dyDescent="0.25">
      <c r="A543" t="s">
        <v>5</v>
      </c>
      <c r="B543">
        <v>0</v>
      </c>
      <c r="C543" s="2">
        <v>0</v>
      </c>
      <c r="D543" s="48">
        <v>44998</v>
      </c>
      <c r="E543" s="48" t="str">
        <f>TEXT(Base_de_Dados[[#This Row],[Semana]],"Mmmm")</f>
        <v>março</v>
      </c>
      <c r="F543">
        <f>YEAR(Base_de_Dados[[#This Row],[Semana]])</f>
        <v>2023</v>
      </c>
      <c r="G543" t="str">
        <f>IF(MONTH(Base_de_Dados[[#This Row],[Semana]])&lt;=6,"1ª Bimestre","2ª Bimestre")</f>
        <v>1ª Bimestre</v>
      </c>
    </row>
    <row r="544" spans="1:7" x14ac:dyDescent="0.25">
      <c r="A544" t="s">
        <v>6</v>
      </c>
      <c r="B544">
        <v>0</v>
      </c>
      <c r="C544" s="2">
        <v>0</v>
      </c>
      <c r="D544" s="48">
        <v>44998</v>
      </c>
      <c r="E544" s="48" t="str">
        <f>TEXT(Base_de_Dados[[#This Row],[Semana]],"Mmmm")</f>
        <v>março</v>
      </c>
      <c r="F544">
        <f>YEAR(Base_de_Dados[[#This Row],[Semana]])</f>
        <v>2023</v>
      </c>
      <c r="G544" t="str">
        <f>IF(MONTH(Base_de_Dados[[#This Row],[Semana]])&lt;=6,"1ª Bimestre","2ª Bimestre")</f>
        <v>1ª Bimestre</v>
      </c>
    </row>
    <row r="545" spans="1:7" x14ac:dyDescent="0.25">
      <c r="A545" t="s">
        <v>7</v>
      </c>
      <c r="B545">
        <v>2</v>
      </c>
      <c r="C545" s="2">
        <v>0.08</v>
      </c>
      <c r="D545" s="48">
        <v>44998</v>
      </c>
      <c r="E545" s="48" t="str">
        <f>TEXT(Base_de_Dados[[#This Row],[Semana]],"Mmmm")</f>
        <v>março</v>
      </c>
      <c r="F545">
        <f>YEAR(Base_de_Dados[[#This Row],[Semana]])</f>
        <v>2023</v>
      </c>
      <c r="G545" t="str">
        <f>IF(MONTH(Base_de_Dados[[#This Row],[Semana]])&lt;=6,"1ª Bimestre","2ª Bimestre")</f>
        <v>1ª Bimestre</v>
      </c>
    </row>
    <row r="546" spans="1:7" x14ac:dyDescent="0.25">
      <c r="A546" t="s">
        <v>8</v>
      </c>
      <c r="B546">
        <v>0</v>
      </c>
      <c r="C546" s="2">
        <v>0</v>
      </c>
      <c r="D546" s="48">
        <v>44998</v>
      </c>
      <c r="E546" s="48" t="str">
        <f>TEXT(Base_de_Dados[[#This Row],[Semana]],"Mmmm")</f>
        <v>março</v>
      </c>
      <c r="F546">
        <f>YEAR(Base_de_Dados[[#This Row],[Semana]])</f>
        <v>2023</v>
      </c>
      <c r="G546" t="str">
        <f>IF(MONTH(Base_de_Dados[[#This Row],[Semana]])&lt;=6,"1ª Bimestre","2ª Bimestre")</f>
        <v>1ª Bimestre</v>
      </c>
    </row>
    <row r="547" spans="1:7" x14ac:dyDescent="0.25">
      <c r="A547" t="s">
        <v>9</v>
      </c>
      <c r="B547">
        <v>1</v>
      </c>
      <c r="C547" s="2">
        <v>0.04</v>
      </c>
      <c r="D547" s="48">
        <v>44998</v>
      </c>
      <c r="E547" s="48" t="str">
        <f>TEXT(Base_de_Dados[[#This Row],[Semana]],"Mmmm")</f>
        <v>março</v>
      </c>
      <c r="F547">
        <f>YEAR(Base_de_Dados[[#This Row],[Semana]])</f>
        <v>2023</v>
      </c>
      <c r="G547" t="str">
        <f>IF(MONTH(Base_de_Dados[[#This Row],[Semana]])&lt;=6,"1ª Bimestre","2ª Bimestre")</f>
        <v>1ª Bimestre</v>
      </c>
    </row>
    <row r="548" spans="1:7" x14ac:dyDescent="0.25">
      <c r="A548" t="s">
        <v>114</v>
      </c>
      <c r="B548">
        <v>0</v>
      </c>
      <c r="C548" s="2">
        <v>0</v>
      </c>
      <c r="D548" s="48">
        <v>44998</v>
      </c>
      <c r="E548" s="48" t="str">
        <f>TEXT(Base_de_Dados[[#This Row],[Semana]],"Mmmm")</f>
        <v>março</v>
      </c>
      <c r="F548">
        <f>YEAR(Base_de_Dados[[#This Row],[Semana]])</f>
        <v>2023</v>
      </c>
      <c r="G548" t="str">
        <f>IF(MONTH(Base_de_Dados[[#This Row],[Semana]])&lt;=6,"1ª Bimestre","2ª Bimestre")</f>
        <v>1ª Bimestre</v>
      </c>
    </row>
    <row r="549" spans="1:7" x14ac:dyDescent="0.25">
      <c r="A549" t="s">
        <v>11</v>
      </c>
      <c r="B549">
        <v>0</v>
      </c>
      <c r="C549" s="2">
        <v>0</v>
      </c>
      <c r="D549" s="48">
        <v>44998</v>
      </c>
      <c r="E549" s="48" t="str">
        <f>TEXT(Base_de_Dados[[#This Row],[Semana]],"Mmmm")</f>
        <v>março</v>
      </c>
      <c r="F549">
        <f>YEAR(Base_de_Dados[[#This Row],[Semana]])</f>
        <v>2023</v>
      </c>
      <c r="G549" t="str">
        <f>IF(MONTH(Base_de_Dados[[#This Row],[Semana]])&lt;=6,"1ª Bimestre","2ª Bimestre")</f>
        <v>1ª Bimestre</v>
      </c>
    </row>
    <row r="550" spans="1:7" x14ac:dyDescent="0.25">
      <c r="A550" t="s">
        <v>144</v>
      </c>
      <c r="B550">
        <v>4</v>
      </c>
      <c r="C550" s="2">
        <v>0.16</v>
      </c>
      <c r="D550" s="48">
        <v>44998</v>
      </c>
      <c r="E550" s="48" t="str">
        <f>TEXT(Base_de_Dados[[#This Row],[Semana]],"Mmmm")</f>
        <v>março</v>
      </c>
      <c r="F550">
        <f>YEAR(Base_de_Dados[[#This Row],[Semana]])</f>
        <v>2023</v>
      </c>
      <c r="G550" t="str">
        <f>IF(MONTH(Base_de_Dados[[#This Row],[Semana]])&lt;=6,"1ª Bimestre","2ª Bimestre")</f>
        <v>1ª Bimestre</v>
      </c>
    </row>
    <row r="551" spans="1:7" x14ac:dyDescent="0.25">
      <c r="A551" t="s">
        <v>169</v>
      </c>
      <c r="B551">
        <v>0</v>
      </c>
      <c r="C551" s="2">
        <v>0</v>
      </c>
      <c r="D551" s="48">
        <v>44998</v>
      </c>
      <c r="E551" s="48" t="str">
        <f>TEXT(Base_de_Dados[[#This Row],[Semana]],"Mmmm")</f>
        <v>março</v>
      </c>
      <c r="F551">
        <f>YEAR(Base_de_Dados[[#This Row],[Semana]])</f>
        <v>2023</v>
      </c>
      <c r="G551" t="str">
        <f>IF(MONTH(Base_de_Dados[[#This Row],[Semana]])&lt;=6,"1ª Bimestre","2ª Bimestre")</f>
        <v>1ª Bimestre</v>
      </c>
    </row>
    <row r="552" spans="1:7" x14ac:dyDescent="0.25">
      <c r="A552" t="s">
        <v>190</v>
      </c>
      <c r="B552">
        <v>0</v>
      </c>
      <c r="C552" s="2">
        <v>0</v>
      </c>
      <c r="D552" s="48">
        <v>44998</v>
      </c>
      <c r="E552" s="48" t="str">
        <f>TEXT(Base_de_Dados[[#This Row],[Semana]],"Mmmm")</f>
        <v>março</v>
      </c>
      <c r="F552">
        <f>YEAR(Base_de_Dados[[#This Row],[Semana]])</f>
        <v>2023</v>
      </c>
      <c r="G552" t="str">
        <f>IF(MONTH(Base_de_Dados[[#This Row],[Semana]])&lt;=6,"1ª Bimestre","2ª Bimestre")</f>
        <v>1ª Bimestre</v>
      </c>
    </row>
    <row r="553" spans="1:7" x14ac:dyDescent="0.25">
      <c r="A553" t="s">
        <v>192</v>
      </c>
      <c r="B553">
        <v>10</v>
      </c>
      <c r="C553" s="2">
        <v>0.4</v>
      </c>
      <c r="D553" s="48">
        <v>44998</v>
      </c>
      <c r="E553" s="48" t="str">
        <f>TEXT(Base_de_Dados[[#This Row],[Semana]],"Mmmm")</f>
        <v>março</v>
      </c>
      <c r="F553">
        <f>YEAR(Base_de_Dados[[#This Row],[Semana]])</f>
        <v>2023</v>
      </c>
      <c r="G553" t="str">
        <f>IF(MONTH(Base_de_Dados[[#This Row],[Semana]])&lt;=6,"1ª Bimestre","2ª Bimestre")</f>
        <v>1ª Bimestre</v>
      </c>
    </row>
    <row r="554" spans="1:7" x14ac:dyDescent="0.25">
      <c r="A554" t="s">
        <v>148</v>
      </c>
      <c r="B554">
        <v>4</v>
      </c>
      <c r="C554" s="2">
        <v>0.16</v>
      </c>
      <c r="D554" s="48">
        <v>44998</v>
      </c>
      <c r="E554" s="48" t="str">
        <f>TEXT(Base_de_Dados[[#This Row],[Semana]],"Mmmm")</f>
        <v>março</v>
      </c>
      <c r="F554">
        <f>YEAR(Base_de_Dados[[#This Row],[Semana]])</f>
        <v>2023</v>
      </c>
      <c r="G554" t="str">
        <f>IF(MONTH(Base_de_Dados[[#This Row],[Semana]])&lt;=6,"1ª Bimestre","2ª Bimestre")</f>
        <v>1ª Bimestre</v>
      </c>
    </row>
    <row r="555" spans="1:7" x14ac:dyDescent="0.25">
      <c r="A555" t="s">
        <v>112</v>
      </c>
      <c r="B555">
        <v>3</v>
      </c>
      <c r="C555" s="2">
        <v>0.21428571428571427</v>
      </c>
      <c r="D555" s="48">
        <v>45005</v>
      </c>
      <c r="E555" s="48" t="str">
        <f>TEXT(Base_de_Dados[[#This Row],[Semana]],"Mmmm")</f>
        <v>março</v>
      </c>
      <c r="F555">
        <f>YEAR(Base_de_Dados[[#This Row],[Semana]])</f>
        <v>2023</v>
      </c>
      <c r="G555" t="str">
        <f>IF(MONTH(Base_de_Dados[[#This Row],[Semana]])&lt;=6,"1ª Bimestre","2ª Bimestre")</f>
        <v>1ª Bimestre</v>
      </c>
    </row>
    <row r="556" spans="1:7" x14ac:dyDescent="0.25">
      <c r="A556" t="s">
        <v>4</v>
      </c>
      <c r="B556">
        <v>1</v>
      </c>
      <c r="C556" s="2">
        <v>7.1428571428571425E-2</v>
      </c>
      <c r="D556" s="48">
        <v>45005</v>
      </c>
      <c r="E556" s="48" t="str">
        <f>TEXT(Base_de_Dados[[#This Row],[Semana]],"Mmmm")</f>
        <v>março</v>
      </c>
      <c r="F556">
        <f>YEAR(Base_de_Dados[[#This Row],[Semana]])</f>
        <v>2023</v>
      </c>
      <c r="G556" t="str">
        <f>IF(MONTH(Base_de_Dados[[#This Row],[Semana]])&lt;=6,"1ª Bimestre","2ª Bimestre")</f>
        <v>1ª Bimestre</v>
      </c>
    </row>
    <row r="557" spans="1:7" x14ac:dyDescent="0.25">
      <c r="A557" t="s">
        <v>5</v>
      </c>
      <c r="B557">
        <v>4</v>
      </c>
      <c r="C557" s="2">
        <v>0.2857142857142857</v>
      </c>
      <c r="D557" s="48">
        <v>45005</v>
      </c>
      <c r="E557" s="48" t="str">
        <f>TEXT(Base_de_Dados[[#This Row],[Semana]],"Mmmm")</f>
        <v>março</v>
      </c>
      <c r="F557">
        <f>YEAR(Base_de_Dados[[#This Row],[Semana]])</f>
        <v>2023</v>
      </c>
      <c r="G557" t="str">
        <f>IF(MONTH(Base_de_Dados[[#This Row],[Semana]])&lt;=6,"1ª Bimestre","2ª Bimestre")</f>
        <v>1ª Bimestre</v>
      </c>
    </row>
    <row r="558" spans="1:7" x14ac:dyDescent="0.25">
      <c r="A558" t="s">
        <v>6</v>
      </c>
      <c r="B558">
        <v>0</v>
      </c>
      <c r="C558" s="2">
        <v>0</v>
      </c>
      <c r="D558" s="48">
        <v>45005</v>
      </c>
      <c r="E558" s="48" t="str">
        <f>TEXT(Base_de_Dados[[#This Row],[Semana]],"Mmmm")</f>
        <v>março</v>
      </c>
      <c r="F558">
        <f>YEAR(Base_de_Dados[[#This Row],[Semana]])</f>
        <v>2023</v>
      </c>
      <c r="G558" t="str">
        <f>IF(MONTH(Base_de_Dados[[#This Row],[Semana]])&lt;=6,"1ª Bimestre","2ª Bimestre")</f>
        <v>1ª Bimestre</v>
      </c>
    </row>
    <row r="559" spans="1:7" x14ac:dyDescent="0.25">
      <c r="A559" t="s">
        <v>7</v>
      </c>
      <c r="B559">
        <v>0</v>
      </c>
      <c r="C559" s="2">
        <v>0</v>
      </c>
      <c r="D559" s="48">
        <v>45005</v>
      </c>
      <c r="E559" s="48" t="str">
        <f>TEXT(Base_de_Dados[[#This Row],[Semana]],"Mmmm")</f>
        <v>março</v>
      </c>
      <c r="F559">
        <f>YEAR(Base_de_Dados[[#This Row],[Semana]])</f>
        <v>2023</v>
      </c>
      <c r="G559" t="str">
        <f>IF(MONTH(Base_de_Dados[[#This Row],[Semana]])&lt;=6,"1ª Bimestre","2ª Bimestre")</f>
        <v>1ª Bimestre</v>
      </c>
    </row>
    <row r="560" spans="1:7" x14ac:dyDescent="0.25">
      <c r="A560" t="s">
        <v>8</v>
      </c>
      <c r="B560">
        <v>0</v>
      </c>
      <c r="C560" s="2">
        <v>0</v>
      </c>
      <c r="D560" s="48">
        <v>45005</v>
      </c>
      <c r="E560" s="48" t="str">
        <f>TEXT(Base_de_Dados[[#This Row],[Semana]],"Mmmm")</f>
        <v>março</v>
      </c>
      <c r="F560">
        <f>YEAR(Base_de_Dados[[#This Row],[Semana]])</f>
        <v>2023</v>
      </c>
      <c r="G560" t="str">
        <f>IF(MONTH(Base_de_Dados[[#This Row],[Semana]])&lt;=6,"1ª Bimestre","2ª Bimestre")</f>
        <v>1ª Bimestre</v>
      </c>
    </row>
    <row r="561" spans="1:7" x14ac:dyDescent="0.25">
      <c r="A561" t="s">
        <v>9</v>
      </c>
      <c r="B561">
        <v>1</v>
      </c>
      <c r="C561" s="2">
        <v>7.1428571428571425E-2</v>
      </c>
      <c r="D561" s="48">
        <v>45005</v>
      </c>
      <c r="E561" s="48" t="str">
        <f>TEXT(Base_de_Dados[[#This Row],[Semana]],"Mmmm")</f>
        <v>março</v>
      </c>
      <c r="F561">
        <f>YEAR(Base_de_Dados[[#This Row],[Semana]])</f>
        <v>2023</v>
      </c>
      <c r="G561" t="str">
        <f>IF(MONTH(Base_de_Dados[[#This Row],[Semana]])&lt;=6,"1ª Bimestre","2ª Bimestre")</f>
        <v>1ª Bimestre</v>
      </c>
    </row>
    <row r="562" spans="1:7" x14ac:dyDescent="0.25">
      <c r="A562" t="s">
        <v>114</v>
      </c>
      <c r="B562">
        <v>0</v>
      </c>
      <c r="C562" s="2">
        <v>0</v>
      </c>
      <c r="D562" s="48">
        <v>45005</v>
      </c>
      <c r="E562" s="48" t="str">
        <f>TEXT(Base_de_Dados[[#This Row],[Semana]],"Mmmm")</f>
        <v>março</v>
      </c>
      <c r="F562">
        <f>YEAR(Base_de_Dados[[#This Row],[Semana]])</f>
        <v>2023</v>
      </c>
      <c r="G562" t="str">
        <f>IF(MONTH(Base_de_Dados[[#This Row],[Semana]])&lt;=6,"1ª Bimestre","2ª Bimestre")</f>
        <v>1ª Bimestre</v>
      </c>
    </row>
    <row r="563" spans="1:7" x14ac:dyDescent="0.25">
      <c r="A563" t="s">
        <v>11</v>
      </c>
      <c r="B563">
        <v>0</v>
      </c>
      <c r="C563" s="2">
        <v>0</v>
      </c>
      <c r="D563" s="48">
        <v>45005</v>
      </c>
      <c r="E563" s="48" t="str">
        <f>TEXT(Base_de_Dados[[#This Row],[Semana]],"Mmmm")</f>
        <v>março</v>
      </c>
      <c r="F563">
        <f>YEAR(Base_de_Dados[[#This Row],[Semana]])</f>
        <v>2023</v>
      </c>
      <c r="G563" t="str">
        <f>IF(MONTH(Base_de_Dados[[#This Row],[Semana]])&lt;=6,"1ª Bimestre","2ª Bimestre")</f>
        <v>1ª Bimestre</v>
      </c>
    </row>
    <row r="564" spans="1:7" x14ac:dyDescent="0.25">
      <c r="A564" t="s">
        <v>144</v>
      </c>
      <c r="B564">
        <v>3</v>
      </c>
      <c r="C564" s="2">
        <v>0.21428571428571427</v>
      </c>
      <c r="D564" s="48">
        <v>45005</v>
      </c>
      <c r="E564" s="48" t="str">
        <f>TEXT(Base_de_Dados[[#This Row],[Semana]],"Mmmm")</f>
        <v>março</v>
      </c>
      <c r="F564">
        <f>YEAR(Base_de_Dados[[#This Row],[Semana]])</f>
        <v>2023</v>
      </c>
      <c r="G564" t="str">
        <f>IF(MONTH(Base_de_Dados[[#This Row],[Semana]])&lt;=6,"1ª Bimestre","2ª Bimestre")</f>
        <v>1ª Bimestre</v>
      </c>
    </row>
    <row r="565" spans="1:7" x14ac:dyDescent="0.25">
      <c r="A565" t="s">
        <v>169</v>
      </c>
      <c r="B565">
        <v>0</v>
      </c>
      <c r="C565" s="2">
        <v>0</v>
      </c>
      <c r="D565" s="48">
        <v>45005</v>
      </c>
      <c r="E565" s="48" t="str">
        <f>TEXT(Base_de_Dados[[#This Row],[Semana]],"Mmmm")</f>
        <v>março</v>
      </c>
      <c r="F565">
        <f>YEAR(Base_de_Dados[[#This Row],[Semana]])</f>
        <v>2023</v>
      </c>
      <c r="G565" t="str">
        <f>IF(MONTH(Base_de_Dados[[#This Row],[Semana]])&lt;=6,"1ª Bimestre","2ª Bimestre")</f>
        <v>1ª Bimestre</v>
      </c>
    </row>
    <row r="566" spans="1:7" x14ac:dyDescent="0.25">
      <c r="A566" t="s">
        <v>190</v>
      </c>
      <c r="B566">
        <v>0</v>
      </c>
      <c r="C566" s="2">
        <v>0</v>
      </c>
      <c r="D566" s="48">
        <v>45005</v>
      </c>
      <c r="E566" s="48" t="str">
        <f>TEXT(Base_de_Dados[[#This Row],[Semana]],"Mmmm")</f>
        <v>março</v>
      </c>
      <c r="F566">
        <f>YEAR(Base_de_Dados[[#This Row],[Semana]])</f>
        <v>2023</v>
      </c>
      <c r="G566" t="str">
        <f>IF(MONTH(Base_de_Dados[[#This Row],[Semana]])&lt;=6,"1ª Bimestre","2ª Bimestre")</f>
        <v>1ª Bimestre</v>
      </c>
    </row>
    <row r="567" spans="1:7" x14ac:dyDescent="0.25">
      <c r="A567" t="s">
        <v>192</v>
      </c>
      <c r="B567">
        <v>2</v>
      </c>
      <c r="C567" s="2">
        <v>0.14285714285714285</v>
      </c>
      <c r="D567" s="48">
        <v>45005</v>
      </c>
      <c r="E567" s="48" t="str">
        <f>TEXT(Base_de_Dados[[#This Row],[Semana]],"Mmmm")</f>
        <v>março</v>
      </c>
      <c r="F567">
        <f>YEAR(Base_de_Dados[[#This Row],[Semana]])</f>
        <v>2023</v>
      </c>
      <c r="G567" t="str">
        <f>IF(MONTH(Base_de_Dados[[#This Row],[Semana]])&lt;=6,"1ª Bimestre","2ª Bimestre")</f>
        <v>1ª Bimestre</v>
      </c>
    </row>
    <row r="568" spans="1:7" x14ac:dyDescent="0.25">
      <c r="A568" t="s">
        <v>148</v>
      </c>
      <c r="B568">
        <v>0</v>
      </c>
      <c r="C568" s="2">
        <v>0</v>
      </c>
      <c r="D568" s="48">
        <v>45005</v>
      </c>
      <c r="E568" s="48" t="str">
        <f>TEXT(Base_de_Dados[[#This Row],[Semana]],"Mmmm")</f>
        <v>março</v>
      </c>
      <c r="F568">
        <f>YEAR(Base_de_Dados[[#This Row],[Semana]])</f>
        <v>2023</v>
      </c>
      <c r="G568" t="str">
        <f>IF(MONTH(Base_de_Dados[[#This Row],[Semana]])&lt;=6,"1ª Bimestre","2ª Bimestre")</f>
        <v>1ª Bimestre</v>
      </c>
    </row>
    <row r="569" spans="1:7" x14ac:dyDescent="0.25">
      <c r="A569" t="s">
        <v>112</v>
      </c>
      <c r="B569">
        <v>0</v>
      </c>
      <c r="C569" s="2">
        <v>0</v>
      </c>
      <c r="D569" s="48">
        <v>45012</v>
      </c>
      <c r="E569" s="48" t="str">
        <f>TEXT(Base_de_Dados[[#This Row],[Semana]],"Mmmm")</f>
        <v>março</v>
      </c>
      <c r="F569">
        <f>YEAR(Base_de_Dados[[#This Row],[Semana]])</f>
        <v>2023</v>
      </c>
      <c r="G569" t="str">
        <f>IF(MONTH(Base_de_Dados[[#This Row],[Semana]])&lt;=6,"1ª Bimestre","2ª Bimestre")</f>
        <v>1ª Bimestre</v>
      </c>
    </row>
    <row r="570" spans="1:7" x14ac:dyDescent="0.25">
      <c r="A570" t="s">
        <v>4</v>
      </c>
      <c r="B570">
        <v>2</v>
      </c>
      <c r="C570" s="2">
        <v>0.2857142857142857</v>
      </c>
      <c r="D570" s="48">
        <v>45012</v>
      </c>
      <c r="E570" s="48" t="str">
        <f>TEXT(Base_de_Dados[[#This Row],[Semana]],"Mmmm")</f>
        <v>março</v>
      </c>
      <c r="F570">
        <f>YEAR(Base_de_Dados[[#This Row],[Semana]])</f>
        <v>2023</v>
      </c>
      <c r="G570" t="str">
        <f>IF(MONTH(Base_de_Dados[[#This Row],[Semana]])&lt;=6,"1ª Bimestre","2ª Bimestre")</f>
        <v>1ª Bimestre</v>
      </c>
    </row>
    <row r="571" spans="1:7" x14ac:dyDescent="0.25">
      <c r="A571" t="s">
        <v>5</v>
      </c>
      <c r="B571">
        <v>0</v>
      </c>
      <c r="C571" s="2">
        <v>0</v>
      </c>
      <c r="D571" s="48">
        <v>45012</v>
      </c>
      <c r="E571" s="48" t="str">
        <f>TEXT(Base_de_Dados[[#This Row],[Semana]],"Mmmm")</f>
        <v>março</v>
      </c>
      <c r="F571">
        <f>YEAR(Base_de_Dados[[#This Row],[Semana]])</f>
        <v>2023</v>
      </c>
      <c r="G571" t="str">
        <f>IF(MONTH(Base_de_Dados[[#This Row],[Semana]])&lt;=6,"1ª Bimestre","2ª Bimestre")</f>
        <v>1ª Bimestre</v>
      </c>
    </row>
    <row r="572" spans="1:7" x14ac:dyDescent="0.25">
      <c r="A572" t="s">
        <v>6</v>
      </c>
      <c r="B572">
        <v>5</v>
      </c>
      <c r="C572" s="2">
        <v>0.7142857142857143</v>
      </c>
      <c r="D572" s="48">
        <v>45012</v>
      </c>
      <c r="E572" s="48" t="str">
        <f>TEXT(Base_de_Dados[[#This Row],[Semana]],"Mmmm")</f>
        <v>março</v>
      </c>
      <c r="F572">
        <f>YEAR(Base_de_Dados[[#This Row],[Semana]])</f>
        <v>2023</v>
      </c>
      <c r="G572" t="str">
        <f>IF(MONTH(Base_de_Dados[[#This Row],[Semana]])&lt;=6,"1ª Bimestre","2ª Bimestre")</f>
        <v>1ª Bimestre</v>
      </c>
    </row>
    <row r="573" spans="1:7" x14ac:dyDescent="0.25">
      <c r="A573" t="s">
        <v>7</v>
      </c>
      <c r="B573">
        <v>0</v>
      </c>
      <c r="C573" s="2">
        <v>0</v>
      </c>
      <c r="D573" s="48">
        <v>45012</v>
      </c>
      <c r="E573" s="48" t="str">
        <f>TEXT(Base_de_Dados[[#This Row],[Semana]],"Mmmm")</f>
        <v>março</v>
      </c>
      <c r="F573">
        <f>YEAR(Base_de_Dados[[#This Row],[Semana]])</f>
        <v>2023</v>
      </c>
      <c r="G573" t="str">
        <f>IF(MONTH(Base_de_Dados[[#This Row],[Semana]])&lt;=6,"1ª Bimestre","2ª Bimestre")</f>
        <v>1ª Bimestre</v>
      </c>
    </row>
    <row r="574" spans="1:7" x14ac:dyDescent="0.25">
      <c r="A574" t="s">
        <v>8</v>
      </c>
      <c r="B574">
        <v>0</v>
      </c>
      <c r="C574" s="2">
        <v>0</v>
      </c>
      <c r="D574" s="48">
        <v>45012</v>
      </c>
      <c r="E574" s="48" t="str">
        <f>TEXT(Base_de_Dados[[#This Row],[Semana]],"Mmmm")</f>
        <v>março</v>
      </c>
      <c r="F574">
        <f>YEAR(Base_de_Dados[[#This Row],[Semana]])</f>
        <v>2023</v>
      </c>
      <c r="G574" t="str">
        <f>IF(MONTH(Base_de_Dados[[#This Row],[Semana]])&lt;=6,"1ª Bimestre","2ª Bimestre")</f>
        <v>1ª Bimestre</v>
      </c>
    </row>
    <row r="575" spans="1:7" x14ac:dyDescent="0.25">
      <c r="A575" t="s">
        <v>9</v>
      </c>
      <c r="B575">
        <v>0</v>
      </c>
      <c r="C575" s="2">
        <v>0</v>
      </c>
      <c r="D575" s="48">
        <v>45012</v>
      </c>
      <c r="E575" s="48" t="str">
        <f>TEXT(Base_de_Dados[[#This Row],[Semana]],"Mmmm")</f>
        <v>março</v>
      </c>
      <c r="F575">
        <f>YEAR(Base_de_Dados[[#This Row],[Semana]])</f>
        <v>2023</v>
      </c>
      <c r="G575" t="str">
        <f>IF(MONTH(Base_de_Dados[[#This Row],[Semana]])&lt;=6,"1ª Bimestre","2ª Bimestre")</f>
        <v>1ª Bimestre</v>
      </c>
    </row>
    <row r="576" spans="1:7" x14ac:dyDescent="0.25">
      <c r="A576" t="s">
        <v>114</v>
      </c>
      <c r="B576">
        <v>0</v>
      </c>
      <c r="C576" s="2">
        <v>0</v>
      </c>
      <c r="D576" s="48">
        <v>45012</v>
      </c>
      <c r="E576" s="48" t="str">
        <f>TEXT(Base_de_Dados[[#This Row],[Semana]],"Mmmm")</f>
        <v>março</v>
      </c>
      <c r="F576">
        <f>YEAR(Base_de_Dados[[#This Row],[Semana]])</f>
        <v>2023</v>
      </c>
      <c r="G576" t="str">
        <f>IF(MONTH(Base_de_Dados[[#This Row],[Semana]])&lt;=6,"1ª Bimestre","2ª Bimestre")</f>
        <v>1ª Bimestre</v>
      </c>
    </row>
    <row r="577" spans="1:7" x14ac:dyDescent="0.25">
      <c r="A577" t="s">
        <v>11</v>
      </c>
      <c r="B577">
        <v>0</v>
      </c>
      <c r="C577" s="2">
        <v>0</v>
      </c>
      <c r="D577" s="48">
        <v>45012</v>
      </c>
      <c r="E577" s="48" t="str">
        <f>TEXT(Base_de_Dados[[#This Row],[Semana]],"Mmmm")</f>
        <v>março</v>
      </c>
      <c r="F577">
        <f>YEAR(Base_de_Dados[[#This Row],[Semana]])</f>
        <v>2023</v>
      </c>
      <c r="G577" t="str">
        <f>IF(MONTH(Base_de_Dados[[#This Row],[Semana]])&lt;=6,"1ª Bimestre","2ª Bimestre")</f>
        <v>1ª Bimestre</v>
      </c>
    </row>
    <row r="578" spans="1:7" x14ac:dyDescent="0.25">
      <c r="A578" t="s">
        <v>144</v>
      </c>
      <c r="B578">
        <v>0</v>
      </c>
      <c r="C578" s="2">
        <v>0</v>
      </c>
      <c r="D578" s="48">
        <v>45012</v>
      </c>
      <c r="E578" s="48" t="str">
        <f>TEXT(Base_de_Dados[[#This Row],[Semana]],"Mmmm")</f>
        <v>março</v>
      </c>
      <c r="F578">
        <f>YEAR(Base_de_Dados[[#This Row],[Semana]])</f>
        <v>2023</v>
      </c>
      <c r="G578" t="str">
        <f>IF(MONTH(Base_de_Dados[[#This Row],[Semana]])&lt;=6,"1ª Bimestre","2ª Bimestre")</f>
        <v>1ª Bimestre</v>
      </c>
    </row>
    <row r="579" spans="1:7" x14ac:dyDescent="0.25">
      <c r="A579" t="s">
        <v>169</v>
      </c>
      <c r="B579">
        <v>0</v>
      </c>
      <c r="C579" s="2">
        <v>0</v>
      </c>
      <c r="D579" s="48">
        <v>45012</v>
      </c>
      <c r="E579" s="48" t="str">
        <f>TEXT(Base_de_Dados[[#This Row],[Semana]],"Mmmm")</f>
        <v>março</v>
      </c>
      <c r="F579">
        <f>YEAR(Base_de_Dados[[#This Row],[Semana]])</f>
        <v>2023</v>
      </c>
      <c r="G579" t="str">
        <f>IF(MONTH(Base_de_Dados[[#This Row],[Semana]])&lt;=6,"1ª Bimestre","2ª Bimestre")</f>
        <v>1ª Bimestre</v>
      </c>
    </row>
    <row r="580" spans="1:7" x14ac:dyDescent="0.25">
      <c r="A580" t="s">
        <v>190</v>
      </c>
      <c r="B580">
        <v>0</v>
      </c>
      <c r="C580" s="2">
        <v>0</v>
      </c>
      <c r="D580" s="48">
        <v>45012</v>
      </c>
      <c r="E580" s="48" t="str">
        <f>TEXT(Base_de_Dados[[#This Row],[Semana]],"Mmmm")</f>
        <v>março</v>
      </c>
      <c r="F580">
        <f>YEAR(Base_de_Dados[[#This Row],[Semana]])</f>
        <v>2023</v>
      </c>
      <c r="G580" t="str">
        <f>IF(MONTH(Base_de_Dados[[#This Row],[Semana]])&lt;=6,"1ª Bimestre","2ª Bimestre")</f>
        <v>1ª Bimestre</v>
      </c>
    </row>
    <row r="581" spans="1:7" x14ac:dyDescent="0.25">
      <c r="A581" t="s">
        <v>192</v>
      </c>
      <c r="B581">
        <v>0</v>
      </c>
      <c r="C581" s="2">
        <v>0</v>
      </c>
      <c r="D581" s="48">
        <v>45012</v>
      </c>
      <c r="E581" s="48" t="str">
        <f>TEXT(Base_de_Dados[[#This Row],[Semana]],"Mmmm")</f>
        <v>março</v>
      </c>
      <c r="F581">
        <f>YEAR(Base_de_Dados[[#This Row],[Semana]])</f>
        <v>2023</v>
      </c>
      <c r="G581" t="str">
        <f>IF(MONTH(Base_de_Dados[[#This Row],[Semana]])&lt;=6,"1ª Bimestre","2ª Bimestre")</f>
        <v>1ª Bimestre</v>
      </c>
    </row>
    <row r="582" spans="1:7" x14ac:dyDescent="0.25">
      <c r="A582" t="s">
        <v>148</v>
      </c>
      <c r="B582">
        <v>0</v>
      </c>
      <c r="C582" s="2">
        <v>0</v>
      </c>
      <c r="D582" s="48">
        <v>45012</v>
      </c>
      <c r="E582" s="48" t="str">
        <f>TEXT(Base_de_Dados[[#This Row],[Semana]],"Mmmm")</f>
        <v>março</v>
      </c>
      <c r="F582">
        <f>YEAR(Base_de_Dados[[#This Row],[Semana]])</f>
        <v>2023</v>
      </c>
      <c r="G582" t="str">
        <f>IF(MONTH(Base_de_Dados[[#This Row],[Semana]])&lt;=6,"1ª Bimestre","2ª Bimestre")</f>
        <v>1ª Bimestre</v>
      </c>
    </row>
    <row r="583" spans="1:7" x14ac:dyDescent="0.25">
      <c r="A583" t="s">
        <v>112</v>
      </c>
      <c r="B583">
        <v>0</v>
      </c>
      <c r="C583" s="2">
        <v>0</v>
      </c>
      <c r="D583" s="48">
        <v>45019</v>
      </c>
      <c r="E583" s="48" t="str">
        <f>TEXT(Base_de_Dados[[#This Row],[Semana]],"Mmmm")</f>
        <v>abril</v>
      </c>
      <c r="F583">
        <f>YEAR(Base_de_Dados[[#This Row],[Semana]])</f>
        <v>2023</v>
      </c>
      <c r="G583" t="str">
        <f>IF(MONTH(Base_de_Dados[[#This Row],[Semana]])&lt;=6,"1ª Bimestre","2ª Bimestre")</f>
        <v>1ª Bimestre</v>
      </c>
    </row>
    <row r="584" spans="1:7" x14ac:dyDescent="0.25">
      <c r="A584" t="s">
        <v>4</v>
      </c>
      <c r="B584">
        <v>1</v>
      </c>
      <c r="C584" s="2">
        <v>0.1</v>
      </c>
      <c r="D584" s="48">
        <v>45019</v>
      </c>
      <c r="E584" s="48" t="str">
        <f>TEXT(Base_de_Dados[[#This Row],[Semana]],"Mmmm")</f>
        <v>abril</v>
      </c>
      <c r="F584">
        <f>YEAR(Base_de_Dados[[#This Row],[Semana]])</f>
        <v>2023</v>
      </c>
      <c r="G584" t="str">
        <f>IF(MONTH(Base_de_Dados[[#This Row],[Semana]])&lt;=6,"1ª Bimestre","2ª Bimestre")</f>
        <v>1ª Bimestre</v>
      </c>
    </row>
    <row r="585" spans="1:7" x14ac:dyDescent="0.25">
      <c r="A585" t="s">
        <v>5</v>
      </c>
      <c r="B585">
        <v>0</v>
      </c>
      <c r="C585" s="2">
        <v>0</v>
      </c>
      <c r="D585" s="48">
        <v>45019</v>
      </c>
      <c r="E585" s="48" t="str">
        <f>TEXT(Base_de_Dados[[#This Row],[Semana]],"Mmmm")</f>
        <v>abril</v>
      </c>
      <c r="F585">
        <f>YEAR(Base_de_Dados[[#This Row],[Semana]])</f>
        <v>2023</v>
      </c>
      <c r="G585" t="str">
        <f>IF(MONTH(Base_de_Dados[[#This Row],[Semana]])&lt;=6,"1ª Bimestre","2ª Bimestre")</f>
        <v>1ª Bimestre</v>
      </c>
    </row>
    <row r="586" spans="1:7" x14ac:dyDescent="0.25">
      <c r="A586" t="s">
        <v>6</v>
      </c>
      <c r="B586">
        <v>2</v>
      </c>
      <c r="C586" s="2">
        <v>0.2</v>
      </c>
      <c r="D586" s="48">
        <v>45019</v>
      </c>
      <c r="E586" s="48" t="str">
        <f>TEXT(Base_de_Dados[[#This Row],[Semana]],"Mmmm")</f>
        <v>abril</v>
      </c>
      <c r="F586">
        <f>YEAR(Base_de_Dados[[#This Row],[Semana]])</f>
        <v>2023</v>
      </c>
      <c r="G586" t="str">
        <f>IF(MONTH(Base_de_Dados[[#This Row],[Semana]])&lt;=6,"1ª Bimestre","2ª Bimestre")</f>
        <v>1ª Bimestre</v>
      </c>
    </row>
    <row r="587" spans="1:7" x14ac:dyDescent="0.25">
      <c r="A587" t="s">
        <v>7</v>
      </c>
      <c r="B587">
        <v>3</v>
      </c>
      <c r="C587" s="2">
        <v>0.3</v>
      </c>
      <c r="D587" s="48">
        <v>45019</v>
      </c>
      <c r="E587" s="48" t="str">
        <f>TEXT(Base_de_Dados[[#This Row],[Semana]],"Mmmm")</f>
        <v>abril</v>
      </c>
      <c r="F587">
        <f>YEAR(Base_de_Dados[[#This Row],[Semana]])</f>
        <v>2023</v>
      </c>
      <c r="G587" t="str">
        <f>IF(MONTH(Base_de_Dados[[#This Row],[Semana]])&lt;=6,"1ª Bimestre","2ª Bimestre")</f>
        <v>1ª Bimestre</v>
      </c>
    </row>
    <row r="588" spans="1:7" x14ac:dyDescent="0.25">
      <c r="A588" t="s">
        <v>8</v>
      </c>
      <c r="B588">
        <v>0</v>
      </c>
      <c r="C588" s="2">
        <v>0</v>
      </c>
      <c r="D588" s="48">
        <v>45019</v>
      </c>
      <c r="E588" s="48" t="str">
        <f>TEXT(Base_de_Dados[[#This Row],[Semana]],"Mmmm")</f>
        <v>abril</v>
      </c>
      <c r="F588">
        <f>YEAR(Base_de_Dados[[#This Row],[Semana]])</f>
        <v>2023</v>
      </c>
      <c r="G588" t="str">
        <f>IF(MONTH(Base_de_Dados[[#This Row],[Semana]])&lt;=6,"1ª Bimestre","2ª Bimestre")</f>
        <v>1ª Bimestre</v>
      </c>
    </row>
    <row r="589" spans="1:7" x14ac:dyDescent="0.25">
      <c r="A589" t="s">
        <v>9</v>
      </c>
      <c r="B589">
        <v>1</v>
      </c>
      <c r="C589" s="2">
        <v>0.1</v>
      </c>
      <c r="D589" s="48">
        <v>45019</v>
      </c>
      <c r="E589" s="48" t="str">
        <f>TEXT(Base_de_Dados[[#This Row],[Semana]],"Mmmm")</f>
        <v>abril</v>
      </c>
      <c r="F589">
        <f>YEAR(Base_de_Dados[[#This Row],[Semana]])</f>
        <v>2023</v>
      </c>
      <c r="G589" t="str">
        <f>IF(MONTH(Base_de_Dados[[#This Row],[Semana]])&lt;=6,"1ª Bimestre","2ª Bimestre")</f>
        <v>1ª Bimestre</v>
      </c>
    </row>
    <row r="590" spans="1:7" x14ac:dyDescent="0.25">
      <c r="A590" t="s">
        <v>114</v>
      </c>
      <c r="B590">
        <v>0</v>
      </c>
      <c r="C590" s="2">
        <v>0</v>
      </c>
      <c r="D590" s="48">
        <v>45019</v>
      </c>
      <c r="E590" s="48" t="str">
        <f>TEXT(Base_de_Dados[[#This Row],[Semana]],"Mmmm")</f>
        <v>abril</v>
      </c>
      <c r="F590">
        <f>YEAR(Base_de_Dados[[#This Row],[Semana]])</f>
        <v>2023</v>
      </c>
      <c r="G590" t="str">
        <f>IF(MONTH(Base_de_Dados[[#This Row],[Semana]])&lt;=6,"1ª Bimestre","2ª Bimestre")</f>
        <v>1ª Bimestre</v>
      </c>
    </row>
    <row r="591" spans="1:7" x14ac:dyDescent="0.25">
      <c r="A591" t="s">
        <v>11</v>
      </c>
      <c r="B591">
        <v>1</v>
      </c>
      <c r="C591" s="2">
        <v>0.1</v>
      </c>
      <c r="D591" s="48">
        <v>45019</v>
      </c>
      <c r="E591" s="48" t="str">
        <f>TEXT(Base_de_Dados[[#This Row],[Semana]],"Mmmm")</f>
        <v>abril</v>
      </c>
      <c r="F591">
        <f>YEAR(Base_de_Dados[[#This Row],[Semana]])</f>
        <v>2023</v>
      </c>
      <c r="G591" t="str">
        <f>IF(MONTH(Base_de_Dados[[#This Row],[Semana]])&lt;=6,"1ª Bimestre","2ª Bimestre")</f>
        <v>1ª Bimestre</v>
      </c>
    </row>
    <row r="592" spans="1:7" x14ac:dyDescent="0.25">
      <c r="A592" t="s">
        <v>144</v>
      </c>
      <c r="B592">
        <v>0</v>
      </c>
      <c r="C592" s="2">
        <v>0</v>
      </c>
      <c r="D592" s="48">
        <v>45019</v>
      </c>
      <c r="E592" s="48" t="str">
        <f>TEXT(Base_de_Dados[[#This Row],[Semana]],"Mmmm")</f>
        <v>abril</v>
      </c>
      <c r="F592">
        <f>YEAR(Base_de_Dados[[#This Row],[Semana]])</f>
        <v>2023</v>
      </c>
      <c r="G592" t="str">
        <f>IF(MONTH(Base_de_Dados[[#This Row],[Semana]])&lt;=6,"1ª Bimestre","2ª Bimestre")</f>
        <v>1ª Bimestre</v>
      </c>
    </row>
    <row r="593" spans="1:7" x14ac:dyDescent="0.25">
      <c r="A593" t="s">
        <v>169</v>
      </c>
      <c r="B593">
        <v>0</v>
      </c>
      <c r="C593" s="2">
        <v>0</v>
      </c>
      <c r="D593" s="48">
        <v>45019</v>
      </c>
      <c r="E593" s="48" t="str">
        <f>TEXT(Base_de_Dados[[#This Row],[Semana]],"Mmmm")</f>
        <v>abril</v>
      </c>
      <c r="F593">
        <f>YEAR(Base_de_Dados[[#This Row],[Semana]])</f>
        <v>2023</v>
      </c>
      <c r="G593" t="str">
        <f>IF(MONTH(Base_de_Dados[[#This Row],[Semana]])&lt;=6,"1ª Bimestre","2ª Bimestre")</f>
        <v>1ª Bimestre</v>
      </c>
    </row>
    <row r="594" spans="1:7" x14ac:dyDescent="0.25">
      <c r="A594" t="s">
        <v>190</v>
      </c>
      <c r="B594">
        <v>0</v>
      </c>
      <c r="C594" s="2">
        <v>0</v>
      </c>
      <c r="D594" s="48">
        <v>45019</v>
      </c>
      <c r="E594" s="48" t="str">
        <f>TEXT(Base_de_Dados[[#This Row],[Semana]],"Mmmm")</f>
        <v>abril</v>
      </c>
      <c r="F594">
        <f>YEAR(Base_de_Dados[[#This Row],[Semana]])</f>
        <v>2023</v>
      </c>
      <c r="G594" t="str">
        <f>IF(MONTH(Base_de_Dados[[#This Row],[Semana]])&lt;=6,"1ª Bimestre","2ª Bimestre")</f>
        <v>1ª Bimestre</v>
      </c>
    </row>
    <row r="595" spans="1:7" x14ac:dyDescent="0.25">
      <c r="A595" t="s">
        <v>192</v>
      </c>
      <c r="B595">
        <v>0</v>
      </c>
      <c r="C595" s="2">
        <v>0</v>
      </c>
      <c r="D595" s="48">
        <v>45019</v>
      </c>
      <c r="E595" s="48" t="str">
        <f>TEXT(Base_de_Dados[[#This Row],[Semana]],"Mmmm")</f>
        <v>abril</v>
      </c>
      <c r="F595">
        <f>YEAR(Base_de_Dados[[#This Row],[Semana]])</f>
        <v>2023</v>
      </c>
      <c r="G595" t="str">
        <f>IF(MONTH(Base_de_Dados[[#This Row],[Semana]])&lt;=6,"1ª Bimestre","2ª Bimestre")</f>
        <v>1ª Bimestre</v>
      </c>
    </row>
    <row r="596" spans="1:7" x14ac:dyDescent="0.25">
      <c r="A596" t="s">
        <v>148</v>
      </c>
      <c r="B596">
        <v>2</v>
      </c>
      <c r="C596" s="2">
        <v>0.2</v>
      </c>
      <c r="D596" s="48">
        <v>45019</v>
      </c>
      <c r="E596" s="48" t="str">
        <f>TEXT(Base_de_Dados[[#This Row],[Semana]],"Mmmm")</f>
        <v>abril</v>
      </c>
      <c r="F596">
        <f>YEAR(Base_de_Dados[[#This Row],[Semana]])</f>
        <v>2023</v>
      </c>
      <c r="G596" t="str">
        <f>IF(MONTH(Base_de_Dados[[#This Row],[Semana]])&lt;=6,"1ª Bimestre","2ª Bimestre")</f>
        <v>1ª Bimestre</v>
      </c>
    </row>
    <row r="597" spans="1:7" x14ac:dyDescent="0.25">
      <c r="A597" t="s">
        <v>112</v>
      </c>
      <c r="B597">
        <v>0</v>
      </c>
      <c r="C597" s="2">
        <v>0</v>
      </c>
      <c r="D597" s="48">
        <v>45026</v>
      </c>
      <c r="E597" s="48" t="str">
        <f>TEXT(Base_de_Dados[[#This Row],[Semana]],"Mmmm")</f>
        <v>abril</v>
      </c>
      <c r="F597">
        <f>YEAR(Base_de_Dados[[#This Row],[Semana]])</f>
        <v>2023</v>
      </c>
      <c r="G597" t="str">
        <f>IF(MONTH(Base_de_Dados[[#This Row],[Semana]])&lt;=6,"1ª Bimestre","2ª Bimestre")</f>
        <v>1ª Bimestre</v>
      </c>
    </row>
    <row r="598" spans="1:7" x14ac:dyDescent="0.25">
      <c r="A598" t="s">
        <v>4</v>
      </c>
      <c r="B598">
        <v>0</v>
      </c>
      <c r="C598" s="2">
        <v>0</v>
      </c>
      <c r="D598" s="48">
        <v>45026</v>
      </c>
      <c r="E598" s="48" t="str">
        <f>TEXT(Base_de_Dados[[#This Row],[Semana]],"Mmmm")</f>
        <v>abril</v>
      </c>
      <c r="F598">
        <f>YEAR(Base_de_Dados[[#This Row],[Semana]])</f>
        <v>2023</v>
      </c>
      <c r="G598" t="str">
        <f>IF(MONTH(Base_de_Dados[[#This Row],[Semana]])&lt;=6,"1ª Bimestre","2ª Bimestre")</f>
        <v>1ª Bimestre</v>
      </c>
    </row>
    <row r="599" spans="1:7" x14ac:dyDescent="0.25">
      <c r="A599" t="s">
        <v>5</v>
      </c>
      <c r="B599">
        <v>0</v>
      </c>
      <c r="C599" s="2">
        <v>0</v>
      </c>
      <c r="D599" s="48">
        <v>45026</v>
      </c>
      <c r="E599" s="48" t="str">
        <f>TEXT(Base_de_Dados[[#This Row],[Semana]],"Mmmm")</f>
        <v>abril</v>
      </c>
      <c r="F599">
        <f>YEAR(Base_de_Dados[[#This Row],[Semana]])</f>
        <v>2023</v>
      </c>
      <c r="G599" t="str">
        <f>IF(MONTH(Base_de_Dados[[#This Row],[Semana]])&lt;=6,"1ª Bimestre","2ª Bimestre")</f>
        <v>1ª Bimestre</v>
      </c>
    </row>
    <row r="600" spans="1:7" x14ac:dyDescent="0.25">
      <c r="A600" t="s">
        <v>6</v>
      </c>
      <c r="B600">
        <v>0</v>
      </c>
      <c r="C600" s="2">
        <v>0</v>
      </c>
      <c r="D600" s="48">
        <v>45026</v>
      </c>
      <c r="E600" s="48" t="str">
        <f>TEXT(Base_de_Dados[[#This Row],[Semana]],"Mmmm")</f>
        <v>abril</v>
      </c>
      <c r="F600">
        <f>YEAR(Base_de_Dados[[#This Row],[Semana]])</f>
        <v>2023</v>
      </c>
      <c r="G600" t="str">
        <f>IF(MONTH(Base_de_Dados[[#This Row],[Semana]])&lt;=6,"1ª Bimestre","2ª Bimestre")</f>
        <v>1ª Bimestre</v>
      </c>
    </row>
    <row r="601" spans="1:7" x14ac:dyDescent="0.25">
      <c r="A601" t="s">
        <v>7</v>
      </c>
      <c r="B601">
        <v>0</v>
      </c>
      <c r="C601" s="2">
        <v>0</v>
      </c>
      <c r="D601" s="48">
        <v>45026</v>
      </c>
      <c r="E601" s="48" t="str">
        <f>TEXT(Base_de_Dados[[#This Row],[Semana]],"Mmmm")</f>
        <v>abril</v>
      </c>
      <c r="F601">
        <f>YEAR(Base_de_Dados[[#This Row],[Semana]])</f>
        <v>2023</v>
      </c>
      <c r="G601" t="str">
        <f>IF(MONTH(Base_de_Dados[[#This Row],[Semana]])&lt;=6,"1ª Bimestre","2ª Bimestre")</f>
        <v>1ª Bimestre</v>
      </c>
    </row>
    <row r="602" spans="1:7" x14ac:dyDescent="0.25">
      <c r="A602" t="s">
        <v>8</v>
      </c>
      <c r="B602">
        <v>0</v>
      </c>
      <c r="C602" s="2">
        <v>0</v>
      </c>
      <c r="D602" s="48">
        <v>45026</v>
      </c>
      <c r="E602" s="48" t="str">
        <f>TEXT(Base_de_Dados[[#This Row],[Semana]],"Mmmm")</f>
        <v>abril</v>
      </c>
      <c r="F602">
        <f>YEAR(Base_de_Dados[[#This Row],[Semana]])</f>
        <v>2023</v>
      </c>
      <c r="G602" t="str">
        <f>IF(MONTH(Base_de_Dados[[#This Row],[Semana]])&lt;=6,"1ª Bimestre","2ª Bimestre")</f>
        <v>1ª Bimestre</v>
      </c>
    </row>
    <row r="603" spans="1:7" x14ac:dyDescent="0.25">
      <c r="A603" t="s">
        <v>9</v>
      </c>
      <c r="B603">
        <v>0</v>
      </c>
      <c r="C603" s="2">
        <v>0</v>
      </c>
      <c r="D603" s="48">
        <v>45026</v>
      </c>
      <c r="E603" s="48" t="str">
        <f>TEXT(Base_de_Dados[[#This Row],[Semana]],"Mmmm")</f>
        <v>abril</v>
      </c>
      <c r="F603">
        <f>YEAR(Base_de_Dados[[#This Row],[Semana]])</f>
        <v>2023</v>
      </c>
      <c r="G603" t="str">
        <f>IF(MONTH(Base_de_Dados[[#This Row],[Semana]])&lt;=6,"1ª Bimestre","2ª Bimestre")</f>
        <v>1ª Bimestre</v>
      </c>
    </row>
    <row r="604" spans="1:7" x14ac:dyDescent="0.25">
      <c r="A604" t="s">
        <v>114</v>
      </c>
      <c r="B604">
        <v>0</v>
      </c>
      <c r="C604" s="2">
        <v>0</v>
      </c>
      <c r="D604" s="48">
        <v>45026</v>
      </c>
      <c r="E604" s="48" t="str">
        <f>TEXT(Base_de_Dados[[#This Row],[Semana]],"Mmmm")</f>
        <v>abril</v>
      </c>
      <c r="F604">
        <f>YEAR(Base_de_Dados[[#This Row],[Semana]])</f>
        <v>2023</v>
      </c>
      <c r="G604" t="str">
        <f>IF(MONTH(Base_de_Dados[[#This Row],[Semana]])&lt;=6,"1ª Bimestre","2ª Bimestre")</f>
        <v>1ª Bimestre</v>
      </c>
    </row>
    <row r="605" spans="1:7" x14ac:dyDescent="0.25">
      <c r="A605" t="s">
        <v>11</v>
      </c>
      <c r="B605">
        <v>4</v>
      </c>
      <c r="C605" s="2">
        <v>1</v>
      </c>
      <c r="D605" s="48">
        <v>45026</v>
      </c>
      <c r="E605" s="48" t="str">
        <f>TEXT(Base_de_Dados[[#This Row],[Semana]],"Mmmm")</f>
        <v>abril</v>
      </c>
      <c r="F605">
        <f>YEAR(Base_de_Dados[[#This Row],[Semana]])</f>
        <v>2023</v>
      </c>
      <c r="G605" t="str">
        <f>IF(MONTH(Base_de_Dados[[#This Row],[Semana]])&lt;=6,"1ª Bimestre","2ª Bimestre")</f>
        <v>1ª Bimestre</v>
      </c>
    </row>
    <row r="606" spans="1:7" x14ac:dyDescent="0.25">
      <c r="A606" t="s">
        <v>144</v>
      </c>
      <c r="B606">
        <v>0</v>
      </c>
      <c r="C606" s="2">
        <v>0</v>
      </c>
      <c r="D606" s="48">
        <v>45026</v>
      </c>
      <c r="E606" s="48" t="str">
        <f>TEXT(Base_de_Dados[[#This Row],[Semana]],"Mmmm")</f>
        <v>abril</v>
      </c>
      <c r="F606">
        <f>YEAR(Base_de_Dados[[#This Row],[Semana]])</f>
        <v>2023</v>
      </c>
      <c r="G606" t="str">
        <f>IF(MONTH(Base_de_Dados[[#This Row],[Semana]])&lt;=6,"1ª Bimestre","2ª Bimestre")</f>
        <v>1ª Bimestre</v>
      </c>
    </row>
    <row r="607" spans="1:7" x14ac:dyDescent="0.25">
      <c r="A607" t="s">
        <v>169</v>
      </c>
      <c r="B607">
        <v>0</v>
      </c>
      <c r="C607" s="2">
        <v>0</v>
      </c>
      <c r="D607" s="48">
        <v>45026</v>
      </c>
      <c r="E607" s="48" t="str">
        <f>TEXT(Base_de_Dados[[#This Row],[Semana]],"Mmmm")</f>
        <v>abril</v>
      </c>
      <c r="F607">
        <f>YEAR(Base_de_Dados[[#This Row],[Semana]])</f>
        <v>2023</v>
      </c>
      <c r="G607" t="str">
        <f>IF(MONTH(Base_de_Dados[[#This Row],[Semana]])&lt;=6,"1ª Bimestre","2ª Bimestre")</f>
        <v>1ª Bimestre</v>
      </c>
    </row>
    <row r="608" spans="1:7" x14ac:dyDescent="0.25">
      <c r="A608" t="s">
        <v>190</v>
      </c>
      <c r="B608">
        <v>0</v>
      </c>
      <c r="C608" s="2">
        <v>0</v>
      </c>
      <c r="D608" s="48">
        <v>45026</v>
      </c>
      <c r="E608" s="48" t="str">
        <f>TEXT(Base_de_Dados[[#This Row],[Semana]],"Mmmm")</f>
        <v>abril</v>
      </c>
      <c r="F608">
        <f>YEAR(Base_de_Dados[[#This Row],[Semana]])</f>
        <v>2023</v>
      </c>
      <c r="G608" t="str">
        <f>IF(MONTH(Base_de_Dados[[#This Row],[Semana]])&lt;=6,"1ª Bimestre","2ª Bimestre")</f>
        <v>1ª Bimestre</v>
      </c>
    </row>
    <row r="609" spans="1:7" x14ac:dyDescent="0.25">
      <c r="A609" t="s">
        <v>192</v>
      </c>
      <c r="B609">
        <v>0</v>
      </c>
      <c r="C609" s="2">
        <v>0</v>
      </c>
      <c r="D609" s="48">
        <v>45026</v>
      </c>
      <c r="E609" s="48" t="str">
        <f>TEXT(Base_de_Dados[[#This Row],[Semana]],"Mmmm")</f>
        <v>abril</v>
      </c>
      <c r="F609">
        <f>YEAR(Base_de_Dados[[#This Row],[Semana]])</f>
        <v>2023</v>
      </c>
      <c r="G609" t="str">
        <f>IF(MONTH(Base_de_Dados[[#This Row],[Semana]])&lt;=6,"1ª Bimestre","2ª Bimestre")</f>
        <v>1ª Bimestre</v>
      </c>
    </row>
    <row r="610" spans="1:7" x14ac:dyDescent="0.25">
      <c r="A610" t="s">
        <v>148</v>
      </c>
      <c r="B610">
        <v>0</v>
      </c>
      <c r="C610" s="2">
        <v>0</v>
      </c>
      <c r="D610" s="48">
        <v>45026</v>
      </c>
      <c r="E610" s="48" t="str">
        <f>TEXT(Base_de_Dados[[#This Row],[Semana]],"Mmmm")</f>
        <v>abril</v>
      </c>
      <c r="F610">
        <f>YEAR(Base_de_Dados[[#This Row],[Semana]])</f>
        <v>2023</v>
      </c>
      <c r="G610" t="str">
        <f>IF(MONTH(Base_de_Dados[[#This Row],[Semana]])&lt;=6,"1ª Bimestre","2ª Bimestre")</f>
        <v>1ª Bimestre</v>
      </c>
    </row>
    <row r="611" spans="1:7" x14ac:dyDescent="0.25">
      <c r="A611" t="s">
        <v>112</v>
      </c>
      <c r="B611">
        <v>0</v>
      </c>
      <c r="C611" s="2">
        <v>0</v>
      </c>
      <c r="D611" s="48">
        <v>45033</v>
      </c>
      <c r="E611" s="48" t="str">
        <f>TEXT(Base_de_Dados[[#This Row],[Semana]],"Mmmm")</f>
        <v>abril</v>
      </c>
      <c r="F611">
        <f>YEAR(Base_de_Dados[[#This Row],[Semana]])</f>
        <v>2023</v>
      </c>
      <c r="G611" t="str">
        <f>IF(MONTH(Base_de_Dados[[#This Row],[Semana]])&lt;=6,"1ª Bimestre","2ª Bimestre")</f>
        <v>1ª Bimestre</v>
      </c>
    </row>
    <row r="612" spans="1:7" x14ac:dyDescent="0.25">
      <c r="A612" t="s">
        <v>4</v>
      </c>
      <c r="B612">
        <v>0</v>
      </c>
      <c r="C612" s="2">
        <v>0</v>
      </c>
      <c r="D612" s="48">
        <v>45033</v>
      </c>
      <c r="E612" s="48" t="str">
        <f>TEXT(Base_de_Dados[[#This Row],[Semana]],"Mmmm")</f>
        <v>abril</v>
      </c>
      <c r="F612">
        <f>YEAR(Base_de_Dados[[#This Row],[Semana]])</f>
        <v>2023</v>
      </c>
      <c r="G612" t="str">
        <f>IF(MONTH(Base_de_Dados[[#This Row],[Semana]])&lt;=6,"1ª Bimestre","2ª Bimestre")</f>
        <v>1ª Bimestre</v>
      </c>
    </row>
    <row r="613" spans="1:7" x14ac:dyDescent="0.25">
      <c r="A613" t="s">
        <v>5</v>
      </c>
      <c r="B613">
        <v>2</v>
      </c>
      <c r="C613" s="2">
        <v>0.16666666666666666</v>
      </c>
      <c r="D613" s="48">
        <v>45033</v>
      </c>
      <c r="E613" s="48" t="str">
        <f>TEXT(Base_de_Dados[[#This Row],[Semana]],"Mmmm")</f>
        <v>abril</v>
      </c>
      <c r="F613">
        <f>YEAR(Base_de_Dados[[#This Row],[Semana]])</f>
        <v>2023</v>
      </c>
      <c r="G613" t="str">
        <f>IF(MONTH(Base_de_Dados[[#This Row],[Semana]])&lt;=6,"1ª Bimestre","2ª Bimestre")</f>
        <v>1ª Bimestre</v>
      </c>
    </row>
    <row r="614" spans="1:7" x14ac:dyDescent="0.25">
      <c r="A614" t="s">
        <v>6</v>
      </c>
      <c r="B614">
        <v>2</v>
      </c>
      <c r="C614" s="2">
        <v>0.16666666666666666</v>
      </c>
      <c r="D614" s="48">
        <v>45033</v>
      </c>
      <c r="E614" s="48" t="str">
        <f>TEXT(Base_de_Dados[[#This Row],[Semana]],"Mmmm")</f>
        <v>abril</v>
      </c>
      <c r="F614">
        <f>YEAR(Base_de_Dados[[#This Row],[Semana]])</f>
        <v>2023</v>
      </c>
      <c r="G614" t="str">
        <f>IF(MONTH(Base_de_Dados[[#This Row],[Semana]])&lt;=6,"1ª Bimestre","2ª Bimestre")</f>
        <v>1ª Bimestre</v>
      </c>
    </row>
    <row r="615" spans="1:7" x14ac:dyDescent="0.25">
      <c r="A615" t="s">
        <v>7</v>
      </c>
      <c r="B615">
        <v>2</v>
      </c>
      <c r="C615" s="2">
        <v>0.16666666666666666</v>
      </c>
      <c r="D615" s="48">
        <v>45033</v>
      </c>
      <c r="E615" s="48" t="str">
        <f>TEXT(Base_de_Dados[[#This Row],[Semana]],"Mmmm")</f>
        <v>abril</v>
      </c>
      <c r="F615">
        <f>YEAR(Base_de_Dados[[#This Row],[Semana]])</f>
        <v>2023</v>
      </c>
      <c r="G615" t="str">
        <f>IF(MONTH(Base_de_Dados[[#This Row],[Semana]])&lt;=6,"1ª Bimestre","2ª Bimestre")</f>
        <v>1ª Bimestre</v>
      </c>
    </row>
    <row r="616" spans="1:7" x14ac:dyDescent="0.25">
      <c r="A616" t="s">
        <v>8</v>
      </c>
      <c r="B616">
        <v>0</v>
      </c>
      <c r="C616" s="2">
        <v>0</v>
      </c>
      <c r="D616" s="48">
        <v>45033</v>
      </c>
      <c r="E616" s="48" t="str">
        <f>TEXT(Base_de_Dados[[#This Row],[Semana]],"Mmmm")</f>
        <v>abril</v>
      </c>
      <c r="F616">
        <f>YEAR(Base_de_Dados[[#This Row],[Semana]])</f>
        <v>2023</v>
      </c>
      <c r="G616" t="str">
        <f>IF(MONTH(Base_de_Dados[[#This Row],[Semana]])&lt;=6,"1ª Bimestre","2ª Bimestre")</f>
        <v>1ª Bimestre</v>
      </c>
    </row>
    <row r="617" spans="1:7" x14ac:dyDescent="0.25">
      <c r="A617" t="s">
        <v>9</v>
      </c>
      <c r="B617">
        <v>0</v>
      </c>
      <c r="C617" s="2">
        <v>0</v>
      </c>
      <c r="D617" s="48">
        <v>45033</v>
      </c>
      <c r="E617" s="48" t="str">
        <f>TEXT(Base_de_Dados[[#This Row],[Semana]],"Mmmm")</f>
        <v>abril</v>
      </c>
      <c r="F617">
        <f>YEAR(Base_de_Dados[[#This Row],[Semana]])</f>
        <v>2023</v>
      </c>
      <c r="G617" t="str">
        <f>IF(MONTH(Base_de_Dados[[#This Row],[Semana]])&lt;=6,"1ª Bimestre","2ª Bimestre")</f>
        <v>1ª Bimestre</v>
      </c>
    </row>
    <row r="618" spans="1:7" x14ac:dyDescent="0.25">
      <c r="A618" t="s">
        <v>114</v>
      </c>
      <c r="B618">
        <v>0</v>
      </c>
      <c r="C618" s="2">
        <v>0</v>
      </c>
      <c r="D618" s="48">
        <v>45033</v>
      </c>
      <c r="E618" s="48" t="str">
        <f>TEXT(Base_de_Dados[[#This Row],[Semana]],"Mmmm")</f>
        <v>abril</v>
      </c>
      <c r="F618">
        <f>YEAR(Base_de_Dados[[#This Row],[Semana]])</f>
        <v>2023</v>
      </c>
      <c r="G618" t="str">
        <f>IF(MONTH(Base_de_Dados[[#This Row],[Semana]])&lt;=6,"1ª Bimestre","2ª Bimestre")</f>
        <v>1ª Bimestre</v>
      </c>
    </row>
    <row r="619" spans="1:7" x14ac:dyDescent="0.25">
      <c r="A619" t="s">
        <v>11</v>
      </c>
      <c r="B619">
        <v>0</v>
      </c>
      <c r="C619" s="2">
        <v>0</v>
      </c>
      <c r="D619" s="48">
        <v>45033</v>
      </c>
      <c r="E619" s="48" t="str">
        <f>TEXT(Base_de_Dados[[#This Row],[Semana]],"Mmmm")</f>
        <v>abril</v>
      </c>
      <c r="F619">
        <f>YEAR(Base_de_Dados[[#This Row],[Semana]])</f>
        <v>2023</v>
      </c>
      <c r="G619" t="str">
        <f>IF(MONTH(Base_de_Dados[[#This Row],[Semana]])&lt;=6,"1ª Bimestre","2ª Bimestre")</f>
        <v>1ª Bimestre</v>
      </c>
    </row>
    <row r="620" spans="1:7" x14ac:dyDescent="0.25">
      <c r="A620" t="s">
        <v>144</v>
      </c>
      <c r="B620">
        <v>0</v>
      </c>
      <c r="C620" s="2">
        <v>0</v>
      </c>
      <c r="D620" s="48">
        <v>45033</v>
      </c>
      <c r="E620" s="48" t="str">
        <f>TEXT(Base_de_Dados[[#This Row],[Semana]],"Mmmm")</f>
        <v>abril</v>
      </c>
      <c r="F620">
        <f>YEAR(Base_de_Dados[[#This Row],[Semana]])</f>
        <v>2023</v>
      </c>
      <c r="G620" t="str">
        <f>IF(MONTH(Base_de_Dados[[#This Row],[Semana]])&lt;=6,"1ª Bimestre","2ª Bimestre")</f>
        <v>1ª Bimestre</v>
      </c>
    </row>
    <row r="621" spans="1:7" x14ac:dyDescent="0.25">
      <c r="A621" t="s">
        <v>169</v>
      </c>
      <c r="B621">
        <v>0</v>
      </c>
      <c r="C621" s="2">
        <v>0</v>
      </c>
      <c r="D621" s="48">
        <v>45033</v>
      </c>
      <c r="E621" s="48" t="str">
        <f>TEXT(Base_de_Dados[[#This Row],[Semana]],"Mmmm")</f>
        <v>abril</v>
      </c>
      <c r="F621">
        <f>YEAR(Base_de_Dados[[#This Row],[Semana]])</f>
        <v>2023</v>
      </c>
      <c r="G621" t="str">
        <f>IF(MONTH(Base_de_Dados[[#This Row],[Semana]])&lt;=6,"1ª Bimestre","2ª Bimestre")</f>
        <v>1ª Bimestre</v>
      </c>
    </row>
    <row r="622" spans="1:7" x14ac:dyDescent="0.25">
      <c r="A622" t="s">
        <v>190</v>
      </c>
      <c r="B622">
        <v>0</v>
      </c>
      <c r="C622" s="2">
        <v>0</v>
      </c>
      <c r="D622" s="48">
        <v>45033</v>
      </c>
      <c r="E622" s="48" t="str">
        <f>TEXT(Base_de_Dados[[#This Row],[Semana]],"Mmmm")</f>
        <v>abril</v>
      </c>
      <c r="F622">
        <f>YEAR(Base_de_Dados[[#This Row],[Semana]])</f>
        <v>2023</v>
      </c>
      <c r="G622" t="str">
        <f>IF(MONTH(Base_de_Dados[[#This Row],[Semana]])&lt;=6,"1ª Bimestre","2ª Bimestre")</f>
        <v>1ª Bimestre</v>
      </c>
    </row>
    <row r="623" spans="1:7" x14ac:dyDescent="0.25">
      <c r="A623" t="s">
        <v>192</v>
      </c>
      <c r="B623">
        <v>1</v>
      </c>
      <c r="C623" s="2">
        <v>8.3333333333333329E-2</v>
      </c>
      <c r="D623" s="48">
        <v>45033</v>
      </c>
      <c r="E623" s="48" t="str">
        <f>TEXT(Base_de_Dados[[#This Row],[Semana]],"Mmmm")</f>
        <v>abril</v>
      </c>
      <c r="F623">
        <f>YEAR(Base_de_Dados[[#This Row],[Semana]])</f>
        <v>2023</v>
      </c>
      <c r="G623" t="str">
        <f>IF(MONTH(Base_de_Dados[[#This Row],[Semana]])&lt;=6,"1ª Bimestre","2ª Bimestre")</f>
        <v>1ª Bimestre</v>
      </c>
    </row>
    <row r="624" spans="1:7" x14ac:dyDescent="0.25">
      <c r="A624" t="s">
        <v>148</v>
      </c>
      <c r="B624">
        <v>5</v>
      </c>
      <c r="C624" s="2">
        <v>0.41666666666666669</v>
      </c>
      <c r="D624" s="48">
        <v>45033</v>
      </c>
      <c r="E624" s="48" t="str">
        <f>TEXT(Base_de_Dados[[#This Row],[Semana]],"Mmmm")</f>
        <v>abril</v>
      </c>
      <c r="F624">
        <f>YEAR(Base_de_Dados[[#This Row],[Semana]])</f>
        <v>2023</v>
      </c>
      <c r="G624" t="str">
        <f>IF(MONTH(Base_de_Dados[[#This Row],[Semana]])&lt;=6,"1ª Bimestre","2ª Bimestre")</f>
        <v>1ª Bimestre</v>
      </c>
    </row>
    <row r="625" spans="1:7" x14ac:dyDescent="0.25">
      <c r="A625" t="s">
        <v>112</v>
      </c>
      <c r="B625">
        <v>0</v>
      </c>
      <c r="C625" s="2">
        <v>0</v>
      </c>
      <c r="D625" s="48">
        <v>45040</v>
      </c>
      <c r="E625" s="48" t="str">
        <f>TEXT(Base_de_Dados[[#This Row],[Semana]],"Mmmm")</f>
        <v>abril</v>
      </c>
      <c r="F625">
        <f>YEAR(Base_de_Dados[[#This Row],[Semana]])</f>
        <v>2023</v>
      </c>
      <c r="G625" t="str">
        <f>IF(MONTH(Base_de_Dados[[#This Row],[Semana]])&lt;=6,"1ª Bimestre","2ª Bimestre")</f>
        <v>1ª Bimestre</v>
      </c>
    </row>
    <row r="626" spans="1:7" x14ac:dyDescent="0.25">
      <c r="A626" t="s">
        <v>4</v>
      </c>
      <c r="B626">
        <v>2</v>
      </c>
      <c r="C626" s="2">
        <v>7.407407407407407E-2</v>
      </c>
      <c r="D626" s="48">
        <v>45040</v>
      </c>
      <c r="E626" s="48" t="str">
        <f>TEXT(Base_de_Dados[[#This Row],[Semana]],"Mmmm")</f>
        <v>abril</v>
      </c>
      <c r="F626">
        <f>YEAR(Base_de_Dados[[#This Row],[Semana]])</f>
        <v>2023</v>
      </c>
      <c r="G626" t="str">
        <f>IF(MONTH(Base_de_Dados[[#This Row],[Semana]])&lt;=6,"1ª Bimestre","2ª Bimestre")</f>
        <v>1ª Bimestre</v>
      </c>
    </row>
    <row r="627" spans="1:7" x14ac:dyDescent="0.25">
      <c r="A627" t="s">
        <v>5</v>
      </c>
      <c r="B627">
        <v>0</v>
      </c>
      <c r="C627" s="2">
        <v>0</v>
      </c>
      <c r="D627" s="48">
        <v>45040</v>
      </c>
      <c r="E627" s="48" t="str">
        <f>TEXT(Base_de_Dados[[#This Row],[Semana]],"Mmmm")</f>
        <v>abril</v>
      </c>
      <c r="F627">
        <f>YEAR(Base_de_Dados[[#This Row],[Semana]])</f>
        <v>2023</v>
      </c>
      <c r="G627" t="str">
        <f>IF(MONTH(Base_de_Dados[[#This Row],[Semana]])&lt;=6,"1ª Bimestre","2ª Bimestre")</f>
        <v>1ª Bimestre</v>
      </c>
    </row>
    <row r="628" spans="1:7" x14ac:dyDescent="0.25">
      <c r="A628" t="s">
        <v>6</v>
      </c>
      <c r="B628">
        <v>4</v>
      </c>
      <c r="C628" s="2">
        <v>0.14814814814814814</v>
      </c>
      <c r="D628" s="48">
        <v>45040</v>
      </c>
      <c r="E628" s="48" t="str">
        <f>TEXT(Base_de_Dados[[#This Row],[Semana]],"Mmmm")</f>
        <v>abril</v>
      </c>
      <c r="F628">
        <f>YEAR(Base_de_Dados[[#This Row],[Semana]])</f>
        <v>2023</v>
      </c>
      <c r="G628" t="str">
        <f>IF(MONTH(Base_de_Dados[[#This Row],[Semana]])&lt;=6,"1ª Bimestre","2ª Bimestre")</f>
        <v>1ª Bimestre</v>
      </c>
    </row>
    <row r="629" spans="1:7" x14ac:dyDescent="0.25">
      <c r="A629" t="s">
        <v>7</v>
      </c>
      <c r="B629">
        <v>6</v>
      </c>
      <c r="C629" s="2">
        <v>0.22222222222222221</v>
      </c>
      <c r="D629" s="48">
        <v>45040</v>
      </c>
      <c r="E629" s="48" t="str">
        <f>TEXT(Base_de_Dados[[#This Row],[Semana]],"Mmmm")</f>
        <v>abril</v>
      </c>
      <c r="F629">
        <f>YEAR(Base_de_Dados[[#This Row],[Semana]])</f>
        <v>2023</v>
      </c>
      <c r="G629" t="str">
        <f>IF(MONTH(Base_de_Dados[[#This Row],[Semana]])&lt;=6,"1ª Bimestre","2ª Bimestre")</f>
        <v>1ª Bimestre</v>
      </c>
    </row>
    <row r="630" spans="1:7" x14ac:dyDescent="0.25">
      <c r="A630" t="s">
        <v>8</v>
      </c>
      <c r="B630">
        <v>0</v>
      </c>
      <c r="C630" s="2">
        <v>0</v>
      </c>
      <c r="D630" s="48">
        <v>45040</v>
      </c>
      <c r="E630" s="48" t="str">
        <f>TEXT(Base_de_Dados[[#This Row],[Semana]],"Mmmm")</f>
        <v>abril</v>
      </c>
      <c r="F630">
        <f>YEAR(Base_de_Dados[[#This Row],[Semana]])</f>
        <v>2023</v>
      </c>
      <c r="G630" t="str">
        <f>IF(MONTH(Base_de_Dados[[#This Row],[Semana]])&lt;=6,"1ª Bimestre","2ª Bimestre")</f>
        <v>1ª Bimestre</v>
      </c>
    </row>
    <row r="631" spans="1:7" x14ac:dyDescent="0.25">
      <c r="A631" t="s">
        <v>9</v>
      </c>
      <c r="B631">
        <v>0</v>
      </c>
      <c r="C631" s="2">
        <v>0</v>
      </c>
      <c r="D631" s="48">
        <v>45040</v>
      </c>
      <c r="E631" s="48" t="str">
        <f>TEXT(Base_de_Dados[[#This Row],[Semana]],"Mmmm")</f>
        <v>abril</v>
      </c>
      <c r="F631">
        <f>YEAR(Base_de_Dados[[#This Row],[Semana]])</f>
        <v>2023</v>
      </c>
      <c r="G631" t="str">
        <f>IF(MONTH(Base_de_Dados[[#This Row],[Semana]])&lt;=6,"1ª Bimestre","2ª Bimestre")</f>
        <v>1ª Bimestre</v>
      </c>
    </row>
    <row r="632" spans="1:7" x14ac:dyDescent="0.25">
      <c r="A632" t="s">
        <v>114</v>
      </c>
      <c r="B632">
        <v>0</v>
      </c>
      <c r="C632" s="2">
        <v>0</v>
      </c>
      <c r="D632" s="48">
        <v>45040</v>
      </c>
      <c r="E632" s="48" t="str">
        <f>TEXT(Base_de_Dados[[#This Row],[Semana]],"Mmmm")</f>
        <v>abril</v>
      </c>
      <c r="F632">
        <f>YEAR(Base_de_Dados[[#This Row],[Semana]])</f>
        <v>2023</v>
      </c>
      <c r="G632" t="str">
        <f>IF(MONTH(Base_de_Dados[[#This Row],[Semana]])&lt;=6,"1ª Bimestre","2ª Bimestre")</f>
        <v>1ª Bimestre</v>
      </c>
    </row>
    <row r="633" spans="1:7" x14ac:dyDescent="0.25">
      <c r="A633" t="s">
        <v>11</v>
      </c>
      <c r="B633">
        <v>0</v>
      </c>
      <c r="C633" s="2">
        <v>0</v>
      </c>
      <c r="D633" s="48">
        <v>45040</v>
      </c>
      <c r="E633" s="48" t="str">
        <f>TEXT(Base_de_Dados[[#This Row],[Semana]],"Mmmm")</f>
        <v>abril</v>
      </c>
      <c r="F633">
        <f>YEAR(Base_de_Dados[[#This Row],[Semana]])</f>
        <v>2023</v>
      </c>
      <c r="G633" t="str">
        <f>IF(MONTH(Base_de_Dados[[#This Row],[Semana]])&lt;=6,"1ª Bimestre","2ª Bimestre")</f>
        <v>1ª Bimestre</v>
      </c>
    </row>
    <row r="634" spans="1:7" x14ac:dyDescent="0.25">
      <c r="A634" t="s">
        <v>144</v>
      </c>
      <c r="B634">
        <v>0</v>
      </c>
      <c r="C634" s="2">
        <v>0</v>
      </c>
      <c r="D634" s="48">
        <v>45040</v>
      </c>
      <c r="E634" s="48" t="str">
        <f>TEXT(Base_de_Dados[[#This Row],[Semana]],"Mmmm")</f>
        <v>abril</v>
      </c>
      <c r="F634">
        <f>YEAR(Base_de_Dados[[#This Row],[Semana]])</f>
        <v>2023</v>
      </c>
      <c r="G634" t="str">
        <f>IF(MONTH(Base_de_Dados[[#This Row],[Semana]])&lt;=6,"1ª Bimestre","2ª Bimestre")</f>
        <v>1ª Bimestre</v>
      </c>
    </row>
    <row r="635" spans="1:7" x14ac:dyDescent="0.25">
      <c r="A635" t="s">
        <v>169</v>
      </c>
      <c r="B635">
        <v>0</v>
      </c>
      <c r="C635" s="2">
        <v>0</v>
      </c>
      <c r="D635" s="48">
        <v>45040</v>
      </c>
      <c r="E635" s="48" t="str">
        <f>TEXT(Base_de_Dados[[#This Row],[Semana]],"Mmmm")</f>
        <v>abril</v>
      </c>
      <c r="F635">
        <f>YEAR(Base_de_Dados[[#This Row],[Semana]])</f>
        <v>2023</v>
      </c>
      <c r="G635" t="str">
        <f>IF(MONTH(Base_de_Dados[[#This Row],[Semana]])&lt;=6,"1ª Bimestre","2ª Bimestre")</f>
        <v>1ª Bimestre</v>
      </c>
    </row>
    <row r="636" spans="1:7" x14ac:dyDescent="0.25">
      <c r="A636" t="s">
        <v>190</v>
      </c>
      <c r="B636">
        <v>1</v>
      </c>
      <c r="C636" s="2">
        <v>3.7037037037037035E-2</v>
      </c>
      <c r="D636" s="48">
        <v>45040</v>
      </c>
      <c r="E636" s="48" t="str">
        <f>TEXT(Base_de_Dados[[#This Row],[Semana]],"Mmmm")</f>
        <v>abril</v>
      </c>
      <c r="F636">
        <f>YEAR(Base_de_Dados[[#This Row],[Semana]])</f>
        <v>2023</v>
      </c>
      <c r="G636" t="str">
        <f>IF(MONTH(Base_de_Dados[[#This Row],[Semana]])&lt;=6,"1ª Bimestre","2ª Bimestre")</f>
        <v>1ª Bimestre</v>
      </c>
    </row>
    <row r="637" spans="1:7" x14ac:dyDescent="0.25">
      <c r="A637" t="s">
        <v>192</v>
      </c>
      <c r="B637">
        <v>14</v>
      </c>
      <c r="C637" s="2">
        <v>0.51851851851851849</v>
      </c>
      <c r="D637" s="48">
        <v>45040</v>
      </c>
      <c r="E637" s="48" t="str">
        <f>TEXT(Base_de_Dados[[#This Row],[Semana]],"Mmmm")</f>
        <v>abril</v>
      </c>
      <c r="F637">
        <f>YEAR(Base_de_Dados[[#This Row],[Semana]])</f>
        <v>2023</v>
      </c>
      <c r="G637" t="str">
        <f>IF(MONTH(Base_de_Dados[[#This Row],[Semana]])&lt;=6,"1ª Bimestre","2ª Bimestre")</f>
        <v>1ª Bimestre</v>
      </c>
    </row>
    <row r="638" spans="1:7" x14ac:dyDescent="0.25">
      <c r="A638" t="s">
        <v>148</v>
      </c>
      <c r="B638">
        <v>0</v>
      </c>
      <c r="C638" s="2">
        <v>0</v>
      </c>
      <c r="D638" s="48">
        <v>45040</v>
      </c>
      <c r="E638" s="48" t="str">
        <f>TEXT(Base_de_Dados[[#This Row],[Semana]],"Mmmm")</f>
        <v>abril</v>
      </c>
      <c r="F638">
        <f>YEAR(Base_de_Dados[[#This Row],[Semana]])</f>
        <v>2023</v>
      </c>
      <c r="G638" t="str">
        <f>IF(MONTH(Base_de_Dados[[#This Row],[Semana]])&lt;=6,"1ª Bimestre","2ª Bimestre")</f>
        <v>1ª Bimestre</v>
      </c>
    </row>
    <row r="639" spans="1:7" x14ac:dyDescent="0.25">
      <c r="A639" t="s">
        <v>112</v>
      </c>
      <c r="B639">
        <v>0</v>
      </c>
      <c r="C639" s="2">
        <v>0</v>
      </c>
      <c r="D639" s="48">
        <v>45047</v>
      </c>
      <c r="E639" s="48" t="str">
        <f>TEXT(Base_de_Dados[[#This Row],[Semana]],"Mmmm")</f>
        <v>maio</v>
      </c>
      <c r="F639">
        <f>YEAR(Base_de_Dados[[#This Row],[Semana]])</f>
        <v>2023</v>
      </c>
      <c r="G639" t="str">
        <f>IF(MONTH(Base_de_Dados[[#This Row],[Semana]])&lt;=6,"1ª Bimestre","2ª Bimestre")</f>
        <v>1ª Bimestre</v>
      </c>
    </row>
    <row r="640" spans="1:7" x14ac:dyDescent="0.25">
      <c r="A640" t="s">
        <v>4</v>
      </c>
      <c r="B640">
        <v>0</v>
      </c>
      <c r="C640" s="2">
        <v>0</v>
      </c>
      <c r="D640" s="48">
        <v>45047</v>
      </c>
      <c r="E640" s="48" t="str">
        <f>TEXT(Base_de_Dados[[#This Row],[Semana]],"Mmmm")</f>
        <v>maio</v>
      </c>
      <c r="F640">
        <f>YEAR(Base_de_Dados[[#This Row],[Semana]])</f>
        <v>2023</v>
      </c>
      <c r="G640" t="str">
        <f>IF(MONTH(Base_de_Dados[[#This Row],[Semana]])&lt;=6,"1ª Bimestre","2ª Bimestre")</f>
        <v>1ª Bimestre</v>
      </c>
    </row>
    <row r="641" spans="1:7" x14ac:dyDescent="0.25">
      <c r="A641" t="s">
        <v>5</v>
      </c>
      <c r="B641">
        <v>0</v>
      </c>
      <c r="C641" s="2">
        <v>0</v>
      </c>
      <c r="D641" s="48">
        <v>45047</v>
      </c>
      <c r="E641" s="48" t="str">
        <f>TEXT(Base_de_Dados[[#This Row],[Semana]],"Mmmm")</f>
        <v>maio</v>
      </c>
      <c r="F641">
        <f>YEAR(Base_de_Dados[[#This Row],[Semana]])</f>
        <v>2023</v>
      </c>
      <c r="G641" t="str">
        <f>IF(MONTH(Base_de_Dados[[#This Row],[Semana]])&lt;=6,"1ª Bimestre","2ª Bimestre")</f>
        <v>1ª Bimestre</v>
      </c>
    </row>
    <row r="642" spans="1:7" x14ac:dyDescent="0.25">
      <c r="A642" t="s">
        <v>6</v>
      </c>
      <c r="B642">
        <v>3</v>
      </c>
      <c r="C642" s="2">
        <v>0.10714285714285714</v>
      </c>
      <c r="D642" s="48">
        <v>45047</v>
      </c>
      <c r="E642" s="48" t="str">
        <f>TEXT(Base_de_Dados[[#This Row],[Semana]],"Mmmm")</f>
        <v>maio</v>
      </c>
      <c r="F642">
        <f>YEAR(Base_de_Dados[[#This Row],[Semana]])</f>
        <v>2023</v>
      </c>
      <c r="G642" t="str">
        <f>IF(MONTH(Base_de_Dados[[#This Row],[Semana]])&lt;=6,"1ª Bimestre","2ª Bimestre")</f>
        <v>1ª Bimestre</v>
      </c>
    </row>
    <row r="643" spans="1:7" x14ac:dyDescent="0.25">
      <c r="A643" t="s">
        <v>7</v>
      </c>
      <c r="B643">
        <v>1</v>
      </c>
      <c r="C643" s="2">
        <v>3.5714285714285712E-2</v>
      </c>
      <c r="D643" s="48">
        <v>45047</v>
      </c>
      <c r="E643" s="48" t="str">
        <f>TEXT(Base_de_Dados[[#This Row],[Semana]],"Mmmm")</f>
        <v>maio</v>
      </c>
      <c r="F643">
        <f>YEAR(Base_de_Dados[[#This Row],[Semana]])</f>
        <v>2023</v>
      </c>
      <c r="G643" t="str">
        <f>IF(MONTH(Base_de_Dados[[#This Row],[Semana]])&lt;=6,"1ª Bimestre","2ª Bimestre")</f>
        <v>1ª Bimestre</v>
      </c>
    </row>
    <row r="644" spans="1:7" x14ac:dyDescent="0.25">
      <c r="A644" t="s">
        <v>8</v>
      </c>
      <c r="B644">
        <v>0</v>
      </c>
      <c r="C644" s="2">
        <v>0</v>
      </c>
      <c r="D644" s="48">
        <v>45047</v>
      </c>
      <c r="E644" s="48" t="str">
        <f>TEXT(Base_de_Dados[[#This Row],[Semana]],"Mmmm")</f>
        <v>maio</v>
      </c>
      <c r="F644">
        <f>YEAR(Base_de_Dados[[#This Row],[Semana]])</f>
        <v>2023</v>
      </c>
      <c r="G644" t="str">
        <f>IF(MONTH(Base_de_Dados[[#This Row],[Semana]])&lt;=6,"1ª Bimestre","2ª Bimestre")</f>
        <v>1ª Bimestre</v>
      </c>
    </row>
    <row r="645" spans="1:7" x14ac:dyDescent="0.25">
      <c r="A645" t="s">
        <v>9</v>
      </c>
      <c r="B645">
        <v>1</v>
      </c>
      <c r="C645" s="2">
        <v>3.5714285714285712E-2</v>
      </c>
      <c r="D645" s="48">
        <v>45047</v>
      </c>
      <c r="E645" s="48" t="str">
        <f>TEXT(Base_de_Dados[[#This Row],[Semana]],"Mmmm")</f>
        <v>maio</v>
      </c>
      <c r="F645">
        <f>YEAR(Base_de_Dados[[#This Row],[Semana]])</f>
        <v>2023</v>
      </c>
      <c r="G645" t="str">
        <f>IF(MONTH(Base_de_Dados[[#This Row],[Semana]])&lt;=6,"1ª Bimestre","2ª Bimestre")</f>
        <v>1ª Bimestre</v>
      </c>
    </row>
    <row r="646" spans="1:7" x14ac:dyDescent="0.25">
      <c r="A646" t="s">
        <v>114</v>
      </c>
      <c r="B646">
        <v>0</v>
      </c>
      <c r="C646" s="2">
        <v>0</v>
      </c>
      <c r="D646" s="48">
        <v>45047</v>
      </c>
      <c r="E646" s="48" t="str">
        <f>TEXT(Base_de_Dados[[#This Row],[Semana]],"Mmmm")</f>
        <v>maio</v>
      </c>
      <c r="F646">
        <f>YEAR(Base_de_Dados[[#This Row],[Semana]])</f>
        <v>2023</v>
      </c>
      <c r="G646" t="str">
        <f>IF(MONTH(Base_de_Dados[[#This Row],[Semana]])&lt;=6,"1ª Bimestre","2ª Bimestre")</f>
        <v>1ª Bimestre</v>
      </c>
    </row>
    <row r="647" spans="1:7" x14ac:dyDescent="0.25">
      <c r="A647" t="s">
        <v>11</v>
      </c>
      <c r="B647">
        <v>0</v>
      </c>
      <c r="C647" s="2">
        <v>0</v>
      </c>
      <c r="D647" s="48">
        <v>45047</v>
      </c>
      <c r="E647" s="48" t="str">
        <f>TEXT(Base_de_Dados[[#This Row],[Semana]],"Mmmm")</f>
        <v>maio</v>
      </c>
      <c r="F647">
        <f>YEAR(Base_de_Dados[[#This Row],[Semana]])</f>
        <v>2023</v>
      </c>
      <c r="G647" t="str">
        <f>IF(MONTH(Base_de_Dados[[#This Row],[Semana]])&lt;=6,"1ª Bimestre","2ª Bimestre")</f>
        <v>1ª Bimestre</v>
      </c>
    </row>
    <row r="648" spans="1:7" x14ac:dyDescent="0.25">
      <c r="A648" t="s">
        <v>144</v>
      </c>
      <c r="B648">
        <v>0</v>
      </c>
      <c r="C648" s="2">
        <v>0</v>
      </c>
      <c r="D648" s="48">
        <v>45047</v>
      </c>
      <c r="E648" s="48" t="str">
        <f>TEXT(Base_de_Dados[[#This Row],[Semana]],"Mmmm")</f>
        <v>maio</v>
      </c>
      <c r="F648">
        <f>YEAR(Base_de_Dados[[#This Row],[Semana]])</f>
        <v>2023</v>
      </c>
      <c r="G648" t="str">
        <f>IF(MONTH(Base_de_Dados[[#This Row],[Semana]])&lt;=6,"1ª Bimestre","2ª Bimestre")</f>
        <v>1ª Bimestre</v>
      </c>
    </row>
    <row r="649" spans="1:7" x14ac:dyDescent="0.25">
      <c r="A649" t="s">
        <v>169</v>
      </c>
      <c r="B649">
        <v>0</v>
      </c>
      <c r="C649" s="2">
        <v>0</v>
      </c>
      <c r="D649" s="48">
        <v>45047</v>
      </c>
      <c r="E649" s="48" t="str">
        <f>TEXT(Base_de_Dados[[#This Row],[Semana]],"Mmmm")</f>
        <v>maio</v>
      </c>
      <c r="F649">
        <f>YEAR(Base_de_Dados[[#This Row],[Semana]])</f>
        <v>2023</v>
      </c>
      <c r="G649" t="str">
        <f>IF(MONTH(Base_de_Dados[[#This Row],[Semana]])&lt;=6,"1ª Bimestre","2ª Bimestre")</f>
        <v>1ª Bimestre</v>
      </c>
    </row>
    <row r="650" spans="1:7" x14ac:dyDescent="0.25">
      <c r="A650" t="s">
        <v>190</v>
      </c>
      <c r="B650">
        <v>0</v>
      </c>
      <c r="C650" s="2">
        <v>0</v>
      </c>
      <c r="D650" s="48">
        <v>45047</v>
      </c>
      <c r="E650" s="48" t="str">
        <f>TEXT(Base_de_Dados[[#This Row],[Semana]],"Mmmm")</f>
        <v>maio</v>
      </c>
      <c r="F650">
        <f>YEAR(Base_de_Dados[[#This Row],[Semana]])</f>
        <v>2023</v>
      </c>
      <c r="G650" t="str">
        <f>IF(MONTH(Base_de_Dados[[#This Row],[Semana]])&lt;=6,"1ª Bimestre","2ª Bimestre")</f>
        <v>1ª Bimestre</v>
      </c>
    </row>
    <row r="651" spans="1:7" x14ac:dyDescent="0.25">
      <c r="A651" t="s">
        <v>192</v>
      </c>
      <c r="B651">
        <v>23</v>
      </c>
      <c r="C651" s="2">
        <v>0.8214285714285714</v>
      </c>
      <c r="D651" s="48">
        <v>45047</v>
      </c>
      <c r="E651" s="48" t="str">
        <f>TEXT(Base_de_Dados[[#This Row],[Semana]],"Mmmm")</f>
        <v>maio</v>
      </c>
      <c r="F651">
        <f>YEAR(Base_de_Dados[[#This Row],[Semana]])</f>
        <v>2023</v>
      </c>
      <c r="G651" t="str">
        <f>IF(MONTH(Base_de_Dados[[#This Row],[Semana]])&lt;=6,"1ª Bimestre","2ª Bimestre")</f>
        <v>1ª Bimestre</v>
      </c>
    </row>
    <row r="652" spans="1:7" x14ac:dyDescent="0.25">
      <c r="A652" t="s">
        <v>148</v>
      </c>
      <c r="B652">
        <v>0</v>
      </c>
      <c r="C652" s="2">
        <v>0</v>
      </c>
      <c r="D652" s="48">
        <v>45047</v>
      </c>
      <c r="E652" s="48" t="str">
        <f>TEXT(Base_de_Dados[[#This Row],[Semana]],"Mmmm")</f>
        <v>maio</v>
      </c>
      <c r="F652">
        <f>YEAR(Base_de_Dados[[#This Row],[Semana]])</f>
        <v>2023</v>
      </c>
      <c r="G652" t="str">
        <f>IF(MONTH(Base_de_Dados[[#This Row],[Semana]])&lt;=6,"1ª Bimestre","2ª Bimestre")</f>
        <v>1ª Bimestre</v>
      </c>
    </row>
    <row r="653" spans="1:7" x14ac:dyDescent="0.25">
      <c r="A653" t="s">
        <v>112</v>
      </c>
      <c r="B653">
        <v>3</v>
      </c>
      <c r="C653" s="2">
        <v>0.16666666666666666</v>
      </c>
      <c r="D653" s="48">
        <v>45054</v>
      </c>
      <c r="E653" s="48" t="str">
        <f>TEXT(Base_de_Dados[[#This Row],[Semana]],"Mmmm")</f>
        <v>maio</v>
      </c>
      <c r="F653">
        <f>YEAR(Base_de_Dados[[#This Row],[Semana]])</f>
        <v>2023</v>
      </c>
      <c r="G653" t="str">
        <f>IF(MONTH(Base_de_Dados[[#This Row],[Semana]])&lt;=6,"1ª Bimestre","2ª Bimestre")</f>
        <v>1ª Bimestre</v>
      </c>
    </row>
    <row r="654" spans="1:7" x14ac:dyDescent="0.25">
      <c r="A654" t="s">
        <v>4</v>
      </c>
      <c r="B654">
        <v>1</v>
      </c>
      <c r="C654" s="2">
        <v>5.5555555555555552E-2</v>
      </c>
      <c r="D654" s="48">
        <v>45054</v>
      </c>
      <c r="E654" s="48" t="str">
        <f>TEXT(Base_de_Dados[[#This Row],[Semana]],"Mmmm")</f>
        <v>maio</v>
      </c>
      <c r="F654">
        <f>YEAR(Base_de_Dados[[#This Row],[Semana]])</f>
        <v>2023</v>
      </c>
      <c r="G654" t="str">
        <f>IF(MONTH(Base_de_Dados[[#This Row],[Semana]])&lt;=6,"1ª Bimestre","2ª Bimestre")</f>
        <v>1ª Bimestre</v>
      </c>
    </row>
    <row r="655" spans="1:7" x14ac:dyDescent="0.25">
      <c r="A655" t="s">
        <v>5</v>
      </c>
      <c r="B655">
        <v>0</v>
      </c>
      <c r="C655" s="2">
        <v>0</v>
      </c>
      <c r="D655" s="48">
        <v>45054</v>
      </c>
      <c r="E655" s="48" t="str">
        <f>TEXT(Base_de_Dados[[#This Row],[Semana]],"Mmmm")</f>
        <v>maio</v>
      </c>
      <c r="F655">
        <f>YEAR(Base_de_Dados[[#This Row],[Semana]])</f>
        <v>2023</v>
      </c>
      <c r="G655" t="str">
        <f>IF(MONTH(Base_de_Dados[[#This Row],[Semana]])&lt;=6,"1ª Bimestre","2ª Bimestre")</f>
        <v>1ª Bimestre</v>
      </c>
    </row>
    <row r="656" spans="1:7" x14ac:dyDescent="0.25">
      <c r="A656" t="s">
        <v>6</v>
      </c>
      <c r="B656">
        <v>0</v>
      </c>
      <c r="C656" s="2">
        <v>0</v>
      </c>
      <c r="D656" s="48">
        <v>45054</v>
      </c>
      <c r="E656" s="48" t="str">
        <f>TEXT(Base_de_Dados[[#This Row],[Semana]],"Mmmm")</f>
        <v>maio</v>
      </c>
      <c r="F656">
        <f>YEAR(Base_de_Dados[[#This Row],[Semana]])</f>
        <v>2023</v>
      </c>
      <c r="G656" t="str">
        <f>IF(MONTH(Base_de_Dados[[#This Row],[Semana]])&lt;=6,"1ª Bimestre","2ª Bimestre")</f>
        <v>1ª Bimestre</v>
      </c>
    </row>
    <row r="657" spans="1:7" x14ac:dyDescent="0.25">
      <c r="A657" t="s">
        <v>7</v>
      </c>
      <c r="B657">
        <v>0</v>
      </c>
      <c r="C657" s="2">
        <v>0</v>
      </c>
      <c r="D657" s="48">
        <v>45054</v>
      </c>
      <c r="E657" s="48" t="str">
        <f>TEXT(Base_de_Dados[[#This Row],[Semana]],"Mmmm")</f>
        <v>maio</v>
      </c>
      <c r="F657">
        <f>YEAR(Base_de_Dados[[#This Row],[Semana]])</f>
        <v>2023</v>
      </c>
      <c r="G657" t="str">
        <f>IF(MONTH(Base_de_Dados[[#This Row],[Semana]])&lt;=6,"1ª Bimestre","2ª Bimestre")</f>
        <v>1ª Bimestre</v>
      </c>
    </row>
    <row r="658" spans="1:7" x14ac:dyDescent="0.25">
      <c r="A658" t="s">
        <v>8</v>
      </c>
      <c r="B658">
        <v>3</v>
      </c>
      <c r="C658" s="2">
        <v>0.16666666666666666</v>
      </c>
      <c r="D658" s="48">
        <v>45054</v>
      </c>
      <c r="E658" s="48" t="str">
        <f>TEXT(Base_de_Dados[[#This Row],[Semana]],"Mmmm")</f>
        <v>maio</v>
      </c>
      <c r="F658">
        <f>YEAR(Base_de_Dados[[#This Row],[Semana]])</f>
        <v>2023</v>
      </c>
      <c r="G658" t="str">
        <f>IF(MONTH(Base_de_Dados[[#This Row],[Semana]])&lt;=6,"1ª Bimestre","2ª Bimestre")</f>
        <v>1ª Bimestre</v>
      </c>
    </row>
    <row r="659" spans="1:7" x14ac:dyDescent="0.25">
      <c r="A659" t="s">
        <v>9</v>
      </c>
      <c r="B659">
        <v>4</v>
      </c>
      <c r="C659" s="2">
        <v>0.22222222222222221</v>
      </c>
      <c r="D659" s="48">
        <v>45054</v>
      </c>
      <c r="E659" s="48" t="str">
        <f>TEXT(Base_de_Dados[[#This Row],[Semana]],"Mmmm")</f>
        <v>maio</v>
      </c>
      <c r="F659">
        <f>YEAR(Base_de_Dados[[#This Row],[Semana]])</f>
        <v>2023</v>
      </c>
      <c r="G659" t="str">
        <f>IF(MONTH(Base_de_Dados[[#This Row],[Semana]])&lt;=6,"1ª Bimestre","2ª Bimestre")</f>
        <v>1ª Bimestre</v>
      </c>
    </row>
    <row r="660" spans="1:7" x14ac:dyDescent="0.25">
      <c r="A660" t="s">
        <v>114</v>
      </c>
      <c r="B660">
        <v>1</v>
      </c>
      <c r="C660" s="2">
        <v>5.5555555555555552E-2</v>
      </c>
      <c r="D660" s="48">
        <v>45054</v>
      </c>
      <c r="E660" s="48" t="str">
        <f>TEXT(Base_de_Dados[[#This Row],[Semana]],"Mmmm")</f>
        <v>maio</v>
      </c>
      <c r="F660">
        <f>YEAR(Base_de_Dados[[#This Row],[Semana]])</f>
        <v>2023</v>
      </c>
      <c r="G660" t="str">
        <f>IF(MONTH(Base_de_Dados[[#This Row],[Semana]])&lt;=6,"1ª Bimestre","2ª Bimestre")</f>
        <v>1ª Bimestre</v>
      </c>
    </row>
    <row r="661" spans="1:7" x14ac:dyDescent="0.25">
      <c r="A661" t="s">
        <v>11</v>
      </c>
      <c r="B661">
        <v>0</v>
      </c>
      <c r="C661" s="2">
        <v>0</v>
      </c>
      <c r="D661" s="48">
        <v>45054</v>
      </c>
      <c r="E661" s="48" t="str">
        <f>TEXT(Base_de_Dados[[#This Row],[Semana]],"Mmmm")</f>
        <v>maio</v>
      </c>
      <c r="F661">
        <f>YEAR(Base_de_Dados[[#This Row],[Semana]])</f>
        <v>2023</v>
      </c>
      <c r="G661" t="str">
        <f>IF(MONTH(Base_de_Dados[[#This Row],[Semana]])&lt;=6,"1ª Bimestre","2ª Bimestre")</f>
        <v>1ª Bimestre</v>
      </c>
    </row>
    <row r="662" spans="1:7" x14ac:dyDescent="0.25">
      <c r="A662" t="s">
        <v>144</v>
      </c>
      <c r="B662">
        <v>2</v>
      </c>
      <c r="C662" s="2">
        <v>0.1111111111111111</v>
      </c>
      <c r="D662" s="48">
        <v>45054</v>
      </c>
      <c r="E662" s="48" t="str">
        <f>TEXT(Base_de_Dados[[#This Row],[Semana]],"Mmmm")</f>
        <v>maio</v>
      </c>
      <c r="F662">
        <f>YEAR(Base_de_Dados[[#This Row],[Semana]])</f>
        <v>2023</v>
      </c>
      <c r="G662" t="str">
        <f>IF(MONTH(Base_de_Dados[[#This Row],[Semana]])&lt;=6,"1ª Bimestre","2ª Bimestre")</f>
        <v>1ª Bimestre</v>
      </c>
    </row>
    <row r="663" spans="1:7" x14ac:dyDescent="0.25">
      <c r="A663" t="s">
        <v>169</v>
      </c>
      <c r="B663">
        <v>0</v>
      </c>
      <c r="C663" s="2">
        <v>0</v>
      </c>
      <c r="D663" s="48">
        <v>45054</v>
      </c>
      <c r="E663" s="48" t="str">
        <f>TEXT(Base_de_Dados[[#This Row],[Semana]],"Mmmm")</f>
        <v>maio</v>
      </c>
      <c r="F663">
        <f>YEAR(Base_de_Dados[[#This Row],[Semana]])</f>
        <v>2023</v>
      </c>
      <c r="G663" t="str">
        <f>IF(MONTH(Base_de_Dados[[#This Row],[Semana]])&lt;=6,"1ª Bimestre","2ª Bimestre")</f>
        <v>1ª Bimestre</v>
      </c>
    </row>
    <row r="664" spans="1:7" x14ac:dyDescent="0.25">
      <c r="A664" t="s">
        <v>190</v>
      </c>
      <c r="B664">
        <v>4</v>
      </c>
      <c r="C664" s="2">
        <v>0.22222222222222221</v>
      </c>
      <c r="D664" s="48">
        <v>45054</v>
      </c>
      <c r="E664" s="48" t="str">
        <f>TEXT(Base_de_Dados[[#This Row],[Semana]],"Mmmm")</f>
        <v>maio</v>
      </c>
      <c r="F664">
        <f>YEAR(Base_de_Dados[[#This Row],[Semana]])</f>
        <v>2023</v>
      </c>
      <c r="G664" t="str">
        <f>IF(MONTH(Base_de_Dados[[#This Row],[Semana]])&lt;=6,"1ª Bimestre","2ª Bimestre")</f>
        <v>1ª Bimestre</v>
      </c>
    </row>
    <row r="665" spans="1:7" x14ac:dyDescent="0.25">
      <c r="A665" t="s">
        <v>192</v>
      </c>
      <c r="B665">
        <v>0</v>
      </c>
      <c r="C665" s="2">
        <v>0</v>
      </c>
      <c r="D665" s="48">
        <v>45054</v>
      </c>
      <c r="E665" s="48" t="str">
        <f>TEXT(Base_de_Dados[[#This Row],[Semana]],"Mmmm")</f>
        <v>maio</v>
      </c>
      <c r="F665">
        <f>YEAR(Base_de_Dados[[#This Row],[Semana]])</f>
        <v>2023</v>
      </c>
      <c r="G665" t="str">
        <f>IF(MONTH(Base_de_Dados[[#This Row],[Semana]])&lt;=6,"1ª Bimestre","2ª Bimestre")</f>
        <v>1ª Bimestre</v>
      </c>
    </row>
    <row r="666" spans="1:7" x14ac:dyDescent="0.25">
      <c r="A666" t="s">
        <v>193</v>
      </c>
      <c r="B666">
        <v>0</v>
      </c>
      <c r="C666" s="2">
        <v>0</v>
      </c>
      <c r="D666" s="48">
        <v>45054</v>
      </c>
      <c r="E666" s="48" t="str">
        <f>TEXT(Base_de_Dados[[#This Row],[Semana]],"Mmmm")</f>
        <v>maio</v>
      </c>
      <c r="F666">
        <f>YEAR(Base_de_Dados[[#This Row],[Semana]])</f>
        <v>2023</v>
      </c>
      <c r="G666" t="str">
        <f>IF(MONTH(Base_de_Dados[[#This Row],[Semana]])&lt;=6,"1ª Bimestre","2ª Bimestre")</f>
        <v>1ª Bimestre</v>
      </c>
    </row>
    <row r="667" spans="1:7" x14ac:dyDescent="0.25">
      <c r="A667" t="s">
        <v>148</v>
      </c>
      <c r="B667">
        <v>0</v>
      </c>
      <c r="C667" s="2">
        <v>0</v>
      </c>
      <c r="D667" s="48">
        <v>45054</v>
      </c>
      <c r="E667" s="48" t="str">
        <f>TEXT(Base_de_Dados[[#This Row],[Semana]],"Mmmm")</f>
        <v>maio</v>
      </c>
      <c r="F667">
        <f>YEAR(Base_de_Dados[[#This Row],[Semana]])</f>
        <v>2023</v>
      </c>
      <c r="G667" t="str">
        <f>IF(MONTH(Base_de_Dados[[#This Row],[Semana]])&lt;=6,"1ª Bimestre","2ª Bimestre")</f>
        <v>1ª Bimestre</v>
      </c>
    </row>
    <row r="668" spans="1:7" x14ac:dyDescent="0.25">
      <c r="A668" t="s">
        <v>112</v>
      </c>
      <c r="B668">
        <v>0</v>
      </c>
      <c r="C668" s="2">
        <v>0</v>
      </c>
      <c r="D668" s="48">
        <v>45061</v>
      </c>
      <c r="E668" s="48" t="str">
        <f>TEXT(Base_de_Dados[[#This Row],[Semana]],"Mmmm")</f>
        <v>maio</v>
      </c>
      <c r="F668">
        <f>YEAR(Base_de_Dados[[#This Row],[Semana]])</f>
        <v>2023</v>
      </c>
      <c r="G668" t="str">
        <f>IF(MONTH(Base_de_Dados[[#This Row],[Semana]])&lt;=6,"1ª Bimestre","2ª Bimestre")</f>
        <v>1ª Bimestre</v>
      </c>
    </row>
    <row r="669" spans="1:7" x14ac:dyDescent="0.25">
      <c r="A669" t="s">
        <v>4</v>
      </c>
      <c r="B669">
        <v>1</v>
      </c>
      <c r="C669" s="2">
        <v>0.16666666666666666</v>
      </c>
      <c r="D669" s="48">
        <v>45061</v>
      </c>
      <c r="E669" s="48" t="str">
        <f>TEXT(Base_de_Dados[[#This Row],[Semana]],"Mmmm")</f>
        <v>maio</v>
      </c>
      <c r="F669">
        <f>YEAR(Base_de_Dados[[#This Row],[Semana]])</f>
        <v>2023</v>
      </c>
      <c r="G669" t="str">
        <f>IF(MONTH(Base_de_Dados[[#This Row],[Semana]])&lt;=6,"1ª Bimestre","2ª Bimestre")</f>
        <v>1ª Bimestre</v>
      </c>
    </row>
    <row r="670" spans="1:7" x14ac:dyDescent="0.25">
      <c r="A670" t="s">
        <v>5</v>
      </c>
      <c r="B670">
        <v>0</v>
      </c>
      <c r="C670" s="2">
        <v>0</v>
      </c>
      <c r="D670" s="48">
        <v>45061</v>
      </c>
      <c r="E670" s="48" t="str">
        <f>TEXT(Base_de_Dados[[#This Row],[Semana]],"Mmmm")</f>
        <v>maio</v>
      </c>
      <c r="F670">
        <f>YEAR(Base_de_Dados[[#This Row],[Semana]])</f>
        <v>2023</v>
      </c>
      <c r="G670" t="str">
        <f>IF(MONTH(Base_de_Dados[[#This Row],[Semana]])&lt;=6,"1ª Bimestre","2ª Bimestre")</f>
        <v>1ª Bimestre</v>
      </c>
    </row>
    <row r="671" spans="1:7" x14ac:dyDescent="0.25">
      <c r="A671" t="s">
        <v>6</v>
      </c>
      <c r="B671">
        <v>0</v>
      </c>
      <c r="C671" s="2">
        <v>0</v>
      </c>
      <c r="D671" s="48">
        <v>45061</v>
      </c>
      <c r="E671" s="48" t="str">
        <f>TEXT(Base_de_Dados[[#This Row],[Semana]],"Mmmm")</f>
        <v>maio</v>
      </c>
      <c r="F671">
        <f>YEAR(Base_de_Dados[[#This Row],[Semana]])</f>
        <v>2023</v>
      </c>
      <c r="G671" t="str">
        <f>IF(MONTH(Base_de_Dados[[#This Row],[Semana]])&lt;=6,"1ª Bimestre","2ª Bimestre")</f>
        <v>1ª Bimestre</v>
      </c>
    </row>
    <row r="672" spans="1:7" x14ac:dyDescent="0.25">
      <c r="A672" t="s">
        <v>7</v>
      </c>
      <c r="B672">
        <v>0</v>
      </c>
      <c r="C672" s="2">
        <v>0</v>
      </c>
      <c r="D672" s="48">
        <v>45061</v>
      </c>
      <c r="E672" s="48" t="str">
        <f>TEXT(Base_de_Dados[[#This Row],[Semana]],"Mmmm")</f>
        <v>maio</v>
      </c>
      <c r="F672">
        <f>YEAR(Base_de_Dados[[#This Row],[Semana]])</f>
        <v>2023</v>
      </c>
      <c r="G672" t="str">
        <f>IF(MONTH(Base_de_Dados[[#This Row],[Semana]])&lt;=6,"1ª Bimestre","2ª Bimestre")</f>
        <v>1ª Bimestre</v>
      </c>
    </row>
    <row r="673" spans="1:7" x14ac:dyDescent="0.25">
      <c r="A673" t="s">
        <v>8</v>
      </c>
      <c r="B673">
        <v>0</v>
      </c>
      <c r="C673" s="2">
        <v>0</v>
      </c>
      <c r="D673" s="48">
        <v>45061</v>
      </c>
      <c r="E673" s="48" t="str">
        <f>TEXT(Base_de_Dados[[#This Row],[Semana]],"Mmmm")</f>
        <v>maio</v>
      </c>
      <c r="F673">
        <f>YEAR(Base_de_Dados[[#This Row],[Semana]])</f>
        <v>2023</v>
      </c>
      <c r="G673" t="str">
        <f>IF(MONTH(Base_de_Dados[[#This Row],[Semana]])&lt;=6,"1ª Bimestre","2ª Bimestre")</f>
        <v>1ª Bimestre</v>
      </c>
    </row>
    <row r="674" spans="1:7" x14ac:dyDescent="0.25">
      <c r="A674" t="s">
        <v>9</v>
      </c>
      <c r="B674">
        <v>1</v>
      </c>
      <c r="C674" s="2">
        <v>0.16666666666666666</v>
      </c>
      <c r="D674" s="48">
        <v>45061</v>
      </c>
      <c r="E674" s="48" t="str">
        <f>TEXT(Base_de_Dados[[#This Row],[Semana]],"Mmmm")</f>
        <v>maio</v>
      </c>
      <c r="F674">
        <f>YEAR(Base_de_Dados[[#This Row],[Semana]])</f>
        <v>2023</v>
      </c>
      <c r="G674" t="str">
        <f>IF(MONTH(Base_de_Dados[[#This Row],[Semana]])&lt;=6,"1ª Bimestre","2ª Bimestre")</f>
        <v>1ª Bimestre</v>
      </c>
    </row>
    <row r="675" spans="1:7" x14ac:dyDescent="0.25">
      <c r="A675" t="s">
        <v>114</v>
      </c>
      <c r="B675">
        <v>0</v>
      </c>
      <c r="C675" s="2">
        <v>0</v>
      </c>
      <c r="D675" s="48">
        <v>45061</v>
      </c>
      <c r="E675" s="48" t="str">
        <f>TEXT(Base_de_Dados[[#This Row],[Semana]],"Mmmm")</f>
        <v>maio</v>
      </c>
      <c r="F675">
        <f>YEAR(Base_de_Dados[[#This Row],[Semana]])</f>
        <v>2023</v>
      </c>
      <c r="G675" t="str">
        <f>IF(MONTH(Base_de_Dados[[#This Row],[Semana]])&lt;=6,"1ª Bimestre","2ª Bimestre")</f>
        <v>1ª Bimestre</v>
      </c>
    </row>
    <row r="676" spans="1:7" x14ac:dyDescent="0.25">
      <c r="A676" t="s">
        <v>11</v>
      </c>
      <c r="B676">
        <v>0</v>
      </c>
      <c r="C676" s="2">
        <v>0</v>
      </c>
      <c r="D676" s="48">
        <v>45061</v>
      </c>
      <c r="E676" s="48" t="str">
        <f>TEXT(Base_de_Dados[[#This Row],[Semana]],"Mmmm")</f>
        <v>maio</v>
      </c>
      <c r="F676">
        <f>YEAR(Base_de_Dados[[#This Row],[Semana]])</f>
        <v>2023</v>
      </c>
      <c r="G676" t="str">
        <f>IF(MONTH(Base_de_Dados[[#This Row],[Semana]])&lt;=6,"1ª Bimestre","2ª Bimestre")</f>
        <v>1ª Bimestre</v>
      </c>
    </row>
    <row r="677" spans="1:7" x14ac:dyDescent="0.25">
      <c r="A677" t="s">
        <v>144</v>
      </c>
      <c r="B677">
        <v>4</v>
      </c>
      <c r="C677" s="2">
        <v>0.66666666666666663</v>
      </c>
      <c r="D677" s="48">
        <v>45061</v>
      </c>
      <c r="E677" s="48" t="str">
        <f>TEXT(Base_de_Dados[[#This Row],[Semana]],"Mmmm")</f>
        <v>maio</v>
      </c>
      <c r="F677">
        <f>YEAR(Base_de_Dados[[#This Row],[Semana]])</f>
        <v>2023</v>
      </c>
      <c r="G677" t="str">
        <f>IF(MONTH(Base_de_Dados[[#This Row],[Semana]])&lt;=6,"1ª Bimestre","2ª Bimestre")</f>
        <v>1ª Bimestre</v>
      </c>
    </row>
    <row r="678" spans="1:7" x14ac:dyDescent="0.25">
      <c r="A678" t="s">
        <v>169</v>
      </c>
      <c r="B678">
        <v>0</v>
      </c>
      <c r="C678" s="2">
        <v>0</v>
      </c>
      <c r="D678" s="48">
        <v>45061</v>
      </c>
      <c r="E678" s="48" t="str">
        <f>TEXT(Base_de_Dados[[#This Row],[Semana]],"Mmmm")</f>
        <v>maio</v>
      </c>
      <c r="F678">
        <f>YEAR(Base_de_Dados[[#This Row],[Semana]])</f>
        <v>2023</v>
      </c>
      <c r="G678" t="str">
        <f>IF(MONTH(Base_de_Dados[[#This Row],[Semana]])&lt;=6,"1ª Bimestre","2ª Bimestre")</f>
        <v>1ª Bimestre</v>
      </c>
    </row>
    <row r="679" spans="1:7" x14ac:dyDescent="0.25">
      <c r="A679" t="s">
        <v>190</v>
      </c>
      <c r="B679">
        <v>0</v>
      </c>
      <c r="C679" s="2">
        <v>0</v>
      </c>
      <c r="D679" s="48">
        <v>45061</v>
      </c>
      <c r="E679" s="48" t="str">
        <f>TEXT(Base_de_Dados[[#This Row],[Semana]],"Mmmm")</f>
        <v>maio</v>
      </c>
      <c r="F679">
        <f>YEAR(Base_de_Dados[[#This Row],[Semana]])</f>
        <v>2023</v>
      </c>
      <c r="G679" t="str">
        <f>IF(MONTH(Base_de_Dados[[#This Row],[Semana]])&lt;=6,"1ª Bimestre","2ª Bimestre")</f>
        <v>1ª Bimestre</v>
      </c>
    </row>
    <row r="680" spans="1:7" x14ac:dyDescent="0.25">
      <c r="A680" t="s">
        <v>192</v>
      </c>
      <c r="B680">
        <v>0</v>
      </c>
      <c r="C680" s="2">
        <v>0</v>
      </c>
      <c r="D680" s="48">
        <v>45061</v>
      </c>
      <c r="E680" s="48" t="str">
        <f>TEXT(Base_de_Dados[[#This Row],[Semana]],"Mmmm")</f>
        <v>maio</v>
      </c>
      <c r="F680">
        <f>YEAR(Base_de_Dados[[#This Row],[Semana]])</f>
        <v>2023</v>
      </c>
      <c r="G680" t="str">
        <f>IF(MONTH(Base_de_Dados[[#This Row],[Semana]])&lt;=6,"1ª Bimestre","2ª Bimestre")</f>
        <v>1ª Bimestre</v>
      </c>
    </row>
    <row r="681" spans="1:7" x14ac:dyDescent="0.25">
      <c r="A681" t="s">
        <v>193</v>
      </c>
      <c r="B681">
        <v>0</v>
      </c>
      <c r="C681" s="2">
        <v>0</v>
      </c>
      <c r="D681" s="48">
        <v>45061</v>
      </c>
      <c r="E681" s="48" t="str">
        <f>TEXT(Base_de_Dados[[#This Row],[Semana]],"Mmmm")</f>
        <v>maio</v>
      </c>
      <c r="F681">
        <f>YEAR(Base_de_Dados[[#This Row],[Semana]])</f>
        <v>2023</v>
      </c>
      <c r="G681" t="str">
        <f>IF(MONTH(Base_de_Dados[[#This Row],[Semana]])&lt;=6,"1ª Bimestre","2ª Bimestre")</f>
        <v>1ª Bimestre</v>
      </c>
    </row>
    <row r="682" spans="1:7" x14ac:dyDescent="0.25">
      <c r="A682" t="s">
        <v>148</v>
      </c>
      <c r="B682">
        <v>0</v>
      </c>
      <c r="C682" s="2">
        <v>0</v>
      </c>
      <c r="D682" s="48">
        <v>45061</v>
      </c>
      <c r="E682" s="48" t="str">
        <f>TEXT(Base_de_Dados[[#This Row],[Semana]],"Mmmm")</f>
        <v>maio</v>
      </c>
      <c r="F682">
        <f>YEAR(Base_de_Dados[[#This Row],[Semana]])</f>
        <v>2023</v>
      </c>
      <c r="G682" t="str">
        <f>IF(MONTH(Base_de_Dados[[#This Row],[Semana]])&lt;=6,"1ª Bimestre","2ª Bimestre")</f>
        <v>1ª Bimestre</v>
      </c>
    </row>
    <row r="683" spans="1:7" x14ac:dyDescent="0.25">
      <c r="A683" t="s">
        <v>112</v>
      </c>
      <c r="B683">
        <v>2</v>
      </c>
      <c r="C683" s="2">
        <v>0.4</v>
      </c>
      <c r="D683" s="48">
        <v>45068</v>
      </c>
      <c r="E683" s="48" t="str">
        <f>TEXT(Base_de_Dados[[#This Row],[Semana]],"Mmmm")</f>
        <v>maio</v>
      </c>
      <c r="F683">
        <f>YEAR(Base_de_Dados[[#This Row],[Semana]])</f>
        <v>2023</v>
      </c>
      <c r="G683" t="str">
        <f>IF(MONTH(Base_de_Dados[[#This Row],[Semana]])&lt;=6,"1ª Bimestre","2ª Bimestre")</f>
        <v>1ª Bimestre</v>
      </c>
    </row>
    <row r="684" spans="1:7" x14ac:dyDescent="0.25">
      <c r="A684" t="s">
        <v>4</v>
      </c>
      <c r="B684">
        <v>0</v>
      </c>
      <c r="C684" s="2">
        <v>0</v>
      </c>
      <c r="D684" s="48">
        <v>45068</v>
      </c>
      <c r="E684" s="48" t="str">
        <f>TEXT(Base_de_Dados[[#This Row],[Semana]],"Mmmm")</f>
        <v>maio</v>
      </c>
      <c r="F684">
        <f>YEAR(Base_de_Dados[[#This Row],[Semana]])</f>
        <v>2023</v>
      </c>
      <c r="G684" t="str">
        <f>IF(MONTH(Base_de_Dados[[#This Row],[Semana]])&lt;=6,"1ª Bimestre","2ª Bimestre")</f>
        <v>1ª Bimestre</v>
      </c>
    </row>
    <row r="685" spans="1:7" x14ac:dyDescent="0.25">
      <c r="A685" t="s">
        <v>5</v>
      </c>
      <c r="B685">
        <v>0</v>
      </c>
      <c r="C685" s="2">
        <v>0</v>
      </c>
      <c r="D685" s="48">
        <v>45068</v>
      </c>
      <c r="E685" s="48" t="str">
        <f>TEXT(Base_de_Dados[[#This Row],[Semana]],"Mmmm")</f>
        <v>maio</v>
      </c>
      <c r="F685">
        <f>YEAR(Base_de_Dados[[#This Row],[Semana]])</f>
        <v>2023</v>
      </c>
      <c r="G685" t="str">
        <f>IF(MONTH(Base_de_Dados[[#This Row],[Semana]])&lt;=6,"1ª Bimestre","2ª Bimestre")</f>
        <v>1ª Bimestre</v>
      </c>
    </row>
    <row r="686" spans="1:7" x14ac:dyDescent="0.25">
      <c r="A686" t="s">
        <v>6</v>
      </c>
      <c r="B686">
        <v>0</v>
      </c>
      <c r="C686" s="2">
        <v>0</v>
      </c>
      <c r="D686" s="48">
        <v>45068</v>
      </c>
      <c r="E686" s="48" t="str">
        <f>TEXT(Base_de_Dados[[#This Row],[Semana]],"Mmmm")</f>
        <v>maio</v>
      </c>
      <c r="F686">
        <f>YEAR(Base_de_Dados[[#This Row],[Semana]])</f>
        <v>2023</v>
      </c>
      <c r="G686" t="str">
        <f>IF(MONTH(Base_de_Dados[[#This Row],[Semana]])&lt;=6,"1ª Bimestre","2ª Bimestre")</f>
        <v>1ª Bimestre</v>
      </c>
    </row>
    <row r="687" spans="1:7" x14ac:dyDescent="0.25">
      <c r="A687" t="s">
        <v>7</v>
      </c>
      <c r="B687">
        <v>2</v>
      </c>
      <c r="C687" s="2">
        <v>0.4</v>
      </c>
      <c r="D687" s="48">
        <v>45068</v>
      </c>
      <c r="E687" s="48" t="str">
        <f>TEXT(Base_de_Dados[[#This Row],[Semana]],"Mmmm")</f>
        <v>maio</v>
      </c>
      <c r="F687">
        <f>YEAR(Base_de_Dados[[#This Row],[Semana]])</f>
        <v>2023</v>
      </c>
      <c r="G687" t="str">
        <f>IF(MONTH(Base_de_Dados[[#This Row],[Semana]])&lt;=6,"1ª Bimestre","2ª Bimestre")</f>
        <v>1ª Bimestre</v>
      </c>
    </row>
    <row r="688" spans="1:7" x14ac:dyDescent="0.25">
      <c r="A688" t="s">
        <v>8</v>
      </c>
      <c r="B688">
        <v>0</v>
      </c>
      <c r="C688" s="2">
        <v>0</v>
      </c>
      <c r="D688" s="48">
        <v>45068</v>
      </c>
      <c r="E688" s="48" t="str">
        <f>TEXT(Base_de_Dados[[#This Row],[Semana]],"Mmmm")</f>
        <v>maio</v>
      </c>
      <c r="F688">
        <f>YEAR(Base_de_Dados[[#This Row],[Semana]])</f>
        <v>2023</v>
      </c>
      <c r="G688" t="str">
        <f>IF(MONTH(Base_de_Dados[[#This Row],[Semana]])&lt;=6,"1ª Bimestre","2ª Bimestre")</f>
        <v>1ª Bimestre</v>
      </c>
    </row>
    <row r="689" spans="1:7" x14ac:dyDescent="0.25">
      <c r="A689" t="s">
        <v>9</v>
      </c>
      <c r="B689">
        <v>0</v>
      </c>
      <c r="C689" s="2">
        <v>0</v>
      </c>
      <c r="D689" s="48">
        <v>45068</v>
      </c>
      <c r="E689" s="48" t="str">
        <f>TEXT(Base_de_Dados[[#This Row],[Semana]],"Mmmm")</f>
        <v>maio</v>
      </c>
      <c r="F689">
        <f>YEAR(Base_de_Dados[[#This Row],[Semana]])</f>
        <v>2023</v>
      </c>
      <c r="G689" t="str">
        <f>IF(MONTH(Base_de_Dados[[#This Row],[Semana]])&lt;=6,"1ª Bimestre","2ª Bimestre")</f>
        <v>1ª Bimestre</v>
      </c>
    </row>
    <row r="690" spans="1:7" x14ac:dyDescent="0.25">
      <c r="A690" t="s">
        <v>114</v>
      </c>
      <c r="B690">
        <v>0</v>
      </c>
      <c r="C690" s="2">
        <v>0</v>
      </c>
      <c r="D690" s="48">
        <v>45068</v>
      </c>
      <c r="E690" s="48" t="str">
        <f>TEXT(Base_de_Dados[[#This Row],[Semana]],"Mmmm")</f>
        <v>maio</v>
      </c>
      <c r="F690">
        <f>YEAR(Base_de_Dados[[#This Row],[Semana]])</f>
        <v>2023</v>
      </c>
      <c r="G690" t="str">
        <f>IF(MONTH(Base_de_Dados[[#This Row],[Semana]])&lt;=6,"1ª Bimestre","2ª Bimestre")</f>
        <v>1ª Bimestre</v>
      </c>
    </row>
    <row r="691" spans="1:7" x14ac:dyDescent="0.25">
      <c r="A691" t="s">
        <v>11</v>
      </c>
      <c r="B691">
        <v>0</v>
      </c>
      <c r="C691" s="2">
        <v>0</v>
      </c>
      <c r="D691" s="48">
        <v>45068</v>
      </c>
      <c r="E691" s="48" t="str">
        <f>TEXT(Base_de_Dados[[#This Row],[Semana]],"Mmmm")</f>
        <v>maio</v>
      </c>
      <c r="F691">
        <f>YEAR(Base_de_Dados[[#This Row],[Semana]])</f>
        <v>2023</v>
      </c>
      <c r="G691" t="str">
        <f>IF(MONTH(Base_de_Dados[[#This Row],[Semana]])&lt;=6,"1ª Bimestre","2ª Bimestre")</f>
        <v>1ª Bimestre</v>
      </c>
    </row>
    <row r="692" spans="1:7" x14ac:dyDescent="0.25">
      <c r="A692" t="s">
        <v>144</v>
      </c>
      <c r="B692">
        <v>0</v>
      </c>
      <c r="C692" s="2">
        <v>0</v>
      </c>
      <c r="D692" s="48">
        <v>45068</v>
      </c>
      <c r="E692" s="48" t="str">
        <f>TEXT(Base_de_Dados[[#This Row],[Semana]],"Mmmm")</f>
        <v>maio</v>
      </c>
      <c r="F692">
        <f>YEAR(Base_de_Dados[[#This Row],[Semana]])</f>
        <v>2023</v>
      </c>
      <c r="G692" t="str">
        <f>IF(MONTH(Base_de_Dados[[#This Row],[Semana]])&lt;=6,"1ª Bimestre","2ª Bimestre")</f>
        <v>1ª Bimestre</v>
      </c>
    </row>
    <row r="693" spans="1:7" x14ac:dyDescent="0.25">
      <c r="A693" t="s">
        <v>169</v>
      </c>
      <c r="B693">
        <v>0</v>
      </c>
      <c r="C693" s="2">
        <v>0</v>
      </c>
      <c r="D693" s="48">
        <v>45068</v>
      </c>
      <c r="E693" s="48" t="str">
        <f>TEXT(Base_de_Dados[[#This Row],[Semana]],"Mmmm")</f>
        <v>maio</v>
      </c>
      <c r="F693">
        <f>YEAR(Base_de_Dados[[#This Row],[Semana]])</f>
        <v>2023</v>
      </c>
      <c r="G693" t="str">
        <f>IF(MONTH(Base_de_Dados[[#This Row],[Semana]])&lt;=6,"1ª Bimestre","2ª Bimestre")</f>
        <v>1ª Bimestre</v>
      </c>
    </row>
    <row r="694" spans="1:7" x14ac:dyDescent="0.25">
      <c r="A694" t="s">
        <v>190</v>
      </c>
      <c r="B694">
        <v>0</v>
      </c>
      <c r="C694" s="2">
        <v>0</v>
      </c>
      <c r="D694" s="48">
        <v>45068</v>
      </c>
      <c r="E694" s="48" t="str">
        <f>TEXT(Base_de_Dados[[#This Row],[Semana]],"Mmmm")</f>
        <v>maio</v>
      </c>
      <c r="F694">
        <f>YEAR(Base_de_Dados[[#This Row],[Semana]])</f>
        <v>2023</v>
      </c>
      <c r="G694" t="str">
        <f>IF(MONTH(Base_de_Dados[[#This Row],[Semana]])&lt;=6,"1ª Bimestre","2ª Bimestre")</f>
        <v>1ª Bimestre</v>
      </c>
    </row>
    <row r="695" spans="1:7" x14ac:dyDescent="0.25">
      <c r="A695" t="s">
        <v>192</v>
      </c>
      <c r="B695">
        <v>0</v>
      </c>
      <c r="C695" s="2">
        <v>0</v>
      </c>
      <c r="D695" s="48">
        <v>45068</v>
      </c>
      <c r="E695" s="48" t="str">
        <f>TEXT(Base_de_Dados[[#This Row],[Semana]],"Mmmm")</f>
        <v>maio</v>
      </c>
      <c r="F695">
        <f>YEAR(Base_de_Dados[[#This Row],[Semana]])</f>
        <v>2023</v>
      </c>
      <c r="G695" t="str">
        <f>IF(MONTH(Base_de_Dados[[#This Row],[Semana]])&lt;=6,"1ª Bimestre","2ª Bimestre")</f>
        <v>1ª Bimestre</v>
      </c>
    </row>
    <row r="696" spans="1:7" x14ac:dyDescent="0.25">
      <c r="A696" t="s">
        <v>193</v>
      </c>
      <c r="B696">
        <v>1</v>
      </c>
      <c r="C696" s="2">
        <v>0.2</v>
      </c>
      <c r="D696" s="48">
        <v>45068</v>
      </c>
      <c r="E696" s="48" t="str">
        <f>TEXT(Base_de_Dados[[#This Row],[Semana]],"Mmmm")</f>
        <v>maio</v>
      </c>
      <c r="F696">
        <f>YEAR(Base_de_Dados[[#This Row],[Semana]])</f>
        <v>2023</v>
      </c>
      <c r="G696" t="str">
        <f>IF(MONTH(Base_de_Dados[[#This Row],[Semana]])&lt;=6,"1ª Bimestre","2ª Bimestre")</f>
        <v>1ª Bimestre</v>
      </c>
    </row>
    <row r="697" spans="1:7" x14ac:dyDescent="0.25">
      <c r="A697" t="s">
        <v>148</v>
      </c>
      <c r="B697">
        <v>0</v>
      </c>
      <c r="C697" s="2">
        <v>0</v>
      </c>
      <c r="D697" s="48">
        <v>45068</v>
      </c>
      <c r="E697" s="48" t="str">
        <f>TEXT(Base_de_Dados[[#This Row],[Semana]],"Mmmm")</f>
        <v>maio</v>
      </c>
      <c r="F697">
        <f>YEAR(Base_de_Dados[[#This Row],[Semana]])</f>
        <v>2023</v>
      </c>
      <c r="G697" t="str">
        <f>IF(MONTH(Base_de_Dados[[#This Row],[Semana]])&lt;=6,"1ª Bimestre","2ª Bimestre")</f>
        <v>1ª Bimestre</v>
      </c>
    </row>
    <row r="698" spans="1:7" x14ac:dyDescent="0.25">
      <c r="A698" t="s">
        <v>112</v>
      </c>
      <c r="B698">
        <v>3</v>
      </c>
      <c r="C698" s="2">
        <v>0.75</v>
      </c>
      <c r="D698" s="48">
        <v>45082</v>
      </c>
      <c r="E698" s="48" t="str">
        <f>TEXT(Base_de_Dados[[#This Row],[Semana]],"Mmmm")</f>
        <v>junho</v>
      </c>
      <c r="F698">
        <f>YEAR(Base_de_Dados[[#This Row],[Semana]])</f>
        <v>2023</v>
      </c>
      <c r="G698" t="str">
        <f>IF(MONTH(Base_de_Dados[[#This Row],[Semana]])&lt;=6,"1ª Bimestre","2ª Bimestre")</f>
        <v>1ª Bimestre</v>
      </c>
    </row>
    <row r="699" spans="1:7" x14ac:dyDescent="0.25">
      <c r="A699" t="s">
        <v>4</v>
      </c>
      <c r="B699">
        <v>0</v>
      </c>
      <c r="C699" s="2">
        <v>0</v>
      </c>
      <c r="D699" s="48">
        <v>45082</v>
      </c>
      <c r="E699" s="48" t="str">
        <f>TEXT(Base_de_Dados[[#This Row],[Semana]],"Mmmm")</f>
        <v>junho</v>
      </c>
      <c r="F699">
        <f>YEAR(Base_de_Dados[[#This Row],[Semana]])</f>
        <v>2023</v>
      </c>
      <c r="G699" t="str">
        <f>IF(MONTH(Base_de_Dados[[#This Row],[Semana]])&lt;=6,"1ª Bimestre","2ª Bimestre")</f>
        <v>1ª Bimestre</v>
      </c>
    </row>
    <row r="700" spans="1:7" x14ac:dyDescent="0.25">
      <c r="A700" t="s">
        <v>5</v>
      </c>
      <c r="B700">
        <v>0</v>
      </c>
      <c r="C700" s="2">
        <v>0</v>
      </c>
      <c r="D700" s="48">
        <v>45082</v>
      </c>
      <c r="E700" s="48" t="str">
        <f>TEXT(Base_de_Dados[[#This Row],[Semana]],"Mmmm")</f>
        <v>junho</v>
      </c>
      <c r="F700">
        <f>YEAR(Base_de_Dados[[#This Row],[Semana]])</f>
        <v>2023</v>
      </c>
      <c r="G700" t="str">
        <f>IF(MONTH(Base_de_Dados[[#This Row],[Semana]])&lt;=6,"1ª Bimestre","2ª Bimestre")</f>
        <v>1ª Bimestre</v>
      </c>
    </row>
    <row r="701" spans="1:7" x14ac:dyDescent="0.25">
      <c r="A701" t="s">
        <v>6</v>
      </c>
      <c r="B701">
        <v>1</v>
      </c>
      <c r="C701" s="2">
        <v>0.25</v>
      </c>
      <c r="D701" s="48">
        <v>45082</v>
      </c>
      <c r="E701" s="48" t="str">
        <f>TEXT(Base_de_Dados[[#This Row],[Semana]],"Mmmm")</f>
        <v>junho</v>
      </c>
      <c r="F701">
        <f>YEAR(Base_de_Dados[[#This Row],[Semana]])</f>
        <v>2023</v>
      </c>
      <c r="G701" t="str">
        <f>IF(MONTH(Base_de_Dados[[#This Row],[Semana]])&lt;=6,"1ª Bimestre","2ª Bimestre")</f>
        <v>1ª Bimestre</v>
      </c>
    </row>
    <row r="702" spans="1:7" x14ac:dyDescent="0.25">
      <c r="A702" t="s">
        <v>7</v>
      </c>
      <c r="B702">
        <v>0</v>
      </c>
      <c r="C702" s="2">
        <v>0</v>
      </c>
      <c r="D702" s="48">
        <v>45082</v>
      </c>
      <c r="E702" s="48" t="str">
        <f>TEXT(Base_de_Dados[[#This Row],[Semana]],"Mmmm")</f>
        <v>junho</v>
      </c>
      <c r="F702">
        <f>YEAR(Base_de_Dados[[#This Row],[Semana]])</f>
        <v>2023</v>
      </c>
      <c r="G702" t="str">
        <f>IF(MONTH(Base_de_Dados[[#This Row],[Semana]])&lt;=6,"1ª Bimestre","2ª Bimestre")</f>
        <v>1ª Bimestre</v>
      </c>
    </row>
    <row r="703" spans="1:7" x14ac:dyDescent="0.25">
      <c r="A703" t="s">
        <v>8</v>
      </c>
      <c r="B703">
        <v>0</v>
      </c>
      <c r="C703" s="2">
        <v>0</v>
      </c>
      <c r="D703" s="48">
        <v>45082</v>
      </c>
      <c r="E703" s="48" t="str">
        <f>TEXT(Base_de_Dados[[#This Row],[Semana]],"Mmmm")</f>
        <v>junho</v>
      </c>
      <c r="F703">
        <f>YEAR(Base_de_Dados[[#This Row],[Semana]])</f>
        <v>2023</v>
      </c>
      <c r="G703" t="str">
        <f>IF(MONTH(Base_de_Dados[[#This Row],[Semana]])&lt;=6,"1ª Bimestre","2ª Bimestre")</f>
        <v>1ª Bimestre</v>
      </c>
    </row>
    <row r="704" spans="1:7" x14ac:dyDescent="0.25">
      <c r="A704" t="s">
        <v>9</v>
      </c>
      <c r="B704">
        <v>0</v>
      </c>
      <c r="C704" s="2">
        <v>0</v>
      </c>
      <c r="D704" s="48">
        <v>45082</v>
      </c>
      <c r="E704" s="48" t="str">
        <f>TEXT(Base_de_Dados[[#This Row],[Semana]],"Mmmm")</f>
        <v>junho</v>
      </c>
      <c r="F704">
        <f>YEAR(Base_de_Dados[[#This Row],[Semana]])</f>
        <v>2023</v>
      </c>
      <c r="G704" t="str">
        <f>IF(MONTH(Base_de_Dados[[#This Row],[Semana]])&lt;=6,"1ª Bimestre","2ª Bimestre")</f>
        <v>1ª Bimestre</v>
      </c>
    </row>
    <row r="705" spans="1:7" x14ac:dyDescent="0.25">
      <c r="A705" t="s">
        <v>114</v>
      </c>
      <c r="B705">
        <v>0</v>
      </c>
      <c r="C705" s="2">
        <v>0</v>
      </c>
      <c r="D705" s="48">
        <v>45082</v>
      </c>
      <c r="E705" s="48" t="str">
        <f>TEXT(Base_de_Dados[[#This Row],[Semana]],"Mmmm")</f>
        <v>junho</v>
      </c>
      <c r="F705">
        <f>YEAR(Base_de_Dados[[#This Row],[Semana]])</f>
        <v>2023</v>
      </c>
      <c r="G705" t="str">
        <f>IF(MONTH(Base_de_Dados[[#This Row],[Semana]])&lt;=6,"1ª Bimestre","2ª Bimestre")</f>
        <v>1ª Bimestre</v>
      </c>
    </row>
    <row r="706" spans="1:7" x14ac:dyDescent="0.25">
      <c r="A706" t="s">
        <v>11</v>
      </c>
      <c r="B706">
        <v>0</v>
      </c>
      <c r="C706" s="2">
        <v>0</v>
      </c>
      <c r="D706" s="48">
        <v>45082</v>
      </c>
      <c r="E706" s="48" t="str">
        <f>TEXT(Base_de_Dados[[#This Row],[Semana]],"Mmmm")</f>
        <v>junho</v>
      </c>
      <c r="F706">
        <f>YEAR(Base_de_Dados[[#This Row],[Semana]])</f>
        <v>2023</v>
      </c>
      <c r="G706" t="str">
        <f>IF(MONTH(Base_de_Dados[[#This Row],[Semana]])&lt;=6,"1ª Bimestre","2ª Bimestre")</f>
        <v>1ª Bimestre</v>
      </c>
    </row>
    <row r="707" spans="1:7" x14ac:dyDescent="0.25">
      <c r="A707" t="s">
        <v>144</v>
      </c>
      <c r="B707">
        <v>0</v>
      </c>
      <c r="C707" s="2">
        <v>0</v>
      </c>
      <c r="D707" s="48">
        <v>45082</v>
      </c>
      <c r="E707" s="48" t="str">
        <f>TEXT(Base_de_Dados[[#This Row],[Semana]],"Mmmm")</f>
        <v>junho</v>
      </c>
      <c r="F707">
        <f>YEAR(Base_de_Dados[[#This Row],[Semana]])</f>
        <v>2023</v>
      </c>
      <c r="G707" t="str">
        <f>IF(MONTH(Base_de_Dados[[#This Row],[Semana]])&lt;=6,"1ª Bimestre","2ª Bimestre")</f>
        <v>1ª Bimestre</v>
      </c>
    </row>
    <row r="708" spans="1:7" x14ac:dyDescent="0.25">
      <c r="A708" t="s">
        <v>169</v>
      </c>
      <c r="B708">
        <v>0</v>
      </c>
      <c r="C708" s="2">
        <v>0</v>
      </c>
      <c r="D708" s="48">
        <v>45082</v>
      </c>
      <c r="E708" s="48" t="str">
        <f>TEXT(Base_de_Dados[[#This Row],[Semana]],"Mmmm")</f>
        <v>junho</v>
      </c>
      <c r="F708">
        <f>YEAR(Base_de_Dados[[#This Row],[Semana]])</f>
        <v>2023</v>
      </c>
      <c r="G708" t="str">
        <f>IF(MONTH(Base_de_Dados[[#This Row],[Semana]])&lt;=6,"1ª Bimestre","2ª Bimestre")</f>
        <v>1ª Bimestre</v>
      </c>
    </row>
    <row r="709" spans="1:7" x14ac:dyDescent="0.25">
      <c r="A709" t="s">
        <v>190</v>
      </c>
      <c r="B709">
        <v>0</v>
      </c>
      <c r="C709" s="2">
        <v>0</v>
      </c>
      <c r="D709" s="48">
        <v>45082</v>
      </c>
      <c r="E709" s="48" t="str">
        <f>TEXT(Base_de_Dados[[#This Row],[Semana]],"Mmmm")</f>
        <v>junho</v>
      </c>
      <c r="F709">
        <f>YEAR(Base_de_Dados[[#This Row],[Semana]])</f>
        <v>2023</v>
      </c>
      <c r="G709" t="str">
        <f>IF(MONTH(Base_de_Dados[[#This Row],[Semana]])&lt;=6,"1ª Bimestre","2ª Bimestre")</f>
        <v>1ª Bimestre</v>
      </c>
    </row>
    <row r="710" spans="1:7" x14ac:dyDescent="0.25">
      <c r="A710" t="s">
        <v>192</v>
      </c>
      <c r="B710">
        <v>0</v>
      </c>
      <c r="C710" s="2">
        <v>0</v>
      </c>
      <c r="D710" s="48">
        <v>45082</v>
      </c>
      <c r="E710" s="48" t="str">
        <f>TEXT(Base_de_Dados[[#This Row],[Semana]],"Mmmm")</f>
        <v>junho</v>
      </c>
      <c r="F710">
        <f>YEAR(Base_de_Dados[[#This Row],[Semana]])</f>
        <v>2023</v>
      </c>
      <c r="G710" t="str">
        <f>IF(MONTH(Base_de_Dados[[#This Row],[Semana]])&lt;=6,"1ª Bimestre","2ª Bimestre")</f>
        <v>1ª Bimestre</v>
      </c>
    </row>
    <row r="711" spans="1:7" x14ac:dyDescent="0.25">
      <c r="A711" t="s">
        <v>193</v>
      </c>
      <c r="B711">
        <v>0</v>
      </c>
      <c r="C711" s="2">
        <v>0</v>
      </c>
      <c r="D711" s="48">
        <v>45082</v>
      </c>
      <c r="E711" s="48" t="str">
        <f>TEXT(Base_de_Dados[[#This Row],[Semana]],"Mmmm")</f>
        <v>junho</v>
      </c>
      <c r="F711">
        <f>YEAR(Base_de_Dados[[#This Row],[Semana]])</f>
        <v>2023</v>
      </c>
      <c r="G711" t="str">
        <f>IF(MONTH(Base_de_Dados[[#This Row],[Semana]])&lt;=6,"1ª Bimestre","2ª Bimestre")</f>
        <v>1ª Bimestre</v>
      </c>
    </row>
    <row r="712" spans="1:7" x14ac:dyDescent="0.25">
      <c r="A712" t="s">
        <v>148</v>
      </c>
      <c r="B712">
        <v>0</v>
      </c>
      <c r="C712" s="2">
        <v>0</v>
      </c>
      <c r="D712" s="48">
        <v>45082</v>
      </c>
      <c r="E712" s="48" t="str">
        <f>TEXT(Base_de_Dados[[#This Row],[Semana]],"Mmmm")</f>
        <v>junho</v>
      </c>
      <c r="F712">
        <f>YEAR(Base_de_Dados[[#This Row],[Semana]])</f>
        <v>2023</v>
      </c>
      <c r="G712" t="str">
        <f>IF(MONTH(Base_de_Dados[[#This Row],[Semana]])&lt;=6,"1ª Bimestre","2ª Bimestre")</f>
        <v>1ª Bimestre</v>
      </c>
    </row>
    <row r="713" spans="1:7" x14ac:dyDescent="0.25">
      <c r="A713" t="s">
        <v>112</v>
      </c>
      <c r="B713">
        <v>0</v>
      </c>
      <c r="C713" s="2">
        <v>0</v>
      </c>
      <c r="D713" s="48">
        <v>45089</v>
      </c>
      <c r="E713" s="48" t="str">
        <f>TEXT(Base_de_Dados[[#This Row],[Semana]],"Mmmm")</f>
        <v>junho</v>
      </c>
      <c r="F713">
        <f>YEAR(Base_de_Dados[[#This Row],[Semana]])</f>
        <v>2023</v>
      </c>
      <c r="G713" t="str">
        <f>IF(MONTH(Base_de_Dados[[#This Row],[Semana]])&lt;=6,"1ª Bimestre","2ª Bimestre")</f>
        <v>1ª Bimestre</v>
      </c>
    </row>
    <row r="714" spans="1:7" x14ac:dyDescent="0.25">
      <c r="A714" t="s">
        <v>4</v>
      </c>
      <c r="B714">
        <v>0</v>
      </c>
      <c r="C714" s="2">
        <v>0</v>
      </c>
      <c r="D714" s="48">
        <v>45089</v>
      </c>
      <c r="E714" s="48" t="str">
        <f>TEXT(Base_de_Dados[[#This Row],[Semana]],"Mmmm")</f>
        <v>junho</v>
      </c>
      <c r="F714">
        <f>YEAR(Base_de_Dados[[#This Row],[Semana]])</f>
        <v>2023</v>
      </c>
      <c r="G714" t="str">
        <f>IF(MONTH(Base_de_Dados[[#This Row],[Semana]])&lt;=6,"1ª Bimestre","2ª Bimestre")</f>
        <v>1ª Bimestre</v>
      </c>
    </row>
    <row r="715" spans="1:7" x14ac:dyDescent="0.25">
      <c r="A715" t="s">
        <v>5</v>
      </c>
      <c r="B715">
        <v>3</v>
      </c>
      <c r="C715" s="2">
        <v>0.25</v>
      </c>
      <c r="D715" s="48">
        <v>45089</v>
      </c>
      <c r="E715" s="48" t="str">
        <f>TEXT(Base_de_Dados[[#This Row],[Semana]],"Mmmm")</f>
        <v>junho</v>
      </c>
      <c r="F715">
        <f>YEAR(Base_de_Dados[[#This Row],[Semana]])</f>
        <v>2023</v>
      </c>
      <c r="G715" t="str">
        <f>IF(MONTH(Base_de_Dados[[#This Row],[Semana]])&lt;=6,"1ª Bimestre","2ª Bimestre")</f>
        <v>1ª Bimestre</v>
      </c>
    </row>
    <row r="716" spans="1:7" x14ac:dyDescent="0.25">
      <c r="A716" t="s">
        <v>6</v>
      </c>
      <c r="B716">
        <v>2</v>
      </c>
      <c r="C716" s="2">
        <v>0.16666666666666666</v>
      </c>
      <c r="D716" s="48">
        <v>45089</v>
      </c>
      <c r="E716" s="48" t="str">
        <f>TEXT(Base_de_Dados[[#This Row],[Semana]],"Mmmm")</f>
        <v>junho</v>
      </c>
      <c r="F716">
        <f>YEAR(Base_de_Dados[[#This Row],[Semana]])</f>
        <v>2023</v>
      </c>
      <c r="G716" t="str">
        <f>IF(MONTH(Base_de_Dados[[#This Row],[Semana]])&lt;=6,"1ª Bimestre","2ª Bimestre")</f>
        <v>1ª Bimestre</v>
      </c>
    </row>
    <row r="717" spans="1:7" x14ac:dyDescent="0.25">
      <c r="A717" t="s">
        <v>7</v>
      </c>
      <c r="B717">
        <v>1</v>
      </c>
      <c r="C717" s="2">
        <v>8.3333333333333329E-2</v>
      </c>
      <c r="D717" s="48">
        <v>45089</v>
      </c>
      <c r="E717" s="48" t="str">
        <f>TEXT(Base_de_Dados[[#This Row],[Semana]],"Mmmm")</f>
        <v>junho</v>
      </c>
      <c r="F717">
        <f>YEAR(Base_de_Dados[[#This Row],[Semana]])</f>
        <v>2023</v>
      </c>
      <c r="G717" t="str">
        <f>IF(MONTH(Base_de_Dados[[#This Row],[Semana]])&lt;=6,"1ª Bimestre","2ª Bimestre")</f>
        <v>1ª Bimestre</v>
      </c>
    </row>
    <row r="718" spans="1:7" x14ac:dyDescent="0.25">
      <c r="A718" t="s">
        <v>8</v>
      </c>
      <c r="B718">
        <v>0</v>
      </c>
      <c r="C718" s="2">
        <v>0</v>
      </c>
      <c r="D718" s="48">
        <v>45089</v>
      </c>
      <c r="E718" s="48" t="str">
        <f>TEXT(Base_de_Dados[[#This Row],[Semana]],"Mmmm")</f>
        <v>junho</v>
      </c>
      <c r="F718">
        <f>YEAR(Base_de_Dados[[#This Row],[Semana]])</f>
        <v>2023</v>
      </c>
      <c r="G718" t="str">
        <f>IF(MONTH(Base_de_Dados[[#This Row],[Semana]])&lt;=6,"1ª Bimestre","2ª Bimestre")</f>
        <v>1ª Bimestre</v>
      </c>
    </row>
    <row r="719" spans="1:7" x14ac:dyDescent="0.25">
      <c r="A719" t="s">
        <v>9</v>
      </c>
      <c r="B719">
        <v>1</v>
      </c>
      <c r="C719" s="2">
        <v>8.3333333333333329E-2</v>
      </c>
      <c r="D719" s="48">
        <v>45089</v>
      </c>
      <c r="E719" s="48" t="str">
        <f>TEXT(Base_de_Dados[[#This Row],[Semana]],"Mmmm")</f>
        <v>junho</v>
      </c>
      <c r="F719">
        <f>YEAR(Base_de_Dados[[#This Row],[Semana]])</f>
        <v>2023</v>
      </c>
      <c r="G719" t="str">
        <f>IF(MONTH(Base_de_Dados[[#This Row],[Semana]])&lt;=6,"1ª Bimestre","2ª Bimestre")</f>
        <v>1ª Bimestre</v>
      </c>
    </row>
    <row r="720" spans="1:7" x14ac:dyDescent="0.25">
      <c r="A720" t="s">
        <v>114</v>
      </c>
      <c r="B720">
        <v>0</v>
      </c>
      <c r="C720" s="2">
        <v>0</v>
      </c>
      <c r="D720" s="48">
        <v>45089</v>
      </c>
      <c r="E720" s="48" t="str">
        <f>TEXT(Base_de_Dados[[#This Row],[Semana]],"Mmmm")</f>
        <v>junho</v>
      </c>
      <c r="F720">
        <f>YEAR(Base_de_Dados[[#This Row],[Semana]])</f>
        <v>2023</v>
      </c>
      <c r="G720" t="str">
        <f>IF(MONTH(Base_de_Dados[[#This Row],[Semana]])&lt;=6,"1ª Bimestre","2ª Bimestre")</f>
        <v>1ª Bimestre</v>
      </c>
    </row>
    <row r="721" spans="1:7" x14ac:dyDescent="0.25">
      <c r="A721" t="s">
        <v>11</v>
      </c>
      <c r="B721">
        <v>0</v>
      </c>
      <c r="C721" s="2">
        <v>0</v>
      </c>
      <c r="D721" s="48">
        <v>45089</v>
      </c>
      <c r="E721" s="48" t="str">
        <f>TEXT(Base_de_Dados[[#This Row],[Semana]],"Mmmm")</f>
        <v>junho</v>
      </c>
      <c r="F721">
        <f>YEAR(Base_de_Dados[[#This Row],[Semana]])</f>
        <v>2023</v>
      </c>
      <c r="G721" t="str">
        <f>IF(MONTH(Base_de_Dados[[#This Row],[Semana]])&lt;=6,"1ª Bimestre","2ª Bimestre")</f>
        <v>1ª Bimestre</v>
      </c>
    </row>
    <row r="722" spans="1:7" x14ac:dyDescent="0.25">
      <c r="A722" t="s">
        <v>144</v>
      </c>
      <c r="B722">
        <v>0</v>
      </c>
      <c r="C722" s="2">
        <v>0</v>
      </c>
      <c r="D722" s="48">
        <v>45089</v>
      </c>
      <c r="E722" s="48" t="str">
        <f>TEXT(Base_de_Dados[[#This Row],[Semana]],"Mmmm")</f>
        <v>junho</v>
      </c>
      <c r="F722">
        <f>YEAR(Base_de_Dados[[#This Row],[Semana]])</f>
        <v>2023</v>
      </c>
      <c r="G722" t="str">
        <f>IF(MONTH(Base_de_Dados[[#This Row],[Semana]])&lt;=6,"1ª Bimestre","2ª Bimestre")</f>
        <v>1ª Bimestre</v>
      </c>
    </row>
    <row r="723" spans="1:7" x14ac:dyDescent="0.25">
      <c r="A723" t="s">
        <v>169</v>
      </c>
      <c r="B723">
        <v>0</v>
      </c>
      <c r="C723" s="2">
        <v>0</v>
      </c>
      <c r="D723" s="48">
        <v>45089</v>
      </c>
      <c r="E723" s="48" t="str">
        <f>TEXT(Base_de_Dados[[#This Row],[Semana]],"Mmmm")</f>
        <v>junho</v>
      </c>
      <c r="F723">
        <f>YEAR(Base_de_Dados[[#This Row],[Semana]])</f>
        <v>2023</v>
      </c>
      <c r="G723" t="str">
        <f>IF(MONTH(Base_de_Dados[[#This Row],[Semana]])&lt;=6,"1ª Bimestre","2ª Bimestre")</f>
        <v>1ª Bimestre</v>
      </c>
    </row>
    <row r="724" spans="1:7" x14ac:dyDescent="0.25">
      <c r="A724" t="s">
        <v>190</v>
      </c>
      <c r="B724">
        <v>0</v>
      </c>
      <c r="C724" s="2">
        <v>0</v>
      </c>
      <c r="D724" s="48">
        <v>45089</v>
      </c>
      <c r="E724" s="48" t="str">
        <f>TEXT(Base_de_Dados[[#This Row],[Semana]],"Mmmm")</f>
        <v>junho</v>
      </c>
      <c r="F724">
        <f>YEAR(Base_de_Dados[[#This Row],[Semana]])</f>
        <v>2023</v>
      </c>
      <c r="G724" t="str">
        <f>IF(MONTH(Base_de_Dados[[#This Row],[Semana]])&lt;=6,"1ª Bimestre","2ª Bimestre")</f>
        <v>1ª Bimestre</v>
      </c>
    </row>
    <row r="725" spans="1:7" x14ac:dyDescent="0.25">
      <c r="A725" t="s">
        <v>192</v>
      </c>
      <c r="B725">
        <v>5</v>
      </c>
      <c r="C725" s="2">
        <v>0.41666666666666669</v>
      </c>
      <c r="D725" s="48">
        <v>45089</v>
      </c>
      <c r="E725" s="48" t="str">
        <f>TEXT(Base_de_Dados[[#This Row],[Semana]],"Mmmm")</f>
        <v>junho</v>
      </c>
      <c r="F725">
        <f>YEAR(Base_de_Dados[[#This Row],[Semana]])</f>
        <v>2023</v>
      </c>
      <c r="G725" t="str">
        <f>IF(MONTH(Base_de_Dados[[#This Row],[Semana]])&lt;=6,"1ª Bimestre","2ª Bimestre")</f>
        <v>1ª Bimestre</v>
      </c>
    </row>
    <row r="726" spans="1:7" x14ac:dyDescent="0.25">
      <c r="A726" t="s">
        <v>193</v>
      </c>
      <c r="B726">
        <v>0</v>
      </c>
      <c r="C726" s="2">
        <v>0</v>
      </c>
      <c r="D726" s="48">
        <v>45089</v>
      </c>
      <c r="E726" s="48" t="str">
        <f>TEXT(Base_de_Dados[[#This Row],[Semana]],"Mmmm")</f>
        <v>junho</v>
      </c>
      <c r="F726">
        <f>YEAR(Base_de_Dados[[#This Row],[Semana]])</f>
        <v>2023</v>
      </c>
      <c r="G726" t="str">
        <f>IF(MONTH(Base_de_Dados[[#This Row],[Semana]])&lt;=6,"1ª Bimestre","2ª Bimestre")</f>
        <v>1ª Bimestre</v>
      </c>
    </row>
    <row r="727" spans="1:7" x14ac:dyDescent="0.25">
      <c r="A727" t="s">
        <v>148</v>
      </c>
      <c r="B727">
        <v>0</v>
      </c>
      <c r="C727" s="2">
        <v>0</v>
      </c>
      <c r="D727" s="48">
        <v>45089</v>
      </c>
      <c r="E727" s="48" t="str">
        <f>TEXT(Base_de_Dados[[#This Row],[Semana]],"Mmmm")</f>
        <v>junho</v>
      </c>
      <c r="F727">
        <f>YEAR(Base_de_Dados[[#This Row],[Semana]])</f>
        <v>2023</v>
      </c>
      <c r="G727" t="str">
        <f>IF(MONTH(Base_de_Dados[[#This Row],[Semana]])&lt;=6,"1ª Bimestre","2ª Bimestre")</f>
        <v>1ª Bimestre</v>
      </c>
    </row>
    <row r="728" spans="1:7" x14ac:dyDescent="0.25">
      <c r="A728" t="s">
        <v>112</v>
      </c>
      <c r="B728">
        <v>4</v>
      </c>
      <c r="C728" s="2">
        <v>0.5</v>
      </c>
      <c r="D728" s="48">
        <v>45096</v>
      </c>
      <c r="E728" s="48" t="str">
        <f>TEXT(Base_de_Dados[[#This Row],[Semana]],"Mmmm")</f>
        <v>junho</v>
      </c>
      <c r="F728">
        <f>YEAR(Base_de_Dados[[#This Row],[Semana]])</f>
        <v>2023</v>
      </c>
      <c r="G728" t="str">
        <f>IF(MONTH(Base_de_Dados[[#This Row],[Semana]])&lt;=6,"1ª Bimestre","2ª Bimestre")</f>
        <v>1ª Bimestre</v>
      </c>
    </row>
    <row r="729" spans="1:7" x14ac:dyDescent="0.25">
      <c r="A729" t="s">
        <v>4</v>
      </c>
      <c r="B729">
        <v>0</v>
      </c>
      <c r="C729" s="2">
        <v>0</v>
      </c>
      <c r="D729" s="48">
        <v>45096</v>
      </c>
      <c r="E729" s="48" t="str">
        <f>TEXT(Base_de_Dados[[#This Row],[Semana]],"Mmmm")</f>
        <v>junho</v>
      </c>
      <c r="F729">
        <f>YEAR(Base_de_Dados[[#This Row],[Semana]])</f>
        <v>2023</v>
      </c>
      <c r="G729" t="str">
        <f>IF(MONTH(Base_de_Dados[[#This Row],[Semana]])&lt;=6,"1ª Bimestre","2ª Bimestre")</f>
        <v>1ª Bimestre</v>
      </c>
    </row>
    <row r="730" spans="1:7" x14ac:dyDescent="0.25">
      <c r="A730" t="s">
        <v>5</v>
      </c>
      <c r="B730">
        <v>0</v>
      </c>
      <c r="C730" s="2">
        <v>0</v>
      </c>
      <c r="D730" s="48">
        <v>45096</v>
      </c>
      <c r="E730" s="48" t="str">
        <f>TEXT(Base_de_Dados[[#This Row],[Semana]],"Mmmm")</f>
        <v>junho</v>
      </c>
      <c r="F730">
        <f>YEAR(Base_de_Dados[[#This Row],[Semana]])</f>
        <v>2023</v>
      </c>
      <c r="G730" t="str">
        <f>IF(MONTH(Base_de_Dados[[#This Row],[Semana]])&lt;=6,"1ª Bimestre","2ª Bimestre")</f>
        <v>1ª Bimestre</v>
      </c>
    </row>
    <row r="731" spans="1:7" x14ac:dyDescent="0.25">
      <c r="A731" t="s">
        <v>6</v>
      </c>
      <c r="B731">
        <v>0</v>
      </c>
      <c r="C731" s="2">
        <v>0</v>
      </c>
      <c r="D731" s="48">
        <v>45096</v>
      </c>
      <c r="E731" s="48" t="str">
        <f>TEXT(Base_de_Dados[[#This Row],[Semana]],"Mmmm")</f>
        <v>junho</v>
      </c>
      <c r="F731">
        <f>YEAR(Base_de_Dados[[#This Row],[Semana]])</f>
        <v>2023</v>
      </c>
      <c r="G731" t="str">
        <f>IF(MONTH(Base_de_Dados[[#This Row],[Semana]])&lt;=6,"1ª Bimestre","2ª Bimestre")</f>
        <v>1ª Bimestre</v>
      </c>
    </row>
    <row r="732" spans="1:7" x14ac:dyDescent="0.25">
      <c r="A732" t="s">
        <v>7</v>
      </c>
      <c r="B732">
        <v>0</v>
      </c>
      <c r="C732" s="2">
        <v>0</v>
      </c>
      <c r="D732" s="48">
        <v>45096</v>
      </c>
      <c r="E732" s="48" t="str">
        <f>TEXT(Base_de_Dados[[#This Row],[Semana]],"Mmmm")</f>
        <v>junho</v>
      </c>
      <c r="F732">
        <f>YEAR(Base_de_Dados[[#This Row],[Semana]])</f>
        <v>2023</v>
      </c>
      <c r="G732" t="str">
        <f>IF(MONTH(Base_de_Dados[[#This Row],[Semana]])&lt;=6,"1ª Bimestre","2ª Bimestre")</f>
        <v>1ª Bimestre</v>
      </c>
    </row>
    <row r="733" spans="1:7" x14ac:dyDescent="0.25">
      <c r="A733" t="s">
        <v>8</v>
      </c>
      <c r="B733">
        <v>1</v>
      </c>
      <c r="C733" s="2">
        <v>0.125</v>
      </c>
      <c r="D733" s="48">
        <v>45096</v>
      </c>
      <c r="E733" s="48" t="str">
        <f>TEXT(Base_de_Dados[[#This Row],[Semana]],"Mmmm")</f>
        <v>junho</v>
      </c>
      <c r="F733">
        <f>YEAR(Base_de_Dados[[#This Row],[Semana]])</f>
        <v>2023</v>
      </c>
      <c r="G733" t="str">
        <f>IF(MONTH(Base_de_Dados[[#This Row],[Semana]])&lt;=6,"1ª Bimestre","2ª Bimestre")</f>
        <v>1ª Bimestre</v>
      </c>
    </row>
    <row r="734" spans="1:7" x14ac:dyDescent="0.25">
      <c r="A734" t="s">
        <v>9</v>
      </c>
      <c r="B734">
        <v>1</v>
      </c>
      <c r="C734" s="2">
        <v>0.125</v>
      </c>
      <c r="D734" s="48">
        <v>45096</v>
      </c>
      <c r="E734" s="48" t="str">
        <f>TEXT(Base_de_Dados[[#This Row],[Semana]],"Mmmm")</f>
        <v>junho</v>
      </c>
      <c r="F734">
        <f>YEAR(Base_de_Dados[[#This Row],[Semana]])</f>
        <v>2023</v>
      </c>
      <c r="G734" t="str">
        <f>IF(MONTH(Base_de_Dados[[#This Row],[Semana]])&lt;=6,"1ª Bimestre","2ª Bimestre")</f>
        <v>1ª Bimestre</v>
      </c>
    </row>
    <row r="735" spans="1:7" x14ac:dyDescent="0.25">
      <c r="A735" t="s">
        <v>114</v>
      </c>
      <c r="B735">
        <v>0</v>
      </c>
      <c r="C735" s="2">
        <v>0</v>
      </c>
      <c r="D735" s="48">
        <v>45096</v>
      </c>
      <c r="E735" s="48" t="str">
        <f>TEXT(Base_de_Dados[[#This Row],[Semana]],"Mmmm")</f>
        <v>junho</v>
      </c>
      <c r="F735">
        <f>YEAR(Base_de_Dados[[#This Row],[Semana]])</f>
        <v>2023</v>
      </c>
      <c r="G735" t="str">
        <f>IF(MONTH(Base_de_Dados[[#This Row],[Semana]])&lt;=6,"1ª Bimestre","2ª Bimestre")</f>
        <v>1ª Bimestre</v>
      </c>
    </row>
    <row r="736" spans="1:7" x14ac:dyDescent="0.25">
      <c r="A736" t="s">
        <v>11</v>
      </c>
      <c r="B736">
        <v>0</v>
      </c>
      <c r="C736" s="2">
        <v>0</v>
      </c>
      <c r="D736" s="48">
        <v>45096</v>
      </c>
      <c r="E736" s="48" t="str">
        <f>TEXT(Base_de_Dados[[#This Row],[Semana]],"Mmmm")</f>
        <v>junho</v>
      </c>
      <c r="F736">
        <f>YEAR(Base_de_Dados[[#This Row],[Semana]])</f>
        <v>2023</v>
      </c>
      <c r="G736" t="str">
        <f>IF(MONTH(Base_de_Dados[[#This Row],[Semana]])&lt;=6,"1ª Bimestre","2ª Bimestre")</f>
        <v>1ª Bimestre</v>
      </c>
    </row>
    <row r="737" spans="1:7" x14ac:dyDescent="0.25">
      <c r="A737" t="s">
        <v>144</v>
      </c>
      <c r="B737">
        <v>1</v>
      </c>
      <c r="C737" s="2">
        <v>0.125</v>
      </c>
      <c r="D737" s="48">
        <v>45096</v>
      </c>
      <c r="E737" s="48" t="str">
        <f>TEXT(Base_de_Dados[[#This Row],[Semana]],"Mmmm")</f>
        <v>junho</v>
      </c>
      <c r="F737">
        <f>YEAR(Base_de_Dados[[#This Row],[Semana]])</f>
        <v>2023</v>
      </c>
      <c r="G737" t="str">
        <f>IF(MONTH(Base_de_Dados[[#This Row],[Semana]])&lt;=6,"1ª Bimestre","2ª Bimestre")</f>
        <v>1ª Bimestre</v>
      </c>
    </row>
    <row r="738" spans="1:7" x14ac:dyDescent="0.25">
      <c r="A738" t="s">
        <v>169</v>
      </c>
      <c r="B738">
        <v>0</v>
      </c>
      <c r="C738" s="2">
        <v>0</v>
      </c>
      <c r="D738" s="48">
        <v>45096</v>
      </c>
      <c r="E738" s="48" t="str">
        <f>TEXT(Base_de_Dados[[#This Row],[Semana]],"Mmmm")</f>
        <v>junho</v>
      </c>
      <c r="F738">
        <f>YEAR(Base_de_Dados[[#This Row],[Semana]])</f>
        <v>2023</v>
      </c>
      <c r="G738" t="str">
        <f>IF(MONTH(Base_de_Dados[[#This Row],[Semana]])&lt;=6,"1ª Bimestre","2ª Bimestre")</f>
        <v>1ª Bimestre</v>
      </c>
    </row>
    <row r="739" spans="1:7" x14ac:dyDescent="0.25">
      <c r="A739" t="s">
        <v>190</v>
      </c>
      <c r="B739">
        <v>1</v>
      </c>
      <c r="C739" s="2">
        <v>0.125</v>
      </c>
      <c r="D739" s="48">
        <v>45096</v>
      </c>
      <c r="E739" s="48" t="str">
        <f>TEXT(Base_de_Dados[[#This Row],[Semana]],"Mmmm")</f>
        <v>junho</v>
      </c>
      <c r="F739">
        <f>YEAR(Base_de_Dados[[#This Row],[Semana]])</f>
        <v>2023</v>
      </c>
      <c r="G739" t="str">
        <f>IF(MONTH(Base_de_Dados[[#This Row],[Semana]])&lt;=6,"1ª Bimestre","2ª Bimestre")</f>
        <v>1ª Bimestre</v>
      </c>
    </row>
    <row r="740" spans="1:7" x14ac:dyDescent="0.25">
      <c r="A740" t="s">
        <v>192</v>
      </c>
      <c r="B740">
        <v>0</v>
      </c>
      <c r="C740" s="2">
        <v>0</v>
      </c>
      <c r="D740" s="48">
        <v>45096</v>
      </c>
      <c r="E740" s="48" t="str">
        <f>TEXT(Base_de_Dados[[#This Row],[Semana]],"Mmmm")</f>
        <v>junho</v>
      </c>
      <c r="F740">
        <f>YEAR(Base_de_Dados[[#This Row],[Semana]])</f>
        <v>2023</v>
      </c>
      <c r="G740" t="str">
        <f>IF(MONTH(Base_de_Dados[[#This Row],[Semana]])&lt;=6,"1ª Bimestre","2ª Bimestre")</f>
        <v>1ª Bimestre</v>
      </c>
    </row>
    <row r="741" spans="1:7" x14ac:dyDescent="0.25">
      <c r="A741" t="s">
        <v>193</v>
      </c>
      <c r="B741">
        <v>0</v>
      </c>
      <c r="C741" s="2">
        <v>0</v>
      </c>
      <c r="D741" s="48">
        <v>45096</v>
      </c>
      <c r="E741" s="48" t="str">
        <f>TEXT(Base_de_Dados[[#This Row],[Semana]],"Mmmm")</f>
        <v>junho</v>
      </c>
      <c r="F741">
        <f>YEAR(Base_de_Dados[[#This Row],[Semana]])</f>
        <v>2023</v>
      </c>
      <c r="G741" t="str">
        <f>IF(MONTH(Base_de_Dados[[#This Row],[Semana]])&lt;=6,"1ª Bimestre","2ª Bimestre")</f>
        <v>1ª Bimestre</v>
      </c>
    </row>
    <row r="742" spans="1:7" x14ac:dyDescent="0.25">
      <c r="A742" t="s">
        <v>148</v>
      </c>
      <c r="B742">
        <v>0</v>
      </c>
      <c r="C742" s="2">
        <v>0</v>
      </c>
      <c r="D742" s="48">
        <v>45096</v>
      </c>
      <c r="E742" s="48" t="str">
        <f>TEXT(Base_de_Dados[[#This Row],[Semana]],"Mmmm")</f>
        <v>junho</v>
      </c>
      <c r="F742">
        <f>YEAR(Base_de_Dados[[#This Row],[Semana]])</f>
        <v>2023</v>
      </c>
      <c r="G742" t="str">
        <f>IF(MONTH(Base_de_Dados[[#This Row],[Semana]])&lt;=6,"1ª Bimestre","2ª Bimestre")</f>
        <v>1ª Bimestre</v>
      </c>
    </row>
    <row r="743" spans="1:7" x14ac:dyDescent="0.25">
      <c r="A743" t="s">
        <v>112</v>
      </c>
      <c r="B743">
        <v>0</v>
      </c>
      <c r="C743" s="2">
        <v>0</v>
      </c>
      <c r="D743" s="48">
        <v>45103</v>
      </c>
      <c r="E743" s="48" t="str">
        <f>TEXT(Base_de_Dados[[#This Row],[Semana]],"Mmmm")</f>
        <v>junho</v>
      </c>
      <c r="F743">
        <f>YEAR(Base_de_Dados[[#This Row],[Semana]])</f>
        <v>2023</v>
      </c>
      <c r="G743" t="str">
        <f>IF(MONTH(Base_de_Dados[[#This Row],[Semana]])&lt;=6,"1ª Bimestre","2ª Bimestre")</f>
        <v>1ª Bimestre</v>
      </c>
    </row>
    <row r="744" spans="1:7" x14ac:dyDescent="0.25">
      <c r="A744" t="s">
        <v>4</v>
      </c>
      <c r="B744">
        <v>0</v>
      </c>
      <c r="C744" s="2">
        <v>0</v>
      </c>
      <c r="D744" s="48">
        <v>45103</v>
      </c>
      <c r="E744" s="48" t="str">
        <f>TEXT(Base_de_Dados[[#This Row],[Semana]],"Mmmm")</f>
        <v>junho</v>
      </c>
      <c r="F744">
        <f>YEAR(Base_de_Dados[[#This Row],[Semana]])</f>
        <v>2023</v>
      </c>
      <c r="G744" t="str">
        <f>IF(MONTH(Base_de_Dados[[#This Row],[Semana]])&lt;=6,"1ª Bimestre","2ª Bimestre")</f>
        <v>1ª Bimestre</v>
      </c>
    </row>
    <row r="745" spans="1:7" x14ac:dyDescent="0.25">
      <c r="A745" t="s">
        <v>5</v>
      </c>
      <c r="B745">
        <v>0</v>
      </c>
      <c r="C745" s="2">
        <v>0</v>
      </c>
      <c r="D745" s="48">
        <v>45103</v>
      </c>
      <c r="E745" s="48" t="str">
        <f>TEXT(Base_de_Dados[[#This Row],[Semana]],"Mmmm")</f>
        <v>junho</v>
      </c>
      <c r="F745">
        <f>YEAR(Base_de_Dados[[#This Row],[Semana]])</f>
        <v>2023</v>
      </c>
      <c r="G745" t="str">
        <f>IF(MONTH(Base_de_Dados[[#This Row],[Semana]])&lt;=6,"1ª Bimestre","2ª Bimestre")</f>
        <v>1ª Bimestre</v>
      </c>
    </row>
    <row r="746" spans="1:7" x14ac:dyDescent="0.25">
      <c r="A746" t="s">
        <v>6</v>
      </c>
      <c r="B746">
        <v>0</v>
      </c>
      <c r="C746" s="2">
        <v>0</v>
      </c>
      <c r="D746" s="48">
        <v>45103</v>
      </c>
      <c r="E746" s="48" t="str">
        <f>TEXT(Base_de_Dados[[#This Row],[Semana]],"Mmmm")</f>
        <v>junho</v>
      </c>
      <c r="F746">
        <f>YEAR(Base_de_Dados[[#This Row],[Semana]])</f>
        <v>2023</v>
      </c>
      <c r="G746" t="str">
        <f>IF(MONTH(Base_de_Dados[[#This Row],[Semana]])&lt;=6,"1ª Bimestre","2ª Bimestre")</f>
        <v>1ª Bimestre</v>
      </c>
    </row>
    <row r="747" spans="1:7" x14ac:dyDescent="0.25">
      <c r="A747" t="s">
        <v>7</v>
      </c>
      <c r="B747">
        <v>0</v>
      </c>
      <c r="C747" s="2">
        <v>0</v>
      </c>
      <c r="D747" s="48">
        <v>45103</v>
      </c>
      <c r="E747" s="48" t="str">
        <f>TEXT(Base_de_Dados[[#This Row],[Semana]],"Mmmm")</f>
        <v>junho</v>
      </c>
      <c r="F747">
        <f>YEAR(Base_de_Dados[[#This Row],[Semana]])</f>
        <v>2023</v>
      </c>
      <c r="G747" t="str">
        <f>IF(MONTH(Base_de_Dados[[#This Row],[Semana]])&lt;=6,"1ª Bimestre","2ª Bimestre")</f>
        <v>1ª Bimestre</v>
      </c>
    </row>
    <row r="748" spans="1:7" x14ac:dyDescent="0.25">
      <c r="A748" t="s">
        <v>8</v>
      </c>
      <c r="B748">
        <v>0</v>
      </c>
      <c r="C748" s="2">
        <v>0</v>
      </c>
      <c r="D748" s="48">
        <v>45103</v>
      </c>
      <c r="E748" s="48" t="str">
        <f>TEXT(Base_de_Dados[[#This Row],[Semana]],"Mmmm")</f>
        <v>junho</v>
      </c>
      <c r="F748">
        <f>YEAR(Base_de_Dados[[#This Row],[Semana]])</f>
        <v>2023</v>
      </c>
      <c r="G748" t="str">
        <f>IF(MONTH(Base_de_Dados[[#This Row],[Semana]])&lt;=6,"1ª Bimestre","2ª Bimestre")</f>
        <v>1ª Bimestre</v>
      </c>
    </row>
    <row r="749" spans="1:7" x14ac:dyDescent="0.25">
      <c r="A749" t="s">
        <v>9</v>
      </c>
      <c r="B749">
        <v>1</v>
      </c>
      <c r="C749" s="2">
        <v>0.33333333333333331</v>
      </c>
      <c r="D749" s="48">
        <v>45103</v>
      </c>
      <c r="E749" s="48" t="str">
        <f>TEXT(Base_de_Dados[[#This Row],[Semana]],"Mmmm")</f>
        <v>junho</v>
      </c>
      <c r="F749">
        <f>YEAR(Base_de_Dados[[#This Row],[Semana]])</f>
        <v>2023</v>
      </c>
      <c r="G749" t="str">
        <f>IF(MONTH(Base_de_Dados[[#This Row],[Semana]])&lt;=6,"1ª Bimestre","2ª Bimestre")</f>
        <v>1ª Bimestre</v>
      </c>
    </row>
    <row r="750" spans="1:7" x14ac:dyDescent="0.25">
      <c r="A750" t="s">
        <v>114</v>
      </c>
      <c r="B750">
        <v>0</v>
      </c>
      <c r="C750" s="2">
        <v>0</v>
      </c>
      <c r="D750" s="48">
        <v>45103</v>
      </c>
      <c r="E750" s="48" t="str">
        <f>TEXT(Base_de_Dados[[#This Row],[Semana]],"Mmmm")</f>
        <v>junho</v>
      </c>
      <c r="F750">
        <f>YEAR(Base_de_Dados[[#This Row],[Semana]])</f>
        <v>2023</v>
      </c>
      <c r="G750" t="str">
        <f>IF(MONTH(Base_de_Dados[[#This Row],[Semana]])&lt;=6,"1ª Bimestre","2ª Bimestre")</f>
        <v>1ª Bimestre</v>
      </c>
    </row>
    <row r="751" spans="1:7" x14ac:dyDescent="0.25">
      <c r="A751" t="s">
        <v>11</v>
      </c>
      <c r="B751">
        <v>0</v>
      </c>
      <c r="C751" s="2">
        <v>0</v>
      </c>
      <c r="D751" s="48">
        <v>45103</v>
      </c>
      <c r="E751" s="48" t="str">
        <f>TEXT(Base_de_Dados[[#This Row],[Semana]],"Mmmm")</f>
        <v>junho</v>
      </c>
      <c r="F751">
        <f>YEAR(Base_de_Dados[[#This Row],[Semana]])</f>
        <v>2023</v>
      </c>
      <c r="G751" t="str">
        <f>IF(MONTH(Base_de_Dados[[#This Row],[Semana]])&lt;=6,"1ª Bimestre","2ª Bimestre")</f>
        <v>1ª Bimestre</v>
      </c>
    </row>
    <row r="752" spans="1:7" x14ac:dyDescent="0.25">
      <c r="A752" t="s">
        <v>144</v>
      </c>
      <c r="B752">
        <v>0</v>
      </c>
      <c r="C752" s="2">
        <v>0</v>
      </c>
      <c r="D752" s="48">
        <v>45103</v>
      </c>
      <c r="E752" s="48" t="str">
        <f>TEXT(Base_de_Dados[[#This Row],[Semana]],"Mmmm")</f>
        <v>junho</v>
      </c>
      <c r="F752">
        <f>YEAR(Base_de_Dados[[#This Row],[Semana]])</f>
        <v>2023</v>
      </c>
      <c r="G752" t="str">
        <f>IF(MONTH(Base_de_Dados[[#This Row],[Semana]])&lt;=6,"1ª Bimestre","2ª Bimestre")</f>
        <v>1ª Bimestre</v>
      </c>
    </row>
    <row r="753" spans="1:7" x14ac:dyDescent="0.25">
      <c r="A753" t="s">
        <v>169</v>
      </c>
      <c r="B753">
        <v>0</v>
      </c>
      <c r="C753" s="2">
        <v>0</v>
      </c>
      <c r="D753" s="48">
        <v>45103</v>
      </c>
      <c r="E753" s="48" t="str">
        <f>TEXT(Base_de_Dados[[#This Row],[Semana]],"Mmmm")</f>
        <v>junho</v>
      </c>
      <c r="F753">
        <f>YEAR(Base_de_Dados[[#This Row],[Semana]])</f>
        <v>2023</v>
      </c>
      <c r="G753" t="str">
        <f>IF(MONTH(Base_de_Dados[[#This Row],[Semana]])&lt;=6,"1ª Bimestre","2ª Bimestre")</f>
        <v>1ª Bimestre</v>
      </c>
    </row>
    <row r="754" spans="1:7" x14ac:dyDescent="0.25">
      <c r="A754" t="s">
        <v>190</v>
      </c>
      <c r="B754">
        <v>1</v>
      </c>
      <c r="C754" s="2">
        <v>0.33333333333333331</v>
      </c>
      <c r="D754" s="48">
        <v>45103</v>
      </c>
      <c r="E754" s="48" t="str">
        <f>TEXT(Base_de_Dados[[#This Row],[Semana]],"Mmmm")</f>
        <v>junho</v>
      </c>
      <c r="F754">
        <f>YEAR(Base_de_Dados[[#This Row],[Semana]])</f>
        <v>2023</v>
      </c>
      <c r="G754" t="str">
        <f>IF(MONTH(Base_de_Dados[[#This Row],[Semana]])&lt;=6,"1ª Bimestre","2ª Bimestre")</f>
        <v>1ª Bimestre</v>
      </c>
    </row>
    <row r="755" spans="1:7" x14ac:dyDescent="0.25">
      <c r="A755" t="s">
        <v>192</v>
      </c>
      <c r="B755">
        <v>0</v>
      </c>
      <c r="C755" s="2">
        <v>0</v>
      </c>
      <c r="D755" s="48">
        <v>45103</v>
      </c>
      <c r="E755" s="48" t="str">
        <f>TEXT(Base_de_Dados[[#This Row],[Semana]],"Mmmm")</f>
        <v>junho</v>
      </c>
      <c r="F755">
        <f>YEAR(Base_de_Dados[[#This Row],[Semana]])</f>
        <v>2023</v>
      </c>
      <c r="G755" t="str">
        <f>IF(MONTH(Base_de_Dados[[#This Row],[Semana]])&lt;=6,"1ª Bimestre","2ª Bimestre")</f>
        <v>1ª Bimestre</v>
      </c>
    </row>
    <row r="756" spans="1:7" x14ac:dyDescent="0.25">
      <c r="A756" t="s">
        <v>193</v>
      </c>
      <c r="B756">
        <v>1</v>
      </c>
      <c r="C756" s="2">
        <v>0.33333333333333331</v>
      </c>
      <c r="D756" s="48">
        <v>45103</v>
      </c>
      <c r="E756" s="48" t="str">
        <f>TEXT(Base_de_Dados[[#This Row],[Semana]],"Mmmm")</f>
        <v>junho</v>
      </c>
      <c r="F756">
        <f>YEAR(Base_de_Dados[[#This Row],[Semana]])</f>
        <v>2023</v>
      </c>
      <c r="G756" t="str">
        <f>IF(MONTH(Base_de_Dados[[#This Row],[Semana]])&lt;=6,"1ª Bimestre","2ª Bimestre")</f>
        <v>1ª Bimestre</v>
      </c>
    </row>
    <row r="757" spans="1:7" x14ac:dyDescent="0.25">
      <c r="A757" t="s">
        <v>148</v>
      </c>
      <c r="B757">
        <v>0</v>
      </c>
      <c r="C757" s="2">
        <v>0</v>
      </c>
      <c r="D757" s="48">
        <v>45103</v>
      </c>
      <c r="E757" s="48" t="str">
        <f>TEXT(Base_de_Dados[[#This Row],[Semana]],"Mmmm")</f>
        <v>junho</v>
      </c>
      <c r="F757">
        <f>YEAR(Base_de_Dados[[#This Row],[Semana]])</f>
        <v>2023</v>
      </c>
      <c r="G757" t="str">
        <f>IF(MONTH(Base_de_Dados[[#This Row],[Semana]])&lt;=6,"1ª Bimestre","2ª Bimestre")</f>
        <v>1ª Bimestre</v>
      </c>
    </row>
    <row r="758" spans="1:7" x14ac:dyDescent="0.25">
      <c r="A758" t="s">
        <v>112</v>
      </c>
      <c r="B758">
        <v>0</v>
      </c>
      <c r="C758" s="2">
        <v>0</v>
      </c>
      <c r="D758" s="48">
        <v>45110</v>
      </c>
      <c r="E758" s="48" t="str">
        <f>TEXT(Base_de_Dados[[#This Row],[Semana]],"Mmmm")</f>
        <v>julho</v>
      </c>
      <c r="F758">
        <f>YEAR(Base_de_Dados[[#This Row],[Semana]])</f>
        <v>2023</v>
      </c>
      <c r="G758" t="str">
        <f>IF(MONTH(Base_de_Dados[[#This Row],[Semana]])&lt;=6,"1ª Bimestre","2ª Bimestre")</f>
        <v>2ª Bimestre</v>
      </c>
    </row>
    <row r="759" spans="1:7" x14ac:dyDescent="0.25">
      <c r="A759" t="s">
        <v>4</v>
      </c>
      <c r="B759">
        <v>0</v>
      </c>
      <c r="C759" s="2">
        <v>0</v>
      </c>
      <c r="D759" s="48">
        <v>45110</v>
      </c>
      <c r="E759" s="48" t="str">
        <f>TEXT(Base_de_Dados[[#This Row],[Semana]],"Mmmm")</f>
        <v>julho</v>
      </c>
      <c r="F759">
        <f>YEAR(Base_de_Dados[[#This Row],[Semana]])</f>
        <v>2023</v>
      </c>
      <c r="G759" t="str">
        <f>IF(MONTH(Base_de_Dados[[#This Row],[Semana]])&lt;=6,"1ª Bimestre","2ª Bimestre")</f>
        <v>2ª Bimestre</v>
      </c>
    </row>
    <row r="760" spans="1:7" x14ac:dyDescent="0.25">
      <c r="A760" t="s">
        <v>5</v>
      </c>
      <c r="B760">
        <v>0</v>
      </c>
      <c r="C760" s="2">
        <v>0</v>
      </c>
      <c r="D760" s="48">
        <v>45110</v>
      </c>
      <c r="E760" s="48" t="str">
        <f>TEXT(Base_de_Dados[[#This Row],[Semana]],"Mmmm")</f>
        <v>julho</v>
      </c>
      <c r="F760">
        <f>YEAR(Base_de_Dados[[#This Row],[Semana]])</f>
        <v>2023</v>
      </c>
      <c r="G760" t="str">
        <f>IF(MONTH(Base_de_Dados[[#This Row],[Semana]])&lt;=6,"1ª Bimestre","2ª Bimestre")</f>
        <v>2ª Bimestre</v>
      </c>
    </row>
    <row r="761" spans="1:7" x14ac:dyDescent="0.25">
      <c r="A761" t="s">
        <v>6</v>
      </c>
      <c r="B761">
        <v>0</v>
      </c>
      <c r="C761" s="2">
        <v>0</v>
      </c>
      <c r="D761" s="48">
        <v>45110</v>
      </c>
      <c r="E761" s="48" t="str">
        <f>TEXT(Base_de_Dados[[#This Row],[Semana]],"Mmmm")</f>
        <v>julho</v>
      </c>
      <c r="F761">
        <f>YEAR(Base_de_Dados[[#This Row],[Semana]])</f>
        <v>2023</v>
      </c>
      <c r="G761" t="str">
        <f>IF(MONTH(Base_de_Dados[[#This Row],[Semana]])&lt;=6,"1ª Bimestre","2ª Bimestre")</f>
        <v>2ª Bimestre</v>
      </c>
    </row>
    <row r="762" spans="1:7" x14ac:dyDescent="0.25">
      <c r="A762" t="s">
        <v>7</v>
      </c>
      <c r="B762">
        <v>1</v>
      </c>
      <c r="C762" s="2">
        <v>0.2</v>
      </c>
      <c r="D762" s="48">
        <v>45110</v>
      </c>
      <c r="E762" s="48" t="str">
        <f>TEXT(Base_de_Dados[[#This Row],[Semana]],"Mmmm")</f>
        <v>julho</v>
      </c>
      <c r="F762">
        <f>YEAR(Base_de_Dados[[#This Row],[Semana]])</f>
        <v>2023</v>
      </c>
      <c r="G762" t="str">
        <f>IF(MONTH(Base_de_Dados[[#This Row],[Semana]])&lt;=6,"1ª Bimestre","2ª Bimestre")</f>
        <v>2ª Bimestre</v>
      </c>
    </row>
    <row r="763" spans="1:7" x14ac:dyDescent="0.25">
      <c r="A763" t="s">
        <v>8</v>
      </c>
      <c r="B763">
        <v>0</v>
      </c>
      <c r="C763" s="2">
        <v>0</v>
      </c>
      <c r="D763" s="48">
        <v>45110</v>
      </c>
      <c r="E763" s="48" t="str">
        <f>TEXT(Base_de_Dados[[#This Row],[Semana]],"Mmmm")</f>
        <v>julho</v>
      </c>
      <c r="F763">
        <f>YEAR(Base_de_Dados[[#This Row],[Semana]])</f>
        <v>2023</v>
      </c>
      <c r="G763" t="str">
        <f>IF(MONTH(Base_de_Dados[[#This Row],[Semana]])&lt;=6,"1ª Bimestre","2ª Bimestre")</f>
        <v>2ª Bimestre</v>
      </c>
    </row>
    <row r="764" spans="1:7" x14ac:dyDescent="0.25">
      <c r="A764" t="s">
        <v>9</v>
      </c>
      <c r="B764">
        <v>0</v>
      </c>
      <c r="C764" s="2">
        <v>0</v>
      </c>
      <c r="D764" s="48">
        <v>45110</v>
      </c>
      <c r="E764" s="48" t="str">
        <f>TEXT(Base_de_Dados[[#This Row],[Semana]],"Mmmm")</f>
        <v>julho</v>
      </c>
      <c r="F764">
        <f>YEAR(Base_de_Dados[[#This Row],[Semana]])</f>
        <v>2023</v>
      </c>
      <c r="G764" t="str">
        <f>IF(MONTH(Base_de_Dados[[#This Row],[Semana]])&lt;=6,"1ª Bimestre","2ª Bimestre")</f>
        <v>2ª Bimestre</v>
      </c>
    </row>
    <row r="765" spans="1:7" x14ac:dyDescent="0.25">
      <c r="A765" t="s">
        <v>114</v>
      </c>
      <c r="B765">
        <v>0</v>
      </c>
      <c r="C765" s="2">
        <v>0</v>
      </c>
      <c r="D765" s="48">
        <v>45110</v>
      </c>
      <c r="E765" s="48" t="str">
        <f>TEXT(Base_de_Dados[[#This Row],[Semana]],"Mmmm")</f>
        <v>julho</v>
      </c>
      <c r="F765">
        <f>YEAR(Base_de_Dados[[#This Row],[Semana]])</f>
        <v>2023</v>
      </c>
      <c r="G765" t="str">
        <f>IF(MONTH(Base_de_Dados[[#This Row],[Semana]])&lt;=6,"1ª Bimestre","2ª Bimestre")</f>
        <v>2ª Bimestre</v>
      </c>
    </row>
    <row r="766" spans="1:7" x14ac:dyDescent="0.25">
      <c r="A766" t="s">
        <v>11</v>
      </c>
      <c r="B766">
        <v>0</v>
      </c>
      <c r="C766" s="2">
        <v>0</v>
      </c>
      <c r="D766" s="48">
        <v>45110</v>
      </c>
      <c r="E766" s="48" t="str">
        <f>TEXT(Base_de_Dados[[#This Row],[Semana]],"Mmmm")</f>
        <v>julho</v>
      </c>
      <c r="F766">
        <f>YEAR(Base_de_Dados[[#This Row],[Semana]])</f>
        <v>2023</v>
      </c>
      <c r="G766" t="str">
        <f>IF(MONTH(Base_de_Dados[[#This Row],[Semana]])&lt;=6,"1ª Bimestre","2ª Bimestre")</f>
        <v>2ª Bimestre</v>
      </c>
    </row>
    <row r="767" spans="1:7" x14ac:dyDescent="0.25">
      <c r="A767" t="s">
        <v>144</v>
      </c>
      <c r="B767">
        <v>0</v>
      </c>
      <c r="C767" s="2">
        <v>0</v>
      </c>
      <c r="D767" s="48">
        <v>45110</v>
      </c>
      <c r="E767" s="48" t="str">
        <f>TEXT(Base_de_Dados[[#This Row],[Semana]],"Mmmm")</f>
        <v>julho</v>
      </c>
      <c r="F767">
        <f>YEAR(Base_de_Dados[[#This Row],[Semana]])</f>
        <v>2023</v>
      </c>
      <c r="G767" t="str">
        <f>IF(MONTH(Base_de_Dados[[#This Row],[Semana]])&lt;=6,"1ª Bimestre","2ª Bimestre")</f>
        <v>2ª Bimestre</v>
      </c>
    </row>
    <row r="768" spans="1:7" x14ac:dyDescent="0.25">
      <c r="A768" t="s">
        <v>169</v>
      </c>
      <c r="B768">
        <v>0</v>
      </c>
      <c r="C768" s="2">
        <v>0</v>
      </c>
      <c r="D768" s="48">
        <v>45110</v>
      </c>
      <c r="E768" s="48" t="str">
        <f>TEXT(Base_de_Dados[[#This Row],[Semana]],"Mmmm")</f>
        <v>julho</v>
      </c>
      <c r="F768">
        <f>YEAR(Base_de_Dados[[#This Row],[Semana]])</f>
        <v>2023</v>
      </c>
      <c r="G768" t="str">
        <f>IF(MONTH(Base_de_Dados[[#This Row],[Semana]])&lt;=6,"1ª Bimestre","2ª Bimestre")</f>
        <v>2ª Bimestre</v>
      </c>
    </row>
    <row r="769" spans="1:7" x14ac:dyDescent="0.25">
      <c r="A769" t="s">
        <v>190</v>
      </c>
      <c r="B769">
        <v>0</v>
      </c>
      <c r="C769" s="2">
        <v>0</v>
      </c>
      <c r="D769" s="48">
        <v>45110</v>
      </c>
      <c r="E769" s="48" t="str">
        <f>TEXT(Base_de_Dados[[#This Row],[Semana]],"Mmmm")</f>
        <v>julho</v>
      </c>
      <c r="F769">
        <f>YEAR(Base_de_Dados[[#This Row],[Semana]])</f>
        <v>2023</v>
      </c>
      <c r="G769" t="str">
        <f>IF(MONTH(Base_de_Dados[[#This Row],[Semana]])&lt;=6,"1ª Bimestre","2ª Bimestre")</f>
        <v>2ª Bimestre</v>
      </c>
    </row>
    <row r="770" spans="1:7" x14ac:dyDescent="0.25">
      <c r="A770" t="s">
        <v>192</v>
      </c>
      <c r="B770">
        <v>4</v>
      </c>
      <c r="C770" s="2">
        <v>0.8</v>
      </c>
      <c r="D770" s="48">
        <v>45110</v>
      </c>
      <c r="E770" s="48" t="str">
        <f>TEXT(Base_de_Dados[[#This Row],[Semana]],"Mmmm")</f>
        <v>julho</v>
      </c>
      <c r="F770">
        <f>YEAR(Base_de_Dados[[#This Row],[Semana]])</f>
        <v>2023</v>
      </c>
      <c r="G770" t="str">
        <f>IF(MONTH(Base_de_Dados[[#This Row],[Semana]])&lt;=6,"1ª Bimestre","2ª Bimestre")</f>
        <v>2ª Bimestre</v>
      </c>
    </row>
    <row r="771" spans="1:7" x14ac:dyDescent="0.25">
      <c r="A771" t="s">
        <v>193</v>
      </c>
      <c r="B771">
        <v>0</v>
      </c>
      <c r="C771" s="2">
        <v>0</v>
      </c>
      <c r="D771" s="48">
        <v>45110</v>
      </c>
      <c r="E771" s="48" t="str">
        <f>TEXT(Base_de_Dados[[#This Row],[Semana]],"Mmmm")</f>
        <v>julho</v>
      </c>
      <c r="F771">
        <f>YEAR(Base_de_Dados[[#This Row],[Semana]])</f>
        <v>2023</v>
      </c>
      <c r="G771" t="str">
        <f>IF(MONTH(Base_de_Dados[[#This Row],[Semana]])&lt;=6,"1ª Bimestre","2ª Bimestre")</f>
        <v>2ª Bimestre</v>
      </c>
    </row>
    <row r="772" spans="1:7" x14ac:dyDescent="0.25">
      <c r="A772" t="s">
        <v>148</v>
      </c>
      <c r="B772">
        <v>0</v>
      </c>
      <c r="C772" s="2">
        <v>0</v>
      </c>
      <c r="D772" s="48">
        <v>45110</v>
      </c>
      <c r="E772" s="48" t="str">
        <f>TEXT(Base_de_Dados[[#This Row],[Semana]],"Mmmm")</f>
        <v>julho</v>
      </c>
      <c r="F772">
        <f>YEAR(Base_de_Dados[[#This Row],[Semana]])</f>
        <v>2023</v>
      </c>
      <c r="G772" t="str">
        <f>IF(MONTH(Base_de_Dados[[#This Row],[Semana]])&lt;=6,"1ª Bimestre","2ª Bimestre")</f>
        <v>2ª Bimestre</v>
      </c>
    </row>
    <row r="773" spans="1:7" x14ac:dyDescent="0.25">
      <c r="A773" t="s">
        <v>112</v>
      </c>
      <c r="B773">
        <v>0</v>
      </c>
      <c r="C773" s="2">
        <v>0</v>
      </c>
      <c r="D773" s="48">
        <v>45117</v>
      </c>
      <c r="E773" s="48" t="str">
        <f>TEXT(Base_de_Dados[[#This Row],[Semana]],"Mmmm")</f>
        <v>julho</v>
      </c>
      <c r="F773">
        <f>YEAR(Base_de_Dados[[#This Row],[Semana]])</f>
        <v>2023</v>
      </c>
      <c r="G773" t="str">
        <f>IF(MONTH(Base_de_Dados[[#This Row],[Semana]])&lt;=6,"1ª Bimestre","2ª Bimestre")</f>
        <v>2ª Bimestre</v>
      </c>
    </row>
    <row r="774" spans="1:7" x14ac:dyDescent="0.25">
      <c r="A774" t="s">
        <v>4</v>
      </c>
      <c r="B774">
        <v>0</v>
      </c>
      <c r="C774" s="2">
        <v>0</v>
      </c>
      <c r="D774" s="48">
        <v>45117</v>
      </c>
      <c r="E774" s="48" t="str">
        <f>TEXT(Base_de_Dados[[#This Row],[Semana]],"Mmmm")</f>
        <v>julho</v>
      </c>
      <c r="F774">
        <f>YEAR(Base_de_Dados[[#This Row],[Semana]])</f>
        <v>2023</v>
      </c>
      <c r="G774" t="str">
        <f>IF(MONTH(Base_de_Dados[[#This Row],[Semana]])&lt;=6,"1ª Bimestre","2ª Bimestre")</f>
        <v>2ª Bimestre</v>
      </c>
    </row>
    <row r="775" spans="1:7" x14ac:dyDescent="0.25">
      <c r="A775" t="s">
        <v>5</v>
      </c>
      <c r="B775">
        <v>0</v>
      </c>
      <c r="C775" s="2">
        <v>0</v>
      </c>
      <c r="D775" s="48">
        <v>45117</v>
      </c>
      <c r="E775" s="48" t="str">
        <f>TEXT(Base_de_Dados[[#This Row],[Semana]],"Mmmm")</f>
        <v>julho</v>
      </c>
      <c r="F775">
        <f>YEAR(Base_de_Dados[[#This Row],[Semana]])</f>
        <v>2023</v>
      </c>
      <c r="G775" t="str">
        <f>IF(MONTH(Base_de_Dados[[#This Row],[Semana]])&lt;=6,"1ª Bimestre","2ª Bimestre")</f>
        <v>2ª Bimestre</v>
      </c>
    </row>
    <row r="776" spans="1:7" x14ac:dyDescent="0.25">
      <c r="A776" t="s">
        <v>6</v>
      </c>
      <c r="B776">
        <v>0</v>
      </c>
      <c r="C776" s="2">
        <v>0</v>
      </c>
      <c r="D776" s="48">
        <v>45117</v>
      </c>
      <c r="E776" s="48" t="str">
        <f>TEXT(Base_de_Dados[[#This Row],[Semana]],"Mmmm")</f>
        <v>julho</v>
      </c>
      <c r="F776">
        <f>YEAR(Base_de_Dados[[#This Row],[Semana]])</f>
        <v>2023</v>
      </c>
      <c r="G776" t="str">
        <f>IF(MONTH(Base_de_Dados[[#This Row],[Semana]])&lt;=6,"1ª Bimestre","2ª Bimestre")</f>
        <v>2ª Bimestre</v>
      </c>
    </row>
    <row r="777" spans="1:7" x14ac:dyDescent="0.25">
      <c r="A777" t="s">
        <v>7</v>
      </c>
      <c r="B777">
        <v>1</v>
      </c>
      <c r="C777" s="2">
        <v>1</v>
      </c>
      <c r="D777" s="48">
        <v>45117</v>
      </c>
      <c r="E777" s="48" t="str">
        <f>TEXT(Base_de_Dados[[#This Row],[Semana]],"Mmmm")</f>
        <v>julho</v>
      </c>
      <c r="F777">
        <f>YEAR(Base_de_Dados[[#This Row],[Semana]])</f>
        <v>2023</v>
      </c>
      <c r="G777" t="str">
        <f>IF(MONTH(Base_de_Dados[[#This Row],[Semana]])&lt;=6,"1ª Bimestre","2ª Bimestre")</f>
        <v>2ª Bimestre</v>
      </c>
    </row>
    <row r="778" spans="1:7" x14ac:dyDescent="0.25">
      <c r="A778" t="s">
        <v>8</v>
      </c>
      <c r="B778">
        <v>0</v>
      </c>
      <c r="C778" s="2">
        <v>0</v>
      </c>
      <c r="D778" s="48">
        <v>45117</v>
      </c>
      <c r="E778" s="48" t="str">
        <f>TEXT(Base_de_Dados[[#This Row],[Semana]],"Mmmm")</f>
        <v>julho</v>
      </c>
      <c r="F778">
        <f>YEAR(Base_de_Dados[[#This Row],[Semana]])</f>
        <v>2023</v>
      </c>
      <c r="G778" t="str">
        <f>IF(MONTH(Base_de_Dados[[#This Row],[Semana]])&lt;=6,"1ª Bimestre","2ª Bimestre")</f>
        <v>2ª Bimestre</v>
      </c>
    </row>
    <row r="779" spans="1:7" x14ac:dyDescent="0.25">
      <c r="A779" t="s">
        <v>9</v>
      </c>
      <c r="B779">
        <v>0</v>
      </c>
      <c r="C779" s="2">
        <v>0</v>
      </c>
      <c r="D779" s="48">
        <v>45117</v>
      </c>
      <c r="E779" s="48" t="str">
        <f>TEXT(Base_de_Dados[[#This Row],[Semana]],"Mmmm")</f>
        <v>julho</v>
      </c>
      <c r="F779">
        <f>YEAR(Base_de_Dados[[#This Row],[Semana]])</f>
        <v>2023</v>
      </c>
      <c r="G779" t="str">
        <f>IF(MONTH(Base_de_Dados[[#This Row],[Semana]])&lt;=6,"1ª Bimestre","2ª Bimestre")</f>
        <v>2ª Bimestre</v>
      </c>
    </row>
    <row r="780" spans="1:7" x14ac:dyDescent="0.25">
      <c r="A780" t="s">
        <v>114</v>
      </c>
      <c r="B780">
        <v>0</v>
      </c>
      <c r="C780" s="2">
        <v>0</v>
      </c>
      <c r="D780" s="48">
        <v>45117</v>
      </c>
      <c r="E780" s="48" t="str">
        <f>TEXT(Base_de_Dados[[#This Row],[Semana]],"Mmmm")</f>
        <v>julho</v>
      </c>
      <c r="F780">
        <f>YEAR(Base_de_Dados[[#This Row],[Semana]])</f>
        <v>2023</v>
      </c>
      <c r="G780" t="str">
        <f>IF(MONTH(Base_de_Dados[[#This Row],[Semana]])&lt;=6,"1ª Bimestre","2ª Bimestre")</f>
        <v>2ª Bimestre</v>
      </c>
    </row>
    <row r="781" spans="1:7" x14ac:dyDescent="0.25">
      <c r="A781" t="s">
        <v>11</v>
      </c>
      <c r="B781">
        <v>0</v>
      </c>
      <c r="C781" s="2">
        <v>0</v>
      </c>
      <c r="D781" s="48">
        <v>45117</v>
      </c>
      <c r="E781" s="48" t="str">
        <f>TEXT(Base_de_Dados[[#This Row],[Semana]],"Mmmm")</f>
        <v>julho</v>
      </c>
      <c r="F781">
        <f>YEAR(Base_de_Dados[[#This Row],[Semana]])</f>
        <v>2023</v>
      </c>
      <c r="G781" t="str">
        <f>IF(MONTH(Base_de_Dados[[#This Row],[Semana]])&lt;=6,"1ª Bimestre","2ª Bimestre")</f>
        <v>2ª Bimestre</v>
      </c>
    </row>
    <row r="782" spans="1:7" x14ac:dyDescent="0.25">
      <c r="A782" t="s">
        <v>144</v>
      </c>
      <c r="B782">
        <v>0</v>
      </c>
      <c r="C782" s="2">
        <v>0</v>
      </c>
      <c r="D782" s="48">
        <v>45117</v>
      </c>
      <c r="E782" s="48" t="str">
        <f>TEXT(Base_de_Dados[[#This Row],[Semana]],"Mmmm")</f>
        <v>julho</v>
      </c>
      <c r="F782">
        <f>YEAR(Base_de_Dados[[#This Row],[Semana]])</f>
        <v>2023</v>
      </c>
      <c r="G782" t="str">
        <f>IF(MONTH(Base_de_Dados[[#This Row],[Semana]])&lt;=6,"1ª Bimestre","2ª Bimestre")</f>
        <v>2ª Bimestre</v>
      </c>
    </row>
    <row r="783" spans="1:7" x14ac:dyDescent="0.25">
      <c r="A783" t="s">
        <v>169</v>
      </c>
      <c r="B783">
        <v>0</v>
      </c>
      <c r="C783" s="2">
        <v>0</v>
      </c>
      <c r="D783" s="48">
        <v>45117</v>
      </c>
      <c r="E783" s="48" t="str">
        <f>TEXT(Base_de_Dados[[#This Row],[Semana]],"Mmmm")</f>
        <v>julho</v>
      </c>
      <c r="F783">
        <f>YEAR(Base_de_Dados[[#This Row],[Semana]])</f>
        <v>2023</v>
      </c>
      <c r="G783" t="str">
        <f>IF(MONTH(Base_de_Dados[[#This Row],[Semana]])&lt;=6,"1ª Bimestre","2ª Bimestre")</f>
        <v>2ª Bimestre</v>
      </c>
    </row>
    <row r="784" spans="1:7" x14ac:dyDescent="0.25">
      <c r="A784" t="s">
        <v>190</v>
      </c>
      <c r="B784">
        <v>0</v>
      </c>
      <c r="C784" s="2">
        <v>0</v>
      </c>
      <c r="D784" s="48">
        <v>45117</v>
      </c>
      <c r="E784" s="48" t="str">
        <f>TEXT(Base_de_Dados[[#This Row],[Semana]],"Mmmm")</f>
        <v>julho</v>
      </c>
      <c r="F784">
        <f>YEAR(Base_de_Dados[[#This Row],[Semana]])</f>
        <v>2023</v>
      </c>
      <c r="G784" t="str">
        <f>IF(MONTH(Base_de_Dados[[#This Row],[Semana]])&lt;=6,"1ª Bimestre","2ª Bimestre")</f>
        <v>2ª Bimestre</v>
      </c>
    </row>
    <row r="785" spans="1:7" x14ac:dyDescent="0.25">
      <c r="A785" t="s">
        <v>192</v>
      </c>
      <c r="B785">
        <v>0</v>
      </c>
      <c r="C785" s="2">
        <v>0</v>
      </c>
      <c r="D785" s="48">
        <v>45117</v>
      </c>
      <c r="E785" s="48" t="str">
        <f>TEXT(Base_de_Dados[[#This Row],[Semana]],"Mmmm")</f>
        <v>julho</v>
      </c>
      <c r="F785">
        <f>YEAR(Base_de_Dados[[#This Row],[Semana]])</f>
        <v>2023</v>
      </c>
      <c r="G785" t="str">
        <f>IF(MONTH(Base_de_Dados[[#This Row],[Semana]])&lt;=6,"1ª Bimestre","2ª Bimestre")</f>
        <v>2ª Bimestre</v>
      </c>
    </row>
    <row r="786" spans="1:7" x14ac:dyDescent="0.25">
      <c r="A786" t="s">
        <v>193</v>
      </c>
      <c r="B786">
        <v>0</v>
      </c>
      <c r="C786" s="2">
        <v>0</v>
      </c>
      <c r="D786" s="48">
        <v>45117</v>
      </c>
      <c r="E786" s="48" t="str">
        <f>TEXT(Base_de_Dados[[#This Row],[Semana]],"Mmmm")</f>
        <v>julho</v>
      </c>
      <c r="F786">
        <f>YEAR(Base_de_Dados[[#This Row],[Semana]])</f>
        <v>2023</v>
      </c>
      <c r="G786" t="str">
        <f>IF(MONTH(Base_de_Dados[[#This Row],[Semana]])&lt;=6,"1ª Bimestre","2ª Bimestre")</f>
        <v>2ª Bimestre</v>
      </c>
    </row>
    <row r="787" spans="1:7" x14ac:dyDescent="0.25">
      <c r="A787" t="s">
        <v>148</v>
      </c>
      <c r="B787">
        <v>0</v>
      </c>
      <c r="C787" s="2">
        <v>0</v>
      </c>
      <c r="D787" s="48">
        <v>45117</v>
      </c>
      <c r="E787" s="48" t="str">
        <f>TEXT(Base_de_Dados[[#This Row],[Semana]],"Mmmm")</f>
        <v>julho</v>
      </c>
      <c r="F787">
        <f>YEAR(Base_de_Dados[[#This Row],[Semana]])</f>
        <v>2023</v>
      </c>
      <c r="G787" t="str">
        <f>IF(MONTH(Base_de_Dados[[#This Row],[Semana]])&lt;=6,"1ª Bimestre","2ª Bimestre")</f>
        <v>2ª Bimestre</v>
      </c>
    </row>
    <row r="788" spans="1:7" x14ac:dyDescent="0.25">
      <c r="A788" t="s">
        <v>112</v>
      </c>
      <c r="B788">
        <v>0</v>
      </c>
      <c r="C788" s="2">
        <v>0</v>
      </c>
      <c r="D788" s="48">
        <v>45124</v>
      </c>
      <c r="E788" s="48" t="str">
        <f>TEXT(Base_de_Dados[[#This Row],[Semana]],"Mmmm")</f>
        <v>julho</v>
      </c>
      <c r="F788">
        <f>YEAR(Base_de_Dados[[#This Row],[Semana]])</f>
        <v>2023</v>
      </c>
      <c r="G788" t="str">
        <f>IF(MONTH(Base_de_Dados[[#This Row],[Semana]])&lt;=6,"1ª Bimestre","2ª Bimestre")</f>
        <v>2ª Bimestre</v>
      </c>
    </row>
    <row r="789" spans="1:7" x14ac:dyDescent="0.25">
      <c r="A789" t="s">
        <v>4</v>
      </c>
      <c r="B789">
        <v>0</v>
      </c>
      <c r="C789" s="2">
        <v>0</v>
      </c>
      <c r="D789" s="48">
        <v>45124</v>
      </c>
      <c r="E789" s="48" t="str">
        <f>TEXT(Base_de_Dados[[#This Row],[Semana]],"Mmmm")</f>
        <v>julho</v>
      </c>
      <c r="F789">
        <f>YEAR(Base_de_Dados[[#This Row],[Semana]])</f>
        <v>2023</v>
      </c>
      <c r="G789" t="str">
        <f>IF(MONTH(Base_de_Dados[[#This Row],[Semana]])&lt;=6,"1ª Bimestre","2ª Bimestre")</f>
        <v>2ª Bimestre</v>
      </c>
    </row>
    <row r="790" spans="1:7" x14ac:dyDescent="0.25">
      <c r="A790" t="s">
        <v>5</v>
      </c>
      <c r="B790">
        <v>0</v>
      </c>
      <c r="C790" s="2">
        <v>0</v>
      </c>
      <c r="D790" s="48">
        <v>45124</v>
      </c>
      <c r="E790" s="48" t="str">
        <f>TEXT(Base_de_Dados[[#This Row],[Semana]],"Mmmm")</f>
        <v>julho</v>
      </c>
      <c r="F790">
        <f>YEAR(Base_de_Dados[[#This Row],[Semana]])</f>
        <v>2023</v>
      </c>
      <c r="G790" t="str">
        <f>IF(MONTH(Base_de_Dados[[#This Row],[Semana]])&lt;=6,"1ª Bimestre","2ª Bimestre")</f>
        <v>2ª Bimestre</v>
      </c>
    </row>
    <row r="791" spans="1:7" x14ac:dyDescent="0.25">
      <c r="A791" t="s">
        <v>6</v>
      </c>
      <c r="B791">
        <v>0</v>
      </c>
      <c r="C791" s="2">
        <v>0</v>
      </c>
      <c r="D791" s="48">
        <v>45124</v>
      </c>
      <c r="E791" s="48" t="str">
        <f>TEXT(Base_de_Dados[[#This Row],[Semana]],"Mmmm")</f>
        <v>julho</v>
      </c>
      <c r="F791">
        <f>YEAR(Base_de_Dados[[#This Row],[Semana]])</f>
        <v>2023</v>
      </c>
      <c r="G791" t="str">
        <f>IF(MONTH(Base_de_Dados[[#This Row],[Semana]])&lt;=6,"1ª Bimestre","2ª Bimestre")</f>
        <v>2ª Bimestre</v>
      </c>
    </row>
    <row r="792" spans="1:7" x14ac:dyDescent="0.25">
      <c r="A792" t="s">
        <v>7</v>
      </c>
      <c r="B792">
        <v>0</v>
      </c>
      <c r="C792" s="2">
        <v>0</v>
      </c>
      <c r="D792" s="48">
        <v>45124</v>
      </c>
      <c r="E792" s="48" t="str">
        <f>TEXT(Base_de_Dados[[#This Row],[Semana]],"Mmmm")</f>
        <v>julho</v>
      </c>
      <c r="F792">
        <f>YEAR(Base_de_Dados[[#This Row],[Semana]])</f>
        <v>2023</v>
      </c>
      <c r="G792" t="str">
        <f>IF(MONTH(Base_de_Dados[[#This Row],[Semana]])&lt;=6,"1ª Bimestre","2ª Bimestre")</f>
        <v>2ª Bimestre</v>
      </c>
    </row>
    <row r="793" spans="1:7" x14ac:dyDescent="0.25">
      <c r="A793" t="s">
        <v>8</v>
      </c>
      <c r="B793">
        <v>1</v>
      </c>
      <c r="C793" s="2">
        <v>1</v>
      </c>
      <c r="D793" s="48">
        <v>45124</v>
      </c>
      <c r="E793" s="48" t="str">
        <f>TEXT(Base_de_Dados[[#This Row],[Semana]],"Mmmm")</f>
        <v>julho</v>
      </c>
      <c r="F793">
        <f>YEAR(Base_de_Dados[[#This Row],[Semana]])</f>
        <v>2023</v>
      </c>
      <c r="G793" t="str">
        <f>IF(MONTH(Base_de_Dados[[#This Row],[Semana]])&lt;=6,"1ª Bimestre","2ª Bimestre")</f>
        <v>2ª Bimestre</v>
      </c>
    </row>
    <row r="794" spans="1:7" x14ac:dyDescent="0.25">
      <c r="A794" t="s">
        <v>9</v>
      </c>
      <c r="B794">
        <v>0</v>
      </c>
      <c r="C794" s="2">
        <v>0</v>
      </c>
      <c r="D794" s="48">
        <v>45124</v>
      </c>
      <c r="E794" s="48" t="str">
        <f>TEXT(Base_de_Dados[[#This Row],[Semana]],"Mmmm")</f>
        <v>julho</v>
      </c>
      <c r="F794">
        <f>YEAR(Base_de_Dados[[#This Row],[Semana]])</f>
        <v>2023</v>
      </c>
      <c r="G794" t="str">
        <f>IF(MONTH(Base_de_Dados[[#This Row],[Semana]])&lt;=6,"1ª Bimestre","2ª Bimestre")</f>
        <v>2ª Bimestre</v>
      </c>
    </row>
    <row r="795" spans="1:7" x14ac:dyDescent="0.25">
      <c r="A795" t="s">
        <v>114</v>
      </c>
      <c r="B795">
        <v>0</v>
      </c>
      <c r="C795" s="2">
        <v>0</v>
      </c>
      <c r="D795" s="48">
        <v>45124</v>
      </c>
      <c r="E795" s="48" t="str">
        <f>TEXT(Base_de_Dados[[#This Row],[Semana]],"Mmmm")</f>
        <v>julho</v>
      </c>
      <c r="F795">
        <f>YEAR(Base_de_Dados[[#This Row],[Semana]])</f>
        <v>2023</v>
      </c>
      <c r="G795" t="str">
        <f>IF(MONTH(Base_de_Dados[[#This Row],[Semana]])&lt;=6,"1ª Bimestre","2ª Bimestre")</f>
        <v>2ª Bimestre</v>
      </c>
    </row>
    <row r="796" spans="1:7" x14ac:dyDescent="0.25">
      <c r="A796" t="s">
        <v>11</v>
      </c>
      <c r="B796">
        <v>0</v>
      </c>
      <c r="C796" s="2">
        <v>0</v>
      </c>
      <c r="D796" s="48">
        <v>45124</v>
      </c>
      <c r="E796" s="48" t="str">
        <f>TEXT(Base_de_Dados[[#This Row],[Semana]],"Mmmm")</f>
        <v>julho</v>
      </c>
      <c r="F796">
        <f>YEAR(Base_de_Dados[[#This Row],[Semana]])</f>
        <v>2023</v>
      </c>
      <c r="G796" t="str">
        <f>IF(MONTH(Base_de_Dados[[#This Row],[Semana]])&lt;=6,"1ª Bimestre","2ª Bimestre")</f>
        <v>2ª Bimestre</v>
      </c>
    </row>
    <row r="797" spans="1:7" x14ac:dyDescent="0.25">
      <c r="A797" t="s">
        <v>144</v>
      </c>
      <c r="B797">
        <v>0</v>
      </c>
      <c r="C797" s="2">
        <v>0</v>
      </c>
      <c r="D797" s="48">
        <v>45124</v>
      </c>
      <c r="E797" s="48" t="str">
        <f>TEXT(Base_de_Dados[[#This Row],[Semana]],"Mmmm")</f>
        <v>julho</v>
      </c>
      <c r="F797">
        <f>YEAR(Base_de_Dados[[#This Row],[Semana]])</f>
        <v>2023</v>
      </c>
      <c r="G797" t="str">
        <f>IF(MONTH(Base_de_Dados[[#This Row],[Semana]])&lt;=6,"1ª Bimestre","2ª Bimestre")</f>
        <v>2ª Bimestre</v>
      </c>
    </row>
    <row r="798" spans="1:7" x14ac:dyDescent="0.25">
      <c r="A798" t="s">
        <v>169</v>
      </c>
      <c r="B798">
        <v>0</v>
      </c>
      <c r="C798" s="2">
        <v>0</v>
      </c>
      <c r="D798" s="48">
        <v>45124</v>
      </c>
      <c r="E798" s="48" t="str">
        <f>TEXT(Base_de_Dados[[#This Row],[Semana]],"Mmmm")</f>
        <v>julho</v>
      </c>
      <c r="F798">
        <f>YEAR(Base_de_Dados[[#This Row],[Semana]])</f>
        <v>2023</v>
      </c>
      <c r="G798" t="str">
        <f>IF(MONTH(Base_de_Dados[[#This Row],[Semana]])&lt;=6,"1ª Bimestre","2ª Bimestre")</f>
        <v>2ª Bimestre</v>
      </c>
    </row>
    <row r="799" spans="1:7" x14ac:dyDescent="0.25">
      <c r="A799" t="s">
        <v>190</v>
      </c>
      <c r="B799">
        <v>0</v>
      </c>
      <c r="C799" s="2">
        <v>0</v>
      </c>
      <c r="D799" s="48">
        <v>45124</v>
      </c>
      <c r="E799" s="48" t="str">
        <f>TEXT(Base_de_Dados[[#This Row],[Semana]],"Mmmm")</f>
        <v>julho</v>
      </c>
      <c r="F799">
        <f>YEAR(Base_de_Dados[[#This Row],[Semana]])</f>
        <v>2023</v>
      </c>
      <c r="G799" t="str">
        <f>IF(MONTH(Base_de_Dados[[#This Row],[Semana]])&lt;=6,"1ª Bimestre","2ª Bimestre")</f>
        <v>2ª Bimestre</v>
      </c>
    </row>
    <row r="800" spans="1:7" x14ac:dyDescent="0.25">
      <c r="A800" t="s">
        <v>192</v>
      </c>
      <c r="B800">
        <v>0</v>
      </c>
      <c r="C800" s="2">
        <v>0</v>
      </c>
      <c r="D800" s="48">
        <v>45124</v>
      </c>
      <c r="E800" s="48" t="str">
        <f>TEXT(Base_de_Dados[[#This Row],[Semana]],"Mmmm")</f>
        <v>julho</v>
      </c>
      <c r="F800">
        <f>YEAR(Base_de_Dados[[#This Row],[Semana]])</f>
        <v>2023</v>
      </c>
      <c r="G800" t="str">
        <f>IF(MONTH(Base_de_Dados[[#This Row],[Semana]])&lt;=6,"1ª Bimestre","2ª Bimestre")</f>
        <v>2ª Bimestre</v>
      </c>
    </row>
    <row r="801" spans="1:7" x14ac:dyDescent="0.25">
      <c r="A801" t="s">
        <v>193</v>
      </c>
      <c r="B801">
        <v>0</v>
      </c>
      <c r="C801" s="2">
        <v>0</v>
      </c>
      <c r="D801" s="48">
        <v>45124</v>
      </c>
      <c r="E801" s="48" t="str">
        <f>TEXT(Base_de_Dados[[#This Row],[Semana]],"Mmmm")</f>
        <v>julho</v>
      </c>
      <c r="F801">
        <f>YEAR(Base_de_Dados[[#This Row],[Semana]])</f>
        <v>2023</v>
      </c>
      <c r="G801" t="str">
        <f>IF(MONTH(Base_de_Dados[[#This Row],[Semana]])&lt;=6,"1ª Bimestre","2ª Bimestre")</f>
        <v>2ª Bimestre</v>
      </c>
    </row>
    <row r="802" spans="1:7" x14ac:dyDescent="0.25">
      <c r="A802" t="s">
        <v>148</v>
      </c>
      <c r="B802">
        <v>0</v>
      </c>
      <c r="C802" s="2">
        <v>0</v>
      </c>
      <c r="D802" s="48">
        <v>45124</v>
      </c>
      <c r="E802" s="48" t="str">
        <f>TEXT(Base_de_Dados[[#This Row],[Semana]],"Mmmm")</f>
        <v>julho</v>
      </c>
      <c r="F802">
        <f>YEAR(Base_de_Dados[[#This Row],[Semana]])</f>
        <v>2023</v>
      </c>
      <c r="G802" t="str">
        <f>IF(MONTH(Base_de_Dados[[#This Row],[Semana]])&lt;=6,"1ª Bimestre","2ª Bimestre")</f>
        <v>2ª Bimestre</v>
      </c>
    </row>
    <row r="803" spans="1:7" x14ac:dyDescent="0.25">
      <c r="A803" s="59" t="s">
        <v>112</v>
      </c>
      <c r="B803">
        <v>0</v>
      </c>
      <c r="C803" s="2">
        <v>0</v>
      </c>
      <c r="D803" s="48">
        <v>45131</v>
      </c>
      <c r="E803" s="48" t="str">
        <f>TEXT(Base_de_Dados[[#This Row],[Semana]],"Mmmm")</f>
        <v>julho</v>
      </c>
      <c r="F803">
        <f>YEAR(Base_de_Dados[[#This Row],[Semana]])</f>
        <v>2023</v>
      </c>
      <c r="G803" s="59" t="str">
        <f>IF(MONTH(Base_de_Dados[[#This Row],[Semana]])&lt;=6,"1ª Bimestre","2ª Bimestre")</f>
        <v>2ª Bimestre</v>
      </c>
    </row>
    <row r="804" spans="1:7" x14ac:dyDescent="0.25">
      <c r="A804" s="59" t="s">
        <v>4</v>
      </c>
      <c r="B804">
        <v>0</v>
      </c>
      <c r="C804" s="2">
        <v>0</v>
      </c>
      <c r="D804" s="48">
        <v>45131</v>
      </c>
      <c r="E804" s="48" t="str">
        <f>TEXT(Base_de_Dados[[#This Row],[Semana]],"Mmmm")</f>
        <v>julho</v>
      </c>
      <c r="F804">
        <f>YEAR(Base_de_Dados[[#This Row],[Semana]])</f>
        <v>2023</v>
      </c>
      <c r="G804" s="59" t="str">
        <f>IF(MONTH(Base_de_Dados[[#This Row],[Semana]])&lt;=6,"1ª Bimestre","2ª Bimestre")</f>
        <v>2ª Bimestre</v>
      </c>
    </row>
    <row r="805" spans="1:7" x14ac:dyDescent="0.25">
      <c r="A805" s="59" t="s">
        <v>5</v>
      </c>
      <c r="B805">
        <v>0</v>
      </c>
      <c r="C805" s="2">
        <v>0</v>
      </c>
      <c r="D805" s="48">
        <v>45131</v>
      </c>
      <c r="E805" s="48" t="str">
        <f>TEXT(Base_de_Dados[[#This Row],[Semana]],"Mmmm")</f>
        <v>julho</v>
      </c>
      <c r="F805">
        <f>YEAR(Base_de_Dados[[#This Row],[Semana]])</f>
        <v>2023</v>
      </c>
      <c r="G805" s="59" t="str">
        <f>IF(MONTH(Base_de_Dados[[#This Row],[Semana]])&lt;=6,"1ª Bimestre","2ª Bimestre")</f>
        <v>2ª Bimestre</v>
      </c>
    </row>
    <row r="806" spans="1:7" x14ac:dyDescent="0.25">
      <c r="A806" s="59" t="s">
        <v>6</v>
      </c>
      <c r="B806">
        <v>0</v>
      </c>
      <c r="C806" s="2">
        <v>0</v>
      </c>
      <c r="D806" s="48">
        <v>45131</v>
      </c>
      <c r="E806" s="48" t="str">
        <f>TEXT(Base_de_Dados[[#This Row],[Semana]],"Mmmm")</f>
        <v>julho</v>
      </c>
      <c r="F806">
        <f>YEAR(Base_de_Dados[[#This Row],[Semana]])</f>
        <v>2023</v>
      </c>
      <c r="G806" s="59" t="str">
        <f>IF(MONTH(Base_de_Dados[[#This Row],[Semana]])&lt;=6,"1ª Bimestre","2ª Bimestre")</f>
        <v>2ª Bimestre</v>
      </c>
    </row>
    <row r="807" spans="1:7" x14ac:dyDescent="0.25">
      <c r="A807" s="59" t="s">
        <v>7</v>
      </c>
      <c r="B807">
        <v>0</v>
      </c>
      <c r="C807" s="2">
        <v>0</v>
      </c>
      <c r="D807" s="48">
        <v>45131</v>
      </c>
      <c r="E807" s="48" t="str">
        <f>TEXT(Base_de_Dados[[#This Row],[Semana]],"Mmmm")</f>
        <v>julho</v>
      </c>
      <c r="F807">
        <f>YEAR(Base_de_Dados[[#This Row],[Semana]])</f>
        <v>2023</v>
      </c>
      <c r="G807" s="59" t="str">
        <f>IF(MONTH(Base_de_Dados[[#This Row],[Semana]])&lt;=6,"1ª Bimestre","2ª Bimestre")</f>
        <v>2ª Bimestre</v>
      </c>
    </row>
    <row r="808" spans="1:7" x14ac:dyDescent="0.25">
      <c r="A808" s="59" t="s">
        <v>8</v>
      </c>
      <c r="B808">
        <v>0</v>
      </c>
      <c r="C808" s="2">
        <v>0</v>
      </c>
      <c r="D808" s="48">
        <v>45131</v>
      </c>
      <c r="E808" s="48" t="str">
        <f>TEXT(Base_de_Dados[[#This Row],[Semana]],"Mmmm")</f>
        <v>julho</v>
      </c>
      <c r="F808">
        <f>YEAR(Base_de_Dados[[#This Row],[Semana]])</f>
        <v>2023</v>
      </c>
      <c r="G808" s="59" t="str">
        <f>IF(MONTH(Base_de_Dados[[#This Row],[Semana]])&lt;=6,"1ª Bimestre","2ª Bimestre")</f>
        <v>2ª Bimestre</v>
      </c>
    </row>
    <row r="809" spans="1:7" x14ac:dyDescent="0.25">
      <c r="A809" s="59" t="s">
        <v>9</v>
      </c>
      <c r="B809">
        <v>0</v>
      </c>
      <c r="C809" s="2">
        <v>0</v>
      </c>
      <c r="D809" s="48">
        <v>45131</v>
      </c>
      <c r="E809" s="48" t="str">
        <f>TEXT(Base_de_Dados[[#This Row],[Semana]],"Mmmm")</f>
        <v>julho</v>
      </c>
      <c r="F809">
        <f>YEAR(Base_de_Dados[[#This Row],[Semana]])</f>
        <v>2023</v>
      </c>
      <c r="G809" s="59" t="str">
        <f>IF(MONTH(Base_de_Dados[[#This Row],[Semana]])&lt;=6,"1ª Bimestre","2ª Bimestre")</f>
        <v>2ª Bimestre</v>
      </c>
    </row>
    <row r="810" spans="1:7" x14ac:dyDescent="0.25">
      <c r="A810" s="59" t="s">
        <v>114</v>
      </c>
      <c r="B810">
        <v>0</v>
      </c>
      <c r="C810" s="2">
        <v>0</v>
      </c>
      <c r="D810" s="48">
        <v>45131</v>
      </c>
      <c r="E810" s="48" t="str">
        <f>TEXT(Base_de_Dados[[#This Row],[Semana]],"Mmmm")</f>
        <v>julho</v>
      </c>
      <c r="F810">
        <f>YEAR(Base_de_Dados[[#This Row],[Semana]])</f>
        <v>2023</v>
      </c>
      <c r="G810" s="59" t="str">
        <f>IF(MONTH(Base_de_Dados[[#This Row],[Semana]])&lt;=6,"1ª Bimestre","2ª Bimestre")</f>
        <v>2ª Bimestre</v>
      </c>
    </row>
    <row r="811" spans="1:7" x14ac:dyDescent="0.25">
      <c r="A811" s="59" t="s">
        <v>11</v>
      </c>
      <c r="B811">
        <v>0</v>
      </c>
      <c r="C811" s="2">
        <v>0</v>
      </c>
      <c r="D811" s="48">
        <v>45131</v>
      </c>
      <c r="E811" s="48" t="str">
        <f>TEXT(Base_de_Dados[[#This Row],[Semana]],"Mmmm")</f>
        <v>julho</v>
      </c>
      <c r="F811">
        <f>YEAR(Base_de_Dados[[#This Row],[Semana]])</f>
        <v>2023</v>
      </c>
      <c r="G811" s="59" t="str">
        <f>IF(MONTH(Base_de_Dados[[#This Row],[Semana]])&lt;=6,"1ª Bimestre","2ª Bimestre")</f>
        <v>2ª Bimestre</v>
      </c>
    </row>
    <row r="812" spans="1:7" x14ac:dyDescent="0.25">
      <c r="A812" s="59" t="s">
        <v>144</v>
      </c>
      <c r="B812">
        <v>0</v>
      </c>
      <c r="C812" s="2">
        <v>0</v>
      </c>
      <c r="D812" s="48">
        <v>45131</v>
      </c>
      <c r="E812" s="48" t="str">
        <f>TEXT(Base_de_Dados[[#This Row],[Semana]],"Mmmm")</f>
        <v>julho</v>
      </c>
      <c r="F812">
        <f>YEAR(Base_de_Dados[[#This Row],[Semana]])</f>
        <v>2023</v>
      </c>
      <c r="G812" s="59" t="str">
        <f>IF(MONTH(Base_de_Dados[[#This Row],[Semana]])&lt;=6,"1ª Bimestre","2ª Bimestre")</f>
        <v>2ª Bimestre</v>
      </c>
    </row>
    <row r="813" spans="1:7" x14ac:dyDescent="0.25">
      <c r="A813" s="59" t="s">
        <v>169</v>
      </c>
      <c r="B813">
        <v>0</v>
      </c>
      <c r="C813" s="2">
        <v>0</v>
      </c>
      <c r="D813" s="48">
        <v>45131</v>
      </c>
      <c r="E813" s="48" t="str">
        <f>TEXT(Base_de_Dados[[#This Row],[Semana]],"Mmmm")</f>
        <v>julho</v>
      </c>
      <c r="F813">
        <f>YEAR(Base_de_Dados[[#This Row],[Semana]])</f>
        <v>2023</v>
      </c>
      <c r="G813" s="59" t="str">
        <f>IF(MONTH(Base_de_Dados[[#This Row],[Semana]])&lt;=6,"1ª Bimestre","2ª Bimestre")</f>
        <v>2ª Bimestre</v>
      </c>
    </row>
    <row r="814" spans="1:7" x14ac:dyDescent="0.25">
      <c r="A814" s="59" t="s">
        <v>190</v>
      </c>
      <c r="B814">
        <v>3</v>
      </c>
      <c r="C814" s="2">
        <v>1</v>
      </c>
      <c r="D814" s="48">
        <v>45131</v>
      </c>
      <c r="E814" s="48" t="str">
        <f>TEXT(Base_de_Dados[[#This Row],[Semana]],"Mmmm")</f>
        <v>julho</v>
      </c>
      <c r="F814">
        <f>YEAR(Base_de_Dados[[#This Row],[Semana]])</f>
        <v>2023</v>
      </c>
      <c r="G814" s="59" t="str">
        <f>IF(MONTH(Base_de_Dados[[#This Row],[Semana]])&lt;=6,"1ª Bimestre","2ª Bimestre")</f>
        <v>2ª Bimestre</v>
      </c>
    </row>
    <row r="815" spans="1:7" x14ac:dyDescent="0.25">
      <c r="A815" s="59" t="s">
        <v>192</v>
      </c>
      <c r="B815">
        <v>0</v>
      </c>
      <c r="C815" s="2">
        <v>0</v>
      </c>
      <c r="D815" s="48">
        <v>45131</v>
      </c>
      <c r="E815" s="48" t="str">
        <f>TEXT(Base_de_Dados[[#This Row],[Semana]],"Mmmm")</f>
        <v>julho</v>
      </c>
      <c r="F815">
        <f>YEAR(Base_de_Dados[[#This Row],[Semana]])</f>
        <v>2023</v>
      </c>
      <c r="G815" s="59" t="str">
        <f>IF(MONTH(Base_de_Dados[[#This Row],[Semana]])&lt;=6,"1ª Bimestre","2ª Bimestre")</f>
        <v>2ª Bimestre</v>
      </c>
    </row>
    <row r="816" spans="1:7" x14ac:dyDescent="0.25">
      <c r="A816" s="59" t="s">
        <v>193</v>
      </c>
      <c r="B816">
        <v>0</v>
      </c>
      <c r="C816" s="2">
        <v>0</v>
      </c>
      <c r="D816" s="48">
        <v>45131</v>
      </c>
      <c r="E816" s="48" t="str">
        <f>TEXT(Base_de_Dados[[#This Row],[Semana]],"Mmmm")</f>
        <v>julho</v>
      </c>
      <c r="F816">
        <f>YEAR(Base_de_Dados[[#This Row],[Semana]])</f>
        <v>2023</v>
      </c>
      <c r="G816" s="59" t="str">
        <f>IF(MONTH(Base_de_Dados[[#This Row],[Semana]])&lt;=6,"1ª Bimestre","2ª Bimestre")</f>
        <v>2ª Bimestre</v>
      </c>
    </row>
    <row r="817" spans="1:7" x14ac:dyDescent="0.25">
      <c r="A817" s="59" t="s">
        <v>148</v>
      </c>
      <c r="B817">
        <v>0</v>
      </c>
      <c r="C817" s="2">
        <v>0</v>
      </c>
      <c r="D817" s="48">
        <v>45131</v>
      </c>
      <c r="E817" s="48" t="str">
        <f>TEXT(Base_de_Dados[[#This Row],[Semana]],"Mmmm")</f>
        <v>julho</v>
      </c>
      <c r="F817">
        <f>YEAR(Base_de_Dados[[#This Row],[Semana]])</f>
        <v>2023</v>
      </c>
      <c r="G817" s="59" t="str">
        <f>IF(MONTH(Base_de_Dados[[#This Row],[Semana]])&lt;=6,"1ª Bimestre","2ª Bimestre")</f>
        <v>2ª Bimestre</v>
      </c>
    </row>
  </sheetData>
  <phoneticPr fontId="3" type="noConversion"/>
  <conditionalFormatting sqref="A1:A1048576">
    <cfRule type="cellIs" dxfId="34" priority="1" operator="equal">
      <formula>"Gerador"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47C5E-807D-4A9A-A44C-DCCF502040D6}">
  <dimension ref="A3:E29"/>
  <sheetViews>
    <sheetView showGridLines="0" workbookViewId="0">
      <selection activeCell="D12" sqref="D12"/>
    </sheetView>
  </sheetViews>
  <sheetFormatPr defaultRowHeight="15" x14ac:dyDescent="0.25"/>
  <cols>
    <col min="1" max="1" width="21.7109375" bestFit="1" customWidth="1"/>
    <col min="2" max="2" width="21" bestFit="1" customWidth="1"/>
    <col min="4" max="4" width="21.7109375" bestFit="1" customWidth="1"/>
    <col min="5" max="5" width="18.28515625" bestFit="1" customWidth="1"/>
  </cols>
  <sheetData>
    <row r="3" spans="1:5" x14ac:dyDescent="0.25">
      <c r="A3" s="49" t="s">
        <v>197</v>
      </c>
      <c r="B3" t="s">
        <v>198</v>
      </c>
      <c r="D3" s="49" t="s">
        <v>197</v>
      </c>
      <c r="E3" t="s">
        <v>199</v>
      </c>
    </row>
    <row r="4" spans="1:5" x14ac:dyDescent="0.25">
      <c r="A4" s="50" t="s">
        <v>6</v>
      </c>
      <c r="B4" s="51">
        <v>0.7142857142857143</v>
      </c>
      <c r="D4" s="50" t="s">
        <v>6</v>
      </c>
      <c r="E4">
        <v>5</v>
      </c>
    </row>
    <row r="5" spans="1:5" x14ac:dyDescent="0.25">
      <c r="A5" s="50" t="s">
        <v>4</v>
      </c>
      <c r="B5" s="51">
        <v>0.2857142857142857</v>
      </c>
      <c r="D5" s="50" t="s">
        <v>4</v>
      </c>
      <c r="E5">
        <v>2</v>
      </c>
    </row>
    <row r="18" spans="2:4" x14ac:dyDescent="0.25">
      <c r="B18" s="58" t="s">
        <v>200</v>
      </c>
      <c r="C18" s="58"/>
      <c r="D18" s="58"/>
    </row>
    <row r="19" spans="2:4" x14ac:dyDescent="0.25">
      <c r="B19" t="str">
        <f>A4</f>
        <v>Painel da Bomba</v>
      </c>
      <c r="C19">
        <f>E4</f>
        <v>5</v>
      </c>
      <c r="D19" s="52">
        <f>C19/$C$29</f>
        <v>0.7142857142857143</v>
      </c>
    </row>
    <row r="20" spans="2:4" x14ac:dyDescent="0.25">
      <c r="B20" t="str">
        <f>A5</f>
        <v>Transformador</v>
      </c>
      <c r="C20">
        <f t="shared" ref="C20:C28" si="0">E5</f>
        <v>2</v>
      </c>
      <c r="D20" s="52">
        <f t="shared" ref="D20:D28" si="1">C20/$C$29</f>
        <v>0.2857142857142857</v>
      </c>
    </row>
    <row r="21" spans="2:4" x14ac:dyDescent="0.25">
      <c r="B21">
        <f t="shared" ref="B21:B28" si="2">A6</f>
        <v>0</v>
      </c>
      <c r="C21">
        <f t="shared" si="0"/>
        <v>0</v>
      </c>
      <c r="D21" s="52">
        <f t="shared" si="1"/>
        <v>0</v>
      </c>
    </row>
    <row r="22" spans="2:4" x14ac:dyDescent="0.25">
      <c r="B22">
        <f t="shared" si="2"/>
        <v>0</v>
      </c>
      <c r="C22">
        <f t="shared" si="0"/>
        <v>0</v>
      </c>
      <c r="D22" s="52">
        <f t="shared" si="1"/>
        <v>0</v>
      </c>
    </row>
    <row r="23" spans="2:4" x14ac:dyDescent="0.25">
      <c r="B23">
        <f t="shared" si="2"/>
        <v>0</v>
      </c>
      <c r="C23">
        <f t="shared" si="0"/>
        <v>0</v>
      </c>
      <c r="D23" s="52">
        <f t="shared" si="1"/>
        <v>0</v>
      </c>
    </row>
    <row r="24" spans="2:4" x14ac:dyDescent="0.25">
      <c r="B24">
        <f t="shared" si="2"/>
        <v>0</v>
      </c>
      <c r="C24">
        <f t="shared" si="0"/>
        <v>0</v>
      </c>
      <c r="D24" s="52">
        <f t="shared" si="1"/>
        <v>0</v>
      </c>
    </row>
    <row r="25" spans="2:4" x14ac:dyDescent="0.25">
      <c r="B25">
        <f t="shared" si="2"/>
        <v>0</v>
      </c>
      <c r="C25">
        <f t="shared" si="0"/>
        <v>0</v>
      </c>
      <c r="D25" s="52">
        <f t="shared" si="1"/>
        <v>0</v>
      </c>
    </row>
    <row r="26" spans="2:4" x14ac:dyDescent="0.25">
      <c r="B26">
        <f t="shared" si="2"/>
        <v>0</v>
      </c>
      <c r="C26">
        <f t="shared" si="0"/>
        <v>0</v>
      </c>
      <c r="D26" s="52">
        <f t="shared" si="1"/>
        <v>0</v>
      </c>
    </row>
    <row r="27" spans="2:4" x14ac:dyDescent="0.25">
      <c r="B27">
        <f t="shared" si="2"/>
        <v>0</v>
      </c>
      <c r="C27">
        <f t="shared" si="0"/>
        <v>0</v>
      </c>
      <c r="D27" s="52">
        <f t="shared" si="1"/>
        <v>0</v>
      </c>
    </row>
    <row r="28" spans="2:4" x14ac:dyDescent="0.25">
      <c r="B28">
        <f t="shared" si="2"/>
        <v>0</v>
      </c>
      <c r="C28">
        <f t="shared" si="0"/>
        <v>0</v>
      </c>
      <c r="D28" s="52">
        <f t="shared" si="1"/>
        <v>0</v>
      </c>
    </row>
    <row r="29" spans="2:4" x14ac:dyDescent="0.25">
      <c r="C29">
        <f>SUM(C19:C28)</f>
        <v>7</v>
      </c>
    </row>
  </sheetData>
  <mergeCells count="1">
    <mergeCell ref="B18:D18"/>
  </mergeCells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7DFD-76A1-47F9-9909-81B952FFE19D}">
  <dimension ref="A3:E32"/>
  <sheetViews>
    <sheetView showGridLines="0" workbookViewId="0">
      <selection activeCell="D14" sqref="D14"/>
    </sheetView>
  </sheetViews>
  <sheetFormatPr defaultRowHeight="15" x14ac:dyDescent="0.25"/>
  <cols>
    <col min="1" max="1" width="21.7109375" bestFit="1" customWidth="1"/>
    <col min="2" max="2" width="21" bestFit="1" customWidth="1"/>
    <col min="4" max="4" width="21.7109375" bestFit="1" customWidth="1"/>
    <col min="5" max="5" width="18.28515625" bestFit="1" customWidth="1"/>
  </cols>
  <sheetData>
    <row r="3" spans="1:5" x14ac:dyDescent="0.25">
      <c r="A3" s="49" t="s">
        <v>197</v>
      </c>
      <c r="B3" t="s">
        <v>198</v>
      </c>
      <c r="D3" s="49" t="s">
        <v>197</v>
      </c>
      <c r="E3" t="s">
        <v>201</v>
      </c>
    </row>
    <row r="4" spans="1:5" x14ac:dyDescent="0.25">
      <c r="A4" s="50" t="s">
        <v>114</v>
      </c>
      <c r="B4" s="51">
        <v>2.8653295128939827E-3</v>
      </c>
      <c r="D4" s="50" t="s">
        <v>114</v>
      </c>
      <c r="E4">
        <v>1</v>
      </c>
    </row>
    <row r="5" spans="1:5" x14ac:dyDescent="0.25">
      <c r="A5" s="50" t="s">
        <v>193</v>
      </c>
      <c r="B5" s="51">
        <v>2.8653295128939827E-3</v>
      </c>
      <c r="D5" s="50" t="s">
        <v>112</v>
      </c>
      <c r="E5">
        <v>41</v>
      </c>
    </row>
    <row r="6" spans="1:5" x14ac:dyDescent="0.25">
      <c r="A6" s="50" t="s">
        <v>169</v>
      </c>
      <c r="B6" s="51">
        <v>5.7306590257879654E-3</v>
      </c>
      <c r="D6" s="50" t="s">
        <v>9</v>
      </c>
      <c r="E6">
        <v>17</v>
      </c>
    </row>
    <row r="7" spans="1:5" x14ac:dyDescent="0.25">
      <c r="A7" s="50" t="s">
        <v>4</v>
      </c>
      <c r="B7" s="51">
        <v>2.865329512893983E-2</v>
      </c>
      <c r="D7" s="50" t="s">
        <v>5</v>
      </c>
      <c r="E7">
        <v>16</v>
      </c>
    </row>
    <row r="8" spans="1:5" x14ac:dyDescent="0.25">
      <c r="A8" s="50" t="s">
        <v>148</v>
      </c>
      <c r="B8" s="51">
        <v>3.151862464183381E-2</v>
      </c>
      <c r="D8" s="50" t="s">
        <v>8</v>
      </c>
      <c r="E8">
        <v>14</v>
      </c>
    </row>
    <row r="9" spans="1:5" x14ac:dyDescent="0.25">
      <c r="A9" s="50" t="s">
        <v>8</v>
      </c>
      <c r="B9" s="51">
        <v>4.0114613180515762E-2</v>
      </c>
      <c r="D9" s="50" t="s">
        <v>11</v>
      </c>
      <c r="E9">
        <v>23</v>
      </c>
    </row>
    <row r="10" spans="1:5" x14ac:dyDescent="0.25">
      <c r="A10" s="50" t="s">
        <v>190</v>
      </c>
      <c r="B10" s="51">
        <v>4.2979942693409739E-2</v>
      </c>
      <c r="D10" s="50" t="s">
        <v>144</v>
      </c>
      <c r="E10">
        <v>30</v>
      </c>
    </row>
    <row r="11" spans="1:5" x14ac:dyDescent="0.25">
      <c r="A11" s="50" t="s">
        <v>5</v>
      </c>
      <c r="B11" s="51">
        <v>4.5845272206303724E-2</v>
      </c>
      <c r="D11" s="50" t="s">
        <v>6</v>
      </c>
      <c r="E11">
        <v>74</v>
      </c>
    </row>
    <row r="12" spans="1:5" x14ac:dyDescent="0.25">
      <c r="A12" s="50" t="s">
        <v>9</v>
      </c>
      <c r="B12" s="51">
        <v>4.8710601719197708E-2</v>
      </c>
      <c r="D12" s="50" t="s">
        <v>7</v>
      </c>
      <c r="E12">
        <v>44</v>
      </c>
    </row>
    <row r="13" spans="1:5" x14ac:dyDescent="0.25">
      <c r="A13" s="50" t="s">
        <v>11</v>
      </c>
      <c r="B13" s="51">
        <v>6.5902578796561598E-2</v>
      </c>
      <c r="D13" s="50" t="s">
        <v>4</v>
      </c>
      <c r="E13">
        <v>10</v>
      </c>
    </row>
    <row r="14" spans="1:5" x14ac:dyDescent="0.25">
      <c r="A14" s="50" t="s">
        <v>144</v>
      </c>
      <c r="B14" s="51">
        <v>8.5959885386819479E-2</v>
      </c>
      <c r="D14" s="50" t="s">
        <v>148</v>
      </c>
      <c r="E14">
        <v>11</v>
      </c>
    </row>
    <row r="15" spans="1:5" x14ac:dyDescent="0.25">
      <c r="A15" s="50" t="s">
        <v>112</v>
      </c>
      <c r="B15" s="51">
        <v>0.1174785100286533</v>
      </c>
      <c r="D15" s="50" t="s">
        <v>169</v>
      </c>
      <c r="E15">
        <v>2</v>
      </c>
    </row>
    <row r="16" spans="1:5" x14ac:dyDescent="0.25">
      <c r="A16" s="50" t="s">
        <v>7</v>
      </c>
      <c r="B16" s="51">
        <v>0.12607449856733524</v>
      </c>
      <c r="D16" s="50" t="s">
        <v>190</v>
      </c>
      <c r="E16">
        <v>15</v>
      </c>
    </row>
    <row r="17" spans="1:5" x14ac:dyDescent="0.25">
      <c r="A17" s="50" t="s">
        <v>192</v>
      </c>
      <c r="B17" s="51">
        <v>0.14326647564469913</v>
      </c>
      <c r="D17" s="50" t="s">
        <v>192</v>
      </c>
      <c r="E17">
        <v>50</v>
      </c>
    </row>
    <row r="18" spans="1:5" x14ac:dyDescent="0.25">
      <c r="A18" s="50" t="s">
        <v>6</v>
      </c>
      <c r="B18" s="51">
        <v>0.21203438395415472</v>
      </c>
      <c r="D18" s="50" t="s">
        <v>193</v>
      </c>
      <c r="E18">
        <v>1</v>
      </c>
    </row>
    <row r="19" spans="1:5" x14ac:dyDescent="0.25">
      <c r="B19" s="58" t="s">
        <v>200</v>
      </c>
      <c r="C19" s="58"/>
      <c r="D19" s="58"/>
    </row>
    <row r="20" spans="1:5" x14ac:dyDescent="0.25">
      <c r="B20" t="str">
        <f>A4</f>
        <v>Cabo  de Segurança</v>
      </c>
      <c r="C20">
        <f>E4</f>
        <v>1</v>
      </c>
      <c r="D20" s="52">
        <f>C20/$C$32</f>
        <v>3.5335689045936395E-3</v>
      </c>
    </row>
    <row r="21" spans="1:5" x14ac:dyDescent="0.25">
      <c r="B21" t="str">
        <f t="shared" ref="B21:B31" si="0">A5</f>
        <v>Pivô em Manual</v>
      </c>
      <c r="C21">
        <f t="shared" ref="C21:C31" si="1">E5</f>
        <v>41</v>
      </c>
      <c r="D21" s="52">
        <f t="shared" ref="D21:D31" si="2">C21/$C$32</f>
        <v>0.14487632508833923</v>
      </c>
    </row>
    <row r="22" spans="1:5" x14ac:dyDescent="0.25">
      <c r="B22" t="str">
        <f t="shared" si="0"/>
        <v>Injeferd</v>
      </c>
      <c r="C22">
        <f t="shared" si="1"/>
        <v>17</v>
      </c>
      <c r="D22" s="52">
        <f t="shared" si="2"/>
        <v>6.0070671378091869E-2</v>
      </c>
    </row>
    <row r="23" spans="1:5" x14ac:dyDescent="0.25">
      <c r="B23" t="str">
        <f t="shared" si="0"/>
        <v>Transformador</v>
      </c>
      <c r="C23">
        <f t="shared" si="1"/>
        <v>16</v>
      </c>
      <c r="D23" s="52">
        <f t="shared" si="2"/>
        <v>5.6537102473498232E-2</v>
      </c>
    </row>
    <row r="24" spans="1:5" x14ac:dyDescent="0.25">
      <c r="B24" t="str">
        <f t="shared" si="0"/>
        <v>Gerador</v>
      </c>
      <c r="C24">
        <f t="shared" si="1"/>
        <v>14</v>
      </c>
      <c r="D24" s="52">
        <f t="shared" si="2"/>
        <v>4.9469964664310952E-2</v>
      </c>
    </row>
    <row r="25" spans="1:5" x14ac:dyDescent="0.25">
      <c r="B25" t="str">
        <f t="shared" si="0"/>
        <v>Contactora</v>
      </c>
      <c r="C25">
        <f t="shared" si="1"/>
        <v>23</v>
      </c>
      <c r="D25" s="52">
        <f t="shared" si="2"/>
        <v>8.1272084805653705E-2</v>
      </c>
    </row>
    <row r="26" spans="1:5" x14ac:dyDescent="0.25">
      <c r="B26" t="str">
        <f t="shared" si="0"/>
        <v>Disjuntor</v>
      </c>
      <c r="C26">
        <f t="shared" si="1"/>
        <v>30</v>
      </c>
      <c r="D26" s="52">
        <f t="shared" si="2"/>
        <v>0.10600706713780919</v>
      </c>
    </row>
    <row r="27" spans="1:5" x14ac:dyDescent="0.25">
      <c r="B27" t="str">
        <f t="shared" si="0"/>
        <v>Chave Aberta</v>
      </c>
      <c r="C27">
        <f t="shared" si="1"/>
        <v>74</v>
      </c>
      <c r="D27" s="52">
        <f t="shared" si="2"/>
        <v>0.26148409893992935</v>
      </c>
    </row>
    <row r="28" spans="1:5" x14ac:dyDescent="0.25">
      <c r="B28" t="str">
        <f t="shared" si="0"/>
        <v>Caixa do Micro</v>
      </c>
      <c r="C28">
        <f t="shared" si="1"/>
        <v>44</v>
      </c>
      <c r="D28" s="52">
        <f t="shared" si="2"/>
        <v>0.15547703180212014</v>
      </c>
    </row>
    <row r="29" spans="1:5" x14ac:dyDescent="0.25">
      <c r="B29" t="str">
        <f t="shared" si="0"/>
        <v>Falta de Fase</v>
      </c>
      <c r="C29">
        <f t="shared" si="1"/>
        <v>10</v>
      </c>
      <c r="D29" s="52">
        <f t="shared" si="2"/>
        <v>3.5335689045936397E-2</v>
      </c>
    </row>
    <row r="30" spans="1:5" x14ac:dyDescent="0.25">
      <c r="B30" t="str">
        <f t="shared" si="0"/>
        <v>Inversor de Frequência</v>
      </c>
      <c r="C30">
        <f t="shared" si="1"/>
        <v>11</v>
      </c>
      <c r="D30" s="52">
        <f t="shared" si="2"/>
        <v>3.8869257950530034E-2</v>
      </c>
    </row>
    <row r="31" spans="1:5" x14ac:dyDescent="0.25">
      <c r="B31" t="str">
        <f t="shared" si="0"/>
        <v>Cabo Acionamento</v>
      </c>
      <c r="C31">
        <f t="shared" si="1"/>
        <v>2</v>
      </c>
      <c r="D31" s="52">
        <f t="shared" si="2"/>
        <v>7.0671378091872791E-3</v>
      </c>
    </row>
    <row r="32" spans="1:5" x14ac:dyDescent="0.25">
      <c r="C32">
        <f>SUM(C20:C31)</f>
        <v>283</v>
      </c>
    </row>
  </sheetData>
  <mergeCells count="1">
    <mergeCell ref="B19:D19"/>
  </mergeCells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CFB4-CA52-485F-B2D4-5A5A5A84C9BB}">
  <dimension ref="A1"/>
  <sheetViews>
    <sheetView showGridLines="0" showRowColHeaders="0" zoomScaleNormal="100" workbookViewId="0">
      <selection activeCell="Y14" sqref="Y1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3C32D6-E064-45E8-A3DE-38735E2927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1</vt:i4>
      </vt:variant>
    </vt:vector>
  </HeadingPairs>
  <TitlesOfParts>
    <vt:vector size="77" baseType="lpstr">
      <vt:lpstr>Acumulado</vt:lpstr>
      <vt:lpstr>21 02 2022</vt:lpstr>
      <vt:lpstr>28 02 2022</vt:lpstr>
      <vt:lpstr>07 03 2022</vt:lpstr>
      <vt:lpstr>14 03 2022</vt:lpstr>
      <vt:lpstr>21 03 2022</vt:lpstr>
      <vt:lpstr>28 03 2022</vt:lpstr>
      <vt:lpstr>04 04 2022</vt:lpstr>
      <vt:lpstr>11 04 2022</vt:lpstr>
      <vt:lpstr>18 04 2022</vt:lpstr>
      <vt:lpstr>25 04 2022</vt:lpstr>
      <vt:lpstr>02 05 2022</vt:lpstr>
      <vt:lpstr>09 05 2022</vt:lpstr>
      <vt:lpstr>16 05 2022</vt:lpstr>
      <vt:lpstr>23 05 2022 </vt:lpstr>
      <vt:lpstr>06 06 2022 </vt:lpstr>
      <vt:lpstr>13 06 2022  </vt:lpstr>
      <vt:lpstr>20 06 2022  </vt:lpstr>
      <vt:lpstr>27 06 2022  </vt:lpstr>
      <vt:lpstr>04 07 2022</vt:lpstr>
      <vt:lpstr>11 07 2022 </vt:lpstr>
      <vt:lpstr>18 07 2022  </vt:lpstr>
      <vt:lpstr>25 07 2022   </vt:lpstr>
      <vt:lpstr>01 08 2022    </vt:lpstr>
      <vt:lpstr>08 08 2022     </vt:lpstr>
      <vt:lpstr>15 08 2022    </vt:lpstr>
      <vt:lpstr>22 08 2022     </vt:lpstr>
      <vt:lpstr>29 08 2022      </vt:lpstr>
      <vt:lpstr>05 09 2022      </vt:lpstr>
      <vt:lpstr>12 09 2022       </vt:lpstr>
      <vt:lpstr>19 09 2022        </vt:lpstr>
      <vt:lpstr>26 09 2022         </vt:lpstr>
      <vt:lpstr>03 10 2022         </vt:lpstr>
      <vt:lpstr>10 10 2022         </vt:lpstr>
      <vt:lpstr>17 10 2022       </vt:lpstr>
      <vt:lpstr>24 10 2022</vt:lpstr>
      <vt:lpstr>31 10 2022</vt:lpstr>
      <vt:lpstr>07 11 2022</vt:lpstr>
      <vt:lpstr>14 11 2022</vt:lpstr>
      <vt:lpstr>28 11 2022</vt:lpstr>
      <vt:lpstr>05 12 2022</vt:lpstr>
      <vt:lpstr>19 12 2022</vt:lpstr>
      <vt:lpstr>26 12 2022</vt:lpstr>
      <vt:lpstr>02 01 2023</vt:lpstr>
      <vt:lpstr>09 01 2023</vt:lpstr>
      <vt:lpstr>16 01 2023</vt:lpstr>
      <vt:lpstr>23 01 2023</vt:lpstr>
      <vt:lpstr>30 01 2023</vt:lpstr>
      <vt:lpstr>06 02 2023</vt:lpstr>
      <vt:lpstr>13 02 2023</vt:lpstr>
      <vt:lpstr>20 02 2023</vt:lpstr>
      <vt:lpstr>27 02 2023</vt:lpstr>
      <vt:lpstr>06 03 2023</vt:lpstr>
      <vt:lpstr>13 03 2023</vt:lpstr>
      <vt:lpstr>20 03 2023</vt:lpstr>
      <vt:lpstr>27 03 2023</vt:lpstr>
      <vt:lpstr>03 04 2023 </vt:lpstr>
      <vt:lpstr>10 04 2023</vt:lpstr>
      <vt:lpstr>17 04 2023</vt:lpstr>
      <vt:lpstr>24 04 2023</vt:lpstr>
      <vt:lpstr>01 05 2023</vt:lpstr>
      <vt:lpstr>08 05 2023</vt:lpstr>
      <vt:lpstr>15 05 2023</vt:lpstr>
      <vt:lpstr>22 05 2023</vt:lpstr>
      <vt:lpstr>05 06 2023</vt:lpstr>
      <vt:lpstr>12 06 2023</vt:lpstr>
      <vt:lpstr>19 06 2023</vt:lpstr>
      <vt:lpstr>26 06 2023</vt:lpstr>
      <vt:lpstr>03 07 2023</vt:lpstr>
      <vt:lpstr>10 07 2023</vt:lpstr>
      <vt:lpstr>17 07 2023</vt:lpstr>
      <vt:lpstr>24 07 2023</vt:lpstr>
      <vt:lpstr>Base de Dados</vt:lpstr>
      <vt:lpstr>Analise Semanal</vt:lpstr>
      <vt:lpstr>Analise Anual</vt:lpstr>
      <vt:lpstr>Dashboard Indicadores</vt:lpstr>
      <vt:lpstr>Acumulado!semestre01de2022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Kalito Silva</dc:creator>
  <cp:keywords/>
  <dc:description/>
  <cp:lastModifiedBy>Kalito Silva</cp:lastModifiedBy>
  <cp:revision/>
  <dcterms:created xsi:type="dcterms:W3CDTF">2022-02-17T20:52:24Z</dcterms:created>
  <dcterms:modified xsi:type="dcterms:W3CDTF">2023-08-02T15:04:38Z</dcterms:modified>
  <cp:category/>
  <cp:contentStatus/>
</cp:coreProperties>
</file>