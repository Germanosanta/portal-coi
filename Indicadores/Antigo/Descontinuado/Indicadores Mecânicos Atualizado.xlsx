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2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3.xml" ContentType="application/vnd.openxmlformats-officedocument.drawing+xml"/>
  <Override PartName="/xl/slicers/slicer2.xml" ContentType="application/vnd.ms-excel.slicer+xml"/>
  <Override PartName="/xl/drawings/drawing74.xml" ContentType="application/vnd.openxmlformats-officedocument.drawing+xml"/>
  <Override PartName="/xl/slicers/slicer3.xml" ContentType="application/vnd.ms-excel.slicer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Novo Atualizado/"/>
    </mc:Choice>
  </mc:AlternateContent>
  <xr:revisionPtr revIDLastSave="321" documentId="6_{A3F166A7-7CA0-4D48-B1E3-8651011C9346}" xr6:coauthVersionLast="47" xr6:coauthVersionMax="47" xr10:uidLastSave="{282F30F4-28A2-4441-ABBF-781AEC409AB9}"/>
  <bookViews>
    <workbookView xWindow="-57720" yWindow="-4650" windowWidth="29040" windowHeight="15840" tabRatio="781" firstSheet="10" activeTab="10" xr2:uid="{BD5C5A8C-1367-44D9-856B-9E5869C29C53}"/>
  </bookViews>
  <sheets>
    <sheet name="Acumulado" sheetId="3" r:id="rId1"/>
    <sheet name="21 02 2022" sheetId="1" r:id="rId2"/>
    <sheet name="28 02 2022 " sheetId="4" r:id="rId3"/>
    <sheet name="07 03 2022" sheetId="5" r:id="rId4"/>
    <sheet name="14 03 2022" sheetId="6" r:id="rId5"/>
    <sheet name="21 03 2022" sheetId="7" r:id="rId6"/>
    <sheet name="28 03 2022" sheetId="8" r:id="rId7"/>
    <sheet name="04 04 2022" sheetId="9" r:id="rId8"/>
    <sheet name="11 04 2022" sheetId="10" r:id="rId9"/>
    <sheet name="18 04 2022" sheetId="11" r:id="rId10"/>
    <sheet name="25 04 2022" sheetId="12" r:id="rId11"/>
    <sheet name="02 05 2022" sheetId="13" r:id="rId12"/>
    <sheet name="09 05 2022" sheetId="14" r:id="rId13"/>
    <sheet name="16 05 2022 " sheetId="15" r:id="rId14"/>
    <sheet name="23 05 2022  " sheetId="16" r:id="rId15"/>
    <sheet name="30 05 2022   " sheetId="17" r:id="rId16"/>
    <sheet name="06 06 2022" sheetId="19" r:id="rId17"/>
    <sheet name="13 06 2022   " sheetId="18" r:id="rId18"/>
    <sheet name="20 06 2022   " sheetId="20" r:id="rId19"/>
    <sheet name="27 06 2022  " sheetId="21" r:id="rId20"/>
    <sheet name="04 07 2022" sheetId="22" r:id="rId21"/>
    <sheet name="11 07 2022 " sheetId="27" r:id="rId22"/>
    <sheet name="18 07 2022  " sheetId="28" r:id="rId23"/>
    <sheet name="25 07 2022   " sheetId="29" r:id="rId24"/>
    <sheet name="01 08 2022    " sheetId="30" r:id="rId25"/>
    <sheet name="08 08 2022     " sheetId="31" r:id="rId26"/>
    <sheet name="15 08 2022     " sheetId="32" r:id="rId27"/>
    <sheet name="22 08 2022      " sheetId="33" r:id="rId28"/>
    <sheet name="29 08 2022       " sheetId="34" r:id="rId29"/>
    <sheet name="05 09 2022       " sheetId="35" r:id="rId30"/>
    <sheet name="12 09 2022        " sheetId="36" r:id="rId31"/>
    <sheet name="19 09 2022         " sheetId="37" r:id="rId32"/>
    <sheet name="26 09 2022          " sheetId="38" r:id="rId33"/>
    <sheet name="03 10 2022         " sheetId="39" r:id="rId34"/>
    <sheet name="10 10 2022        " sheetId="40" r:id="rId35"/>
    <sheet name="17 10 2022       " sheetId="41" r:id="rId36"/>
    <sheet name="24 10 2022" sheetId="42" r:id="rId37"/>
    <sheet name="31 10 2022" sheetId="43" r:id="rId38"/>
    <sheet name="07 11 2022" sheetId="44" r:id="rId39"/>
    <sheet name="14 11 2022" sheetId="45" r:id="rId40"/>
    <sheet name="05 12 2022" sheetId="46" r:id="rId41"/>
    <sheet name="26 12 2022" sheetId="52" r:id="rId42"/>
    <sheet name="02 01 2023" sheetId="47" r:id="rId43"/>
    <sheet name="09 01 2023" sheetId="53" r:id="rId44"/>
    <sheet name="16 01 2023" sheetId="54" r:id="rId45"/>
    <sheet name="30 01 2023" sheetId="48" r:id="rId46"/>
    <sheet name="06 02 2023" sheetId="49" r:id="rId47"/>
    <sheet name="13 02 2023" sheetId="50" r:id="rId48"/>
    <sheet name="20 02 2023" sheetId="51" r:id="rId49"/>
    <sheet name="27 02 2023" sheetId="55" r:id="rId50"/>
    <sheet name="06 03 2023" sheetId="56" r:id="rId51"/>
    <sheet name="13 03 2023" sheetId="57" r:id="rId52"/>
    <sheet name="20 03 2023" sheetId="58" r:id="rId53"/>
    <sheet name="27 03 2023" sheetId="59" r:id="rId54"/>
    <sheet name="03 04 2023" sheetId="60" r:id="rId55"/>
    <sheet name="10 04 2023" sheetId="61" r:id="rId56"/>
    <sheet name="17 04 2023" sheetId="62" r:id="rId57"/>
    <sheet name="24 04 2023" sheetId="63" r:id="rId58"/>
    <sheet name="01 05 2023" sheetId="64" r:id="rId59"/>
    <sheet name="08 05 2023" sheetId="65" r:id="rId60"/>
    <sheet name="15 05 2023" sheetId="66" r:id="rId61"/>
    <sheet name="22 05 2023" sheetId="67" r:id="rId62"/>
    <sheet name="29 05 2023" sheetId="68" r:id="rId63"/>
    <sheet name="05 06 2023" sheetId="69" r:id="rId64"/>
    <sheet name="12 06 2023" sheetId="70" r:id="rId65"/>
    <sheet name="19 06 2023" sheetId="71" r:id="rId66"/>
    <sheet name="26 06 2023" sheetId="72" r:id="rId67"/>
    <sheet name="03 07 2023" sheetId="73" r:id="rId68"/>
    <sheet name="10 07 2023" sheetId="74" r:id="rId69"/>
    <sheet name="17 07 2023" sheetId="75" r:id="rId70"/>
    <sheet name="24 07 2023" sheetId="76" r:id="rId71"/>
    <sheet name="Base de Dados" sheetId="23" r:id="rId72"/>
    <sheet name="Analise Semanal" sheetId="24" r:id="rId73"/>
    <sheet name="Analise Anual" sheetId="25" r:id="rId74"/>
    <sheet name="Dashboard de Indicadores" sheetId="26" r:id="rId75"/>
  </sheets>
  <definedNames>
    <definedName name="DadosExternos_1" localSheetId="71" hidden="1">'Base de Dados'!$A$1:$D$778</definedName>
    <definedName name="SegmentaçãodeDados_Ano">#N/A</definedName>
    <definedName name="SegmentaçãodeDados_Periodo">#N/A</definedName>
    <definedName name="SegmentaçãodeDados_Semana">#N/A</definedName>
  </definedNames>
  <calcPr calcId="181029"/>
  <pivotCaches>
    <pivotCache cacheId="3" r:id="rId76"/>
  </pivotCaches>
  <extLst>
    <ext xmlns:x14="http://schemas.microsoft.com/office/spreadsheetml/2009/9/main" uri="{BBE1A952-AA13-448e-AADC-164F8A28A991}">
      <x14:slicerCaches>
        <x14:slicerCache r:id="rId77"/>
        <x14:slicerCache r:id="rId78"/>
        <x14:slicerCache r:id="rId7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66" i="23" l="1"/>
  <c r="F767" i="23"/>
  <c r="F768" i="23"/>
  <c r="F769" i="23"/>
  <c r="F770" i="23"/>
  <c r="F771" i="23"/>
  <c r="F772" i="23"/>
  <c r="F773" i="23"/>
  <c r="F774" i="23"/>
  <c r="F775" i="23"/>
  <c r="F776" i="23"/>
  <c r="F777" i="23"/>
  <c r="F778" i="23"/>
  <c r="F765" i="23"/>
  <c r="E766" i="23"/>
  <c r="E767" i="23"/>
  <c r="E768" i="23"/>
  <c r="E769" i="23"/>
  <c r="E770" i="23"/>
  <c r="E771" i="23"/>
  <c r="E772" i="23"/>
  <c r="E773" i="23"/>
  <c r="E774" i="23"/>
  <c r="E775" i="23"/>
  <c r="E776" i="23"/>
  <c r="E777" i="23"/>
  <c r="E778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K17" i="76"/>
  <c r="K16" i="76"/>
  <c r="K15" i="76"/>
  <c r="K14" i="76"/>
  <c r="K13" i="76"/>
  <c r="K12" i="76"/>
  <c r="K11" i="76"/>
  <c r="K10" i="76"/>
  <c r="K9" i="76"/>
  <c r="K8" i="76"/>
  <c r="K7" i="76"/>
  <c r="K6" i="76"/>
  <c r="M5" i="76"/>
  <c r="K5" i="76"/>
  <c r="B4" i="76"/>
  <c r="D3" i="76"/>
  <c r="D4" i="76" s="1"/>
  <c r="C3" i="76"/>
  <c r="C4" i="76" s="1"/>
  <c r="F753" i="23"/>
  <c r="F754" i="23"/>
  <c r="F755" i="23"/>
  <c r="F756" i="23"/>
  <c r="F757" i="23"/>
  <c r="F758" i="23"/>
  <c r="F759" i="23"/>
  <c r="F760" i="23"/>
  <c r="F761" i="23"/>
  <c r="F762" i="23"/>
  <c r="F763" i="23"/>
  <c r="F764" i="23"/>
  <c r="E753" i="23"/>
  <c r="E754" i="23"/>
  <c r="E755" i="23"/>
  <c r="E756" i="23"/>
  <c r="E757" i="23"/>
  <c r="E758" i="23"/>
  <c r="E759" i="23"/>
  <c r="E760" i="23"/>
  <c r="E761" i="23"/>
  <c r="E762" i="23"/>
  <c r="E763" i="23"/>
  <c r="E764" i="23"/>
  <c r="E765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K17" i="75"/>
  <c r="K16" i="75"/>
  <c r="K15" i="75"/>
  <c r="K14" i="75"/>
  <c r="K13" i="75"/>
  <c r="K12" i="75"/>
  <c r="K11" i="75"/>
  <c r="K10" i="75"/>
  <c r="K9" i="75"/>
  <c r="K8" i="75"/>
  <c r="K7" i="75"/>
  <c r="K6" i="75"/>
  <c r="M5" i="75"/>
  <c r="K5" i="75"/>
  <c r="B4" i="75"/>
  <c r="D3" i="75"/>
  <c r="D4" i="75" s="1"/>
  <c r="C3" i="75"/>
  <c r="C4" i="75" s="1"/>
  <c r="F740" i="23"/>
  <c r="F741" i="23"/>
  <c r="F742" i="23"/>
  <c r="F743" i="23"/>
  <c r="F744" i="23"/>
  <c r="F745" i="23"/>
  <c r="F746" i="23"/>
  <c r="F747" i="23"/>
  <c r="F748" i="23"/>
  <c r="F749" i="23"/>
  <c r="F750" i="23"/>
  <c r="F751" i="23"/>
  <c r="F752" i="23"/>
  <c r="E740" i="23"/>
  <c r="E741" i="23"/>
  <c r="E742" i="23"/>
  <c r="E743" i="23"/>
  <c r="E744" i="23"/>
  <c r="E745" i="23"/>
  <c r="E746" i="23"/>
  <c r="E747" i="23"/>
  <c r="E748" i="23"/>
  <c r="E749" i="23"/>
  <c r="E750" i="23"/>
  <c r="E751" i="23"/>
  <c r="E752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K17" i="74"/>
  <c r="K16" i="74"/>
  <c r="K15" i="74"/>
  <c r="K14" i="74"/>
  <c r="K13" i="74"/>
  <c r="K12" i="74"/>
  <c r="K11" i="74"/>
  <c r="K10" i="74"/>
  <c r="K9" i="74"/>
  <c r="K8" i="74"/>
  <c r="K7" i="74"/>
  <c r="K6" i="74"/>
  <c r="M5" i="74"/>
  <c r="K5" i="74"/>
  <c r="B4" i="74"/>
  <c r="C3" i="74"/>
  <c r="C4" i="74" s="1"/>
  <c r="F727" i="23"/>
  <c r="F728" i="23"/>
  <c r="F729" i="23"/>
  <c r="F730" i="23"/>
  <c r="F731" i="23"/>
  <c r="F732" i="23"/>
  <c r="F733" i="23"/>
  <c r="F734" i="23"/>
  <c r="F735" i="23"/>
  <c r="F736" i="23"/>
  <c r="F737" i="23"/>
  <c r="F738" i="23"/>
  <c r="F739" i="23"/>
  <c r="E727" i="23"/>
  <c r="E728" i="23"/>
  <c r="E729" i="23"/>
  <c r="E730" i="23"/>
  <c r="E731" i="23"/>
  <c r="E732" i="23"/>
  <c r="E733" i="23"/>
  <c r="E734" i="23"/>
  <c r="E735" i="23"/>
  <c r="E736" i="23"/>
  <c r="E737" i="23"/>
  <c r="E738" i="23"/>
  <c r="E739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K17" i="73"/>
  <c r="K16" i="73"/>
  <c r="K15" i="73"/>
  <c r="K14" i="73"/>
  <c r="K13" i="73"/>
  <c r="K12" i="73"/>
  <c r="K11" i="73"/>
  <c r="K10" i="73"/>
  <c r="K9" i="73"/>
  <c r="K8" i="73"/>
  <c r="K7" i="73"/>
  <c r="K6" i="73"/>
  <c r="M5" i="73"/>
  <c r="K5" i="73"/>
  <c r="B4" i="73"/>
  <c r="D3" i="73"/>
  <c r="D4" i="73" s="1"/>
  <c r="C3" i="73"/>
  <c r="C4" i="73" s="1"/>
  <c r="F725" i="23"/>
  <c r="F726" i="23"/>
  <c r="E726" i="23"/>
  <c r="G726" i="23"/>
  <c r="K16" i="72"/>
  <c r="F714" i="23"/>
  <c r="F715" i="23"/>
  <c r="F716" i="23"/>
  <c r="F717" i="23"/>
  <c r="F718" i="23"/>
  <c r="F719" i="23"/>
  <c r="F720" i="23"/>
  <c r="F721" i="23"/>
  <c r="F722" i="23"/>
  <c r="F723" i="23"/>
  <c r="F724" i="23"/>
  <c r="E714" i="23"/>
  <c r="E715" i="23"/>
  <c r="E716" i="23"/>
  <c r="E717" i="23"/>
  <c r="E718" i="23"/>
  <c r="E719" i="23"/>
  <c r="E720" i="23"/>
  <c r="E721" i="23"/>
  <c r="E722" i="23"/>
  <c r="E723" i="23"/>
  <c r="E724" i="23"/>
  <c r="E725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F702" i="23"/>
  <c r="F703" i="23"/>
  <c r="F704" i="23"/>
  <c r="F705" i="23"/>
  <c r="F706" i="23"/>
  <c r="F707" i="23"/>
  <c r="F708" i="23"/>
  <c r="F709" i="23"/>
  <c r="F710" i="23"/>
  <c r="F711" i="23"/>
  <c r="F712" i="23"/>
  <c r="F713" i="23"/>
  <c r="E702" i="23"/>
  <c r="E703" i="23"/>
  <c r="E704" i="23"/>
  <c r="E705" i="23"/>
  <c r="E706" i="23"/>
  <c r="E707" i="23"/>
  <c r="E708" i="23"/>
  <c r="E709" i="23"/>
  <c r="E710" i="23"/>
  <c r="E711" i="23"/>
  <c r="E712" i="23"/>
  <c r="E713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K17" i="72"/>
  <c r="K15" i="72"/>
  <c r="K14" i="72"/>
  <c r="K13" i="72"/>
  <c r="K12" i="72"/>
  <c r="K11" i="72"/>
  <c r="K10" i="72"/>
  <c r="K9" i="72"/>
  <c r="K8" i="72"/>
  <c r="K7" i="72"/>
  <c r="K6" i="72"/>
  <c r="M5" i="72"/>
  <c r="K5" i="72"/>
  <c r="C4" i="72"/>
  <c r="B4" i="72"/>
  <c r="C3" i="72"/>
  <c r="D3" i="72" s="1"/>
  <c r="K16" i="71"/>
  <c r="K15" i="71"/>
  <c r="K14" i="71"/>
  <c r="K13" i="71"/>
  <c r="K12" i="71"/>
  <c r="K11" i="71"/>
  <c r="K10" i="71"/>
  <c r="K9" i="71"/>
  <c r="K8" i="71"/>
  <c r="K7" i="71"/>
  <c r="K6" i="71"/>
  <c r="M5" i="71"/>
  <c r="K5" i="71"/>
  <c r="B4" i="71"/>
  <c r="C3" i="71"/>
  <c r="D3" i="71" s="1"/>
  <c r="F690" i="23"/>
  <c r="F691" i="23"/>
  <c r="F692" i="23"/>
  <c r="F693" i="23"/>
  <c r="F694" i="23"/>
  <c r="F695" i="23"/>
  <c r="F696" i="23"/>
  <c r="F697" i="23"/>
  <c r="F698" i="23"/>
  <c r="F699" i="23"/>
  <c r="F700" i="23"/>
  <c r="F701" i="23"/>
  <c r="F689" i="23"/>
  <c r="E690" i="23"/>
  <c r="E691" i="23"/>
  <c r="E692" i="23"/>
  <c r="E693" i="23"/>
  <c r="E694" i="23"/>
  <c r="E695" i="23"/>
  <c r="E696" i="23"/>
  <c r="E697" i="23"/>
  <c r="E698" i="23"/>
  <c r="E699" i="23"/>
  <c r="E700" i="23"/>
  <c r="E701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K16" i="70"/>
  <c r="K15" i="70"/>
  <c r="K14" i="70"/>
  <c r="K13" i="70"/>
  <c r="K12" i="70"/>
  <c r="K11" i="70"/>
  <c r="K10" i="70"/>
  <c r="K9" i="70"/>
  <c r="K8" i="70"/>
  <c r="K7" i="70"/>
  <c r="K6" i="70"/>
  <c r="M5" i="70"/>
  <c r="K5" i="70"/>
  <c r="B4" i="70"/>
  <c r="C3" i="70"/>
  <c r="D3" i="70" s="1"/>
  <c r="F678" i="23"/>
  <c r="F679" i="23"/>
  <c r="F680" i="23"/>
  <c r="F681" i="23"/>
  <c r="F682" i="23"/>
  <c r="F683" i="23"/>
  <c r="F684" i="23"/>
  <c r="F685" i="23"/>
  <c r="F686" i="23"/>
  <c r="F687" i="23"/>
  <c r="F688" i="23"/>
  <c r="E678" i="23"/>
  <c r="E679" i="23"/>
  <c r="E680" i="23"/>
  <c r="E681" i="23"/>
  <c r="E682" i="23"/>
  <c r="E683" i="23"/>
  <c r="E684" i="23"/>
  <c r="E685" i="23"/>
  <c r="E686" i="23"/>
  <c r="E687" i="23"/>
  <c r="E688" i="23"/>
  <c r="E689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K16" i="69"/>
  <c r="K15" i="69"/>
  <c r="K14" i="69"/>
  <c r="K13" i="69"/>
  <c r="K12" i="69"/>
  <c r="K11" i="69"/>
  <c r="K10" i="69"/>
  <c r="K9" i="69"/>
  <c r="K8" i="69"/>
  <c r="K7" i="69"/>
  <c r="K6" i="69"/>
  <c r="M5" i="69"/>
  <c r="K5" i="69"/>
  <c r="B4" i="69"/>
  <c r="C3" i="69"/>
  <c r="D3" i="69" s="1"/>
  <c r="F666" i="23"/>
  <c r="F667" i="23"/>
  <c r="F668" i="23"/>
  <c r="F669" i="23"/>
  <c r="F670" i="23"/>
  <c r="F671" i="23"/>
  <c r="F672" i="23"/>
  <c r="F673" i="23"/>
  <c r="F674" i="23"/>
  <c r="F675" i="23"/>
  <c r="F676" i="23"/>
  <c r="F677" i="23"/>
  <c r="E666" i="23"/>
  <c r="E667" i="23"/>
  <c r="E668" i="23"/>
  <c r="E669" i="23"/>
  <c r="E670" i="23"/>
  <c r="E671" i="23"/>
  <c r="E672" i="23"/>
  <c r="E673" i="23"/>
  <c r="E674" i="23"/>
  <c r="E675" i="23"/>
  <c r="E676" i="23"/>
  <c r="E677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K16" i="68"/>
  <c r="K15" i="68"/>
  <c r="K14" i="68"/>
  <c r="K13" i="68"/>
  <c r="K12" i="68"/>
  <c r="K11" i="68"/>
  <c r="K10" i="68"/>
  <c r="K9" i="68"/>
  <c r="K8" i="68"/>
  <c r="K7" i="68"/>
  <c r="K6" i="68"/>
  <c r="M5" i="68"/>
  <c r="K5" i="68"/>
  <c r="B4" i="68"/>
  <c r="C3" i="68"/>
  <c r="F654" i="23"/>
  <c r="F655" i="23"/>
  <c r="F656" i="23"/>
  <c r="F657" i="23"/>
  <c r="F658" i="23"/>
  <c r="F659" i="23"/>
  <c r="F660" i="23"/>
  <c r="F661" i="23"/>
  <c r="F662" i="23"/>
  <c r="F663" i="23"/>
  <c r="F664" i="23"/>
  <c r="F665" i="23"/>
  <c r="E654" i="23"/>
  <c r="E655" i="23"/>
  <c r="E656" i="23"/>
  <c r="E657" i="23"/>
  <c r="E658" i="23"/>
  <c r="E659" i="23"/>
  <c r="E660" i="23"/>
  <c r="E661" i="23"/>
  <c r="E662" i="23"/>
  <c r="E663" i="23"/>
  <c r="E664" i="23"/>
  <c r="E665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K16" i="67"/>
  <c r="K15" i="67"/>
  <c r="K14" i="67"/>
  <c r="K13" i="67"/>
  <c r="K12" i="67"/>
  <c r="K11" i="67"/>
  <c r="K10" i="67"/>
  <c r="K9" i="67"/>
  <c r="K8" i="67"/>
  <c r="K7" i="67"/>
  <c r="K6" i="67"/>
  <c r="M5" i="67"/>
  <c r="K5" i="67"/>
  <c r="B4" i="67"/>
  <c r="C3" i="67"/>
  <c r="F642" i="23"/>
  <c r="F643" i="23"/>
  <c r="F644" i="23"/>
  <c r="F645" i="23"/>
  <c r="F646" i="23"/>
  <c r="F647" i="23"/>
  <c r="F648" i="23"/>
  <c r="F649" i="23"/>
  <c r="F650" i="23"/>
  <c r="F651" i="23"/>
  <c r="F652" i="23"/>
  <c r="F653" i="23"/>
  <c r="E642" i="23"/>
  <c r="E643" i="23"/>
  <c r="E644" i="23"/>
  <c r="E645" i="23"/>
  <c r="E646" i="23"/>
  <c r="E647" i="23"/>
  <c r="E648" i="23"/>
  <c r="E649" i="23"/>
  <c r="E650" i="23"/>
  <c r="E651" i="23"/>
  <c r="E652" i="23"/>
  <c r="E653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K16" i="66"/>
  <c r="K15" i="66"/>
  <c r="K14" i="66"/>
  <c r="K13" i="66"/>
  <c r="K12" i="66"/>
  <c r="K11" i="66"/>
  <c r="K10" i="66"/>
  <c r="K9" i="66"/>
  <c r="K8" i="66"/>
  <c r="K7" i="66"/>
  <c r="K6" i="66"/>
  <c r="M5" i="66"/>
  <c r="K5" i="66"/>
  <c r="B4" i="66"/>
  <c r="C3" i="66"/>
  <c r="D3" i="66" s="1"/>
  <c r="F630" i="23"/>
  <c r="F631" i="23"/>
  <c r="F632" i="23"/>
  <c r="F633" i="23"/>
  <c r="F634" i="23"/>
  <c r="F635" i="23"/>
  <c r="F636" i="23"/>
  <c r="F637" i="23"/>
  <c r="F638" i="23"/>
  <c r="F639" i="23"/>
  <c r="F640" i="23"/>
  <c r="F641" i="23"/>
  <c r="E630" i="23"/>
  <c r="E631" i="23"/>
  <c r="E632" i="23"/>
  <c r="E633" i="23"/>
  <c r="E634" i="23"/>
  <c r="E635" i="23"/>
  <c r="E636" i="23"/>
  <c r="E637" i="23"/>
  <c r="E638" i="23"/>
  <c r="E639" i="23"/>
  <c r="E640" i="23"/>
  <c r="E641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K16" i="65"/>
  <c r="K15" i="65"/>
  <c r="K14" i="65"/>
  <c r="K13" i="65"/>
  <c r="K12" i="65"/>
  <c r="K11" i="65"/>
  <c r="K10" i="65"/>
  <c r="K9" i="65"/>
  <c r="K8" i="65"/>
  <c r="K7" i="65"/>
  <c r="K6" i="65"/>
  <c r="M5" i="65"/>
  <c r="K5" i="65"/>
  <c r="B4" i="65"/>
  <c r="C3" i="65"/>
  <c r="D3" i="65" s="1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E618" i="23"/>
  <c r="F618" i="23"/>
  <c r="E619" i="23"/>
  <c r="F619" i="23"/>
  <c r="E620" i="23"/>
  <c r="F620" i="23"/>
  <c r="E621" i="23"/>
  <c r="F621" i="23"/>
  <c r="E622" i="23"/>
  <c r="F622" i="23"/>
  <c r="E623" i="23"/>
  <c r="F623" i="23"/>
  <c r="E624" i="23"/>
  <c r="F624" i="23"/>
  <c r="E625" i="23"/>
  <c r="F625" i="23"/>
  <c r="E626" i="23"/>
  <c r="F626" i="23"/>
  <c r="E627" i="23"/>
  <c r="F627" i="23"/>
  <c r="E628" i="23"/>
  <c r="F628" i="23"/>
  <c r="E629" i="23"/>
  <c r="F629" i="23"/>
  <c r="K16" i="64"/>
  <c r="K15" i="64"/>
  <c r="K14" i="64"/>
  <c r="K13" i="64"/>
  <c r="K12" i="64"/>
  <c r="K11" i="64"/>
  <c r="K10" i="64"/>
  <c r="K9" i="64"/>
  <c r="K8" i="64"/>
  <c r="K7" i="64"/>
  <c r="K6" i="64"/>
  <c r="M5" i="64"/>
  <c r="K5" i="64"/>
  <c r="B4" i="64"/>
  <c r="C3" i="64"/>
  <c r="D3" i="64" s="1"/>
  <c r="F617" i="23"/>
  <c r="E617" i="23"/>
  <c r="G616" i="23"/>
  <c r="F616" i="23"/>
  <c r="E616" i="23"/>
  <c r="G615" i="23"/>
  <c r="F615" i="23"/>
  <c r="E615" i="23"/>
  <c r="G614" i="23"/>
  <c r="F614" i="23"/>
  <c r="E614" i="23"/>
  <c r="G613" i="23"/>
  <c r="F613" i="23"/>
  <c r="E613" i="23"/>
  <c r="G612" i="23"/>
  <c r="F612" i="23"/>
  <c r="E612" i="23"/>
  <c r="G611" i="23"/>
  <c r="F611" i="23"/>
  <c r="E611" i="23"/>
  <c r="G610" i="23"/>
  <c r="F610" i="23"/>
  <c r="E610" i="23"/>
  <c r="G609" i="23"/>
  <c r="F609" i="23"/>
  <c r="E609" i="23"/>
  <c r="G608" i="23"/>
  <c r="F608" i="23"/>
  <c r="E608" i="23"/>
  <c r="G607" i="23"/>
  <c r="F607" i="23"/>
  <c r="E607" i="23"/>
  <c r="G606" i="23"/>
  <c r="F606" i="23"/>
  <c r="E606" i="23"/>
  <c r="K16" i="63"/>
  <c r="K15" i="63"/>
  <c r="K14" i="63"/>
  <c r="K13" i="63"/>
  <c r="K12" i="63"/>
  <c r="K11" i="63"/>
  <c r="K10" i="63"/>
  <c r="K9" i="63"/>
  <c r="K8" i="63"/>
  <c r="K7" i="63"/>
  <c r="K6" i="63"/>
  <c r="M5" i="63"/>
  <c r="K5" i="63"/>
  <c r="B4" i="63"/>
  <c r="C3" i="63"/>
  <c r="D3" i="63" s="1"/>
  <c r="K18" i="76" l="1"/>
  <c r="L11" i="76" s="1"/>
  <c r="E3" i="76"/>
  <c r="K18" i="75"/>
  <c r="L11" i="75" s="1"/>
  <c r="L15" i="75"/>
  <c r="L14" i="75"/>
  <c r="L10" i="75"/>
  <c r="L12" i="75"/>
  <c r="L16" i="75"/>
  <c r="L9" i="75"/>
  <c r="L17" i="75"/>
  <c r="E3" i="75"/>
  <c r="L5" i="75"/>
  <c r="K18" i="74"/>
  <c r="L11" i="74" s="1"/>
  <c r="D3" i="74"/>
  <c r="D4" i="74" s="1"/>
  <c r="K18" i="73"/>
  <c r="L13" i="73" s="1"/>
  <c r="E3" i="73"/>
  <c r="K18" i="72"/>
  <c r="L17" i="72"/>
  <c r="L15" i="72"/>
  <c r="E3" i="72"/>
  <c r="D4" i="72"/>
  <c r="K17" i="71"/>
  <c r="L5" i="71" s="1"/>
  <c r="D4" i="71"/>
  <c r="E3" i="71"/>
  <c r="C4" i="71"/>
  <c r="K17" i="70"/>
  <c r="L7" i="70" s="1"/>
  <c r="E3" i="70"/>
  <c r="D4" i="70"/>
  <c r="C4" i="70"/>
  <c r="K17" i="69"/>
  <c r="L9" i="69" s="1"/>
  <c r="E3" i="69"/>
  <c r="D4" i="69"/>
  <c r="C4" i="69"/>
  <c r="C4" i="68"/>
  <c r="D3" i="68"/>
  <c r="K17" i="68"/>
  <c r="L5" i="68" s="1"/>
  <c r="C4" i="67"/>
  <c r="D3" i="67"/>
  <c r="K17" i="67"/>
  <c r="L5" i="67"/>
  <c r="L6" i="67"/>
  <c r="L7" i="67"/>
  <c r="L8" i="67"/>
  <c r="L9" i="67"/>
  <c r="L10" i="67"/>
  <c r="L11" i="67"/>
  <c r="L12" i="67"/>
  <c r="L13" i="67"/>
  <c r="L14" i="67"/>
  <c r="L15" i="67"/>
  <c r="L16" i="67"/>
  <c r="K17" i="66"/>
  <c r="L11" i="66" s="1"/>
  <c r="E3" i="66"/>
  <c r="D4" i="66"/>
  <c r="C4" i="66"/>
  <c r="K17" i="65"/>
  <c r="L16" i="65" s="1"/>
  <c r="E3" i="65"/>
  <c r="D4" i="65"/>
  <c r="C4" i="65"/>
  <c r="C4" i="64"/>
  <c r="K17" i="64"/>
  <c r="L8" i="64" s="1"/>
  <c r="E3" i="64"/>
  <c r="D4" i="64"/>
  <c r="K17" i="63"/>
  <c r="L5" i="63" s="1"/>
  <c r="C4" i="63"/>
  <c r="D4" i="63"/>
  <c r="E3" i="63"/>
  <c r="L17" i="76" l="1"/>
  <c r="L9" i="76"/>
  <c r="L15" i="76"/>
  <c r="L12" i="76"/>
  <c r="L5" i="76"/>
  <c r="L16" i="76"/>
  <c r="L10" i="76"/>
  <c r="L6" i="76"/>
  <c r="L14" i="76"/>
  <c r="L7" i="76"/>
  <c r="L13" i="76"/>
  <c r="L8" i="76"/>
  <c r="E4" i="76"/>
  <c r="F3" i="76"/>
  <c r="L6" i="75"/>
  <c r="L7" i="75"/>
  <c r="L8" i="75"/>
  <c r="L13" i="75"/>
  <c r="F3" i="75"/>
  <c r="E4" i="75"/>
  <c r="L6" i="74"/>
  <c r="L10" i="74"/>
  <c r="L14" i="74"/>
  <c r="L5" i="74"/>
  <c r="L15" i="74"/>
  <c r="L17" i="74"/>
  <c r="L7" i="74"/>
  <c r="L9" i="74"/>
  <c r="L13" i="74"/>
  <c r="L16" i="74"/>
  <c r="L12" i="74"/>
  <c r="L8" i="74"/>
  <c r="E3" i="74"/>
  <c r="E4" i="74" s="1"/>
  <c r="L11" i="73"/>
  <c r="L15" i="73"/>
  <c r="L7" i="73"/>
  <c r="L5" i="73"/>
  <c r="L10" i="73"/>
  <c r="L16" i="73"/>
  <c r="L12" i="73"/>
  <c r="L17" i="73"/>
  <c r="L6" i="73"/>
  <c r="L9" i="73"/>
  <c r="L14" i="73"/>
  <c r="L8" i="73"/>
  <c r="E4" i="73"/>
  <c r="F3" i="73"/>
  <c r="L16" i="72"/>
  <c r="L7" i="72"/>
  <c r="L14" i="72"/>
  <c r="L6" i="72"/>
  <c r="L11" i="72"/>
  <c r="L12" i="72"/>
  <c r="L5" i="72"/>
  <c r="L9" i="72"/>
  <c r="L8" i="72"/>
  <c r="L10" i="72"/>
  <c r="L13" i="72"/>
  <c r="L6" i="71"/>
  <c r="L12" i="71"/>
  <c r="L8" i="71"/>
  <c r="L14" i="71"/>
  <c r="L7" i="71"/>
  <c r="F3" i="72"/>
  <c r="E4" i="72"/>
  <c r="L16" i="71"/>
  <c r="L15" i="71"/>
  <c r="L13" i="71"/>
  <c r="L9" i="71"/>
  <c r="L11" i="71"/>
  <c r="L10" i="71"/>
  <c r="F3" i="71"/>
  <c r="E4" i="71"/>
  <c r="L14" i="70"/>
  <c r="L13" i="70"/>
  <c r="L5" i="70"/>
  <c r="L6" i="70"/>
  <c r="L9" i="70"/>
  <c r="L16" i="70"/>
  <c r="L10" i="70"/>
  <c r="L11" i="70"/>
  <c r="L8" i="70"/>
  <c r="L12" i="70"/>
  <c r="L15" i="70"/>
  <c r="E4" i="70"/>
  <c r="F3" i="70"/>
  <c r="L13" i="69"/>
  <c r="L12" i="69"/>
  <c r="L11" i="69"/>
  <c r="L5" i="69"/>
  <c r="L16" i="69"/>
  <c r="L14" i="69"/>
  <c r="L8" i="69"/>
  <c r="L10" i="69"/>
  <c r="L15" i="69"/>
  <c r="L7" i="69"/>
  <c r="L6" i="69"/>
  <c r="F3" i="69"/>
  <c r="E4" i="69"/>
  <c r="L11" i="68"/>
  <c r="L10" i="68"/>
  <c r="L9" i="68"/>
  <c r="L16" i="68"/>
  <c r="L8" i="68"/>
  <c r="L6" i="68"/>
  <c r="L12" i="68"/>
  <c r="L15" i="68"/>
  <c r="L7" i="68"/>
  <c r="L14" i="68"/>
  <c r="L13" i="68"/>
  <c r="D4" i="68"/>
  <c r="E3" i="68"/>
  <c r="D4" i="67"/>
  <c r="E3" i="67"/>
  <c r="L13" i="66"/>
  <c r="L16" i="66"/>
  <c r="L7" i="66"/>
  <c r="L6" i="66"/>
  <c r="L5" i="66"/>
  <c r="L8" i="66"/>
  <c r="L10" i="66"/>
  <c r="L12" i="66"/>
  <c r="L14" i="66"/>
  <c r="L9" i="66"/>
  <c r="L15" i="66"/>
  <c r="F3" i="66"/>
  <c r="E4" i="66"/>
  <c r="L13" i="65"/>
  <c r="L8" i="65"/>
  <c r="L11" i="65"/>
  <c r="L7" i="65"/>
  <c r="L15" i="65"/>
  <c r="L5" i="65"/>
  <c r="L12" i="65"/>
  <c r="L10" i="65"/>
  <c r="L14" i="65"/>
  <c r="L9" i="65"/>
  <c r="L6" i="65"/>
  <c r="F3" i="65"/>
  <c r="E4" i="65"/>
  <c r="L13" i="64"/>
  <c r="L6" i="64"/>
  <c r="L12" i="64"/>
  <c r="L9" i="64"/>
  <c r="L5" i="64"/>
  <c r="L10" i="64"/>
  <c r="L16" i="64"/>
  <c r="L7" i="64"/>
  <c r="L15" i="64"/>
  <c r="L11" i="64"/>
  <c r="L14" i="64"/>
  <c r="F3" i="64"/>
  <c r="E4" i="64"/>
  <c r="L6" i="63"/>
  <c r="L16" i="63"/>
  <c r="L13" i="63"/>
  <c r="L8" i="63"/>
  <c r="L12" i="63"/>
  <c r="L15" i="63"/>
  <c r="L10" i="63"/>
  <c r="L7" i="63"/>
  <c r="L11" i="63"/>
  <c r="L14" i="63"/>
  <c r="L9" i="63"/>
  <c r="F3" i="63"/>
  <c r="E4" i="63"/>
  <c r="F4" i="76" l="1"/>
  <c r="G3" i="76"/>
  <c r="G3" i="75"/>
  <c r="F4" i="75"/>
  <c r="F3" i="74"/>
  <c r="F4" i="74" s="1"/>
  <c r="G3" i="73"/>
  <c r="F4" i="73"/>
  <c r="G3" i="72"/>
  <c r="F4" i="72"/>
  <c r="G3" i="71"/>
  <c r="F4" i="71"/>
  <c r="G3" i="70"/>
  <c r="F4" i="70"/>
  <c r="F4" i="69"/>
  <c r="G3" i="69"/>
  <c r="E4" i="68"/>
  <c r="F3" i="68"/>
  <c r="E4" i="67"/>
  <c r="F3" i="67"/>
  <c r="G3" i="66"/>
  <c r="F4" i="66"/>
  <c r="F4" i="65"/>
  <c r="G3" i="65"/>
  <c r="G3" i="64"/>
  <c r="F4" i="64"/>
  <c r="G3" i="63"/>
  <c r="F4" i="63"/>
  <c r="H3" i="76" l="1"/>
  <c r="H4" i="76" s="1"/>
  <c r="G4" i="76"/>
  <c r="H3" i="75"/>
  <c r="H4" i="75" s="1"/>
  <c r="G4" i="75"/>
  <c r="G3" i="74"/>
  <c r="G4" i="74" s="1"/>
  <c r="H3" i="74"/>
  <c r="H4" i="74" s="1"/>
  <c r="H3" i="73"/>
  <c r="H4" i="73" s="1"/>
  <c r="G4" i="73"/>
  <c r="H3" i="72"/>
  <c r="H4" i="72" s="1"/>
  <c r="G4" i="72"/>
  <c r="H3" i="71"/>
  <c r="H4" i="71" s="1"/>
  <c r="G4" i="71"/>
  <c r="H3" i="70"/>
  <c r="H4" i="70" s="1"/>
  <c r="G4" i="70"/>
  <c r="G4" i="69"/>
  <c r="H3" i="69"/>
  <c r="H4" i="69" s="1"/>
  <c r="F4" i="68"/>
  <c r="G3" i="68"/>
  <c r="F4" i="67"/>
  <c r="G3" i="67"/>
  <c r="H3" i="66"/>
  <c r="H4" i="66" s="1"/>
  <c r="G4" i="66"/>
  <c r="H3" i="65"/>
  <c r="H4" i="65" s="1"/>
  <c r="G4" i="65"/>
  <c r="H3" i="64"/>
  <c r="H4" i="64" s="1"/>
  <c r="G4" i="64"/>
  <c r="H3" i="63"/>
  <c r="H4" i="63" s="1"/>
  <c r="G4" i="63"/>
  <c r="G4" i="68" l="1"/>
  <c r="H3" i="68"/>
  <c r="H4" i="68" s="1"/>
  <c r="G4" i="67"/>
  <c r="H3" i="67"/>
  <c r="H4" i="67" s="1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F594" i="23"/>
  <c r="F595" i="23"/>
  <c r="F596" i="23"/>
  <c r="F597" i="23"/>
  <c r="F598" i="23"/>
  <c r="F599" i="23"/>
  <c r="F600" i="23"/>
  <c r="F601" i="23"/>
  <c r="F602" i="23"/>
  <c r="F603" i="23"/>
  <c r="F604" i="23"/>
  <c r="F605" i="23"/>
  <c r="E594" i="23"/>
  <c r="E595" i="23"/>
  <c r="E596" i="23"/>
  <c r="E597" i="23"/>
  <c r="E598" i="23"/>
  <c r="E599" i="23"/>
  <c r="E600" i="23"/>
  <c r="E601" i="23"/>
  <c r="E602" i="23"/>
  <c r="E603" i="23"/>
  <c r="E604" i="23"/>
  <c r="E605" i="23"/>
  <c r="K16" i="62"/>
  <c r="K15" i="62"/>
  <c r="K14" i="62"/>
  <c r="K13" i="62"/>
  <c r="K12" i="62"/>
  <c r="K11" i="62"/>
  <c r="K10" i="62"/>
  <c r="K9" i="62"/>
  <c r="K8" i="62"/>
  <c r="K7" i="62"/>
  <c r="K6" i="62"/>
  <c r="M5" i="62"/>
  <c r="K5" i="62"/>
  <c r="B4" i="62"/>
  <c r="C3" i="62"/>
  <c r="D3" i="62" s="1"/>
  <c r="K16" i="61"/>
  <c r="K15" i="61"/>
  <c r="K14" i="61"/>
  <c r="K13" i="61"/>
  <c r="K12" i="61"/>
  <c r="K11" i="61"/>
  <c r="K10" i="61"/>
  <c r="K9" i="61"/>
  <c r="K8" i="61"/>
  <c r="K7" i="61"/>
  <c r="K6" i="61"/>
  <c r="M5" i="61"/>
  <c r="K5" i="61"/>
  <c r="B4" i="61"/>
  <c r="C3" i="61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F570" i="23"/>
  <c r="F571" i="23"/>
  <c r="F572" i="23"/>
  <c r="F573" i="23"/>
  <c r="F574" i="23"/>
  <c r="F575" i="23"/>
  <c r="F576" i="23"/>
  <c r="F577" i="23"/>
  <c r="F578" i="23"/>
  <c r="F579" i="23"/>
  <c r="F580" i="23"/>
  <c r="F581" i="23"/>
  <c r="F582" i="23"/>
  <c r="F583" i="23"/>
  <c r="F584" i="23"/>
  <c r="F585" i="23"/>
  <c r="F586" i="23"/>
  <c r="F587" i="23"/>
  <c r="F588" i="23"/>
  <c r="F589" i="23"/>
  <c r="F590" i="23"/>
  <c r="F591" i="23"/>
  <c r="F592" i="23"/>
  <c r="F593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70" i="23"/>
  <c r="E571" i="23"/>
  <c r="E572" i="23"/>
  <c r="E573" i="23"/>
  <c r="E574" i="23"/>
  <c r="E575" i="23"/>
  <c r="E576" i="23"/>
  <c r="E577" i="23"/>
  <c r="E578" i="23"/>
  <c r="E579" i="23"/>
  <c r="E580" i="23"/>
  <c r="E581" i="23"/>
  <c r="K16" i="60"/>
  <c r="K15" i="60"/>
  <c r="K14" i="60"/>
  <c r="K13" i="60"/>
  <c r="K12" i="60"/>
  <c r="K11" i="60"/>
  <c r="K10" i="60"/>
  <c r="K9" i="60"/>
  <c r="K8" i="60"/>
  <c r="K7" i="60"/>
  <c r="K6" i="60"/>
  <c r="M5" i="60"/>
  <c r="K5" i="60"/>
  <c r="B4" i="60"/>
  <c r="C3" i="60"/>
  <c r="D3" i="60" s="1"/>
  <c r="F558" i="23"/>
  <c r="F559" i="23"/>
  <c r="F560" i="23"/>
  <c r="F561" i="23"/>
  <c r="F562" i="23"/>
  <c r="F563" i="23"/>
  <c r="F564" i="23"/>
  <c r="F565" i="23"/>
  <c r="F566" i="23"/>
  <c r="F567" i="23"/>
  <c r="F568" i="23"/>
  <c r="F569" i="23"/>
  <c r="E558" i="23"/>
  <c r="E559" i="23"/>
  <c r="E560" i="23"/>
  <c r="E561" i="23"/>
  <c r="E562" i="23"/>
  <c r="E563" i="23"/>
  <c r="E564" i="23"/>
  <c r="E565" i="23"/>
  <c r="E566" i="23"/>
  <c r="E567" i="23"/>
  <c r="E568" i="23"/>
  <c r="E569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K16" i="59"/>
  <c r="K15" i="59"/>
  <c r="K14" i="59"/>
  <c r="K13" i="59"/>
  <c r="K12" i="59"/>
  <c r="K11" i="59"/>
  <c r="K10" i="59"/>
  <c r="K9" i="59"/>
  <c r="K8" i="59"/>
  <c r="K7" i="59"/>
  <c r="K6" i="59"/>
  <c r="M5" i="59"/>
  <c r="K5" i="59"/>
  <c r="B4" i="59"/>
  <c r="C3" i="59"/>
  <c r="D3" i="59" s="1"/>
  <c r="C3" i="58"/>
  <c r="D3" i="58" s="1"/>
  <c r="E3" i="58" s="1"/>
  <c r="F3" i="58" s="1"/>
  <c r="G3" i="58" s="1"/>
  <c r="H3" i="58" s="1"/>
  <c r="F546" i="23"/>
  <c r="F547" i="23"/>
  <c r="F548" i="23"/>
  <c r="F549" i="23"/>
  <c r="F550" i="23"/>
  <c r="F551" i="23"/>
  <c r="F552" i="23"/>
  <c r="F553" i="23"/>
  <c r="F554" i="23"/>
  <c r="F555" i="23"/>
  <c r="F556" i="23"/>
  <c r="F557" i="23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M5" i="58"/>
  <c r="K16" i="58"/>
  <c r="K15" i="58"/>
  <c r="K14" i="58"/>
  <c r="K13" i="58"/>
  <c r="K12" i="58"/>
  <c r="K11" i="58"/>
  <c r="K10" i="58"/>
  <c r="K9" i="58"/>
  <c r="K8" i="58"/>
  <c r="K7" i="58"/>
  <c r="K6" i="58"/>
  <c r="K5" i="58"/>
  <c r="B4" i="58"/>
  <c r="F534" i="23"/>
  <c r="F535" i="23"/>
  <c r="F536" i="23"/>
  <c r="F537" i="23"/>
  <c r="F538" i="23"/>
  <c r="F539" i="23"/>
  <c r="F540" i="23"/>
  <c r="F541" i="23"/>
  <c r="F542" i="23"/>
  <c r="F543" i="23"/>
  <c r="F544" i="23"/>
  <c r="F545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K16" i="57"/>
  <c r="K15" i="57"/>
  <c r="K14" i="57"/>
  <c r="K13" i="57"/>
  <c r="K12" i="57"/>
  <c r="K11" i="57"/>
  <c r="K10" i="57"/>
  <c r="K9" i="57"/>
  <c r="K8" i="57"/>
  <c r="K7" i="57"/>
  <c r="K6" i="57"/>
  <c r="M5" i="57"/>
  <c r="K5" i="57"/>
  <c r="B4" i="57"/>
  <c r="C3" i="57"/>
  <c r="D3" i="57" s="1"/>
  <c r="F522" i="23"/>
  <c r="F523" i="23"/>
  <c r="F524" i="23"/>
  <c r="F525" i="23"/>
  <c r="F526" i="23"/>
  <c r="F527" i="23"/>
  <c r="F528" i="23"/>
  <c r="F529" i="23"/>
  <c r="F530" i="23"/>
  <c r="F531" i="23"/>
  <c r="F532" i="23"/>
  <c r="F533" i="23"/>
  <c r="E522" i="23"/>
  <c r="E523" i="23"/>
  <c r="E524" i="23"/>
  <c r="E525" i="23"/>
  <c r="E526" i="23"/>
  <c r="E527" i="23"/>
  <c r="E528" i="23"/>
  <c r="E529" i="23"/>
  <c r="E530" i="23"/>
  <c r="E531" i="23"/>
  <c r="E532" i="23"/>
  <c r="E533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K16" i="56"/>
  <c r="K15" i="56"/>
  <c r="K14" i="56"/>
  <c r="K13" i="56"/>
  <c r="K12" i="56"/>
  <c r="K11" i="56"/>
  <c r="K10" i="56"/>
  <c r="K9" i="56"/>
  <c r="K8" i="56"/>
  <c r="K7" i="56"/>
  <c r="K6" i="56"/>
  <c r="M5" i="56"/>
  <c r="K5" i="56"/>
  <c r="B4" i="56"/>
  <c r="C3" i="56"/>
  <c r="D3" i="56" s="1"/>
  <c r="F513" i="23"/>
  <c r="F509" i="23"/>
  <c r="F510" i="23"/>
  <c r="F511" i="23"/>
  <c r="F512" i="23"/>
  <c r="F514" i="23"/>
  <c r="F515" i="23"/>
  <c r="F516" i="23"/>
  <c r="F517" i="23"/>
  <c r="F518" i="23"/>
  <c r="F519" i="23"/>
  <c r="F520" i="23"/>
  <c r="F521" i="23"/>
  <c r="E510" i="23"/>
  <c r="E511" i="23"/>
  <c r="E512" i="23"/>
  <c r="E513" i="23"/>
  <c r="E514" i="23"/>
  <c r="E515" i="23"/>
  <c r="E516" i="23"/>
  <c r="E517" i="23"/>
  <c r="E518" i="23"/>
  <c r="E519" i="23"/>
  <c r="E520" i="23"/>
  <c r="E521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K16" i="55"/>
  <c r="K15" i="55"/>
  <c r="K14" i="55"/>
  <c r="K13" i="55"/>
  <c r="K12" i="55"/>
  <c r="K11" i="55"/>
  <c r="K10" i="55"/>
  <c r="K9" i="55"/>
  <c r="K8" i="55"/>
  <c r="K7" i="55"/>
  <c r="K6" i="55"/>
  <c r="M5" i="55"/>
  <c r="K5" i="55"/>
  <c r="B4" i="55"/>
  <c r="C3" i="55"/>
  <c r="D3" i="55" s="1"/>
  <c r="E509" i="23"/>
  <c r="G509" i="23"/>
  <c r="K15" i="51"/>
  <c r="K16" i="51"/>
  <c r="K15" i="54"/>
  <c r="K14" i="54"/>
  <c r="K13" i="54"/>
  <c r="K12" i="54"/>
  <c r="K11" i="54"/>
  <c r="K10" i="54"/>
  <c r="K9" i="54"/>
  <c r="K8" i="54"/>
  <c r="K7" i="54"/>
  <c r="K6" i="54"/>
  <c r="M5" i="54"/>
  <c r="K5" i="54"/>
  <c r="B4" i="54"/>
  <c r="C3" i="54"/>
  <c r="D3" i="54" s="1"/>
  <c r="K15" i="53"/>
  <c r="K14" i="53"/>
  <c r="K13" i="53"/>
  <c r="K12" i="53"/>
  <c r="K11" i="53"/>
  <c r="K10" i="53"/>
  <c r="K9" i="53"/>
  <c r="K8" i="53"/>
  <c r="K7" i="53"/>
  <c r="K6" i="53"/>
  <c r="M5" i="53"/>
  <c r="K5" i="53"/>
  <c r="B4" i="53"/>
  <c r="C3" i="53"/>
  <c r="C4" i="53" s="1"/>
  <c r="K15" i="52"/>
  <c r="K14" i="52"/>
  <c r="K13" i="52"/>
  <c r="K12" i="52"/>
  <c r="K11" i="52"/>
  <c r="K10" i="52"/>
  <c r="K9" i="52"/>
  <c r="K8" i="52"/>
  <c r="K7" i="52"/>
  <c r="K6" i="52"/>
  <c r="M5" i="52"/>
  <c r="K5" i="52"/>
  <c r="B4" i="52"/>
  <c r="C3" i="52"/>
  <c r="D3" i="52" s="1"/>
  <c r="F498" i="23"/>
  <c r="F499" i="23"/>
  <c r="F500" i="23"/>
  <c r="F501" i="23"/>
  <c r="F502" i="23"/>
  <c r="F503" i="23"/>
  <c r="F504" i="23"/>
  <c r="F505" i="23"/>
  <c r="F506" i="23"/>
  <c r="F507" i="23"/>
  <c r="F508" i="23"/>
  <c r="E498" i="23"/>
  <c r="E499" i="23"/>
  <c r="E500" i="23"/>
  <c r="E501" i="23"/>
  <c r="E502" i="23"/>
  <c r="E503" i="23"/>
  <c r="E504" i="23"/>
  <c r="E505" i="23"/>
  <c r="E506" i="23"/>
  <c r="E507" i="23"/>
  <c r="E508" i="23"/>
  <c r="G498" i="23"/>
  <c r="G499" i="23"/>
  <c r="G500" i="23"/>
  <c r="G501" i="23"/>
  <c r="G502" i="23"/>
  <c r="G503" i="23"/>
  <c r="G504" i="23"/>
  <c r="G505" i="23"/>
  <c r="G506" i="23"/>
  <c r="G507" i="23"/>
  <c r="G508" i="23"/>
  <c r="K14" i="51"/>
  <c r="K13" i="51"/>
  <c r="K12" i="51"/>
  <c r="K11" i="51"/>
  <c r="K10" i="51"/>
  <c r="K9" i="51"/>
  <c r="K8" i="51"/>
  <c r="K7" i="51"/>
  <c r="K6" i="51"/>
  <c r="M5" i="51"/>
  <c r="K5" i="51"/>
  <c r="K17" i="51" s="1"/>
  <c r="B4" i="51"/>
  <c r="C3" i="51"/>
  <c r="D3" i="51" s="1"/>
  <c r="F487" i="23"/>
  <c r="F488" i="23"/>
  <c r="F489" i="23"/>
  <c r="F490" i="23"/>
  <c r="F491" i="23"/>
  <c r="F492" i="23"/>
  <c r="F493" i="23"/>
  <c r="F494" i="23"/>
  <c r="F495" i="23"/>
  <c r="F496" i="23"/>
  <c r="F497" i="23"/>
  <c r="E487" i="23"/>
  <c r="E488" i="23"/>
  <c r="E489" i="23"/>
  <c r="E490" i="23"/>
  <c r="E491" i="23"/>
  <c r="E492" i="23"/>
  <c r="E493" i="23"/>
  <c r="E494" i="23"/>
  <c r="E495" i="23"/>
  <c r="E496" i="23"/>
  <c r="E497" i="23"/>
  <c r="G487" i="23"/>
  <c r="G488" i="23"/>
  <c r="G489" i="23"/>
  <c r="G490" i="23"/>
  <c r="G491" i="23"/>
  <c r="G492" i="23"/>
  <c r="G493" i="23"/>
  <c r="G494" i="23"/>
  <c r="G495" i="23"/>
  <c r="G496" i="23"/>
  <c r="G497" i="23"/>
  <c r="K15" i="50"/>
  <c r="K14" i="50"/>
  <c r="K13" i="50"/>
  <c r="K12" i="50"/>
  <c r="K11" i="50"/>
  <c r="K10" i="50"/>
  <c r="K9" i="50"/>
  <c r="K8" i="50"/>
  <c r="K7" i="50"/>
  <c r="K6" i="50"/>
  <c r="M5" i="50"/>
  <c r="K5" i="50"/>
  <c r="B4" i="50"/>
  <c r="C3" i="50"/>
  <c r="D3" i="50" s="1"/>
  <c r="F476" i="23"/>
  <c r="F477" i="23"/>
  <c r="F478" i="23"/>
  <c r="F479" i="23"/>
  <c r="F480" i="23"/>
  <c r="F481" i="23"/>
  <c r="F482" i="23"/>
  <c r="F483" i="23"/>
  <c r="F484" i="23"/>
  <c r="F485" i="23"/>
  <c r="F486" i="23"/>
  <c r="E476" i="23"/>
  <c r="E477" i="23"/>
  <c r="E478" i="23"/>
  <c r="E479" i="23"/>
  <c r="E480" i="23"/>
  <c r="E481" i="23"/>
  <c r="E482" i="23"/>
  <c r="E483" i="23"/>
  <c r="E484" i="23"/>
  <c r="E485" i="23"/>
  <c r="E486" i="23"/>
  <c r="G476" i="23"/>
  <c r="G477" i="23"/>
  <c r="G478" i="23"/>
  <c r="G479" i="23"/>
  <c r="G480" i="23"/>
  <c r="G481" i="23"/>
  <c r="G482" i="23"/>
  <c r="G483" i="23"/>
  <c r="G484" i="23"/>
  <c r="G485" i="23"/>
  <c r="G486" i="23"/>
  <c r="K15" i="49"/>
  <c r="K14" i="49"/>
  <c r="K13" i="49"/>
  <c r="K12" i="49"/>
  <c r="K11" i="49"/>
  <c r="K10" i="49"/>
  <c r="K9" i="49"/>
  <c r="K8" i="49"/>
  <c r="K7" i="49"/>
  <c r="K6" i="49"/>
  <c r="M5" i="49"/>
  <c r="K5" i="49"/>
  <c r="B4" i="49"/>
  <c r="C3" i="49"/>
  <c r="D3" i="49" s="1"/>
  <c r="F465" i="23"/>
  <c r="F466" i="23"/>
  <c r="F467" i="23"/>
  <c r="F468" i="23"/>
  <c r="F469" i="23"/>
  <c r="F470" i="23"/>
  <c r="F471" i="23"/>
  <c r="F472" i="23"/>
  <c r="F473" i="23"/>
  <c r="F474" i="23"/>
  <c r="F475" i="23"/>
  <c r="E465" i="23"/>
  <c r="E466" i="23"/>
  <c r="E467" i="23"/>
  <c r="E468" i="23"/>
  <c r="E469" i="23"/>
  <c r="E470" i="23"/>
  <c r="E471" i="23"/>
  <c r="E472" i="23"/>
  <c r="E473" i="23"/>
  <c r="E474" i="23"/>
  <c r="E475" i="23"/>
  <c r="G465" i="23"/>
  <c r="G466" i="23"/>
  <c r="G467" i="23"/>
  <c r="G468" i="23"/>
  <c r="G469" i="23"/>
  <c r="G470" i="23"/>
  <c r="G471" i="23"/>
  <c r="G472" i="23"/>
  <c r="G473" i="23"/>
  <c r="G474" i="23"/>
  <c r="G475" i="23"/>
  <c r="K15" i="48"/>
  <c r="K14" i="48"/>
  <c r="K13" i="48"/>
  <c r="K12" i="48"/>
  <c r="K11" i="48"/>
  <c r="K10" i="48"/>
  <c r="K9" i="48"/>
  <c r="K8" i="48"/>
  <c r="K7" i="48"/>
  <c r="K6" i="48"/>
  <c r="M5" i="48"/>
  <c r="K5" i="48"/>
  <c r="B4" i="48"/>
  <c r="C3" i="48"/>
  <c r="C4" i="48" s="1"/>
  <c r="F454" i="23"/>
  <c r="F455" i="23"/>
  <c r="F456" i="23"/>
  <c r="F457" i="23"/>
  <c r="F458" i="23"/>
  <c r="F459" i="23"/>
  <c r="F460" i="23"/>
  <c r="F461" i="23"/>
  <c r="F462" i="23"/>
  <c r="F463" i="23"/>
  <c r="F464" i="23"/>
  <c r="E454" i="23"/>
  <c r="E455" i="23"/>
  <c r="E456" i="23"/>
  <c r="E457" i="23"/>
  <c r="E458" i="23"/>
  <c r="E459" i="23"/>
  <c r="E460" i="23"/>
  <c r="E461" i="23"/>
  <c r="E462" i="23"/>
  <c r="E463" i="23"/>
  <c r="E464" i="23"/>
  <c r="G454" i="23"/>
  <c r="G455" i="23"/>
  <c r="G456" i="23"/>
  <c r="G457" i="23"/>
  <c r="G458" i="23"/>
  <c r="G459" i="23"/>
  <c r="G460" i="23"/>
  <c r="G461" i="23"/>
  <c r="G462" i="23"/>
  <c r="G463" i="23"/>
  <c r="G464" i="23"/>
  <c r="E447" i="23"/>
  <c r="F443" i="23"/>
  <c r="F444" i="23"/>
  <c r="F445" i="23"/>
  <c r="F446" i="23"/>
  <c r="F447" i="23"/>
  <c r="F448" i="23"/>
  <c r="F449" i="23"/>
  <c r="F450" i="23"/>
  <c r="F451" i="23"/>
  <c r="F452" i="23"/>
  <c r="F453" i="23"/>
  <c r="F442" i="23"/>
  <c r="E443" i="23"/>
  <c r="E444" i="23"/>
  <c r="E445" i="23"/>
  <c r="E446" i="23"/>
  <c r="E448" i="23"/>
  <c r="E449" i="23"/>
  <c r="E450" i="23"/>
  <c r="E451" i="23"/>
  <c r="E452" i="23"/>
  <c r="E453" i="23"/>
  <c r="G443" i="23"/>
  <c r="G444" i="23"/>
  <c r="G445" i="23"/>
  <c r="G446" i="23"/>
  <c r="G447" i="23"/>
  <c r="G448" i="23"/>
  <c r="G449" i="23"/>
  <c r="G450" i="23"/>
  <c r="G451" i="23"/>
  <c r="G452" i="23"/>
  <c r="G453" i="23"/>
  <c r="G433" i="23"/>
  <c r="F432" i="23"/>
  <c r="F433" i="23"/>
  <c r="F434" i="23"/>
  <c r="F435" i="23"/>
  <c r="F436" i="23"/>
  <c r="F437" i="23"/>
  <c r="F438" i="23"/>
  <c r="F439" i="23"/>
  <c r="F440" i="23"/>
  <c r="F441" i="23"/>
  <c r="E432" i="23"/>
  <c r="E433" i="23"/>
  <c r="E434" i="23"/>
  <c r="E435" i="23"/>
  <c r="E436" i="23"/>
  <c r="E437" i="23"/>
  <c r="E438" i="23"/>
  <c r="E439" i="23"/>
  <c r="E440" i="23"/>
  <c r="E441" i="23"/>
  <c r="E442" i="23"/>
  <c r="G432" i="23"/>
  <c r="G434" i="23"/>
  <c r="G435" i="23"/>
  <c r="G436" i="23"/>
  <c r="G437" i="23"/>
  <c r="G438" i="23"/>
  <c r="G439" i="23"/>
  <c r="G440" i="23"/>
  <c r="G441" i="23"/>
  <c r="G442" i="23"/>
  <c r="K15" i="47"/>
  <c r="K14" i="47"/>
  <c r="K13" i="47"/>
  <c r="K12" i="47"/>
  <c r="K11" i="47"/>
  <c r="K10" i="47"/>
  <c r="K9" i="47"/>
  <c r="K8" i="47"/>
  <c r="K7" i="47"/>
  <c r="K6" i="47"/>
  <c r="M5" i="47"/>
  <c r="K5" i="47"/>
  <c r="B4" i="47"/>
  <c r="C3" i="47"/>
  <c r="F424" i="23"/>
  <c r="F421" i="23"/>
  <c r="F422" i="23"/>
  <c r="F423" i="23"/>
  <c r="F425" i="23"/>
  <c r="F426" i="23"/>
  <c r="F427" i="23"/>
  <c r="F428" i="23"/>
  <c r="F429" i="23"/>
  <c r="F430" i="23"/>
  <c r="F431" i="23"/>
  <c r="E421" i="23"/>
  <c r="E422" i="23"/>
  <c r="E423" i="23"/>
  <c r="E424" i="23"/>
  <c r="E425" i="23"/>
  <c r="E426" i="23"/>
  <c r="E427" i="23"/>
  <c r="E428" i="23"/>
  <c r="E429" i="23"/>
  <c r="E430" i="23"/>
  <c r="E431" i="23"/>
  <c r="G421" i="23"/>
  <c r="G422" i="23"/>
  <c r="G423" i="23"/>
  <c r="G424" i="23"/>
  <c r="G425" i="23"/>
  <c r="G426" i="23"/>
  <c r="G427" i="23"/>
  <c r="G428" i="23"/>
  <c r="G429" i="23"/>
  <c r="G430" i="23"/>
  <c r="G431" i="23"/>
  <c r="F410" i="23"/>
  <c r="F411" i="23"/>
  <c r="F412" i="23"/>
  <c r="F413" i="23"/>
  <c r="F414" i="23"/>
  <c r="F415" i="23"/>
  <c r="F416" i="23"/>
  <c r="F417" i="23"/>
  <c r="F418" i="23"/>
  <c r="F419" i="23"/>
  <c r="F420" i="23"/>
  <c r="E410" i="23"/>
  <c r="E411" i="23"/>
  <c r="E412" i="23"/>
  <c r="E413" i="23"/>
  <c r="E414" i="23"/>
  <c r="E415" i="23"/>
  <c r="E416" i="23"/>
  <c r="E417" i="23"/>
  <c r="E418" i="23"/>
  <c r="E419" i="23"/>
  <c r="E420" i="23"/>
  <c r="G410" i="23"/>
  <c r="G411" i="23"/>
  <c r="G412" i="23"/>
  <c r="G413" i="23"/>
  <c r="G414" i="23"/>
  <c r="G415" i="23"/>
  <c r="G416" i="23"/>
  <c r="G417" i="23"/>
  <c r="G418" i="23"/>
  <c r="G419" i="23"/>
  <c r="G420" i="23"/>
  <c r="K15" i="46"/>
  <c r="K14" i="46"/>
  <c r="K13" i="46"/>
  <c r="K12" i="46"/>
  <c r="K11" i="46"/>
  <c r="K10" i="46"/>
  <c r="K9" i="46"/>
  <c r="K8" i="46"/>
  <c r="K7" i="46"/>
  <c r="K6" i="46"/>
  <c r="M5" i="46"/>
  <c r="K5" i="46"/>
  <c r="B4" i="46"/>
  <c r="C3" i="46"/>
  <c r="D3" i="46" s="1"/>
  <c r="F399" i="23"/>
  <c r="F400" i="23"/>
  <c r="F401" i="23"/>
  <c r="F402" i="23"/>
  <c r="F403" i="23"/>
  <c r="F404" i="23"/>
  <c r="F405" i="23"/>
  <c r="F406" i="23"/>
  <c r="F407" i="23"/>
  <c r="F408" i="23"/>
  <c r="F409" i="23"/>
  <c r="E399" i="23"/>
  <c r="E400" i="23"/>
  <c r="E401" i="23"/>
  <c r="E402" i="23"/>
  <c r="E403" i="23"/>
  <c r="E404" i="23"/>
  <c r="E405" i="23"/>
  <c r="E406" i="23"/>
  <c r="E407" i="23"/>
  <c r="E408" i="23"/>
  <c r="E409" i="23"/>
  <c r="G399" i="23"/>
  <c r="G400" i="23"/>
  <c r="G401" i="23"/>
  <c r="G402" i="23"/>
  <c r="G403" i="23"/>
  <c r="G404" i="23"/>
  <c r="G405" i="23"/>
  <c r="G406" i="23"/>
  <c r="G407" i="23"/>
  <c r="G408" i="23"/>
  <c r="G409" i="23"/>
  <c r="K15" i="45"/>
  <c r="K14" i="45"/>
  <c r="K13" i="45"/>
  <c r="K12" i="45"/>
  <c r="K11" i="45"/>
  <c r="K10" i="45"/>
  <c r="K9" i="45"/>
  <c r="K8" i="45"/>
  <c r="K7" i="45"/>
  <c r="K6" i="45"/>
  <c r="M5" i="45"/>
  <c r="K5" i="45"/>
  <c r="B4" i="45"/>
  <c r="C3" i="45"/>
  <c r="D3" i="45" s="1"/>
  <c r="F388" i="23"/>
  <c r="F389" i="23"/>
  <c r="F390" i="23"/>
  <c r="F391" i="23"/>
  <c r="F392" i="23"/>
  <c r="F393" i="23"/>
  <c r="F394" i="23"/>
  <c r="F395" i="23"/>
  <c r="F396" i="23"/>
  <c r="F397" i="23"/>
  <c r="F398" i="23"/>
  <c r="E388" i="23"/>
  <c r="E389" i="23"/>
  <c r="E390" i="23"/>
  <c r="E391" i="23"/>
  <c r="E392" i="23"/>
  <c r="E393" i="23"/>
  <c r="E394" i="23"/>
  <c r="E395" i="23"/>
  <c r="E396" i="23"/>
  <c r="E397" i="23"/>
  <c r="E398" i="23"/>
  <c r="G388" i="23"/>
  <c r="G389" i="23"/>
  <c r="G390" i="23"/>
  <c r="G391" i="23"/>
  <c r="G392" i="23"/>
  <c r="G393" i="23"/>
  <c r="G394" i="23"/>
  <c r="G395" i="23"/>
  <c r="G396" i="23"/>
  <c r="G397" i="23"/>
  <c r="G398" i="23"/>
  <c r="K15" i="44"/>
  <c r="K14" i="44"/>
  <c r="K13" i="44"/>
  <c r="K12" i="44"/>
  <c r="K11" i="44"/>
  <c r="K10" i="44"/>
  <c r="K9" i="44"/>
  <c r="K8" i="44"/>
  <c r="K7" i="44"/>
  <c r="K6" i="44"/>
  <c r="M5" i="44"/>
  <c r="K5" i="44"/>
  <c r="B4" i="44"/>
  <c r="C3" i="44"/>
  <c r="D3" i="44" s="1"/>
  <c r="F377" i="23"/>
  <c r="F378" i="23"/>
  <c r="F379" i="23"/>
  <c r="F380" i="23"/>
  <c r="F381" i="23"/>
  <c r="F382" i="23"/>
  <c r="F383" i="23"/>
  <c r="F384" i="23"/>
  <c r="F385" i="23"/>
  <c r="F386" i="23"/>
  <c r="F387" i="23"/>
  <c r="E377" i="23"/>
  <c r="E378" i="23"/>
  <c r="E379" i="23"/>
  <c r="E380" i="23"/>
  <c r="E381" i="23"/>
  <c r="E382" i="23"/>
  <c r="E383" i="23"/>
  <c r="E384" i="23"/>
  <c r="E385" i="23"/>
  <c r="E386" i="23"/>
  <c r="E387" i="23"/>
  <c r="G377" i="23"/>
  <c r="G378" i="23"/>
  <c r="G379" i="23"/>
  <c r="G380" i="23"/>
  <c r="G381" i="23"/>
  <c r="G382" i="23"/>
  <c r="G383" i="23"/>
  <c r="G384" i="23"/>
  <c r="G385" i="23"/>
  <c r="G386" i="23"/>
  <c r="G387" i="23"/>
  <c r="K15" i="43"/>
  <c r="K14" i="43"/>
  <c r="K13" i="43"/>
  <c r="K12" i="43"/>
  <c r="K11" i="43"/>
  <c r="K10" i="43"/>
  <c r="K9" i="43"/>
  <c r="K8" i="43"/>
  <c r="K7" i="43"/>
  <c r="K6" i="43"/>
  <c r="M5" i="43"/>
  <c r="K5" i="43"/>
  <c r="B4" i="43"/>
  <c r="C3" i="43"/>
  <c r="D3" i="43" s="1"/>
  <c r="F366" i="23"/>
  <c r="F367" i="23"/>
  <c r="F368" i="23"/>
  <c r="F369" i="23"/>
  <c r="F370" i="23"/>
  <c r="F371" i="23"/>
  <c r="F372" i="23"/>
  <c r="F373" i="23"/>
  <c r="F374" i="23"/>
  <c r="F375" i="23"/>
  <c r="F376" i="23"/>
  <c r="E366" i="23"/>
  <c r="E367" i="23"/>
  <c r="E368" i="23"/>
  <c r="E369" i="23"/>
  <c r="E370" i="23"/>
  <c r="E371" i="23"/>
  <c r="E372" i="23"/>
  <c r="E373" i="23"/>
  <c r="E374" i="23"/>
  <c r="E375" i="23"/>
  <c r="E376" i="23"/>
  <c r="G366" i="23"/>
  <c r="G367" i="23"/>
  <c r="G368" i="23"/>
  <c r="G369" i="23"/>
  <c r="G370" i="23"/>
  <c r="G371" i="23"/>
  <c r="G372" i="23"/>
  <c r="G373" i="23"/>
  <c r="G374" i="23"/>
  <c r="G375" i="23"/>
  <c r="G376" i="23"/>
  <c r="K15" i="42"/>
  <c r="K14" i="42"/>
  <c r="K13" i="42"/>
  <c r="K12" i="42"/>
  <c r="K11" i="42"/>
  <c r="K10" i="42"/>
  <c r="K9" i="42"/>
  <c r="K8" i="42"/>
  <c r="K7" i="42"/>
  <c r="K6" i="42"/>
  <c r="M5" i="42"/>
  <c r="K5" i="42"/>
  <c r="B4" i="42"/>
  <c r="C3" i="42"/>
  <c r="D3" i="42" s="1"/>
  <c r="F355" i="23"/>
  <c r="F356" i="23"/>
  <c r="F357" i="23"/>
  <c r="F358" i="23"/>
  <c r="F359" i="23"/>
  <c r="F360" i="23"/>
  <c r="F361" i="23"/>
  <c r="F362" i="23"/>
  <c r="F363" i="23"/>
  <c r="F364" i="23"/>
  <c r="F365" i="23"/>
  <c r="E355" i="23"/>
  <c r="E356" i="23"/>
  <c r="E357" i="23"/>
  <c r="E358" i="23"/>
  <c r="E359" i="23"/>
  <c r="E360" i="23"/>
  <c r="E361" i="23"/>
  <c r="E362" i="23"/>
  <c r="E363" i="23"/>
  <c r="E364" i="23"/>
  <c r="E365" i="23"/>
  <c r="G355" i="23"/>
  <c r="G356" i="23"/>
  <c r="G357" i="23"/>
  <c r="G358" i="23"/>
  <c r="G359" i="23"/>
  <c r="G360" i="23"/>
  <c r="G361" i="23"/>
  <c r="G362" i="23"/>
  <c r="G363" i="23"/>
  <c r="G364" i="23"/>
  <c r="G365" i="23"/>
  <c r="K15" i="41"/>
  <c r="K14" i="41"/>
  <c r="K13" i="41"/>
  <c r="K12" i="41"/>
  <c r="K11" i="41"/>
  <c r="K10" i="41"/>
  <c r="K9" i="41"/>
  <c r="K8" i="41"/>
  <c r="K7" i="41"/>
  <c r="K6" i="41"/>
  <c r="M5" i="41"/>
  <c r="K5" i="41"/>
  <c r="B4" i="41"/>
  <c r="C3" i="41"/>
  <c r="D3" i="41" s="1"/>
  <c r="F344" i="23"/>
  <c r="F345" i="23"/>
  <c r="F346" i="23"/>
  <c r="F347" i="23"/>
  <c r="F348" i="23"/>
  <c r="F349" i="23"/>
  <c r="F350" i="23"/>
  <c r="F351" i="23"/>
  <c r="F352" i="23"/>
  <c r="F353" i="23"/>
  <c r="F354" i="23"/>
  <c r="E344" i="23"/>
  <c r="E345" i="23"/>
  <c r="E346" i="23"/>
  <c r="E347" i="23"/>
  <c r="E348" i="23"/>
  <c r="E349" i="23"/>
  <c r="E350" i="23"/>
  <c r="E351" i="23"/>
  <c r="E352" i="23"/>
  <c r="E353" i="23"/>
  <c r="E354" i="23"/>
  <c r="G344" i="23"/>
  <c r="G345" i="23"/>
  <c r="G346" i="23"/>
  <c r="G347" i="23"/>
  <c r="G348" i="23"/>
  <c r="G349" i="23"/>
  <c r="G350" i="23"/>
  <c r="G351" i="23"/>
  <c r="G352" i="23"/>
  <c r="G353" i="23"/>
  <c r="G354" i="23"/>
  <c r="K15" i="40"/>
  <c r="K14" i="40"/>
  <c r="K13" i="40"/>
  <c r="K12" i="40"/>
  <c r="K11" i="40"/>
  <c r="K10" i="40"/>
  <c r="K9" i="40"/>
  <c r="K8" i="40"/>
  <c r="K7" i="40"/>
  <c r="K6" i="40"/>
  <c r="M5" i="40"/>
  <c r="K5" i="40"/>
  <c r="B4" i="40"/>
  <c r="C3" i="40"/>
  <c r="D3" i="40" s="1"/>
  <c r="F333" i="23"/>
  <c r="F334" i="23"/>
  <c r="F335" i="23"/>
  <c r="F336" i="23"/>
  <c r="F337" i="23"/>
  <c r="F338" i="23"/>
  <c r="F339" i="23"/>
  <c r="F340" i="23"/>
  <c r="F341" i="23"/>
  <c r="F342" i="23"/>
  <c r="F343" i="23"/>
  <c r="E333" i="23"/>
  <c r="E334" i="23"/>
  <c r="E335" i="23"/>
  <c r="E336" i="23"/>
  <c r="E337" i="23"/>
  <c r="E338" i="23"/>
  <c r="E339" i="23"/>
  <c r="E340" i="23"/>
  <c r="E341" i="23"/>
  <c r="E342" i="23"/>
  <c r="E343" i="23"/>
  <c r="G333" i="23"/>
  <c r="G334" i="23"/>
  <c r="G335" i="23"/>
  <c r="G336" i="23"/>
  <c r="G337" i="23"/>
  <c r="G338" i="23"/>
  <c r="G339" i="23"/>
  <c r="G340" i="23"/>
  <c r="G341" i="23"/>
  <c r="G342" i="23"/>
  <c r="G343" i="23"/>
  <c r="K15" i="39"/>
  <c r="K14" i="39"/>
  <c r="K13" i="39"/>
  <c r="K12" i="39"/>
  <c r="K11" i="39"/>
  <c r="K10" i="39"/>
  <c r="K9" i="39"/>
  <c r="K8" i="39"/>
  <c r="K7" i="39"/>
  <c r="K6" i="39"/>
  <c r="M5" i="39"/>
  <c r="K5" i="39"/>
  <c r="B4" i="39"/>
  <c r="C3" i="39"/>
  <c r="F322" i="23"/>
  <c r="F323" i="23"/>
  <c r="F324" i="23"/>
  <c r="F325" i="23"/>
  <c r="F326" i="23"/>
  <c r="F327" i="23"/>
  <c r="F328" i="23"/>
  <c r="F329" i="23"/>
  <c r="F330" i="23"/>
  <c r="F331" i="23"/>
  <c r="F332" i="23"/>
  <c r="E322" i="23"/>
  <c r="E323" i="23"/>
  <c r="E324" i="23"/>
  <c r="E325" i="23"/>
  <c r="E326" i="23"/>
  <c r="E327" i="23"/>
  <c r="E328" i="23"/>
  <c r="E329" i="23"/>
  <c r="E330" i="23"/>
  <c r="E331" i="23"/>
  <c r="E332" i="23"/>
  <c r="G322" i="23"/>
  <c r="G323" i="23"/>
  <c r="G324" i="23"/>
  <c r="G325" i="23"/>
  <c r="G326" i="23"/>
  <c r="G327" i="23"/>
  <c r="G328" i="23"/>
  <c r="G329" i="23"/>
  <c r="G330" i="23"/>
  <c r="G331" i="23"/>
  <c r="G332" i="23"/>
  <c r="K15" i="38"/>
  <c r="K14" i="38"/>
  <c r="K13" i="38"/>
  <c r="K12" i="38"/>
  <c r="K11" i="38"/>
  <c r="K10" i="38"/>
  <c r="K9" i="38"/>
  <c r="K8" i="38"/>
  <c r="K7" i="38"/>
  <c r="K6" i="38"/>
  <c r="M5" i="38"/>
  <c r="K5" i="38"/>
  <c r="B4" i="38"/>
  <c r="C3" i="38"/>
  <c r="D3" i="38" s="1"/>
  <c r="F311" i="23"/>
  <c r="F312" i="23"/>
  <c r="F313" i="23"/>
  <c r="F314" i="23"/>
  <c r="F315" i="23"/>
  <c r="F316" i="23"/>
  <c r="F317" i="23"/>
  <c r="F318" i="23"/>
  <c r="F319" i="23"/>
  <c r="F320" i="23"/>
  <c r="F321" i="23"/>
  <c r="E311" i="23"/>
  <c r="E312" i="23"/>
  <c r="E313" i="23"/>
  <c r="E314" i="23"/>
  <c r="E315" i="23"/>
  <c r="E316" i="23"/>
  <c r="E317" i="23"/>
  <c r="E318" i="23"/>
  <c r="E319" i="23"/>
  <c r="E320" i="23"/>
  <c r="E321" i="23"/>
  <c r="G311" i="23"/>
  <c r="G312" i="23"/>
  <c r="G313" i="23"/>
  <c r="G314" i="23"/>
  <c r="G315" i="23"/>
  <c r="G316" i="23"/>
  <c r="G317" i="23"/>
  <c r="G318" i="23"/>
  <c r="G319" i="23"/>
  <c r="G320" i="23"/>
  <c r="G321" i="23"/>
  <c r="K15" i="37"/>
  <c r="K14" i="37"/>
  <c r="K13" i="37"/>
  <c r="K12" i="37"/>
  <c r="K11" i="37"/>
  <c r="K10" i="37"/>
  <c r="K9" i="37"/>
  <c r="K8" i="37"/>
  <c r="K7" i="37"/>
  <c r="K6" i="37"/>
  <c r="M5" i="37"/>
  <c r="K5" i="37"/>
  <c r="B4" i="37"/>
  <c r="C3" i="37"/>
  <c r="D3" i="37" s="1"/>
  <c r="E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F300" i="23"/>
  <c r="F301" i="23"/>
  <c r="F302" i="23"/>
  <c r="F303" i="23"/>
  <c r="F304" i="23"/>
  <c r="F305" i="23"/>
  <c r="F306" i="23"/>
  <c r="F307" i="23"/>
  <c r="F308" i="23"/>
  <c r="F309" i="23"/>
  <c r="F310" i="23"/>
  <c r="G300" i="23"/>
  <c r="G301" i="23"/>
  <c r="G302" i="23"/>
  <c r="G303" i="23"/>
  <c r="G304" i="23"/>
  <c r="G305" i="23"/>
  <c r="G306" i="23"/>
  <c r="G307" i="23"/>
  <c r="G308" i="23"/>
  <c r="G309" i="23"/>
  <c r="G310" i="23"/>
  <c r="K15" i="36"/>
  <c r="K14" i="36"/>
  <c r="K13" i="36"/>
  <c r="K12" i="36"/>
  <c r="K11" i="36"/>
  <c r="K10" i="36"/>
  <c r="K9" i="36"/>
  <c r="K8" i="36"/>
  <c r="K7" i="36"/>
  <c r="K6" i="36"/>
  <c r="M5" i="36"/>
  <c r="K5" i="36"/>
  <c r="B4" i="36"/>
  <c r="C3" i="36"/>
  <c r="D3" i="36" s="1"/>
  <c r="F289" i="23"/>
  <c r="F290" i="23"/>
  <c r="F291" i="23"/>
  <c r="F292" i="23"/>
  <c r="F293" i="23"/>
  <c r="F294" i="23"/>
  <c r="F295" i="23"/>
  <c r="F296" i="23"/>
  <c r="F297" i="23"/>
  <c r="F298" i="23"/>
  <c r="F299" i="23"/>
  <c r="G289" i="23"/>
  <c r="G290" i="23"/>
  <c r="G291" i="23"/>
  <c r="G292" i="23"/>
  <c r="G293" i="23"/>
  <c r="G294" i="23"/>
  <c r="G295" i="23"/>
  <c r="G296" i="23"/>
  <c r="G297" i="23"/>
  <c r="G298" i="23"/>
  <c r="G299" i="23"/>
  <c r="K15" i="35"/>
  <c r="K14" i="35"/>
  <c r="K13" i="35"/>
  <c r="K12" i="35"/>
  <c r="K11" i="35"/>
  <c r="K10" i="35"/>
  <c r="K9" i="35"/>
  <c r="K8" i="35"/>
  <c r="K7" i="35"/>
  <c r="K6" i="35"/>
  <c r="M5" i="35"/>
  <c r="K5" i="35"/>
  <c r="B4" i="35"/>
  <c r="C3" i="35"/>
  <c r="D3" i="35" s="1"/>
  <c r="F278" i="23"/>
  <c r="F279" i="23"/>
  <c r="F280" i="23"/>
  <c r="F281" i="23"/>
  <c r="F282" i="23"/>
  <c r="F283" i="23"/>
  <c r="F284" i="23"/>
  <c r="F285" i="23"/>
  <c r="F286" i="23"/>
  <c r="F287" i="23"/>
  <c r="F288" i="23"/>
  <c r="G278" i="23"/>
  <c r="G279" i="23"/>
  <c r="G280" i="23"/>
  <c r="G281" i="23"/>
  <c r="G282" i="23"/>
  <c r="G283" i="23"/>
  <c r="G284" i="23"/>
  <c r="G285" i="23"/>
  <c r="G286" i="23"/>
  <c r="G287" i="23"/>
  <c r="G288" i="23"/>
  <c r="F267" i="23"/>
  <c r="F268" i="23"/>
  <c r="F269" i="23"/>
  <c r="F270" i="23"/>
  <c r="F271" i="23"/>
  <c r="F272" i="23"/>
  <c r="F273" i="23"/>
  <c r="F274" i="23"/>
  <c r="F275" i="23"/>
  <c r="F276" i="23"/>
  <c r="F277" i="23"/>
  <c r="G267" i="23"/>
  <c r="G268" i="23"/>
  <c r="G269" i="23"/>
  <c r="G270" i="23"/>
  <c r="G271" i="23"/>
  <c r="G272" i="23"/>
  <c r="G273" i="23"/>
  <c r="G274" i="23"/>
  <c r="G275" i="23"/>
  <c r="G276" i="23"/>
  <c r="G277" i="23"/>
  <c r="F256" i="23"/>
  <c r="F257" i="23"/>
  <c r="F258" i="23"/>
  <c r="F259" i="23"/>
  <c r="F260" i="23"/>
  <c r="F261" i="23"/>
  <c r="F262" i="23"/>
  <c r="F263" i="23"/>
  <c r="F264" i="23"/>
  <c r="F265" i="23"/>
  <c r="F266" i="23"/>
  <c r="G256" i="23"/>
  <c r="G257" i="23"/>
  <c r="G258" i="23"/>
  <c r="G259" i="23"/>
  <c r="G260" i="23"/>
  <c r="G261" i="23"/>
  <c r="G262" i="23"/>
  <c r="G263" i="23"/>
  <c r="G264" i="23"/>
  <c r="G265" i="23"/>
  <c r="G266" i="23"/>
  <c r="F245" i="23"/>
  <c r="F246" i="23"/>
  <c r="F247" i="23"/>
  <c r="F248" i="23"/>
  <c r="F249" i="23"/>
  <c r="F250" i="23"/>
  <c r="F251" i="23"/>
  <c r="F252" i="23"/>
  <c r="F253" i="23"/>
  <c r="F254" i="23"/>
  <c r="F255" i="23"/>
  <c r="G245" i="23"/>
  <c r="G246" i="23"/>
  <c r="G247" i="23"/>
  <c r="G248" i="23"/>
  <c r="G249" i="23"/>
  <c r="G250" i="23"/>
  <c r="G251" i="23"/>
  <c r="G252" i="23"/>
  <c r="G253" i="23"/>
  <c r="G254" i="23"/>
  <c r="G255" i="23"/>
  <c r="F234" i="23"/>
  <c r="F235" i="23"/>
  <c r="F236" i="23"/>
  <c r="F237" i="23"/>
  <c r="F238" i="23"/>
  <c r="F239" i="23"/>
  <c r="F240" i="23"/>
  <c r="F241" i="23"/>
  <c r="F242" i="23"/>
  <c r="F243" i="23"/>
  <c r="F244" i="23"/>
  <c r="G234" i="23"/>
  <c r="G235" i="23"/>
  <c r="G236" i="23"/>
  <c r="G237" i="23"/>
  <c r="G238" i="23"/>
  <c r="G239" i="23"/>
  <c r="G240" i="23"/>
  <c r="G241" i="23"/>
  <c r="G242" i="23"/>
  <c r="G243" i="23"/>
  <c r="G244" i="23"/>
  <c r="F223" i="23"/>
  <c r="F224" i="23"/>
  <c r="F225" i="23"/>
  <c r="F226" i="23"/>
  <c r="F227" i="23"/>
  <c r="F228" i="23"/>
  <c r="F229" i="23"/>
  <c r="F230" i="23"/>
  <c r="F231" i="23"/>
  <c r="F232" i="23"/>
  <c r="F233" i="23"/>
  <c r="G223" i="23"/>
  <c r="G224" i="23"/>
  <c r="G225" i="23"/>
  <c r="G226" i="23"/>
  <c r="G227" i="23"/>
  <c r="G228" i="23"/>
  <c r="G229" i="23"/>
  <c r="G230" i="23"/>
  <c r="G231" i="23"/>
  <c r="G232" i="23"/>
  <c r="G233" i="23"/>
  <c r="F212" i="23"/>
  <c r="F213" i="23"/>
  <c r="F214" i="23"/>
  <c r="F215" i="23"/>
  <c r="F216" i="23"/>
  <c r="F217" i="23"/>
  <c r="F218" i="23"/>
  <c r="F219" i="23"/>
  <c r="F220" i="23"/>
  <c r="F221" i="23"/>
  <c r="F222" i="23"/>
  <c r="G212" i="23"/>
  <c r="G213" i="23"/>
  <c r="G214" i="23"/>
  <c r="G215" i="23"/>
  <c r="G216" i="23"/>
  <c r="G217" i="23"/>
  <c r="G218" i="23"/>
  <c r="G219" i="23"/>
  <c r="G220" i="23"/>
  <c r="G221" i="23"/>
  <c r="G222" i="23"/>
  <c r="F202" i="23"/>
  <c r="F203" i="23"/>
  <c r="F204" i="23"/>
  <c r="F205" i="23"/>
  <c r="F206" i="23"/>
  <c r="F207" i="23"/>
  <c r="F208" i="23"/>
  <c r="F209" i="23"/>
  <c r="F210" i="23"/>
  <c r="F211" i="23"/>
  <c r="G202" i="23"/>
  <c r="G203" i="23"/>
  <c r="G204" i="23"/>
  <c r="G205" i="23"/>
  <c r="G206" i="23"/>
  <c r="G207" i="23"/>
  <c r="G208" i="23"/>
  <c r="G209" i="23"/>
  <c r="G210" i="23"/>
  <c r="G211" i="23"/>
  <c r="K15" i="34"/>
  <c r="K14" i="34"/>
  <c r="K13" i="34"/>
  <c r="K12" i="34"/>
  <c r="K11" i="34"/>
  <c r="K10" i="34"/>
  <c r="K9" i="34"/>
  <c r="K8" i="34"/>
  <c r="K7" i="34"/>
  <c r="K6" i="34"/>
  <c r="M5" i="34"/>
  <c r="K5" i="34"/>
  <c r="B4" i="34"/>
  <c r="C3" i="34"/>
  <c r="D3" i="34" s="1"/>
  <c r="G102" i="23"/>
  <c r="G103" i="23"/>
  <c r="G104" i="23"/>
  <c r="G105" i="23"/>
  <c r="G106" i="23"/>
  <c r="G107" i="23"/>
  <c r="G108" i="23"/>
  <c r="G109" i="23"/>
  <c r="G110" i="23"/>
  <c r="G111" i="23"/>
  <c r="G62" i="23"/>
  <c r="G63" i="23"/>
  <c r="G64" i="23"/>
  <c r="G65" i="23"/>
  <c r="G66" i="23"/>
  <c r="G67" i="23"/>
  <c r="G68" i="23"/>
  <c r="G69" i="23"/>
  <c r="G70" i="23"/>
  <c r="G71" i="23"/>
  <c r="G192" i="23"/>
  <c r="G193" i="23"/>
  <c r="G194" i="23"/>
  <c r="G195" i="23"/>
  <c r="G196" i="23"/>
  <c r="G197" i="23"/>
  <c r="G198" i="23"/>
  <c r="G199" i="23"/>
  <c r="G200" i="23"/>
  <c r="G201" i="23"/>
  <c r="G152" i="23"/>
  <c r="G153" i="23"/>
  <c r="G154" i="23"/>
  <c r="G155" i="23"/>
  <c r="G156" i="23"/>
  <c r="G157" i="23"/>
  <c r="G158" i="23"/>
  <c r="G159" i="23"/>
  <c r="G160" i="23"/>
  <c r="G161" i="23"/>
  <c r="G22" i="23"/>
  <c r="G23" i="23"/>
  <c r="G24" i="23"/>
  <c r="G25" i="23"/>
  <c r="G26" i="23"/>
  <c r="G27" i="23"/>
  <c r="G28" i="23"/>
  <c r="G29" i="23"/>
  <c r="G30" i="23"/>
  <c r="G31" i="23"/>
  <c r="G112" i="23"/>
  <c r="G113" i="23"/>
  <c r="G114" i="23"/>
  <c r="G115" i="23"/>
  <c r="G116" i="23"/>
  <c r="G117" i="23"/>
  <c r="G118" i="23"/>
  <c r="G119" i="23"/>
  <c r="G120" i="23"/>
  <c r="G121" i="23"/>
  <c r="G72" i="23"/>
  <c r="G73" i="23"/>
  <c r="G74" i="23"/>
  <c r="G75" i="23"/>
  <c r="G76" i="23"/>
  <c r="G77" i="23"/>
  <c r="G78" i="23"/>
  <c r="G79" i="23"/>
  <c r="G80" i="23"/>
  <c r="G81" i="23"/>
  <c r="G162" i="23"/>
  <c r="G163" i="23"/>
  <c r="G164" i="23"/>
  <c r="G165" i="23"/>
  <c r="G166" i="23"/>
  <c r="G167" i="23"/>
  <c r="G168" i="23"/>
  <c r="G169" i="23"/>
  <c r="G170" i="23"/>
  <c r="G171" i="23"/>
  <c r="G32" i="23"/>
  <c r="G33" i="23"/>
  <c r="G34" i="23"/>
  <c r="G35" i="23"/>
  <c r="G36" i="23"/>
  <c r="G37" i="23"/>
  <c r="G38" i="23"/>
  <c r="G39" i="23"/>
  <c r="G40" i="23"/>
  <c r="G41" i="23"/>
  <c r="G122" i="23"/>
  <c r="G123" i="23"/>
  <c r="G124" i="23"/>
  <c r="G125" i="23"/>
  <c r="G126" i="23"/>
  <c r="G127" i="23"/>
  <c r="G128" i="23"/>
  <c r="G129" i="23"/>
  <c r="G130" i="23"/>
  <c r="G131" i="23"/>
  <c r="G82" i="23"/>
  <c r="G83" i="23"/>
  <c r="G84" i="23"/>
  <c r="G85" i="23"/>
  <c r="G86" i="23"/>
  <c r="G87" i="23"/>
  <c r="G88" i="23"/>
  <c r="G89" i="23"/>
  <c r="G90" i="23"/>
  <c r="G91" i="23"/>
  <c r="G172" i="23"/>
  <c r="G173" i="23"/>
  <c r="G174" i="23"/>
  <c r="G175" i="23"/>
  <c r="G176" i="23"/>
  <c r="G177" i="23"/>
  <c r="G178" i="23"/>
  <c r="G179" i="23"/>
  <c r="G180" i="23"/>
  <c r="G181" i="23"/>
  <c r="G2" i="23"/>
  <c r="G3" i="23"/>
  <c r="G4" i="23"/>
  <c r="G5" i="23"/>
  <c r="G6" i="23"/>
  <c r="G7" i="23"/>
  <c r="G8" i="23"/>
  <c r="G9" i="23"/>
  <c r="G10" i="23"/>
  <c r="G11" i="23"/>
  <c r="G42" i="23"/>
  <c r="G43" i="23"/>
  <c r="G44" i="23"/>
  <c r="G45" i="23"/>
  <c r="G46" i="23"/>
  <c r="G47" i="23"/>
  <c r="G48" i="23"/>
  <c r="G49" i="23"/>
  <c r="G50" i="23"/>
  <c r="G51" i="23"/>
  <c r="G132" i="23"/>
  <c r="G133" i="23"/>
  <c r="G134" i="23"/>
  <c r="G135" i="23"/>
  <c r="G136" i="23"/>
  <c r="G137" i="23"/>
  <c r="G138" i="23"/>
  <c r="G139" i="23"/>
  <c r="G140" i="23"/>
  <c r="G141" i="23"/>
  <c r="G92" i="23"/>
  <c r="G93" i="23"/>
  <c r="G94" i="23"/>
  <c r="G95" i="23"/>
  <c r="G96" i="23"/>
  <c r="G97" i="23"/>
  <c r="G98" i="23"/>
  <c r="G99" i="23"/>
  <c r="G100" i="23"/>
  <c r="G101" i="23"/>
  <c r="G182" i="23"/>
  <c r="G183" i="23"/>
  <c r="G184" i="23"/>
  <c r="G185" i="23"/>
  <c r="G186" i="23"/>
  <c r="G187" i="23"/>
  <c r="G188" i="23"/>
  <c r="G189" i="23"/>
  <c r="G190" i="23"/>
  <c r="G191" i="23"/>
  <c r="G12" i="23"/>
  <c r="G13" i="23"/>
  <c r="G14" i="23"/>
  <c r="G15" i="23"/>
  <c r="G16" i="23"/>
  <c r="G17" i="23"/>
  <c r="G18" i="23"/>
  <c r="G19" i="23"/>
  <c r="G20" i="23"/>
  <c r="G21" i="23"/>
  <c r="G52" i="23"/>
  <c r="G53" i="23"/>
  <c r="G54" i="23"/>
  <c r="G55" i="23"/>
  <c r="G56" i="23"/>
  <c r="G57" i="23"/>
  <c r="G58" i="23"/>
  <c r="G59" i="23"/>
  <c r="G60" i="23"/>
  <c r="G61" i="23"/>
  <c r="G142" i="23"/>
  <c r="G143" i="23"/>
  <c r="G144" i="23"/>
  <c r="G145" i="23"/>
  <c r="G146" i="23"/>
  <c r="G147" i="23"/>
  <c r="G148" i="23"/>
  <c r="G149" i="23"/>
  <c r="G150" i="23"/>
  <c r="G151" i="23"/>
  <c r="F151" i="23"/>
  <c r="F142" i="23"/>
  <c r="K15" i="33"/>
  <c r="K14" i="33"/>
  <c r="K13" i="33"/>
  <c r="K12" i="33"/>
  <c r="K11" i="33"/>
  <c r="K10" i="33"/>
  <c r="K9" i="33"/>
  <c r="K8" i="33"/>
  <c r="K7" i="33"/>
  <c r="K6" i="33"/>
  <c r="M5" i="33"/>
  <c r="K5" i="33"/>
  <c r="B4" i="33"/>
  <c r="C3" i="33"/>
  <c r="D3" i="61" l="1"/>
  <c r="C4" i="61"/>
  <c r="K17" i="62"/>
  <c r="L5" i="62" s="1"/>
  <c r="L9" i="62"/>
  <c r="E3" i="62"/>
  <c r="D4" i="62"/>
  <c r="C4" i="62"/>
  <c r="K17" i="61"/>
  <c r="L10" i="61" s="1"/>
  <c r="D4" i="61"/>
  <c r="E3" i="61"/>
  <c r="C4" i="60"/>
  <c r="K17" i="60"/>
  <c r="L12" i="60" s="1"/>
  <c r="L5" i="60"/>
  <c r="E3" i="60"/>
  <c r="D4" i="60"/>
  <c r="D3" i="33"/>
  <c r="C4" i="33"/>
  <c r="D3" i="39"/>
  <c r="C4" i="39"/>
  <c r="D3" i="47"/>
  <c r="C4" i="47"/>
  <c r="K17" i="59"/>
  <c r="L9" i="59" s="1"/>
  <c r="E3" i="59"/>
  <c r="D4" i="59"/>
  <c r="C4" i="59"/>
  <c r="K17" i="58"/>
  <c r="L15" i="58" s="1"/>
  <c r="D4" i="58"/>
  <c r="C4" i="58"/>
  <c r="K17" i="57"/>
  <c r="L16" i="57" s="1"/>
  <c r="D4" i="57"/>
  <c r="E3" i="57"/>
  <c r="C4" i="57"/>
  <c r="K17" i="56"/>
  <c r="L12" i="56" s="1"/>
  <c r="E3" i="56"/>
  <c r="D4" i="56"/>
  <c r="C4" i="56"/>
  <c r="K17" i="55"/>
  <c r="L9" i="55" s="1"/>
  <c r="E3" i="55"/>
  <c r="D4" i="55"/>
  <c r="C4" i="55"/>
  <c r="K16" i="54"/>
  <c r="L11" i="54" s="1"/>
  <c r="C4" i="54"/>
  <c r="L10" i="54"/>
  <c r="E3" i="54"/>
  <c r="D4" i="54"/>
  <c r="L8" i="54"/>
  <c r="L12" i="54"/>
  <c r="L6" i="54"/>
  <c r="L15" i="54"/>
  <c r="D3" i="53"/>
  <c r="E3" i="53" s="1"/>
  <c r="E4" i="53" s="1"/>
  <c r="K16" i="53"/>
  <c r="L15" i="53" s="1"/>
  <c r="F3" i="53"/>
  <c r="K16" i="52"/>
  <c r="L9" i="52"/>
  <c r="E3" i="52"/>
  <c r="D4" i="52"/>
  <c r="L10" i="52"/>
  <c r="L12" i="52"/>
  <c r="L13" i="52"/>
  <c r="L14" i="52"/>
  <c r="L7" i="52"/>
  <c r="L15" i="52"/>
  <c r="C4" i="52"/>
  <c r="L5" i="51"/>
  <c r="E3" i="51"/>
  <c r="D4" i="51"/>
  <c r="C4" i="51"/>
  <c r="C4" i="50"/>
  <c r="K16" i="50"/>
  <c r="L14" i="50" s="1"/>
  <c r="E3" i="50"/>
  <c r="D4" i="50"/>
  <c r="K16" i="49"/>
  <c r="L5" i="49" s="1"/>
  <c r="D4" i="49"/>
  <c r="E3" i="49"/>
  <c r="C4" i="49"/>
  <c r="D3" i="48"/>
  <c r="K16" i="48"/>
  <c r="L9" i="48" s="1"/>
  <c r="K16" i="47"/>
  <c r="L9" i="47" s="1"/>
  <c r="E3" i="47"/>
  <c r="D4" i="47"/>
  <c r="K16" i="46"/>
  <c r="L6" i="46" s="1"/>
  <c r="C4" i="46"/>
  <c r="E3" i="46"/>
  <c r="D4" i="46"/>
  <c r="K16" i="45"/>
  <c r="D4" i="45"/>
  <c r="E3" i="45"/>
  <c r="L14" i="45"/>
  <c r="L7" i="45"/>
  <c r="L15" i="45"/>
  <c r="C4" i="45"/>
  <c r="K16" i="44"/>
  <c r="L11" i="44" s="1"/>
  <c r="D4" i="44"/>
  <c r="E3" i="44"/>
  <c r="C4" i="44"/>
  <c r="K16" i="43"/>
  <c r="L7" i="43" s="1"/>
  <c r="L8" i="43"/>
  <c r="L9" i="43"/>
  <c r="E3" i="43"/>
  <c r="D4" i="43"/>
  <c r="L6" i="43"/>
  <c r="C4" i="43"/>
  <c r="K16" i="42"/>
  <c r="L12" i="42" s="1"/>
  <c r="E3" i="42"/>
  <c r="D4" i="42"/>
  <c r="C4" i="42"/>
  <c r="K16" i="41"/>
  <c r="L12" i="41" s="1"/>
  <c r="C4" i="41"/>
  <c r="D4" i="41"/>
  <c r="E3" i="41"/>
  <c r="C4" i="40"/>
  <c r="E3" i="40"/>
  <c r="D4" i="40"/>
  <c r="K16" i="40"/>
  <c r="L8" i="40" s="1"/>
  <c r="K16" i="39"/>
  <c r="L8" i="39" s="1"/>
  <c r="E3" i="39"/>
  <c r="D4" i="39"/>
  <c r="K16" i="38"/>
  <c r="L9" i="38" s="1"/>
  <c r="E3" i="38"/>
  <c r="D4" i="38"/>
  <c r="C4" i="38"/>
  <c r="K16" i="37"/>
  <c r="L9" i="37" s="1"/>
  <c r="E3" i="37"/>
  <c r="D4" i="37"/>
  <c r="C4" i="37"/>
  <c r="K16" i="36"/>
  <c r="L11" i="36" s="1"/>
  <c r="E3" i="36"/>
  <c r="D4" i="36"/>
  <c r="C4" i="36"/>
  <c r="K16" i="35"/>
  <c r="L6" i="35" s="1"/>
  <c r="D4" i="35"/>
  <c r="E3" i="35"/>
  <c r="C4" i="35"/>
  <c r="K16" i="34"/>
  <c r="L12" i="34" s="1"/>
  <c r="E3" i="34"/>
  <c r="D4" i="34"/>
  <c r="C4" i="34"/>
  <c r="K16" i="33"/>
  <c r="L7" i="33" s="1"/>
  <c r="E3" i="33"/>
  <c r="D4" i="33"/>
  <c r="F141" i="23"/>
  <c r="F91" i="23"/>
  <c r="F83" i="23"/>
  <c r="F84" i="23"/>
  <c r="F85" i="23"/>
  <c r="F86" i="23"/>
  <c r="F87" i="23"/>
  <c r="F88" i="23"/>
  <c r="F89" i="23"/>
  <c r="F90" i="23"/>
  <c r="F72" i="23"/>
  <c r="F73" i="23"/>
  <c r="F74" i="23"/>
  <c r="F75" i="23"/>
  <c r="F76" i="23"/>
  <c r="F77" i="23"/>
  <c r="F78" i="23"/>
  <c r="F79" i="23"/>
  <c r="F80" i="23"/>
  <c r="F81" i="23"/>
  <c r="F143" i="23"/>
  <c r="F144" i="23"/>
  <c r="F145" i="23"/>
  <c r="F146" i="23"/>
  <c r="F147" i="23"/>
  <c r="F148" i="23"/>
  <c r="F149" i="23"/>
  <c r="F150" i="23"/>
  <c r="F92" i="23"/>
  <c r="F93" i="23"/>
  <c r="F94" i="23"/>
  <c r="F95" i="23"/>
  <c r="F96" i="23"/>
  <c r="F97" i="23"/>
  <c r="F98" i="23"/>
  <c r="F99" i="23"/>
  <c r="F100" i="23"/>
  <c r="F101" i="23"/>
  <c r="F192" i="23"/>
  <c r="F193" i="23"/>
  <c r="F194" i="23"/>
  <c r="F195" i="23"/>
  <c r="F196" i="23"/>
  <c r="F197" i="23"/>
  <c r="F198" i="23"/>
  <c r="F199" i="23"/>
  <c r="F200" i="23"/>
  <c r="F201" i="23"/>
  <c r="F172" i="23"/>
  <c r="F173" i="23"/>
  <c r="F174" i="23"/>
  <c r="F175" i="23"/>
  <c r="F176" i="23"/>
  <c r="F177" i="23"/>
  <c r="F178" i="23"/>
  <c r="F179" i="23"/>
  <c r="F180" i="23"/>
  <c r="F181" i="23"/>
  <c r="F162" i="23"/>
  <c r="F163" i="23"/>
  <c r="F164" i="23"/>
  <c r="F165" i="23"/>
  <c r="F166" i="23"/>
  <c r="F167" i="23"/>
  <c r="F168" i="23"/>
  <c r="F169" i="23"/>
  <c r="F170" i="23"/>
  <c r="F171" i="23"/>
  <c r="F182" i="23"/>
  <c r="F183" i="23"/>
  <c r="F184" i="23"/>
  <c r="F185" i="23"/>
  <c r="F186" i="23"/>
  <c r="F187" i="23"/>
  <c r="F188" i="23"/>
  <c r="F189" i="23"/>
  <c r="F190" i="23"/>
  <c r="F191" i="23"/>
  <c r="F152" i="23"/>
  <c r="F153" i="23"/>
  <c r="F154" i="23"/>
  <c r="F155" i="23"/>
  <c r="F156" i="23"/>
  <c r="F157" i="23"/>
  <c r="F158" i="23"/>
  <c r="F159" i="23"/>
  <c r="F160" i="23"/>
  <c r="F161" i="23"/>
  <c r="F2" i="23"/>
  <c r="F3" i="23"/>
  <c r="F4" i="23"/>
  <c r="F5" i="23"/>
  <c r="F6" i="23"/>
  <c r="F7" i="23"/>
  <c r="F8" i="23"/>
  <c r="F9" i="23"/>
  <c r="F10" i="23"/>
  <c r="F11" i="23"/>
  <c r="F32" i="23"/>
  <c r="F33" i="23"/>
  <c r="F34" i="23"/>
  <c r="F35" i="23"/>
  <c r="F36" i="23"/>
  <c r="F37" i="23"/>
  <c r="F38" i="23"/>
  <c r="F39" i="23"/>
  <c r="F40" i="23"/>
  <c r="F41" i="23"/>
  <c r="F12" i="23"/>
  <c r="F13" i="23"/>
  <c r="F14" i="23"/>
  <c r="F15" i="23"/>
  <c r="F16" i="23"/>
  <c r="F17" i="23"/>
  <c r="F18" i="23"/>
  <c r="F19" i="23"/>
  <c r="F20" i="23"/>
  <c r="F21" i="23"/>
  <c r="F102" i="23"/>
  <c r="F103" i="23"/>
  <c r="F104" i="23"/>
  <c r="F105" i="23"/>
  <c r="F106" i="23"/>
  <c r="F107" i="23"/>
  <c r="F108" i="23"/>
  <c r="F109" i="23"/>
  <c r="F110" i="23"/>
  <c r="F111" i="23"/>
  <c r="F22" i="23"/>
  <c r="F23" i="23"/>
  <c r="F24" i="23"/>
  <c r="F25" i="23"/>
  <c r="F26" i="23"/>
  <c r="F27" i="23"/>
  <c r="F28" i="23"/>
  <c r="F29" i="23"/>
  <c r="F30" i="23"/>
  <c r="F31" i="23"/>
  <c r="F42" i="23"/>
  <c r="F43" i="23"/>
  <c r="F44" i="23"/>
  <c r="F45" i="23"/>
  <c r="F46" i="23"/>
  <c r="F47" i="23"/>
  <c r="F48" i="23"/>
  <c r="F49" i="23"/>
  <c r="F50" i="23"/>
  <c r="F51" i="23"/>
  <c r="F122" i="23"/>
  <c r="F123" i="23"/>
  <c r="F124" i="23"/>
  <c r="F125" i="23"/>
  <c r="F126" i="23"/>
  <c r="F127" i="23"/>
  <c r="F128" i="23"/>
  <c r="F129" i="23"/>
  <c r="F130" i="23"/>
  <c r="F13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112" i="23"/>
  <c r="F113" i="23"/>
  <c r="F114" i="23"/>
  <c r="F115" i="23"/>
  <c r="F116" i="23"/>
  <c r="F117" i="23"/>
  <c r="F118" i="23"/>
  <c r="F119" i="23"/>
  <c r="F120" i="23"/>
  <c r="F121" i="23"/>
  <c r="F132" i="23"/>
  <c r="F133" i="23"/>
  <c r="F134" i="23"/>
  <c r="F135" i="23"/>
  <c r="F136" i="23"/>
  <c r="F137" i="23"/>
  <c r="F138" i="23"/>
  <c r="F139" i="23"/>
  <c r="F140" i="23"/>
  <c r="F82" i="23"/>
  <c r="L7" i="62" l="1"/>
  <c r="L14" i="62"/>
  <c r="L16" i="62"/>
  <c r="L11" i="62"/>
  <c r="L13" i="62"/>
  <c r="L6" i="62"/>
  <c r="L12" i="62"/>
  <c r="L8" i="62"/>
  <c r="L10" i="62"/>
  <c r="L15" i="62"/>
  <c r="F3" i="62"/>
  <c r="E4" i="62"/>
  <c r="L6" i="61"/>
  <c r="L12" i="61"/>
  <c r="L9" i="61"/>
  <c r="L7" i="61"/>
  <c r="L13" i="61"/>
  <c r="L16" i="61"/>
  <c r="L11" i="61"/>
  <c r="L8" i="61"/>
  <c r="L15" i="61"/>
  <c r="L14" i="61"/>
  <c r="L5" i="61"/>
  <c r="F3" i="61"/>
  <c r="E4" i="61"/>
  <c r="L16" i="60"/>
  <c r="L8" i="60"/>
  <c r="L13" i="60"/>
  <c r="L11" i="60"/>
  <c r="L15" i="60"/>
  <c r="L6" i="60"/>
  <c r="L7" i="60"/>
  <c r="L9" i="60"/>
  <c r="L14" i="60"/>
  <c r="L10" i="60"/>
  <c r="F3" i="60"/>
  <c r="E4" i="60"/>
  <c r="L5" i="45"/>
  <c r="L8" i="45"/>
  <c r="L9" i="45"/>
  <c r="L10" i="45"/>
  <c r="L5" i="52"/>
  <c r="L8" i="52"/>
  <c r="L5" i="59"/>
  <c r="L16" i="59"/>
  <c r="L8" i="59"/>
  <c r="L6" i="59"/>
  <c r="L10" i="59"/>
  <c r="L7" i="59"/>
  <c r="L11" i="59"/>
  <c r="L12" i="59"/>
  <c r="L15" i="59"/>
  <c r="L14" i="59"/>
  <c r="L13" i="59"/>
  <c r="F3" i="59"/>
  <c r="E4" i="59"/>
  <c r="L13" i="58"/>
  <c r="L16" i="58"/>
  <c r="L6" i="58"/>
  <c r="L11" i="58"/>
  <c r="L9" i="58"/>
  <c r="L5" i="58"/>
  <c r="L14" i="58"/>
  <c r="L12" i="58"/>
  <c r="L7" i="58"/>
  <c r="L8" i="58"/>
  <c r="L10" i="58"/>
  <c r="E4" i="58"/>
  <c r="L5" i="57"/>
  <c r="L7" i="57"/>
  <c r="L8" i="57"/>
  <c r="L15" i="57"/>
  <c r="L13" i="57"/>
  <c r="L14" i="57"/>
  <c r="L12" i="57"/>
  <c r="L6" i="57"/>
  <c r="L10" i="57"/>
  <c r="L11" i="57"/>
  <c r="L9" i="57"/>
  <c r="F3" i="57"/>
  <c r="E4" i="57"/>
  <c r="L9" i="56"/>
  <c r="L6" i="56"/>
  <c r="L10" i="56"/>
  <c r="L5" i="56"/>
  <c r="L7" i="56"/>
  <c r="L11" i="56"/>
  <c r="L16" i="56"/>
  <c r="L13" i="56"/>
  <c r="L8" i="56"/>
  <c r="L14" i="56"/>
  <c r="L15" i="56"/>
  <c r="F3" i="56"/>
  <c r="E4" i="56"/>
  <c r="L7" i="55"/>
  <c r="L14" i="55"/>
  <c r="L13" i="55"/>
  <c r="L11" i="55"/>
  <c r="L5" i="55"/>
  <c r="L10" i="55"/>
  <c r="L15" i="55"/>
  <c r="L16" i="55"/>
  <c r="L8" i="55"/>
  <c r="L12" i="55"/>
  <c r="L6" i="55"/>
  <c r="F3" i="55"/>
  <c r="E4" i="55"/>
  <c r="L16" i="51"/>
  <c r="L15" i="51"/>
  <c r="L9" i="54"/>
  <c r="L5" i="54"/>
  <c r="L7" i="54"/>
  <c r="L13" i="54"/>
  <c r="L14" i="54"/>
  <c r="F3" i="54"/>
  <c r="E4" i="54"/>
  <c r="L7" i="53"/>
  <c r="D4" i="53"/>
  <c r="L13" i="53"/>
  <c r="L6" i="53"/>
  <c r="L9" i="53"/>
  <c r="L14" i="53"/>
  <c r="L5" i="53"/>
  <c r="L8" i="53"/>
  <c r="L12" i="53"/>
  <c r="L11" i="53"/>
  <c r="L10" i="53"/>
  <c r="G3" i="53"/>
  <c r="F4" i="53"/>
  <c r="L6" i="52"/>
  <c r="L11" i="52"/>
  <c r="F3" i="52"/>
  <c r="E4" i="52"/>
  <c r="L10" i="51"/>
  <c r="L14" i="51"/>
  <c r="L12" i="51"/>
  <c r="L8" i="51"/>
  <c r="L13" i="51"/>
  <c r="L6" i="51"/>
  <c r="L9" i="51"/>
  <c r="L7" i="51"/>
  <c r="L11" i="51"/>
  <c r="F3" i="51"/>
  <c r="E4" i="51"/>
  <c r="L15" i="50"/>
  <c r="L6" i="50"/>
  <c r="L10" i="50"/>
  <c r="L12" i="50"/>
  <c r="L9" i="50"/>
  <c r="L8" i="50"/>
  <c r="L11" i="50"/>
  <c r="L5" i="50"/>
  <c r="L13" i="50"/>
  <c r="L7" i="50"/>
  <c r="F3" i="50"/>
  <c r="E4" i="50"/>
  <c r="L9" i="49"/>
  <c r="L11" i="49"/>
  <c r="L10" i="49"/>
  <c r="L8" i="49"/>
  <c r="L14" i="49"/>
  <c r="L6" i="49"/>
  <c r="L7" i="49"/>
  <c r="L12" i="49"/>
  <c r="L13" i="49"/>
  <c r="L15" i="49"/>
  <c r="E4" i="49"/>
  <c r="F3" i="49"/>
  <c r="L13" i="48"/>
  <c r="L5" i="48"/>
  <c r="L11" i="48"/>
  <c r="L12" i="48"/>
  <c r="D4" i="48"/>
  <c r="E3" i="48"/>
  <c r="L14" i="48"/>
  <c r="L10" i="48"/>
  <c r="L6" i="48"/>
  <c r="L15" i="48"/>
  <c r="L7" i="48"/>
  <c r="L8" i="48"/>
  <c r="L14" i="47"/>
  <c r="L7" i="47"/>
  <c r="L8" i="47"/>
  <c r="L12" i="47"/>
  <c r="L13" i="47"/>
  <c r="L11" i="47"/>
  <c r="L6" i="47"/>
  <c r="L5" i="47"/>
  <c r="L10" i="47"/>
  <c r="L15" i="47"/>
  <c r="F3" i="47"/>
  <c r="E4" i="47"/>
  <c r="L10" i="46"/>
  <c r="L8" i="46"/>
  <c r="L12" i="46"/>
  <c r="L5" i="46"/>
  <c r="L13" i="46"/>
  <c r="L15" i="46"/>
  <c r="L11" i="46"/>
  <c r="L7" i="46"/>
  <c r="L9" i="46"/>
  <c r="L14" i="46"/>
  <c r="F3" i="46"/>
  <c r="E4" i="46"/>
  <c r="L6" i="45"/>
  <c r="L13" i="45"/>
  <c r="L12" i="45"/>
  <c r="L11" i="45"/>
  <c r="F3" i="45"/>
  <c r="E4" i="45"/>
  <c r="L8" i="44"/>
  <c r="L15" i="44"/>
  <c r="L9" i="44"/>
  <c r="L14" i="44"/>
  <c r="L10" i="44"/>
  <c r="L5" i="44"/>
  <c r="L7" i="44"/>
  <c r="L12" i="44"/>
  <c r="L13" i="44"/>
  <c r="L6" i="44"/>
  <c r="F3" i="44"/>
  <c r="E4" i="44"/>
  <c r="L14" i="43"/>
  <c r="L13" i="43"/>
  <c r="L12" i="43"/>
  <c r="L11" i="43"/>
  <c r="L10" i="43"/>
  <c r="L5" i="43"/>
  <c r="L15" i="43"/>
  <c r="F3" i="43"/>
  <c r="E4" i="43"/>
  <c r="L10" i="42"/>
  <c r="L9" i="42"/>
  <c r="L5" i="42"/>
  <c r="L8" i="42"/>
  <c r="L7" i="42"/>
  <c r="L14" i="42"/>
  <c r="L6" i="42"/>
  <c r="L13" i="42"/>
  <c r="L15" i="42"/>
  <c r="L11" i="42"/>
  <c r="F3" i="42"/>
  <c r="E4" i="42"/>
  <c r="L8" i="41"/>
  <c r="L7" i="41"/>
  <c r="L9" i="41"/>
  <c r="L6" i="41"/>
  <c r="L13" i="41"/>
  <c r="L5" i="41"/>
  <c r="L11" i="41"/>
  <c r="L10" i="41"/>
  <c r="L14" i="41"/>
  <c r="L15" i="41"/>
  <c r="F3" i="41"/>
  <c r="E4" i="41"/>
  <c r="L14" i="40"/>
  <c r="L5" i="40"/>
  <c r="L6" i="40"/>
  <c r="L12" i="40"/>
  <c r="L11" i="40"/>
  <c r="L15" i="40"/>
  <c r="L13" i="40"/>
  <c r="L9" i="40"/>
  <c r="L10" i="40"/>
  <c r="L7" i="40"/>
  <c r="F3" i="40"/>
  <c r="E4" i="40"/>
  <c r="L5" i="39"/>
  <c r="L12" i="39"/>
  <c r="L9" i="39"/>
  <c r="L7" i="39"/>
  <c r="L15" i="39"/>
  <c r="L14" i="39"/>
  <c r="L6" i="39"/>
  <c r="L11" i="39"/>
  <c r="L10" i="39"/>
  <c r="L13" i="39"/>
  <c r="F3" i="39"/>
  <c r="E4" i="39"/>
  <c r="L5" i="38"/>
  <c r="L14" i="38"/>
  <c r="L8" i="38"/>
  <c r="L12" i="38"/>
  <c r="L15" i="38"/>
  <c r="L7" i="38"/>
  <c r="L11" i="38"/>
  <c r="L6" i="38"/>
  <c r="L10" i="38"/>
  <c r="L13" i="38"/>
  <c r="F3" i="38"/>
  <c r="E4" i="38"/>
  <c r="L12" i="37"/>
  <c r="L10" i="37"/>
  <c r="L15" i="37"/>
  <c r="L8" i="37"/>
  <c r="L13" i="37"/>
  <c r="L7" i="37"/>
  <c r="L5" i="37"/>
  <c r="L11" i="37"/>
  <c r="L14" i="37"/>
  <c r="L6" i="37"/>
  <c r="F3" i="37"/>
  <c r="E4" i="37"/>
  <c r="L14" i="36"/>
  <c r="L15" i="36"/>
  <c r="L10" i="36"/>
  <c r="L5" i="36"/>
  <c r="L13" i="36"/>
  <c r="L7" i="36"/>
  <c r="L6" i="36"/>
  <c r="L8" i="36"/>
  <c r="L9" i="36"/>
  <c r="L12" i="36"/>
  <c r="F3" i="36"/>
  <c r="E4" i="36"/>
  <c r="L9" i="35"/>
  <c r="L14" i="35"/>
  <c r="L11" i="35"/>
  <c r="L10" i="35"/>
  <c r="L7" i="35"/>
  <c r="L8" i="35"/>
  <c r="L5" i="35"/>
  <c r="L15" i="35"/>
  <c r="L13" i="35"/>
  <c r="L12" i="35"/>
  <c r="F3" i="35"/>
  <c r="E4" i="35"/>
  <c r="L15" i="34"/>
  <c r="L7" i="34"/>
  <c r="L5" i="34"/>
  <c r="L13" i="34"/>
  <c r="L11" i="34"/>
  <c r="L10" i="34"/>
  <c r="L14" i="34"/>
  <c r="L9" i="34"/>
  <c r="L6" i="34"/>
  <c r="L8" i="34"/>
  <c r="F3" i="34"/>
  <c r="E4" i="34"/>
  <c r="L13" i="33"/>
  <c r="L5" i="33"/>
  <c r="L9" i="33"/>
  <c r="L8" i="33"/>
  <c r="L15" i="33"/>
  <c r="L11" i="33"/>
  <c r="L10" i="33"/>
  <c r="L14" i="33"/>
  <c r="L6" i="33"/>
  <c r="L12" i="33"/>
  <c r="F3" i="33"/>
  <c r="E4" i="33"/>
  <c r="K15" i="32"/>
  <c r="K14" i="32"/>
  <c r="K13" i="32"/>
  <c r="K12" i="32"/>
  <c r="K11" i="32"/>
  <c r="K10" i="32"/>
  <c r="K9" i="32"/>
  <c r="K8" i="32"/>
  <c r="K7" i="32"/>
  <c r="K6" i="32"/>
  <c r="M5" i="32"/>
  <c r="K5" i="32"/>
  <c r="B4" i="32"/>
  <c r="C3" i="32"/>
  <c r="K15" i="31"/>
  <c r="K14" i="31"/>
  <c r="K13" i="31"/>
  <c r="K12" i="31"/>
  <c r="K11" i="31"/>
  <c r="K10" i="31"/>
  <c r="K9" i="31"/>
  <c r="K8" i="31"/>
  <c r="K7" i="31"/>
  <c r="K6" i="31"/>
  <c r="M5" i="31"/>
  <c r="K5" i="31"/>
  <c r="B4" i="31"/>
  <c r="C3" i="31"/>
  <c r="K15" i="30"/>
  <c r="K14" i="30"/>
  <c r="K13" i="30"/>
  <c r="K12" i="30"/>
  <c r="K11" i="30"/>
  <c r="K10" i="30"/>
  <c r="K9" i="30"/>
  <c r="K8" i="30"/>
  <c r="K7" i="30"/>
  <c r="K6" i="30"/>
  <c r="M5" i="30"/>
  <c r="K5" i="30"/>
  <c r="B4" i="30"/>
  <c r="C3" i="30"/>
  <c r="D3" i="30" s="1"/>
  <c r="K15" i="29"/>
  <c r="K14" i="29"/>
  <c r="K13" i="29"/>
  <c r="K12" i="29"/>
  <c r="K11" i="29"/>
  <c r="K10" i="29"/>
  <c r="K9" i="29"/>
  <c r="K8" i="29"/>
  <c r="K7" i="29"/>
  <c r="K6" i="29"/>
  <c r="M5" i="29"/>
  <c r="K5" i="29"/>
  <c r="B4" i="29"/>
  <c r="C3" i="29"/>
  <c r="D3" i="29" s="1"/>
  <c r="K15" i="28"/>
  <c r="C21" i="25"/>
  <c r="C22" i="25"/>
  <c r="C23" i="25"/>
  <c r="C24" i="25"/>
  <c r="C25" i="25"/>
  <c r="C26" i="25"/>
  <c r="C27" i="25"/>
  <c r="C28" i="25"/>
  <c r="C29" i="25"/>
  <c r="C20" i="25"/>
  <c r="B21" i="25"/>
  <c r="B22" i="25"/>
  <c r="B23" i="25"/>
  <c r="B24" i="25"/>
  <c r="B25" i="25"/>
  <c r="B26" i="25"/>
  <c r="B27" i="25"/>
  <c r="B28" i="25"/>
  <c r="B29" i="25"/>
  <c r="B20" i="25"/>
  <c r="C18" i="24"/>
  <c r="C19" i="24"/>
  <c r="C20" i="24"/>
  <c r="C21" i="24"/>
  <c r="C22" i="24"/>
  <c r="C23" i="24"/>
  <c r="C24" i="24"/>
  <c r="C25" i="24"/>
  <c r="C26" i="24"/>
  <c r="C17" i="24"/>
  <c r="B25" i="24"/>
  <c r="B26" i="24"/>
  <c r="B18" i="24"/>
  <c r="B19" i="24"/>
  <c r="B20" i="24"/>
  <c r="B21" i="24"/>
  <c r="B22" i="24"/>
  <c r="B23" i="24"/>
  <c r="B24" i="24"/>
  <c r="B17" i="24"/>
  <c r="K14" i="28"/>
  <c r="K13" i="28"/>
  <c r="K12" i="28"/>
  <c r="K11" i="28"/>
  <c r="K10" i="28"/>
  <c r="K9" i="28"/>
  <c r="K8" i="28"/>
  <c r="K7" i="28"/>
  <c r="K6" i="28"/>
  <c r="M5" i="28"/>
  <c r="K5" i="28"/>
  <c r="B4" i="28"/>
  <c r="C3" i="28"/>
  <c r="D3" i="28" s="1"/>
  <c r="M5" i="27"/>
  <c r="K14" i="27"/>
  <c r="K13" i="27"/>
  <c r="K12" i="27"/>
  <c r="K11" i="27"/>
  <c r="K10" i="27"/>
  <c r="K9" i="27"/>
  <c r="K8" i="27"/>
  <c r="K7" i="27"/>
  <c r="K6" i="27"/>
  <c r="K5" i="27"/>
  <c r="B4" i="27"/>
  <c r="C3" i="27"/>
  <c r="D3" i="27" s="1"/>
  <c r="M5" i="22"/>
  <c r="K14" i="22"/>
  <c r="K13" i="22"/>
  <c r="K12" i="22"/>
  <c r="K11" i="22"/>
  <c r="K10" i="22"/>
  <c r="K9" i="22"/>
  <c r="K8" i="22"/>
  <c r="K7" i="22"/>
  <c r="K6" i="22"/>
  <c r="K5" i="22"/>
  <c r="B4" i="22"/>
  <c r="C3" i="22"/>
  <c r="C4" i="22" s="1"/>
  <c r="K14" i="21"/>
  <c r="T12" i="3" s="1"/>
  <c r="K13" i="21"/>
  <c r="T11" i="3" s="1"/>
  <c r="K12" i="21"/>
  <c r="T10" i="3" s="1"/>
  <c r="K11" i="21"/>
  <c r="T9" i="3" s="1"/>
  <c r="K10" i="21"/>
  <c r="T8" i="3" s="1"/>
  <c r="K9" i="21"/>
  <c r="T7" i="3" s="1"/>
  <c r="K8" i="21"/>
  <c r="T6" i="3" s="1"/>
  <c r="K7" i="21"/>
  <c r="T5" i="3" s="1"/>
  <c r="K6" i="21"/>
  <c r="T4" i="3" s="1"/>
  <c r="K5" i="21"/>
  <c r="T3" i="3" s="1"/>
  <c r="B4" i="21"/>
  <c r="C3" i="21"/>
  <c r="K14" i="20"/>
  <c r="S12" i="3" s="1"/>
  <c r="K13" i="20"/>
  <c r="S11" i="3" s="1"/>
  <c r="K12" i="20"/>
  <c r="S10" i="3" s="1"/>
  <c r="K11" i="20"/>
  <c r="S9" i="3" s="1"/>
  <c r="K10" i="20"/>
  <c r="S8" i="3" s="1"/>
  <c r="K9" i="20"/>
  <c r="S7" i="3" s="1"/>
  <c r="K8" i="20"/>
  <c r="S6" i="3" s="1"/>
  <c r="K7" i="20"/>
  <c r="S5" i="3" s="1"/>
  <c r="K6" i="20"/>
  <c r="S4" i="3" s="1"/>
  <c r="K5" i="20"/>
  <c r="S3" i="3" s="1"/>
  <c r="B4" i="20"/>
  <c r="C3" i="20"/>
  <c r="K14" i="19"/>
  <c r="Q12" i="3" s="1"/>
  <c r="K13" i="19"/>
  <c r="Q11" i="3" s="1"/>
  <c r="K12" i="19"/>
  <c r="Q10" i="3" s="1"/>
  <c r="K11" i="19"/>
  <c r="Q9" i="3" s="1"/>
  <c r="K10" i="19"/>
  <c r="Q8" i="3" s="1"/>
  <c r="K9" i="19"/>
  <c r="Q7" i="3" s="1"/>
  <c r="K8" i="19"/>
  <c r="Q6" i="3" s="1"/>
  <c r="K7" i="19"/>
  <c r="Q5" i="3" s="1"/>
  <c r="K6" i="19"/>
  <c r="Q4" i="3" s="1"/>
  <c r="K5" i="19"/>
  <c r="Q3" i="3" s="1"/>
  <c r="B4" i="19"/>
  <c r="C3" i="19"/>
  <c r="K14" i="18"/>
  <c r="R12" i="3" s="1"/>
  <c r="K13" i="18"/>
  <c r="R11" i="3" s="1"/>
  <c r="K12" i="18"/>
  <c r="R10" i="3" s="1"/>
  <c r="K11" i="18"/>
  <c r="R9" i="3" s="1"/>
  <c r="K10" i="18"/>
  <c r="R8" i="3" s="1"/>
  <c r="K9" i="18"/>
  <c r="R7" i="3" s="1"/>
  <c r="K8" i="18"/>
  <c r="R6" i="3" s="1"/>
  <c r="K7" i="18"/>
  <c r="R5" i="3" s="1"/>
  <c r="K6" i="18"/>
  <c r="R4" i="3" s="1"/>
  <c r="K5" i="18"/>
  <c r="R3" i="3" s="1"/>
  <c r="B4" i="18"/>
  <c r="C3" i="18"/>
  <c r="K14" i="17"/>
  <c r="P12" i="3" s="1"/>
  <c r="K13" i="17"/>
  <c r="P11" i="3" s="1"/>
  <c r="K12" i="17"/>
  <c r="P10" i="3" s="1"/>
  <c r="K11" i="17"/>
  <c r="P9" i="3" s="1"/>
  <c r="K10" i="17"/>
  <c r="P8" i="3" s="1"/>
  <c r="K9" i="17"/>
  <c r="P7" i="3" s="1"/>
  <c r="K8" i="17"/>
  <c r="P6" i="3" s="1"/>
  <c r="K7" i="17"/>
  <c r="P5" i="3" s="1"/>
  <c r="K6" i="17"/>
  <c r="P4" i="3" s="1"/>
  <c r="K5" i="17"/>
  <c r="P3" i="3" s="1"/>
  <c r="B4" i="17"/>
  <c r="C3" i="17"/>
  <c r="K14" i="16"/>
  <c r="O12" i="3" s="1"/>
  <c r="K13" i="16"/>
  <c r="O11" i="3" s="1"/>
  <c r="K12" i="16"/>
  <c r="O10" i="3" s="1"/>
  <c r="K11" i="16"/>
  <c r="O9" i="3" s="1"/>
  <c r="K10" i="16"/>
  <c r="O8" i="3" s="1"/>
  <c r="K9" i="16"/>
  <c r="O7" i="3" s="1"/>
  <c r="K8" i="16"/>
  <c r="O6" i="3" s="1"/>
  <c r="K7" i="16"/>
  <c r="O5" i="3" s="1"/>
  <c r="K6" i="16"/>
  <c r="O4" i="3" s="1"/>
  <c r="K5" i="16"/>
  <c r="O3" i="3" s="1"/>
  <c r="B4" i="16"/>
  <c r="C3" i="16"/>
  <c r="K14" i="15"/>
  <c r="N12" i="3" s="1"/>
  <c r="K13" i="15"/>
  <c r="N11" i="3" s="1"/>
  <c r="K12" i="15"/>
  <c r="N10" i="3" s="1"/>
  <c r="K11" i="15"/>
  <c r="N9" i="3" s="1"/>
  <c r="K10" i="15"/>
  <c r="N8" i="3" s="1"/>
  <c r="K9" i="15"/>
  <c r="N7" i="3" s="1"/>
  <c r="K8" i="15"/>
  <c r="N6" i="3" s="1"/>
  <c r="K7" i="15"/>
  <c r="N5" i="3" s="1"/>
  <c r="K6" i="15"/>
  <c r="N4" i="3" s="1"/>
  <c r="K5" i="15"/>
  <c r="N3" i="3" s="1"/>
  <c r="B4" i="15"/>
  <c r="C3" i="15"/>
  <c r="K14" i="14"/>
  <c r="M12" i="3" s="1"/>
  <c r="K13" i="14"/>
  <c r="M11" i="3" s="1"/>
  <c r="K12" i="14"/>
  <c r="M10" i="3" s="1"/>
  <c r="K11" i="14"/>
  <c r="M9" i="3" s="1"/>
  <c r="K10" i="14"/>
  <c r="M8" i="3" s="1"/>
  <c r="K9" i="14"/>
  <c r="M7" i="3" s="1"/>
  <c r="K8" i="14"/>
  <c r="M6" i="3" s="1"/>
  <c r="K7" i="14"/>
  <c r="M5" i="3" s="1"/>
  <c r="K6" i="14"/>
  <c r="M4" i="3" s="1"/>
  <c r="K5" i="14"/>
  <c r="M3" i="3" s="1"/>
  <c r="B4" i="14"/>
  <c r="C3" i="14"/>
  <c r="K14" i="13"/>
  <c r="L12" i="3" s="1"/>
  <c r="K13" i="13"/>
  <c r="L11" i="3" s="1"/>
  <c r="K12" i="13"/>
  <c r="L10" i="3" s="1"/>
  <c r="K11" i="13"/>
  <c r="L9" i="3" s="1"/>
  <c r="K10" i="13"/>
  <c r="L8" i="3" s="1"/>
  <c r="K9" i="13"/>
  <c r="L7" i="3" s="1"/>
  <c r="K8" i="13"/>
  <c r="L6" i="3" s="1"/>
  <c r="K7" i="13"/>
  <c r="L5" i="3" s="1"/>
  <c r="K6" i="13"/>
  <c r="L4" i="3" s="1"/>
  <c r="K5" i="13"/>
  <c r="L3" i="3" s="1"/>
  <c r="B4" i="13"/>
  <c r="C3" i="13"/>
  <c r="C4" i="13" s="1"/>
  <c r="G3" i="62" l="1"/>
  <c r="F4" i="62"/>
  <c r="G3" i="61"/>
  <c r="F4" i="61"/>
  <c r="G3" i="60"/>
  <c r="F4" i="60"/>
  <c r="D3" i="31"/>
  <c r="C4" i="31"/>
  <c r="D3" i="32"/>
  <c r="C4" i="32"/>
  <c r="G3" i="59"/>
  <c r="F4" i="59"/>
  <c r="F4" i="58"/>
  <c r="F4" i="57"/>
  <c r="G3" i="57"/>
  <c r="F4" i="56"/>
  <c r="G3" i="56"/>
  <c r="F4" i="55"/>
  <c r="G3" i="55"/>
  <c r="G3" i="54"/>
  <c r="F4" i="54"/>
  <c r="G4" i="53"/>
  <c r="H3" i="53"/>
  <c r="H4" i="53" s="1"/>
  <c r="G3" i="52"/>
  <c r="F4" i="52"/>
  <c r="G3" i="51"/>
  <c r="F4" i="51"/>
  <c r="G3" i="50"/>
  <c r="F4" i="50"/>
  <c r="G3" i="49"/>
  <c r="F4" i="49"/>
  <c r="F3" i="48"/>
  <c r="E4" i="48"/>
  <c r="G3" i="47"/>
  <c r="F4" i="47"/>
  <c r="F4" i="46"/>
  <c r="G3" i="46"/>
  <c r="G3" i="45"/>
  <c r="F4" i="45"/>
  <c r="G3" i="44"/>
  <c r="F4" i="44"/>
  <c r="G3" i="43"/>
  <c r="F4" i="43"/>
  <c r="G3" i="42"/>
  <c r="F4" i="42"/>
  <c r="G3" i="41"/>
  <c r="F4" i="41"/>
  <c r="F4" i="40"/>
  <c r="G3" i="40"/>
  <c r="G3" i="39"/>
  <c r="F4" i="39"/>
  <c r="G3" i="38"/>
  <c r="F4" i="38"/>
  <c r="G3" i="37"/>
  <c r="F4" i="37"/>
  <c r="G3" i="36"/>
  <c r="F4" i="36"/>
  <c r="G3" i="35"/>
  <c r="F4" i="35"/>
  <c r="F4" i="34"/>
  <c r="G3" i="34"/>
  <c r="F4" i="33"/>
  <c r="G3" i="33"/>
  <c r="K16" i="32"/>
  <c r="L10" i="32" s="1"/>
  <c r="E3" i="32"/>
  <c r="D4" i="32"/>
  <c r="K16" i="31"/>
  <c r="L6" i="31" s="1"/>
  <c r="E3" i="31"/>
  <c r="D4" i="31"/>
  <c r="K16" i="30"/>
  <c r="L12" i="30" s="1"/>
  <c r="D4" i="30"/>
  <c r="E3" i="30"/>
  <c r="C4" i="30"/>
  <c r="K16" i="29"/>
  <c r="L15" i="29" s="1"/>
  <c r="E3" i="29"/>
  <c r="D4" i="29"/>
  <c r="C4" i="29"/>
  <c r="C31" i="25"/>
  <c r="D21" i="25" s="1"/>
  <c r="C27" i="24"/>
  <c r="K16" i="28"/>
  <c r="E3" i="28"/>
  <c r="D4" i="28"/>
  <c r="C4" i="28"/>
  <c r="K15" i="27"/>
  <c r="L9" i="27" s="1"/>
  <c r="E3" i="27"/>
  <c r="D4" i="27"/>
  <c r="C4" i="27"/>
  <c r="K15" i="22"/>
  <c r="L8" i="22" s="1"/>
  <c r="D3" i="22"/>
  <c r="L6" i="22"/>
  <c r="C4" i="21"/>
  <c r="D3" i="21"/>
  <c r="K15" i="21"/>
  <c r="L5" i="21"/>
  <c r="L6" i="21"/>
  <c r="L7" i="21"/>
  <c r="L8" i="21"/>
  <c r="L9" i="21"/>
  <c r="L10" i="21"/>
  <c r="L11" i="21"/>
  <c r="L12" i="21"/>
  <c r="L13" i="21"/>
  <c r="L14" i="21"/>
  <c r="C4" i="20"/>
  <c r="D3" i="20"/>
  <c r="K15" i="20"/>
  <c r="L5" i="20"/>
  <c r="L6" i="20"/>
  <c r="L7" i="20"/>
  <c r="L8" i="20"/>
  <c r="L9" i="20"/>
  <c r="L10" i="20"/>
  <c r="L11" i="20"/>
  <c r="L12" i="20"/>
  <c r="L13" i="20"/>
  <c r="L14" i="20"/>
  <c r="C4" i="19"/>
  <c r="D3" i="19"/>
  <c r="K15" i="19"/>
  <c r="L5" i="19"/>
  <c r="L6" i="19"/>
  <c r="L7" i="19"/>
  <c r="L8" i="19"/>
  <c r="L9" i="19"/>
  <c r="L10" i="19"/>
  <c r="L11" i="19"/>
  <c r="L12" i="19"/>
  <c r="L13" i="19"/>
  <c r="L14" i="19"/>
  <c r="C4" i="18"/>
  <c r="D3" i="18"/>
  <c r="K15" i="18"/>
  <c r="L5" i="18"/>
  <c r="L6" i="18"/>
  <c r="L7" i="18"/>
  <c r="L8" i="18"/>
  <c r="L9" i="18"/>
  <c r="L10" i="18"/>
  <c r="L11" i="18"/>
  <c r="L12" i="18"/>
  <c r="L13" i="18"/>
  <c r="L14" i="18"/>
  <c r="C4" i="17"/>
  <c r="D3" i="17"/>
  <c r="K15" i="17"/>
  <c r="L5" i="17" s="1"/>
  <c r="L6" i="17"/>
  <c r="L7" i="17"/>
  <c r="L8" i="17"/>
  <c r="L9" i="17"/>
  <c r="L10" i="17"/>
  <c r="L11" i="17"/>
  <c r="L12" i="17"/>
  <c r="L13" i="17"/>
  <c r="L14" i="17"/>
  <c r="C4" i="16"/>
  <c r="D3" i="16"/>
  <c r="K15" i="16"/>
  <c r="L5" i="16"/>
  <c r="L6" i="16"/>
  <c r="L7" i="16"/>
  <c r="L8" i="16"/>
  <c r="L9" i="16"/>
  <c r="L10" i="16"/>
  <c r="L11" i="16"/>
  <c r="L12" i="16"/>
  <c r="L13" i="16"/>
  <c r="L14" i="16"/>
  <c r="C4" i="15"/>
  <c r="D3" i="15"/>
  <c r="K15" i="15"/>
  <c r="L5" i="15"/>
  <c r="L6" i="15"/>
  <c r="L7" i="15"/>
  <c r="L8" i="15"/>
  <c r="L9" i="15"/>
  <c r="L10" i="15"/>
  <c r="L11" i="15"/>
  <c r="L12" i="15"/>
  <c r="L13" i="15"/>
  <c r="L14" i="15"/>
  <c r="C4" i="14"/>
  <c r="D3" i="14"/>
  <c r="D4" i="14" s="1"/>
  <c r="K15" i="14"/>
  <c r="L8" i="14" s="1"/>
  <c r="E3" i="14"/>
  <c r="E4" i="14" s="1"/>
  <c r="F3" i="14"/>
  <c r="D3" i="13"/>
  <c r="D4" i="13" s="1"/>
  <c r="K15" i="13"/>
  <c r="L8" i="13" s="1"/>
  <c r="H3" i="62" l="1"/>
  <c r="H4" i="62" s="1"/>
  <c r="G4" i="62"/>
  <c r="H3" i="61"/>
  <c r="H4" i="61" s="1"/>
  <c r="G4" i="61"/>
  <c r="H3" i="60"/>
  <c r="H4" i="60" s="1"/>
  <c r="G4" i="60"/>
  <c r="G4" i="59"/>
  <c r="H3" i="59"/>
  <c r="H4" i="59" s="1"/>
  <c r="H4" i="58"/>
  <c r="G4" i="58"/>
  <c r="G4" i="57"/>
  <c r="H3" i="57"/>
  <c r="H4" i="57" s="1"/>
  <c r="G4" i="56"/>
  <c r="H3" i="56"/>
  <c r="H4" i="56" s="1"/>
  <c r="G4" i="55"/>
  <c r="H3" i="55"/>
  <c r="H4" i="55" s="1"/>
  <c r="G4" i="54"/>
  <c r="H3" i="54"/>
  <c r="H4" i="54" s="1"/>
  <c r="G4" i="52"/>
  <c r="H3" i="52"/>
  <c r="H4" i="52" s="1"/>
  <c r="G4" i="51"/>
  <c r="H3" i="51"/>
  <c r="H4" i="51" s="1"/>
  <c r="G4" i="50"/>
  <c r="H3" i="50"/>
  <c r="H4" i="50" s="1"/>
  <c r="G4" i="49"/>
  <c r="H3" i="49"/>
  <c r="H4" i="49" s="1"/>
  <c r="F4" i="48"/>
  <c r="G3" i="48"/>
  <c r="G4" i="47"/>
  <c r="H3" i="47"/>
  <c r="H4" i="47" s="1"/>
  <c r="G4" i="46"/>
  <c r="H3" i="46"/>
  <c r="H4" i="46" s="1"/>
  <c r="G4" i="45"/>
  <c r="H3" i="45"/>
  <c r="H4" i="45" s="1"/>
  <c r="G4" i="44"/>
  <c r="H3" i="44"/>
  <c r="H4" i="44" s="1"/>
  <c r="H3" i="43"/>
  <c r="H4" i="43" s="1"/>
  <c r="G4" i="43"/>
  <c r="G4" i="42"/>
  <c r="H3" i="42"/>
  <c r="H4" i="42" s="1"/>
  <c r="G4" i="41"/>
  <c r="H3" i="41"/>
  <c r="H4" i="41" s="1"/>
  <c r="G4" i="40"/>
  <c r="H3" i="40"/>
  <c r="H4" i="40" s="1"/>
  <c r="G4" i="39"/>
  <c r="H3" i="39"/>
  <c r="H4" i="39" s="1"/>
  <c r="G4" i="38"/>
  <c r="H3" i="38"/>
  <c r="H4" i="38" s="1"/>
  <c r="G4" i="37"/>
  <c r="H3" i="37"/>
  <c r="H4" i="37" s="1"/>
  <c r="G4" i="36"/>
  <c r="H3" i="36"/>
  <c r="H4" i="36" s="1"/>
  <c r="G4" i="35"/>
  <c r="H3" i="35"/>
  <c r="H4" i="35" s="1"/>
  <c r="G4" i="34"/>
  <c r="H3" i="34"/>
  <c r="H4" i="34" s="1"/>
  <c r="G4" i="33"/>
  <c r="H3" i="33"/>
  <c r="H4" i="33" s="1"/>
  <c r="L14" i="32"/>
  <c r="L8" i="32"/>
  <c r="L13" i="32"/>
  <c r="L12" i="32"/>
  <c r="L5" i="32"/>
  <c r="L15" i="32"/>
  <c r="L6" i="32"/>
  <c r="L7" i="32"/>
  <c r="L11" i="32"/>
  <c r="L9" i="32"/>
  <c r="F3" i="32"/>
  <c r="E4" i="32"/>
  <c r="L13" i="31"/>
  <c r="L5" i="31"/>
  <c r="L8" i="31"/>
  <c r="L12" i="31"/>
  <c r="L9" i="31"/>
  <c r="L11" i="31"/>
  <c r="L15" i="31"/>
  <c r="L10" i="31"/>
  <c r="L7" i="31"/>
  <c r="L14" i="31"/>
  <c r="F3" i="31"/>
  <c r="E4" i="31"/>
  <c r="L15" i="30"/>
  <c r="L6" i="30"/>
  <c r="L11" i="30"/>
  <c r="L8" i="30"/>
  <c r="L13" i="30"/>
  <c r="L10" i="30"/>
  <c r="L5" i="30"/>
  <c r="L7" i="30"/>
  <c r="L14" i="30"/>
  <c r="L9" i="30"/>
  <c r="F3" i="30"/>
  <c r="E4" i="30"/>
  <c r="L12" i="29"/>
  <c r="L13" i="29"/>
  <c r="L11" i="29"/>
  <c r="L7" i="29"/>
  <c r="L10" i="29"/>
  <c r="L5" i="29"/>
  <c r="L14" i="29"/>
  <c r="L9" i="29"/>
  <c r="L6" i="29"/>
  <c r="L8" i="29"/>
  <c r="F3" i="29"/>
  <c r="E4" i="29"/>
  <c r="L12" i="28"/>
  <c r="L15" i="28"/>
  <c r="L13" i="28"/>
  <c r="D24" i="25"/>
  <c r="D27" i="25"/>
  <c r="D28" i="25"/>
  <c r="D20" i="25"/>
  <c r="D26" i="25"/>
  <c r="D22" i="25"/>
  <c r="D29" i="25"/>
  <c r="D23" i="25"/>
  <c r="D25" i="25"/>
  <c r="D25" i="24"/>
  <c r="D23" i="24"/>
  <c r="D24" i="24"/>
  <c r="D26" i="24"/>
  <c r="D22" i="24"/>
  <c r="D18" i="24"/>
  <c r="D19" i="24"/>
  <c r="D17" i="24"/>
  <c r="D20" i="24"/>
  <c r="D21" i="24"/>
  <c r="L7" i="28"/>
  <c r="L9" i="28"/>
  <c r="L5" i="28"/>
  <c r="L11" i="28"/>
  <c r="L14" i="28"/>
  <c r="L10" i="28"/>
  <c r="L6" i="28"/>
  <c r="L8" i="28"/>
  <c r="E4" i="28"/>
  <c r="F3" i="28"/>
  <c r="L12" i="27"/>
  <c r="L11" i="27"/>
  <c r="L7" i="27"/>
  <c r="L6" i="27"/>
  <c r="L8" i="27"/>
  <c r="L14" i="27"/>
  <c r="L5" i="27"/>
  <c r="L10" i="27"/>
  <c r="L13" i="27"/>
  <c r="E4" i="27"/>
  <c r="F3" i="27"/>
  <c r="L13" i="22"/>
  <c r="L9" i="22"/>
  <c r="L7" i="22"/>
  <c r="L11" i="22"/>
  <c r="L12" i="22"/>
  <c r="L5" i="22"/>
  <c r="L10" i="22"/>
  <c r="L14" i="22"/>
  <c r="D4" i="22"/>
  <c r="E3" i="22"/>
  <c r="D4" i="21"/>
  <c r="E3" i="21"/>
  <c r="D4" i="20"/>
  <c r="E3" i="20"/>
  <c r="D4" i="19"/>
  <c r="E3" i="19"/>
  <c r="D4" i="18"/>
  <c r="E3" i="18"/>
  <c r="D4" i="17"/>
  <c r="E3" i="17"/>
  <c r="D4" i="16"/>
  <c r="E3" i="16"/>
  <c r="D4" i="15"/>
  <c r="E3" i="15"/>
  <c r="L14" i="14"/>
  <c r="L12" i="14"/>
  <c r="L7" i="14"/>
  <c r="L10" i="14"/>
  <c r="L9" i="14"/>
  <c r="L6" i="14"/>
  <c r="L11" i="14"/>
  <c r="L5" i="14"/>
  <c r="L13" i="14"/>
  <c r="F4" i="14"/>
  <c r="G3" i="14"/>
  <c r="E3" i="13"/>
  <c r="F3" i="13" s="1"/>
  <c r="L5" i="13"/>
  <c r="L11" i="13"/>
  <c r="L10" i="13"/>
  <c r="L7" i="13"/>
  <c r="L6" i="13"/>
  <c r="L12" i="13"/>
  <c r="L13" i="13"/>
  <c r="L14" i="13"/>
  <c r="L9" i="13"/>
  <c r="G4" i="48" l="1"/>
  <c r="H3" i="48"/>
  <c r="H4" i="48" s="1"/>
  <c r="G3" i="32"/>
  <c r="F4" i="32"/>
  <c r="G3" i="31"/>
  <c r="F4" i="31"/>
  <c r="G3" i="30"/>
  <c r="F4" i="30"/>
  <c r="F4" i="29"/>
  <c r="G3" i="29"/>
  <c r="F4" i="28"/>
  <c r="G3" i="28"/>
  <c r="F4" i="27"/>
  <c r="G3" i="27"/>
  <c r="E4" i="22"/>
  <c r="F3" i="22"/>
  <c r="E4" i="21"/>
  <c r="F3" i="21"/>
  <c r="E4" i="20"/>
  <c r="F3" i="20"/>
  <c r="E4" i="19"/>
  <c r="F3" i="19"/>
  <c r="E4" i="18"/>
  <c r="F3" i="18"/>
  <c r="E4" i="17"/>
  <c r="F3" i="17"/>
  <c r="E4" i="16"/>
  <c r="F3" i="16"/>
  <c r="E4" i="15"/>
  <c r="F3" i="15"/>
  <c r="H3" i="14"/>
  <c r="H4" i="14" s="1"/>
  <c r="G4" i="14"/>
  <c r="E4" i="13"/>
  <c r="G3" i="13"/>
  <c r="F4" i="13"/>
  <c r="G4" i="32" l="1"/>
  <c r="H3" i="32"/>
  <c r="H4" i="32" s="1"/>
  <c r="G4" i="31"/>
  <c r="H3" i="31"/>
  <c r="H4" i="31" s="1"/>
  <c r="G4" i="30"/>
  <c r="H3" i="30"/>
  <c r="H4" i="30" s="1"/>
  <c r="G4" i="29"/>
  <c r="H3" i="29"/>
  <c r="H4" i="29" s="1"/>
  <c r="H3" i="28"/>
  <c r="H4" i="28" s="1"/>
  <c r="G4" i="28"/>
  <c r="H3" i="27"/>
  <c r="H4" i="27" s="1"/>
  <c r="G4" i="27"/>
  <c r="G3" i="22"/>
  <c r="F4" i="22"/>
  <c r="F4" i="21"/>
  <c r="G3" i="21"/>
  <c r="F4" i="20"/>
  <c r="G3" i="20"/>
  <c r="F4" i="19"/>
  <c r="G3" i="19"/>
  <c r="F4" i="18"/>
  <c r="G3" i="18"/>
  <c r="F4" i="17"/>
  <c r="G3" i="17"/>
  <c r="F4" i="16"/>
  <c r="G3" i="16"/>
  <c r="F4" i="15"/>
  <c r="G3" i="15"/>
  <c r="G4" i="13"/>
  <c r="H3" i="13"/>
  <c r="H4" i="13" s="1"/>
  <c r="H3" i="22" l="1"/>
  <c r="H4" i="22" s="1"/>
  <c r="G4" i="22"/>
  <c r="G4" i="21"/>
  <c r="H3" i="21"/>
  <c r="H4" i="21" s="1"/>
  <c r="G4" i="20"/>
  <c r="H3" i="20"/>
  <c r="H4" i="20" s="1"/>
  <c r="G4" i="19"/>
  <c r="H3" i="19"/>
  <c r="H4" i="19" s="1"/>
  <c r="G4" i="18"/>
  <c r="H3" i="18"/>
  <c r="H4" i="18" s="1"/>
  <c r="G4" i="17"/>
  <c r="H3" i="17"/>
  <c r="H4" i="17" s="1"/>
  <c r="G4" i="16"/>
  <c r="H3" i="16"/>
  <c r="H4" i="16" s="1"/>
  <c r="G4" i="15"/>
  <c r="H3" i="15"/>
  <c r="H4" i="15" s="1"/>
  <c r="K5" i="12"/>
  <c r="K3" i="3" s="1"/>
  <c r="K14" i="12"/>
  <c r="K12" i="3" s="1"/>
  <c r="K13" i="12"/>
  <c r="K11" i="3" s="1"/>
  <c r="K12" i="12"/>
  <c r="K10" i="3" s="1"/>
  <c r="K11" i="12"/>
  <c r="K9" i="3" s="1"/>
  <c r="K10" i="12"/>
  <c r="K8" i="3" s="1"/>
  <c r="K9" i="12"/>
  <c r="K7" i="3" s="1"/>
  <c r="K8" i="12"/>
  <c r="K6" i="3" s="1"/>
  <c r="K7" i="12"/>
  <c r="K5" i="3" s="1"/>
  <c r="K6" i="12"/>
  <c r="K4" i="3" s="1"/>
  <c r="B4" i="12"/>
  <c r="C3" i="12"/>
  <c r="C4" i="12" s="1"/>
  <c r="K14" i="11"/>
  <c r="J12" i="3" s="1"/>
  <c r="K13" i="11"/>
  <c r="J11" i="3" s="1"/>
  <c r="K12" i="11"/>
  <c r="J10" i="3" s="1"/>
  <c r="K11" i="11"/>
  <c r="J9" i="3" s="1"/>
  <c r="K10" i="11"/>
  <c r="J8" i="3" s="1"/>
  <c r="K9" i="11"/>
  <c r="J7" i="3" s="1"/>
  <c r="K8" i="11"/>
  <c r="J6" i="3" s="1"/>
  <c r="K7" i="11"/>
  <c r="J5" i="3" s="1"/>
  <c r="K6" i="11"/>
  <c r="J4" i="3" s="1"/>
  <c r="K5" i="11"/>
  <c r="J3" i="3" s="1"/>
  <c r="B4" i="11"/>
  <c r="C3" i="11"/>
  <c r="D3" i="11" s="1"/>
  <c r="K15" i="12" l="1"/>
  <c r="L6" i="12" s="1"/>
  <c r="D3" i="12"/>
  <c r="D4" i="12" s="1"/>
  <c r="K15" i="11"/>
  <c r="L8" i="11" s="1"/>
  <c r="D4" i="11"/>
  <c r="E3" i="11"/>
  <c r="C4" i="11"/>
  <c r="E3" i="12" l="1"/>
  <c r="E4" i="12" s="1"/>
  <c r="L9" i="12"/>
  <c r="L7" i="12"/>
  <c r="L5" i="12"/>
  <c r="L12" i="12"/>
  <c r="L14" i="12"/>
  <c r="L8" i="12"/>
  <c r="L10" i="12"/>
  <c r="L13" i="12"/>
  <c r="L11" i="12"/>
  <c r="L12" i="11"/>
  <c r="L14" i="11"/>
  <c r="L5" i="11"/>
  <c r="L11" i="11"/>
  <c r="L13" i="11"/>
  <c r="L7" i="11"/>
  <c r="L6" i="11"/>
  <c r="L9" i="11"/>
  <c r="L10" i="11"/>
  <c r="E4" i="11"/>
  <c r="F3" i="11"/>
  <c r="F3" i="12" l="1"/>
  <c r="G3" i="12" s="1"/>
  <c r="G3" i="11"/>
  <c r="F4" i="11"/>
  <c r="F4" i="12" l="1"/>
  <c r="G4" i="12"/>
  <c r="H3" i="12"/>
  <c r="H4" i="12" s="1"/>
  <c r="H3" i="11"/>
  <c r="H4" i="11" s="1"/>
  <c r="G4" i="11"/>
  <c r="K14" i="10" l="1"/>
  <c r="I12" i="3" s="1"/>
  <c r="K13" i="10"/>
  <c r="I11" i="3" s="1"/>
  <c r="K12" i="10"/>
  <c r="I10" i="3" s="1"/>
  <c r="K11" i="10"/>
  <c r="I9" i="3" s="1"/>
  <c r="K10" i="10"/>
  <c r="I8" i="3" s="1"/>
  <c r="K9" i="10"/>
  <c r="I7" i="3" s="1"/>
  <c r="K8" i="10"/>
  <c r="I6" i="3" s="1"/>
  <c r="K7" i="10"/>
  <c r="I5" i="3" s="1"/>
  <c r="K6" i="10"/>
  <c r="I4" i="3" s="1"/>
  <c r="K5" i="10"/>
  <c r="I3" i="3" s="1"/>
  <c r="B4" i="10"/>
  <c r="C3" i="10"/>
  <c r="D3" i="10" s="1"/>
  <c r="D4" i="10" s="1"/>
  <c r="K5" i="9"/>
  <c r="H3" i="3" s="1"/>
  <c r="K6" i="9"/>
  <c r="H4" i="3" s="1"/>
  <c r="K7" i="9"/>
  <c r="H5" i="3" s="1"/>
  <c r="K8" i="9"/>
  <c r="H6" i="3" s="1"/>
  <c r="K9" i="9"/>
  <c r="H7" i="3" s="1"/>
  <c r="K10" i="9"/>
  <c r="H8" i="3" s="1"/>
  <c r="K11" i="9"/>
  <c r="H9" i="3" s="1"/>
  <c r="K12" i="9"/>
  <c r="H10" i="3" s="1"/>
  <c r="K13" i="9"/>
  <c r="H11" i="3" s="1"/>
  <c r="K14" i="9"/>
  <c r="H12" i="3" s="1"/>
  <c r="B4" i="9"/>
  <c r="C3" i="9"/>
  <c r="D3" i="9" s="1"/>
  <c r="D4" i="9" s="1"/>
  <c r="K14" i="8"/>
  <c r="G12" i="3" s="1"/>
  <c r="K13" i="8"/>
  <c r="G11" i="3" s="1"/>
  <c r="K12" i="8"/>
  <c r="G10" i="3" s="1"/>
  <c r="K11" i="8"/>
  <c r="G9" i="3" s="1"/>
  <c r="K10" i="8"/>
  <c r="G8" i="3" s="1"/>
  <c r="K9" i="8"/>
  <c r="G7" i="3" s="1"/>
  <c r="K8" i="8"/>
  <c r="G6" i="3" s="1"/>
  <c r="K7" i="8"/>
  <c r="G5" i="3" s="1"/>
  <c r="K6" i="8"/>
  <c r="G4" i="3" s="1"/>
  <c r="K5" i="8"/>
  <c r="B4" i="8"/>
  <c r="C3" i="8"/>
  <c r="D3" i="8" s="1"/>
  <c r="K14" i="7"/>
  <c r="F12" i="3" s="1"/>
  <c r="K13" i="7"/>
  <c r="F11" i="3" s="1"/>
  <c r="K12" i="7"/>
  <c r="F10" i="3" s="1"/>
  <c r="K11" i="7"/>
  <c r="F9" i="3" s="1"/>
  <c r="K10" i="7"/>
  <c r="F8" i="3" s="1"/>
  <c r="K9" i="7"/>
  <c r="F7" i="3" s="1"/>
  <c r="K8" i="7"/>
  <c r="F6" i="3" s="1"/>
  <c r="K7" i="7"/>
  <c r="F5" i="3" s="1"/>
  <c r="K6" i="7"/>
  <c r="F4" i="3" s="1"/>
  <c r="K5" i="7"/>
  <c r="F3" i="3" s="1"/>
  <c r="B4" i="7"/>
  <c r="C3" i="7"/>
  <c r="D3" i="7" s="1"/>
  <c r="D4" i="7" s="1"/>
  <c r="K14" i="6"/>
  <c r="E12" i="3" s="1"/>
  <c r="K13" i="6"/>
  <c r="E11" i="3" s="1"/>
  <c r="K12" i="6"/>
  <c r="E10" i="3" s="1"/>
  <c r="K11" i="6"/>
  <c r="E9" i="3" s="1"/>
  <c r="K10" i="6"/>
  <c r="E8" i="3" s="1"/>
  <c r="K9" i="6"/>
  <c r="E7" i="3" s="1"/>
  <c r="K8" i="6"/>
  <c r="E6" i="3" s="1"/>
  <c r="K7" i="6"/>
  <c r="E5" i="3" s="1"/>
  <c r="K6" i="6"/>
  <c r="E4" i="3" s="1"/>
  <c r="K5" i="6"/>
  <c r="E3" i="3" s="1"/>
  <c r="B4" i="6"/>
  <c r="C3" i="6"/>
  <c r="D3" i="6" s="1"/>
  <c r="D4" i="6" s="1"/>
  <c r="K15" i="10" l="1"/>
  <c r="L7" i="10" s="1"/>
  <c r="C4" i="10"/>
  <c r="E3" i="10"/>
  <c r="C4" i="9"/>
  <c r="K15" i="9"/>
  <c r="L8" i="9" s="1"/>
  <c r="E3" i="9"/>
  <c r="D4" i="8"/>
  <c r="E3" i="8"/>
  <c r="E4" i="8" s="1"/>
  <c r="C4" i="8"/>
  <c r="K15" i="8"/>
  <c r="L8" i="8" s="1"/>
  <c r="G3" i="3"/>
  <c r="F3" i="8"/>
  <c r="K15" i="7"/>
  <c r="L7" i="7" s="1"/>
  <c r="C4" i="7"/>
  <c r="E3" i="7"/>
  <c r="C4" i="6"/>
  <c r="K15" i="6"/>
  <c r="L7" i="6" s="1"/>
  <c r="E3" i="6"/>
  <c r="L9" i="10" l="1"/>
  <c r="L14" i="10"/>
  <c r="L11" i="10"/>
  <c r="L12" i="10"/>
  <c r="L10" i="10"/>
  <c r="L13" i="10"/>
  <c r="L8" i="10"/>
  <c r="L5" i="10"/>
  <c r="L6" i="10"/>
  <c r="F3" i="10"/>
  <c r="E4" i="10"/>
  <c r="L5" i="9"/>
  <c r="L14" i="9"/>
  <c r="L13" i="9"/>
  <c r="L6" i="9"/>
  <c r="L12" i="9"/>
  <c r="L9" i="9"/>
  <c r="L10" i="9"/>
  <c r="L11" i="9"/>
  <c r="L7" i="9"/>
  <c r="E4" i="9"/>
  <c r="F3" i="9"/>
  <c r="L6" i="8"/>
  <c r="L10" i="8"/>
  <c r="L13" i="8"/>
  <c r="L5" i="8"/>
  <c r="L9" i="8"/>
  <c r="L12" i="8"/>
  <c r="L14" i="8"/>
  <c r="L11" i="8"/>
  <c r="L7" i="8"/>
  <c r="G3" i="8"/>
  <c r="F4" i="8"/>
  <c r="L8" i="7"/>
  <c r="L9" i="7"/>
  <c r="L14" i="7"/>
  <c r="L11" i="7"/>
  <c r="L12" i="7"/>
  <c r="L10" i="7"/>
  <c r="L5" i="7"/>
  <c r="L13" i="7"/>
  <c r="L6" i="7"/>
  <c r="F3" i="7"/>
  <c r="E4" i="7"/>
  <c r="L5" i="6"/>
  <c r="L6" i="6"/>
  <c r="L12" i="6"/>
  <c r="L9" i="6"/>
  <c r="L14" i="6"/>
  <c r="L11" i="6"/>
  <c r="L8" i="6"/>
  <c r="L10" i="6"/>
  <c r="L13" i="6"/>
  <c r="E4" i="6"/>
  <c r="F3" i="6"/>
  <c r="G3" i="10" l="1"/>
  <c r="F4" i="10"/>
  <c r="G3" i="9"/>
  <c r="F4" i="9"/>
  <c r="H3" i="8"/>
  <c r="H4" i="8" s="1"/>
  <c r="G4" i="8"/>
  <c r="G3" i="7"/>
  <c r="F4" i="7"/>
  <c r="G3" i="6"/>
  <c r="F4" i="6"/>
  <c r="H3" i="10" l="1"/>
  <c r="H4" i="10" s="1"/>
  <c r="G4" i="10"/>
  <c r="H3" i="9"/>
  <c r="H4" i="9" s="1"/>
  <c r="G4" i="9"/>
  <c r="H3" i="7"/>
  <c r="H4" i="7" s="1"/>
  <c r="G4" i="7"/>
  <c r="H3" i="6"/>
  <c r="H4" i="6" s="1"/>
  <c r="G4" i="6"/>
  <c r="K14" i="5" l="1"/>
  <c r="D12" i="3" s="1"/>
  <c r="K13" i="5"/>
  <c r="D11" i="3" s="1"/>
  <c r="K12" i="5"/>
  <c r="D10" i="3" s="1"/>
  <c r="K11" i="5"/>
  <c r="D9" i="3" s="1"/>
  <c r="K10" i="5"/>
  <c r="D8" i="3" s="1"/>
  <c r="K9" i="5"/>
  <c r="D7" i="3" s="1"/>
  <c r="K8" i="5"/>
  <c r="D6" i="3" s="1"/>
  <c r="K7" i="5"/>
  <c r="D5" i="3" s="1"/>
  <c r="K6" i="5"/>
  <c r="D4" i="3" s="1"/>
  <c r="K5" i="5"/>
  <c r="B4" i="5"/>
  <c r="C3" i="5"/>
  <c r="D3" i="5" l="1"/>
  <c r="D4" i="5" s="1"/>
  <c r="C4" i="5"/>
  <c r="D3" i="3"/>
  <c r="K15" i="5"/>
  <c r="L8" i="5"/>
  <c r="E3" i="5"/>
  <c r="L13" i="5" l="1"/>
  <c r="L5" i="5"/>
  <c r="L14" i="5"/>
  <c r="L7" i="5"/>
  <c r="L11" i="5"/>
  <c r="L6" i="5"/>
  <c r="L12" i="5"/>
  <c r="L9" i="5"/>
  <c r="L10" i="5"/>
  <c r="F3" i="5"/>
  <c r="E4" i="5"/>
  <c r="G3" i="5" l="1"/>
  <c r="F4" i="5"/>
  <c r="G4" i="5" l="1"/>
  <c r="H3" i="5"/>
  <c r="H4" i="5" s="1"/>
  <c r="D13" i="3" l="1"/>
  <c r="C3" i="4"/>
  <c r="D3" i="4" s="1"/>
  <c r="K14" i="4"/>
  <c r="C12" i="3" s="1"/>
  <c r="K13" i="4"/>
  <c r="C11" i="3" s="1"/>
  <c r="K12" i="4"/>
  <c r="C10" i="3" s="1"/>
  <c r="K11" i="4"/>
  <c r="C9" i="3" s="1"/>
  <c r="K10" i="4"/>
  <c r="C8" i="3" s="1"/>
  <c r="K9" i="4"/>
  <c r="C7" i="3" s="1"/>
  <c r="K8" i="4"/>
  <c r="C6" i="3" s="1"/>
  <c r="K7" i="4"/>
  <c r="C5" i="3" s="1"/>
  <c r="K6" i="4"/>
  <c r="C4" i="3" s="1"/>
  <c r="K5" i="4"/>
  <c r="C3" i="3" s="1"/>
  <c r="B4" i="4"/>
  <c r="K15" i="4" l="1"/>
  <c r="L6" i="4" s="1"/>
  <c r="C13" i="3"/>
  <c r="C4" i="4"/>
  <c r="E3" i="4"/>
  <c r="F3" i="4" s="1"/>
  <c r="D4" i="4"/>
  <c r="F4" i="4"/>
  <c r="G3" i="4"/>
  <c r="E4" i="4"/>
  <c r="H3" i="4" l="1"/>
  <c r="H4" i="4" s="1"/>
  <c r="G4" i="4"/>
  <c r="L9" i="4"/>
  <c r="L7" i="4"/>
  <c r="L5" i="4"/>
  <c r="L11" i="4"/>
  <c r="L14" i="4"/>
  <c r="L12" i="4"/>
  <c r="L10" i="4"/>
  <c r="L13" i="4"/>
  <c r="L8" i="4"/>
  <c r="F13" i="3" l="1"/>
  <c r="P13" i="3"/>
  <c r="Q13" i="3"/>
  <c r="N13" i="3"/>
  <c r="E13" i="3"/>
  <c r="G13" i="3"/>
  <c r="H13" i="3"/>
  <c r="I13" i="3"/>
  <c r="J13" i="3"/>
  <c r="K13" i="3"/>
  <c r="L13" i="3"/>
  <c r="M13" i="3"/>
  <c r="O13" i="3"/>
  <c r="R13" i="3"/>
  <c r="S13" i="3"/>
  <c r="T13" i="3"/>
  <c r="K14" i="1"/>
  <c r="K13" i="1"/>
  <c r="B11" i="3" s="1"/>
  <c r="B12" i="3" l="1"/>
  <c r="K5" i="1"/>
  <c r="K12" i="1"/>
  <c r="B10" i="3" s="1"/>
  <c r="K11" i="1"/>
  <c r="B9" i="3" s="1"/>
  <c r="K10" i="1"/>
  <c r="B8" i="3" s="1"/>
  <c r="U8" i="3" s="1"/>
  <c r="K9" i="1"/>
  <c r="B7" i="3" s="1"/>
  <c r="K8" i="1"/>
  <c r="B6" i="3" s="1"/>
  <c r="K7" i="1"/>
  <c r="B5" i="3" s="1"/>
  <c r="K6" i="1"/>
  <c r="B4" i="3" s="1"/>
  <c r="H4" i="1"/>
  <c r="G4" i="1"/>
  <c r="F4" i="1"/>
  <c r="E4" i="1"/>
  <c r="D4" i="1"/>
  <c r="C4" i="1"/>
  <c r="B4" i="1"/>
  <c r="U6" i="3" l="1"/>
  <c r="K15" i="1"/>
  <c r="L14" i="1" s="1"/>
  <c r="B3" i="3"/>
  <c r="B13" i="3" s="1"/>
  <c r="L7" i="1"/>
  <c r="L11" i="1"/>
  <c r="L12" i="1"/>
  <c r="L10" i="1"/>
  <c r="L5" i="1"/>
  <c r="L8" i="1"/>
  <c r="L13" i="1"/>
  <c r="L9" i="1"/>
  <c r="L6" i="1"/>
  <c r="U9" i="3" l="1"/>
  <c r="U7" i="3"/>
  <c r="U11" i="3"/>
  <c r="U10" i="3"/>
  <c r="U5" i="3"/>
  <c r="U4" i="3"/>
  <c r="U12" i="3"/>
  <c r="U3" i="3"/>
  <c r="U13" i="3" l="1"/>
  <c r="V6" i="3" l="1"/>
  <c r="V8" i="3"/>
  <c r="V10" i="3"/>
  <c r="V3" i="3"/>
  <c r="V11" i="3"/>
  <c r="V12" i="3"/>
  <c r="V5" i="3"/>
  <c r="V9" i="3"/>
  <c r="V7" i="3"/>
  <c r="V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59AA7-408E-439A-9B58-6FCE29AB20A3}" keepAlive="1" name="Consulta - 02 05 2022" description="Conexão com a consulta '02 05 2022' na pasta de trabalho." type="5" refreshedVersion="8" background="1" saveData="1">
    <dbPr connection="Provider=Microsoft.Mashup.OleDb.1;Data Source=$Workbook$;Location=&quot;02 05 2022&quot;;Extended Properties=&quot;&quot;" command="SELECT * FROM [02 05 2022]"/>
  </connection>
  <connection id="2" xr16:uid="{B6E9172E-861C-41A2-BADA-14A331742218}" keepAlive="1" name="Consulta - 04 04 2022" description="Conexão com a consulta '04 04 2022' na pasta de trabalho." type="5" refreshedVersion="8" background="1" saveData="1">
    <dbPr connection="Provider=Microsoft.Mashup.OleDb.1;Data Source=$Workbook$;Location=&quot;04 04 2022&quot;;Extended Properties=&quot;&quot;" command="SELECT * FROM [04 04 2022]"/>
  </connection>
  <connection id="3" xr16:uid="{5557566E-AE47-4EDE-B2FC-7A476B8E83AA}" keepAlive="1" name="Consulta - 04 07 2022" description="Conexão com a consulta '04 07 2022' na pasta de trabalho." type="5" refreshedVersion="8" background="1" saveData="1">
    <dbPr connection="Provider=Microsoft.Mashup.OleDb.1;Data Source=$Workbook$;Location=&quot;04 07 2022&quot;;Extended Properties=&quot;&quot;" command="SELECT * FROM [04 07 2022]"/>
  </connection>
  <connection id="4" xr16:uid="{2D9ABA85-AB59-421F-9217-716B66FFE640}" keepAlive="1" name="Consulta - 06 06 2022" description="Conexão com a consulta '06 06 2022' na pasta de trabalho." type="5" refreshedVersion="8" background="1" saveData="1">
    <dbPr connection="Provider=Microsoft.Mashup.OleDb.1;Data Source=$Workbook$;Location=&quot;06 06 2022&quot;;Extended Properties=&quot;&quot;" command="SELECT * FROM [06 06 2022]"/>
  </connection>
  <connection id="5" xr16:uid="{956006BB-16A6-4235-9720-A305250ADDCB}" keepAlive="1" name="Consulta - 07 03 2022" description="Conexão com a consulta '07 03 2022' na pasta de trabalho." type="5" refreshedVersion="8" background="1" saveData="1">
    <dbPr connection="Provider=Microsoft.Mashup.OleDb.1;Data Source=$Workbook$;Location=&quot;07 03 2022&quot;;Extended Properties=&quot;&quot;" command="SELECT * FROM [07 03 2022]"/>
  </connection>
  <connection id="6" xr16:uid="{61807830-DD67-4383-BA77-75B19E7657B0}" keepAlive="1" name="Consulta - 09 05 2022" description="Conexão com a consulta '09 05 2022' na pasta de trabalho." type="5" refreshedVersion="8" background="1" saveData="1">
    <dbPr connection="Provider=Microsoft.Mashup.OleDb.1;Data Source=$Workbook$;Location=&quot;09 05 2022&quot;;Extended Properties=&quot;&quot;" command="SELECT * FROM [09 05 2022]"/>
  </connection>
  <connection id="7" xr16:uid="{3AFB924B-68B1-4E42-8160-6F2648AF6B91}" keepAlive="1" name="Consulta - 11 04 2022" description="Conexão com a consulta '11 04 2022' na pasta de trabalho." type="5" refreshedVersion="8" background="1" saveData="1">
    <dbPr connection="Provider=Microsoft.Mashup.OleDb.1;Data Source=$Workbook$;Location=&quot;11 04 2022&quot;;Extended Properties=&quot;&quot;" command="SELECT * FROM [11 04 2022]"/>
  </connection>
  <connection id="8" xr16:uid="{286FAFF2-953E-4C1F-A52D-5F67A0411F14}" keepAlive="1" name="Consulta - 13 06 2022" description="Conexão com a consulta '13 06 2022' na pasta de trabalho." type="5" refreshedVersion="8" background="1" saveData="1">
    <dbPr connection="Provider=Microsoft.Mashup.OleDb.1;Data Source=$Workbook$;Location=&quot;13 06 2022&quot;;Extended Properties=&quot;&quot;" command="SELECT * FROM [13 06 2022]"/>
  </connection>
  <connection id="9" xr16:uid="{46AA7BCE-DD20-4E55-962B-F986150CFD86}" keepAlive="1" name="Consulta - 14 03 2022" description="Conexão com a consulta '14 03 2022' na pasta de trabalho." type="5" refreshedVersion="8" background="1" saveData="1">
    <dbPr connection="Provider=Microsoft.Mashup.OleDb.1;Data Source=$Workbook$;Location=&quot;14 03 2022&quot;;Extended Properties=&quot;&quot;" command="SELECT * FROM [14 03 2022]"/>
  </connection>
  <connection id="10" xr16:uid="{99577534-387C-4023-83E7-A2A7737C5CFA}" keepAlive="1" name="Consulta - 16 05 2022" description="Conexão com a consulta '16 05 2022' na pasta de trabalho." type="5" refreshedVersion="8" background="1" saveData="1">
    <dbPr connection="Provider=Microsoft.Mashup.OleDb.1;Data Source=$Workbook$;Location=&quot;16 05 2022&quot;;Extended Properties=&quot;&quot;" command="SELECT * FROM [16 05 2022]"/>
  </connection>
  <connection id="11" xr16:uid="{3ADCBB87-2CE1-4FB7-B372-6C7C4935BDDC}" keepAlive="1" name="Consulta - 18 04 2022" description="Conexão com a consulta '18 04 2022' na pasta de trabalho." type="5" refreshedVersion="8" background="1" saveData="1">
    <dbPr connection="Provider=Microsoft.Mashup.OleDb.1;Data Source=$Workbook$;Location=&quot;18 04 2022&quot;;Extended Properties=&quot;&quot;" command="SELECT * FROM [18 04 2022]"/>
  </connection>
  <connection id="12" xr16:uid="{8E776EAC-513A-4A96-BD38-ED27A25FCDE4}" keepAlive="1" name="Consulta - 20 06 2022" description="Conexão com a consulta '20 06 2022' na pasta de trabalho." type="5" refreshedVersion="8" background="1" saveData="1">
    <dbPr connection="Provider=Microsoft.Mashup.OleDb.1;Data Source=$Workbook$;Location=&quot;20 06 2022&quot;;Extended Properties=&quot;&quot;" command="SELECT * FROM [20 06 2022]"/>
  </connection>
  <connection id="13" xr16:uid="{A9AA355A-03D4-4A68-8449-BD298EE24646}" keepAlive="1" name="Consulta - 21 02 2022" description="Conexão com a consulta '21 02 2022' na pasta de trabalho." type="5" refreshedVersion="8" background="1" saveData="1">
    <dbPr connection="Provider=Microsoft.Mashup.OleDb.1;Data Source=$Workbook$;Location=&quot;21 02 2022&quot;;Extended Properties=&quot;&quot;" command="SELECT * FROM [21 02 2022]"/>
  </connection>
  <connection id="14" xr16:uid="{323794DE-53D3-4C9F-B7C1-82C2E453A89A}" keepAlive="1" name="Consulta - 21 03 2022" description="Conexão com a consulta '21 03 2022' na pasta de trabalho." type="5" refreshedVersion="8" background="1" saveData="1">
    <dbPr connection="Provider=Microsoft.Mashup.OleDb.1;Data Source=$Workbook$;Location=&quot;21 03 2022&quot;;Extended Properties=&quot;&quot;" command="SELECT * FROM [21 03 2022]"/>
  </connection>
  <connection id="15" xr16:uid="{92ACC430-7162-448A-864D-1AFC94FB9D62}" keepAlive="1" name="Consulta - 23 05 2022" description="Conexão com a consulta '23 05 2022' na pasta de trabalho." type="5" refreshedVersion="8" background="1" saveData="1">
    <dbPr connection="Provider=Microsoft.Mashup.OleDb.1;Data Source=$Workbook$;Location=&quot;23 05 2022&quot;;Extended Properties=&quot;&quot;" command="SELECT * FROM [23 05 2022]"/>
  </connection>
  <connection id="16" xr16:uid="{385FFBC3-730A-4A1F-B4D9-CB0A09EA23DD}" keepAlive="1" name="Consulta - 25 04 2023" description="Conexão com a consulta '25 04 2023' na pasta de trabalho." type="5" refreshedVersion="8" background="1" saveData="1">
    <dbPr connection="Provider=Microsoft.Mashup.OleDb.1;Data Source=$Workbook$;Location=&quot;25 04 2023&quot;;Extended Properties=&quot;&quot;" command="SELECT * FROM [25 04 2023]"/>
  </connection>
  <connection id="17" xr16:uid="{8ABC5AC9-C47C-4F0B-9C7B-48CF1DCD2A21}" keepAlive="1" name="Consulta - 27 06 2022" description="Conexão com a consulta '27 06 2022' na pasta de trabalho." type="5" refreshedVersion="8" background="1" saveData="1">
    <dbPr connection="Provider=Microsoft.Mashup.OleDb.1;Data Source=$Workbook$;Location=&quot;27 06 2022&quot;;Extended Properties=&quot;&quot;" command="SELECT * FROM [27 06 2022]"/>
  </connection>
  <connection id="18" xr16:uid="{FFB3DBE5-B9E9-4542-BDCE-857F9802B357}" keepAlive="1" name="Consulta - 28 02 2022" description="Conexão com a consulta '28 02 2022' na pasta de trabalho." type="5" refreshedVersion="8" background="1" saveData="1">
    <dbPr connection="Provider=Microsoft.Mashup.OleDb.1;Data Source=$Workbook$;Location=&quot;28 02 2022&quot;;Extended Properties=&quot;&quot;" command="SELECT * FROM [28 02 2022]"/>
  </connection>
  <connection id="19" xr16:uid="{CA492CF0-1AA5-422C-9AC6-EE93115EBC64}" keepAlive="1" name="Consulta - 28 03 2022" description="Conexão com a consulta '28 03 2022' na pasta de trabalho." type="5" refreshedVersion="8" background="1" saveData="1">
    <dbPr connection="Provider=Microsoft.Mashup.OleDb.1;Data Source=$Workbook$;Location=&quot;28 03 2022&quot;;Extended Properties=&quot;&quot;" command="SELECT * FROM [28 03 2022]"/>
  </connection>
  <connection id="20" xr16:uid="{94ABA4FE-9ED8-4746-BDC5-D87DA6C7099B}" keepAlive="1" name="Consulta - 30 05 2022" description="Conexão com a consulta '30 05 2022' na pasta de trabalho." type="5" refreshedVersion="8" background="1" saveData="1">
    <dbPr connection="Provider=Microsoft.Mashup.OleDb.1;Data Source=$Workbook$;Location=&quot;30 05 2022&quot;;Extended Properties=&quot;&quot;" command="SELECT * FROM [30 05 2022]"/>
  </connection>
</connections>
</file>

<file path=xl/sharedStrings.xml><?xml version="1.0" encoding="utf-8"?>
<sst xmlns="http://schemas.openxmlformats.org/spreadsheetml/2006/main" count="9507" uniqueCount="183">
  <si>
    <t>Parâmetros</t>
  </si>
  <si>
    <t>Total</t>
  </si>
  <si>
    <t>Percentual</t>
  </si>
  <si>
    <t>Redutor</t>
  </si>
  <si>
    <t>Motorredutor</t>
  </si>
  <si>
    <t>Castanha</t>
  </si>
  <si>
    <t>Vedação</t>
  </si>
  <si>
    <t>Pneu</t>
  </si>
  <si>
    <t>Estrutura</t>
  </si>
  <si>
    <t>Bomba/Sucção</t>
  </si>
  <si>
    <t>Mangote</t>
  </si>
  <si>
    <t>Canal/Reservatório</t>
  </si>
  <si>
    <t>Adutora</t>
  </si>
  <si>
    <t>Atendimento de irrigação  (Imapacto - Problemas Mecânicos) - Semana 21/02/2022</t>
  </si>
  <si>
    <t xml:space="preserve">Data </t>
  </si>
  <si>
    <t>Pivô</t>
  </si>
  <si>
    <t>Contagem</t>
  </si>
  <si>
    <t>Porcentagem</t>
  </si>
  <si>
    <t>Semana</t>
  </si>
  <si>
    <t>Pivô 01</t>
  </si>
  <si>
    <t>Pivô 02</t>
  </si>
  <si>
    <t>Pivô 03</t>
  </si>
  <si>
    <t>Pivô 04</t>
  </si>
  <si>
    <t>Pivô 05</t>
  </si>
  <si>
    <t>Pivô 06</t>
  </si>
  <si>
    <t>Sucção</t>
  </si>
  <si>
    <t>Pivô 07</t>
  </si>
  <si>
    <t>Bomba</t>
  </si>
  <si>
    <t>Pivô 08</t>
  </si>
  <si>
    <t>Pivô 09</t>
  </si>
  <si>
    <t>Pivô 10</t>
  </si>
  <si>
    <t>Pivô 11</t>
  </si>
  <si>
    <t>Pivô 12</t>
  </si>
  <si>
    <t>Pivô 13</t>
  </si>
  <si>
    <t>Pivô 14</t>
  </si>
  <si>
    <t>Pivô 15</t>
  </si>
  <si>
    <t>Pivô 16</t>
  </si>
  <si>
    <t>Pivô 17</t>
  </si>
  <si>
    <t>Pivô 18</t>
  </si>
  <si>
    <t>Pivô 19</t>
  </si>
  <si>
    <t>Pivô 20</t>
  </si>
  <si>
    <t>Pivô 21</t>
  </si>
  <si>
    <t>Pivô 22</t>
  </si>
  <si>
    <t>Pivô 23</t>
  </si>
  <si>
    <t>Pivô 24</t>
  </si>
  <si>
    <t>Pivô 25</t>
  </si>
  <si>
    <t>Pivô 26</t>
  </si>
  <si>
    <t>Pivô 27</t>
  </si>
  <si>
    <t>Pivô 28</t>
  </si>
  <si>
    <t>Pivô 29</t>
  </si>
  <si>
    <t>Pivô 30</t>
  </si>
  <si>
    <t>Pivô 31</t>
  </si>
  <si>
    <t>Pivô 32</t>
  </si>
  <si>
    <t>Pivô 33</t>
  </si>
  <si>
    <t>Pivô 34</t>
  </si>
  <si>
    <t>Pivô 35</t>
  </si>
  <si>
    <t>Pivô 36</t>
  </si>
  <si>
    <t>Pivô 37</t>
  </si>
  <si>
    <t>Pivô 38</t>
  </si>
  <si>
    <t>Pivô 39</t>
  </si>
  <si>
    <t>Pivô 40</t>
  </si>
  <si>
    <t>Pivô 41</t>
  </si>
  <si>
    <t>Pivô 42</t>
  </si>
  <si>
    <t>Pivô 43</t>
  </si>
  <si>
    <t>Pivô 44</t>
  </si>
  <si>
    <t>Pivô 45</t>
  </si>
  <si>
    <t>Pivô 46</t>
  </si>
  <si>
    <t>Pivô 47</t>
  </si>
  <si>
    <t>Pivô 48</t>
  </si>
  <si>
    <t>Pivô 49</t>
  </si>
  <si>
    <t>Pivô 50</t>
  </si>
  <si>
    <t>Pivô 51</t>
  </si>
  <si>
    <t>Pivô 52</t>
  </si>
  <si>
    <t>Pivô 53</t>
  </si>
  <si>
    <t>Pivô 54</t>
  </si>
  <si>
    <t>Pivô 55</t>
  </si>
  <si>
    <t>Pivô 56</t>
  </si>
  <si>
    <t>Pivô 73</t>
  </si>
  <si>
    <t>Pivô 74</t>
  </si>
  <si>
    <t>Pivô 101</t>
  </si>
  <si>
    <t>Pivô 102</t>
  </si>
  <si>
    <t>Pivô 103</t>
  </si>
  <si>
    <t>Pivô 104</t>
  </si>
  <si>
    <t>Pivô 105</t>
  </si>
  <si>
    <t>Pivô 106</t>
  </si>
  <si>
    <t>Pivô 107</t>
  </si>
  <si>
    <t>Pivô 108</t>
  </si>
  <si>
    <t>Pivô 109</t>
  </si>
  <si>
    <t>Pivô 110</t>
  </si>
  <si>
    <t>Dashboard de Indicadores'!A1</t>
  </si>
  <si>
    <t>Pivô 111</t>
  </si>
  <si>
    <t>Pivô 112</t>
  </si>
  <si>
    <t>Pivô 113</t>
  </si>
  <si>
    <t>Pivô 114</t>
  </si>
  <si>
    <t>Pivô 115</t>
  </si>
  <si>
    <t>Pivô 116</t>
  </si>
  <si>
    <t>Pivô 117</t>
  </si>
  <si>
    <t>Pivô 118</t>
  </si>
  <si>
    <t>Pivô 119</t>
  </si>
  <si>
    <t>Pivô 120</t>
  </si>
  <si>
    <t>Pivô 121</t>
  </si>
  <si>
    <t>Pivô 122</t>
  </si>
  <si>
    <t>Pivô 123</t>
  </si>
  <si>
    <t>Pivô 124</t>
  </si>
  <si>
    <t>Pivô 125</t>
  </si>
  <si>
    <t>Pivô 126</t>
  </si>
  <si>
    <t>Pivô 127</t>
  </si>
  <si>
    <t>Pivô 128</t>
  </si>
  <si>
    <t>Pivô 129</t>
  </si>
  <si>
    <t>Pivô 130</t>
  </si>
  <si>
    <t>Pivô 133</t>
  </si>
  <si>
    <t>Atendimento de irrigação  (Imapacto - Problemas Mecânicos) - Semana 28/02/2022</t>
  </si>
  <si>
    <t>Atendimento de irrigação  (Imapacto - Problemas Mecânicos) - Semana 07/03/2022</t>
  </si>
  <si>
    <t>Atendimento de irrigação  (Imapacto - Problemas Mecânicos) - Semana 14/03/2022</t>
  </si>
  <si>
    <t>Atendimento de irrigação  (Imapacto - Problemas Mecânicos) - Semana 21/03/2022</t>
  </si>
  <si>
    <t>Atendimento de irrigação  (Imapacto - Problemas Mecânicos) - Semana 28/03/2022</t>
  </si>
  <si>
    <t>Atendimento de irrigação  (Imapacto - Problemas Mecânicos) - Semana 04/04/2022</t>
  </si>
  <si>
    <t>Atendimento de irrigação  (Imapacto - Problemas Mecânicos) - Semana 11/04/2022</t>
  </si>
  <si>
    <t>Atendimento de irrigação  (Imapacto - Problemas Mecânicos) - Semana 18/04/2022</t>
  </si>
  <si>
    <t>Atendimento de irrigação  (Imapacto - Problemas Mecânicos) - Semana 25/04/2022</t>
  </si>
  <si>
    <t>Atendimento de irrigação  (Imapacto - Problemas Mecânicos) - Semana 02/05/2022</t>
  </si>
  <si>
    <t>Atendimento de irrigação  (Imapacto - Problemas Mecânicos) - Semana 09/05/2022</t>
  </si>
  <si>
    <t>Atendimento de irrigação  (Imapacto - Problemas Mecânicos) - Semana 16/05/2022</t>
  </si>
  <si>
    <t>Atendimento de irrigação  (Imapacto - Problemas Mecânicos) - Semana 23/05/2022</t>
  </si>
  <si>
    <t>Atendimento de irrigação  (Imapacto - Problemas Mecânicos) - Semana 30/05/2022</t>
  </si>
  <si>
    <t>Atendimento de irrigação  (Imapacto - Problemas Mecânicos) - Semana 06/06/2022</t>
  </si>
  <si>
    <t>Atendimento de irrigação  (Imapacto - Problemas Mecânicos) - Semana 13/06/2022</t>
  </si>
  <si>
    <t>Atendimento de irrigação  (Imapacto - Problemas Mecânicos) - Semana 20/06/2022</t>
  </si>
  <si>
    <t>Atendimento de irrigação  (Imapacto - Problemas Mecânicos) - Semana 27/06/2022</t>
  </si>
  <si>
    <t>Atendimento de irrigação  (Imapacto - Problemas Mecânicos) - Semana 04/07/2022</t>
  </si>
  <si>
    <t>Atendimento de irrigação  (Imapacto - Problemas Mecânicos) - Semana 11/07/2022</t>
  </si>
  <si>
    <t>Atendimento de irrigação  (Imapacto - Problemas Mecânicos) - Semana 18/07/2022</t>
  </si>
  <si>
    <t>Gerador</t>
  </si>
  <si>
    <t>Atendimento de irrigação  (Imapacto - Problemas Mecânicos) - Semana 25/07/2022</t>
  </si>
  <si>
    <t>Atendimento de irrigação  (Imapacto - Problemas Mecânicos) - Semana 01/08/2022</t>
  </si>
  <si>
    <t>Atendimento de irrigação  (Imapacto - Problemas Mecânicos) - Semana 08/08/2022</t>
  </si>
  <si>
    <t>Atendimento de irrigação  (Imapacto - Problemas Mecânicos) - Semana 15/08/2022</t>
  </si>
  <si>
    <t>Atendimento de irrigação  (Imapacto - Problemas Mecânicos) - Semana 22/08/2022</t>
  </si>
  <si>
    <t>Atendimento de irrigação  (Imapacto - Problemas Mecânicos) - Semana 29/08/2022</t>
  </si>
  <si>
    <t>Atendimento de irrigação  (Imapacto - Problemas Mecânicos) - Semana 05/09/2022</t>
  </si>
  <si>
    <t>Atendimento de irrigação  (Imapacto - Problemas Mecânicos) - Semana 12/09/2022</t>
  </si>
  <si>
    <t>Atendimento de irrigação  (Imapacto - Problemas Mecânicos) - Semana 19/09/2022</t>
  </si>
  <si>
    <t>Atendimento de irrigação  (Imapacto - Problemas Mecânicos) - Semana 26/09/2022</t>
  </si>
  <si>
    <t>Atendimento de irrigação  (Imapacto - Problemas Mecânicos) - Semana 03/10/2022</t>
  </si>
  <si>
    <t>Atendimento de irrigação  (Imapacto - Problemas Mecânicos) - Semana 10/10/2022</t>
  </si>
  <si>
    <t>Atendimento de irrigação  (Imapacto - Problemas Mecânicos) - Semana 17/10/2022</t>
  </si>
  <si>
    <t>Atendimento de irrigação  (Imapacto - Problemas Mecânicos) - Semana 24/10/2022</t>
  </si>
  <si>
    <t>Atendimento de irrigação  (Imapacto - Problemas Mecânicos) - Semana 31/10/2022</t>
  </si>
  <si>
    <t>Atendimento de irrigação  (Imapacto - Problemas Mecânicos) - Semana 07/11/2022</t>
  </si>
  <si>
    <t>Atendimento de irrigação  (Imapacto - Problemas Mecânicos) - Semana 14/11/2022</t>
  </si>
  <si>
    <t>Atendimento de irrigação  (Imapacto - Problemas Mecânicos) - Semana 05/12/2022</t>
  </si>
  <si>
    <t>Atendimento de irrigação  (Imapacto - Problemas Mecânicos) - Semana 02/01/2023</t>
  </si>
  <si>
    <t>Atendimento de irrigação  (Imapacto - Problemas Mecânicos) - Semana 30/01/2023</t>
  </si>
  <si>
    <t>Atendimento de irrigação  (Imapacto - Problemas Mecânicos) - Semana 06/02/2023</t>
  </si>
  <si>
    <t>Pivô 57</t>
  </si>
  <si>
    <t>Pivô 58</t>
  </si>
  <si>
    <t>Pivô 59</t>
  </si>
  <si>
    <t>Pivô 60</t>
  </si>
  <si>
    <t>Pivô 61</t>
  </si>
  <si>
    <t>Pivô 62</t>
  </si>
  <si>
    <t>Pivô 63</t>
  </si>
  <si>
    <t>Pivô 64</t>
  </si>
  <si>
    <t>Pivô 65</t>
  </si>
  <si>
    <t>Pivô 66</t>
  </si>
  <si>
    <t>Pivô 67</t>
  </si>
  <si>
    <t>Pivô 68</t>
  </si>
  <si>
    <t>Pivô 69</t>
  </si>
  <si>
    <t>Pivô 70</t>
  </si>
  <si>
    <t>Pivô 71</t>
  </si>
  <si>
    <t>Pivô 72</t>
  </si>
  <si>
    <t>Atendimento de irrigação  (Imapacto - Problemas Mecânicos) - Semana 13/02/2023</t>
  </si>
  <si>
    <t>Balça/Transposição</t>
  </si>
  <si>
    <t>Atendimento de irrigação  (Imapacto - Problemas Mecânicos)</t>
  </si>
  <si>
    <t>Adutora/Ventosa</t>
  </si>
  <si>
    <t>Mês</t>
  </si>
  <si>
    <t>Ano</t>
  </si>
  <si>
    <t>Periodo</t>
  </si>
  <si>
    <t>Rótulos de Linha</t>
  </si>
  <si>
    <t>Percentual Semanal</t>
  </si>
  <si>
    <t>Contagem Semanal</t>
  </si>
  <si>
    <t>Verificação</t>
  </si>
  <si>
    <t xml:space="preserve"> </t>
  </si>
  <si>
    <t>Man. Preventiva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</si>
</sst>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A91B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39AC1"/>
        <bgColor indexed="64"/>
      </patternFill>
    </fill>
    <fill>
      <patternFill patternType="solid">
        <fgColor rgb="FFAC0000"/>
        <bgColor indexed="64"/>
      </patternFill>
    </fill>
    <fill>
      <patternFill patternType="solid">
        <fgColor rgb="FF2457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dotted">
        <color theme="0"/>
      </left>
      <right style="thin">
        <color theme="0"/>
      </right>
      <top style="dotted">
        <color theme="0"/>
      </top>
      <bottom style="thin">
        <color theme="0"/>
      </bottom>
      <diagonal/>
    </border>
    <border>
      <left style="thin">
        <color theme="0"/>
      </left>
      <right style="dotted">
        <color theme="1"/>
      </right>
      <top style="dotted">
        <color theme="0"/>
      </top>
      <bottom style="thin">
        <color theme="0"/>
      </bottom>
      <diagonal/>
    </border>
    <border>
      <left style="dotted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tted">
        <color theme="1"/>
      </right>
      <top style="thin">
        <color theme="0"/>
      </top>
      <bottom style="thin">
        <color theme="0"/>
      </bottom>
      <diagonal/>
    </border>
    <border>
      <left style="dotted">
        <color theme="0"/>
      </left>
      <right style="thin">
        <color theme="0"/>
      </right>
      <top style="thin">
        <color theme="0"/>
      </top>
      <bottom style="dotted">
        <color theme="1"/>
      </bottom>
      <diagonal/>
    </border>
    <border>
      <left style="thin">
        <color theme="0"/>
      </left>
      <right style="dotted">
        <color theme="1"/>
      </right>
      <top style="thin">
        <color theme="0"/>
      </top>
      <bottom style="dotted">
        <color theme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5" fillId="6" borderId="0" xfId="0" applyFont="1" applyFill="1"/>
    <xf numFmtId="9" fontId="0" fillId="0" borderId="0" xfId="1" applyFont="1"/>
    <xf numFmtId="0" fontId="2" fillId="7" borderId="1" xfId="0" applyFont="1" applyFill="1" applyBorder="1"/>
    <xf numFmtId="0" fontId="2" fillId="7" borderId="4" xfId="0" applyFont="1" applyFill="1" applyBorder="1"/>
    <xf numFmtId="0" fontId="0" fillId="0" borderId="4" xfId="0" applyBorder="1"/>
    <xf numFmtId="0" fontId="4" fillId="0" borderId="4" xfId="0" applyFont="1" applyBorder="1" applyAlignment="1">
      <alignment vertical="center"/>
    </xf>
    <xf numFmtId="0" fontId="0" fillId="0" borderId="9" xfId="0" applyBorder="1"/>
    <xf numFmtId="0" fontId="1" fillId="8" borderId="8" xfId="0" applyFont="1" applyFill="1" applyBorder="1"/>
    <xf numFmtId="0" fontId="1" fillId="9" borderId="8" xfId="0" applyFont="1" applyFill="1" applyBorder="1"/>
    <xf numFmtId="0" fontId="2" fillId="10" borderId="8" xfId="0" applyFont="1" applyFill="1" applyBorder="1"/>
    <xf numFmtId="0" fontId="2" fillId="11" borderId="8" xfId="0" applyFont="1" applyFill="1" applyBorder="1"/>
    <xf numFmtId="0" fontId="2" fillId="12" borderId="8" xfId="0" applyFont="1" applyFill="1" applyBorder="1"/>
    <xf numFmtId="0" fontId="2" fillId="13" borderId="8" xfId="0" applyFont="1" applyFill="1" applyBorder="1"/>
    <xf numFmtId="0" fontId="4" fillId="0" borderId="12" xfId="0" applyFont="1" applyBorder="1" applyAlignment="1">
      <alignment vertical="center"/>
    </xf>
    <xf numFmtId="0" fontId="0" fillId="0" borderId="12" xfId="0" applyBorder="1"/>
    <xf numFmtId="0" fontId="0" fillId="7" borderId="1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4" xfId="0" applyFill="1" applyBorder="1"/>
    <xf numFmtId="0" fontId="7" fillId="14" borderId="2" xfId="0" applyFont="1" applyFill="1" applyBorder="1"/>
    <xf numFmtId="16" fontId="0" fillId="14" borderId="3" xfId="0" applyNumberFormat="1" applyFill="1" applyBorder="1" applyAlignment="1">
      <alignment horizontal="left"/>
    </xf>
    <xf numFmtId="16" fontId="0" fillId="14" borderId="10" xfId="0" applyNumberFormat="1" applyFill="1" applyBorder="1" applyAlignment="1">
      <alignment horizontal="left"/>
    </xf>
    <xf numFmtId="0" fontId="7" fillId="14" borderId="5" xfId="0" applyFont="1" applyFill="1" applyBorder="1"/>
    <xf numFmtId="0" fontId="0" fillId="14" borderId="5" xfId="0" applyFill="1" applyBorder="1" applyAlignment="1">
      <alignment horizontal="left"/>
    </xf>
    <xf numFmtId="0" fontId="0" fillId="14" borderId="11" xfId="0" applyFill="1" applyBorder="1" applyAlignment="1">
      <alignment horizontal="left"/>
    </xf>
    <xf numFmtId="0" fontId="2" fillId="2" borderId="0" xfId="0" applyFont="1" applyFill="1"/>
    <xf numFmtId="0" fontId="2" fillId="15" borderId="0" xfId="0" applyFont="1" applyFill="1"/>
    <xf numFmtId="0" fontId="2" fillId="17" borderId="0" xfId="0" applyFont="1" applyFill="1"/>
    <xf numFmtId="0" fontId="1" fillId="18" borderId="0" xfId="0" applyFont="1" applyFill="1"/>
    <xf numFmtId="0" fontId="1" fillId="19" borderId="8" xfId="0" applyFont="1" applyFill="1" applyBorder="1"/>
    <xf numFmtId="0" fontId="1" fillId="5" borderId="8" xfId="0" applyFont="1" applyFill="1" applyBorder="1"/>
    <xf numFmtId="0" fontId="1" fillId="16" borderId="8" xfId="0" applyFont="1" applyFill="1" applyBorder="1"/>
    <xf numFmtId="0" fontId="2" fillId="4" borderId="8" xfId="0" applyFont="1" applyFill="1" applyBorder="1"/>
    <xf numFmtId="0" fontId="2" fillId="0" borderId="13" xfId="0" applyFont="1" applyBorder="1"/>
    <xf numFmtId="9" fontId="0" fillId="0" borderId="14" xfId="1" applyFont="1" applyBorder="1"/>
    <xf numFmtId="0" fontId="2" fillId="0" borderId="15" xfId="0" applyFont="1" applyBorder="1"/>
    <xf numFmtId="9" fontId="0" fillId="0" borderId="16" xfId="1" applyFont="1" applyBorder="1"/>
    <xf numFmtId="0" fontId="2" fillId="0" borderId="17" xfId="0" applyFont="1" applyBorder="1"/>
    <xf numFmtId="9" fontId="0" fillId="0" borderId="18" xfId="1" applyFont="1" applyBorder="1"/>
    <xf numFmtId="0" fontId="2" fillId="20" borderId="0" xfId="0" applyFont="1" applyFill="1"/>
    <xf numFmtId="0" fontId="9" fillId="0" borderId="0" xfId="0" applyFont="1"/>
    <xf numFmtId="16" fontId="2" fillId="0" borderId="0" xfId="0" applyNumberFormat="1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9" fontId="2" fillId="0" borderId="0" xfId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0" fontId="1" fillId="21" borderId="0" xfId="0" applyFont="1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0" fontId="2" fillId="3" borderId="0" xfId="0" applyFont="1" applyFill="1"/>
    <xf numFmtId="0" fontId="14" fillId="0" borderId="0" xfId="2" quotePrefix="1"/>
    <xf numFmtId="0" fontId="1" fillId="22" borderId="0" xfId="0" applyFont="1" applyFill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Porcentagem" xfId="1" builtinId="5"/>
  </cellStyles>
  <dxfs count="1738"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</font>
      <fill>
        <patternFill>
          <bgColor theme="4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2A91BA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3" tint="0.39994506668294322"/>
        </patternFill>
      </fill>
    </dxf>
    <dxf>
      <font>
        <b/>
        <i val="0"/>
        <color theme="1"/>
      </font>
      <fill>
        <patternFill>
          <bgColor rgb="FF7292C2"/>
        </patternFill>
      </fill>
    </dxf>
    <dxf>
      <font>
        <b/>
        <i val="0"/>
      </font>
      <fill>
        <patternFill>
          <bgColor rgb="FFAFC8D3"/>
        </patternFill>
      </fill>
    </dxf>
    <dxf>
      <font>
        <b/>
        <i val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rgb="FF1C71AA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font>
        <b/>
        <i val="0"/>
        <color theme="0"/>
      </font>
      <fill>
        <patternFill>
          <bgColor rgb="FF245760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theme="0" tint="-0.24994659260841701"/>
        </patternFill>
      </fill>
    </dxf>
    <dxf>
      <fill>
        <patternFill>
          <bgColor rgb="FF517B7B"/>
        </patternFill>
      </fill>
    </dxf>
  </dxfs>
  <tableStyles count="1" defaultTableStyle="TableStyleMedium2" defaultPivotStyle="PivotStyleLight16">
    <tableStyle name="Estilo de Segmentação de Dados 1" pivot="0" table="0" count="3" xr9:uid="{159C8906-641A-4FFC-B232-10AC24072FFA}">
      <tableStyleElement type="wholeTable" dxfId="1737"/>
    </tableStyle>
  </tableStyles>
  <colors>
    <mruColors>
      <color rgb="FF517B7B"/>
      <color rgb="FF739AC1"/>
      <color rgb="FFAC0000"/>
      <color rgb="FF245760"/>
      <color rgb="FF2C4B58"/>
      <color rgb="FF1C71AA"/>
      <color rgb="FF1D56A9"/>
      <color rgb="FFAFC8D3"/>
      <color rgb="FFCB00D0"/>
      <color rgb="FF7292C2"/>
    </mruColors>
  </colors>
  <extLst>
    <ext xmlns:x14="http://schemas.microsoft.com/office/spreadsheetml/2009/9/main" uri="{46F421CA-312F-682f-3DD2-61675219B42D}">
      <x14:dxfs count="2">
        <dxf>
          <font>
            <b/>
            <i val="0"/>
          </font>
          <fill>
            <patternFill>
              <bgColor theme="0"/>
            </patternFill>
          </fill>
        </dxf>
        <dxf>
          <fill>
            <patternFill>
              <bgColor theme="2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pivotCacheDefinition" Target="pivotCache/pivotCacheDefinition1.xml"/><Relationship Id="rId8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microsoft.com/office/2007/relationships/slicerCache" Target="slicerCaches/slicerCache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microsoft.com/office/2007/relationships/slicerCache" Target="slicerCaches/slicerCach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85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microsoft.com/office/2007/relationships/slicerCache" Target="slicerCaches/slicerCache2.xml"/><Relationship Id="rId81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7050874890638671"/>
          <c:y val="0.19608539378437564"/>
          <c:w val="0.44787160979877516"/>
          <c:h val="0.68464449905545244"/>
        </c:manualLayout>
      </c:layout>
      <c:pieChart>
        <c:varyColors val="1"/>
        <c:ser>
          <c:idx val="0"/>
          <c:order val="0"/>
          <c:tx>
            <c:strRef>
              <c:f>Acumulado!$V$2</c:f>
              <c:strCache>
                <c:ptCount val="1"/>
                <c:pt idx="0">
                  <c:v>Percentual</c:v>
                </c:pt>
              </c:strCache>
            </c:strRef>
          </c:tx>
          <c:dPt>
            <c:idx val="0"/>
            <c:bubble3D val="0"/>
            <c:spPr>
              <a:solidFill>
                <a:srgbClr val="AC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A4C-46F7-AC6E-CB3792DA062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C-46F7-AC6E-CB3792DA0627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A4C-46F7-AC6E-CB3792DA062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C-46F7-AC6E-CB3792DA0627}"/>
              </c:ext>
            </c:extLst>
          </c:dPt>
          <c:dPt>
            <c:idx val="4"/>
            <c:bubble3D val="0"/>
            <c:spPr>
              <a:solidFill>
                <a:srgbClr val="739A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A4C-46F7-AC6E-CB3792DA0627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C-46F7-AC6E-CB3792DA0627}"/>
              </c:ext>
            </c:extLst>
          </c:dPt>
          <c:dPt>
            <c:idx val="6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A4C-46F7-AC6E-CB3792DA0627}"/>
              </c:ext>
            </c:extLst>
          </c:dPt>
          <c:dPt>
            <c:idx val="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C-46F7-AC6E-CB3792DA0627}"/>
              </c:ext>
            </c:extLst>
          </c:dPt>
          <c:dPt>
            <c:idx val="8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A4C-46F7-AC6E-CB3792DA0627}"/>
              </c:ext>
            </c:extLst>
          </c:dPt>
          <c:dPt>
            <c:idx val="9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C-46F7-AC6E-CB3792DA062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4C-46F7-AC6E-CB3792DA062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A4C-46F7-AC6E-CB3792DA062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4C-46F7-AC6E-CB3792DA062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Acumulado!$A$3:$A$12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Acumulado!$V$3:$V$12</c:f>
              <c:numCache>
                <c:formatCode>0%</c:formatCode>
                <c:ptCount val="10"/>
                <c:pt idx="0">
                  <c:v>0.14799999999999999</c:v>
                </c:pt>
                <c:pt idx="1">
                  <c:v>0.04</c:v>
                </c:pt>
                <c:pt idx="2">
                  <c:v>2.8000000000000001E-2</c:v>
                </c:pt>
                <c:pt idx="3">
                  <c:v>5.6000000000000001E-2</c:v>
                </c:pt>
                <c:pt idx="4">
                  <c:v>0.112</c:v>
                </c:pt>
                <c:pt idx="5">
                  <c:v>0.316</c:v>
                </c:pt>
                <c:pt idx="6">
                  <c:v>0.128</c:v>
                </c:pt>
                <c:pt idx="7">
                  <c:v>0.02</c:v>
                </c:pt>
                <c:pt idx="8">
                  <c:v>7.5999999999999998E-2</c:v>
                </c:pt>
                <c:pt idx="9">
                  <c:v>7.5999999999999998E-2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C-46F7-AC6E-CB3792DA0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100" b="1" u="sng">
                <a:solidFill>
                  <a:srgbClr val="002060"/>
                </a:solidFill>
              </a:rPr>
              <a:t>Atendimento de Irrigação (Impacto - Problemas Mecânicos) -</a:t>
            </a:r>
            <a:r>
              <a:rPr lang="pt-BR" sz="1100" b="1" u="sng" baseline="0">
                <a:solidFill>
                  <a:srgbClr val="002060"/>
                </a:solidFill>
              </a:rPr>
              <a:t> </a:t>
            </a:r>
            <a:r>
              <a:rPr lang="pt-BR" sz="1100" b="1" u="sng">
                <a:solidFill>
                  <a:srgbClr val="002060"/>
                </a:solidFill>
              </a:rPr>
              <a:t>1º Semestre de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Acumulado!$A$3</c:f>
              <c:strCache>
                <c:ptCount val="1"/>
                <c:pt idx="0">
                  <c:v>Redutor</c:v>
                </c:pt>
              </c:strCache>
            </c:strRef>
          </c:tx>
          <c:spPr>
            <a:solidFill>
              <a:srgbClr val="AC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Acumulado!$B$3:$T$3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5-4549-8399-C666AD58CDDD}"/>
            </c:ext>
          </c:extLst>
        </c:ser>
        <c:ser>
          <c:idx val="1"/>
          <c:order val="1"/>
          <c:tx>
            <c:strRef>
              <c:f>Acumulado!$A$4</c:f>
              <c:strCache>
                <c:ptCount val="1"/>
                <c:pt idx="0">
                  <c:v>Motorredutor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Acumulado!$B$4:$T$4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5-4549-8399-C666AD58CDDD}"/>
            </c:ext>
          </c:extLst>
        </c:ser>
        <c:ser>
          <c:idx val="2"/>
          <c:order val="2"/>
          <c:tx>
            <c:strRef>
              <c:f>Acumulado!$A$5</c:f>
              <c:strCache>
                <c:ptCount val="1"/>
                <c:pt idx="0">
                  <c:v>Castanha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Acumulado!$B$5:$T$5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75-4549-8399-C666AD58CDDD}"/>
            </c:ext>
          </c:extLst>
        </c:ser>
        <c:ser>
          <c:idx val="3"/>
          <c:order val="3"/>
          <c:tx>
            <c:strRef>
              <c:f>Acumulado!$A$6</c:f>
              <c:strCache>
                <c:ptCount val="1"/>
                <c:pt idx="0">
                  <c:v>Vedação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Acumulado!$B$6:$T$6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75-4549-8399-C666AD58CDDD}"/>
            </c:ext>
          </c:extLst>
        </c:ser>
        <c:ser>
          <c:idx val="4"/>
          <c:order val="4"/>
          <c:tx>
            <c:strRef>
              <c:f>Acumulado!$A$7</c:f>
              <c:strCache>
                <c:ptCount val="1"/>
                <c:pt idx="0">
                  <c:v>Pneu</c:v>
                </c:pt>
              </c:strCache>
            </c:strRef>
          </c:tx>
          <c:spPr>
            <a:solidFill>
              <a:srgbClr val="739AC1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Acumulado!$B$7:$T$7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5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75-4549-8399-C666AD58CDDD}"/>
            </c:ext>
          </c:extLst>
        </c:ser>
        <c:ser>
          <c:idx val="5"/>
          <c:order val="5"/>
          <c:tx>
            <c:strRef>
              <c:f>Acumulado!$A$8</c:f>
              <c:strCache>
                <c:ptCount val="1"/>
                <c:pt idx="0">
                  <c:v>Estrutura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Acumulado!$B$8:$T$8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75-4549-8399-C666AD58CDDD}"/>
            </c:ext>
          </c:extLst>
        </c:ser>
        <c:ser>
          <c:idx val="6"/>
          <c:order val="6"/>
          <c:tx>
            <c:strRef>
              <c:f>Acumulado!$A$9</c:f>
              <c:strCache>
                <c:ptCount val="1"/>
                <c:pt idx="0">
                  <c:v>Bomba/Sucção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Acumulado!$B$9:$T$9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75-4549-8399-C666AD58CDDD}"/>
            </c:ext>
          </c:extLst>
        </c:ser>
        <c:ser>
          <c:idx val="7"/>
          <c:order val="7"/>
          <c:tx>
            <c:strRef>
              <c:f>Acumulado!$A$10</c:f>
              <c:strCache>
                <c:ptCount val="1"/>
                <c:pt idx="0">
                  <c:v>Mangote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Acumulado!$B$10:$T$10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75-4549-8399-C666AD58CDDD}"/>
            </c:ext>
          </c:extLst>
        </c:ser>
        <c:ser>
          <c:idx val="8"/>
          <c:order val="8"/>
          <c:tx>
            <c:strRef>
              <c:f>Acumulado!$A$11</c:f>
              <c:strCache>
                <c:ptCount val="1"/>
                <c:pt idx="0">
                  <c:v>Canal/Reservatório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Acumulado!$B$11:$T$11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75-4549-8399-C666AD58CDDD}"/>
            </c:ext>
          </c:extLst>
        </c:ser>
        <c:ser>
          <c:idx val="9"/>
          <c:order val="9"/>
          <c:tx>
            <c:strRef>
              <c:f>Acumulado!$A$12</c:f>
              <c:strCache>
                <c:ptCount val="1"/>
                <c:pt idx="0">
                  <c:v>Adutora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Acumulado!$B$2:$T$2</c:f>
              <c:numCache>
                <c:formatCode>d\-mmm</c:formatCode>
                <c:ptCount val="19"/>
                <c:pt idx="0">
                  <c:v>44613</c:v>
                </c:pt>
                <c:pt idx="1">
                  <c:v>44620</c:v>
                </c:pt>
                <c:pt idx="2">
                  <c:v>44627</c:v>
                </c:pt>
                <c:pt idx="3">
                  <c:v>44634</c:v>
                </c:pt>
                <c:pt idx="4">
                  <c:v>44641</c:v>
                </c:pt>
                <c:pt idx="5">
                  <c:v>44648</c:v>
                </c:pt>
                <c:pt idx="6">
                  <c:v>44655</c:v>
                </c:pt>
                <c:pt idx="7">
                  <c:v>44662</c:v>
                </c:pt>
                <c:pt idx="8">
                  <c:v>44669</c:v>
                </c:pt>
                <c:pt idx="9">
                  <c:v>44676</c:v>
                </c:pt>
                <c:pt idx="10">
                  <c:v>44683</c:v>
                </c:pt>
                <c:pt idx="11">
                  <c:v>44690</c:v>
                </c:pt>
                <c:pt idx="12">
                  <c:v>44697</c:v>
                </c:pt>
                <c:pt idx="13">
                  <c:v>44704</c:v>
                </c:pt>
                <c:pt idx="14">
                  <c:v>44711</c:v>
                </c:pt>
                <c:pt idx="15">
                  <c:v>44718</c:v>
                </c:pt>
                <c:pt idx="16">
                  <c:v>44725</c:v>
                </c:pt>
                <c:pt idx="17">
                  <c:v>44732</c:v>
                </c:pt>
                <c:pt idx="18">
                  <c:v>44739</c:v>
                </c:pt>
              </c:numCache>
            </c:numRef>
          </c:cat>
          <c:val>
            <c:numRef>
              <c:f>Acumulado!$B$12:$T$12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75-4549-8399-C666AD58C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75054136"/>
        <c:axId val="475054464"/>
      </c:barChart>
      <c:dateAx>
        <c:axId val="475054136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54464"/>
        <c:crosses val="autoZero"/>
        <c:auto val="1"/>
        <c:lblOffset val="100"/>
        <c:baseTimeUnit val="days"/>
      </c:dateAx>
      <c:valAx>
        <c:axId val="4750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505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42092449711407"/>
          <c:y val="0.23671893232296382"/>
          <c:w val="0.23116525927216844"/>
          <c:h val="0.66865221249209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84-4F19-8C2E-0DDBA3926B2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84-4F19-8C2E-0DDBA3926B28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784-4F19-8C2E-0DDBA3926B2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84-4F19-8C2E-0DDBA3926B2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84-4F19-8C2E-0DDBA3926B28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784-4F19-8C2E-0DDBA3926B2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84-4F19-8C2E-0DDBA3926B28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23-4EB4-9551-D5098EA7422F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3F7-41C4-845B-4D8FC3A4B201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16E-4961-B7E6-6F6410CDBDA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4-4F19-8C2E-0DDBA3926B2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84-4F19-8C2E-0DDBA3926B2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784-4F19-8C2E-0DDBA3926B2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4-4F19-8C2E-0DDBA3926B2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23-4EB4-9551-D5098EA7422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3F7-41C4-845B-4D8FC3A4B20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Sucção</c:v>
                </c:pt>
                <c:pt idx="6">
                  <c:v>Bomba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'21 02 2022'!$L$5:$L$14</c:f>
              <c:numCache>
                <c:formatCode>0%</c:formatCode>
                <c:ptCount val="10"/>
                <c:pt idx="0">
                  <c:v>0.16666666666666666</c:v>
                </c:pt>
                <c:pt idx="1">
                  <c:v>0.16666666666666666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4-4F19-8C2E-0DDBA3926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CE-4A9C-B240-EAD618CE771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CE-4A9C-B240-EAD618CE7718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CCE-4A9C-B240-EAD618CE771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CCE-4A9C-B240-EAD618CE7718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CCE-4A9C-B240-EAD618CE7718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CCE-4A9C-B240-EAD618CE77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CCE-4A9C-B240-EAD618CE7718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CCE-4A9C-B240-EAD618CE7718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CCE-4A9C-B240-EAD618CE7718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BC-41FA-B50D-2C3E9C8D0A3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CE-4A9C-B240-EAD618CE77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CE-4A9C-B240-EAD618CE77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CE-4A9C-B240-EAD618CE77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CCE-4A9C-B240-EAD618CE77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CCE-4A9C-B240-EAD618CE771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02 2022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'28 02 2022 '!$L$5:$L$14</c:f>
              <c:numCache>
                <c:formatCode>0%</c:formatCode>
                <c:ptCount val="10"/>
                <c:pt idx="0">
                  <c:v>0.11764705882352941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0.11764705882352941</c:v>
                </c:pt>
                <c:pt idx="5">
                  <c:v>0.58823529411764708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CCE-4A9C-B240-EAD618CE7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C-48A1-B336-FBCD12B4BC9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C-48A1-B336-FBCD12B4BC9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C-48A1-B336-FBCD12B4BC9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8C-48A1-B336-FBCD12B4BC9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8C-48A1-B336-FBCD12B4BC9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8C-48A1-B336-FBCD12B4BC9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8C-48A1-B336-FBCD12B4BC9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8C-48A1-B336-FBCD12B4BC9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8C-48A1-B336-FBCD12B4BC9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8C-48A1-B336-FBCD12B4BC9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8C-48A1-B336-FBCD12B4BC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8C-48A1-B336-FBCD12B4BC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8C-48A1-B336-FBCD12B4BC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8C-48A1-B336-FBCD12B4BC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8C-48A1-B336-FBCD12B4BC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8C-48A1-B336-FBCD12B4BC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8C-48A1-B336-FBCD12B4BC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8C-48A1-B336-FBCD12B4BC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88C-48A1-B336-FBCD12B4BC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'07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'07 03 2022'!$L$5:$L$14</c:f>
              <c:numCache>
                <c:formatCode>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0.5</c:v>
                </c:pt>
                <c:pt idx="6">
                  <c:v>0</c:v>
                </c:pt>
                <c:pt idx="7">
                  <c:v>0.1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8C-48A1-B336-FBCD12B4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B9-4962-B6F8-AEA09297C53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B9-4962-B6F8-AEA09297C53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B9-4962-B6F8-AEA09297C53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B9-4962-B6F8-AEA09297C53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B9-4962-B6F8-AEA09297C53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B9-4962-B6F8-AEA09297C5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AB9-4962-B6F8-AEA09297C53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AB9-4962-B6F8-AEA09297C53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AB9-4962-B6F8-AEA09297C53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AB9-4962-B6F8-AEA09297C53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B9-4962-B6F8-AEA09297C53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B9-4962-B6F8-AEA09297C53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B9-4962-B6F8-AEA09297C53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B9-4962-B6F8-AEA09297C53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B9-4962-B6F8-AEA09297C53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B9-4962-B6F8-AEA09297C5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AB9-4962-B6F8-AEA09297C53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B9-4962-B6F8-AEA09297C53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B9-4962-B6F8-AEA09297C53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'14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'14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</c:v>
                </c:pt>
                <c:pt idx="3">
                  <c:v>0.05</c:v>
                </c:pt>
                <c:pt idx="4">
                  <c:v>0.2</c:v>
                </c:pt>
                <c:pt idx="5">
                  <c:v>0.55000000000000004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AB9-4962-B6F8-AEA09297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54-4D61-ACE4-46EABB493071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54-4D61-ACE4-46EABB493071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54-4D61-ACE4-46EABB493071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4-4D61-ACE4-46EABB49307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54-4D61-ACE4-46EABB493071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54-4D61-ACE4-46EABB4930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54-4D61-ACE4-46EABB493071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4-4D61-ACE4-46EABB493071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E54-4D61-ACE4-46EABB493071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E54-4D61-ACE4-46EABB49307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54-4D61-ACE4-46EABB4930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54-4D61-ACE4-46EABB4930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54-4D61-ACE4-46EABB49307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54-4D61-ACE4-46EABB49307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54-4D61-ACE4-46EABB49307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54-4D61-ACE4-46EABB49307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54-4D61-ACE4-46EABB49307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54-4D61-ACE4-46EABB49307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54-4D61-ACE4-46EABB49307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'21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6.6666666666666666E-2</c:v>
                </c:pt>
                <c:pt idx="5">
                  <c:v>0.73333333333333328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E54-4D61-ACE4-46EABB493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4-42D3-9EB2-E6678BD3C9D2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74-42D3-9EB2-E6678BD3C9D2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74-42D3-9EB2-E6678BD3C9D2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74-42D3-9EB2-E6678BD3C9D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D74-42D3-9EB2-E6678BD3C9D2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74-42D3-9EB2-E6678BD3C9D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D74-42D3-9EB2-E6678BD3C9D2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D74-42D3-9EB2-E6678BD3C9D2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D74-42D3-9EB2-E6678BD3C9D2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D74-42D3-9EB2-E6678BD3C9D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74-42D3-9EB2-E6678BD3C9D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74-42D3-9EB2-E6678BD3C9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74-42D3-9EB2-E6678BD3C9D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74-42D3-9EB2-E6678BD3C9D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74-42D3-9EB2-E6678BD3C9D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74-42D3-9EB2-E6678BD3C9D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74-42D3-9EB2-E6678BD3C9D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74-42D3-9EB2-E6678BD3C9D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74-42D3-9EB2-E6678BD3C9D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'28 03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'28 03 2022'!$L$5:$L$14</c:f>
              <c:numCache>
                <c:formatCode>0%</c:formatCode>
                <c:ptCount val="10"/>
                <c:pt idx="0">
                  <c:v>0</c:v>
                </c:pt>
                <c:pt idx="1">
                  <c:v>7.1428571428571425E-2</c:v>
                </c:pt>
                <c:pt idx="2">
                  <c:v>0</c:v>
                </c:pt>
                <c:pt idx="3">
                  <c:v>0</c:v>
                </c:pt>
                <c:pt idx="4">
                  <c:v>7.1428571428571425E-2</c:v>
                </c:pt>
                <c:pt idx="5">
                  <c:v>0.7857142857142857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74-42D3-9EB2-E6678BD3C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7B-40C0-85A8-6AA55F83C32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7B-40C0-85A8-6AA55F83C320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7B-40C0-85A8-6AA55F83C320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7B-40C0-85A8-6AA55F83C32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7B-40C0-85A8-6AA55F83C320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7B-40C0-85A8-6AA55F83C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7B-40C0-85A8-6AA55F83C320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B-40C0-85A8-6AA55F83C320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87B-40C0-85A8-6AA55F83C320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87B-40C0-85A8-6AA55F83C32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7B-40C0-85A8-6AA55F83C32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7B-40C0-85A8-6AA55F83C32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7B-40C0-85A8-6AA55F83C32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7B-40C0-85A8-6AA55F83C32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7B-40C0-85A8-6AA55F83C32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7B-40C0-85A8-6AA55F83C32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7B-40C0-85A8-6AA55F83C32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7B-40C0-85A8-6AA55F83C32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87B-40C0-85A8-6AA55F83C32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'04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'04 04 2022'!$L$5:$L$14</c:f>
              <c:numCache>
                <c:formatCode>0%</c:formatCode>
                <c:ptCount val="10"/>
                <c:pt idx="0">
                  <c:v>0</c:v>
                </c:pt>
                <c:pt idx="1">
                  <c:v>5.8823529411764705E-2</c:v>
                </c:pt>
                <c:pt idx="2">
                  <c:v>0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0.6470588235294118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7B-40C0-85A8-6AA55F83C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Problemas </a:t>
            </a:r>
            <a:r>
              <a:rPr lang="pt-BR" b="1" u="sng" baseline="0">
                <a:solidFill>
                  <a:srgbClr val="002060"/>
                </a:solidFill>
              </a:rPr>
              <a:t> Mecânicos</a:t>
            </a:r>
            <a:endParaRPr lang="pt-BR" b="1" u="sng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6-44D0-9C4D-CEAE4066A66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6-44D0-9C4D-CEAE4066A669}"/>
              </c:ext>
            </c:extLst>
          </c:dPt>
          <c:dPt>
            <c:idx val="2"/>
            <c:bubble3D val="0"/>
            <c:spPr>
              <a:solidFill>
                <a:srgbClr val="2A91B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6-44D0-9C4D-CEAE4066A669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6-44D0-9C4D-CEAE4066A669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86-44D0-9C4D-CEAE4066A669}"/>
              </c:ext>
            </c:extLst>
          </c:dPt>
          <c:dPt>
            <c:idx val="5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86-44D0-9C4D-CEAE4066A6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E86-44D0-9C4D-CEAE4066A669}"/>
              </c:ext>
            </c:extLst>
          </c:dPt>
          <c:dPt>
            <c:idx val="7"/>
            <c:bubble3D val="0"/>
            <c:spPr>
              <a:solidFill>
                <a:srgbClr val="2457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E86-44D0-9C4D-CEAE4066A669}"/>
              </c:ext>
            </c:extLst>
          </c:dPt>
          <c:dPt>
            <c:idx val="8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E86-44D0-9C4D-CEAE4066A669}"/>
              </c:ext>
            </c:extLst>
          </c:dPt>
          <c:dPt>
            <c:idx val="9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E86-44D0-9C4D-CEAE4066A66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86-44D0-9C4D-CEAE4066A66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86-44D0-9C4D-CEAE4066A66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86-44D0-9C4D-CEAE4066A6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86-44D0-9C4D-CEAE4066A66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E86-44D0-9C4D-CEAE4066A66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86-44D0-9C4D-CEAE4066A66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E86-44D0-9C4D-CEAE4066A66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E86-44D0-9C4D-CEAE4066A6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E86-44D0-9C4D-CEAE4066A66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'11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'11 04 2022'!$L$5:$L$14</c:f>
              <c:numCache>
                <c:formatCode>0%</c:formatCode>
                <c:ptCount val="10"/>
                <c:pt idx="0">
                  <c:v>8.6956521739130432E-2</c:v>
                </c:pt>
                <c:pt idx="1">
                  <c:v>0</c:v>
                </c:pt>
                <c:pt idx="2">
                  <c:v>0</c:v>
                </c:pt>
                <c:pt idx="3">
                  <c:v>8.6956521739130432E-2</c:v>
                </c:pt>
                <c:pt idx="4">
                  <c:v>8.6956521739130432E-2</c:v>
                </c:pt>
                <c:pt idx="5">
                  <c:v>0.65217391304347827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8.6956521739130432E-2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E86-44D0-9C4D-CEAE4066A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6201570811017699"/>
          <c:y val="0.2108323230223233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C0-49D7-84C6-5A6E9FDC008E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C0-49D7-84C6-5A6E9FDC008E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C0-49D7-84C6-5A6E9FDC008E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C0-49D7-84C6-5A6E9FDC008E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C0-49D7-84C6-5A6E9FDC008E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0C0-49D7-84C6-5A6E9FDC008E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0C0-49D7-84C6-5A6E9FDC008E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0C0-49D7-84C6-5A6E9FDC008E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0C0-49D7-84C6-5A6E9FDC008E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0C0-49D7-84C6-5A6E9FDC008E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'18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'18 04 2022'!$L$5:$L$14</c:f>
              <c:numCache>
                <c:formatCode>0%</c:formatCode>
                <c:ptCount val="10"/>
                <c:pt idx="0">
                  <c:v>0.16</c:v>
                </c:pt>
                <c:pt idx="1">
                  <c:v>0.04</c:v>
                </c:pt>
                <c:pt idx="2">
                  <c:v>0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0.04</c:v>
                </c:pt>
                <c:pt idx="7">
                  <c:v>0</c:v>
                </c:pt>
                <c:pt idx="8">
                  <c:v>0.24</c:v>
                </c:pt>
                <c:pt idx="9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0C0-49D7-84C6-5A6E9FDC00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D-46A2-90F8-BB1FA2F54FC4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D-46A2-90F8-BB1FA2F54FC4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BD-46A2-90F8-BB1FA2F54FC4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BD-46A2-90F8-BB1FA2F54FC4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BD-46A2-90F8-BB1FA2F54FC4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BD-46A2-90F8-BB1FA2F54FC4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5BD-46A2-90F8-BB1FA2F54FC4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5BD-46A2-90F8-BB1FA2F54FC4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5BD-46A2-90F8-BB1FA2F54FC4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5BD-46A2-90F8-BB1FA2F54FC4}"/>
              </c:ext>
            </c:extLst>
          </c:dPt>
          <c:dLbls>
            <c:dLbl>
              <c:idx val="0"/>
              <c:layout>
                <c:manualLayout>
                  <c:x val="-4.2328817339041244E-2"/>
                  <c:y val="-2.35635179015640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BD-46A2-90F8-BB1FA2F54FC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BD-46A2-90F8-BB1FA2F54FC4}"/>
                </c:ext>
              </c:extLst>
            </c:dLbl>
            <c:dLbl>
              <c:idx val="4"/>
              <c:layout>
                <c:manualLayout>
                  <c:x val="4.3399050312965044E-2"/>
                  <c:y val="1.925428259764153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BD-46A2-90F8-BB1FA2F54FC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BD-46A2-90F8-BB1FA2F54FC4}"/>
                </c:ext>
              </c:extLst>
            </c:dLbl>
            <c:dLbl>
              <c:idx val="6"/>
              <c:layout>
                <c:manualLayout>
                  <c:x val="2.4435347791855307E-2"/>
                  <c:y val="-2.565971731374207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BD-46A2-90F8-BB1FA2F54FC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BD-46A2-90F8-BB1FA2F54FC4}"/>
                </c:ext>
              </c:extLst>
            </c:dLbl>
            <c:dLbl>
              <c:idx val="8"/>
              <c:layout>
                <c:manualLayout>
                  <c:x val="1.1781519551686201E-3"/>
                  <c:y val="-8.6480094017761251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BD-46A2-90F8-BB1FA2F54FC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BD-46A2-90F8-BB1FA2F54F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'25 04 2022'!$L$5:$L$14</c:f>
              <c:numCache>
                <c:formatCode>0%</c:formatCode>
                <c:ptCount val="10"/>
                <c:pt idx="0">
                  <c:v>0.10714285714285714</c:v>
                </c:pt>
                <c:pt idx="1">
                  <c:v>0</c:v>
                </c:pt>
                <c:pt idx="2">
                  <c:v>3.5714285714285712E-2</c:v>
                </c:pt>
                <c:pt idx="3">
                  <c:v>7.1428571428571425E-2</c:v>
                </c:pt>
                <c:pt idx="4">
                  <c:v>3.5714285714285712E-2</c:v>
                </c:pt>
                <c:pt idx="5">
                  <c:v>0</c:v>
                </c:pt>
                <c:pt idx="6">
                  <c:v>0.4642857142857143</c:v>
                </c:pt>
                <c:pt idx="7">
                  <c:v>0</c:v>
                </c:pt>
                <c:pt idx="8">
                  <c:v>0.2857142857142857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5BD-46A2-90F8-BB1FA2F54F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1D-4F60-92E2-C4983D985324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1D-4F60-92E2-C4983D985324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1D-4F60-92E2-C4983D985324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1D-4F60-92E2-C4983D985324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B1D-4F60-92E2-C4983D985324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B1D-4F60-92E2-C4983D985324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B1D-4F60-92E2-C4983D985324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B1D-4F60-92E2-C4983D985324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B1D-4F60-92E2-C4983D985324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B1D-4F60-92E2-C4983D985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'02 05 2022'!$L$5:$L$14</c:f>
              <c:numCache>
                <c:formatCode>0%</c:formatCode>
                <c:ptCount val="10"/>
                <c:pt idx="0">
                  <c:v>0.125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0.3125</c:v>
                </c:pt>
                <c:pt idx="5">
                  <c:v>0</c:v>
                </c:pt>
                <c:pt idx="6">
                  <c:v>0.3125</c:v>
                </c:pt>
                <c:pt idx="7">
                  <c:v>0</c:v>
                </c:pt>
                <c:pt idx="8">
                  <c:v>0.125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1D-4F60-92E2-C4983D98532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85-49E6-A2B3-A0BE783F6FE3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085-49E6-A2B3-A0BE783F6FE3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085-49E6-A2B3-A0BE783F6FE3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085-49E6-A2B3-A0BE783F6FE3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085-49E6-A2B3-A0BE783F6FE3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085-49E6-A2B3-A0BE783F6FE3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085-49E6-A2B3-A0BE783F6FE3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085-49E6-A2B3-A0BE783F6FE3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085-49E6-A2B3-A0BE783F6FE3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085-49E6-A2B3-A0BE783F6FE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85-49E6-A2B3-A0BE783F6FE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85-49E6-A2B3-A0BE783F6FE3}"/>
                </c:ext>
              </c:extLst>
            </c:dLbl>
            <c:dLbl>
              <c:idx val="2"/>
              <c:layout>
                <c:manualLayout>
                  <c:x val="0.19368311316987322"/>
                  <c:y val="3.974312853806175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85-49E6-A2B3-A0BE783F6FE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85-49E6-A2B3-A0BE783F6FE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85-49E6-A2B3-A0BE783F6FE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085-49E6-A2B3-A0BE783F6FE3}"/>
                </c:ext>
              </c:extLst>
            </c:dLbl>
            <c:dLbl>
              <c:idx val="6"/>
              <c:layout>
                <c:manualLayout>
                  <c:x val="-0.21694052746603609"/>
                  <c:y val="-6.58535761984838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085-49E6-A2B3-A0BE783F6FE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085-49E6-A2B3-A0BE783F6FE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85-49E6-A2B3-A0BE783F6FE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085-49E6-A2B3-A0BE783F6F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'09 05 2022'!$L$5:$L$14</c:f>
              <c:numCache>
                <c:formatCode>0%</c:formatCode>
                <c:ptCount val="10"/>
                <c:pt idx="0">
                  <c:v>0.14285714285714285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0.42857142857142855</c:v>
                </c:pt>
                <c:pt idx="9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085-49E6-A2B3-A0BE783F6F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ED3-B9EB-E003D4E2D957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ED3-B9EB-E003D4E2D957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ED3-B9EB-E003D4E2D957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D5-4ED3-B9EB-E003D4E2D957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D5-4ED3-B9EB-E003D4E2D957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9D5-4ED3-B9EB-E003D4E2D957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9D5-4ED3-B9EB-E003D4E2D957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9D5-4ED3-B9EB-E003D4E2D957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9D5-4ED3-B9EB-E003D4E2D957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9D5-4ED3-B9EB-E003D4E2D95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ED3-B9EB-E003D4E2D95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D5-4ED3-B9EB-E003D4E2D957}"/>
                </c:ext>
              </c:extLst>
            </c:dLbl>
            <c:dLbl>
              <c:idx val="2"/>
              <c:layout>
                <c:manualLayout>
                  <c:x val="5.6516121872424809E-2"/>
                  <c:y val="-1.719817154865566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ED3-B9EB-E003D4E2D95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D5-4ED3-B9EB-E003D4E2D95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D5-4ED3-B9EB-E003D4E2D95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D5-4ED3-B9EB-E003D4E2D95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D5-4ED3-B9EB-E003D4E2D95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9D5-4ED3-B9EB-E003D4E2D95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9D5-4ED3-B9EB-E003D4E2D95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D5-4ED3-B9EB-E003D4E2D9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'16 05 2022 '!$L$5:$L$14</c:f>
              <c:numCache>
                <c:formatCode>0%</c:formatCode>
                <c:ptCount val="10"/>
                <c:pt idx="0">
                  <c:v>0.42857142857142855</c:v>
                </c:pt>
                <c:pt idx="1">
                  <c:v>0</c:v>
                </c:pt>
                <c:pt idx="2">
                  <c:v>0.2857142857142857</c:v>
                </c:pt>
                <c:pt idx="3">
                  <c:v>0.14285714285714285</c:v>
                </c:pt>
                <c:pt idx="4">
                  <c:v>0.14285714285714285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D5-4ED3-B9EB-E003D4E2D9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C5-40FB-A730-54DF858F207D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C5-40FB-A730-54DF858F207D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C5-40FB-A730-54DF858F207D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C5-40FB-A730-54DF858F207D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C5-40FB-A730-54DF858F207D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2C5-40FB-A730-54DF858F207D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2C5-40FB-A730-54DF858F207D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2C5-40FB-A730-54DF858F207D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2C5-40FB-A730-54DF858F207D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2C5-40FB-A730-54DF858F207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C5-40FB-A730-54DF858F207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C5-40FB-A730-54DF858F207D}"/>
                </c:ext>
              </c:extLst>
            </c:dLbl>
            <c:dLbl>
              <c:idx val="2"/>
              <c:layout>
                <c:manualLayout>
                  <c:x val="5.6516121872424809E-2"/>
                  <c:y val="-1.719817154865566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C5-40FB-A730-54DF858F20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C5-40FB-A730-54DF858F20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C5-40FB-A730-54DF858F207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C5-40FB-A730-54DF858F207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2C5-40FB-A730-54DF858F207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2C5-40FB-A730-54DF858F207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2C5-40FB-A730-54DF858F207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2C5-40FB-A730-54DF858F2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'23 05 2022  '!$L$5:$L$14</c:f>
              <c:numCache>
                <c:formatCode>0%</c:formatCode>
                <c:ptCount val="10"/>
                <c:pt idx="0">
                  <c:v>0.2</c:v>
                </c:pt>
                <c:pt idx="1">
                  <c:v>0.1</c:v>
                </c:pt>
                <c:pt idx="2">
                  <c:v>0.05</c:v>
                </c:pt>
                <c:pt idx="3">
                  <c:v>0.2</c:v>
                </c:pt>
                <c:pt idx="4">
                  <c:v>0.05</c:v>
                </c:pt>
                <c:pt idx="5">
                  <c:v>0</c:v>
                </c:pt>
                <c:pt idx="6">
                  <c:v>0.35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2C5-40FB-A730-54DF858F207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3A-4A14-9A05-13B32D096D0B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3A-4A14-9A05-13B32D096D0B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3A-4A14-9A05-13B32D096D0B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3A-4A14-9A05-13B32D096D0B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3A-4A14-9A05-13B32D096D0B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3A-4A14-9A05-13B32D096D0B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3A-4A14-9A05-13B32D096D0B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3A-4A14-9A05-13B32D096D0B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73A-4A14-9A05-13B32D096D0B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73A-4A14-9A05-13B32D096D0B}"/>
              </c:ext>
            </c:extLst>
          </c:dPt>
          <c:dLbls>
            <c:delete val="1"/>
          </c:dLbls>
          <c:cat>
            <c:strRef>
              <c:f>'30 05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'30 05 2022   '!$L$5:$L$14</c:f>
              <c:numCache>
                <c:formatCode>0%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73A-4A14-9A05-13B32D096D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C9-4721-8B6F-F397AF2F92F5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C9-4721-8B6F-F397AF2F92F5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C9-4721-8B6F-F397AF2F92F5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C9-4721-8B6F-F397AF2F92F5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C9-4721-8B6F-F397AF2F92F5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3C9-4721-8B6F-F397AF2F92F5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3C9-4721-8B6F-F397AF2F92F5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3C9-4721-8B6F-F397AF2F92F5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3C9-4721-8B6F-F397AF2F92F5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3C9-4721-8B6F-F397AF2F92F5}"/>
              </c:ext>
            </c:extLst>
          </c:dPt>
          <c:dLbls>
            <c:delete val="1"/>
          </c:dLbls>
          <c:cat>
            <c:strRef>
              <c:f>'06 06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'06 06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C9-4721-8B6F-F397AF2F92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9A-4FA2-888A-FE8B39BC5EAD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9A-4FA2-888A-FE8B39BC5EAD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9A-4FA2-888A-FE8B39BC5EAD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9A-4FA2-888A-FE8B39BC5EAD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99A-4FA2-888A-FE8B39BC5EAD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9A-4FA2-888A-FE8B39BC5EAD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9A-4FA2-888A-FE8B39BC5EAD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99A-4FA2-888A-FE8B39BC5EAD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99A-4FA2-888A-FE8B39BC5EAD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99A-4FA2-888A-FE8B39BC5EAD}"/>
              </c:ext>
            </c:extLst>
          </c:dPt>
          <c:dLbls>
            <c:delete val="1"/>
          </c:dLbls>
          <c:cat>
            <c:strRef>
              <c:f>'13 06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'13 06 2022   '!$L$5:$L$14</c:f>
              <c:numCache>
                <c:formatCode>0%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99A-4FA2-888A-FE8B39BC5E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DC-4E8B-BF2A-DB5FD7D7A5A2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DC-4E8B-BF2A-DB5FD7D7A5A2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DC-4E8B-BF2A-DB5FD7D7A5A2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DC-4E8B-BF2A-DB5FD7D7A5A2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DC-4E8B-BF2A-DB5FD7D7A5A2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DC-4E8B-BF2A-DB5FD7D7A5A2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2DC-4E8B-BF2A-DB5FD7D7A5A2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2DC-4E8B-BF2A-DB5FD7D7A5A2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2DC-4E8B-BF2A-DB5FD7D7A5A2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2DC-4E8B-BF2A-DB5FD7D7A5A2}"/>
              </c:ext>
            </c:extLst>
          </c:dPt>
          <c:dLbls>
            <c:delete val="1"/>
          </c:dLbls>
          <c:cat>
            <c:strRef>
              <c:f>'20 06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'20 06 2022   '!$L$5:$L$14</c:f>
              <c:numCache>
                <c:formatCode>0%</c:formatCode>
                <c:ptCount val="10"/>
                <c:pt idx="0">
                  <c:v>0.375</c:v>
                </c:pt>
                <c:pt idx="1">
                  <c:v>0</c:v>
                </c:pt>
                <c:pt idx="2">
                  <c:v>0.125</c:v>
                </c:pt>
                <c:pt idx="3">
                  <c:v>0</c:v>
                </c:pt>
                <c:pt idx="4">
                  <c:v>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2DC-4E8B-BF2A-DB5FD7D7A5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BE-4FF1-811A-A06CF9CF6596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BE-4FF1-811A-A06CF9CF6596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BE-4FF1-811A-A06CF9CF6596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BE-4FF1-811A-A06CF9CF6596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BE-4FF1-811A-A06CF9CF6596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2BE-4FF1-811A-A06CF9CF6596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2BE-4FF1-811A-A06CF9CF6596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2BE-4FF1-811A-A06CF9CF6596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2BE-4FF1-811A-A06CF9CF6596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2BE-4FF1-811A-A06CF9CF6596}"/>
              </c:ext>
            </c:extLst>
          </c:dPt>
          <c:dLbls>
            <c:delete val="1"/>
          </c:dLbls>
          <c:cat>
            <c:strRef>
              <c:f>'27 06 2022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'27 06 2022  '!$L$5:$L$14</c:f>
              <c:numCache>
                <c:formatCode>0%</c:formatCode>
                <c:ptCount val="10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2BE-4FF1-811A-A06CF9CF65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82-4132-96A2-DA878CB750B8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82-4132-96A2-DA878CB750B8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82-4132-96A2-DA878CB750B8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682-4132-96A2-DA878CB750B8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682-4132-96A2-DA878CB750B8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682-4132-96A2-DA878CB750B8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682-4132-96A2-DA878CB750B8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682-4132-96A2-DA878CB750B8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682-4132-96A2-DA878CB750B8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682-4132-96A2-DA878CB750B8}"/>
              </c:ext>
            </c:extLst>
          </c:dPt>
          <c:dLbls>
            <c:delete val="1"/>
          </c:dLbls>
          <c:cat>
            <c:strRef>
              <c:f>'04 07 2022'!$J$5:$J$14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'04 07 2022'!$L$5:$L$14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682-4132-96A2-DA878CB750B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7A-4FEF-B628-C582378B1DFC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7A-4FEF-B628-C582378B1DFC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7A-4FEF-B628-C582378B1DFC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7A-4FEF-B628-C582378B1DFC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7A-4FEF-B628-C582378B1DFC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97A-4FEF-B628-C582378B1DFC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97A-4FEF-B628-C582378B1DFC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97A-4FEF-B628-C582378B1DFC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97A-4FEF-B628-C582378B1DFC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97A-4FEF-B628-C582378B1DFC}"/>
              </c:ext>
            </c:extLst>
          </c:dPt>
          <c:dLbls>
            <c:delete val="1"/>
          </c:dLbls>
          <c:cat>
            <c:strRef>
              <c:f>'11 07 2022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'11 07 2022 '!$L$5:$L$14</c:f>
              <c:numCache>
                <c:formatCode>0%</c:formatCode>
                <c:ptCount val="10"/>
                <c:pt idx="0">
                  <c:v>0.8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97A-4FEF-B628-C582378B1DF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604-44AD-B55A-1E4DE9C55075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604-44AD-B55A-1E4DE9C55075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04-44AD-B55A-1E4DE9C55075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604-44AD-B55A-1E4DE9C55075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04-44AD-B55A-1E4DE9C55075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604-44AD-B55A-1E4DE9C55075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604-44AD-B55A-1E4DE9C55075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604-44AD-B55A-1E4DE9C55075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604-44AD-B55A-1E4DE9C55075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604-44AD-B55A-1E4DE9C55075}"/>
              </c:ext>
            </c:extLst>
          </c:dPt>
          <c:dLbls>
            <c:delete val="1"/>
          </c:dLbls>
          <c:cat>
            <c:strRef>
              <c:f>'18 07 2022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'18 07 2022  '!$L$5:$L$14</c:f>
              <c:numCache>
                <c:formatCode>0%</c:formatCode>
                <c:ptCount val="10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04-44AD-B55A-1E4DE9C550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18-40C5-9125-3F0B3A0780B6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18-40C5-9125-3F0B3A0780B6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18-40C5-9125-3F0B3A0780B6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818-40C5-9125-3F0B3A0780B6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818-40C5-9125-3F0B3A0780B6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818-40C5-9125-3F0B3A0780B6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818-40C5-9125-3F0B3A0780B6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818-40C5-9125-3F0B3A0780B6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818-40C5-9125-3F0B3A0780B6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818-40C5-9125-3F0B3A0780B6}"/>
              </c:ext>
            </c:extLst>
          </c:dPt>
          <c:dLbls>
            <c:delete val="1"/>
          </c:dLbls>
          <c:cat>
            <c:strRef>
              <c:f>'25 07 2022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'25 07 2022   '!$L$5:$L$14</c:f>
              <c:numCache>
                <c:formatCode>0%</c:formatCode>
                <c:ptCount val="10"/>
                <c:pt idx="0">
                  <c:v>0.16666666666666666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0.33333333333333331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0.33333333333333331</c:v>
                </c:pt>
                <c:pt idx="9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18-40C5-9125-3F0B3A0780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F8-4EF3-95DA-32DD6C279479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F8-4EF3-95DA-32DD6C279479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AF8-4EF3-95DA-32DD6C279479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AF8-4EF3-95DA-32DD6C279479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AF8-4EF3-95DA-32DD6C279479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AF8-4EF3-95DA-32DD6C279479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AF8-4EF3-95DA-32DD6C279479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AF8-4EF3-95DA-32DD6C279479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AF8-4EF3-95DA-32DD6C279479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AF8-4EF3-95DA-32DD6C279479}"/>
              </c:ext>
            </c:extLst>
          </c:dPt>
          <c:dLbls>
            <c:delete val="1"/>
          </c:dLbls>
          <c:cat>
            <c:strRef>
              <c:f>'01 08 2022 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'01 08 2022    '!$L$5:$L$14</c:f>
              <c:numCache>
                <c:formatCode>0%</c:formatCode>
                <c:ptCount val="10"/>
                <c:pt idx="0">
                  <c:v>0.5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F8-4EF3-95DA-32DD6C2794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Problemas  Mecânicos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36909602342585"/>
          <c:y val="0.11084564292239948"/>
          <c:w val="0.49261519586639718"/>
          <c:h val="0.698615100396778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4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8E-4D0B-AD41-BA6068BE33E1}"/>
              </c:ext>
            </c:extLst>
          </c:dPt>
          <c:dPt>
            <c:idx val="1"/>
            <c:bubble3D val="0"/>
            <c:spPr>
              <a:solidFill>
                <a:schemeClr val="accent2">
                  <a:shade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8E-4D0B-AD41-BA6068BE33E1}"/>
              </c:ext>
            </c:extLst>
          </c:dPt>
          <c:dPt>
            <c:idx val="2"/>
            <c:bubble3D val="0"/>
            <c:spPr>
              <a:solidFill>
                <a:schemeClr val="accent2">
                  <a:shade val="6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8E-4D0B-AD41-BA6068BE33E1}"/>
              </c:ext>
            </c:extLst>
          </c:dPt>
          <c:dPt>
            <c:idx val="3"/>
            <c:bubble3D val="0"/>
            <c:spPr>
              <a:solidFill>
                <a:schemeClr val="accent2">
                  <a:shade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8E-4D0B-AD41-BA6068BE33E1}"/>
              </c:ext>
            </c:extLst>
          </c:dPt>
          <c:dPt>
            <c:idx val="4"/>
            <c:bubble3D val="0"/>
            <c:spPr>
              <a:solidFill>
                <a:schemeClr val="accent2">
                  <a:shade val="9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8E-4D0B-AD41-BA6068BE33E1}"/>
              </c:ext>
            </c:extLst>
          </c:dPt>
          <c:dPt>
            <c:idx val="5"/>
            <c:bubble3D val="0"/>
            <c:spPr>
              <a:solidFill>
                <a:schemeClr val="accent2">
                  <a:tint val="94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8E-4D0B-AD41-BA6068BE33E1}"/>
              </c:ext>
            </c:extLst>
          </c:dPt>
          <c:dPt>
            <c:idx val="6"/>
            <c:bubble3D val="0"/>
            <c:spPr>
              <a:solidFill>
                <a:schemeClr val="accent2">
                  <a:tint val="81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A8E-4D0B-AD41-BA6068BE33E1}"/>
              </c:ext>
            </c:extLst>
          </c:dPt>
          <c:dPt>
            <c:idx val="7"/>
            <c:bubble3D val="0"/>
            <c:spPr>
              <a:solidFill>
                <a:schemeClr val="accent2">
                  <a:tint val="69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A8E-4D0B-AD41-BA6068BE33E1}"/>
              </c:ext>
            </c:extLst>
          </c:dPt>
          <c:dPt>
            <c:idx val="8"/>
            <c:bubble3D val="0"/>
            <c:spPr>
              <a:solidFill>
                <a:schemeClr val="accent2">
                  <a:tint val="5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A8E-4D0B-AD41-BA6068BE33E1}"/>
              </c:ext>
            </c:extLst>
          </c:dPt>
          <c:dPt>
            <c:idx val="9"/>
            <c:bubble3D val="0"/>
            <c:spPr>
              <a:solidFill>
                <a:schemeClr val="accent2">
                  <a:tint val="4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A8E-4D0B-AD41-BA6068BE33E1}"/>
              </c:ext>
            </c:extLst>
          </c:dPt>
          <c:dLbls>
            <c:delete val="1"/>
          </c:dLbls>
          <c:cat>
            <c:strRef>
              <c:f>'08 08 2022     '!$J$5:$J$14</c:f>
              <c:strCache>
                <c:ptCount val="10"/>
                <c:pt idx="0">
                  <c:v>Redutor</c:v>
                </c:pt>
                <c:pt idx="1">
                  <c:v>Motorredutor</c:v>
                </c:pt>
                <c:pt idx="2">
                  <c:v>Castanha</c:v>
                </c:pt>
                <c:pt idx="3">
                  <c:v>Vedação</c:v>
                </c:pt>
                <c:pt idx="4">
                  <c:v>Pneu</c:v>
                </c:pt>
                <c:pt idx="5">
                  <c:v>Estrutura</c:v>
                </c:pt>
                <c:pt idx="6">
                  <c:v>Bomba/Sucção</c:v>
                </c:pt>
                <c:pt idx="7">
                  <c:v>Mangote</c:v>
                </c:pt>
                <c:pt idx="8">
                  <c:v>Canal/Reservatório</c:v>
                </c:pt>
                <c:pt idx="9">
                  <c:v>Adutora</c:v>
                </c:pt>
              </c:strCache>
            </c:strRef>
          </c:cat>
          <c:val>
            <c:numRef>
              <c:f>'08 08 2022     '!$L$5:$L$14</c:f>
              <c:numCache>
                <c:formatCode>0%</c:formatCode>
                <c:ptCount val="10"/>
                <c:pt idx="0">
                  <c:v>0.25</c:v>
                </c:pt>
                <c:pt idx="1">
                  <c:v>0.25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8E-4D0B-AD41-BA6068BE33E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Mecânicos Atualizado.xlsx]Analise Semanal!Analise1b</c:name>
    <c:fmtId val="5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Semanal'!$E$3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Semanal'!$D$4</c:f>
              <c:strCache>
                <c:ptCount val="1"/>
                <c:pt idx="0">
                  <c:v>Adutora</c:v>
                </c:pt>
              </c:strCache>
            </c:strRef>
          </c:cat>
          <c:val>
            <c:numRef>
              <c:f>'Analise Semanal'!$E$4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4E4E-8244-104F2FB0A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2002383"/>
        <c:axId val="1504926143"/>
      </c:barChart>
      <c:catAx>
        <c:axId val="153200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926143"/>
        <c:crosses val="autoZero"/>
        <c:auto val="1"/>
        <c:lblAlgn val="ctr"/>
        <c:lblOffset val="100"/>
        <c:noMultiLvlLbl val="0"/>
      </c:catAx>
      <c:valAx>
        <c:axId val="1504926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20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[Indicadores Mecânicos Atualizado.xlsx]Analise Semanal!Analise1</c:name>
    <c:fmtId val="1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5.8167579352379199E-2"/>
              <c:y val="-1.8373767468255576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2.939786613667832E-2"/>
              <c:y val="-4.3042491310207806E-2"/>
            </c:manualLayout>
          </c:layout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tint val="4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0741647899430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2695883265113778"/>
                  <c:h val="0.17690056270641447"/>
                </c:manualLayout>
              </c15:layout>
            </c:ext>
          </c:extLst>
        </c:dLbl>
      </c:pivotFmt>
      <c:pivotFmt>
        <c:idx val="27"/>
        <c:spPr>
          <a:solidFill>
            <a:schemeClr val="accent1">
              <a:tint val="8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</c:pivotFmt>
      <c:pivotFmt>
        <c:idx val="29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>
              <a:shade val="4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7459986082115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588189524326163"/>
          <c:y val="0.146140570067118"/>
          <c:w val="0.43380336330610031"/>
          <c:h val="0.76675945027166803"/>
        </c:manualLayout>
      </c:layout>
      <c:pieChart>
        <c:varyColors val="1"/>
        <c:ser>
          <c:idx val="0"/>
          <c:order val="0"/>
          <c:tx>
            <c:strRef>
              <c:f>'Analise Semanal'!$B$3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2E-4B97-B760-3AA5139112B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2E-4B97-B760-3AA5139112BD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2E-4B97-B760-3AA5139112BD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2E-4B97-B760-3AA5139112BD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2E-4B97-B760-3AA5139112BD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32E-4B97-B760-3AA5139112BD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32E-4B97-B760-3AA5139112BD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32E-4B97-B760-3AA5139112BD}"/>
              </c:ext>
            </c:extLst>
          </c:dPt>
          <c:dPt>
            <c:idx val="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2E-4B97-B760-3AA5139112BD}"/>
              </c:ext>
            </c:extLst>
          </c:dPt>
          <c:dPt>
            <c:idx val="9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32E-4B97-B760-3AA5139112BD}"/>
              </c:ext>
            </c:extLst>
          </c:dPt>
          <c:dLbls>
            <c:dLbl>
              <c:idx val="0"/>
              <c:layout>
                <c:manualLayout>
                  <c:x val="0.14474599860821155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2E-4B97-B760-3AA5139112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Semanal'!$A$4</c:f>
              <c:strCache>
                <c:ptCount val="1"/>
                <c:pt idx="0">
                  <c:v>Adutora</c:v>
                </c:pt>
              </c:strCache>
            </c:strRef>
          </c:cat>
          <c:val>
            <c:numRef>
              <c:f>'Analise Semanal'!$B$4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2E-4B97-B760-3AA5139112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 Mecânicos Atualizado.xlsx]Analise Anual!Analise2b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Anual'!$E$3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'Analise Anual'!$D$4:$D$11</c:f>
              <c:strCache>
                <c:ptCount val="8"/>
                <c:pt idx="0">
                  <c:v>Adutora</c:v>
                </c:pt>
                <c:pt idx="1">
                  <c:v>Bomba/Sucção</c:v>
                </c:pt>
                <c:pt idx="2">
                  <c:v>Canal/Reservatório</c:v>
                </c:pt>
                <c:pt idx="3">
                  <c:v>Castanha</c:v>
                </c:pt>
                <c:pt idx="4">
                  <c:v>Mangote</c:v>
                </c:pt>
                <c:pt idx="5">
                  <c:v>Motorredutor</c:v>
                </c:pt>
                <c:pt idx="6">
                  <c:v>Pneu</c:v>
                </c:pt>
                <c:pt idx="7">
                  <c:v>Redutor</c:v>
                </c:pt>
              </c:strCache>
            </c:strRef>
          </c:cat>
          <c:val>
            <c:numRef>
              <c:f>'Analise Anual'!$E$4:$E$11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73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5-4DFD-A2C7-478DED9732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38569743"/>
        <c:axId val="1538570159"/>
      </c:barChart>
      <c:catAx>
        <c:axId val="153856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8570159"/>
        <c:crosses val="autoZero"/>
        <c:auto val="1"/>
        <c:lblAlgn val="ctr"/>
        <c:lblOffset val="100"/>
        <c:noMultiLvlLbl val="0"/>
      </c:catAx>
      <c:valAx>
        <c:axId val="1538570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856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[Indicadores Mecânicos Atualizado.xlsx]Analise Anual!Analise2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shade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205161854768154E-2"/>
              <c:y val="-6.47739865850102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shade val="5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4223534558180227E-3"/>
              <c:y val="-4.75637941090696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shade val="6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596347331583552E-3"/>
              <c:y val="6.32874015748031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shade val="7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5066163604549429E-2"/>
              <c:y val="-3.07742782152230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shade val="8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351377952755906E-2"/>
              <c:y val="1.52985564304461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shade val="9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743985126859143E-2"/>
              <c:y val="-2.8326407115777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tint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>
              <a:tint val="8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354451006124237E-2"/>
              <c:y val="-2.53076698745990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tint val="7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423228346456695E-2"/>
              <c:y val="-0.1542920676582093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tint val="6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94510061242345E-2"/>
              <c:y val="5.4418562263050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tint val="5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>
              <a:tint val="41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9529746281714791E-4"/>
              <c:y val="-5.22138378536016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shade val="41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2222222222222119E-2"/>
              <c:y val="4.8042771351018844E-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99999999999991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shade val="8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66081176037218E-2"/>
              <c:y val="3.6184232745733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shade val="93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>
              <a:tint val="89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999999999999897E-2"/>
              <c:y val="3.35429596026890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61901181654359E-2"/>
              <c:y val="-1.41123520408979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296906367084E-2"/>
              <c:y val="-5.078470095330189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>
              <a:tint val="42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'Analise Anual'!$B$3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44-4AC6-A4C5-28A598C47BE8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44-4AC6-A4C5-28A598C47BE8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44-4AC6-A4C5-28A598C47BE8}"/>
              </c:ext>
            </c:extLst>
          </c:dPt>
          <c:dPt>
            <c:idx val="3"/>
            <c:bubble3D val="0"/>
            <c:spPr>
              <a:solidFill>
                <a:schemeClr val="accent1">
                  <a:shade val="8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44-4AC6-A4C5-28A598C47BE8}"/>
              </c:ext>
            </c:extLst>
          </c:dPt>
          <c:dPt>
            <c:idx val="4"/>
            <c:bubble3D val="0"/>
            <c:spPr>
              <a:solidFill>
                <a:schemeClr val="accent1">
                  <a:tint val="8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44-4AC6-A4C5-28A598C47BE8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44-4AC6-A4C5-28A598C47BE8}"/>
              </c:ext>
            </c:extLst>
          </c:dPt>
          <c:dPt>
            <c:idx val="6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44-4AC6-A4C5-28A598C47BE8}"/>
              </c:ext>
            </c:extLst>
          </c:dPt>
          <c:dPt>
            <c:idx val="7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44-4AC6-A4C5-28A598C47BE8}"/>
              </c:ext>
            </c:extLst>
          </c:dPt>
          <c:dPt>
            <c:idx val="8"/>
            <c:bubble3D val="0"/>
            <c:spPr>
              <a:solidFill>
                <a:schemeClr val="accent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744-4AC6-A4C5-28A598C47BE8}"/>
              </c:ext>
            </c:extLst>
          </c:dPt>
          <c:dPt>
            <c:idx val="9"/>
            <c:bubble3D val="0"/>
            <c:spPr>
              <a:solidFill>
                <a:schemeClr val="accent1">
                  <a:tint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44-4AC6-A4C5-28A598C47BE8}"/>
              </c:ext>
            </c:extLst>
          </c:dPt>
          <c:dPt>
            <c:idx val="10"/>
            <c:bubble3D val="0"/>
            <c:spPr>
              <a:solidFill>
                <a:schemeClr val="accent1">
                  <a:tint val="9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744-4AC6-A4C5-28A598C47BE8}"/>
              </c:ext>
            </c:extLst>
          </c:dPt>
          <c:dLbls>
            <c:dLbl>
              <c:idx val="2"/>
              <c:layout>
                <c:manualLayout>
                  <c:x val="0.17499999999999991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44-4AC6-A4C5-28A598C47BE8}"/>
                </c:ext>
              </c:extLst>
            </c:dLbl>
            <c:dLbl>
              <c:idx val="3"/>
              <c:layout>
                <c:manualLayout>
                  <c:x val="3.3366081176037218E-2"/>
                  <c:y val="3.6184232745733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44-4AC6-A4C5-28A598C47BE8}"/>
                </c:ext>
              </c:extLst>
            </c:dLbl>
            <c:dLbl>
              <c:idx val="4"/>
              <c:layout>
                <c:manualLayout>
                  <c:x val="2.4999999999999897E-2"/>
                  <c:y val="3.35429596026890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44-4AC6-A4C5-28A598C47BE8}"/>
                </c:ext>
              </c:extLst>
            </c:dLbl>
            <c:dLbl>
              <c:idx val="5"/>
              <c:layout>
                <c:manualLayout>
                  <c:x val="-5.8361901181654359E-2"/>
                  <c:y val="-1.41123520408979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44-4AC6-A4C5-28A598C47BE8}"/>
                </c:ext>
              </c:extLst>
            </c:dLbl>
            <c:dLbl>
              <c:idx val="6"/>
              <c:layout>
                <c:manualLayout>
                  <c:x val="-3.3333296906367084E-2"/>
                  <c:y val="-5.078470095330189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44-4AC6-A4C5-28A598C47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'Analise Anual'!$A$4:$A$11</c:f>
              <c:strCache>
                <c:ptCount val="8"/>
                <c:pt idx="0">
                  <c:v>Adutora</c:v>
                </c:pt>
                <c:pt idx="1">
                  <c:v>Bomba/Sucção</c:v>
                </c:pt>
                <c:pt idx="2">
                  <c:v>Canal/Reservatório</c:v>
                </c:pt>
                <c:pt idx="3">
                  <c:v>Castanha</c:v>
                </c:pt>
                <c:pt idx="4">
                  <c:v>Mangote</c:v>
                </c:pt>
                <c:pt idx="5">
                  <c:v>Motorredutor</c:v>
                </c:pt>
                <c:pt idx="6">
                  <c:v>Pneu</c:v>
                </c:pt>
                <c:pt idx="7">
                  <c:v>Redutor</c:v>
                </c:pt>
              </c:strCache>
            </c:strRef>
          </c:cat>
          <c:val>
            <c:numRef>
              <c:f>'Analise Anual'!$B$4:$B$11</c:f>
              <c:numCache>
                <c:formatCode>0.00%</c:formatCode>
                <c:ptCount val="8"/>
                <c:pt idx="0">
                  <c:v>9.0909090909090912E-2</c:v>
                </c:pt>
                <c:pt idx="1">
                  <c:v>9.9173553719008267E-2</c:v>
                </c:pt>
                <c:pt idx="2">
                  <c:v>0.60330578512396693</c:v>
                </c:pt>
                <c:pt idx="3">
                  <c:v>2.4793388429752067E-2</c:v>
                </c:pt>
                <c:pt idx="4">
                  <c:v>4.9586776859504134E-2</c:v>
                </c:pt>
                <c:pt idx="5">
                  <c:v>4.1322314049586778E-2</c:v>
                </c:pt>
                <c:pt idx="6">
                  <c:v>1.6528925619834711E-2</c:v>
                </c:pt>
                <c:pt idx="7">
                  <c:v>7.43801652892562E-2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08-41FA-B0B9-850ED7F00A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2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Acumulado!A1"/><Relationship Id="rId1" Type="http://schemas.openxmlformats.org/officeDocument/2006/relationships/chart" Target="../charts/chart2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'Dashboard de Indicadores'!A1"/><Relationship Id="rId1" Type="http://schemas.openxmlformats.org/officeDocument/2006/relationships/chart" Target="../charts/chart24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'Dashboard de Indicadores'!A1"/><Relationship Id="rId1" Type="http://schemas.openxmlformats.org/officeDocument/2006/relationships/chart" Target="../charts/chart25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'Dashboard de Indicadores'!A1"/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'Dashboard de Indicadores'!A1"/><Relationship Id="rId1" Type="http://schemas.openxmlformats.org/officeDocument/2006/relationships/chart" Target="../charts/chart27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'Dashboard de Indicadores'!A1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image" Target="../media/image1.png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15</xdr:row>
      <xdr:rowOff>0</xdr:rowOff>
    </xdr:from>
    <xdr:to>
      <xdr:col>18</xdr:col>
      <xdr:colOff>314325</xdr:colOff>
      <xdr:row>30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A0A0AF-2C43-4D87-831A-A1774B7D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15</xdr:row>
      <xdr:rowOff>14286</xdr:rowOff>
    </xdr:from>
    <xdr:to>
      <xdr:col>8</xdr:col>
      <xdr:colOff>590550</xdr:colOff>
      <xdr:row>31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17722BE-21E7-4DE3-A38E-1DF95956A6D4}"/>
            </a:ext>
            <a:ext uri="{147F2762-F138-4A5C-976F-8EAC2B608ADB}">
              <a16:predDERef xmlns:a16="http://schemas.microsoft.com/office/drawing/2014/main" pred="{B1A0A0AF-2C43-4D87-831A-A1774B7DA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302130</xdr:colOff>
      <xdr:row>2</xdr:row>
      <xdr:rowOff>66001</xdr:rowOff>
    </xdr:from>
    <xdr:to>
      <xdr:col>24</xdr:col>
      <xdr:colOff>2838</xdr:colOff>
      <xdr:row>21</xdr:row>
      <xdr:rowOff>100965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7E84D85-5111-41C3-8746-F4700CF1E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50DE03-9DA7-46C9-9F80-193D59F498AD}"/>
            </a:ext>
          </a:extLst>
        </xdr:cNvPr>
        <xdr:cNvSpPr/>
      </xdr:nvSpPr>
      <xdr:spPr>
        <a:xfrm>
          <a:off x="13116427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406905</xdr:colOff>
      <xdr:row>2</xdr:row>
      <xdr:rowOff>46951</xdr:rowOff>
    </xdr:from>
    <xdr:to>
      <xdr:col>21</xdr:col>
      <xdr:colOff>212388</xdr:colOff>
      <xdr:row>21</xdr:row>
      <xdr:rowOff>81915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99D758-DF1F-4DD6-A3EF-50252DBDE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3E0087-584B-4142-9C98-491ECD4B28B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254505</xdr:colOff>
      <xdr:row>2</xdr:row>
      <xdr:rowOff>142201</xdr:rowOff>
    </xdr:from>
    <xdr:to>
      <xdr:col>20</xdr:col>
      <xdr:colOff>564813</xdr:colOff>
      <xdr:row>21</xdr:row>
      <xdr:rowOff>177165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C9ACD-584D-47C9-B1D2-FFB7CCC24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0607D5-B224-4F13-A64F-1DDCB8D16AE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578355</xdr:colOff>
      <xdr:row>3</xdr:row>
      <xdr:rowOff>123151</xdr:rowOff>
    </xdr:from>
    <xdr:to>
      <xdr:col>21</xdr:col>
      <xdr:colOff>279063</xdr:colOff>
      <xdr:row>22</xdr:row>
      <xdr:rowOff>167640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7295AC-22AA-4D37-A4D6-A78807B9A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67D55C-EAF0-4E9F-843F-38D80235D14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44955</xdr:colOff>
      <xdr:row>2</xdr:row>
      <xdr:rowOff>170776</xdr:rowOff>
    </xdr:from>
    <xdr:to>
      <xdr:col>22</xdr:col>
      <xdr:colOff>355263</xdr:colOff>
      <xdr:row>22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673053-23E9-4800-A429-905E64CE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5BBD5C-A7BE-4752-A23B-53B0ABF5FC06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235455</xdr:colOff>
      <xdr:row>2</xdr:row>
      <xdr:rowOff>75526</xdr:rowOff>
    </xdr:from>
    <xdr:to>
      <xdr:col>22</xdr:col>
      <xdr:colOff>545763</xdr:colOff>
      <xdr:row>21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12113D-EC2A-4A14-9E42-770D26DD3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D93735-6E4E-4144-8A8B-C33A8F49DB9C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454530</xdr:colOff>
      <xdr:row>8</xdr:row>
      <xdr:rowOff>85051</xdr:rowOff>
    </xdr:from>
    <xdr:to>
      <xdr:col>21</xdr:col>
      <xdr:colOff>260013</xdr:colOff>
      <xdr:row>27</xdr:row>
      <xdr:rowOff>139065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7FA33ED-3F25-4141-B201-D7FB66B74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4C6E0D-08DE-4BDE-B72A-DD02386DE008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578355</xdr:colOff>
      <xdr:row>3</xdr:row>
      <xdr:rowOff>180301</xdr:rowOff>
    </xdr:from>
    <xdr:to>
      <xdr:col>22</xdr:col>
      <xdr:colOff>279063</xdr:colOff>
      <xdr:row>23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E149A3-68CD-4665-A232-B86390CA1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BE975A-9DC0-4D10-8AFF-F88583832995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292605</xdr:colOff>
      <xdr:row>8</xdr:row>
      <xdr:rowOff>37426</xdr:rowOff>
    </xdr:from>
    <xdr:to>
      <xdr:col>22</xdr:col>
      <xdr:colOff>602913</xdr:colOff>
      <xdr:row>27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A96F38-88B3-498C-9A47-D21B7268D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A6F491-3D94-49D9-9276-A18440C7EA8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283080</xdr:colOff>
      <xdr:row>4</xdr:row>
      <xdr:rowOff>56476</xdr:rowOff>
    </xdr:from>
    <xdr:to>
      <xdr:col>25</xdr:col>
      <xdr:colOff>88563</xdr:colOff>
      <xdr:row>24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7A99B2-EC2A-40F8-857B-B33435D48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02F694-F9C8-48D2-A586-2188743709EE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6855</xdr:colOff>
      <xdr:row>7</xdr:row>
      <xdr:rowOff>132676</xdr:rowOff>
    </xdr:from>
    <xdr:to>
      <xdr:col>23</xdr:col>
      <xdr:colOff>317163</xdr:colOff>
      <xdr:row>27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B2CA49-7A56-4B33-AD25-2DFD95784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40ACD5-A386-49E2-97C4-B0A453DC03BC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568830</xdr:colOff>
      <xdr:row>2</xdr:row>
      <xdr:rowOff>123151</xdr:rowOff>
    </xdr:from>
    <xdr:to>
      <xdr:col>23</xdr:col>
      <xdr:colOff>374313</xdr:colOff>
      <xdr:row>22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C37E72-E2EF-4D5A-9FFB-01C4D089D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4DF118-F494-45D3-BA5D-F83D19139CAD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321180</xdr:colOff>
      <xdr:row>12</xdr:row>
      <xdr:rowOff>18376</xdr:rowOff>
    </xdr:from>
    <xdr:to>
      <xdr:col>22</xdr:col>
      <xdr:colOff>21888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3773AA-C53D-4138-89F1-B3AC6BD31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09F06B-5D2B-4F78-915C-B2EFE9D5A360}"/>
            </a:ext>
            <a:ext uri="{147F2762-F138-4A5C-976F-8EAC2B608ADB}">
              <a16:predDERef xmlns:a16="http://schemas.microsoft.com/office/drawing/2014/main" pred="{AD3773AA-C53D-4138-89F1-B3AC6BD313B9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530730</xdr:colOff>
      <xdr:row>6</xdr:row>
      <xdr:rowOff>94576</xdr:rowOff>
    </xdr:from>
    <xdr:to>
      <xdr:col>22</xdr:col>
      <xdr:colOff>231438</xdr:colOff>
      <xdr:row>26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55DAB8-9954-4445-BC97-68FBC4D6A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9DBBB7-AD46-43E3-A42B-0A92CBEEE31F}"/>
            </a:ext>
            <a:ext uri="{147F2762-F138-4A5C-976F-8EAC2B608ADB}">
              <a16:predDERef xmlns:a16="http://schemas.microsoft.com/office/drawing/2014/main" pred="{C355DAB8-9954-4445-BC97-68FBC4D6A4B3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111630</xdr:colOff>
      <xdr:row>2</xdr:row>
      <xdr:rowOff>189826</xdr:rowOff>
    </xdr:from>
    <xdr:to>
      <xdr:col>20</xdr:col>
      <xdr:colOff>526713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3190B3F-1349-4C53-BCE0-CA9B285FE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957223-B44C-4446-BA11-C824C466BDD2}"/>
            </a:ext>
            <a:ext uri="{147F2762-F138-4A5C-976F-8EAC2B608ADB}">
              <a16:predDERef xmlns:a16="http://schemas.microsoft.com/office/drawing/2014/main" pred="{F3190B3F-1349-4C53-BCE0-CA9B285FEE45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B835C9-2D07-417B-A8C1-BE0840E75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953A52-73DC-4ED2-9C96-58AC6C8C55E7}"/>
            </a:ext>
            <a:ext uri="{147F2762-F138-4A5C-976F-8EAC2B608ADB}">
              <a16:predDERef xmlns:a16="http://schemas.microsoft.com/office/drawing/2014/main" pred="{C2B835C9-2D07-417B-A8C1-BE0840E751CB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454530</xdr:colOff>
      <xdr:row>2</xdr:row>
      <xdr:rowOff>161251</xdr:rowOff>
    </xdr:from>
    <xdr:to>
      <xdr:col>20</xdr:col>
      <xdr:colOff>155238</xdr:colOff>
      <xdr:row>22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F82D0C-4521-4016-B83C-9F2A454AD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B94792-5E3E-45D1-885F-698299CEC440}"/>
            </a:ext>
            <a:ext uri="{147F2762-F138-4A5C-976F-8EAC2B608ADB}">
              <a16:predDERef xmlns:a16="http://schemas.microsoft.com/office/drawing/2014/main" pred="{1CF82D0C-4521-4016-B83C-9F2A454AD437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530730</xdr:colOff>
      <xdr:row>9</xdr:row>
      <xdr:rowOff>94576</xdr:rowOff>
    </xdr:from>
    <xdr:to>
      <xdr:col>21</xdr:col>
      <xdr:colOff>336213</xdr:colOff>
      <xdr:row>29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0CBD0F-91D5-4BA7-8EF7-C2CCCB395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885854-924B-4695-BEC0-40217BF12B4F}"/>
            </a:ext>
            <a:ext uri="{147F2762-F138-4A5C-976F-8EAC2B608ADB}">
              <a16:predDERef xmlns:a16="http://schemas.microsoft.com/office/drawing/2014/main" pred="{D60CBD0F-91D5-4BA7-8EF7-C2CCCB3955CA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368805</xdr:colOff>
      <xdr:row>1</xdr:row>
      <xdr:rowOff>142201</xdr:rowOff>
    </xdr:from>
    <xdr:to>
      <xdr:col>21</xdr:col>
      <xdr:colOff>69513</xdr:colOff>
      <xdr:row>21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FBD8A6-D3DB-4EFB-AB39-DE838013E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3390BC-5890-47AF-BD8D-8177F6EE4661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216405</xdr:colOff>
      <xdr:row>3</xdr:row>
      <xdr:rowOff>75526</xdr:rowOff>
    </xdr:from>
    <xdr:to>
      <xdr:col>21</xdr:col>
      <xdr:colOff>21888</xdr:colOff>
      <xdr:row>23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57B5AD-4BC1-4A36-9E19-9000F05B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EFB476-C742-4403-9375-2BD5573A17A9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12828772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216405</xdr:colOff>
      <xdr:row>3</xdr:row>
      <xdr:rowOff>75526</xdr:rowOff>
    </xdr:from>
    <xdr:to>
      <xdr:col>21</xdr:col>
      <xdr:colOff>21888</xdr:colOff>
      <xdr:row>23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98BC74-792B-4092-87C2-65C68DEDB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93847</xdr:colOff>
      <xdr:row>0</xdr:row>
      <xdr:rowOff>49729</xdr:rowOff>
    </xdr:from>
    <xdr:to>
      <xdr:col>15</xdr:col>
      <xdr:colOff>514954</xdr:colOff>
      <xdr:row>1</xdr:row>
      <xdr:rowOff>109888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D002C4-2169-4040-AD07-40B51DEAD741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12933547" y="49729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Acumulado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559305</xdr:colOff>
      <xdr:row>3</xdr:row>
      <xdr:rowOff>104101</xdr:rowOff>
    </xdr:from>
    <xdr:to>
      <xdr:col>22</xdr:col>
      <xdr:colOff>364788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4A6F72-FC19-4691-88FE-1725C58D6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5862AD-8B78-48EC-8635-C746BE2E1D2B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559305</xdr:colOff>
      <xdr:row>3</xdr:row>
      <xdr:rowOff>104101</xdr:rowOff>
    </xdr:from>
    <xdr:to>
      <xdr:col>22</xdr:col>
      <xdr:colOff>364788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735EA6-3B75-45F6-B677-E5DA1E086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DB7F70-9C8D-4213-9432-930D32031E5A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559305</xdr:colOff>
      <xdr:row>3</xdr:row>
      <xdr:rowOff>104101</xdr:rowOff>
    </xdr:from>
    <xdr:to>
      <xdr:col>22</xdr:col>
      <xdr:colOff>364788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CE84EE-46DB-4920-A4D1-10BFFD4F8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23339A-EBCC-4391-86DD-7CA8BCBDC1C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559305</xdr:colOff>
      <xdr:row>3</xdr:row>
      <xdr:rowOff>104101</xdr:rowOff>
    </xdr:from>
    <xdr:to>
      <xdr:col>22</xdr:col>
      <xdr:colOff>364788</xdr:colOff>
      <xdr:row>23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40AFF7-8A43-4B50-9716-B05CD8B17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31AD5B-4941-4A50-B02C-5281283AF75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F97E69-3C27-4EA4-A6F7-A7AAA2CBC93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CBC049-1E0F-4718-B155-2874CAAA58D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6F0F3C-B83B-4465-8DEB-B30ED4152C76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B481F4-9128-493E-8B46-78F275B795CD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157210-624A-4418-A748-4D2A5F835DC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008A5-AD2D-4AD8-8442-D889034E64EA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88CA74-D231-4CE2-8995-823AE21813A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9121B-E4D1-407B-8076-44A76E0BD24A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63FC92-FCB0-4CDF-8B44-E509EBDE77FD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93B5F7-6345-4442-8736-86F5827F0EF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9A8463-EB28-4924-8EFB-04F3F4586D09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B8556-14DF-4917-908F-480160E4965D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BBFED8-5834-4210-8576-18587CA271E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69B66C-C53C-428D-BAAB-1D06D0B7705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93B23B-98B8-43CA-8EA0-091D5243330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3699F3-75A3-466E-A3C0-B43FFE213677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807D2F-7CAB-4D2C-A5F5-15EB396CD213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6E5475-245B-44DD-AD8A-55313302E9CE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F39A45-0238-4821-AE5E-2E5D195B04F0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5D5EA-9AAE-4441-950E-B6E4EF69E94D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D356F4-5228-4F1D-B7D9-64AEBBDE8C99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B2A84-C5E1-4C8E-B17A-DBBC694CF2D6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551C4-5A57-43E0-B61A-06F3CAC1B512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0928C9-9345-4D8A-94DD-12AF4B673B30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4553B-D017-400A-9913-83750E052907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A1CD58-2567-42F8-B698-0B330FF17BC2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ED3ED0-E978-43FF-8923-E85DB41B74CC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61F61-7AF2-41CE-ABA0-1373C0E5589F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465EBC-6562-4803-90A2-016AF670DF8E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687860-08A8-4B5C-AB1B-951CDD2EE7A7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F9D45B-C293-4CD7-ABDF-DDA1C9A454D5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452F1B-9220-4B9F-A096-1E365284230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B5A902-1064-4623-B791-8B9E36A7C77E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006AE9-5A08-4291-B3E4-BB27AC020CE0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D3A147-6C33-49D4-8C0C-08A66E7DA384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879563-B364-4405-A26B-968D6B0B6903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365DC-5C18-4E8A-8F17-AC01A18917E7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CC5E2-5E0F-42FA-B539-D3329830AA47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6EB5FD-1E53-484D-9379-2DD5EBB2B00C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7435A-B292-42A0-85B3-54F753ECBD6C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61056A-627D-477F-AD8E-51CDBB1A1611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26BC9-C716-41E0-9915-A8676762AEC0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451161-92C7-4012-A0BB-FDFC665E7C7A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47A3A3-D58D-43E5-B2F4-EC68D94A7346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65272</xdr:colOff>
      <xdr:row>0</xdr:row>
      <xdr:rowOff>59254</xdr:rowOff>
    </xdr:from>
    <xdr:to>
      <xdr:col>7</xdr:col>
      <xdr:colOff>1095979</xdr:colOff>
      <xdr:row>1</xdr:row>
      <xdr:rowOff>119413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73D23-87AF-45B3-BA77-A7C00D8306B8}"/>
            </a:ext>
            <a:ext uri="{147F2762-F138-4A5C-976F-8EAC2B608ADB}">
              <a16:predDERef xmlns:a16="http://schemas.microsoft.com/office/drawing/2014/main" pred="{C9FBD8A6-D3DB-4EFB-AB39-DE838013E2D1}"/>
            </a:ext>
          </a:extLst>
        </xdr:cNvPr>
        <xdr:cNvSpPr/>
      </xdr:nvSpPr>
      <xdr:spPr>
        <a:xfrm>
          <a:off x="7704322" y="59254"/>
          <a:ext cx="1030707" cy="250659"/>
        </a:xfrm>
        <a:prstGeom prst="roundRect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  <a:effectLst/>
        <a:scene3d>
          <a:camera prst="perspectiveLef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u="sng">
              <a:solidFill>
                <a:schemeClr val="bg1"/>
              </a:solidFill>
              <a:latin typeface="BrowalliaUPC" panose="020B0604020202020204" pitchFamily="34" charset="-34"/>
              <a:cs typeface="BrowalliaUPC" panose="020B0604020202020204" pitchFamily="34" charset="-34"/>
            </a:rPr>
            <a:t>Dashboard</a:t>
          </a:r>
        </a:p>
        <a:p>
          <a:pPr algn="ctr"/>
          <a:endParaRPr lang="pt-BR" sz="1800" b="1" u="sng">
            <a:solidFill>
              <a:schemeClr val="bg1"/>
            </a:solidFill>
            <a:latin typeface="BrowalliaUPC" panose="020B0604020202020204" pitchFamily="34" charset="-34"/>
            <a:cs typeface="BrowalliaUPC" panose="020B0604020202020204" pitchFamily="34" charset="-34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28575</xdr:rowOff>
    </xdr:from>
    <xdr:to>
      <xdr:col>9</xdr:col>
      <xdr:colOff>9525</xdr:colOff>
      <xdr:row>15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>
              <a:extLst>
                <a:ext uri="{FF2B5EF4-FFF2-40B4-BE49-F238E27FC236}">
                  <a16:creationId xmlns:a16="http://schemas.microsoft.com/office/drawing/2014/main" id="{B70A6B2B-99F7-C7BD-FD1E-647DD8BF36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4095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9526</xdr:colOff>
      <xdr:row>2</xdr:row>
      <xdr:rowOff>9525</xdr:rowOff>
    </xdr:from>
    <xdr:to>
      <xdr:col>8</xdr:col>
      <xdr:colOff>104776</xdr:colOff>
      <xdr:row>15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C211E76B-CC1A-A831-587F-AA01DE5AF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3676" y="390525"/>
              <a:ext cx="131445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523875</xdr:colOff>
      <xdr:row>2</xdr:row>
      <xdr:rowOff>9525</xdr:rowOff>
    </xdr:from>
    <xdr:to>
      <xdr:col>11</xdr:col>
      <xdr:colOff>295275</xdr:colOff>
      <xdr:row>7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o">
              <a:extLst>
                <a:ext uri="{FF2B5EF4-FFF2-40B4-BE49-F238E27FC236}">
                  <a16:creationId xmlns:a16="http://schemas.microsoft.com/office/drawing/2014/main" id="{A83ED920-F943-2BDA-403F-AE659CEC2C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7225" y="390525"/>
              <a:ext cx="1600200" cy="105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428625</xdr:colOff>
      <xdr:row>6</xdr:row>
      <xdr:rowOff>11905</xdr:rowOff>
    </xdr:from>
    <xdr:to>
      <xdr:col>20</xdr:col>
      <xdr:colOff>476250</xdr:colOff>
      <xdr:row>30</xdr:row>
      <xdr:rowOff>142874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emana ">
              <a:extLst>
                <a:ext uri="{FF2B5EF4-FFF2-40B4-BE49-F238E27FC236}">
                  <a16:creationId xmlns:a16="http://schemas.microsoft.com/office/drawing/2014/main" id="{442DFB2D-264F-432D-981D-40F8112BF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1425" y="1154905"/>
              <a:ext cx="1266825" cy="4702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18</xdr:col>
      <xdr:colOff>476250</xdr:colOff>
      <xdr:row>3</xdr:row>
      <xdr:rowOff>11905</xdr:rowOff>
    </xdr:from>
    <xdr:to>
      <xdr:col>20</xdr:col>
      <xdr:colOff>369094</xdr:colOff>
      <xdr:row>5</xdr:row>
      <xdr:rowOff>71437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0A6F5E5-AC6F-B49D-09E1-68A53B5BF898}"/>
            </a:ext>
          </a:extLst>
        </xdr:cNvPr>
        <xdr:cNvSpPr txBox="1"/>
      </xdr:nvSpPr>
      <xdr:spPr>
        <a:xfrm>
          <a:off x="11406188" y="583405"/>
          <a:ext cx="1107281" cy="4405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solidFill>
                <a:schemeClr val="bg1"/>
              </a:solidFill>
            </a:rPr>
            <a:t>Semana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20</xdr:col>
      <xdr:colOff>600074</xdr:colOff>
      <xdr:row>33</xdr:row>
      <xdr:rowOff>180974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AE5735A-3580-E859-C239-4A59EB19E16D}"/>
            </a:ext>
          </a:extLst>
        </xdr:cNvPr>
        <xdr:cNvSpPr/>
      </xdr:nvSpPr>
      <xdr:spPr>
        <a:xfrm>
          <a:off x="0" y="0"/>
          <a:ext cx="12792074" cy="6467474"/>
        </a:xfrm>
        <a:prstGeom prst="rect">
          <a:avLst/>
        </a:prstGeom>
        <a:solidFill>
          <a:srgbClr val="517B7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76200</xdr:rowOff>
    </xdr:from>
    <xdr:to>
      <xdr:col>2</xdr:col>
      <xdr:colOff>315683</xdr:colOff>
      <xdr:row>33</xdr:row>
      <xdr:rowOff>58510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26BCDFBC-0335-7018-8B2F-BAD706345772}"/>
            </a:ext>
          </a:extLst>
        </xdr:cNvPr>
        <xdr:cNvGrpSpPr/>
      </xdr:nvGrpSpPr>
      <xdr:grpSpPr>
        <a:xfrm>
          <a:off x="0" y="76200"/>
          <a:ext cx="1534883" cy="6268810"/>
          <a:chOff x="0" y="66675"/>
          <a:chExt cx="1534883" cy="626881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70283AE2-A051-44D4-8FA6-A17012317C4D}"/>
              </a:ext>
            </a:extLst>
          </xdr:cNvPr>
          <xdr:cNvSpPr/>
        </xdr:nvSpPr>
        <xdr:spPr>
          <a:xfrm>
            <a:off x="87085" y="66675"/>
            <a:ext cx="1447798" cy="6268810"/>
          </a:xfrm>
          <a:prstGeom prst="round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50AE5EBC-B0C9-49EC-B001-122918ADBC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35756" y="397669"/>
            <a:ext cx="941387" cy="1001775"/>
          </a:xfrm>
          <a:prstGeom prst="rect">
            <a:avLst/>
          </a:prstGeom>
          <a:solidFill>
            <a:srgbClr val="FFFFFF">
              <a:shade val="85000"/>
            </a:srgbClr>
          </a:solidFill>
          <a:ln w="889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BE84BFA4-26D7-736F-DA9F-652B17D652C7}"/>
              </a:ext>
            </a:extLst>
          </xdr:cNvPr>
          <xdr:cNvSpPr txBox="1"/>
        </xdr:nvSpPr>
        <xdr:spPr>
          <a:xfrm>
            <a:off x="0" y="1500187"/>
            <a:ext cx="1528762" cy="1000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Relatório de Indicadores Mecânico</a:t>
            </a:r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F4C17559-4B72-4C3C-7D59-E68FAE533C70}"/>
              </a:ext>
            </a:extLst>
          </xdr:cNvPr>
          <xdr:cNvSpPr txBox="1"/>
        </xdr:nvSpPr>
        <xdr:spPr>
          <a:xfrm>
            <a:off x="226221" y="2667000"/>
            <a:ext cx="1147762" cy="3214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Ano de Analise</a:t>
            </a:r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FD1E221B-1FD5-A055-9E35-6876AB4322FB}"/>
              </a:ext>
            </a:extLst>
          </xdr:cNvPr>
          <xdr:cNvSpPr txBox="1"/>
        </xdr:nvSpPr>
        <xdr:spPr>
          <a:xfrm>
            <a:off x="59531" y="4679156"/>
            <a:ext cx="1433512" cy="3690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Periodo de Analise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2" name="Ano 1">
                <a:extLst>
                  <a:ext uri="{FF2B5EF4-FFF2-40B4-BE49-F238E27FC236}">
                    <a16:creationId xmlns:a16="http://schemas.microsoft.com/office/drawing/2014/main" id="{C2F5341A-53FF-43DA-B7E2-A4C09A6B3D42}"/>
                  </a:ext>
                </a:extLst>
              </xdr:cNvPr>
              <xdr:cNvGraphicFramePr/>
            </xdr:nvGraphicFramePr>
            <xdr:xfrm>
              <a:off x="178595" y="3143249"/>
              <a:ext cx="1207294" cy="1500187"/>
            </xdr:xfrm>
            <a:graphic>
              <a:graphicData uri="http://schemas.microsoft.com/office/drawing/2010/slicer">
                <sle:slicer xmlns:sle="http://schemas.microsoft.com/office/drawing/2010/slicer" name="An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8595" y="3152774"/>
                <a:ext cx="1207294" cy="150018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3" name="Periodo 1">
                <a:extLst>
                  <a:ext uri="{FF2B5EF4-FFF2-40B4-BE49-F238E27FC236}">
                    <a16:creationId xmlns:a16="http://schemas.microsoft.com/office/drawing/2014/main" id="{4912A2B5-9099-4957-AACC-6E8EC9B02E7B}"/>
                  </a:ext>
                </a:extLst>
              </xdr:cNvPr>
              <xdr:cNvGraphicFramePr/>
            </xdr:nvGraphicFramePr>
            <xdr:xfrm>
              <a:off x="161926" y="5095876"/>
              <a:ext cx="1247773" cy="1023938"/>
            </xdr:xfrm>
            <a:graphic>
              <a:graphicData uri="http://schemas.microsoft.com/office/drawing/2010/slicer">
                <sle:slicer xmlns:sle="http://schemas.microsoft.com/office/drawing/2010/slicer" name="Period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61926" y="5105401"/>
                <a:ext cx="1247773" cy="102393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2</xdr:col>
      <xdr:colOff>416377</xdr:colOff>
      <xdr:row>0</xdr:row>
      <xdr:rowOff>85725</xdr:rowOff>
    </xdr:from>
    <xdr:to>
      <xdr:col>10</xdr:col>
      <xdr:colOff>315685</xdr:colOff>
      <xdr:row>16</xdr:row>
      <xdr:rowOff>17691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9745D0BC-A31B-5D95-634B-0E89289AE584}"/>
            </a:ext>
            <a:ext uri="{147F2762-F138-4A5C-976F-8EAC2B608ADB}">
              <a16:predDERef xmlns:a16="http://schemas.microsoft.com/office/drawing/2014/main" pred="{26BCDFBC-0335-7018-8B2F-BAD706345772}"/>
            </a:ext>
          </a:extLst>
        </xdr:cNvPr>
        <xdr:cNvGrpSpPr/>
      </xdr:nvGrpSpPr>
      <xdr:grpSpPr>
        <a:xfrm>
          <a:off x="1635577" y="85725"/>
          <a:ext cx="4776108" cy="2979966"/>
          <a:chOff x="1635577" y="66675"/>
          <a:chExt cx="4653644" cy="2979966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C2D8A019-2ABE-4896-8F05-E303B908967C}"/>
              </a:ext>
            </a:extLst>
          </xdr:cNvPr>
          <xdr:cNvSpPr/>
        </xdr:nvSpPr>
        <xdr:spPr>
          <a:xfrm>
            <a:off x="1635577" y="66675"/>
            <a:ext cx="4653644" cy="2979966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D7A20EE9-16B3-C5D2-4940-E4C523D18044}"/>
              </a:ext>
            </a:extLst>
          </xdr:cNvPr>
          <xdr:cNvGrpSpPr/>
        </xdr:nvGrpSpPr>
        <xdr:grpSpPr>
          <a:xfrm>
            <a:off x="1666875" y="85725"/>
            <a:ext cx="4572000" cy="2914650"/>
            <a:chOff x="1666875" y="85725"/>
            <a:chExt cx="4572000" cy="2914650"/>
          </a:xfrm>
        </xdr:grpSpPr>
        <xdr:graphicFrame macro="">
          <xdr:nvGraphicFramePr>
            <xdr:cNvPr id="29" name="Gráfico 28">
              <a:extLst>
                <a:ext uri="{FF2B5EF4-FFF2-40B4-BE49-F238E27FC236}">
                  <a16:creationId xmlns:a16="http://schemas.microsoft.com/office/drawing/2014/main" id="{681F21F5-AC1F-44B2-9FD5-7745E2603A5F}"/>
                </a:ext>
              </a:extLst>
            </xdr:cNvPr>
            <xdr:cNvGraphicFramePr>
              <a:graphicFrameLocks/>
            </xdr:cNvGraphicFramePr>
          </xdr:nvGraphicFramePr>
          <xdr:xfrm>
            <a:off x="1666875" y="409575"/>
            <a:ext cx="4572000" cy="2590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4A640108-E17A-E752-B3D4-9FF7D4B5CE2C}"/>
                </a:ext>
              </a:extLst>
            </xdr:cNvPr>
            <xdr:cNvSpPr txBox="1"/>
          </xdr:nvSpPr>
          <xdr:spPr>
            <a:xfrm>
              <a:off x="2362200" y="85725"/>
              <a:ext cx="3143250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</a:rPr>
                <a:t>Total de Problemas </a:t>
              </a:r>
              <a:r>
                <a:rPr lang="pt-BR" sz="1600" b="1">
                  <a:solidFill>
                    <a:schemeClr val="bg1"/>
                  </a:solidFill>
                </a:rPr>
                <a:t>Durante</a:t>
              </a:r>
              <a:r>
                <a:rPr lang="pt-BR" sz="1400" b="1">
                  <a:solidFill>
                    <a:schemeClr val="bg1"/>
                  </a:solidFill>
                </a:rPr>
                <a:t> a Semana</a:t>
              </a:r>
            </a:p>
          </xdr:txBody>
        </xdr:sp>
      </xdr:grpSp>
    </xdr:grpSp>
    <xdr:clientData/>
  </xdr:twoCellAnchor>
  <xdr:twoCellAnchor>
    <xdr:from>
      <xdr:col>10</xdr:col>
      <xdr:colOff>472166</xdr:colOff>
      <xdr:row>0</xdr:row>
      <xdr:rowOff>76200</xdr:rowOff>
    </xdr:from>
    <xdr:to>
      <xdr:col>18</xdr:col>
      <xdr:colOff>249009</xdr:colOff>
      <xdr:row>15</xdr:row>
      <xdr:rowOff>185060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9FEB51A9-A8F4-6C51-E3E9-15D63C751A4C}"/>
            </a:ext>
            <a:ext uri="{147F2762-F138-4A5C-976F-8EAC2B608ADB}">
              <a16:predDERef xmlns:a16="http://schemas.microsoft.com/office/drawing/2014/main" pred="{9745D0BC-A31B-5D95-634B-0E89289AE584}"/>
            </a:ext>
          </a:extLst>
        </xdr:cNvPr>
        <xdr:cNvGrpSpPr/>
      </xdr:nvGrpSpPr>
      <xdr:grpSpPr>
        <a:xfrm>
          <a:off x="6568166" y="76200"/>
          <a:ext cx="4653643" cy="2966360"/>
          <a:chOff x="6511016" y="66675"/>
          <a:chExt cx="4653643" cy="296636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9297688D-8463-98D4-00A5-C4626C61DC92}"/>
              </a:ext>
            </a:extLst>
          </xdr:cNvPr>
          <xdr:cNvSpPr/>
        </xdr:nvSpPr>
        <xdr:spPr>
          <a:xfrm>
            <a:off x="6511016" y="66675"/>
            <a:ext cx="4653643" cy="2966360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id="{198D9FBC-03BD-44C9-9615-C5C3F18CB588}"/>
              </a:ext>
            </a:extLst>
          </xdr:cNvPr>
          <xdr:cNvGraphicFramePr>
            <a:graphicFrameLocks/>
          </xdr:cNvGraphicFramePr>
        </xdr:nvGraphicFramePr>
        <xdr:xfrm>
          <a:off x="6553199" y="409574"/>
          <a:ext cx="4562475" cy="2581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60861D2E-A4A8-3620-2CEC-A644E4684080}"/>
              </a:ext>
            </a:extLst>
          </xdr:cNvPr>
          <xdr:cNvSpPr txBox="1"/>
        </xdr:nvSpPr>
        <xdr:spPr>
          <a:xfrm>
            <a:off x="7362825" y="142875"/>
            <a:ext cx="27908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Analise Percentual Semanal</a:t>
            </a:r>
          </a:p>
        </xdr:txBody>
      </xdr:sp>
    </xdr:grpSp>
    <xdr:clientData/>
  </xdr:twoCellAnchor>
  <xdr:twoCellAnchor>
    <xdr:from>
      <xdr:col>2</xdr:col>
      <xdr:colOff>405492</xdr:colOff>
      <xdr:row>16</xdr:row>
      <xdr:rowOff>123825</xdr:rowOff>
    </xdr:from>
    <xdr:to>
      <xdr:col>10</xdr:col>
      <xdr:colOff>323850</xdr:colOff>
      <xdr:row>33</xdr:row>
      <xdr:rowOff>83005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5E5BDA46-C40A-DC4F-158E-79D8DBB3AE7A}"/>
            </a:ext>
            <a:ext uri="{147F2762-F138-4A5C-976F-8EAC2B608ADB}">
              <a16:predDERef xmlns:a16="http://schemas.microsoft.com/office/drawing/2014/main" pred="{9FEB51A9-A8F4-6C51-E3E9-15D63C751A4C}"/>
            </a:ext>
          </a:extLst>
        </xdr:cNvPr>
        <xdr:cNvGrpSpPr/>
      </xdr:nvGrpSpPr>
      <xdr:grpSpPr>
        <a:xfrm>
          <a:off x="1624692" y="3171825"/>
          <a:ext cx="4795158" cy="3197680"/>
          <a:chOff x="1624692" y="3152775"/>
          <a:chExt cx="4653644" cy="3197680"/>
        </a:xfrm>
        <a:solidFill>
          <a:srgbClr val="517B7B"/>
        </a:solidFill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26A8606-E833-3D46-798E-918C3B06F0CE}"/>
              </a:ext>
            </a:extLst>
          </xdr:cNvPr>
          <xdr:cNvSpPr/>
        </xdr:nvSpPr>
        <xdr:spPr>
          <a:xfrm>
            <a:off x="1624692" y="3152775"/>
            <a:ext cx="4653644" cy="3197680"/>
          </a:xfrm>
          <a:prstGeom prst="rect">
            <a:avLst/>
          </a:prstGeom>
          <a:grpFill/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30" name="Gráfico 29">
            <a:extLst>
              <a:ext uri="{FF2B5EF4-FFF2-40B4-BE49-F238E27FC236}">
                <a16:creationId xmlns:a16="http://schemas.microsoft.com/office/drawing/2014/main" id="{5A0256C5-3308-43D5-8724-2C678DDA2512}"/>
              </a:ext>
            </a:extLst>
          </xdr:cNvPr>
          <xdr:cNvGraphicFramePr>
            <a:graphicFrameLocks/>
          </xdr:cNvGraphicFramePr>
        </xdr:nvGraphicFramePr>
        <xdr:xfrm>
          <a:off x="1657350" y="3524250"/>
          <a:ext cx="4572000" cy="27717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9E047A0B-1F16-A295-EC1C-E3D09EBEE55B}"/>
              </a:ext>
            </a:extLst>
          </xdr:cNvPr>
          <xdr:cNvSpPr txBox="1"/>
        </xdr:nvSpPr>
        <xdr:spPr>
          <a:xfrm>
            <a:off x="1731863" y="3162300"/>
            <a:ext cx="4435546" cy="361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500" b="1">
                <a:solidFill>
                  <a:schemeClr val="bg1"/>
                </a:solidFill>
              </a:rPr>
              <a:t>Total de Problemas Durante o Ano e Periodo Analisado</a:t>
            </a:r>
          </a:p>
        </xdr:txBody>
      </xdr:sp>
    </xdr:grpSp>
    <xdr:clientData/>
  </xdr:twoCellAnchor>
  <xdr:twoCellAnchor>
    <xdr:from>
      <xdr:col>10</xdr:col>
      <xdr:colOff>485774</xdr:colOff>
      <xdr:row>16</xdr:row>
      <xdr:rowOff>104775</xdr:rowOff>
    </xdr:from>
    <xdr:to>
      <xdr:col>18</xdr:col>
      <xdr:colOff>262617</xdr:colOff>
      <xdr:row>33</xdr:row>
      <xdr:rowOff>73480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6D358C51-F705-CE8F-8B6C-7BCC0386431F}"/>
            </a:ext>
            <a:ext uri="{147F2762-F138-4A5C-976F-8EAC2B608ADB}">
              <a16:predDERef xmlns:a16="http://schemas.microsoft.com/office/drawing/2014/main" pred="{5E5BDA46-C40A-DC4F-158E-79D8DBB3AE7A}"/>
            </a:ext>
          </a:extLst>
        </xdr:cNvPr>
        <xdr:cNvGrpSpPr/>
      </xdr:nvGrpSpPr>
      <xdr:grpSpPr>
        <a:xfrm>
          <a:off x="6581774" y="3152775"/>
          <a:ext cx="4653643" cy="3207205"/>
          <a:chOff x="6524624" y="3143250"/>
          <a:chExt cx="4653643" cy="3207205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927F7CCF-8699-4A7A-90B0-A445037AC2D5}"/>
              </a:ext>
            </a:extLst>
          </xdr:cNvPr>
          <xdr:cNvSpPr/>
        </xdr:nvSpPr>
        <xdr:spPr>
          <a:xfrm>
            <a:off x="6524624" y="3143250"/>
            <a:ext cx="4653643" cy="3207205"/>
          </a:xfrm>
          <a:prstGeom prst="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75B0BBE9-B022-4977-AD57-8F2E1A2A445A}"/>
              </a:ext>
            </a:extLst>
          </xdr:cNvPr>
          <xdr:cNvGraphicFramePr>
            <a:graphicFrameLocks/>
          </xdr:cNvGraphicFramePr>
        </xdr:nvGraphicFramePr>
        <xdr:xfrm>
          <a:off x="6562726" y="3514725"/>
          <a:ext cx="4572000" cy="27812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AB3DC618-DE1F-F737-EFDD-53BFC4B36B17}"/>
              </a:ext>
            </a:extLst>
          </xdr:cNvPr>
          <xdr:cNvSpPr txBox="1"/>
        </xdr:nvSpPr>
        <xdr:spPr>
          <a:xfrm>
            <a:off x="7038975" y="3181350"/>
            <a:ext cx="3581400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Analise Percentual Total</a:t>
            </a:r>
          </a:p>
        </xdr:txBody>
      </xdr:sp>
    </xdr:grpSp>
    <xdr:clientData/>
  </xdr:twoCellAnchor>
  <xdr:twoCellAnchor>
    <xdr:from>
      <xdr:col>18</xdr:col>
      <xdr:colOff>345621</xdr:colOff>
      <xdr:row>0</xdr:row>
      <xdr:rowOff>95250</xdr:rowOff>
    </xdr:from>
    <xdr:to>
      <xdr:col>20</xdr:col>
      <xdr:colOff>574219</xdr:colOff>
      <xdr:row>33</xdr:row>
      <xdr:rowOff>77560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B6A925CF-7276-96A1-16FC-7F0F25560AFA}"/>
            </a:ext>
          </a:extLst>
        </xdr:cNvPr>
        <xdr:cNvGrpSpPr/>
      </xdr:nvGrpSpPr>
      <xdr:grpSpPr>
        <a:xfrm>
          <a:off x="11318421" y="95250"/>
          <a:ext cx="1447798" cy="6268810"/>
          <a:chOff x="11318421" y="66675"/>
          <a:chExt cx="1447798" cy="626881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20339A05-0E80-671F-2A2C-DC3C78CC3A3E}"/>
              </a:ext>
            </a:extLst>
          </xdr:cNvPr>
          <xdr:cNvSpPr/>
        </xdr:nvSpPr>
        <xdr:spPr>
          <a:xfrm>
            <a:off x="11318421" y="66675"/>
            <a:ext cx="1447798" cy="6268810"/>
          </a:xfrm>
          <a:prstGeom prst="roundRect">
            <a:avLst/>
          </a:prstGeom>
          <a:solidFill>
            <a:srgbClr val="517B7B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CE2DC040-9151-0F6F-1285-62248E496F5F}"/>
              </a:ext>
            </a:extLst>
          </xdr:cNvPr>
          <xdr:cNvGrpSpPr/>
        </xdr:nvGrpSpPr>
        <xdr:grpSpPr>
          <a:xfrm>
            <a:off x="11412278" y="600075"/>
            <a:ext cx="1282769" cy="5314950"/>
            <a:chOff x="11412278" y="600075"/>
            <a:chExt cx="1282769" cy="5314950"/>
          </a:xfrm>
        </xdr:grpSpPr>
        <mc:AlternateContent xmlns:mc="http://schemas.openxmlformats.org/markup-compatibility/2006" xmlns:a14="http://schemas.microsoft.com/office/drawing/2010/main">
          <mc:Choice Requires="a14">
            <xdr:graphicFrame macro="">
              <xdr:nvGraphicFramePr>
                <xdr:cNvPr id="41" name="Semana 1">
                  <a:extLst>
                    <a:ext uri="{FF2B5EF4-FFF2-40B4-BE49-F238E27FC236}">
                      <a16:creationId xmlns:a16="http://schemas.microsoft.com/office/drawing/2014/main" id="{30FCE348-4A33-4E5D-B5E0-A15729A51CE9}"/>
                    </a:ext>
                  </a:extLst>
                </xdr:cNvPr>
                <xdr:cNvGraphicFramePr/>
              </xdr:nvGraphicFramePr>
              <xdr:xfrm>
                <a:off x="11412278" y="1200150"/>
                <a:ext cx="1282769" cy="4714875"/>
              </xdr:xfrm>
              <a:graphic>
                <a:graphicData uri="http://schemas.microsoft.com/office/drawing/2010/slicer">
                  <sle:slicer xmlns:sle="http://schemas.microsoft.com/office/drawing/2010/slicer" name="Semana 1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420039" y="1241496"/>
                  <a:ext cx="1283527" cy="476800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42" name="CaixaDeTexto 41">
              <a:extLst>
                <a:ext uri="{FF2B5EF4-FFF2-40B4-BE49-F238E27FC236}">
                  <a16:creationId xmlns:a16="http://schemas.microsoft.com/office/drawing/2014/main" id="{58349C4D-7CFD-FF3E-9965-E46026D72D77}"/>
                </a:ext>
              </a:extLst>
            </xdr:cNvPr>
            <xdr:cNvSpPr txBox="1"/>
          </xdr:nvSpPr>
          <xdr:spPr>
            <a:xfrm>
              <a:off x="11496675" y="600075"/>
              <a:ext cx="1066800" cy="3714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Semana</a:t>
              </a:r>
            </a:p>
          </xdr:txBody>
        </xdr:sp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ito Silva" refreshedDate="44979.451645023146" createdVersion="8" refreshedVersion="8" minRefreshableVersion="3" recordCount="507" xr:uid="{1C3749FB-1B7B-48D2-96EE-D67CFF563FE7}">
  <cacheSource type="worksheet">
    <worksheetSource name="Base_de_Dados"/>
  </cacheSource>
  <cacheFields count="7">
    <cacheField name="Parâmetros" numFmtId="0">
      <sharedItems count="13">
        <s v="Redutor"/>
        <s v="Motorredutor"/>
        <s v="Castanha"/>
        <s v="Vedação"/>
        <s v="Pneu"/>
        <s v="Sucção"/>
        <s v="Bomba"/>
        <s v="Mangote"/>
        <s v="Canal/Reservatório"/>
        <s v="Adutora"/>
        <s v="Estrutura"/>
        <s v="Bomba/Sucção"/>
        <s v="Gerador"/>
      </sharedItems>
    </cacheField>
    <cacheField name="Contagem" numFmtId="0">
      <sharedItems containsSemiMixedTypes="0" containsString="0" containsNumber="1" containsInteger="1" minValue="0" maxValue="60"/>
    </cacheField>
    <cacheField name="Porcentagem" numFmtId="9">
      <sharedItems containsSemiMixedTypes="0" containsString="0" containsNumber="1" minValue="0" maxValue="1"/>
    </cacheField>
    <cacheField name="Semana" numFmtId="14">
      <sharedItems containsSemiMixedTypes="0" containsNonDate="0" containsDate="1" containsString="0" minDate="2022-02-21T00:00:00" maxDate="2023-02-21T00:00:00" count="48"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1T00:00:00"/>
        <d v="2022-04-18T00:00:00"/>
        <d v="2022-04-25T00:00:00"/>
        <d v="2022-05-02T00:00:00"/>
        <d v="2022-05-09T00:00:00"/>
        <d v="2022-05-16T00:00:00"/>
        <d v="2022-05-23T00:00:00"/>
        <d v="2022-05-30T00:00:00"/>
        <d v="2022-06-06T00:00:00"/>
        <d v="2022-06-13T00:00:00"/>
        <d v="2022-06-20T00:00:00"/>
        <d v="2022-06-27T00:00:00"/>
        <d v="2022-07-04T00:00:00"/>
        <d v="2022-07-11T00:00:00"/>
        <d v="2022-07-18T00:00:00"/>
        <d v="2022-07-25T00:00:00"/>
        <d v="2022-08-01T00:00:00"/>
        <d v="2022-08-08T00:00:00"/>
        <d v="2022-08-15T00:00:00"/>
        <d v="2022-08-22T00:00:00"/>
        <d v="2022-08-29T00:00:00"/>
        <d v="2022-09-05T00:00:00"/>
        <d v="2022-09-12T00:00:00"/>
        <d v="2022-09-19T00:00:00"/>
        <d v="2022-09-26T00:00:00"/>
        <d v="2022-10-03T00:00:00"/>
        <d v="2022-10-10T00:00:00"/>
        <d v="2022-10-17T00:00:00"/>
        <d v="2022-10-24T00:00:00"/>
        <d v="2022-10-31T00:00:00"/>
        <d v="2022-11-07T00:00:00"/>
        <d v="2022-11-14T00:00:00"/>
        <d v="2022-12-05T00:00:00"/>
        <d v="2022-12-26T00:00:00"/>
        <d v="2023-01-02T00:00:00"/>
        <d v="2023-01-09T00:00:00"/>
        <d v="2023-01-16T00:00:00"/>
        <d v="2023-01-30T00:00:00"/>
        <d v="2023-02-06T00:00:00"/>
        <d v="2023-02-13T00:00:00"/>
        <d v="2023-02-20T00:00:00"/>
      </sharedItems>
    </cacheField>
    <cacheField name="Mês" numFmtId="14">
      <sharedItems/>
    </cacheField>
    <cacheField name="Ano" numFmtId="0">
      <sharedItems containsSemiMixedTypes="0" containsString="0" containsNumber="1" containsInteger="1" minValue="2022" maxValue="2023" count="2">
        <n v="2022"/>
        <n v="2023"/>
      </sharedItems>
    </cacheField>
    <cacheField name="Periodo" numFmtId="0">
      <sharedItems containsBlank="1" count="3">
        <s v="1ª Semestre"/>
        <s v="2ª Semestre"/>
        <m u="1"/>
      </sharedItems>
    </cacheField>
  </cacheFields>
  <extLst>
    <ext xmlns:x14="http://schemas.microsoft.com/office/spreadsheetml/2009/9/main" uri="{725AE2AE-9491-48be-B2B4-4EB974FC3084}">
      <x14:pivotCacheDefinition pivotCacheId="3173296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x v="0"/>
    <n v="1"/>
    <n v="0.16666666666666666"/>
    <x v="0"/>
    <s v="fevereiro"/>
    <x v="0"/>
    <x v="0"/>
  </r>
  <r>
    <x v="1"/>
    <n v="1"/>
    <n v="0.16666666666666666"/>
    <x v="0"/>
    <s v="fevereiro"/>
    <x v="0"/>
    <x v="0"/>
  </r>
  <r>
    <x v="2"/>
    <n v="0"/>
    <n v="0"/>
    <x v="0"/>
    <s v="fevereiro"/>
    <x v="0"/>
    <x v="0"/>
  </r>
  <r>
    <x v="3"/>
    <n v="0"/>
    <n v="0"/>
    <x v="0"/>
    <s v="fevereiro"/>
    <x v="0"/>
    <x v="0"/>
  </r>
  <r>
    <x v="4"/>
    <n v="0"/>
    <n v="0"/>
    <x v="0"/>
    <s v="fevereiro"/>
    <x v="0"/>
    <x v="0"/>
  </r>
  <r>
    <x v="5"/>
    <n v="0"/>
    <n v="0"/>
    <x v="0"/>
    <s v="fevereiro"/>
    <x v="0"/>
    <x v="0"/>
  </r>
  <r>
    <x v="6"/>
    <n v="2"/>
    <n v="0.33333333333333331"/>
    <x v="0"/>
    <s v="fevereiro"/>
    <x v="0"/>
    <x v="0"/>
  </r>
  <r>
    <x v="7"/>
    <n v="0"/>
    <n v="0"/>
    <x v="0"/>
    <s v="fevereiro"/>
    <x v="0"/>
    <x v="0"/>
  </r>
  <r>
    <x v="8"/>
    <n v="0"/>
    <n v="0"/>
    <x v="0"/>
    <s v="fevereiro"/>
    <x v="0"/>
    <x v="0"/>
  </r>
  <r>
    <x v="9"/>
    <n v="2"/>
    <n v="0.33333333333333331"/>
    <x v="0"/>
    <s v="fevereiro"/>
    <x v="0"/>
    <x v="0"/>
  </r>
  <r>
    <x v="0"/>
    <n v="2"/>
    <n v="0.11764705882352941"/>
    <x v="1"/>
    <s v="fevereiro"/>
    <x v="0"/>
    <x v="0"/>
  </r>
  <r>
    <x v="1"/>
    <n v="0"/>
    <n v="0"/>
    <x v="1"/>
    <s v="fevereiro"/>
    <x v="0"/>
    <x v="0"/>
  </r>
  <r>
    <x v="2"/>
    <n v="0"/>
    <n v="0"/>
    <x v="1"/>
    <s v="fevereiro"/>
    <x v="0"/>
    <x v="0"/>
  </r>
  <r>
    <x v="3"/>
    <n v="0"/>
    <n v="0"/>
    <x v="1"/>
    <s v="fevereiro"/>
    <x v="0"/>
    <x v="0"/>
  </r>
  <r>
    <x v="4"/>
    <n v="2"/>
    <n v="0.11764705882352941"/>
    <x v="1"/>
    <s v="fevereiro"/>
    <x v="0"/>
    <x v="0"/>
  </r>
  <r>
    <x v="10"/>
    <n v="10"/>
    <n v="0.58823529411764708"/>
    <x v="1"/>
    <s v="fevereiro"/>
    <x v="0"/>
    <x v="0"/>
  </r>
  <r>
    <x v="11"/>
    <n v="1"/>
    <n v="5.8823529411764705E-2"/>
    <x v="1"/>
    <s v="fevereiro"/>
    <x v="0"/>
    <x v="0"/>
  </r>
  <r>
    <x v="7"/>
    <n v="0"/>
    <n v="0"/>
    <x v="1"/>
    <s v="fevereiro"/>
    <x v="0"/>
    <x v="0"/>
  </r>
  <r>
    <x v="8"/>
    <n v="0"/>
    <n v="0"/>
    <x v="1"/>
    <s v="fevereiro"/>
    <x v="0"/>
    <x v="0"/>
  </r>
  <r>
    <x v="9"/>
    <n v="2"/>
    <n v="0.11764705882352941"/>
    <x v="1"/>
    <s v="fevereiro"/>
    <x v="0"/>
    <x v="0"/>
  </r>
  <r>
    <x v="0"/>
    <n v="2"/>
    <n v="0.2"/>
    <x v="2"/>
    <s v="março"/>
    <x v="0"/>
    <x v="0"/>
  </r>
  <r>
    <x v="1"/>
    <n v="0"/>
    <n v="0"/>
    <x v="2"/>
    <s v="março"/>
    <x v="0"/>
    <x v="0"/>
  </r>
  <r>
    <x v="2"/>
    <n v="0"/>
    <n v="0"/>
    <x v="2"/>
    <s v="março"/>
    <x v="0"/>
    <x v="0"/>
  </r>
  <r>
    <x v="3"/>
    <n v="0"/>
    <n v="0"/>
    <x v="2"/>
    <s v="março"/>
    <x v="0"/>
    <x v="0"/>
  </r>
  <r>
    <x v="4"/>
    <n v="2"/>
    <n v="0.2"/>
    <x v="2"/>
    <s v="março"/>
    <x v="0"/>
    <x v="0"/>
  </r>
  <r>
    <x v="10"/>
    <n v="5"/>
    <n v="0.5"/>
    <x v="2"/>
    <s v="março"/>
    <x v="0"/>
    <x v="0"/>
  </r>
  <r>
    <x v="11"/>
    <n v="0"/>
    <n v="0"/>
    <x v="2"/>
    <s v="março"/>
    <x v="0"/>
    <x v="0"/>
  </r>
  <r>
    <x v="7"/>
    <n v="1"/>
    <n v="0.1"/>
    <x v="2"/>
    <s v="março"/>
    <x v="0"/>
    <x v="0"/>
  </r>
  <r>
    <x v="8"/>
    <n v="0"/>
    <n v="0"/>
    <x v="2"/>
    <s v="março"/>
    <x v="0"/>
    <x v="0"/>
  </r>
  <r>
    <x v="9"/>
    <n v="0"/>
    <n v="0"/>
    <x v="2"/>
    <s v="março"/>
    <x v="0"/>
    <x v="0"/>
  </r>
  <r>
    <x v="0"/>
    <n v="0"/>
    <n v="0"/>
    <x v="3"/>
    <s v="março"/>
    <x v="0"/>
    <x v="0"/>
  </r>
  <r>
    <x v="1"/>
    <n v="3"/>
    <n v="0.15"/>
    <x v="3"/>
    <s v="março"/>
    <x v="0"/>
    <x v="0"/>
  </r>
  <r>
    <x v="2"/>
    <n v="0"/>
    <n v="0"/>
    <x v="3"/>
    <s v="março"/>
    <x v="0"/>
    <x v="0"/>
  </r>
  <r>
    <x v="3"/>
    <n v="1"/>
    <n v="0.05"/>
    <x v="3"/>
    <s v="março"/>
    <x v="0"/>
    <x v="0"/>
  </r>
  <r>
    <x v="4"/>
    <n v="4"/>
    <n v="0.2"/>
    <x v="3"/>
    <s v="março"/>
    <x v="0"/>
    <x v="0"/>
  </r>
  <r>
    <x v="10"/>
    <n v="11"/>
    <n v="0.55000000000000004"/>
    <x v="3"/>
    <s v="março"/>
    <x v="0"/>
    <x v="0"/>
  </r>
  <r>
    <x v="11"/>
    <n v="1"/>
    <n v="0.05"/>
    <x v="3"/>
    <s v="março"/>
    <x v="0"/>
    <x v="0"/>
  </r>
  <r>
    <x v="7"/>
    <n v="0"/>
    <n v="0"/>
    <x v="3"/>
    <s v="março"/>
    <x v="0"/>
    <x v="0"/>
  </r>
  <r>
    <x v="8"/>
    <n v="0"/>
    <n v="0"/>
    <x v="3"/>
    <s v="março"/>
    <x v="0"/>
    <x v="0"/>
  </r>
  <r>
    <x v="9"/>
    <n v="0"/>
    <n v="0"/>
    <x v="3"/>
    <s v="março"/>
    <x v="0"/>
    <x v="0"/>
  </r>
  <r>
    <x v="0"/>
    <n v="0"/>
    <n v="0"/>
    <x v="4"/>
    <s v="março"/>
    <x v="0"/>
    <x v="0"/>
  </r>
  <r>
    <x v="1"/>
    <n v="0"/>
    <n v="0"/>
    <x v="4"/>
    <s v="março"/>
    <x v="0"/>
    <x v="0"/>
  </r>
  <r>
    <x v="2"/>
    <n v="0"/>
    <n v="0"/>
    <x v="4"/>
    <s v="março"/>
    <x v="0"/>
    <x v="0"/>
  </r>
  <r>
    <x v="3"/>
    <n v="0"/>
    <n v="0"/>
    <x v="4"/>
    <s v="março"/>
    <x v="0"/>
    <x v="0"/>
  </r>
  <r>
    <x v="4"/>
    <n v="1"/>
    <n v="6.6666666666666666E-2"/>
    <x v="4"/>
    <s v="março"/>
    <x v="0"/>
    <x v="0"/>
  </r>
  <r>
    <x v="10"/>
    <n v="11"/>
    <n v="0.73333333333333328"/>
    <x v="4"/>
    <s v="março"/>
    <x v="0"/>
    <x v="0"/>
  </r>
  <r>
    <x v="11"/>
    <n v="0"/>
    <n v="0"/>
    <x v="4"/>
    <s v="março"/>
    <x v="0"/>
    <x v="0"/>
  </r>
  <r>
    <x v="7"/>
    <n v="3"/>
    <n v="0.2"/>
    <x v="4"/>
    <s v="março"/>
    <x v="0"/>
    <x v="0"/>
  </r>
  <r>
    <x v="8"/>
    <n v="0"/>
    <n v="0"/>
    <x v="4"/>
    <s v="março"/>
    <x v="0"/>
    <x v="0"/>
  </r>
  <r>
    <x v="9"/>
    <n v="0"/>
    <n v="0"/>
    <x v="4"/>
    <s v="março"/>
    <x v="0"/>
    <x v="0"/>
  </r>
  <r>
    <x v="0"/>
    <n v="0"/>
    <n v="0"/>
    <x v="5"/>
    <s v="março"/>
    <x v="0"/>
    <x v="0"/>
  </r>
  <r>
    <x v="1"/>
    <n v="1"/>
    <n v="7.1428571428571425E-2"/>
    <x v="5"/>
    <s v="março"/>
    <x v="0"/>
    <x v="0"/>
  </r>
  <r>
    <x v="2"/>
    <n v="0"/>
    <n v="0"/>
    <x v="5"/>
    <s v="março"/>
    <x v="0"/>
    <x v="0"/>
  </r>
  <r>
    <x v="3"/>
    <n v="0"/>
    <n v="0"/>
    <x v="5"/>
    <s v="março"/>
    <x v="0"/>
    <x v="0"/>
  </r>
  <r>
    <x v="4"/>
    <n v="1"/>
    <n v="7.1428571428571425E-2"/>
    <x v="5"/>
    <s v="março"/>
    <x v="0"/>
    <x v="0"/>
  </r>
  <r>
    <x v="10"/>
    <n v="11"/>
    <n v="0.7857142857142857"/>
    <x v="5"/>
    <s v="março"/>
    <x v="0"/>
    <x v="0"/>
  </r>
  <r>
    <x v="11"/>
    <n v="0"/>
    <n v="0"/>
    <x v="5"/>
    <s v="março"/>
    <x v="0"/>
    <x v="0"/>
  </r>
  <r>
    <x v="7"/>
    <n v="0"/>
    <n v="0"/>
    <x v="5"/>
    <s v="março"/>
    <x v="0"/>
    <x v="0"/>
  </r>
  <r>
    <x v="8"/>
    <n v="0"/>
    <n v="0"/>
    <x v="5"/>
    <s v="março"/>
    <x v="0"/>
    <x v="0"/>
  </r>
  <r>
    <x v="9"/>
    <n v="1"/>
    <n v="7.1428571428571425E-2"/>
    <x v="5"/>
    <s v="março"/>
    <x v="0"/>
    <x v="0"/>
  </r>
  <r>
    <x v="0"/>
    <n v="0"/>
    <n v="0"/>
    <x v="6"/>
    <s v="abril"/>
    <x v="0"/>
    <x v="0"/>
  </r>
  <r>
    <x v="1"/>
    <n v="1"/>
    <n v="5.8823529411764705E-2"/>
    <x v="6"/>
    <s v="abril"/>
    <x v="0"/>
    <x v="0"/>
  </r>
  <r>
    <x v="2"/>
    <n v="0"/>
    <n v="0"/>
    <x v="6"/>
    <s v="abril"/>
    <x v="0"/>
    <x v="0"/>
  </r>
  <r>
    <x v="3"/>
    <n v="1"/>
    <n v="5.8823529411764705E-2"/>
    <x v="6"/>
    <s v="abril"/>
    <x v="0"/>
    <x v="0"/>
  </r>
  <r>
    <x v="4"/>
    <n v="1"/>
    <n v="5.8823529411764705E-2"/>
    <x v="6"/>
    <s v="abril"/>
    <x v="0"/>
    <x v="0"/>
  </r>
  <r>
    <x v="10"/>
    <n v="11"/>
    <n v="0.6470588235294118"/>
    <x v="6"/>
    <s v="abril"/>
    <x v="0"/>
    <x v="0"/>
  </r>
  <r>
    <x v="11"/>
    <n v="1"/>
    <n v="5.8823529411764705E-2"/>
    <x v="6"/>
    <s v="abril"/>
    <x v="0"/>
    <x v="0"/>
  </r>
  <r>
    <x v="7"/>
    <n v="0"/>
    <n v="0"/>
    <x v="6"/>
    <s v="abril"/>
    <x v="0"/>
    <x v="0"/>
  </r>
  <r>
    <x v="8"/>
    <n v="0"/>
    <n v="0"/>
    <x v="6"/>
    <s v="abril"/>
    <x v="0"/>
    <x v="0"/>
  </r>
  <r>
    <x v="9"/>
    <n v="2"/>
    <n v="0.11764705882352941"/>
    <x v="6"/>
    <s v="abril"/>
    <x v="0"/>
    <x v="0"/>
  </r>
  <r>
    <x v="0"/>
    <n v="2"/>
    <n v="8.6956521739130432E-2"/>
    <x v="7"/>
    <s v="abril"/>
    <x v="0"/>
    <x v="0"/>
  </r>
  <r>
    <x v="1"/>
    <n v="0"/>
    <n v="0"/>
    <x v="7"/>
    <s v="abril"/>
    <x v="0"/>
    <x v="0"/>
  </r>
  <r>
    <x v="2"/>
    <n v="0"/>
    <n v="0"/>
    <x v="7"/>
    <s v="abril"/>
    <x v="0"/>
    <x v="0"/>
  </r>
  <r>
    <x v="3"/>
    <n v="2"/>
    <n v="8.6956521739130432E-2"/>
    <x v="7"/>
    <s v="abril"/>
    <x v="0"/>
    <x v="0"/>
  </r>
  <r>
    <x v="4"/>
    <n v="2"/>
    <n v="8.6956521739130432E-2"/>
    <x v="7"/>
    <s v="abril"/>
    <x v="0"/>
    <x v="0"/>
  </r>
  <r>
    <x v="10"/>
    <n v="15"/>
    <n v="0.65217391304347827"/>
    <x v="7"/>
    <s v="abril"/>
    <x v="0"/>
    <x v="0"/>
  </r>
  <r>
    <x v="11"/>
    <n v="0"/>
    <n v="0"/>
    <x v="7"/>
    <s v="abril"/>
    <x v="0"/>
    <x v="0"/>
  </r>
  <r>
    <x v="7"/>
    <n v="0"/>
    <n v="0"/>
    <x v="7"/>
    <s v="abril"/>
    <x v="0"/>
    <x v="0"/>
  </r>
  <r>
    <x v="8"/>
    <n v="0"/>
    <n v="0"/>
    <x v="7"/>
    <s v="abril"/>
    <x v="0"/>
    <x v="0"/>
  </r>
  <r>
    <x v="9"/>
    <n v="2"/>
    <n v="8.6956521739130432E-2"/>
    <x v="7"/>
    <s v="abril"/>
    <x v="0"/>
    <x v="0"/>
  </r>
  <r>
    <x v="0"/>
    <n v="4"/>
    <n v="0.16"/>
    <x v="8"/>
    <s v="abril"/>
    <x v="0"/>
    <x v="0"/>
  </r>
  <r>
    <x v="1"/>
    <n v="1"/>
    <n v="0.04"/>
    <x v="8"/>
    <s v="abril"/>
    <x v="0"/>
    <x v="0"/>
  </r>
  <r>
    <x v="2"/>
    <n v="0"/>
    <n v="0"/>
    <x v="8"/>
    <s v="abril"/>
    <x v="0"/>
    <x v="0"/>
  </r>
  <r>
    <x v="3"/>
    <n v="3"/>
    <n v="0.12"/>
    <x v="8"/>
    <s v="abril"/>
    <x v="0"/>
    <x v="0"/>
  </r>
  <r>
    <x v="4"/>
    <n v="4"/>
    <n v="0.16"/>
    <x v="8"/>
    <s v="abril"/>
    <x v="0"/>
    <x v="0"/>
  </r>
  <r>
    <x v="10"/>
    <n v="5"/>
    <n v="0.2"/>
    <x v="8"/>
    <s v="abril"/>
    <x v="0"/>
    <x v="0"/>
  </r>
  <r>
    <x v="11"/>
    <n v="1"/>
    <n v="0.04"/>
    <x v="8"/>
    <s v="abril"/>
    <x v="0"/>
    <x v="0"/>
  </r>
  <r>
    <x v="7"/>
    <n v="0"/>
    <n v="0"/>
    <x v="8"/>
    <s v="abril"/>
    <x v="0"/>
    <x v="0"/>
  </r>
  <r>
    <x v="8"/>
    <n v="6"/>
    <n v="0.24"/>
    <x v="8"/>
    <s v="abril"/>
    <x v="0"/>
    <x v="0"/>
  </r>
  <r>
    <x v="9"/>
    <n v="1"/>
    <n v="0.04"/>
    <x v="8"/>
    <s v="abril"/>
    <x v="0"/>
    <x v="0"/>
  </r>
  <r>
    <x v="0"/>
    <n v="3"/>
    <n v="0.10714285714285714"/>
    <x v="9"/>
    <s v="abril"/>
    <x v="0"/>
    <x v="0"/>
  </r>
  <r>
    <x v="1"/>
    <n v="0"/>
    <n v="0"/>
    <x v="9"/>
    <s v="abril"/>
    <x v="0"/>
    <x v="0"/>
  </r>
  <r>
    <x v="2"/>
    <n v="1"/>
    <n v="3.5714285714285712E-2"/>
    <x v="9"/>
    <s v="abril"/>
    <x v="0"/>
    <x v="0"/>
  </r>
  <r>
    <x v="3"/>
    <n v="2"/>
    <n v="7.1428571428571425E-2"/>
    <x v="9"/>
    <s v="abril"/>
    <x v="0"/>
    <x v="0"/>
  </r>
  <r>
    <x v="4"/>
    <n v="1"/>
    <n v="3.5714285714285712E-2"/>
    <x v="9"/>
    <s v="abril"/>
    <x v="0"/>
    <x v="0"/>
  </r>
  <r>
    <x v="10"/>
    <n v="0"/>
    <n v="0"/>
    <x v="9"/>
    <s v="abril"/>
    <x v="0"/>
    <x v="0"/>
  </r>
  <r>
    <x v="11"/>
    <n v="13"/>
    <n v="0.4642857142857143"/>
    <x v="9"/>
    <s v="abril"/>
    <x v="0"/>
    <x v="0"/>
  </r>
  <r>
    <x v="7"/>
    <n v="0"/>
    <n v="0"/>
    <x v="9"/>
    <s v="abril"/>
    <x v="0"/>
    <x v="0"/>
  </r>
  <r>
    <x v="8"/>
    <n v="8"/>
    <n v="0.2857142857142857"/>
    <x v="9"/>
    <s v="abril"/>
    <x v="0"/>
    <x v="0"/>
  </r>
  <r>
    <x v="9"/>
    <n v="0"/>
    <n v="0"/>
    <x v="9"/>
    <s v="abril"/>
    <x v="0"/>
    <x v="0"/>
  </r>
  <r>
    <x v="0"/>
    <n v="2"/>
    <n v="0.125"/>
    <x v="10"/>
    <s v="maio"/>
    <x v="0"/>
    <x v="0"/>
  </r>
  <r>
    <x v="1"/>
    <n v="0"/>
    <n v="0"/>
    <x v="10"/>
    <s v="maio"/>
    <x v="0"/>
    <x v="0"/>
  </r>
  <r>
    <x v="2"/>
    <n v="2"/>
    <n v="0.125"/>
    <x v="10"/>
    <s v="maio"/>
    <x v="0"/>
    <x v="0"/>
  </r>
  <r>
    <x v="3"/>
    <n v="0"/>
    <n v="0"/>
    <x v="10"/>
    <s v="maio"/>
    <x v="0"/>
    <x v="0"/>
  </r>
  <r>
    <x v="4"/>
    <n v="5"/>
    <n v="0.3125"/>
    <x v="10"/>
    <s v="maio"/>
    <x v="0"/>
    <x v="0"/>
  </r>
  <r>
    <x v="10"/>
    <n v="0"/>
    <n v="0"/>
    <x v="10"/>
    <s v="maio"/>
    <x v="0"/>
    <x v="0"/>
  </r>
  <r>
    <x v="11"/>
    <n v="5"/>
    <n v="0.3125"/>
    <x v="10"/>
    <s v="maio"/>
    <x v="0"/>
    <x v="0"/>
  </r>
  <r>
    <x v="7"/>
    <n v="0"/>
    <n v="0"/>
    <x v="10"/>
    <s v="maio"/>
    <x v="0"/>
    <x v="0"/>
  </r>
  <r>
    <x v="8"/>
    <n v="2"/>
    <n v="0.125"/>
    <x v="10"/>
    <s v="maio"/>
    <x v="0"/>
    <x v="0"/>
  </r>
  <r>
    <x v="9"/>
    <n v="0"/>
    <n v="0"/>
    <x v="10"/>
    <s v="maio"/>
    <x v="0"/>
    <x v="0"/>
  </r>
  <r>
    <x v="0"/>
    <n v="1"/>
    <n v="0.14285714285714285"/>
    <x v="11"/>
    <s v="maio"/>
    <x v="0"/>
    <x v="0"/>
  </r>
  <r>
    <x v="1"/>
    <n v="0"/>
    <n v="0"/>
    <x v="11"/>
    <s v="maio"/>
    <x v="0"/>
    <x v="0"/>
  </r>
  <r>
    <x v="2"/>
    <n v="0"/>
    <n v="0"/>
    <x v="11"/>
    <s v="maio"/>
    <x v="0"/>
    <x v="0"/>
  </r>
  <r>
    <x v="3"/>
    <n v="0"/>
    <n v="0"/>
    <x v="11"/>
    <s v="maio"/>
    <x v="0"/>
    <x v="0"/>
  </r>
  <r>
    <x v="4"/>
    <n v="0"/>
    <n v="0"/>
    <x v="11"/>
    <s v="maio"/>
    <x v="0"/>
    <x v="0"/>
  </r>
  <r>
    <x v="10"/>
    <n v="0"/>
    <n v="0"/>
    <x v="11"/>
    <s v="maio"/>
    <x v="0"/>
    <x v="0"/>
  </r>
  <r>
    <x v="11"/>
    <n v="0"/>
    <n v="0"/>
    <x v="11"/>
    <s v="maio"/>
    <x v="0"/>
    <x v="0"/>
  </r>
  <r>
    <x v="7"/>
    <n v="0"/>
    <n v="0"/>
    <x v="11"/>
    <s v="maio"/>
    <x v="0"/>
    <x v="0"/>
  </r>
  <r>
    <x v="8"/>
    <n v="3"/>
    <n v="0.42857142857142855"/>
    <x v="11"/>
    <s v="maio"/>
    <x v="0"/>
    <x v="0"/>
  </r>
  <r>
    <x v="9"/>
    <n v="3"/>
    <n v="0.42857142857142855"/>
    <x v="11"/>
    <s v="maio"/>
    <x v="0"/>
    <x v="0"/>
  </r>
  <r>
    <x v="0"/>
    <n v="3"/>
    <n v="0.42857142857142855"/>
    <x v="12"/>
    <s v="maio"/>
    <x v="0"/>
    <x v="0"/>
  </r>
  <r>
    <x v="1"/>
    <n v="0"/>
    <n v="0"/>
    <x v="12"/>
    <s v="maio"/>
    <x v="0"/>
    <x v="0"/>
  </r>
  <r>
    <x v="2"/>
    <n v="2"/>
    <n v="0.2857142857142857"/>
    <x v="12"/>
    <s v="maio"/>
    <x v="0"/>
    <x v="0"/>
  </r>
  <r>
    <x v="3"/>
    <n v="1"/>
    <n v="0.14285714285714285"/>
    <x v="12"/>
    <s v="maio"/>
    <x v="0"/>
    <x v="0"/>
  </r>
  <r>
    <x v="4"/>
    <n v="1"/>
    <n v="0.14285714285714285"/>
    <x v="12"/>
    <s v="maio"/>
    <x v="0"/>
    <x v="0"/>
  </r>
  <r>
    <x v="10"/>
    <n v="0"/>
    <n v="0"/>
    <x v="12"/>
    <s v="maio"/>
    <x v="0"/>
    <x v="0"/>
  </r>
  <r>
    <x v="11"/>
    <n v="0"/>
    <n v="0"/>
    <x v="12"/>
    <s v="maio"/>
    <x v="0"/>
    <x v="0"/>
  </r>
  <r>
    <x v="7"/>
    <n v="0"/>
    <n v="0"/>
    <x v="12"/>
    <s v="maio"/>
    <x v="0"/>
    <x v="0"/>
  </r>
  <r>
    <x v="8"/>
    <n v="0"/>
    <n v="0"/>
    <x v="12"/>
    <s v="maio"/>
    <x v="0"/>
    <x v="0"/>
  </r>
  <r>
    <x v="9"/>
    <n v="0"/>
    <n v="0"/>
    <x v="12"/>
    <s v="maio"/>
    <x v="0"/>
    <x v="0"/>
  </r>
  <r>
    <x v="0"/>
    <n v="4"/>
    <n v="0.2"/>
    <x v="13"/>
    <s v="maio"/>
    <x v="0"/>
    <x v="0"/>
  </r>
  <r>
    <x v="1"/>
    <n v="2"/>
    <n v="0.1"/>
    <x v="13"/>
    <s v="maio"/>
    <x v="0"/>
    <x v="0"/>
  </r>
  <r>
    <x v="2"/>
    <n v="1"/>
    <n v="0.05"/>
    <x v="13"/>
    <s v="maio"/>
    <x v="0"/>
    <x v="0"/>
  </r>
  <r>
    <x v="3"/>
    <n v="4"/>
    <n v="0.2"/>
    <x v="13"/>
    <s v="maio"/>
    <x v="0"/>
    <x v="0"/>
  </r>
  <r>
    <x v="4"/>
    <n v="1"/>
    <n v="0.05"/>
    <x v="13"/>
    <s v="maio"/>
    <x v="0"/>
    <x v="0"/>
  </r>
  <r>
    <x v="10"/>
    <n v="0"/>
    <n v="0"/>
    <x v="13"/>
    <s v="maio"/>
    <x v="0"/>
    <x v="0"/>
  </r>
  <r>
    <x v="11"/>
    <n v="7"/>
    <n v="0.35"/>
    <x v="13"/>
    <s v="maio"/>
    <x v="0"/>
    <x v="0"/>
  </r>
  <r>
    <x v="7"/>
    <n v="0"/>
    <n v="0"/>
    <x v="13"/>
    <s v="maio"/>
    <x v="0"/>
    <x v="0"/>
  </r>
  <r>
    <x v="8"/>
    <n v="0"/>
    <n v="0"/>
    <x v="13"/>
    <s v="maio"/>
    <x v="0"/>
    <x v="0"/>
  </r>
  <r>
    <x v="9"/>
    <n v="1"/>
    <n v="0.05"/>
    <x v="13"/>
    <s v="maio"/>
    <x v="0"/>
    <x v="0"/>
  </r>
  <r>
    <x v="0"/>
    <n v="5"/>
    <n v="1"/>
    <x v="14"/>
    <s v="maio"/>
    <x v="0"/>
    <x v="0"/>
  </r>
  <r>
    <x v="1"/>
    <n v="0"/>
    <n v="0"/>
    <x v="14"/>
    <s v="maio"/>
    <x v="0"/>
    <x v="0"/>
  </r>
  <r>
    <x v="2"/>
    <n v="0"/>
    <n v="0"/>
    <x v="14"/>
    <s v="maio"/>
    <x v="0"/>
    <x v="0"/>
  </r>
  <r>
    <x v="3"/>
    <n v="0"/>
    <n v="0"/>
    <x v="14"/>
    <s v="maio"/>
    <x v="0"/>
    <x v="0"/>
  </r>
  <r>
    <x v="4"/>
    <n v="0"/>
    <n v="0"/>
    <x v="14"/>
    <s v="maio"/>
    <x v="0"/>
    <x v="0"/>
  </r>
  <r>
    <x v="10"/>
    <n v="0"/>
    <n v="0"/>
    <x v="14"/>
    <s v="maio"/>
    <x v="0"/>
    <x v="0"/>
  </r>
  <r>
    <x v="11"/>
    <n v="0"/>
    <n v="0"/>
    <x v="14"/>
    <s v="maio"/>
    <x v="0"/>
    <x v="0"/>
  </r>
  <r>
    <x v="7"/>
    <n v="0"/>
    <n v="0"/>
    <x v="14"/>
    <s v="maio"/>
    <x v="0"/>
    <x v="0"/>
  </r>
  <r>
    <x v="8"/>
    <n v="0"/>
    <n v="0"/>
    <x v="14"/>
    <s v="maio"/>
    <x v="0"/>
    <x v="0"/>
  </r>
  <r>
    <x v="9"/>
    <n v="0"/>
    <n v="0"/>
    <x v="14"/>
    <s v="maio"/>
    <x v="0"/>
    <x v="0"/>
  </r>
  <r>
    <x v="0"/>
    <n v="0"/>
    <n v="0"/>
    <x v="15"/>
    <s v="junho"/>
    <x v="0"/>
    <x v="0"/>
  </r>
  <r>
    <x v="1"/>
    <n v="0"/>
    <n v="0"/>
    <x v="15"/>
    <s v="junho"/>
    <x v="0"/>
    <x v="0"/>
  </r>
  <r>
    <x v="2"/>
    <n v="0"/>
    <n v="0"/>
    <x v="15"/>
    <s v="junho"/>
    <x v="0"/>
    <x v="0"/>
  </r>
  <r>
    <x v="3"/>
    <n v="0"/>
    <n v="0"/>
    <x v="15"/>
    <s v="junho"/>
    <x v="0"/>
    <x v="0"/>
  </r>
  <r>
    <x v="4"/>
    <n v="0"/>
    <n v="0"/>
    <x v="15"/>
    <s v="junho"/>
    <x v="0"/>
    <x v="0"/>
  </r>
  <r>
    <x v="10"/>
    <n v="0"/>
    <n v="0"/>
    <x v="15"/>
    <s v="junho"/>
    <x v="0"/>
    <x v="0"/>
  </r>
  <r>
    <x v="11"/>
    <n v="0"/>
    <n v="0"/>
    <x v="15"/>
    <s v="junho"/>
    <x v="0"/>
    <x v="0"/>
  </r>
  <r>
    <x v="7"/>
    <n v="1"/>
    <n v="0.5"/>
    <x v="15"/>
    <s v="junho"/>
    <x v="0"/>
    <x v="0"/>
  </r>
  <r>
    <x v="8"/>
    <n v="0"/>
    <n v="0"/>
    <x v="15"/>
    <s v="junho"/>
    <x v="0"/>
    <x v="0"/>
  </r>
  <r>
    <x v="9"/>
    <n v="1"/>
    <n v="0.5"/>
    <x v="15"/>
    <s v="junho"/>
    <x v="0"/>
    <x v="0"/>
  </r>
  <r>
    <x v="0"/>
    <n v="2"/>
    <n v="0.5"/>
    <x v="16"/>
    <s v="junho"/>
    <x v="0"/>
    <x v="0"/>
  </r>
  <r>
    <x v="1"/>
    <n v="1"/>
    <n v="0.25"/>
    <x v="16"/>
    <s v="junho"/>
    <x v="0"/>
    <x v="0"/>
  </r>
  <r>
    <x v="2"/>
    <n v="0"/>
    <n v="0"/>
    <x v="16"/>
    <s v="junho"/>
    <x v="0"/>
    <x v="0"/>
  </r>
  <r>
    <x v="3"/>
    <n v="0"/>
    <n v="0"/>
    <x v="16"/>
    <s v="junho"/>
    <x v="0"/>
    <x v="0"/>
  </r>
  <r>
    <x v="4"/>
    <n v="0"/>
    <n v="0"/>
    <x v="16"/>
    <s v="junho"/>
    <x v="0"/>
    <x v="0"/>
  </r>
  <r>
    <x v="10"/>
    <n v="0"/>
    <n v="0"/>
    <x v="16"/>
    <s v="junho"/>
    <x v="0"/>
    <x v="0"/>
  </r>
  <r>
    <x v="11"/>
    <n v="1"/>
    <n v="0.25"/>
    <x v="16"/>
    <s v="junho"/>
    <x v="0"/>
    <x v="0"/>
  </r>
  <r>
    <x v="7"/>
    <n v="0"/>
    <n v="0"/>
    <x v="16"/>
    <s v="junho"/>
    <x v="0"/>
    <x v="0"/>
  </r>
  <r>
    <x v="8"/>
    <n v="0"/>
    <n v="0"/>
    <x v="16"/>
    <s v="junho"/>
    <x v="0"/>
    <x v="0"/>
  </r>
  <r>
    <x v="9"/>
    <n v="0"/>
    <n v="0"/>
    <x v="16"/>
    <s v="junho"/>
    <x v="0"/>
    <x v="0"/>
  </r>
  <r>
    <x v="0"/>
    <n v="3"/>
    <n v="0.375"/>
    <x v="17"/>
    <s v="junho"/>
    <x v="0"/>
    <x v="0"/>
  </r>
  <r>
    <x v="1"/>
    <n v="0"/>
    <n v="0"/>
    <x v="17"/>
    <s v="junho"/>
    <x v="0"/>
    <x v="0"/>
  </r>
  <r>
    <x v="2"/>
    <n v="1"/>
    <n v="0.125"/>
    <x v="17"/>
    <s v="junho"/>
    <x v="0"/>
    <x v="0"/>
  </r>
  <r>
    <x v="3"/>
    <n v="0"/>
    <n v="0"/>
    <x v="17"/>
    <s v="junho"/>
    <x v="0"/>
    <x v="0"/>
  </r>
  <r>
    <x v="4"/>
    <n v="2"/>
    <n v="0.25"/>
    <x v="17"/>
    <s v="junho"/>
    <x v="0"/>
    <x v="0"/>
  </r>
  <r>
    <x v="10"/>
    <n v="0"/>
    <n v="0"/>
    <x v="17"/>
    <s v="junho"/>
    <x v="0"/>
    <x v="0"/>
  </r>
  <r>
    <x v="11"/>
    <n v="0"/>
    <n v="0"/>
    <x v="17"/>
    <s v="junho"/>
    <x v="0"/>
    <x v="0"/>
  </r>
  <r>
    <x v="7"/>
    <n v="0"/>
    <n v="0"/>
    <x v="17"/>
    <s v="junho"/>
    <x v="0"/>
    <x v="0"/>
  </r>
  <r>
    <x v="8"/>
    <n v="0"/>
    <n v="0"/>
    <x v="17"/>
    <s v="junho"/>
    <x v="0"/>
    <x v="0"/>
  </r>
  <r>
    <x v="9"/>
    <n v="2"/>
    <n v="0.25"/>
    <x v="17"/>
    <s v="junho"/>
    <x v="0"/>
    <x v="0"/>
  </r>
  <r>
    <x v="0"/>
    <n v="3"/>
    <n v="0.5"/>
    <x v="18"/>
    <s v="junho"/>
    <x v="0"/>
    <x v="0"/>
  </r>
  <r>
    <x v="1"/>
    <n v="0"/>
    <n v="0"/>
    <x v="18"/>
    <s v="junho"/>
    <x v="0"/>
    <x v="0"/>
  </r>
  <r>
    <x v="2"/>
    <n v="0"/>
    <n v="0"/>
    <x v="18"/>
    <s v="junho"/>
    <x v="0"/>
    <x v="0"/>
  </r>
  <r>
    <x v="3"/>
    <n v="0"/>
    <n v="0"/>
    <x v="18"/>
    <s v="junho"/>
    <x v="0"/>
    <x v="0"/>
  </r>
  <r>
    <x v="4"/>
    <n v="1"/>
    <n v="0.16666666666666666"/>
    <x v="18"/>
    <s v="junho"/>
    <x v="0"/>
    <x v="0"/>
  </r>
  <r>
    <x v="10"/>
    <n v="0"/>
    <n v="0"/>
    <x v="18"/>
    <s v="junho"/>
    <x v="0"/>
    <x v="0"/>
  </r>
  <r>
    <x v="11"/>
    <n v="0"/>
    <n v="0"/>
    <x v="18"/>
    <s v="junho"/>
    <x v="0"/>
    <x v="0"/>
  </r>
  <r>
    <x v="7"/>
    <n v="0"/>
    <n v="0"/>
    <x v="18"/>
    <s v="junho"/>
    <x v="0"/>
    <x v="0"/>
  </r>
  <r>
    <x v="8"/>
    <n v="0"/>
    <n v="0"/>
    <x v="18"/>
    <s v="junho"/>
    <x v="0"/>
    <x v="0"/>
  </r>
  <r>
    <x v="9"/>
    <n v="2"/>
    <n v="0.33333333333333331"/>
    <x v="18"/>
    <s v="junho"/>
    <x v="0"/>
    <x v="0"/>
  </r>
  <r>
    <x v="0"/>
    <n v="0"/>
    <n v="0"/>
    <x v="19"/>
    <s v="julho"/>
    <x v="0"/>
    <x v="1"/>
  </r>
  <r>
    <x v="1"/>
    <n v="0"/>
    <n v="0"/>
    <x v="19"/>
    <s v="julho"/>
    <x v="0"/>
    <x v="1"/>
  </r>
  <r>
    <x v="2"/>
    <n v="0"/>
    <n v="0"/>
    <x v="19"/>
    <s v="julho"/>
    <x v="0"/>
    <x v="1"/>
  </r>
  <r>
    <x v="3"/>
    <n v="0"/>
    <n v="0"/>
    <x v="19"/>
    <s v="julho"/>
    <x v="0"/>
    <x v="1"/>
  </r>
  <r>
    <x v="4"/>
    <n v="1"/>
    <n v="1"/>
    <x v="19"/>
    <s v="julho"/>
    <x v="0"/>
    <x v="1"/>
  </r>
  <r>
    <x v="10"/>
    <n v="0"/>
    <n v="0"/>
    <x v="19"/>
    <s v="julho"/>
    <x v="0"/>
    <x v="1"/>
  </r>
  <r>
    <x v="11"/>
    <n v="0"/>
    <n v="0"/>
    <x v="19"/>
    <s v="julho"/>
    <x v="0"/>
    <x v="1"/>
  </r>
  <r>
    <x v="7"/>
    <n v="0"/>
    <n v="0"/>
    <x v="19"/>
    <s v="julho"/>
    <x v="0"/>
    <x v="1"/>
  </r>
  <r>
    <x v="8"/>
    <n v="0"/>
    <n v="0"/>
    <x v="19"/>
    <s v="julho"/>
    <x v="0"/>
    <x v="1"/>
  </r>
  <r>
    <x v="9"/>
    <n v="0"/>
    <n v="0"/>
    <x v="19"/>
    <s v="julho"/>
    <x v="0"/>
    <x v="1"/>
  </r>
  <r>
    <x v="0"/>
    <n v="4"/>
    <n v="0.8"/>
    <x v="20"/>
    <s v="julho"/>
    <x v="0"/>
    <x v="1"/>
  </r>
  <r>
    <x v="1"/>
    <n v="0"/>
    <n v="0"/>
    <x v="20"/>
    <s v="julho"/>
    <x v="0"/>
    <x v="1"/>
  </r>
  <r>
    <x v="2"/>
    <n v="0"/>
    <n v="0"/>
    <x v="20"/>
    <s v="julho"/>
    <x v="0"/>
    <x v="1"/>
  </r>
  <r>
    <x v="3"/>
    <n v="0"/>
    <n v="0"/>
    <x v="20"/>
    <s v="julho"/>
    <x v="0"/>
    <x v="1"/>
  </r>
  <r>
    <x v="4"/>
    <n v="1"/>
    <n v="0.2"/>
    <x v="20"/>
    <s v="julho"/>
    <x v="0"/>
    <x v="1"/>
  </r>
  <r>
    <x v="10"/>
    <n v="0"/>
    <n v="0"/>
    <x v="20"/>
    <s v="julho"/>
    <x v="0"/>
    <x v="1"/>
  </r>
  <r>
    <x v="11"/>
    <n v="0"/>
    <n v="0"/>
    <x v="20"/>
    <s v="julho"/>
    <x v="0"/>
    <x v="1"/>
  </r>
  <r>
    <x v="7"/>
    <n v="0"/>
    <n v="0"/>
    <x v="20"/>
    <s v="julho"/>
    <x v="0"/>
    <x v="1"/>
  </r>
  <r>
    <x v="8"/>
    <n v="0"/>
    <n v="0"/>
    <x v="20"/>
    <s v="julho"/>
    <x v="0"/>
    <x v="1"/>
  </r>
  <r>
    <x v="9"/>
    <n v="0"/>
    <n v="0"/>
    <x v="20"/>
    <s v="julho"/>
    <x v="0"/>
    <x v="1"/>
  </r>
  <r>
    <x v="0"/>
    <n v="0"/>
    <n v="0"/>
    <x v="21"/>
    <s v="julho"/>
    <x v="0"/>
    <x v="1"/>
  </r>
  <r>
    <x v="1"/>
    <n v="1"/>
    <n v="0.33333333333333331"/>
    <x v="21"/>
    <s v="julho"/>
    <x v="0"/>
    <x v="1"/>
  </r>
  <r>
    <x v="2"/>
    <n v="0"/>
    <n v="0"/>
    <x v="20"/>
    <s v="julho"/>
    <x v="0"/>
    <x v="1"/>
  </r>
  <r>
    <x v="3"/>
    <n v="0"/>
    <n v="0"/>
    <x v="21"/>
    <s v="julho"/>
    <x v="0"/>
    <x v="1"/>
  </r>
  <r>
    <x v="4"/>
    <n v="0"/>
    <n v="0"/>
    <x v="21"/>
    <s v="julho"/>
    <x v="0"/>
    <x v="1"/>
  </r>
  <r>
    <x v="10"/>
    <n v="0"/>
    <n v="0"/>
    <x v="20"/>
    <s v="julho"/>
    <x v="0"/>
    <x v="1"/>
  </r>
  <r>
    <x v="11"/>
    <n v="1"/>
    <n v="0.33333333333333331"/>
    <x v="21"/>
    <s v="julho"/>
    <x v="0"/>
    <x v="1"/>
  </r>
  <r>
    <x v="7"/>
    <n v="0"/>
    <n v="0"/>
    <x v="21"/>
    <s v="julho"/>
    <x v="0"/>
    <x v="1"/>
  </r>
  <r>
    <x v="8"/>
    <n v="0"/>
    <n v="0"/>
    <x v="20"/>
    <s v="julho"/>
    <x v="0"/>
    <x v="1"/>
  </r>
  <r>
    <x v="9"/>
    <n v="1"/>
    <n v="0.33333333333333331"/>
    <x v="21"/>
    <s v="julho"/>
    <x v="0"/>
    <x v="1"/>
  </r>
  <r>
    <x v="12"/>
    <n v="0"/>
    <n v="0"/>
    <x v="21"/>
    <s v="julho"/>
    <x v="0"/>
    <x v="1"/>
  </r>
  <r>
    <x v="0"/>
    <n v="1"/>
    <n v="0.16666666666666666"/>
    <x v="22"/>
    <s v="julho"/>
    <x v="0"/>
    <x v="1"/>
  </r>
  <r>
    <x v="1"/>
    <n v="0"/>
    <n v="0"/>
    <x v="22"/>
    <s v="julho"/>
    <x v="0"/>
    <x v="1"/>
  </r>
  <r>
    <x v="2"/>
    <n v="0"/>
    <n v="0"/>
    <x v="22"/>
    <s v="julho"/>
    <x v="0"/>
    <x v="1"/>
  </r>
  <r>
    <x v="3"/>
    <n v="0"/>
    <n v="0"/>
    <x v="22"/>
    <s v="julho"/>
    <x v="0"/>
    <x v="1"/>
  </r>
  <r>
    <x v="4"/>
    <n v="2"/>
    <n v="0.33333333333333331"/>
    <x v="22"/>
    <s v="julho"/>
    <x v="0"/>
    <x v="1"/>
  </r>
  <r>
    <x v="10"/>
    <n v="0"/>
    <n v="0"/>
    <x v="22"/>
    <s v="julho"/>
    <x v="0"/>
    <x v="1"/>
  </r>
  <r>
    <x v="11"/>
    <n v="0"/>
    <n v="0"/>
    <x v="22"/>
    <s v="julho"/>
    <x v="0"/>
    <x v="1"/>
  </r>
  <r>
    <x v="7"/>
    <n v="0"/>
    <n v="0"/>
    <x v="22"/>
    <s v="julho"/>
    <x v="0"/>
    <x v="1"/>
  </r>
  <r>
    <x v="8"/>
    <n v="2"/>
    <n v="0.33333333333333331"/>
    <x v="22"/>
    <s v="julho"/>
    <x v="0"/>
    <x v="1"/>
  </r>
  <r>
    <x v="9"/>
    <n v="1"/>
    <n v="0.16666666666666666"/>
    <x v="22"/>
    <s v="julho"/>
    <x v="0"/>
    <x v="1"/>
  </r>
  <r>
    <x v="12"/>
    <n v="0"/>
    <n v="0"/>
    <x v="22"/>
    <s v="julho"/>
    <x v="0"/>
    <x v="1"/>
  </r>
  <r>
    <x v="0"/>
    <n v="2"/>
    <n v="0.5"/>
    <x v="23"/>
    <s v="agosto"/>
    <x v="0"/>
    <x v="1"/>
  </r>
  <r>
    <x v="1"/>
    <n v="1"/>
    <n v="0.25"/>
    <x v="23"/>
    <s v="agosto"/>
    <x v="0"/>
    <x v="1"/>
  </r>
  <r>
    <x v="2"/>
    <n v="0"/>
    <n v="0"/>
    <x v="23"/>
    <s v="agosto"/>
    <x v="0"/>
    <x v="1"/>
  </r>
  <r>
    <x v="3"/>
    <n v="0"/>
    <n v="0"/>
    <x v="23"/>
    <s v="agosto"/>
    <x v="0"/>
    <x v="1"/>
  </r>
  <r>
    <x v="4"/>
    <n v="0"/>
    <n v="0"/>
    <x v="23"/>
    <s v="agosto"/>
    <x v="0"/>
    <x v="1"/>
  </r>
  <r>
    <x v="10"/>
    <n v="0"/>
    <n v="0"/>
    <x v="23"/>
    <s v="agosto"/>
    <x v="0"/>
    <x v="1"/>
  </r>
  <r>
    <x v="11"/>
    <n v="1"/>
    <n v="0.25"/>
    <x v="23"/>
    <s v="agosto"/>
    <x v="0"/>
    <x v="1"/>
  </r>
  <r>
    <x v="7"/>
    <n v="0"/>
    <n v="0"/>
    <x v="23"/>
    <s v="agosto"/>
    <x v="0"/>
    <x v="1"/>
  </r>
  <r>
    <x v="8"/>
    <n v="0"/>
    <n v="0"/>
    <x v="23"/>
    <s v="agosto"/>
    <x v="0"/>
    <x v="1"/>
  </r>
  <r>
    <x v="9"/>
    <n v="0"/>
    <n v="0"/>
    <x v="23"/>
    <s v="agosto"/>
    <x v="0"/>
    <x v="1"/>
  </r>
  <r>
    <x v="12"/>
    <n v="0"/>
    <n v="0"/>
    <x v="23"/>
    <s v="agosto"/>
    <x v="0"/>
    <x v="1"/>
  </r>
  <r>
    <x v="0"/>
    <n v="1"/>
    <n v="0.25"/>
    <x v="24"/>
    <s v="agosto"/>
    <x v="0"/>
    <x v="1"/>
  </r>
  <r>
    <x v="1"/>
    <n v="1"/>
    <n v="0.25"/>
    <x v="24"/>
    <s v="agosto"/>
    <x v="0"/>
    <x v="1"/>
  </r>
  <r>
    <x v="2"/>
    <n v="0"/>
    <n v="0"/>
    <x v="24"/>
    <s v="agosto"/>
    <x v="0"/>
    <x v="1"/>
  </r>
  <r>
    <x v="3"/>
    <n v="0"/>
    <n v="0"/>
    <x v="24"/>
    <s v="agosto"/>
    <x v="0"/>
    <x v="1"/>
  </r>
  <r>
    <x v="4"/>
    <n v="0"/>
    <n v="0"/>
    <x v="24"/>
    <s v="agosto"/>
    <x v="0"/>
    <x v="1"/>
  </r>
  <r>
    <x v="10"/>
    <n v="0"/>
    <n v="0"/>
    <x v="24"/>
    <s v="agosto"/>
    <x v="0"/>
    <x v="1"/>
  </r>
  <r>
    <x v="11"/>
    <n v="2"/>
    <n v="0.5"/>
    <x v="24"/>
    <s v="agosto"/>
    <x v="0"/>
    <x v="1"/>
  </r>
  <r>
    <x v="7"/>
    <n v="0"/>
    <n v="0"/>
    <x v="24"/>
    <s v="agosto"/>
    <x v="0"/>
    <x v="1"/>
  </r>
  <r>
    <x v="8"/>
    <n v="0"/>
    <n v="0"/>
    <x v="24"/>
    <s v="agosto"/>
    <x v="0"/>
    <x v="1"/>
  </r>
  <r>
    <x v="9"/>
    <n v="0"/>
    <n v="0"/>
    <x v="24"/>
    <s v="agosto"/>
    <x v="0"/>
    <x v="1"/>
  </r>
  <r>
    <x v="12"/>
    <n v="0"/>
    <n v="0"/>
    <x v="24"/>
    <s v="agosto"/>
    <x v="0"/>
    <x v="1"/>
  </r>
  <r>
    <x v="0"/>
    <n v="5"/>
    <n v="0.7142857142857143"/>
    <x v="25"/>
    <s v="agosto"/>
    <x v="0"/>
    <x v="1"/>
  </r>
  <r>
    <x v="1"/>
    <n v="0"/>
    <n v="0"/>
    <x v="25"/>
    <s v="agosto"/>
    <x v="0"/>
    <x v="1"/>
  </r>
  <r>
    <x v="2"/>
    <n v="0"/>
    <n v="0"/>
    <x v="25"/>
    <s v="agosto"/>
    <x v="0"/>
    <x v="1"/>
  </r>
  <r>
    <x v="3"/>
    <n v="0"/>
    <n v="0"/>
    <x v="25"/>
    <s v="agosto"/>
    <x v="0"/>
    <x v="1"/>
  </r>
  <r>
    <x v="4"/>
    <n v="0"/>
    <n v="0"/>
    <x v="25"/>
    <s v="agosto"/>
    <x v="0"/>
    <x v="1"/>
  </r>
  <r>
    <x v="10"/>
    <n v="0"/>
    <n v="0"/>
    <x v="25"/>
    <s v="agosto"/>
    <x v="0"/>
    <x v="1"/>
  </r>
  <r>
    <x v="11"/>
    <n v="2"/>
    <n v="0.2857142857142857"/>
    <x v="25"/>
    <s v="agosto"/>
    <x v="0"/>
    <x v="1"/>
  </r>
  <r>
    <x v="7"/>
    <n v="0"/>
    <n v="0"/>
    <x v="25"/>
    <s v="agosto"/>
    <x v="0"/>
    <x v="1"/>
  </r>
  <r>
    <x v="8"/>
    <n v="0"/>
    <n v="0"/>
    <x v="25"/>
    <s v="agosto"/>
    <x v="0"/>
    <x v="1"/>
  </r>
  <r>
    <x v="9"/>
    <n v="0"/>
    <n v="0"/>
    <x v="25"/>
    <s v="agosto"/>
    <x v="0"/>
    <x v="1"/>
  </r>
  <r>
    <x v="12"/>
    <n v="0"/>
    <n v="0"/>
    <x v="25"/>
    <s v="agosto"/>
    <x v="0"/>
    <x v="1"/>
  </r>
  <r>
    <x v="0"/>
    <n v="4"/>
    <n v="0.5"/>
    <x v="26"/>
    <s v="agosto"/>
    <x v="0"/>
    <x v="1"/>
  </r>
  <r>
    <x v="1"/>
    <n v="0"/>
    <n v="0"/>
    <x v="26"/>
    <s v="agosto"/>
    <x v="0"/>
    <x v="1"/>
  </r>
  <r>
    <x v="2"/>
    <n v="1"/>
    <n v="0.125"/>
    <x v="26"/>
    <s v="agosto"/>
    <x v="0"/>
    <x v="1"/>
  </r>
  <r>
    <x v="3"/>
    <n v="0"/>
    <n v="0"/>
    <x v="26"/>
    <s v="agosto"/>
    <x v="0"/>
    <x v="1"/>
  </r>
  <r>
    <x v="4"/>
    <n v="1"/>
    <n v="0.125"/>
    <x v="26"/>
    <s v="agosto"/>
    <x v="0"/>
    <x v="1"/>
  </r>
  <r>
    <x v="10"/>
    <n v="0"/>
    <n v="0"/>
    <x v="26"/>
    <s v="agosto"/>
    <x v="0"/>
    <x v="1"/>
  </r>
  <r>
    <x v="11"/>
    <n v="0"/>
    <n v="0"/>
    <x v="26"/>
    <s v="agosto"/>
    <x v="0"/>
    <x v="1"/>
  </r>
  <r>
    <x v="7"/>
    <n v="0"/>
    <n v="0"/>
    <x v="26"/>
    <s v="agosto"/>
    <x v="0"/>
    <x v="1"/>
  </r>
  <r>
    <x v="8"/>
    <n v="2"/>
    <n v="0.25"/>
    <x v="26"/>
    <s v="agosto"/>
    <x v="0"/>
    <x v="1"/>
  </r>
  <r>
    <x v="9"/>
    <n v="0"/>
    <n v="0"/>
    <x v="26"/>
    <s v="agosto"/>
    <x v="0"/>
    <x v="1"/>
  </r>
  <r>
    <x v="12"/>
    <n v="0"/>
    <n v="0"/>
    <x v="26"/>
    <s v="agosto"/>
    <x v="0"/>
    <x v="1"/>
  </r>
  <r>
    <x v="0"/>
    <n v="0"/>
    <n v="0"/>
    <x v="27"/>
    <s v="agosto"/>
    <x v="0"/>
    <x v="1"/>
  </r>
  <r>
    <x v="1"/>
    <n v="0"/>
    <n v="0"/>
    <x v="27"/>
    <s v="agosto"/>
    <x v="0"/>
    <x v="1"/>
  </r>
  <r>
    <x v="2"/>
    <n v="0"/>
    <n v="0"/>
    <x v="27"/>
    <s v="agosto"/>
    <x v="0"/>
    <x v="1"/>
  </r>
  <r>
    <x v="3"/>
    <n v="0"/>
    <n v="0"/>
    <x v="27"/>
    <s v="agosto"/>
    <x v="0"/>
    <x v="1"/>
  </r>
  <r>
    <x v="4"/>
    <n v="2"/>
    <n v="0.4"/>
    <x v="27"/>
    <s v="agosto"/>
    <x v="0"/>
    <x v="1"/>
  </r>
  <r>
    <x v="10"/>
    <n v="0"/>
    <n v="0"/>
    <x v="27"/>
    <s v="agosto"/>
    <x v="0"/>
    <x v="1"/>
  </r>
  <r>
    <x v="11"/>
    <n v="0"/>
    <n v="0"/>
    <x v="27"/>
    <s v="agosto"/>
    <x v="0"/>
    <x v="1"/>
  </r>
  <r>
    <x v="7"/>
    <n v="0"/>
    <n v="0"/>
    <x v="27"/>
    <s v="agosto"/>
    <x v="0"/>
    <x v="1"/>
  </r>
  <r>
    <x v="8"/>
    <n v="0"/>
    <n v="0"/>
    <x v="27"/>
    <s v="agosto"/>
    <x v="0"/>
    <x v="1"/>
  </r>
  <r>
    <x v="9"/>
    <n v="3"/>
    <n v="0.6"/>
    <x v="27"/>
    <s v="agosto"/>
    <x v="0"/>
    <x v="1"/>
  </r>
  <r>
    <x v="12"/>
    <n v="0"/>
    <n v="0"/>
    <x v="27"/>
    <s v="agosto"/>
    <x v="0"/>
    <x v="1"/>
  </r>
  <r>
    <x v="0"/>
    <n v="0"/>
    <n v="0"/>
    <x v="28"/>
    <s v="setembro"/>
    <x v="0"/>
    <x v="1"/>
  </r>
  <r>
    <x v="1"/>
    <n v="0"/>
    <n v="0"/>
    <x v="28"/>
    <s v="setembro"/>
    <x v="0"/>
    <x v="1"/>
  </r>
  <r>
    <x v="2"/>
    <n v="0"/>
    <n v="0"/>
    <x v="28"/>
    <s v="setembro"/>
    <x v="0"/>
    <x v="1"/>
  </r>
  <r>
    <x v="3"/>
    <n v="0"/>
    <n v="0"/>
    <x v="28"/>
    <s v="setembro"/>
    <x v="0"/>
    <x v="1"/>
  </r>
  <r>
    <x v="4"/>
    <n v="0"/>
    <n v="0"/>
    <x v="28"/>
    <s v="setembro"/>
    <x v="0"/>
    <x v="1"/>
  </r>
  <r>
    <x v="10"/>
    <n v="0"/>
    <n v="0"/>
    <x v="28"/>
    <s v="setembro"/>
    <x v="0"/>
    <x v="1"/>
  </r>
  <r>
    <x v="11"/>
    <n v="0"/>
    <n v="0"/>
    <x v="28"/>
    <s v="setembro"/>
    <x v="0"/>
    <x v="1"/>
  </r>
  <r>
    <x v="7"/>
    <n v="0"/>
    <n v="0"/>
    <x v="28"/>
    <s v="setembro"/>
    <x v="0"/>
    <x v="1"/>
  </r>
  <r>
    <x v="8"/>
    <n v="0"/>
    <n v="0"/>
    <x v="28"/>
    <s v="setembro"/>
    <x v="0"/>
    <x v="1"/>
  </r>
  <r>
    <x v="9"/>
    <n v="2"/>
    <n v="1"/>
    <x v="28"/>
    <s v="setembro"/>
    <x v="0"/>
    <x v="1"/>
  </r>
  <r>
    <x v="12"/>
    <n v="0"/>
    <n v="0"/>
    <x v="28"/>
    <s v="setembro"/>
    <x v="0"/>
    <x v="1"/>
  </r>
  <r>
    <x v="0"/>
    <n v="1"/>
    <n v="0.33333333333333331"/>
    <x v="29"/>
    <s v="setembro"/>
    <x v="0"/>
    <x v="1"/>
  </r>
  <r>
    <x v="1"/>
    <n v="0"/>
    <n v="0"/>
    <x v="29"/>
    <s v="setembro"/>
    <x v="0"/>
    <x v="1"/>
  </r>
  <r>
    <x v="2"/>
    <n v="0"/>
    <n v="0"/>
    <x v="29"/>
    <s v="setembro"/>
    <x v="0"/>
    <x v="1"/>
  </r>
  <r>
    <x v="3"/>
    <n v="0"/>
    <n v="0"/>
    <x v="29"/>
    <s v="setembro"/>
    <x v="0"/>
    <x v="1"/>
  </r>
  <r>
    <x v="4"/>
    <n v="0"/>
    <n v="0"/>
    <x v="29"/>
    <s v="setembro"/>
    <x v="0"/>
    <x v="1"/>
  </r>
  <r>
    <x v="10"/>
    <n v="0"/>
    <n v="0"/>
    <x v="29"/>
    <s v="setembro"/>
    <x v="0"/>
    <x v="1"/>
  </r>
  <r>
    <x v="11"/>
    <n v="1"/>
    <n v="0.33333333333333331"/>
    <x v="29"/>
    <s v="setembro"/>
    <x v="0"/>
    <x v="1"/>
  </r>
  <r>
    <x v="7"/>
    <n v="0"/>
    <n v="0"/>
    <x v="29"/>
    <s v="setembro"/>
    <x v="0"/>
    <x v="1"/>
  </r>
  <r>
    <x v="8"/>
    <n v="0"/>
    <n v="0"/>
    <x v="29"/>
    <s v="setembro"/>
    <x v="0"/>
    <x v="1"/>
  </r>
  <r>
    <x v="9"/>
    <n v="1"/>
    <n v="0.33333333333333331"/>
    <x v="29"/>
    <s v="setembro"/>
    <x v="0"/>
    <x v="1"/>
  </r>
  <r>
    <x v="12"/>
    <n v="0"/>
    <n v="0"/>
    <x v="29"/>
    <s v="setembro"/>
    <x v="0"/>
    <x v="1"/>
  </r>
  <r>
    <x v="0"/>
    <n v="0"/>
    <n v="0"/>
    <x v="30"/>
    <s v="setembro"/>
    <x v="0"/>
    <x v="1"/>
  </r>
  <r>
    <x v="1"/>
    <n v="0"/>
    <n v="0"/>
    <x v="30"/>
    <s v="setembro"/>
    <x v="0"/>
    <x v="1"/>
  </r>
  <r>
    <x v="2"/>
    <n v="0"/>
    <n v="0"/>
    <x v="30"/>
    <s v="setembro"/>
    <x v="0"/>
    <x v="1"/>
  </r>
  <r>
    <x v="3"/>
    <n v="1"/>
    <n v="1"/>
    <x v="30"/>
    <s v="setembro"/>
    <x v="0"/>
    <x v="1"/>
  </r>
  <r>
    <x v="4"/>
    <n v="0"/>
    <n v="0"/>
    <x v="30"/>
    <s v="setembro"/>
    <x v="0"/>
    <x v="1"/>
  </r>
  <r>
    <x v="10"/>
    <n v="0"/>
    <n v="0"/>
    <x v="30"/>
    <s v="setembro"/>
    <x v="0"/>
    <x v="1"/>
  </r>
  <r>
    <x v="11"/>
    <n v="0"/>
    <n v="0"/>
    <x v="30"/>
    <s v="setembro"/>
    <x v="0"/>
    <x v="1"/>
  </r>
  <r>
    <x v="7"/>
    <n v="0"/>
    <n v="0"/>
    <x v="30"/>
    <s v="setembro"/>
    <x v="0"/>
    <x v="1"/>
  </r>
  <r>
    <x v="8"/>
    <n v="0"/>
    <n v="0"/>
    <x v="30"/>
    <s v="setembro"/>
    <x v="0"/>
    <x v="1"/>
  </r>
  <r>
    <x v="9"/>
    <n v="0"/>
    <n v="0"/>
    <x v="30"/>
    <s v="setembro"/>
    <x v="0"/>
    <x v="1"/>
  </r>
  <r>
    <x v="12"/>
    <n v="0"/>
    <n v="0"/>
    <x v="30"/>
    <s v="setembro"/>
    <x v="0"/>
    <x v="1"/>
  </r>
  <r>
    <x v="0"/>
    <n v="0"/>
    <n v="0"/>
    <x v="31"/>
    <s v="setembro"/>
    <x v="0"/>
    <x v="1"/>
  </r>
  <r>
    <x v="1"/>
    <n v="0"/>
    <n v="0"/>
    <x v="31"/>
    <s v="setembro"/>
    <x v="0"/>
    <x v="1"/>
  </r>
  <r>
    <x v="2"/>
    <n v="1"/>
    <n v="1"/>
    <x v="31"/>
    <s v="setembro"/>
    <x v="0"/>
    <x v="1"/>
  </r>
  <r>
    <x v="3"/>
    <n v="0"/>
    <n v="0"/>
    <x v="31"/>
    <s v="setembro"/>
    <x v="0"/>
    <x v="1"/>
  </r>
  <r>
    <x v="4"/>
    <n v="0"/>
    <n v="0"/>
    <x v="31"/>
    <s v="setembro"/>
    <x v="0"/>
    <x v="1"/>
  </r>
  <r>
    <x v="10"/>
    <n v="0"/>
    <n v="0"/>
    <x v="31"/>
    <s v="setembro"/>
    <x v="0"/>
    <x v="1"/>
  </r>
  <r>
    <x v="11"/>
    <n v="0"/>
    <n v="0"/>
    <x v="31"/>
    <s v="setembro"/>
    <x v="0"/>
    <x v="1"/>
  </r>
  <r>
    <x v="7"/>
    <n v="0"/>
    <n v="0"/>
    <x v="31"/>
    <s v="setembro"/>
    <x v="0"/>
    <x v="1"/>
  </r>
  <r>
    <x v="8"/>
    <n v="0"/>
    <n v="0"/>
    <x v="31"/>
    <s v="setembro"/>
    <x v="0"/>
    <x v="1"/>
  </r>
  <r>
    <x v="9"/>
    <n v="0"/>
    <n v="0"/>
    <x v="31"/>
    <s v="setembro"/>
    <x v="0"/>
    <x v="1"/>
  </r>
  <r>
    <x v="12"/>
    <n v="0"/>
    <n v="0"/>
    <x v="31"/>
    <s v="setembro"/>
    <x v="0"/>
    <x v="1"/>
  </r>
  <r>
    <x v="0"/>
    <n v="0"/>
    <n v="0"/>
    <x v="32"/>
    <s v="outubro"/>
    <x v="0"/>
    <x v="1"/>
  </r>
  <r>
    <x v="1"/>
    <n v="0"/>
    <n v="0"/>
    <x v="32"/>
    <s v="outubro"/>
    <x v="0"/>
    <x v="1"/>
  </r>
  <r>
    <x v="2"/>
    <n v="0"/>
    <n v="0"/>
    <x v="32"/>
    <s v="outubro"/>
    <x v="0"/>
    <x v="1"/>
  </r>
  <r>
    <x v="3"/>
    <n v="0"/>
    <n v="0"/>
    <x v="32"/>
    <s v="outubro"/>
    <x v="0"/>
    <x v="1"/>
  </r>
  <r>
    <x v="4"/>
    <n v="0"/>
    <n v="0"/>
    <x v="32"/>
    <s v="outubro"/>
    <x v="0"/>
    <x v="1"/>
  </r>
  <r>
    <x v="10"/>
    <n v="0"/>
    <n v="0"/>
    <x v="32"/>
    <s v="outubro"/>
    <x v="0"/>
    <x v="1"/>
  </r>
  <r>
    <x v="11"/>
    <n v="0"/>
    <n v="0"/>
    <x v="32"/>
    <s v="outubro"/>
    <x v="0"/>
    <x v="1"/>
  </r>
  <r>
    <x v="7"/>
    <n v="1"/>
    <n v="8.3333333333333329E-2"/>
    <x v="32"/>
    <s v="outubro"/>
    <x v="0"/>
    <x v="1"/>
  </r>
  <r>
    <x v="8"/>
    <n v="11"/>
    <n v="0.91666666666666663"/>
    <x v="32"/>
    <s v="outubro"/>
    <x v="0"/>
    <x v="1"/>
  </r>
  <r>
    <x v="9"/>
    <n v="0"/>
    <n v="0"/>
    <x v="32"/>
    <s v="outubro"/>
    <x v="0"/>
    <x v="1"/>
  </r>
  <r>
    <x v="12"/>
    <n v="0"/>
    <n v="0"/>
    <x v="32"/>
    <s v="outubro"/>
    <x v="0"/>
    <x v="1"/>
  </r>
  <r>
    <x v="0"/>
    <n v="3"/>
    <n v="0.75"/>
    <x v="33"/>
    <s v="outubro"/>
    <x v="0"/>
    <x v="1"/>
  </r>
  <r>
    <x v="1"/>
    <n v="0"/>
    <n v="0"/>
    <x v="33"/>
    <s v="outubro"/>
    <x v="0"/>
    <x v="1"/>
  </r>
  <r>
    <x v="2"/>
    <n v="0"/>
    <n v="0"/>
    <x v="33"/>
    <s v="outubro"/>
    <x v="0"/>
    <x v="1"/>
  </r>
  <r>
    <x v="3"/>
    <n v="0"/>
    <n v="0"/>
    <x v="33"/>
    <s v="outubro"/>
    <x v="0"/>
    <x v="1"/>
  </r>
  <r>
    <x v="4"/>
    <n v="1"/>
    <n v="0.25"/>
    <x v="33"/>
    <s v="outubro"/>
    <x v="0"/>
    <x v="1"/>
  </r>
  <r>
    <x v="10"/>
    <n v="0"/>
    <n v="0"/>
    <x v="33"/>
    <s v="outubro"/>
    <x v="0"/>
    <x v="1"/>
  </r>
  <r>
    <x v="11"/>
    <n v="0"/>
    <n v="0"/>
    <x v="33"/>
    <s v="outubro"/>
    <x v="0"/>
    <x v="1"/>
  </r>
  <r>
    <x v="7"/>
    <n v="0"/>
    <n v="0"/>
    <x v="33"/>
    <s v="outubro"/>
    <x v="0"/>
    <x v="1"/>
  </r>
  <r>
    <x v="8"/>
    <n v="0"/>
    <n v="0"/>
    <x v="33"/>
    <s v="outubro"/>
    <x v="0"/>
    <x v="1"/>
  </r>
  <r>
    <x v="9"/>
    <n v="0"/>
    <n v="0"/>
    <x v="33"/>
    <s v="outubro"/>
    <x v="0"/>
    <x v="1"/>
  </r>
  <r>
    <x v="12"/>
    <n v="0"/>
    <n v="0"/>
    <x v="33"/>
    <s v="outubro"/>
    <x v="0"/>
    <x v="1"/>
  </r>
  <r>
    <x v="0"/>
    <n v="4"/>
    <n v="0.66666666666666663"/>
    <x v="34"/>
    <s v="outubro"/>
    <x v="0"/>
    <x v="1"/>
  </r>
  <r>
    <x v="1"/>
    <n v="0"/>
    <n v="0"/>
    <x v="34"/>
    <s v="outubro"/>
    <x v="0"/>
    <x v="1"/>
  </r>
  <r>
    <x v="2"/>
    <n v="0"/>
    <n v="0"/>
    <x v="34"/>
    <s v="outubro"/>
    <x v="0"/>
    <x v="1"/>
  </r>
  <r>
    <x v="3"/>
    <n v="0"/>
    <n v="0"/>
    <x v="34"/>
    <s v="outubro"/>
    <x v="0"/>
    <x v="1"/>
  </r>
  <r>
    <x v="4"/>
    <n v="2"/>
    <n v="0.33333333333333331"/>
    <x v="34"/>
    <s v="outubro"/>
    <x v="0"/>
    <x v="1"/>
  </r>
  <r>
    <x v="10"/>
    <n v="0"/>
    <n v="0"/>
    <x v="34"/>
    <s v="outubro"/>
    <x v="0"/>
    <x v="1"/>
  </r>
  <r>
    <x v="11"/>
    <n v="0"/>
    <n v="0"/>
    <x v="34"/>
    <s v="outubro"/>
    <x v="0"/>
    <x v="1"/>
  </r>
  <r>
    <x v="7"/>
    <n v="0"/>
    <n v="0"/>
    <x v="34"/>
    <s v="outubro"/>
    <x v="0"/>
    <x v="1"/>
  </r>
  <r>
    <x v="8"/>
    <n v="0"/>
    <n v="0"/>
    <x v="34"/>
    <s v="outubro"/>
    <x v="0"/>
    <x v="1"/>
  </r>
  <r>
    <x v="9"/>
    <n v="0"/>
    <n v="0"/>
    <x v="34"/>
    <s v="outubro"/>
    <x v="0"/>
    <x v="1"/>
  </r>
  <r>
    <x v="12"/>
    <n v="0"/>
    <n v="0"/>
    <x v="34"/>
    <s v="outubro"/>
    <x v="0"/>
    <x v="1"/>
  </r>
  <r>
    <x v="0"/>
    <n v="3"/>
    <n v="0.5"/>
    <x v="35"/>
    <s v="outubro"/>
    <x v="0"/>
    <x v="1"/>
  </r>
  <r>
    <x v="1"/>
    <n v="1"/>
    <n v="0.16666666666666666"/>
    <x v="35"/>
    <s v="outubro"/>
    <x v="0"/>
    <x v="1"/>
  </r>
  <r>
    <x v="2"/>
    <n v="0"/>
    <n v="0"/>
    <x v="35"/>
    <s v="outubro"/>
    <x v="0"/>
    <x v="1"/>
  </r>
  <r>
    <x v="3"/>
    <n v="0"/>
    <n v="0"/>
    <x v="35"/>
    <s v="outubro"/>
    <x v="0"/>
    <x v="1"/>
  </r>
  <r>
    <x v="4"/>
    <n v="2"/>
    <n v="0.33333333333333331"/>
    <x v="35"/>
    <s v="outubro"/>
    <x v="0"/>
    <x v="1"/>
  </r>
  <r>
    <x v="10"/>
    <n v="0"/>
    <n v="0"/>
    <x v="35"/>
    <s v="outubro"/>
    <x v="0"/>
    <x v="1"/>
  </r>
  <r>
    <x v="11"/>
    <n v="0"/>
    <n v="0"/>
    <x v="35"/>
    <s v="outubro"/>
    <x v="0"/>
    <x v="1"/>
  </r>
  <r>
    <x v="7"/>
    <n v="0"/>
    <n v="0"/>
    <x v="35"/>
    <s v="outubro"/>
    <x v="0"/>
    <x v="1"/>
  </r>
  <r>
    <x v="8"/>
    <n v="0"/>
    <n v="0"/>
    <x v="35"/>
    <s v="outubro"/>
    <x v="0"/>
    <x v="1"/>
  </r>
  <r>
    <x v="9"/>
    <n v="0"/>
    <n v="0"/>
    <x v="35"/>
    <s v="outubro"/>
    <x v="0"/>
    <x v="1"/>
  </r>
  <r>
    <x v="12"/>
    <n v="0"/>
    <n v="0"/>
    <x v="35"/>
    <s v="outubro"/>
    <x v="0"/>
    <x v="1"/>
  </r>
  <r>
    <x v="0"/>
    <n v="1"/>
    <n v="1"/>
    <x v="36"/>
    <s v="outubro"/>
    <x v="0"/>
    <x v="1"/>
  </r>
  <r>
    <x v="1"/>
    <n v="0"/>
    <n v="0"/>
    <x v="36"/>
    <s v="outubro"/>
    <x v="0"/>
    <x v="1"/>
  </r>
  <r>
    <x v="2"/>
    <n v="0"/>
    <n v="0"/>
    <x v="36"/>
    <s v="outubro"/>
    <x v="0"/>
    <x v="1"/>
  </r>
  <r>
    <x v="3"/>
    <n v="0"/>
    <n v="0"/>
    <x v="36"/>
    <s v="outubro"/>
    <x v="0"/>
    <x v="1"/>
  </r>
  <r>
    <x v="4"/>
    <n v="0"/>
    <n v="0"/>
    <x v="36"/>
    <s v="outubro"/>
    <x v="0"/>
    <x v="1"/>
  </r>
  <r>
    <x v="10"/>
    <n v="0"/>
    <n v="0"/>
    <x v="36"/>
    <s v="outubro"/>
    <x v="0"/>
    <x v="1"/>
  </r>
  <r>
    <x v="11"/>
    <n v="0"/>
    <n v="0"/>
    <x v="36"/>
    <s v="outubro"/>
    <x v="0"/>
    <x v="1"/>
  </r>
  <r>
    <x v="7"/>
    <n v="0"/>
    <n v="0"/>
    <x v="36"/>
    <s v="outubro"/>
    <x v="0"/>
    <x v="1"/>
  </r>
  <r>
    <x v="8"/>
    <n v="0"/>
    <n v="0"/>
    <x v="36"/>
    <s v="outubro"/>
    <x v="0"/>
    <x v="1"/>
  </r>
  <r>
    <x v="9"/>
    <n v="0"/>
    <n v="0"/>
    <x v="36"/>
    <s v="outubro"/>
    <x v="0"/>
    <x v="1"/>
  </r>
  <r>
    <x v="12"/>
    <n v="0"/>
    <n v="0"/>
    <x v="36"/>
    <s v="outubro"/>
    <x v="0"/>
    <x v="1"/>
  </r>
  <r>
    <x v="0"/>
    <n v="1"/>
    <n v="0.1"/>
    <x v="37"/>
    <s v="novembro"/>
    <x v="0"/>
    <x v="1"/>
  </r>
  <r>
    <x v="1"/>
    <n v="2"/>
    <n v="0.2"/>
    <x v="37"/>
    <s v="novembro"/>
    <x v="0"/>
    <x v="1"/>
  </r>
  <r>
    <x v="2"/>
    <n v="1"/>
    <n v="0.1"/>
    <x v="37"/>
    <s v="novembro"/>
    <x v="0"/>
    <x v="1"/>
  </r>
  <r>
    <x v="3"/>
    <n v="1"/>
    <n v="0.1"/>
    <x v="37"/>
    <s v="novembro"/>
    <x v="0"/>
    <x v="1"/>
  </r>
  <r>
    <x v="4"/>
    <n v="1"/>
    <n v="0.1"/>
    <x v="37"/>
    <s v="novembro"/>
    <x v="0"/>
    <x v="1"/>
  </r>
  <r>
    <x v="10"/>
    <n v="0"/>
    <n v="0"/>
    <x v="37"/>
    <s v="novembro"/>
    <x v="0"/>
    <x v="1"/>
  </r>
  <r>
    <x v="11"/>
    <n v="1"/>
    <n v="0.1"/>
    <x v="37"/>
    <s v="novembro"/>
    <x v="0"/>
    <x v="1"/>
  </r>
  <r>
    <x v="7"/>
    <n v="0"/>
    <n v="0"/>
    <x v="37"/>
    <s v="novembro"/>
    <x v="0"/>
    <x v="1"/>
  </r>
  <r>
    <x v="8"/>
    <n v="0"/>
    <n v="0"/>
    <x v="37"/>
    <s v="novembro"/>
    <x v="0"/>
    <x v="1"/>
  </r>
  <r>
    <x v="9"/>
    <n v="3"/>
    <n v="0.3"/>
    <x v="37"/>
    <s v="novembro"/>
    <x v="0"/>
    <x v="1"/>
  </r>
  <r>
    <x v="12"/>
    <n v="0"/>
    <n v="0"/>
    <x v="37"/>
    <s v="novembro"/>
    <x v="0"/>
    <x v="1"/>
  </r>
  <r>
    <x v="0"/>
    <n v="0"/>
    <n v="0"/>
    <x v="38"/>
    <s v="novembro"/>
    <x v="0"/>
    <x v="1"/>
  </r>
  <r>
    <x v="1"/>
    <n v="0"/>
    <n v="0"/>
    <x v="38"/>
    <s v="novembro"/>
    <x v="0"/>
    <x v="1"/>
  </r>
  <r>
    <x v="2"/>
    <n v="0"/>
    <n v="0"/>
    <x v="38"/>
    <s v="novembro"/>
    <x v="0"/>
    <x v="1"/>
  </r>
  <r>
    <x v="3"/>
    <n v="0"/>
    <n v="0"/>
    <x v="38"/>
    <s v="novembro"/>
    <x v="0"/>
    <x v="1"/>
  </r>
  <r>
    <x v="4"/>
    <n v="1"/>
    <n v="0.5"/>
    <x v="38"/>
    <s v="novembro"/>
    <x v="0"/>
    <x v="1"/>
  </r>
  <r>
    <x v="10"/>
    <n v="0"/>
    <n v="0"/>
    <x v="38"/>
    <s v="novembro"/>
    <x v="0"/>
    <x v="1"/>
  </r>
  <r>
    <x v="11"/>
    <n v="0"/>
    <n v="0"/>
    <x v="38"/>
    <s v="novembro"/>
    <x v="0"/>
    <x v="1"/>
  </r>
  <r>
    <x v="7"/>
    <n v="0"/>
    <n v="0"/>
    <x v="38"/>
    <s v="novembro"/>
    <x v="0"/>
    <x v="1"/>
  </r>
  <r>
    <x v="8"/>
    <n v="0"/>
    <n v="0"/>
    <x v="38"/>
    <s v="novembro"/>
    <x v="0"/>
    <x v="1"/>
  </r>
  <r>
    <x v="9"/>
    <n v="1"/>
    <n v="0.5"/>
    <x v="38"/>
    <s v="novembro"/>
    <x v="0"/>
    <x v="1"/>
  </r>
  <r>
    <x v="12"/>
    <n v="0"/>
    <n v="0"/>
    <x v="38"/>
    <s v="novembro"/>
    <x v="0"/>
    <x v="1"/>
  </r>
  <r>
    <x v="0"/>
    <n v="0"/>
    <n v="0"/>
    <x v="39"/>
    <s v="dezembro"/>
    <x v="0"/>
    <x v="1"/>
  </r>
  <r>
    <x v="1"/>
    <n v="0"/>
    <n v="0"/>
    <x v="39"/>
    <s v="dezembro"/>
    <x v="0"/>
    <x v="1"/>
  </r>
  <r>
    <x v="2"/>
    <n v="0"/>
    <n v="0"/>
    <x v="39"/>
    <s v="dezembro"/>
    <x v="0"/>
    <x v="1"/>
  </r>
  <r>
    <x v="3"/>
    <n v="0"/>
    <n v="0"/>
    <x v="39"/>
    <s v="dezembro"/>
    <x v="0"/>
    <x v="1"/>
  </r>
  <r>
    <x v="4"/>
    <n v="3"/>
    <n v="1"/>
    <x v="39"/>
    <s v="dezembro"/>
    <x v="0"/>
    <x v="1"/>
  </r>
  <r>
    <x v="10"/>
    <n v="0"/>
    <n v="0"/>
    <x v="39"/>
    <s v="dezembro"/>
    <x v="0"/>
    <x v="1"/>
  </r>
  <r>
    <x v="11"/>
    <n v="0"/>
    <n v="0"/>
    <x v="39"/>
    <s v="dezembro"/>
    <x v="0"/>
    <x v="1"/>
  </r>
  <r>
    <x v="7"/>
    <n v="0"/>
    <n v="0"/>
    <x v="39"/>
    <s v="dezembro"/>
    <x v="0"/>
    <x v="1"/>
  </r>
  <r>
    <x v="8"/>
    <n v="0"/>
    <n v="0"/>
    <x v="39"/>
    <s v="dezembro"/>
    <x v="0"/>
    <x v="1"/>
  </r>
  <r>
    <x v="9"/>
    <n v="0"/>
    <n v="0"/>
    <x v="39"/>
    <s v="dezembro"/>
    <x v="0"/>
    <x v="1"/>
  </r>
  <r>
    <x v="12"/>
    <n v="0"/>
    <n v="0"/>
    <x v="39"/>
    <s v="dezembro"/>
    <x v="0"/>
    <x v="1"/>
  </r>
  <r>
    <x v="0"/>
    <n v="0"/>
    <n v="0"/>
    <x v="40"/>
    <s v="dezembro"/>
    <x v="0"/>
    <x v="1"/>
  </r>
  <r>
    <x v="1"/>
    <n v="1"/>
    <n v="1"/>
    <x v="40"/>
    <s v="dezembro"/>
    <x v="0"/>
    <x v="1"/>
  </r>
  <r>
    <x v="2"/>
    <n v="0"/>
    <n v="0"/>
    <x v="40"/>
    <s v="dezembro"/>
    <x v="0"/>
    <x v="1"/>
  </r>
  <r>
    <x v="3"/>
    <n v="0"/>
    <n v="0"/>
    <x v="40"/>
    <s v="dezembro"/>
    <x v="0"/>
    <x v="1"/>
  </r>
  <r>
    <x v="4"/>
    <n v="0"/>
    <n v="0"/>
    <x v="40"/>
    <s v="dezembro"/>
    <x v="0"/>
    <x v="1"/>
  </r>
  <r>
    <x v="10"/>
    <n v="0"/>
    <n v="0"/>
    <x v="40"/>
    <s v="dezembro"/>
    <x v="0"/>
    <x v="1"/>
  </r>
  <r>
    <x v="11"/>
    <n v="0"/>
    <n v="0"/>
    <x v="40"/>
    <s v="dezembro"/>
    <x v="0"/>
    <x v="1"/>
  </r>
  <r>
    <x v="7"/>
    <n v="0"/>
    <n v="0"/>
    <x v="40"/>
    <s v="dezembro"/>
    <x v="0"/>
    <x v="1"/>
  </r>
  <r>
    <x v="8"/>
    <n v="0"/>
    <n v="0"/>
    <x v="40"/>
    <s v="dezembro"/>
    <x v="0"/>
    <x v="1"/>
  </r>
  <r>
    <x v="9"/>
    <n v="0"/>
    <n v="0"/>
    <x v="40"/>
    <s v="dezembro"/>
    <x v="0"/>
    <x v="1"/>
  </r>
  <r>
    <x v="12"/>
    <n v="0"/>
    <n v="0"/>
    <x v="40"/>
    <s v="dezembro"/>
    <x v="0"/>
    <x v="1"/>
  </r>
  <r>
    <x v="0"/>
    <n v="0"/>
    <n v="0"/>
    <x v="41"/>
    <s v="janeiro"/>
    <x v="1"/>
    <x v="0"/>
  </r>
  <r>
    <x v="1"/>
    <n v="2"/>
    <n v="0.66666666666666663"/>
    <x v="41"/>
    <s v="janeiro"/>
    <x v="1"/>
    <x v="0"/>
  </r>
  <r>
    <x v="2"/>
    <n v="1"/>
    <n v="0.33333333333333331"/>
    <x v="41"/>
    <s v="janeiro"/>
    <x v="1"/>
    <x v="0"/>
  </r>
  <r>
    <x v="3"/>
    <n v="0"/>
    <n v="0"/>
    <x v="41"/>
    <s v="janeiro"/>
    <x v="1"/>
    <x v="0"/>
  </r>
  <r>
    <x v="4"/>
    <n v="0"/>
    <n v="0"/>
    <x v="41"/>
    <s v="janeiro"/>
    <x v="1"/>
    <x v="0"/>
  </r>
  <r>
    <x v="10"/>
    <n v="0"/>
    <n v="0"/>
    <x v="41"/>
    <s v="janeiro"/>
    <x v="1"/>
    <x v="0"/>
  </r>
  <r>
    <x v="11"/>
    <n v="0"/>
    <n v="0"/>
    <x v="41"/>
    <s v="janeiro"/>
    <x v="1"/>
    <x v="0"/>
  </r>
  <r>
    <x v="7"/>
    <n v="0"/>
    <n v="0"/>
    <x v="41"/>
    <s v="janeiro"/>
    <x v="1"/>
    <x v="0"/>
  </r>
  <r>
    <x v="8"/>
    <n v="0"/>
    <n v="0"/>
    <x v="41"/>
    <s v="janeiro"/>
    <x v="1"/>
    <x v="0"/>
  </r>
  <r>
    <x v="9"/>
    <n v="0"/>
    <n v="0"/>
    <x v="41"/>
    <s v="janeiro"/>
    <x v="1"/>
    <x v="0"/>
  </r>
  <r>
    <x v="12"/>
    <n v="0"/>
    <n v="0"/>
    <x v="41"/>
    <s v="janeiro"/>
    <x v="1"/>
    <x v="0"/>
  </r>
  <r>
    <x v="0"/>
    <n v="0"/>
    <n v="0"/>
    <x v="42"/>
    <s v="janeiro"/>
    <x v="1"/>
    <x v="0"/>
  </r>
  <r>
    <x v="1"/>
    <n v="0"/>
    <n v="0"/>
    <x v="42"/>
    <s v="janeiro"/>
    <x v="1"/>
    <x v="0"/>
  </r>
  <r>
    <x v="2"/>
    <n v="0"/>
    <n v="0"/>
    <x v="42"/>
    <s v="janeiro"/>
    <x v="1"/>
    <x v="0"/>
  </r>
  <r>
    <x v="3"/>
    <n v="0"/>
    <n v="0"/>
    <x v="42"/>
    <s v="janeiro"/>
    <x v="1"/>
    <x v="0"/>
  </r>
  <r>
    <x v="4"/>
    <n v="0"/>
    <n v="0"/>
    <x v="42"/>
    <s v="janeiro"/>
    <x v="1"/>
    <x v="0"/>
  </r>
  <r>
    <x v="10"/>
    <n v="0"/>
    <n v="0"/>
    <x v="42"/>
    <s v="janeiro"/>
    <x v="1"/>
    <x v="0"/>
  </r>
  <r>
    <x v="11"/>
    <n v="0"/>
    <n v="0"/>
    <x v="42"/>
    <s v="janeiro"/>
    <x v="1"/>
    <x v="0"/>
  </r>
  <r>
    <x v="7"/>
    <n v="0"/>
    <n v="0"/>
    <x v="42"/>
    <s v="janeiro"/>
    <x v="1"/>
    <x v="0"/>
  </r>
  <r>
    <x v="8"/>
    <n v="0"/>
    <n v="0"/>
    <x v="42"/>
    <s v="janeiro"/>
    <x v="1"/>
    <x v="0"/>
  </r>
  <r>
    <x v="9"/>
    <n v="1"/>
    <n v="1"/>
    <x v="42"/>
    <s v="janeiro"/>
    <x v="1"/>
    <x v="0"/>
  </r>
  <r>
    <x v="12"/>
    <n v="0"/>
    <n v="0"/>
    <x v="42"/>
    <s v="janeiro"/>
    <x v="1"/>
    <x v="0"/>
  </r>
  <r>
    <x v="0"/>
    <n v="0"/>
    <n v="0"/>
    <x v="43"/>
    <s v="janeiro"/>
    <x v="1"/>
    <x v="0"/>
  </r>
  <r>
    <x v="1"/>
    <n v="2"/>
    <n v="1"/>
    <x v="43"/>
    <s v="janeiro"/>
    <x v="1"/>
    <x v="0"/>
  </r>
  <r>
    <x v="2"/>
    <n v="0"/>
    <n v="0"/>
    <x v="43"/>
    <s v="janeiro"/>
    <x v="1"/>
    <x v="0"/>
  </r>
  <r>
    <x v="3"/>
    <n v="0"/>
    <n v="0"/>
    <x v="43"/>
    <s v="janeiro"/>
    <x v="1"/>
    <x v="0"/>
  </r>
  <r>
    <x v="4"/>
    <n v="0"/>
    <n v="0"/>
    <x v="43"/>
    <s v="janeiro"/>
    <x v="1"/>
    <x v="0"/>
  </r>
  <r>
    <x v="10"/>
    <n v="0"/>
    <n v="0"/>
    <x v="43"/>
    <s v="janeiro"/>
    <x v="1"/>
    <x v="0"/>
  </r>
  <r>
    <x v="11"/>
    <n v="0"/>
    <n v="0"/>
    <x v="43"/>
    <s v="janeiro"/>
    <x v="1"/>
    <x v="0"/>
  </r>
  <r>
    <x v="7"/>
    <n v="0"/>
    <n v="0"/>
    <x v="43"/>
    <s v="janeiro"/>
    <x v="1"/>
    <x v="0"/>
  </r>
  <r>
    <x v="8"/>
    <n v="0"/>
    <n v="0"/>
    <x v="43"/>
    <s v="janeiro"/>
    <x v="1"/>
    <x v="0"/>
  </r>
  <r>
    <x v="9"/>
    <n v="0"/>
    <n v="0"/>
    <x v="43"/>
    <s v="janeiro"/>
    <x v="1"/>
    <x v="0"/>
  </r>
  <r>
    <x v="12"/>
    <n v="0"/>
    <n v="0"/>
    <x v="43"/>
    <s v="janeiro"/>
    <x v="1"/>
    <x v="0"/>
  </r>
  <r>
    <x v="0"/>
    <n v="1"/>
    <n v="0.16666666666666666"/>
    <x v="44"/>
    <s v="janeiro"/>
    <x v="1"/>
    <x v="0"/>
  </r>
  <r>
    <x v="1"/>
    <n v="1"/>
    <n v="0.16666666666666666"/>
    <x v="44"/>
    <s v="janeiro"/>
    <x v="1"/>
    <x v="0"/>
  </r>
  <r>
    <x v="2"/>
    <n v="1"/>
    <n v="0.16666666666666666"/>
    <x v="44"/>
    <s v="janeiro"/>
    <x v="1"/>
    <x v="0"/>
  </r>
  <r>
    <x v="3"/>
    <n v="0"/>
    <n v="0"/>
    <x v="44"/>
    <s v="janeiro"/>
    <x v="1"/>
    <x v="0"/>
  </r>
  <r>
    <x v="4"/>
    <n v="1"/>
    <n v="0.16666666666666666"/>
    <x v="44"/>
    <s v="janeiro"/>
    <x v="1"/>
    <x v="0"/>
  </r>
  <r>
    <x v="10"/>
    <n v="0"/>
    <n v="0"/>
    <x v="44"/>
    <s v="janeiro"/>
    <x v="1"/>
    <x v="0"/>
  </r>
  <r>
    <x v="11"/>
    <n v="2"/>
    <n v="0.33333333333333331"/>
    <x v="44"/>
    <s v="janeiro"/>
    <x v="1"/>
    <x v="0"/>
  </r>
  <r>
    <x v="7"/>
    <n v="0"/>
    <n v="0"/>
    <x v="44"/>
    <s v="janeiro"/>
    <x v="1"/>
    <x v="0"/>
  </r>
  <r>
    <x v="8"/>
    <n v="0"/>
    <n v="0"/>
    <x v="44"/>
    <s v="janeiro"/>
    <x v="1"/>
    <x v="0"/>
  </r>
  <r>
    <x v="9"/>
    <n v="0"/>
    <n v="0"/>
    <x v="44"/>
    <s v="janeiro"/>
    <x v="1"/>
    <x v="0"/>
  </r>
  <r>
    <x v="12"/>
    <n v="0"/>
    <n v="0"/>
    <x v="44"/>
    <s v="janeiro"/>
    <x v="1"/>
    <x v="0"/>
  </r>
  <r>
    <x v="0"/>
    <n v="4"/>
    <n v="0.26666666666666666"/>
    <x v="45"/>
    <s v="fevereiro"/>
    <x v="1"/>
    <x v="0"/>
  </r>
  <r>
    <x v="1"/>
    <n v="0"/>
    <n v="0"/>
    <x v="45"/>
    <s v="fevereiro"/>
    <x v="1"/>
    <x v="0"/>
  </r>
  <r>
    <x v="2"/>
    <n v="1"/>
    <n v="6.6666666666666666E-2"/>
    <x v="45"/>
    <s v="fevereiro"/>
    <x v="1"/>
    <x v="0"/>
  </r>
  <r>
    <x v="3"/>
    <n v="0"/>
    <n v="0"/>
    <x v="45"/>
    <s v="fevereiro"/>
    <x v="1"/>
    <x v="0"/>
  </r>
  <r>
    <x v="4"/>
    <n v="0"/>
    <n v="0"/>
    <x v="45"/>
    <s v="fevereiro"/>
    <x v="1"/>
    <x v="0"/>
  </r>
  <r>
    <x v="10"/>
    <n v="0"/>
    <n v="0"/>
    <x v="45"/>
    <s v="fevereiro"/>
    <x v="1"/>
    <x v="0"/>
  </r>
  <r>
    <x v="11"/>
    <n v="7"/>
    <n v="0.46666666666666667"/>
    <x v="45"/>
    <s v="fevereiro"/>
    <x v="1"/>
    <x v="0"/>
  </r>
  <r>
    <x v="7"/>
    <n v="1"/>
    <n v="6.6666666666666666E-2"/>
    <x v="45"/>
    <s v="fevereiro"/>
    <x v="1"/>
    <x v="0"/>
  </r>
  <r>
    <x v="8"/>
    <n v="0"/>
    <n v="0"/>
    <x v="45"/>
    <s v="fevereiro"/>
    <x v="1"/>
    <x v="0"/>
  </r>
  <r>
    <x v="9"/>
    <n v="2"/>
    <n v="0.13333333333333333"/>
    <x v="45"/>
    <s v="fevereiro"/>
    <x v="1"/>
    <x v="0"/>
  </r>
  <r>
    <x v="12"/>
    <n v="0"/>
    <n v="0"/>
    <x v="45"/>
    <s v="fevereiro"/>
    <x v="1"/>
    <x v="0"/>
  </r>
  <r>
    <x v="0"/>
    <n v="3"/>
    <n v="0.04"/>
    <x v="46"/>
    <s v="fevereiro"/>
    <x v="1"/>
    <x v="0"/>
  </r>
  <r>
    <x v="1"/>
    <n v="0"/>
    <n v="0"/>
    <x v="46"/>
    <s v="fevereiro"/>
    <x v="1"/>
    <x v="0"/>
  </r>
  <r>
    <x v="2"/>
    <n v="0"/>
    <n v="0"/>
    <x v="46"/>
    <s v="fevereiro"/>
    <x v="1"/>
    <x v="0"/>
  </r>
  <r>
    <x v="3"/>
    <n v="0"/>
    <n v="0"/>
    <x v="46"/>
    <s v="fevereiro"/>
    <x v="1"/>
    <x v="0"/>
  </r>
  <r>
    <x v="4"/>
    <n v="1"/>
    <n v="1.3333333333333334E-2"/>
    <x v="46"/>
    <s v="fevereiro"/>
    <x v="1"/>
    <x v="0"/>
  </r>
  <r>
    <x v="10"/>
    <n v="0"/>
    <n v="0"/>
    <x v="46"/>
    <s v="fevereiro"/>
    <x v="1"/>
    <x v="0"/>
  </r>
  <r>
    <x v="11"/>
    <n v="3"/>
    <n v="0.04"/>
    <x v="46"/>
    <s v="fevereiro"/>
    <x v="1"/>
    <x v="0"/>
  </r>
  <r>
    <x v="7"/>
    <n v="3"/>
    <n v="0.04"/>
    <x v="46"/>
    <s v="fevereiro"/>
    <x v="1"/>
    <x v="0"/>
  </r>
  <r>
    <x v="8"/>
    <n v="60"/>
    <n v="0.8"/>
    <x v="46"/>
    <s v="fevereiro"/>
    <x v="1"/>
    <x v="0"/>
  </r>
  <r>
    <x v="9"/>
    <n v="5"/>
    <n v="6.6666666666666666E-2"/>
    <x v="46"/>
    <s v="fevereiro"/>
    <x v="1"/>
    <x v="0"/>
  </r>
  <r>
    <x v="12"/>
    <n v="0"/>
    <n v="0"/>
    <x v="46"/>
    <s v="fevereiro"/>
    <x v="1"/>
    <x v="0"/>
  </r>
  <r>
    <x v="0"/>
    <n v="1"/>
    <n v="5.2631578947368418E-2"/>
    <x v="47"/>
    <s v="fevereiro"/>
    <x v="1"/>
    <x v="0"/>
  </r>
  <r>
    <x v="1"/>
    <n v="0"/>
    <n v="0"/>
    <x v="47"/>
    <s v="fevereiro"/>
    <x v="1"/>
    <x v="0"/>
  </r>
  <r>
    <x v="2"/>
    <n v="0"/>
    <n v="0"/>
    <x v="47"/>
    <s v="fevereiro"/>
    <x v="1"/>
    <x v="0"/>
  </r>
  <r>
    <x v="3"/>
    <n v="0"/>
    <n v="0"/>
    <x v="47"/>
    <s v="fevereiro"/>
    <x v="1"/>
    <x v="0"/>
  </r>
  <r>
    <x v="4"/>
    <n v="0"/>
    <n v="0"/>
    <x v="47"/>
    <s v="fevereiro"/>
    <x v="1"/>
    <x v="0"/>
  </r>
  <r>
    <x v="10"/>
    <n v="0"/>
    <n v="0"/>
    <x v="47"/>
    <s v="fevereiro"/>
    <x v="1"/>
    <x v="0"/>
  </r>
  <r>
    <x v="11"/>
    <n v="0"/>
    <n v="0"/>
    <x v="47"/>
    <s v="fevereiro"/>
    <x v="1"/>
    <x v="0"/>
  </r>
  <r>
    <x v="7"/>
    <n v="2"/>
    <n v="0.10526315789473684"/>
    <x v="47"/>
    <s v="fevereiro"/>
    <x v="1"/>
    <x v="0"/>
  </r>
  <r>
    <x v="8"/>
    <n v="13"/>
    <n v="0.68421052631578949"/>
    <x v="47"/>
    <s v="fevereiro"/>
    <x v="1"/>
    <x v="0"/>
  </r>
  <r>
    <x v="9"/>
    <n v="3"/>
    <n v="0.15789473684210525"/>
    <x v="47"/>
    <s v="fevereiro"/>
    <x v="1"/>
    <x v="0"/>
  </r>
  <r>
    <x v="12"/>
    <n v="0"/>
    <n v="0"/>
    <x v="47"/>
    <s v="fevereiro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FBBB6-4189-40FC-B5B8-4DA9761DF64B}" name="Analise1b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52">
  <location ref="D3:E4" firstHeaderRow="1" firstDataRow="1" firstDataCol="1"/>
  <pivotFields count="7">
    <pivotField axis="axisRow" showAll="0" measureFilter="1">
      <items count="14">
        <item x="9"/>
        <item x="6"/>
        <item x="11"/>
        <item x="8"/>
        <item x="2"/>
        <item x="10"/>
        <item x="7"/>
        <item x="1"/>
        <item x="4"/>
        <item x="0"/>
        <item x="5"/>
        <item x="3"/>
        <item x="12"/>
        <item t="default"/>
      </items>
    </pivotField>
    <pivotField dataField="1" showAll="0"/>
    <pivotField numFmtId="9" showAll="0"/>
    <pivotField numFmtId="14" showAll="0">
      <items count="4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h="1" x="43"/>
        <item h="1" x="44"/>
        <item h="1" x="45"/>
        <item h="1" x="46"/>
        <item h="1" x="47"/>
        <item t="default"/>
      </items>
    </pivotField>
    <pivotField showAll="0"/>
    <pivotField showAll="0"/>
    <pivotField showAll="0"/>
  </pivotFields>
  <rowFields count="1">
    <field x="0"/>
  </rowFields>
  <rowItems count="1">
    <i>
      <x/>
    </i>
  </rowItems>
  <colItems count="1">
    <i/>
  </colItems>
  <dataFields count="1">
    <dataField name="Contagem Semanal" fld="1" baseField="0" baseItem="0"/>
  </dataFields>
  <chartFormats count="2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A6E85-6C9F-4BF5-A657-12D7D86ADC68}" name="Analise1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8">
  <location ref="A3:B4" firstHeaderRow="1" firstDataRow="1" firstDataCol="1"/>
  <pivotFields count="7">
    <pivotField axis="axisRow" showAll="0" measureFilter="1">
      <items count="14">
        <item x="9"/>
        <item x="6"/>
        <item x="11"/>
        <item x="8"/>
        <item x="2"/>
        <item x="10"/>
        <item x="7"/>
        <item x="1"/>
        <item x="4"/>
        <item x="0"/>
        <item x="5"/>
        <item x="3"/>
        <item x="12"/>
        <item t="default"/>
      </items>
    </pivotField>
    <pivotField dataField="1" showAll="0"/>
    <pivotField numFmtId="9" showAll="0"/>
    <pivotField numFmtId="14" showAll="0">
      <items count="4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x="42"/>
        <item h="1" x="43"/>
        <item h="1" x="44"/>
        <item h="1" x="45"/>
        <item h="1" x="46"/>
        <item h="1" x="47"/>
        <item t="default"/>
      </items>
    </pivotField>
    <pivotField showAll="0"/>
    <pivotField showAll="0"/>
    <pivotField showAll="0"/>
  </pivotFields>
  <rowFields count="1">
    <field x="0"/>
  </rowFields>
  <rowItems count="1">
    <i>
      <x/>
    </i>
  </rowItems>
  <colItems count="1">
    <i/>
  </colItems>
  <dataFields count="1">
    <dataField name="Percentual Semanal" fld="1" showDataAs="percentOfTotal" baseField="0" baseItem="0" numFmtId="10"/>
  </dataFields>
  <chartFormats count="14"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9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9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9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9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8C67B-C0F9-49D3-AB9F-197F670B6633}" name="Analise2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>
  <location ref="A3:B11" firstHeaderRow="1" firstDataRow="1" firstDataCol="1"/>
  <pivotFields count="7">
    <pivotField axis="axisRow" showAll="0" measureFilter="1">
      <items count="14">
        <item x="9"/>
        <item x="6"/>
        <item x="11"/>
        <item x="8"/>
        <item x="2"/>
        <item x="10"/>
        <item x="7"/>
        <item x="1"/>
        <item x="4"/>
        <item x="0"/>
        <item x="5"/>
        <item x="3"/>
        <item x="12"/>
        <item t="default"/>
      </items>
    </pivotField>
    <pivotField dataField="1" showAll="0"/>
    <pivotField numFmtId="9" showAll="0"/>
    <pivotField numFmtId="14" showAll="0"/>
    <pivotField showAll="0"/>
    <pivotField showAll="0">
      <items count="3">
        <item h="1" x="0"/>
        <item x="1"/>
        <item t="default"/>
      </items>
    </pivotField>
    <pivotField showAll="0">
      <items count="4">
        <item x="0"/>
        <item x="1"/>
        <item m="1" x="2"/>
        <item t="default"/>
      </items>
    </pivotField>
  </pivotFields>
  <rowFields count="1">
    <field x="0"/>
  </rowFields>
  <rowItems count="8">
    <i>
      <x/>
    </i>
    <i>
      <x v="2"/>
    </i>
    <i>
      <x v="3"/>
    </i>
    <i>
      <x v="4"/>
    </i>
    <i>
      <x v="6"/>
    </i>
    <i>
      <x v="7"/>
    </i>
    <i>
      <x v="8"/>
    </i>
    <i>
      <x v="9"/>
    </i>
  </rowItems>
  <colItems count="1">
    <i/>
  </colItems>
  <dataFields count="1">
    <dataField name="Percentual Semanal" fld="1" showDataAs="percentOfTotal" baseField="0" baseItem="0" numFmtId="10"/>
  </dataFields>
  <chartFormats count="12">
    <chartFormat chart="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Medium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6E2BE-A980-4DF5-A5EC-C76AB3ECD7C5}" name="Analise2b" cacheId="3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1">
  <location ref="D3:E11" firstHeaderRow="1" firstDataRow="1" firstDataCol="1"/>
  <pivotFields count="7">
    <pivotField axis="axisRow" showAll="0" measureFilter="1">
      <items count="14">
        <item x="9"/>
        <item x="6"/>
        <item x="11"/>
        <item x="8"/>
        <item x="2"/>
        <item x="10"/>
        <item x="7"/>
        <item x="1"/>
        <item x="4"/>
        <item x="0"/>
        <item x="5"/>
        <item x="3"/>
        <item x="12"/>
        <item t="default"/>
      </items>
    </pivotField>
    <pivotField dataField="1" showAll="0"/>
    <pivotField numFmtId="9" showAll="0"/>
    <pivotField numFmtId="14" showAll="0"/>
    <pivotField showAll="0"/>
    <pivotField showAll="0">
      <items count="3">
        <item h="1" x="0"/>
        <item x="1"/>
        <item t="default"/>
      </items>
    </pivotField>
    <pivotField showAll="0">
      <items count="4">
        <item x="0"/>
        <item x="1"/>
        <item m="1" x="2"/>
        <item t="default"/>
      </items>
    </pivotField>
  </pivotFields>
  <rowFields count="1">
    <field x="0"/>
  </rowFields>
  <rowItems count="8">
    <i>
      <x/>
    </i>
    <i>
      <x v="2"/>
    </i>
    <i>
      <x v="3"/>
    </i>
    <i>
      <x v="4"/>
    </i>
    <i>
      <x v="6"/>
    </i>
    <i>
      <x v="7"/>
    </i>
    <i>
      <x v="8"/>
    </i>
    <i>
      <x v="9"/>
    </i>
  </rowItems>
  <colItems count="1">
    <i/>
  </colItems>
  <dataFields count="1">
    <dataField name="Contagem Semanal" fld="1" baseField="0" baseItem="0"/>
  </dataField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1D52231-0C73-401E-9208-2CD841B67D28}" autoFormatId="16" applyNumberFormats="0" applyBorderFormats="0" applyFontFormats="0" applyPatternFormats="0" applyAlignmentFormats="0" applyWidthHeightFormats="0">
  <queryTableRefresh nextId="9" unboundColumnsRight="3">
    <queryTableFields count="7">
      <queryTableField id="1" name="Parâmetros" tableColumnId="5"/>
      <queryTableField id="2" name="Contagem" tableColumnId="2"/>
      <queryTableField id="3" name="Porcentagem" tableColumnId="3"/>
      <queryTableField id="4" name="Semana" tableColumnId="4"/>
      <queryTableField id="8" dataBound="0" tableColumnId="1"/>
      <queryTableField id="5" dataBound="0" tableColumnId="6"/>
      <queryTableField id="6" dataBound="0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8D56D12C-B7B7-4E28-80CE-C324A44D2681}" sourceName="Semana">
  <pivotTables>
    <pivotTable tabId="24" name="Analise1b"/>
    <pivotTable tabId="24" name="Analise1"/>
  </pivotTables>
  <data>
    <tabular pivotCacheId="317329674">
      <items count="48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 s="1"/>
        <i x="43"/>
        <i x="44"/>
        <i x="45"/>
        <i x="46"/>
        <i x="47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11596ADD-806E-4EE2-A387-9A3B6DB3C5E3}" sourceName="Ano">
  <pivotTables>
    <pivotTable tabId="25" name="Analise2b"/>
    <pivotTable tabId="25" name="Analise2"/>
  </pivotTables>
  <data>
    <tabular pivotCacheId="317329674">
      <items count="2">
        <i x="0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eriodo" xr10:uid="{E8449F68-6316-4B59-BE36-B68AD75F17C6}" sourceName="Periodo">
  <pivotTables>
    <pivotTable tabId="25" name="Analise2b"/>
    <pivotTable tabId="25" name="Analise2"/>
  </pivotTables>
  <data>
    <tabular pivotCacheId="317329674">
      <items count="3">
        <i x="0" s="1"/>
        <i x="1" s="1" nd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" xr10:uid="{FD7FB316-06E4-4179-B38B-AC360B90EAAD}" cache="SegmentaçãodeDados_Semana" caption="Semana" startItem="30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6557024-1B11-4DB5-A6C2-E5CFEBF7C8E7}" cache="SegmentaçãodeDados_Ano" caption="Ano" style="SlicerStyleDark5" rowHeight="241300"/>
  <slicer name="Periodo" xr10:uid="{B2DCD52C-1C00-4F5B-809B-BC08124F8843}" cache="SegmentaçãodeDados_Periodo" caption="Periodo" style="SlicerStyleDark5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" xr10:uid="{1AE4A371-9C4D-4BE2-82FD-1336AE3C178A}" cache="SegmentaçãodeDados_Semana" caption="Semana" showCaption="0" style="Estilo de Segmentação de Dados 1" rowHeight="241300"/>
  <slicer name="Semana 1" xr10:uid="{16A7FD71-3AF2-47E6-86E6-D24AAD22C75F}" cache="SegmentaçãodeDados_Semana" caption="Semana" startItem="31" showCaption="0" style="Estilo de Segmentação de Dados 1" rowHeight="241300"/>
  <slicer name="Ano 1" xr10:uid="{0D1BA10B-38C0-4DAA-A17A-079A43D3D907}" cache="SegmentaçãodeDados_Ano" caption="Ano" style="Estilo de Segmentação de Dados 1" rowHeight="241300"/>
  <slicer name="Periodo 1" xr10:uid="{1A390FB3-6804-4665-9170-F65AAA61CC6A}" cache="SegmentaçãodeDados_Periodo" caption="Periodo" style="Estilo de Segmentação de Dados 1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E644D-D8E9-47A0-BAF3-60C110774E74}" name="Base_de_Dados" displayName="Base_de_Dados" ref="A1:G778" tableType="queryTable" totalsRowShown="0">
  <autoFilter ref="A1:G778" xr:uid="{8B0E644D-D8E9-47A0-BAF3-60C110774E74}"/>
  <sortState xmlns:xlrd2="http://schemas.microsoft.com/office/spreadsheetml/2017/richdata2" ref="A2:G201">
    <sortCondition ref="D1:D199"/>
  </sortState>
  <tableColumns count="7">
    <tableColumn id="5" xr3:uid="{5DD10985-780E-4DBA-866E-234CF5CD8440}" uniqueName="5" name="Parâmetros" queryTableFieldId="1" dataDxfId="859"/>
    <tableColumn id="2" xr3:uid="{A13458C9-C57E-4188-9361-B76783A48947}" uniqueName="2" name="Contagem" queryTableFieldId="2" dataDxfId="858"/>
    <tableColumn id="3" xr3:uid="{52A8DD9B-A039-4061-90B1-AD4DCD09380E}" uniqueName="3" name="Porcentagem" queryTableFieldId="3" dataDxfId="857" dataCellStyle="Porcentagem"/>
    <tableColumn id="4" xr3:uid="{310F7388-6CEB-47DE-9EA7-B66C7F43F19A}" uniqueName="4" name="Semana" queryTableFieldId="4" dataDxfId="856"/>
    <tableColumn id="1" xr3:uid="{C8650F5F-3226-4637-8073-BA21D7267312}" uniqueName="1" name="Mês" queryTableFieldId="8" dataDxfId="855">
      <calculatedColumnFormula>TEXT(Base_de_Dados[[#This Row],[Semana]],"Mmmm")</calculatedColumnFormula>
    </tableColumn>
    <tableColumn id="6" xr3:uid="{B617C0FB-27EB-4336-BDEB-0312F3687505}" uniqueName="6" name="Ano" queryTableFieldId="5"/>
    <tableColumn id="7" xr3:uid="{33C6D41D-5A6B-4FD7-B128-329C0393D2E6}" uniqueName="7" name="Periodo" queryTableFieldId="6" dataDxfId="854">
      <calculatedColumnFormula>IF(MONTH( Base_de_Dados[[#This Row],[Semana]])&lt;=6,"1ª Semestre","2ª Semestre")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4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microsoft.com/office/2007/relationships/slicer" Target="../slicers/slicer2.xml"/></Relationships>
</file>

<file path=xl/worksheets/_rels/sheet75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1E6D-E0B7-4FB0-AB8E-71451531883A}">
  <sheetPr codeName="Planilha1">
    <tabColor rgb="FF002060"/>
  </sheetPr>
  <dimension ref="A2:V15"/>
  <sheetViews>
    <sheetView workbookViewId="0"/>
  </sheetViews>
  <sheetFormatPr defaultRowHeight="15" x14ac:dyDescent="0.25"/>
  <cols>
    <col min="1" max="1" width="13.42578125" bestFit="1" customWidth="1"/>
    <col min="2" max="3" width="6.7109375" bestFit="1" customWidth="1"/>
    <col min="4" max="4" width="7.28515625" bestFit="1" customWidth="1"/>
    <col min="23" max="23" width="10" customWidth="1"/>
  </cols>
  <sheetData>
    <row r="2" spans="1:22" x14ac:dyDescent="0.25">
      <c r="A2" s="51" t="s">
        <v>0</v>
      </c>
      <c r="B2" s="46">
        <v>44613</v>
      </c>
      <c r="C2" s="46">
        <v>44620</v>
      </c>
      <c r="D2" s="46">
        <v>44627</v>
      </c>
      <c r="E2" s="46">
        <v>44634</v>
      </c>
      <c r="F2" s="46">
        <v>44641</v>
      </c>
      <c r="G2" s="46">
        <v>44648</v>
      </c>
      <c r="H2" s="46">
        <v>44655</v>
      </c>
      <c r="I2" s="46">
        <v>44662</v>
      </c>
      <c r="J2" s="46">
        <v>44669</v>
      </c>
      <c r="K2" s="46">
        <v>44676</v>
      </c>
      <c r="L2" s="46">
        <v>44683</v>
      </c>
      <c r="M2" s="46">
        <v>44690</v>
      </c>
      <c r="N2" s="46">
        <v>44697</v>
      </c>
      <c r="O2" s="46">
        <v>44704</v>
      </c>
      <c r="P2" s="46">
        <v>44711</v>
      </c>
      <c r="Q2" s="46">
        <v>44718</v>
      </c>
      <c r="R2" s="46">
        <v>44725</v>
      </c>
      <c r="S2" s="46">
        <v>44732</v>
      </c>
      <c r="T2" s="46">
        <v>44739</v>
      </c>
      <c r="U2" s="47" t="s">
        <v>1</v>
      </c>
      <c r="V2" s="48" t="s">
        <v>2</v>
      </c>
    </row>
    <row r="3" spans="1:22" x14ac:dyDescent="0.25">
      <c r="A3" s="33" t="s">
        <v>3</v>
      </c>
      <c r="B3">
        <f>'21 02 2022'!K5</f>
        <v>1</v>
      </c>
      <c r="C3">
        <f>'28 02 2022 '!K5</f>
        <v>2</v>
      </c>
      <c r="D3">
        <f>'07 03 2022'!K5</f>
        <v>2</v>
      </c>
      <c r="E3">
        <f>'14 03 2022'!K5</f>
        <v>0</v>
      </c>
      <c r="F3">
        <f>'21 03 2022'!K5</f>
        <v>0</v>
      </c>
      <c r="G3">
        <f>'28 03 2022'!K5</f>
        <v>0</v>
      </c>
      <c r="H3">
        <f>'04 04 2022'!K5</f>
        <v>0</v>
      </c>
      <c r="I3">
        <f>'11 04 2022'!K5</f>
        <v>2</v>
      </c>
      <c r="J3">
        <f>'18 04 2022'!K5</f>
        <v>4</v>
      </c>
      <c r="K3">
        <f>'25 04 2022'!K5</f>
        <v>3</v>
      </c>
      <c r="L3">
        <f>'02 05 2022'!K5</f>
        <v>2</v>
      </c>
      <c r="M3">
        <f>'09 05 2022'!K5</f>
        <v>1</v>
      </c>
      <c r="N3">
        <f>'16 05 2022 '!K5</f>
        <v>3</v>
      </c>
      <c r="O3">
        <f>'23 05 2022  '!K5</f>
        <v>4</v>
      </c>
      <c r="P3">
        <f>'30 05 2022   '!K5</f>
        <v>5</v>
      </c>
      <c r="Q3">
        <f>'06 06 2022'!K5</f>
        <v>0</v>
      </c>
      <c r="R3">
        <f>'13 06 2022   '!K5</f>
        <v>2</v>
      </c>
      <c r="S3">
        <f>'20 06 2022   '!K5</f>
        <v>3</v>
      </c>
      <c r="T3">
        <f>'27 06 2022  '!K5</f>
        <v>3</v>
      </c>
      <c r="U3" s="49">
        <f t="shared" ref="U3:U7" si="0">SUM(B3:T3)</f>
        <v>37</v>
      </c>
      <c r="V3" s="50">
        <f t="shared" ref="V3:V12" si="1">U3/$U$13</f>
        <v>0.14799999999999999</v>
      </c>
    </row>
    <row r="4" spans="1:22" x14ac:dyDescent="0.25">
      <c r="A4" s="30" t="s">
        <v>4</v>
      </c>
      <c r="B4">
        <f>'21 02 2022'!K6</f>
        <v>1</v>
      </c>
      <c r="C4">
        <f>'28 02 2022 '!K6</f>
        <v>0</v>
      </c>
      <c r="D4">
        <f>'07 03 2022'!K6</f>
        <v>0</v>
      </c>
      <c r="E4">
        <f>'14 03 2022'!K6</f>
        <v>3</v>
      </c>
      <c r="F4">
        <f>'21 03 2022'!K6</f>
        <v>0</v>
      </c>
      <c r="G4">
        <f>'28 03 2022'!K6</f>
        <v>1</v>
      </c>
      <c r="H4">
        <f>'04 04 2022'!K6</f>
        <v>1</v>
      </c>
      <c r="I4">
        <f>'11 04 2022'!K6</f>
        <v>0</v>
      </c>
      <c r="J4">
        <f>'18 04 2022'!K6</f>
        <v>1</v>
      </c>
      <c r="K4">
        <f>'25 04 2022'!K6</f>
        <v>0</v>
      </c>
      <c r="L4">
        <f>'02 05 2022'!K6</f>
        <v>0</v>
      </c>
      <c r="M4">
        <f>'09 05 2022'!K6</f>
        <v>0</v>
      </c>
      <c r="N4">
        <f>'16 05 2022 '!K6</f>
        <v>0</v>
      </c>
      <c r="O4">
        <f>'23 05 2022  '!K6</f>
        <v>2</v>
      </c>
      <c r="P4">
        <f>'30 05 2022   '!K6</f>
        <v>0</v>
      </c>
      <c r="Q4">
        <f>'06 06 2022'!K6</f>
        <v>0</v>
      </c>
      <c r="R4">
        <f>'13 06 2022   '!K6</f>
        <v>1</v>
      </c>
      <c r="S4">
        <f>'20 06 2022   '!K6</f>
        <v>0</v>
      </c>
      <c r="T4">
        <f>'27 06 2022  '!K6</f>
        <v>0</v>
      </c>
      <c r="U4" s="49">
        <f t="shared" si="0"/>
        <v>10</v>
      </c>
      <c r="V4" s="50">
        <f t="shared" si="1"/>
        <v>0.04</v>
      </c>
    </row>
    <row r="5" spans="1:22" x14ac:dyDescent="0.25">
      <c r="A5" s="2" t="s">
        <v>5</v>
      </c>
      <c r="B5">
        <f>'21 02 2022'!K7</f>
        <v>0</v>
      </c>
      <c r="C5">
        <f>'28 02 2022 '!K7</f>
        <v>0</v>
      </c>
      <c r="D5">
        <f>'07 03 2022'!K7</f>
        <v>0</v>
      </c>
      <c r="E5">
        <f>'14 03 2022'!K7</f>
        <v>0</v>
      </c>
      <c r="F5">
        <f>'21 03 2022'!K7</f>
        <v>0</v>
      </c>
      <c r="G5">
        <f>'28 03 2022'!K7</f>
        <v>0</v>
      </c>
      <c r="H5">
        <f>'04 04 2022'!K7</f>
        <v>0</v>
      </c>
      <c r="I5">
        <f>'11 04 2022'!K7</f>
        <v>0</v>
      </c>
      <c r="J5">
        <f>'18 04 2022'!K7</f>
        <v>0</v>
      </c>
      <c r="K5">
        <f>'25 04 2022'!K7</f>
        <v>1</v>
      </c>
      <c r="L5">
        <f>'02 05 2022'!K7</f>
        <v>2</v>
      </c>
      <c r="M5">
        <f>'09 05 2022'!K7</f>
        <v>0</v>
      </c>
      <c r="N5">
        <f>'16 05 2022 '!K7</f>
        <v>2</v>
      </c>
      <c r="O5">
        <f>'23 05 2022  '!K7</f>
        <v>1</v>
      </c>
      <c r="P5">
        <f>'30 05 2022   '!K7</f>
        <v>0</v>
      </c>
      <c r="Q5">
        <f>'06 06 2022'!K7</f>
        <v>0</v>
      </c>
      <c r="R5">
        <f>'13 06 2022   '!K7</f>
        <v>0</v>
      </c>
      <c r="S5">
        <f>'20 06 2022   '!K7</f>
        <v>1</v>
      </c>
      <c r="T5">
        <f>'27 06 2022  '!K7</f>
        <v>0</v>
      </c>
      <c r="U5" s="49">
        <f t="shared" si="0"/>
        <v>7</v>
      </c>
      <c r="V5" s="50">
        <f t="shared" si="1"/>
        <v>2.8000000000000001E-2</v>
      </c>
    </row>
    <row r="6" spans="1:22" x14ac:dyDescent="0.25">
      <c r="A6" s="5" t="s">
        <v>6</v>
      </c>
      <c r="B6">
        <f>'21 02 2022'!K8</f>
        <v>0</v>
      </c>
      <c r="C6">
        <f>'28 02 2022 '!K8</f>
        <v>0</v>
      </c>
      <c r="D6">
        <f>'07 03 2022'!K8</f>
        <v>0</v>
      </c>
      <c r="E6">
        <f>'14 03 2022'!K8</f>
        <v>1</v>
      </c>
      <c r="F6">
        <f>'21 03 2022'!K8</f>
        <v>0</v>
      </c>
      <c r="G6">
        <f>'28 03 2022'!K8</f>
        <v>0</v>
      </c>
      <c r="H6">
        <f>'04 04 2022'!K8</f>
        <v>1</v>
      </c>
      <c r="I6">
        <f>'11 04 2022'!K8</f>
        <v>2</v>
      </c>
      <c r="J6">
        <f>'18 04 2022'!K8</f>
        <v>3</v>
      </c>
      <c r="K6">
        <f>'25 04 2022'!K8</f>
        <v>2</v>
      </c>
      <c r="L6">
        <f>'02 05 2022'!K8</f>
        <v>0</v>
      </c>
      <c r="M6">
        <f>'09 05 2022'!K8</f>
        <v>0</v>
      </c>
      <c r="N6">
        <f>'16 05 2022 '!K8</f>
        <v>1</v>
      </c>
      <c r="O6">
        <f>'23 05 2022  '!K8</f>
        <v>4</v>
      </c>
      <c r="P6">
        <f>'30 05 2022   '!K8</f>
        <v>0</v>
      </c>
      <c r="Q6">
        <f>'06 06 2022'!K8</f>
        <v>0</v>
      </c>
      <c r="R6">
        <f>'13 06 2022   '!K8</f>
        <v>0</v>
      </c>
      <c r="S6">
        <f>'20 06 2022   '!K8</f>
        <v>0</v>
      </c>
      <c r="T6">
        <f>'27 06 2022  '!K8</f>
        <v>0</v>
      </c>
      <c r="U6" s="49">
        <f t="shared" si="0"/>
        <v>14</v>
      </c>
      <c r="V6" s="50">
        <f t="shared" si="1"/>
        <v>5.6000000000000001E-2</v>
      </c>
    </row>
    <row r="7" spans="1:22" x14ac:dyDescent="0.25">
      <c r="A7" s="32" t="s">
        <v>7</v>
      </c>
      <c r="B7">
        <f>'21 02 2022'!K9</f>
        <v>0</v>
      </c>
      <c r="C7">
        <f>'28 02 2022 '!K9</f>
        <v>2</v>
      </c>
      <c r="D7">
        <f>'07 03 2022'!K9</f>
        <v>2</v>
      </c>
      <c r="E7">
        <f>'14 03 2022'!K9</f>
        <v>4</v>
      </c>
      <c r="F7">
        <f>'21 03 2022'!K9</f>
        <v>1</v>
      </c>
      <c r="G7">
        <f>'28 03 2022'!K9</f>
        <v>1</v>
      </c>
      <c r="H7">
        <f>'04 04 2022'!K9</f>
        <v>1</v>
      </c>
      <c r="I7">
        <f>'11 04 2022'!K9</f>
        <v>2</v>
      </c>
      <c r="J7">
        <f>'18 04 2022'!K9</f>
        <v>4</v>
      </c>
      <c r="K7">
        <f>'25 04 2022'!K9</f>
        <v>1</v>
      </c>
      <c r="L7">
        <f>'02 05 2022'!K9</f>
        <v>5</v>
      </c>
      <c r="M7">
        <f>'09 05 2022'!K9</f>
        <v>0</v>
      </c>
      <c r="N7">
        <f>'16 05 2022 '!K9</f>
        <v>1</v>
      </c>
      <c r="O7">
        <f>'23 05 2022  '!K9</f>
        <v>1</v>
      </c>
      <c r="P7">
        <f>'30 05 2022   '!K9</f>
        <v>0</v>
      </c>
      <c r="Q7">
        <f>'06 06 2022'!K9</f>
        <v>0</v>
      </c>
      <c r="R7">
        <f>'13 06 2022   '!K9</f>
        <v>0</v>
      </c>
      <c r="S7">
        <f>'20 06 2022   '!K9</f>
        <v>2</v>
      </c>
      <c r="T7">
        <f>'27 06 2022  '!K9</f>
        <v>1</v>
      </c>
      <c r="U7" s="49">
        <f t="shared" si="0"/>
        <v>28</v>
      </c>
      <c r="V7" s="50">
        <f t="shared" si="1"/>
        <v>0.112</v>
      </c>
    </row>
    <row r="8" spans="1:22" x14ac:dyDescent="0.25">
      <c r="A8" s="53" t="s">
        <v>8</v>
      </c>
      <c r="B8">
        <f>'21 02 2022'!K10</f>
        <v>0</v>
      </c>
      <c r="C8">
        <f>'28 02 2022 '!K10</f>
        <v>10</v>
      </c>
      <c r="D8">
        <f>'07 03 2022'!K10</f>
        <v>5</v>
      </c>
      <c r="E8">
        <f>'14 03 2022'!K10</f>
        <v>11</v>
      </c>
      <c r="F8">
        <f>'21 03 2022'!K10</f>
        <v>11</v>
      </c>
      <c r="G8">
        <f>'28 03 2022'!K10</f>
        <v>11</v>
      </c>
      <c r="H8">
        <f>'04 04 2022'!K10</f>
        <v>11</v>
      </c>
      <c r="I8">
        <f>'11 04 2022'!K10</f>
        <v>15</v>
      </c>
      <c r="J8">
        <f>'18 04 2022'!K10</f>
        <v>5</v>
      </c>
      <c r="K8">
        <f>'25 04 2022'!K10</f>
        <v>0</v>
      </c>
      <c r="L8">
        <f>'02 05 2022'!K10</f>
        <v>0</v>
      </c>
      <c r="M8">
        <f>'09 05 2022'!K10</f>
        <v>0</v>
      </c>
      <c r="N8">
        <f>'16 05 2022 '!K10</f>
        <v>0</v>
      </c>
      <c r="O8">
        <f>'23 05 2022  '!K10</f>
        <v>0</v>
      </c>
      <c r="P8">
        <f>'30 05 2022   '!K10</f>
        <v>0</v>
      </c>
      <c r="Q8">
        <f>'06 06 2022'!K10</f>
        <v>0</v>
      </c>
      <c r="R8">
        <f>'13 06 2022   '!K10</f>
        <v>0</v>
      </c>
      <c r="S8">
        <f>'20 06 2022   '!K10</f>
        <v>0</v>
      </c>
      <c r="T8">
        <f>'27 06 2022  '!K10</f>
        <v>0</v>
      </c>
      <c r="U8" s="49">
        <f>SUM(B8:T8)</f>
        <v>79</v>
      </c>
      <c r="V8" s="50">
        <f t="shared" si="1"/>
        <v>0.316</v>
      </c>
    </row>
    <row r="9" spans="1:22" x14ac:dyDescent="0.25">
      <c r="A9" s="4" t="s">
        <v>9</v>
      </c>
      <c r="B9">
        <f>'21 02 2022'!K11</f>
        <v>2</v>
      </c>
      <c r="C9">
        <f>'28 02 2022 '!K11</f>
        <v>1</v>
      </c>
      <c r="D9">
        <f>'07 03 2022'!K11</f>
        <v>0</v>
      </c>
      <c r="E9">
        <f>'14 03 2022'!K11</f>
        <v>1</v>
      </c>
      <c r="F9">
        <f>'21 03 2022'!K11</f>
        <v>0</v>
      </c>
      <c r="G9">
        <f>'28 03 2022'!K11</f>
        <v>0</v>
      </c>
      <c r="H9">
        <f>'04 04 2022'!K11</f>
        <v>1</v>
      </c>
      <c r="I9">
        <f>'11 04 2022'!K11</f>
        <v>0</v>
      </c>
      <c r="J9">
        <f>'18 04 2022'!K11</f>
        <v>1</v>
      </c>
      <c r="K9">
        <f>'25 04 2022'!K11</f>
        <v>13</v>
      </c>
      <c r="L9">
        <f>'02 05 2022'!K11</f>
        <v>5</v>
      </c>
      <c r="M9">
        <f>'09 05 2022'!K11</f>
        <v>0</v>
      </c>
      <c r="N9">
        <f>'16 05 2022 '!K11</f>
        <v>0</v>
      </c>
      <c r="O9">
        <f>'23 05 2022  '!K11</f>
        <v>7</v>
      </c>
      <c r="P9">
        <f>'30 05 2022   '!K11</f>
        <v>0</v>
      </c>
      <c r="Q9">
        <f>'06 06 2022'!K11</f>
        <v>0</v>
      </c>
      <c r="R9">
        <f>'13 06 2022   '!K11</f>
        <v>1</v>
      </c>
      <c r="S9">
        <f>'20 06 2022   '!K11</f>
        <v>0</v>
      </c>
      <c r="T9">
        <f>'27 06 2022  '!K11</f>
        <v>0</v>
      </c>
      <c r="U9" s="49">
        <f>SUM(B9:T9)</f>
        <v>32</v>
      </c>
      <c r="V9" s="50">
        <f t="shared" si="1"/>
        <v>0.128</v>
      </c>
    </row>
    <row r="10" spans="1:22" x14ac:dyDescent="0.25">
      <c r="A10" s="31" t="s">
        <v>10</v>
      </c>
      <c r="B10">
        <f>'21 02 2022'!K12</f>
        <v>0</v>
      </c>
      <c r="C10">
        <f>'28 02 2022 '!K12</f>
        <v>0</v>
      </c>
      <c r="D10">
        <f>'07 03 2022'!K12</f>
        <v>1</v>
      </c>
      <c r="E10">
        <f>'14 03 2022'!K12</f>
        <v>0</v>
      </c>
      <c r="F10">
        <f>'21 03 2022'!K12</f>
        <v>3</v>
      </c>
      <c r="G10">
        <f>'28 03 2022'!K12</f>
        <v>0</v>
      </c>
      <c r="H10">
        <f>'04 04 2022'!K12</f>
        <v>0</v>
      </c>
      <c r="I10">
        <f>'11 04 2022'!K12</f>
        <v>0</v>
      </c>
      <c r="J10">
        <f>'18 04 2022'!K12</f>
        <v>0</v>
      </c>
      <c r="K10">
        <f>'25 04 2022'!K12</f>
        <v>0</v>
      </c>
      <c r="L10">
        <f>'02 05 2022'!K12</f>
        <v>0</v>
      </c>
      <c r="M10">
        <f>'09 05 2022'!K12</f>
        <v>0</v>
      </c>
      <c r="N10">
        <f>'16 05 2022 '!K12</f>
        <v>0</v>
      </c>
      <c r="O10">
        <f>'23 05 2022  '!K12</f>
        <v>0</v>
      </c>
      <c r="P10">
        <f>'30 05 2022   '!K12</f>
        <v>0</v>
      </c>
      <c r="Q10">
        <f>'06 06 2022'!K12</f>
        <v>1</v>
      </c>
      <c r="R10">
        <f>'13 06 2022   '!K12</f>
        <v>0</v>
      </c>
      <c r="S10">
        <f>'20 06 2022   '!K12</f>
        <v>0</v>
      </c>
      <c r="T10">
        <f>'27 06 2022  '!K12</f>
        <v>0</v>
      </c>
      <c r="U10" s="49">
        <f>SUM(B10:T10)</f>
        <v>5</v>
      </c>
      <c r="V10" s="50">
        <f t="shared" si="1"/>
        <v>0.02</v>
      </c>
    </row>
    <row r="11" spans="1:22" x14ac:dyDescent="0.25">
      <c r="A11" s="3" t="s">
        <v>11</v>
      </c>
      <c r="B11">
        <f>'21 02 2022'!K13</f>
        <v>0</v>
      </c>
      <c r="C11">
        <f>'28 02 2022 '!K13</f>
        <v>0</v>
      </c>
      <c r="D11">
        <f>'07 03 2022'!K13</f>
        <v>0</v>
      </c>
      <c r="E11">
        <f>'14 03 2022'!K13</f>
        <v>0</v>
      </c>
      <c r="F11">
        <f>'21 03 2022'!K13</f>
        <v>0</v>
      </c>
      <c r="G11">
        <f>'28 03 2022'!K13</f>
        <v>0</v>
      </c>
      <c r="H11">
        <f>'04 04 2022'!K13</f>
        <v>0</v>
      </c>
      <c r="I11">
        <f>'11 04 2022'!K13</f>
        <v>0</v>
      </c>
      <c r="J11">
        <f>'18 04 2022'!K13</f>
        <v>6</v>
      </c>
      <c r="K11">
        <f>'25 04 2022'!K13</f>
        <v>8</v>
      </c>
      <c r="L11">
        <f>'02 05 2022'!K13</f>
        <v>2</v>
      </c>
      <c r="M11">
        <f>'09 05 2022'!K13</f>
        <v>3</v>
      </c>
      <c r="N11">
        <f>'16 05 2022 '!K13</f>
        <v>0</v>
      </c>
      <c r="O11">
        <f>'23 05 2022  '!K13</f>
        <v>0</v>
      </c>
      <c r="P11">
        <f>'30 05 2022   '!K13</f>
        <v>0</v>
      </c>
      <c r="Q11">
        <f>'06 06 2022'!K13</f>
        <v>0</v>
      </c>
      <c r="R11">
        <f>'13 06 2022   '!K13</f>
        <v>0</v>
      </c>
      <c r="S11">
        <f>'20 06 2022   '!K13</f>
        <v>0</v>
      </c>
      <c r="T11">
        <f>'27 06 2022  '!K13</f>
        <v>0</v>
      </c>
      <c r="U11" s="49">
        <f>SUM(B11:T11)</f>
        <v>19</v>
      </c>
      <c r="V11" s="50">
        <f t="shared" si="1"/>
        <v>7.5999999999999998E-2</v>
      </c>
    </row>
    <row r="12" spans="1:22" x14ac:dyDescent="0.25">
      <c r="A12" s="44" t="s">
        <v>12</v>
      </c>
      <c r="B12">
        <f>'21 02 2022'!K14</f>
        <v>2</v>
      </c>
      <c r="C12">
        <f>'28 02 2022 '!K14</f>
        <v>2</v>
      </c>
      <c r="D12">
        <f>'07 03 2022'!K14</f>
        <v>0</v>
      </c>
      <c r="E12">
        <f>'14 03 2022'!K14</f>
        <v>0</v>
      </c>
      <c r="F12">
        <f>'21 03 2022'!K14</f>
        <v>0</v>
      </c>
      <c r="G12">
        <f>'28 03 2022'!K14</f>
        <v>1</v>
      </c>
      <c r="H12">
        <f>'04 04 2022'!K14</f>
        <v>2</v>
      </c>
      <c r="I12">
        <f>'11 04 2022'!K14</f>
        <v>2</v>
      </c>
      <c r="J12">
        <f>'18 04 2022'!K14</f>
        <v>1</v>
      </c>
      <c r="K12">
        <f>'25 04 2022'!K14</f>
        <v>0</v>
      </c>
      <c r="L12">
        <f>'02 05 2022'!K14</f>
        <v>0</v>
      </c>
      <c r="M12">
        <f>'09 05 2022'!K14</f>
        <v>3</v>
      </c>
      <c r="N12">
        <f>'16 05 2022 '!K14</f>
        <v>0</v>
      </c>
      <c r="O12">
        <f>'23 05 2022  '!K14</f>
        <v>1</v>
      </c>
      <c r="P12">
        <f>'30 05 2022   '!K14</f>
        <v>0</v>
      </c>
      <c r="Q12">
        <f>'06 06 2022'!K14</f>
        <v>1</v>
      </c>
      <c r="R12">
        <f>'13 06 2022   '!K14</f>
        <v>0</v>
      </c>
      <c r="S12">
        <f>'20 06 2022   '!K14</f>
        <v>2</v>
      </c>
      <c r="T12">
        <f>'27 06 2022  '!K14</f>
        <v>2</v>
      </c>
      <c r="U12" s="49">
        <f>SUM(B12:T12)</f>
        <v>19</v>
      </c>
      <c r="V12" s="50">
        <f t="shared" si="1"/>
        <v>7.5999999999999998E-2</v>
      </c>
    </row>
    <row r="13" spans="1:22" x14ac:dyDescent="0.25">
      <c r="A13" s="45" t="s">
        <v>1</v>
      </c>
      <c r="B13" s="45">
        <f t="shared" ref="B13:U13" si="2">SUM(B3:B12)</f>
        <v>6</v>
      </c>
      <c r="C13" s="45">
        <f t="shared" si="2"/>
        <v>17</v>
      </c>
      <c r="D13" s="45">
        <f t="shared" si="2"/>
        <v>10</v>
      </c>
      <c r="E13" s="45">
        <f t="shared" si="2"/>
        <v>20</v>
      </c>
      <c r="F13" s="45">
        <f t="shared" si="2"/>
        <v>15</v>
      </c>
      <c r="G13" s="45">
        <f t="shared" si="2"/>
        <v>14</v>
      </c>
      <c r="H13" s="45">
        <f t="shared" si="2"/>
        <v>17</v>
      </c>
      <c r="I13" s="45">
        <f t="shared" si="2"/>
        <v>23</v>
      </c>
      <c r="J13" s="45">
        <f t="shared" si="2"/>
        <v>25</v>
      </c>
      <c r="K13" s="45">
        <f t="shared" si="2"/>
        <v>28</v>
      </c>
      <c r="L13" s="45">
        <f t="shared" si="2"/>
        <v>16</v>
      </c>
      <c r="M13" s="45">
        <f t="shared" si="2"/>
        <v>7</v>
      </c>
      <c r="N13" s="45">
        <f t="shared" si="2"/>
        <v>7</v>
      </c>
      <c r="O13" s="45">
        <f t="shared" si="2"/>
        <v>20</v>
      </c>
      <c r="P13" s="45">
        <f t="shared" si="2"/>
        <v>5</v>
      </c>
      <c r="Q13" s="45">
        <f t="shared" si="2"/>
        <v>2</v>
      </c>
      <c r="R13" s="45">
        <f t="shared" si="2"/>
        <v>4</v>
      </c>
      <c r="S13" s="45">
        <f t="shared" si="2"/>
        <v>8</v>
      </c>
      <c r="T13" s="45">
        <f t="shared" si="2"/>
        <v>6</v>
      </c>
      <c r="U13" s="45">
        <f t="shared" si="2"/>
        <v>250</v>
      </c>
    </row>
    <row r="15" spans="1:22" x14ac:dyDescent="0.25">
      <c r="M15" s="52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3EA56-85C2-43D0-86C5-EDE81783C876}">
  <sheetPr codeName="Planilha2">
    <tabColor theme="4"/>
    <pageSetUpPr fitToPage="1"/>
  </sheetPr>
  <dimension ref="A1:P93"/>
  <sheetViews>
    <sheetView showGridLines="0" zoomScaleNormal="100" workbookViewId="0">
      <pane ySplit="4" topLeftCell="A68" activePane="bottomLeft" state="frozen"/>
      <selection pane="bottomLeft" activeCell="N72" sqref="N72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44613</v>
      </c>
      <c r="C3" s="25">
        <v>44614</v>
      </c>
      <c r="D3" s="25">
        <v>44615</v>
      </c>
      <c r="E3" s="25">
        <v>44616</v>
      </c>
      <c r="F3" s="25">
        <v>44617</v>
      </c>
      <c r="G3" s="25">
        <v>44618</v>
      </c>
      <c r="H3" s="26">
        <v>44619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0">TEXT(B3,"ddd")</f>
        <v>seg</v>
      </c>
      <c r="C4" s="28" t="str">
        <f t="shared" si="0"/>
        <v>ter</v>
      </c>
      <c r="D4" s="28" t="str">
        <f t="shared" si="0"/>
        <v>qua</v>
      </c>
      <c r="E4" s="28" t="str">
        <f t="shared" si="0"/>
        <v>qui</v>
      </c>
      <c r="F4" s="28" t="str">
        <f t="shared" si="0"/>
        <v>sex</v>
      </c>
      <c r="G4" s="28" t="str">
        <f t="shared" si="0"/>
        <v>sáb</v>
      </c>
      <c r="H4" s="29" t="str">
        <f t="shared" si="0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1">COUNTIF($B$5:$H$93,J5)</f>
        <v>1</v>
      </c>
      <c r="L5" s="39">
        <f t="shared" ref="L5:L13" si="2">K5/$K$15</f>
        <v>0.16666666666666666</v>
      </c>
      <c r="M5" s="54">
        <v>44613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1"/>
        <v>1</v>
      </c>
      <c r="L6" s="41">
        <f t="shared" si="2"/>
        <v>0.16666666666666666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1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1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1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25</v>
      </c>
      <c r="K10" s="40">
        <f t="shared" si="1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27</v>
      </c>
      <c r="K11" s="40">
        <f t="shared" si="1"/>
        <v>2</v>
      </c>
      <c r="L11" s="41">
        <f t="shared" si="2"/>
        <v>0.33333333333333331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>K14/$K$15</f>
        <v>0.33333333333333331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6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 t="s">
        <v>4</v>
      </c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 t="s">
        <v>27</v>
      </c>
      <c r="H42" s="23" t="s">
        <v>27</v>
      </c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 t="s">
        <v>3</v>
      </c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14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14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14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14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14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14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14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14" x14ac:dyDescent="0.25">
      <c r="A72" s="8" t="s">
        <v>88</v>
      </c>
      <c r="B72" s="23"/>
      <c r="C72" s="23"/>
      <c r="D72" s="23"/>
      <c r="E72" s="23"/>
      <c r="F72" s="23"/>
      <c r="G72" s="23"/>
      <c r="H72" s="23"/>
      <c r="N72" s="60" t="s">
        <v>89</v>
      </c>
    </row>
    <row r="73" spans="1:14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14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14" x14ac:dyDescent="0.25">
      <c r="A75" s="8" t="s">
        <v>92</v>
      </c>
      <c r="B75" s="23"/>
      <c r="C75" s="23" t="s">
        <v>12</v>
      </c>
      <c r="D75" s="23" t="s">
        <v>12</v>
      </c>
      <c r="E75" s="23"/>
      <c r="F75" s="23"/>
      <c r="G75" s="23"/>
      <c r="H75" s="23"/>
    </row>
    <row r="76" spans="1:14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14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14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14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14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phoneticPr fontId="3" type="noConversion"/>
  <conditionalFormatting sqref="A1:A1048576">
    <cfRule type="containsText" dxfId="853" priority="30" operator="containsText" text="Pivô">
      <formula>NOT(ISERROR(SEARCH("Pivô",A1)))</formula>
    </cfRule>
    <cfRule type="containsText" dxfId="852" priority="31" operator="containsText" text="Pivô">
      <formula>NOT(ISERROR(SEARCH("Pivô",A1)))</formula>
    </cfRule>
  </conditionalFormatting>
  <conditionalFormatting sqref="B5:H93">
    <cfRule type="containsText" dxfId="838" priority="17" operator="containsText" text="Cardã">
      <formula>NOT(ISERROR(SEARCH("Cardã",B5)))</formula>
    </cfRule>
    <cfRule type="containsText" dxfId="837" priority="18" operator="containsText" text="Pneu">
      <formula>NOT(ISERROR(SEARCH("Pneu",B5)))</formula>
    </cfRule>
    <cfRule type="containsText" dxfId="836" priority="19" operator="containsText" text="Vedação">
      <formula>NOT(ISERROR(SEARCH("Vedação",B5)))</formula>
    </cfRule>
    <cfRule type="containsText" dxfId="835" priority="20" operator="containsText" text="Retentor">
      <formula>NOT(ISERROR(SEARCH("Retentor",B5)))</formula>
    </cfRule>
    <cfRule type="containsText" dxfId="834" priority="21" operator="containsText" text="Motorredutor">
      <formula>NOT(ISERROR(SEARCH("Motorredutor",B5)))</formula>
    </cfRule>
    <cfRule type="containsText" dxfId="833" priority="22" operator="containsText" text="Redutor">
      <formula>NOT(ISERROR(SEARCH("Redutor",B5)))</formula>
    </cfRule>
    <cfRule type="containsText" dxfId="832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F97EC04-B39C-4186-91BB-CAE49817515F}">
      <formula1>$J$5:$J$14</formula1>
    </dataValidation>
  </dataValidations>
  <hyperlinks>
    <hyperlink ref="N72" location="'Dashboard de Indicadores'!A1" display="'Dashboard de Indicadores'!A1" xr:uid="{392B048C-8692-4E2E-BE7B-972436D6E8C5}"/>
  </hyperlink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A6F30C9-ACCC-4948-A27B-A74EECF2B824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3E9FF92F-E974-4853-B349-F003A772BA2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CBA25C93-5720-4508-98D7-696FA3D928C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F555F03A-4E13-4190-BDE4-62AF0DFC608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50F1CF7-284B-49E9-9B56-05BA2408F2B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A9ADA55-7DB3-4D56-AA91-7E390B13E0B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0F36D471-2E03-483C-BDDD-93CDAE902B1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4845A7B2-9A85-4A0C-A541-EEC6336EBEC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E188CDD9-071B-4028-9D01-A8D6675067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583C4B5B-AAA3-491D-B6A6-870F155771E2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C6911429-FE15-4266-8C2A-A80BD170CB4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86633C8-6B47-4586-8C6D-5B5B1EB71B9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D0F51C14-C2A0-492E-9679-6A21833C9E8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D36DD20-4576-433E-9EB3-6FE9BB1EADB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65C4767-DE5C-44C5-A313-9ADAB72E3D7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8B24-C74A-4728-A305-5F93C6D72932}">
  <sheetPr codeName="Planilha3">
    <tabColor theme="4"/>
    <pageSetUpPr fitToPage="1"/>
  </sheetPr>
  <dimension ref="A1:P93"/>
  <sheetViews>
    <sheetView showGridLines="0" topLeftCell="C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44620</v>
      </c>
      <c r="C3" s="25">
        <f>B3+1</f>
        <v>44621</v>
      </c>
      <c r="D3" s="25">
        <f t="shared" ref="D3:H3" si="0">C3+1</f>
        <v>44622</v>
      </c>
      <c r="E3" s="25">
        <f t="shared" si="0"/>
        <v>44623</v>
      </c>
      <c r="F3" s="25">
        <f t="shared" si="0"/>
        <v>44624</v>
      </c>
      <c r="G3" s="25">
        <f t="shared" si="0"/>
        <v>44625</v>
      </c>
      <c r="H3" s="25">
        <f t="shared" si="0"/>
        <v>44626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2</v>
      </c>
      <c r="L5" s="39">
        <f t="shared" ref="L5:L14" si="3">K5/$K$15</f>
        <v>0.11764705882352941</v>
      </c>
      <c r="M5" s="54">
        <v>44620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 t="s">
        <v>7</v>
      </c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0.11764705882352941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10</v>
      </c>
      <c r="L10" s="41">
        <f t="shared" si="3"/>
        <v>0.58823529411764708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5.8823529411764705E-2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3"/>
        <v>0.11764705882352941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17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 t="s">
        <v>8</v>
      </c>
      <c r="C20" s="23" t="s">
        <v>8</v>
      </c>
      <c r="D20" s="23" t="s">
        <v>8</v>
      </c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 t="s">
        <v>7</v>
      </c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 t="s">
        <v>12</v>
      </c>
      <c r="E34" s="23" t="s">
        <v>12</v>
      </c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3</v>
      </c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 t="s">
        <v>3</v>
      </c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 t="s">
        <v>9</v>
      </c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 t="s">
        <v>8</v>
      </c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 t="s">
        <v>8</v>
      </c>
      <c r="G90" s="23"/>
      <c r="H90" s="23"/>
    </row>
    <row r="91" spans="1:8" x14ac:dyDescent="0.25">
      <c r="A91" s="8" t="s">
        <v>108</v>
      </c>
      <c r="B91" s="23" t="s">
        <v>8</v>
      </c>
      <c r="C91" s="23" t="s">
        <v>8</v>
      </c>
      <c r="D91" s="23" t="s">
        <v>8</v>
      </c>
      <c r="E91" s="23" t="s">
        <v>8</v>
      </c>
      <c r="F91" s="23" t="s">
        <v>8</v>
      </c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829" priority="24" operator="containsText" text="Pivô">
      <formula>NOT(ISERROR(SEARCH("Pivô",A1)))</formula>
    </cfRule>
    <cfRule type="containsText" dxfId="828" priority="25" operator="containsText" text="Pivô">
      <formula>NOT(ISERROR(SEARCH("Pivô",A1)))</formula>
    </cfRule>
  </conditionalFormatting>
  <conditionalFormatting sqref="B5:H93">
    <cfRule type="containsText" dxfId="814" priority="17" operator="containsText" text="Cardã">
      <formula>NOT(ISERROR(SEARCH("Cardã",B5)))</formula>
    </cfRule>
    <cfRule type="containsText" dxfId="813" priority="18" operator="containsText" text="Pneu">
      <formula>NOT(ISERROR(SEARCH("Pneu",B5)))</formula>
    </cfRule>
    <cfRule type="containsText" dxfId="812" priority="19" operator="containsText" text="Vedação">
      <formula>NOT(ISERROR(SEARCH("Vedação",B5)))</formula>
    </cfRule>
    <cfRule type="containsText" dxfId="811" priority="20" operator="containsText" text="Retentor">
      <formula>NOT(ISERROR(SEARCH("Retentor",B5)))</formula>
    </cfRule>
    <cfRule type="containsText" dxfId="810" priority="21" operator="containsText" text="Motorredutor">
      <formula>NOT(ISERROR(SEARCH("Motorredutor",B5)))</formula>
    </cfRule>
    <cfRule type="containsText" dxfId="809" priority="22" operator="containsText" text="Redutor">
      <formula>NOT(ISERROR(SEARCH("Redutor",B5)))</formula>
    </cfRule>
    <cfRule type="containsText" dxfId="808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1ECC411-7E8B-421D-93DB-8BC360137039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EE3D94B-D012-4712-8C83-544DC6857DBB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3A8A669B-A4C6-43E7-B909-D524C920081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9A3E2BF2-B62B-44A9-BCCD-5AD823ED092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ADBAB915-CF57-4D7D-8468-70EF388BAA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79F6AA4F-D6C3-413B-ABAD-46BE534BE3A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8C0824E-6F45-4749-9ECF-788F97A805B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4A1CB1BD-C77A-4677-A055-486F5856BB4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4527C2A2-47BB-428D-9FF8-8FCA6044D6C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7A0D7C7-ADA4-461E-AF44-CAE12FF6291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BFD8C620-F800-4E9C-A49C-003E740E2EC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C745809-D4CA-45F5-BD25-8F79FF03AC0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32E9D393-13DF-4150-B2C8-3B7B9BC9801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9C2C8782-E113-476D-A2DC-17624B78329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D6EE5B6D-6788-407D-BF47-7EEE6B34EB1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4E1EB257-52FE-4FEA-B80A-969B6921BDA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C879-57AA-46A1-A74A-41A1F2DFDE5E}">
  <sheetPr codeName="Planilha4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44627</v>
      </c>
      <c r="C3" s="25">
        <f>B3+1</f>
        <v>44628</v>
      </c>
      <c r="D3" s="25">
        <f t="shared" ref="D3:H3" si="0">C3+1</f>
        <v>44629</v>
      </c>
      <c r="E3" s="25">
        <f t="shared" si="0"/>
        <v>44630</v>
      </c>
      <c r="F3" s="25">
        <f t="shared" si="0"/>
        <v>44631</v>
      </c>
      <c r="G3" s="25">
        <f t="shared" si="0"/>
        <v>44632</v>
      </c>
      <c r="H3" s="25">
        <f t="shared" si="0"/>
        <v>44633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2</v>
      </c>
      <c r="L5" s="39">
        <f t="shared" ref="L5:L14" si="3">K5/$K$15</f>
        <v>0.2</v>
      </c>
      <c r="M5" s="54">
        <v>44627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5</v>
      </c>
      <c r="L10" s="41">
        <f t="shared" si="3"/>
        <v>0.5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1</v>
      </c>
      <c r="L12" s="41">
        <f t="shared" si="3"/>
        <v>0.1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 t="s">
        <v>10</v>
      </c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 t="s">
        <v>3</v>
      </c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 t="s">
        <v>7</v>
      </c>
      <c r="E29" s="23" t="s">
        <v>7</v>
      </c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 t="s">
        <v>3</v>
      </c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 t="s">
        <v>8</v>
      </c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 t="s">
        <v>8</v>
      </c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 t="s">
        <v>8</v>
      </c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 t="s">
        <v>8</v>
      </c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 t="s">
        <v>8</v>
      </c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805" priority="24" operator="containsText" text="Pivô">
      <formula>NOT(ISERROR(SEARCH("Pivô",A1)))</formula>
    </cfRule>
    <cfRule type="containsText" dxfId="804" priority="25" operator="containsText" text="Pivô">
      <formula>NOT(ISERROR(SEARCH("Pivô",A1)))</formula>
    </cfRule>
  </conditionalFormatting>
  <conditionalFormatting sqref="B5:H93">
    <cfRule type="containsText" dxfId="790" priority="17" operator="containsText" text="Cardã">
      <formula>NOT(ISERROR(SEARCH("Cardã",B5)))</formula>
    </cfRule>
    <cfRule type="containsText" dxfId="789" priority="18" operator="containsText" text="Pneu">
      <formula>NOT(ISERROR(SEARCH("Pneu",B5)))</formula>
    </cfRule>
    <cfRule type="containsText" dxfId="788" priority="19" operator="containsText" text="Vedação">
      <formula>NOT(ISERROR(SEARCH("Vedação",B5)))</formula>
    </cfRule>
    <cfRule type="containsText" dxfId="787" priority="20" operator="containsText" text="Retentor">
      <formula>NOT(ISERROR(SEARCH("Retentor",B5)))</formula>
    </cfRule>
    <cfRule type="containsText" dxfId="786" priority="21" operator="containsText" text="Motorredutor">
      <formula>NOT(ISERROR(SEARCH("Motorredutor",B5)))</formula>
    </cfRule>
    <cfRule type="containsText" dxfId="785" priority="22" operator="containsText" text="Redutor">
      <formula>NOT(ISERROR(SEARCH("Redutor",B5)))</formula>
    </cfRule>
    <cfRule type="containsText" dxfId="784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19C4115B-406B-4F53-AFD4-B0501BBE6FE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0E0FD1E-6E8E-46AD-A99D-0F567EE8304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C1D9D59-DE36-453B-BFFA-B7F4ED3F3B9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085C69F7-FCBE-4CF1-8670-16DE2215BE0B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4741B63-518B-49B1-946C-F9A48C6ADD8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D2E258E-7307-410C-B94F-0859D0542DC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C5D1830-8A61-48D0-B871-8707987185C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52D406DB-502A-46BE-8202-B2539A30C9D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9F7B3D1D-6354-4182-AA4C-DF7CCEAC468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D210725-E599-44C3-918B-3793312F5C8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7F6E47C-459C-445E-8589-EB5346AEF2F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C835AA35-4A1D-4919-8305-E9A0C1ADD54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1A7DCABA-9B39-44DB-A7D8-CE3AEE532DE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42025986-6976-419C-B5DA-92185465345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3700F6AB-B74A-4D0A-94D5-8AC27FA979D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34F8CCB5-3BE9-4940-B930-4D8A52DA5E1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6F5D-A786-4DCE-889B-C18F10A53637}">
  <sheetPr codeName="Planilha5">
    <tabColor theme="4"/>
    <pageSetUpPr fitToPage="1"/>
  </sheetPr>
  <dimension ref="A1:P93"/>
  <sheetViews>
    <sheetView showGridLines="0" topLeftCell="E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44634</v>
      </c>
      <c r="C3" s="25">
        <f>B3+1</f>
        <v>44635</v>
      </c>
      <c r="D3" s="25">
        <f t="shared" ref="D3:H3" si="0">C3+1</f>
        <v>44636</v>
      </c>
      <c r="E3" s="25">
        <f t="shared" si="0"/>
        <v>44637</v>
      </c>
      <c r="F3" s="25">
        <f t="shared" si="0"/>
        <v>44638</v>
      </c>
      <c r="G3" s="25">
        <f t="shared" si="0"/>
        <v>44639</v>
      </c>
      <c r="H3" s="25">
        <f t="shared" si="0"/>
        <v>44640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0</v>
      </c>
      <c r="L5" s="39">
        <f t="shared" ref="L5:L14" si="3">K5/$K$15</f>
        <v>0</v>
      </c>
      <c r="M5" s="54">
        <v>44634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3</v>
      </c>
      <c r="L6" s="41">
        <f t="shared" si="3"/>
        <v>0.15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1</v>
      </c>
      <c r="L8" s="41">
        <f t="shared" si="3"/>
        <v>0.05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4</v>
      </c>
      <c r="L9" s="41">
        <f t="shared" si="3"/>
        <v>0.2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11</v>
      </c>
      <c r="L10" s="41">
        <f t="shared" si="3"/>
        <v>0.55000000000000004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0.05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20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 t="s">
        <v>6</v>
      </c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 t="s">
        <v>9</v>
      </c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 t="s">
        <v>7</v>
      </c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 t="s">
        <v>7</v>
      </c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 t="s">
        <v>4</v>
      </c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 t="s">
        <v>7</v>
      </c>
      <c r="D53" s="23"/>
      <c r="E53" s="23"/>
      <c r="F53" s="23"/>
      <c r="G53" s="23"/>
      <c r="H53" s="23" t="s">
        <v>7</v>
      </c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 t="s">
        <v>4</v>
      </c>
      <c r="C59" s="23" t="s">
        <v>4</v>
      </c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 t="s">
        <v>8</v>
      </c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 t="s">
        <v>8</v>
      </c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 t="s">
        <v>8</v>
      </c>
      <c r="H79" s="23"/>
    </row>
    <row r="80" spans="1:8" x14ac:dyDescent="0.25">
      <c r="A80" s="8" t="s">
        <v>97</v>
      </c>
      <c r="B80" s="23"/>
      <c r="C80" s="23" t="s">
        <v>8</v>
      </c>
      <c r="D80" s="23" t="s">
        <v>8</v>
      </c>
      <c r="E80" s="23"/>
      <c r="F80" s="23"/>
      <c r="G80" s="23"/>
      <c r="H80" s="23" t="s">
        <v>8</v>
      </c>
    </row>
    <row r="81" spans="1:8" x14ac:dyDescent="0.25">
      <c r="A81" s="8" t="s">
        <v>98</v>
      </c>
      <c r="B81" s="23"/>
      <c r="C81" s="23"/>
      <c r="D81" s="23" t="s">
        <v>8</v>
      </c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 t="s">
        <v>8</v>
      </c>
      <c r="D90" s="23" t="s">
        <v>8</v>
      </c>
      <c r="E90" s="23"/>
      <c r="F90" s="23"/>
      <c r="G90" s="23"/>
      <c r="H90" s="23" t="s">
        <v>8</v>
      </c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 t="s">
        <v>8</v>
      </c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81" priority="24" operator="containsText" text="Pivô">
      <formula>NOT(ISERROR(SEARCH("Pivô",A1)))</formula>
    </cfRule>
    <cfRule type="containsText" dxfId="780" priority="25" operator="containsText" text="Pivô">
      <formula>NOT(ISERROR(SEARCH("Pivô",A1)))</formula>
    </cfRule>
  </conditionalFormatting>
  <conditionalFormatting sqref="B5:H93">
    <cfRule type="containsText" dxfId="766" priority="17" operator="containsText" text="Cardã">
      <formula>NOT(ISERROR(SEARCH("Cardã",B5)))</formula>
    </cfRule>
    <cfRule type="containsText" dxfId="765" priority="18" operator="containsText" text="Pneu">
      <formula>NOT(ISERROR(SEARCH("Pneu",B5)))</formula>
    </cfRule>
    <cfRule type="containsText" dxfId="764" priority="19" operator="containsText" text="Vedação">
      <formula>NOT(ISERROR(SEARCH("Vedação",B5)))</formula>
    </cfRule>
    <cfRule type="containsText" dxfId="763" priority="20" operator="containsText" text="Retentor">
      <formula>NOT(ISERROR(SEARCH("Retentor",B5)))</formula>
    </cfRule>
    <cfRule type="containsText" dxfId="762" priority="21" operator="containsText" text="Motorredutor">
      <formula>NOT(ISERROR(SEARCH("Motorredutor",B5)))</formula>
    </cfRule>
    <cfRule type="containsText" dxfId="761" priority="22" operator="containsText" text="Redutor">
      <formula>NOT(ISERROR(SEARCH("Redutor",B5)))</formula>
    </cfRule>
    <cfRule type="containsText" dxfId="760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7C28CE1-B4AB-455F-9A0F-23616B2296C6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FA6920A-201C-4B1D-8DF9-4A74786859F1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11DA6394-7307-4DA1-8D6E-2E7A8E6E87C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0AD804BB-820C-455A-A341-D47966EB58C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9A9CCB0-27EA-466E-8A5E-2B6004A715E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A6534BFD-A8BB-4BF8-B4A1-EC2F429D1BE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CCD5A3C-DB74-4B25-9431-1336E0CE667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4E6B99C3-F99E-49EA-9568-92A666DBF18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A7695B53-9617-4A3D-8F9D-0AB7205D8D2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5A35E42A-39B8-4F48-8C71-32E0BE571C5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88A423E2-D152-4804-A85D-6F68DBAADE8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2F90E5CD-C2C7-47E7-97CA-C8ABD10457A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97214756-AD46-4797-A2ED-9B267C92FA1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1CBD7A6-2F12-48FF-A179-E3726E91C4E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322BE933-DFF3-4F68-9B61-0E3289F4325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DD12FF8C-AA45-4D6F-830C-DE9FDE676E18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56EB-358F-403C-AD62-1613A3191EBB}">
  <sheetPr codeName="Planilha6">
    <tabColor theme="4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114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44641</v>
      </c>
      <c r="C3" s="25">
        <f>B3+1</f>
        <v>44642</v>
      </c>
      <c r="D3" s="25">
        <f t="shared" ref="D3:H3" si="0">C3+1</f>
        <v>44643</v>
      </c>
      <c r="E3" s="25">
        <f t="shared" si="0"/>
        <v>44644</v>
      </c>
      <c r="F3" s="25">
        <f t="shared" si="0"/>
        <v>44645</v>
      </c>
      <c r="G3" s="25">
        <f t="shared" si="0"/>
        <v>44646</v>
      </c>
      <c r="H3" s="25">
        <f t="shared" si="0"/>
        <v>44647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0</v>
      </c>
      <c r="L5" s="39">
        <f t="shared" ref="L5:L14" si="3">K5/$K$15</f>
        <v>0</v>
      </c>
      <c r="M5" s="54">
        <v>44641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 t="s">
        <v>10</v>
      </c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6.6666666666666666E-2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11</v>
      </c>
      <c r="L10" s="41">
        <f t="shared" si="3"/>
        <v>0.73333333333333328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3</v>
      </c>
      <c r="L12" s="41">
        <f t="shared" si="3"/>
        <v>0.2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15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 t="s">
        <v>10</v>
      </c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 t="s">
        <v>7</v>
      </c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 t="s">
        <v>10</v>
      </c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 t="s">
        <v>8</v>
      </c>
      <c r="F78" s="23"/>
      <c r="G78" s="23"/>
      <c r="H78" s="23"/>
    </row>
    <row r="79" spans="1:8" x14ac:dyDescent="0.25">
      <c r="A79" s="8" t="s">
        <v>96</v>
      </c>
      <c r="B79" s="23"/>
      <c r="C79" s="23" t="s">
        <v>8</v>
      </c>
      <c r="D79" s="23" t="s">
        <v>8</v>
      </c>
      <c r="E79" s="23"/>
      <c r="F79" s="23"/>
      <c r="G79" s="23" t="s">
        <v>8</v>
      </c>
      <c r="H79" s="23"/>
    </row>
    <row r="80" spans="1:8" x14ac:dyDescent="0.25">
      <c r="A80" s="8" t="s">
        <v>97</v>
      </c>
      <c r="B80" s="23"/>
      <c r="C80" s="23"/>
      <c r="D80" s="23"/>
      <c r="E80" s="23"/>
      <c r="F80" s="23" t="s">
        <v>8</v>
      </c>
      <c r="G80" s="23"/>
      <c r="H80" s="23"/>
    </row>
    <row r="81" spans="1:8" x14ac:dyDescent="0.25">
      <c r="A81" s="8" t="s">
        <v>98</v>
      </c>
      <c r="B81" s="23" t="s">
        <v>8</v>
      </c>
      <c r="C81" s="23"/>
      <c r="D81" s="23"/>
      <c r="E81" s="23"/>
      <c r="F81" s="23"/>
      <c r="G81" s="23" t="s">
        <v>8</v>
      </c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 t="s">
        <v>8</v>
      </c>
      <c r="F90" s="23" t="s">
        <v>8</v>
      </c>
      <c r="G90" s="23"/>
      <c r="H90" s="23" t="s">
        <v>8</v>
      </c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 t="s">
        <v>8</v>
      </c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57" priority="24" operator="containsText" text="Pivô">
      <formula>NOT(ISERROR(SEARCH("Pivô",A1)))</formula>
    </cfRule>
    <cfRule type="containsText" dxfId="756" priority="25" operator="containsText" text="Pivô">
      <formula>NOT(ISERROR(SEARCH("Pivô",A1)))</formula>
    </cfRule>
  </conditionalFormatting>
  <conditionalFormatting sqref="B5:H93">
    <cfRule type="containsText" dxfId="742" priority="17" operator="containsText" text="Cardã">
      <formula>NOT(ISERROR(SEARCH("Cardã",B5)))</formula>
    </cfRule>
    <cfRule type="containsText" dxfId="741" priority="18" operator="containsText" text="Pneu">
      <formula>NOT(ISERROR(SEARCH("Pneu",B5)))</formula>
    </cfRule>
    <cfRule type="containsText" dxfId="740" priority="19" operator="containsText" text="Vedação">
      <formula>NOT(ISERROR(SEARCH("Vedação",B5)))</formula>
    </cfRule>
    <cfRule type="containsText" dxfId="739" priority="20" operator="containsText" text="Retentor">
      <formula>NOT(ISERROR(SEARCH("Retentor",B5)))</formula>
    </cfRule>
    <cfRule type="containsText" dxfId="738" priority="21" operator="containsText" text="Motorredutor">
      <formula>NOT(ISERROR(SEARCH("Motorredutor",B5)))</formula>
    </cfRule>
    <cfRule type="containsText" dxfId="737" priority="22" operator="containsText" text="Redutor">
      <formula>NOT(ISERROR(SEARCH("Redutor",B5)))</formula>
    </cfRule>
    <cfRule type="containsText" dxfId="736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5E7EA76-E579-474A-A5AE-932E8691716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6A71B04-7493-4ECE-8198-ADDA991A2B7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04E4D8E4-B7A6-4864-A7F2-F1969B5FE21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A6ED5B5-2E89-42F8-8583-5BE4ACC64F72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58A5E08C-4329-407A-8269-FA617E0A5F1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FBAB1A1B-DAF9-4C64-A708-B5DB2A472E3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14C248DC-3C13-4B3C-BB9B-C4AE1FF5838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B55DF9CF-7A9F-4621-99AA-E1C5830C938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4831063E-6A9B-4210-BB32-38CB3CDF1C0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6876F0A6-E95C-41A8-8557-71AEE7503BA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D91D140E-7A2E-4077-8D5B-6F481B35C61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48E80144-107C-43DA-83E4-97CBFE4A001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48E3FCF4-B4CF-4702-8127-AC1E50CFE8B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0B2267A-42A0-4580-8451-565CC4635D3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7CC5C49-D246-4914-AD61-67909A8B702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401EB0D7-E7F8-49FC-9B17-B03C05AE202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532B-BA28-4D0C-B77B-787FF46DB0BD}">
  <sheetPr codeName="Planilha7">
    <tabColor theme="4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115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44648</v>
      </c>
      <c r="C3" s="25">
        <f>B3+1</f>
        <v>44649</v>
      </c>
      <c r="D3" s="25">
        <f t="shared" ref="D3:H3" si="0">C3+1</f>
        <v>44650</v>
      </c>
      <c r="E3" s="25">
        <f t="shared" si="0"/>
        <v>44651</v>
      </c>
      <c r="F3" s="25">
        <f t="shared" si="0"/>
        <v>44652</v>
      </c>
      <c r="G3" s="25">
        <f t="shared" si="0"/>
        <v>44653</v>
      </c>
      <c r="H3" s="25">
        <f t="shared" si="0"/>
        <v>44654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0</v>
      </c>
      <c r="L5" s="39">
        <f t="shared" ref="L5:L14" si="3">K5/$K$15</f>
        <v>0</v>
      </c>
      <c r="M5" s="54">
        <v>44648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7.1428571428571425E-2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7.1428571428571425E-2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 t="s">
        <v>12</v>
      </c>
      <c r="J10" s="16" t="s">
        <v>8</v>
      </c>
      <c r="K10" s="40">
        <f t="shared" si="2"/>
        <v>11</v>
      </c>
      <c r="L10" s="41">
        <f t="shared" si="3"/>
        <v>0.7857142857142857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 t="s">
        <v>4</v>
      </c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3"/>
        <v>7.1428571428571425E-2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14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 t="s">
        <v>7</v>
      </c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 t="s">
        <v>8</v>
      </c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 t="s">
        <v>8</v>
      </c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8</v>
      </c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 t="s">
        <v>8</v>
      </c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 t="s">
        <v>8</v>
      </c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 t="s">
        <v>8</v>
      </c>
      <c r="D79" s="23"/>
      <c r="E79" s="23"/>
      <c r="F79" s="23"/>
      <c r="G79" s="23" t="s">
        <v>8</v>
      </c>
      <c r="H79" s="23"/>
    </row>
    <row r="80" spans="1:8" x14ac:dyDescent="0.25">
      <c r="A80" s="8" t="s">
        <v>97</v>
      </c>
      <c r="B80" s="23" t="s">
        <v>8</v>
      </c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 t="s">
        <v>8</v>
      </c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 t="s">
        <v>8</v>
      </c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 t="s">
        <v>8</v>
      </c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33" priority="24" operator="containsText" text="Pivô">
      <formula>NOT(ISERROR(SEARCH("Pivô",A1)))</formula>
    </cfRule>
    <cfRule type="containsText" dxfId="732" priority="25" operator="containsText" text="Pivô">
      <formula>NOT(ISERROR(SEARCH("Pivô",A1)))</formula>
    </cfRule>
  </conditionalFormatting>
  <conditionalFormatting sqref="B5:H93">
    <cfRule type="containsText" dxfId="718" priority="17" operator="containsText" text="Cardã">
      <formula>NOT(ISERROR(SEARCH("Cardã",B5)))</formula>
    </cfRule>
    <cfRule type="containsText" dxfId="717" priority="18" operator="containsText" text="Pneu">
      <formula>NOT(ISERROR(SEARCH("Pneu",B5)))</formula>
    </cfRule>
    <cfRule type="containsText" dxfId="716" priority="19" operator="containsText" text="Vedação">
      <formula>NOT(ISERROR(SEARCH("Vedação",B5)))</formula>
    </cfRule>
    <cfRule type="containsText" dxfId="715" priority="20" operator="containsText" text="Retentor">
      <formula>NOT(ISERROR(SEARCH("Retentor",B5)))</formula>
    </cfRule>
    <cfRule type="containsText" dxfId="714" priority="21" operator="containsText" text="Motorredutor">
      <formula>NOT(ISERROR(SEARCH("Motorredutor",B5)))</formula>
    </cfRule>
    <cfRule type="containsText" dxfId="713" priority="22" operator="containsText" text="Redutor">
      <formula>NOT(ISERROR(SEARCH("Redutor",B5)))</formula>
    </cfRule>
    <cfRule type="containsText" dxfId="712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D22256C-D248-47C0-893E-127D345E2AC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424EC0C3-8B6F-4D6D-B57B-245CE8A49CE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442B556C-3B1A-4DAC-B44D-3372EF6CA29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0C466BD-3233-4A02-98F9-C6E4EDD1AC3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D9F224C-91D3-455A-98CB-997DEC8B3D8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644A9729-9E4B-4D4F-8510-41DB7915E5A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7732D7E7-9BD5-4F10-AA45-08DFBF7984E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0CFED039-00EF-4D3B-8F84-AC0199EE9A3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EE91026C-5736-407E-B7FC-29AEB47972E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32B5E501-1AE9-4964-AB50-5085538BE07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065814D-3032-440F-9598-8DCA4136741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ECAD7D1A-EA54-44C1-ADA0-7C0E9D64B33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459C6E9C-F131-4F08-A104-F6EA4BAC1EF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B5C64D1C-65DC-4A8F-9A46-0DD9A0F2E5F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ED8C0849-44D7-42BD-8FB0-CBD3009C64E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F9809E67-A930-4FB0-9009-1E57CE7E273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150B-A192-48C6-8F91-EC6B164FC40A}">
  <sheetPr codeName="Planilha8">
    <tabColor theme="4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116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44655</v>
      </c>
      <c r="C3" s="25">
        <f>B3+1</f>
        <v>44656</v>
      </c>
      <c r="D3" s="25">
        <f t="shared" ref="D3:H3" si="0">C3+1</f>
        <v>44657</v>
      </c>
      <c r="E3" s="25">
        <f t="shared" si="0"/>
        <v>44658</v>
      </c>
      <c r="F3" s="25">
        <f t="shared" si="0"/>
        <v>44659</v>
      </c>
      <c r="G3" s="25">
        <f t="shared" si="0"/>
        <v>44660</v>
      </c>
      <c r="H3" s="25">
        <f t="shared" si="0"/>
        <v>44661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0</v>
      </c>
      <c r="L5" s="39">
        <f t="shared" ref="L5:L14" si="3">K5/$K$15</f>
        <v>0</v>
      </c>
      <c r="M5" s="54">
        <v>44655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5.8823529411764705E-2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1</v>
      </c>
      <c r="L8" s="41">
        <f t="shared" si="3"/>
        <v>5.8823529411764705E-2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5.8823529411764705E-2</v>
      </c>
      <c r="P9" s="6"/>
    </row>
    <row r="10" spans="1:16" x14ac:dyDescent="0.25">
      <c r="A10" s="8" t="s">
        <v>24</v>
      </c>
      <c r="B10" s="23" t="s">
        <v>12</v>
      </c>
      <c r="C10" s="23" t="s">
        <v>12</v>
      </c>
      <c r="D10" s="23"/>
      <c r="E10" s="23"/>
      <c r="F10" s="23"/>
      <c r="G10" s="23"/>
      <c r="H10" s="23"/>
      <c r="J10" s="16" t="s">
        <v>8</v>
      </c>
      <c r="K10" s="40">
        <f t="shared" si="2"/>
        <v>11</v>
      </c>
      <c r="L10" s="41">
        <f t="shared" si="3"/>
        <v>0.6470588235294118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5.8823529411764705E-2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3"/>
        <v>0.11764705882352941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17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 t="s">
        <v>6</v>
      </c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 t="s">
        <v>8</v>
      </c>
      <c r="G27" s="23"/>
      <c r="H27" s="23"/>
    </row>
    <row r="28" spans="1:8" x14ac:dyDescent="0.25">
      <c r="A28" s="8" t="s">
        <v>44</v>
      </c>
      <c r="B28" s="23"/>
      <c r="C28" s="23"/>
      <c r="D28" s="23"/>
      <c r="E28" s="23" t="s">
        <v>8</v>
      </c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 t="s">
        <v>9</v>
      </c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 t="s">
        <v>8</v>
      </c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 t="s">
        <v>8</v>
      </c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 t="s">
        <v>7</v>
      </c>
      <c r="D37" s="23"/>
      <c r="E37" s="23" t="s">
        <v>8</v>
      </c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 t="s">
        <v>4</v>
      </c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 t="s">
        <v>8</v>
      </c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 t="s">
        <v>8</v>
      </c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 t="s">
        <v>8</v>
      </c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 t="s">
        <v>8</v>
      </c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 t="s">
        <v>8</v>
      </c>
      <c r="G91" s="23"/>
      <c r="H91" s="23"/>
    </row>
    <row r="92" spans="1:8" x14ac:dyDescent="0.25">
      <c r="A92" s="8" t="s">
        <v>109</v>
      </c>
      <c r="B92" s="23"/>
      <c r="C92" s="23" t="s">
        <v>8</v>
      </c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09" priority="24" operator="containsText" text="Pivô">
      <formula>NOT(ISERROR(SEARCH("Pivô",A1)))</formula>
    </cfRule>
    <cfRule type="containsText" dxfId="708" priority="25" operator="containsText" text="Pivô">
      <formula>NOT(ISERROR(SEARCH("Pivô",A1)))</formula>
    </cfRule>
  </conditionalFormatting>
  <conditionalFormatting sqref="B5:H93">
    <cfRule type="containsText" dxfId="694" priority="17" operator="containsText" text="Cardã">
      <formula>NOT(ISERROR(SEARCH("Cardã",B5)))</formula>
    </cfRule>
    <cfRule type="containsText" dxfId="693" priority="18" operator="containsText" text="Pneu">
      <formula>NOT(ISERROR(SEARCH("Pneu",B5)))</formula>
    </cfRule>
    <cfRule type="containsText" dxfId="692" priority="19" operator="containsText" text="Vedação">
      <formula>NOT(ISERROR(SEARCH("Vedação",B5)))</formula>
    </cfRule>
    <cfRule type="containsText" dxfId="691" priority="20" operator="containsText" text="Retentor">
      <formula>NOT(ISERROR(SEARCH("Retentor",B5)))</formula>
    </cfRule>
    <cfRule type="containsText" dxfId="690" priority="21" operator="containsText" text="Motorredutor">
      <formula>NOT(ISERROR(SEARCH("Motorredutor",B5)))</formula>
    </cfRule>
    <cfRule type="containsText" dxfId="689" priority="22" operator="containsText" text="Redutor">
      <formula>NOT(ISERROR(SEARCH("Redutor",B5)))</formula>
    </cfRule>
    <cfRule type="containsText" dxfId="688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26518A2-E38C-4D80-9C2F-0558E41ACB31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D53E626-FED7-490F-8DFE-07A72C9F71F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A57603C-E186-47A7-9B5C-4ACEC04416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2E315FF0-31FA-47BE-88FD-3BADD04C11E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42E00330-C9ED-41A3-8549-69B57696B21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7DB4DEB-D568-46B2-B75E-3108C53D1F8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BCED097C-09D4-4189-8723-744F9F54D46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94F46C35-9604-472A-923A-84EB500959F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B0BDB23B-582B-4C21-BD73-28400003ABD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1D5A0C3-FC36-4A02-A052-16A873276D1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4BB90269-4E12-4FA9-B98E-59A07D9ACF6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9BD22028-A083-4938-9F36-4C877E5D0F0B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2EF84741-D1E1-4381-92C6-65988DFA03F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3EAE5D6C-5DE5-4CF8-BE41-CEC5FAB98B7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AF25E7F4-9168-4800-9925-566709CF2B6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7A57EFAE-109F-4D96-85E8-EE65C80849F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FCD4-F93B-478E-B657-17A6D8E412BF}">
  <sheetPr codeName="Planilha9">
    <tabColor theme="4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117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44662</v>
      </c>
      <c r="C3" s="25">
        <f>B3+1</f>
        <v>44663</v>
      </c>
      <c r="D3" s="25">
        <f t="shared" ref="D3:H3" si="0">C3+1</f>
        <v>44664</v>
      </c>
      <c r="E3" s="25">
        <f t="shared" si="0"/>
        <v>44665</v>
      </c>
      <c r="F3" s="25">
        <f t="shared" si="0"/>
        <v>44666</v>
      </c>
      <c r="G3" s="25">
        <f t="shared" si="0"/>
        <v>44667</v>
      </c>
      <c r="H3" s="25">
        <f t="shared" si="0"/>
        <v>44668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2</v>
      </c>
      <c r="L5" s="39">
        <f t="shared" ref="L5:L14" si="3">K5/$K$15</f>
        <v>8.6956521739130432E-2</v>
      </c>
      <c r="M5" s="54">
        <v>44662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2</v>
      </c>
      <c r="L8" s="41">
        <f t="shared" si="3"/>
        <v>8.6956521739130432E-2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8.6956521739130432E-2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15</v>
      </c>
      <c r="L10" s="41">
        <f t="shared" si="3"/>
        <v>0.65217391304347827</v>
      </c>
    </row>
    <row r="11" spans="1:16" x14ac:dyDescent="0.25">
      <c r="A11" s="8" t="s">
        <v>26</v>
      </c>
      <c r="B11" s="23"/>
      <c r="C11" s="23"/>
      <c r="D11" s="23"/>
      <c r="E11" s="23" t="s">
        <v>7</v>
      </c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 t="s">
        <v>3</v>
      </c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 t="s">
        <v>3</v>
      </c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3"/>
        <v>8.6956521739130432E-2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23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 t="s">
        <v>6</v>
      </c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 t="s">
        <v>6</v>
      </c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 t="s">
        <v>7</v>
      </c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 t="s">
        <v>8</v>
      </c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 t="s">
        <v>8</v>
      </c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 t="s">
        <v>8</v>
      </c>
      <c r="F34" s="23" t="s">
        <v>8</v>
      </c>
      <c r="G34" s="23" t="s">
        <v>12</v>
      </c>
      <c r="H34" s="23" t="s">
        <v>12</v>
      </c>
    </row>
    <row r="35" spans="1:8" x14ac:dyDescent="0.25">
      <c r="A35" s="8" t="s">
        <v>51</v>
      </c>
      <c r="B35" s="23"/>
      <c r="C35" s="23"/>
      <c r="D35" s="23" t="s">
        <v>8</v>
      </c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8</v>
      </c>
      <c r="D36" s="23"/>
      <c r="E36" s="23" t="s">
        <v>8</v>
      </c>
      <c r="F36" s="23"/>
      <c r="G36" s="23"/>
      <c r="H36" s="23"/>
    </row>
    <row r="37" spans="1:8" x14ac:dyDescent="0.25">
      <c r="A37" s="8" t="s">
        <v>53</v>
      </c>
      <c r="B37" s="23"/>
      <c r="C37" s="23" t="s">
        <v>8</v>
      </c>
      <c r="D37" s="23"/>
      <c r="E37" s="23" t="s">
        <v>8</v>
      </c>
      <c r="F37" s="23"/>
      <c r="G37" s="23"/>
      <c r="H37" s="23"/>
    </row>
    <row r="38" spans="1:8" x14ac:dyDescent="0.25">
      <c r="A38" s="8" t="s">
        <v>54</v>
      </c>
      <c r="B38" s="23"/>
      <c r="C38" s="23"/>
      <c r="D38" s="23" t="s">
        <v>8</v>
      </c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 t="s">
        <v>8</v>
      </c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 t="s">
        <v>8</v>
      </c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 t="s">
        <v>8</v>
      </c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 t="s">
        <v>8</v>
      </c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 t="s">
        <v>8</v>
      </c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685" priority="24" operator="containsText" text="Pivô">
      <formula>NOT(ISERROR(SEARCH("Pivô",A1)))</formula>
    </cfRule>
    <cfRule type="containsText" dxfId="684" priority="25" operator="containsText" text="Pivô">
      <formula>NOT(ISERROR(SEARCH("Pivô",A1)))</formula>
    </cfRule>
  </conditionalFormatting>
  <conditionalFormatting sqref="B5:H93">
    <cfRule type="containsText" dxfId="670" priority="17" operator="containsText" text="Cardã">
      <formula>NOT(ISERROR(SEARCH("Cardã",B5)))</formula>
    </cfRule>
    <cfRule type="containsText" dxfId="669" priority="18" operator="containsText" text="Pneu">
      <formula>NOT(ISERROR(SEARCH("Pneu",B5)))</formula>
    </cfRule>
    <cfRule type="containsText" dxfId="668" priority="19" operator="containsText" text="Vedação">
      <formula>NOT(ISERROR(SEARCH("Vedação",B5)))</formula>
    </cfRule>
    <cfRule type="containsText" dxfId="667" priority="20" operator="containsText" text="Retentor">
      <formula>NOT(ISERROR(SEARCH("Retentor",B5)))</formula>
    </cfRule>
    <cfRule type="containsText" dxfId="666" priority="21" operator="containsText" text="Motorredutor">
      <formula>NOT(ISERROR(SEARCH("Motorredutor",B5)))</formula>
    </cfRule>
    <cfRule type="containsText" dxfId="665" priority="22" operator="containsText" text="Redutor">
      <formula>NOT(ISERROR(SEARCH("Redutor",B5)))</formula>
    </cfRule>
    <cfRule type="containsText" dxfId="664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99D9D33-DDE7-4DE2-92AE-36EA3E4D284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E3D39F9-C0BB-40AD-A701-D75A43EA7C19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588582B-FE3A-46B3-AB26-0FA628FEC8A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22C1A8A-C1D6-4239-8FE3-2CAC9BC5AAD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714E4EBB-7227-489D-AA28-E84AC173735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209E407F-EB96-411E-A88C-69CAB20B637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07062FB-25C2-4069-87E0-0058E1D376F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D99F1D45-73BC-412A-BCA9-F3F737A51C3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61113B4A-6E14-4C19-ADFF-F242865AEBB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B27E02D4-A594-47F5-902F-B35622AD49F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FB61B6A-5B70-43BF-8FF3-5B4611108EB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59190403-2280-4BC2-A499-9F228FA2144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DCBD9652-7CBF-4A3E-B6D9-7D4D8BE3488A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2B1BC5EB-08D2-461E-A55C-0CBBFBDE47D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52C646B9-8D03-4738-91F7-F2493EC8D54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42EE580C-FE0B-4349-BDD6-3386CD785707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BAD7-9C19-4116-A073-7A01A5CED3C0}">
  <sheetPr codeName="Planilha10">
    <tabColor theme="4"/>
    <pageSetUpPr fitToPage="1"/>
  </sheetPr>
  <dimension ref="A1:P93"/>
  <sheetViews>
    <sheetView showGridLines="0" topLeftCell="E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118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44669</v>
      </c>
      <c r="C3" s="25">
        <f>B3+1</f>
        <v>44670</v>
      </c>
      <c r="D3" s="25">
        <f t="shared" ref="D3:H3" si="0">C3+1</f>
        <v>44671</v>
      </c>
      <c r="E3" s="25">
        <f t="shared" si="0"/>
        <v>44672</v>
      </c>
      <c r="F3" s="25">
        <f t="shared" si="0"/>
        <v>44673</v>
      </c>
      <c r="G3" s="25">
        <f t="shared" si="0"/>
        <v>44674</v>
      </c>
      <c r="H3" s="25">
        <f t="shared" si="0"/>
        <v>44675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1" si="2">COUNTIF($B$5:$H$93,J5)</f>
        <v>4</v>
      </c>
      <c r="L5" s="39">
        <f t="shared" ref="L5:L14" si="3">K5/$K$15</f>
        <v>0.16</v>
      </c>
      <c r="M5" s="54">
        <v>44669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0.04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3</v>
      </c>
      <c r="L8" s="41">
        <f t="shared" si="3"/>
        <v>0.12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4</v>
      </c>
      <c r="L9" s="41">
        <f t="shared" si="3"/>
        <v>0.16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5</v>
      </c>
      <c r="L10" s="41">
        <f t="shared" si="3"/>
        <v>0.2</v>
      </c>
    </row>
    <row r="11" spans="1:16" x14ac:dyDescent="0.25">
      <c r="A11" s="8" t="s">
        <v>26</v>
      </c>
      <c r="B11" s="23"/>
      <c r="C11" s="23" t="s">
        <v>11</v>
      </c>
      <c r="D11" s="23" t="s">
        <v>3</v>
      </c>
      <c r="E11" s="23"/>
      <c r="F11" s="23" t="s">
        <v>7</v>
      </c>
      <c r="G11" s="23"/>
      <c r="H11" s="23"/>
      <c r="J11" s="17" t="s">
        <v>9</v>
      </c>
      <c r="K11" s="40">
        <f t="shared" si="2"/>
        <v>1</v>
      </c>
      <c r="L11" s="41">
        <f t="shared" si="3"/>
        <v>0.04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 t="s">
        <v>3</v>
      </c>
      <c r="H12" s="23"/>
      <c r="J12" s="34" t="s">
        <v>10</v>
      </c>
      <c r="K12" s="40">
        <f>COUNTIF($B$5:$H$93,J12)</f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6</v>
      </c>
      <c r="L13" s="41">
        <f t="shared" si="3"/>
        <v>0.24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 t="s">
        <v>3</v>
      </c>
      <c r="H14" s="23" t="s">
        <v>9</v>
      </c>
      <c r="J14" s="37" t="s">
        <v>12</v>
      </c>
      <c r="K14" s="42">
        <f>COUNTIF($B$5:$H$93,J14)</f>
        <v>1</v>
      </c>
      <c r="L14" s="43">
        <f t="shared" si="3"/>
        <v>0.04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25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 t="s">
        <v>11</v>
      </c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 t="s">
        <v>11</v>
      </c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 t="s">
        <v>4</v>
      </c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 t="s">
        <v>11</v>
      </c>
    </row>
    <row r="28" spans="1:8" x14ac:dyDescent="0.25">
      <c r="A28" s="8" t="s">
        <v>44</v>
      </c>
      <c r="B28" s="23"/>
      <c r="C28" s="23"/>
      <c r="D28" s="23"/>
      <c r="E28" s="23" t="s">
        <v>6</v>
      </c>
      <c r="F28" s="23" t="s">
        <v>6</v>
      </c>
      <c r="G28" s="23" t="s">
        <v>11</v>
      </c>
      <c r="H28" s="23" t="s">
        <v>11</v>
      </c>
    </row>
    <row r="29" spans="1:8" x14ac:dyDescent="0.25">
      <c r="A29" s="8" t="s">
        <v>45</v>
      </c>
      <c r="B29" s="23"/>
      <c r="C29" s="23" t="s">
        <v>7</v>
      </c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 t="s">
        <v>8</v>
      </c>
      <c r="F30" s="23"/>
      <c r="G30" s="23"/>
      <c r="H30" s="23"/>
    </row>
    <row r="31" spans="1:8" x14ac:dyDescent="0.25">
      <c r="A31" s="8" t="s">
        <v>47</v>
      </c>
      <c r="B31" s="23"/>
      <c r="C31" s="23"/>
      <c r="D31" s="23" t="s">
        <v>8</v>
      </c>
      <c r="E31" s="23"/>
      <c r="F31" s="23"/>
      <c r="G31" s="23"/>
      <c r="H31" s="23"/>
    </row>
    <row r="32" spans="1:8" x14ac:dyDescent="0.25">
      <c r="A32" s="8" t="s">
        <v>48</v>
      </c>
      <c r="B32" s="23" t="s">
        <v>3</v>
      </c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 t="s">
        <v>12</v>
      </c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 t="s">
        <v>8</v>
      </c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 t="s">
        <v>8</v>
      </c>
      <c r="F36" s="23"/>
      <c r="G36" s="23"/>
      <c r="H36" s="23"/>
    </row>
    <row r="37" spans="1:8" x14ac:dyDescent="0.25">
      <c r="A37" s="8" t="s">
        <v>53</v>
      </c>
      <c r="B37" s="23"/>
      <c r="C37" s="23" t="s">
        <v>6</v>
      </c>
      <c r="D37" s="23"/>
      <c r="E37" s="23"/>
      <c r="F37" s="23"/>
      <c r="G37" s="23"/>
      <c r="H37" s="23"/>
    </row>
    <row r="38" spans="1:8" x14ac:dyDescent="0.25">
      <c r="A38" s="8" t="s">
        <v>54</v>
      </c>
      <c r="B38" s="23" t="s">
        <v>8</v>
      </c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 t="s">
        <v>7</v>
      </c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 t="s">
        <v>7</v>
      </c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661" priority="24" operator="containsText" text="Pivô">
      <formula>NOT(ISERROR(SEARCH("Pivô",A1)))</formula>
    </cfRule>
    <cfRule type="containsText" dxfId="660" priority="25" operator="containsText" text="Pivô">
      <formula>NOT(ISERROR(SEARCH("Pivô",A1)))</formula>
    </cfRule>
  </conditionalFormatting>
  <conditionalFormatting sqref="B5:H93">
    <cfRule type="containsText" dxfId="646" priority="17" operator="containsText" text="Cardã">
      <formula>NOT(ISERROR(SEARCH("Cardã",B5)))</formula>
    </cfRule>
    <cfRule type="containsText" dxfId="645" priority="18" operator="containsText" text="Pneu">
      <formula>NOT(ISERROR(SEARCH("Pneu",B5)))</formula>
    </cfRule>
    <cfRule type="containsText" dxfId="644" priority="19" operator="containsText" text="Vedação">
      <formula>NOT(ISERROR(SEARCH("Vedação",B5)))</formula>
    </cfRule>
    <cfRule type="containsText" dxfId="643" priority="20" operator="containsText" text="Retentor">
      <formula>NOT(ISERROR(SEARCH("Retentor",B5)))</formula>
    </cfRule>
    <cfRule type="containsText" dxfId="642" priority="21" operator="containsText" text="Motorredutor">
      <formula>NOT(ISERROR(SEARCH("Motorredutor",B5)))</formula>
    </cfRule>
    <cfRule type="containsText" dxfId="641" priority="22" operator="containsText" text="Redutor">
      <formula>NOT(ISERROR(SEARCH("Redutor",B5)))</formula>
    </cfRule>
    <cfRule type="containsText" dxfId="640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5C85CDA-D800-4A71-BE32-F3C88B5B7C68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B62E2B8-D719-4800-A039-3D2214C7749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913ED8A-4DFC-481D-BBDB-F46DCF9DC9A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EA376F4C-E842-4B25-B2DC-45F490838E81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2D8D0F06-03BC-4EAB-98A4-D4E90B0ECF6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4AA4F1C-0591-4728-AD10-1BE0CCE417C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E4D0CD11-5BB9-4D58-B7ED-548175D0AE1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661F0CCC-9DBC-4411-801E-6241416F2E4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EA0C90AD-11EC-4B70-9A6C-0FCD47FE9DE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7517C52D-7195-4ABF-B4E0-3F2695F503D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5CDD371E-19E1-41B7-8898-DBE6D540410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7E92300C-C928-4A45-9F8F-A77EBA8C08E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DEA0A438-C55A-4E75-9879-F94D5ECCEE2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2DD01BA4-445D-445E-A45A-B8FCADE65D4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15A38B3-8710-4D81-BBB4-1663661257F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4016CA96-A72F-40C6-9602-8B22F7AE83A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97F0-212D-4662-A64B-6CAE24BA61D6}">
  <sheetPr codeName="Planilha11">
    <tabColor theme="4"/>
    <pageSetUpPr fitToPage="1"/>
  </sheetPr>
  <dimension ref="A1:P93"/>
  <sheetViews>
    <sheetView showGridLines="0" tabSelected="1" zoomScaleNormal="100" workbookViewId="0">
      <pane ySplit="4" topLeftCell="A5" activePane="bottomLeft" state="frozen"/>
      <selection pane="bottomLeft" activeCell="C34" sqref="C3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119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44676</v>
      </c>
      <c r="C3" s="25">
        <f>B3+1</f>
        <v>44677</v>
      </c>
      <c r="D3" s="25">
        <f t="shared" ref="D3:H3" si="0">C3+1</f>
        <v>44678</v>
      </c>
      <c r="E3" s="25">
        <f t="shared" si="0"/>
        <v>44679</v>
      </c>
      <c r="F3" s="25">
        <f t="shared" si="0"/>
        <v>44680</v>
      </c>
      <c r="G3" s="25">
        <f t="shared" si="0"/>
        <v>44681</v>
      </c>
      <c r="H3" s="25">
        <f t="shared" si="0"/>
        <v>44682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4" si="2">K5/$K$15</f>
        <v>0.10714285714285714</v>
      </c>
      <c r="M5" s="54">
        <v>44676</v>
      </c>
    </row>
    <row r="6" spans="1:16" x14ac:dyDescent="0.25">
      <c r="A6" s="8" t="s">
        <v>20</v>
      </c>
      <c r="B6" s="23"/>
      <c r="C6" s="23"/>
      <c r="D6" s="23"/>
      <c r="E6" s="20" t="s">
        <v>3</v>
      </c>
      <c r="F6" s="23"/>
      <c r="G6" s="23" t="s">
        <v>9</v>
      </c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3.5714285714285712E-2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2</v>
      </c>
      <c r="L8" s="41">
        <f t="shared" si="2"/>
        <v>7.1428571428571425E-2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3.5714285714285712E-2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13</v>
      </c>
      <c r="L11" s="41">
        <f t="shared" si="2"/>
        <v>0.4642857142857143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8</v>
      </c>
      <c r="L13" s="41">
        <f t="shared" si="2"/>
        <v>0.2857142857142857</v>
      </c>
    </row>
    <row r="14" spans="1:16" x14ac:dyDescent="0.25">
      <c r="A14" s="8" t="s">
        <v>30</v>
      </c>
      <c r="B14" s="23"/>
      <c r="C14" s="23" t="s">
        <v>9</v>
      </c>
      <c r="D14" s="23" t="s">
        <v>9</v>
      </c>
      <c r="E14" s="23" t="s">
        <v>9</v>
      </c>
      <c r="F14" s="23" t="s">
        <v>9</v>
      </c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 t="s">
        <v>6</v>
      </c>
      <c r="C15" s="23"/>
      <c r="D15" s="23"/>
      <c r="E15" s="23"/>
      <c r="F15" s="23"/>
      <c r="G15" s="23"/>
      <c r="H15" s="23"/>
      <c r="J15" s="1" t="s">
        <v>1</v>
      </c>
      <c r="K15" s="1">
        <f>SUM(K5:K14)</f>
        <v>28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 t="s">
        <v>6</v>
      </c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 t="s">
        <v>11</v>
      </c>
      <c r="D27" s="23" t="s">
        <v>11</v>
      </c>
      <c r="E27" s="23" t="s">
        <v>11</v>
      </c>
      <c r="F27" s="23"/>
      <c r="G27" s="23"/>
      <c r="H27" s="23" t="s">
        <v>9</v>
      </c>
    </row>
    <row r="28" spans="1:8" x14ac:dyDescent="0.25">
      <c r="A28" s="8" t="s">
        <v>44</v>
      </c>
      <c r="B28" s="23"/>
      <c r="C28" s="23"/>
      <c r="D28" s="23" t="s">
        <v>11</v>
      </c>
      <c r="E28" s="23" t="s">
        <v>11</v>
      </c>
      <c r="F28" s="23"/>
      <c r="G28" s="23"/>
      <c r="H28" s="23" t="s">
        <v>9</v>
      </c>
    </row>
    <row r="29" spans="1:8" x14ac:dyDescent="0.25">
      <c r="A29" s="8" t="s">
        <v>45</v>
      </c>
      <c r="B29" s="23"/>
      <c r="C29" s="23"/>
      <c r="D29" s="23" t="s">
        <v>3</v>
      </c>
      <c r="E29" s="23"/>
      <c r="F29" s="23"/>
      <c r="G29" s="23"/>
      <c r="H29" s="23" t="s">
        <v>5</v>
      </c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 t="s">
        <v>11</v>
      </c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 t="s">
        <v>11</v>
      </c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 t="s">
        <v>3</v>
      </c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 t="s">
        <v>7</v>
      </c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 t="s">
        <v>11</v>
      </c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 t="s">
        <v>9</v>
      </c>
      <c r="C66" s="23" t="s">
        <v>9</v>
      </c>
      <c r="D66" s="23" t="s">
        <v>9</v>
      </c>
      <c r="E66" s="23" t="s">
        <v>9</v>
      </c>
      <c r="F66" s="23" t="s">
        <v>9</v>
      </c>
      <c r="G66" s="23" t="s">
        <v>9</v>
      </c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637" priority="24" operator="containsText" text="Pivô">
      <formula>NOT(ISERROR(SEARCH("Pivô",A1)))</formula>
    </cfRule>
    <cfRule type="containsText" dxfId="636" priority="25" operator="containsText" text="Pivô">
      <formula>NOT(ISERROR(SEARCH("Pivô",A1)))</formula>
    </cfRule>
  </conditionalFormatting>
  <conditionalFormatting sqref="B5:H93">
    <cfRule type="containsText" dxfId="622" priority="17" operator="containsText" text="Cardã">
      <formula>NOT(ISERROR(SEARCH("Cardã",B5)))</formula>
    </cfRule>
    <cfRule type="containsText" dxfId="621" priority="18" operator="containsText" text="Pneu">
      <formula>NOT(ISERROR(SEARCH("Pneu",B5)))</formula>
    </cfRule>
    <cfRule type="containsText" dxfId="620" priority="19" operator="containsText" text="Vedação">
      <formula>NOT(ISERROR(SEARCH("Vedação",B5)))</formula>
    </cfRule>
    <cfRule type="containsText" dxfId="619" priority="20" operator="containsText" text="Retentor">
      <formula>NOT(ISERROR(SEARCH("Retentor",B5)))</formula>
    </cfRule>
    <cfRule type="containsText" dxfId="618" priority="21" operator="containsText" text="Motorredutor">
      <formula>NOT(ISERROR(SEARCH("Motorredutor",B5)))</formula>
    </cfRule>
    <cfRule type="containsText" dxfId="617" priority="22" operator="containsText" text="Redutor">
      <formula>NOT(ISERROR(SEARCH("Redutor",B5)))</formula>
    </cfRule>
    <cfRule type="containsText" dxfId="616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4EC44AD-4199-4054-A317-90D3580CF59B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4C4A312-CC5B-41C4-A9B1-F7BB306BC5E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3D2C99C-49BD-4C35-AD50-57098341BD0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DB0CF519-7152-44C3-8285-DD9D23CBEB7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8E94C23-339F-497D-BB10-85F8B0EF75E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F6D17156-870E-4624-9C0E-4C105FC9A8D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90D53C1D-DD11-4EAC-9E9D-34B3B9A9C70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7BC6FCCB-8857-46D1-81A7-E921330DBC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60C8E4C0-DF94-47E7-99BB-EA105630575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3E9A363-307C-4E75-BBDB-BD921C175D7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2269C37-11AB-4775-8949-973D251F89D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714DD60F-57E4-46F9-9958-2E86F586B19D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BC94515A-15F5-4492-843E-682CADFED7D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079B0F08-E292-48AD-83B2-102564D82FAA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5C30CCB-400C-457D-8935-87895C1BF5D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C833C44D-8119-4193-893F-8964F5A7C61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CAEA-1CF4-49D2-80AE-DA5303442F9B}">
  <sheetPr codeName="Planilha12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44683</v>
      </c>
      <c r="C3" s="25">
        <f>B3+1</f>
        <v>44684</v>
      </c>
      <c r="D3" s="25">
        <f t="shared" ref="D3:H3" si="0">C3+1</f>
        <v>44685</v>
      </c>
      <c r="E3" s="25">
        <f t="shared" si="0"/>
        <v>44686</v>
      </c>
      <c r="F3" s="25">
        <f t="shared" si="0"/>
        <v>44687</v>
      </c>
      <c r="G3" s="25">
        <f t="shared" si="0"/>
        <v>44688</v>
      </c>
      <c r="H3" s="25">
        <f t="shared" si="0"/>
        <v>44689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 t="s">
        <v>11</v>
      </c>
      <c r="G5" s="20"/>
      <c r="H5" s="20"/>
      <c r="J5" s="35" t="s">
        <v>3</v>
      </c>
      <c r="K5" s="38">
        <f>COUNTIF($B$5:$H$93,J5)</f>
        <v>2</v>
      </c>
      <c r="L5" s="39">
        <f t="shared" ref="L5:L14" si="2">K5/$K$15</f>
        <v>0.125</v>
      </c>
      <c r="M5" s="54">
        <v>44683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 t="s">
        <v>11</v>
      </c>
      <c r="G7" s="23"/>
      <c r="H7" s="23"/>
      <c r="J7" s="13" t="s">
        <v>5</v>
      </c>
      <c r="K7" s="40">
        <f t="shared" si="3"/>
        <v>2</v>
      </c>
      <c r="L7" s="41">
        <f t="shared" si="2"/>
        <v>0.125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5</v>
      </c>
      <c r="L9" s="41">
        <f t="shared" si="2"/>
        <v>0.3125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 t="s">
        <v>7</v>
      </c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 t="s">
        <v>7</v>
      </c>
      <c r="G11" s="23"/>
      <c r="H11" s="23"/>
      <c r="J11" s="17" t="s">
        <v>9</v>
      </c>
      <c r="K11" s="40">
        <f t="shared" si="3"/>
        <v>5</v>
      </c>
      <c r="L11" s="41">
        <f t="shared" si="2"/>
        <v>0.3125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2</v>
      </c>
      <c r="L13" s="41">
        <f t="shared" si="2"/>
        <v>0.125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16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 t="s">
        <v>9</v>
      </c>
      <c r="C18" s="23" t="s">
        <v>9</v>
      </c>
      <c r="D18" s="23" t="s">
        <v>9</v>
      </c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 t="s">
        <v>7</v>
      </c>
      <c r="G26" s="23"/>
      <c r="H26" s="23"/>
    </row>
    <row r="27" spans="1:8" x14ac:dyDescent="0.25">
      <c r="A27" s="8" t="s">
        <v>43</v>
      </c>
      <c r="B27" s="23" t="s">
        <v>9</v>
      </c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 t="s">
        <v>9</v>
      </c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 t="s">
        <v>5</v>
      </c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 t="s">
        <v>5</v>
      </c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 t="s">
        <v>3</v>
      </c>
      <c r="G49" s="23" t="s">
        <v>3</v>
      </c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 t="s">
        <v>7</v>
      </c>
      <c r="H75" s="23" t="s">
        <v>7</v>
      </c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613" priority="24" operator="containsText" text="Pivô">
      <formula>NOT(ISERROR(SEARCH("Pivô",A1)))</formula>
    </cfRule>
    <cfRule type="containsText" dxfId="612" priority="25" operator="containsText" text="Pivô">
      <formula>NOT(ISERROR(SEARCH("Pivô",A1)))</formula>
    </cfRule>
  </conditionalFormatting>
  <conditionalFormatting sqref="B5:H93">
    <cfRule type="containsText" dxfId="598" priority="17" operator="containsText" text="Cardã">
      <formula>NOT(ISERROR(SEARCH("Cardã",B5)))</formula>
    </cfRule>
    <cfRule type="containsText" dxfId="597" priority="18" operator="containsText" text="Pneu">
      <formula>NOT(ISERROR(SEARCH("Pneu",B5)))</formula>
    </cfRule>
    <cfRule type="containsText" dxfId="596" priority="19" operator="containsText" text="Vedação">
      <formula>NOT(ISERROR(SEARCH("Vedação",B5)))</formula>
    </cfRule>
    <cfRule type="containsText" dxfId="595" priority="20" operator="containsText" text="Retentor">
      <formula>NOT(ISERROR(SEARCH("Retentor",B5)))</formula>
    </cfRule>
    <cfRule type="containsText" dxfId="594" priority="21" operator="containsText" text="Motorredutor">
      <formula>NOT(ISERROR(SEARCH("Motorredutor",B5)))</formula>
    </cfRule>
    <cfRule type="containsText" dxfId="593" priority="22" operator="containsText" text="Redutor">
      <formula>NOT(ISERROR(SEARCH("Redutor",B5)))</formula>
    </cfRule>
    <cfRule type="containsText" dxfId="592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4A77A36-DD74-4A54-BC7F-8354556892D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6799BF8C-4A42-462C-BC22-204E2B75478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BACA54B-B90F-4B59-A948-9BD3873B9FA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91ECD91D-CDC6-4248-8195-2A769BDA9D0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A645C73-8E1E-4E5C-B774-A28EC4E9DBC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81AF4752-FCA1-4AE3-A57E-F7199E5CD6A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51C87246-B3DA-4B89-8389-72081D70186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330B58AD-0F4C-4C3B-874E-1B0E4D0F03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2A3F1CD8-6C08-448A-B924-58716CB614C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9F09D9D4-AD31-4C9E-8394-9DC41854A69F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324F946F-B414-4FC0-973C-41E623222AE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6BB96128-A0BD-40F9-836E-536AF7326E83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378BA597-69FB-4BE8-975E-B1A200DC7D7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9622CDA5-F828-45B6-9A62-EDFE608F11E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A9B420C-57AE-44B1-AB07-64F482A9B5B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DBBE97BB-34FD-490D-814F-4B8CF55A3D9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AFCD-BC1E-42E9-B797-A81597296E7E}">
  <sheetPr codeName="Planilha13">
    <tabColor theme="4"/>
    <pageSetUpPr fitToPage="1"/>
  </sheetPr>
  <dimension ref="A1:P93"/>
  <sheetViews>
    <sheetView showGridLines="0" topLeftCell="F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44690</v>
      </c>
      <c r="C3" s="25">
        <f>B3+1</f>
        <v>44691</v>
      </c>
      <c r="D3" s="25">
        <f t="shared" ref="D3:H3" si="0">C3+1</f>
        <v>44692</v>
      </c>
      <c r="E3" s="25">
        <f t="shared" si="0"/>
        <v>44693</v>
      </c>
      <c r="F3" s="25">
        <f t="shared" si="0"/>
        <v>44694</v>
      </c>
      <c r="G3" s="25">
        <f t="shared" si="0"/>
        <v>44695</v>
      </c>
      <c r="H3" s="25">
        <f t="shared" si="0"/>
        <v>44696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 t="s">
        <v>11</v>
      </c>
      <c r="G5" s="20"/>
      <c r="H5" s="20"/>
      <c r="J5" s="35" t="s">
        <v>3</v>
      </c>
      <c r="K5" s="38">
        <f>COUNTIF($B$5:$H$93,J5)</f>
        <v>1</v>
      </c>
      <c r="L5" s="39">
        <f t="shared" ref="L5:L14" si="2">K5/$K$15</f>
        <v>0.14285714285714285</v>
      </c>
      <c r="M5" s="54">
        <v>44690</v>
      </c>
    </row>
    <row r="6" spans="1:16" x14ac:dyDescent="0.25">
      <c r="A6" s="8" t="s">
        <v>20</v>
      </c>
      <c r="B6" s="23"/>
      <c r="C6" s="23"/>
      <c r="D6" s="23"/>
      <c r="E6" s="20" t="s">
        <v>11</v>
      </c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 t="s">
        <v>11</v>
      </c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3</v>
      </c>
      <c r="L13" s="41">
        <f t="shared" si="2"/>
        <v>0.42857142857142855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3</v>
      </c>
      <c r="L14" s="43">
        <f t="shared" si="2"/>
        <v>0.42857142857142855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7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 t="s">
        <v>3</v>
      </c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 t="s">
        <v>12</v>
      </c>
      <c r="F34" s="23" t="s">
        <v>12</v>
      </c>
      <c r="G34" s="23" t="s">
        <v>12</v>
      </c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589" priority="24" operator="containsText" text="Pivô">
      <formula>NOT(ISERROR(SEARCH("Pivô",A1)))</formula>
    </cfRule>
    <cfRule type="containsText" dxfId="588" priority="25" operator="containsText" text="Pivô">
      <formula>NOT(ISERROR(SEARCH("Pivô",A1)))</formula>
    </cfRule>
  </conditionalFormatting>
  <conditionalFormatting sqref="B5:H93">
    <cfRule type="containsText" dxfId="574" priority="17" operator="containsText" text="Cardã">
      <formula>NOT(ISERROR(SEARCH("Cardã",B5)))</formula>
    </cfRule>
    <cfRule type="containsText" dxfId="573" priority="18" operator="containsText" text="Pneu">
      <formula>NOT(ISERROR(SEARCH("Pneu",B5)))</formula>
    </cfRule>
    <cfRule type="containsText" dxfId="572" priority="19" operator="containsText" text="Vedação">
      <formula>NOT(ISERROR(SEARCH("Vedação",B5)))</formula>
    </cfRule>
    <cfRule type="containsText" dxfId="571" priority="20" operator="containsText" text="Retentor">
      <formula>NOT(ISERROR(SEARCH("Retentor",B5)))</formula>
    </cfRule>
    <cfRule type="containsText" dxfId="570" priority="21" operator="containsText" text="Motorredutor">
      <formula>NOT(ISERROR(SEARCH("Motorredutor",B5)))</formula>
    </cfRule>
    <cfRule type="containsText" dxfId="569" priority="22" operator="containsText" text="Redutor">
      <formula>NOT(ISERROR(SEARCH("Redutor",B5)))</formula>
    </cfRule>
    <cfRule type="containsText" dxfId="568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513F83B-E509-4827-A986-D5AAC268D15F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A4140D1-90B9-4CBC-AAB1-289B7FDAB31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266697F-7DB0-40BE-87F5-2B8B6BDA070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B26B1942-D796-44A9-BBF3-DF405457ECE2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2D3FAC4-666A-45EF-A143-9DF8DFC7793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9E27CDA1-EEBC-479B-8C91-82034A4C328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F83BF29A-CA3D-40DB-B4DB-B31A8BEA611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05715A9E-7EBC-4DDB-83C5-4E27198E34C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7877E90F-C48C-45FD-B9D5-01F590F892A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137A4860-10F0-4016-8634-A0511B074C0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9CA63524-40D7-4B8A-AD3A-5BFEF4FCF02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B88935A0-36D3-4FC4-A6D0-39313CEC8AB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210F3720-BA1F-458D-B098-E43F580224A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A453F8F5-DB21-41CD-9468-403B4B62536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8F3F4393-08F2-41B3-97DB-8D8EFCA65C6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0C2CA3BB-4E82-44D1-923A-CBBABA77965C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9D68-2527-4714-B9E5-2BED914DE4E4}">
  <sheetPr codeName="Planilha14">
    <tabColor theme="4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44697</v>
      </c>
      <c r="C3" s="25">
        <f>B3+1</f>
        <v>44698</v>
      </c>
      <c r="D3" s="25">
        <f t="shared" ref="D3:H3" si="0">C3+1</f>
        <v>44699</v>
      </c>
      <c r="E3" s="25">
        <f t="shared" si="0"/>
        <v>44700</v>
      </c>
      <c r="F3" s="25">
        <f t="shared" si="0"/>
        <v>44701</v>
      </c>
      <c r="G3" s="25">
        <f t="shared" si="0"/>
        <v>44702</v>
      </c>
      <c r="H3" s="25">
        <f t="shared" si="0"/>
        <v>44703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4" si="2">K5/$K$15</f>
        <v>0.42857142857142855</v>
      </c>
      <c r="M5" s="54">
        <v>44697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2</v>
      </c>
      <c r="L7" s="41">
        <f t="shared" si="2"/>
        <v>0.2857142857142857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1</v>
      </c>
      <c r="L8" s="41">
        <f t="shared" si="2"/>
        <v>0.14285714285714285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0.14285714285714285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7</v>
      </c>
    </row>
    <row r="16" spans="1:16" x14ac:dyDescent="0.25">
      <c r="A16" s="8" t="s">
        <v>32</v>
      </c>
      <c r="B16" s="23" t="s">
        <v>5</v>
      </c>
      <c r="C16" s="23"/>
      <c r="D16" s="23"/>
      <c r="E16" s="23"/>
      <c r="F16" s="23"/>
      <c r="G16" s="23" t="s">
        <v>7</v>
      </c>
      <c r="H16" s="23" t="s">
        <v>3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 t="s">
        <v>6</v>
      </c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 t="s">
        <v>3</v>
      </c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 t="s">
        <v>3</v>
      </c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 t="s">
        <v>5</v>
      </c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565" priority="24" operator="containsText" text="Pivô">
      <formula>NOT(ISERROR(SEARCH("Pivô",A1)))</formula>
    </cfRule>
    <cfRule type="containsText" dxfId="564" priority="25" operator="containsText" text="Pivô">
      <formula>NOT(ISERROR(SEARCH("Pivô",A1)))</formula>
    </cfRule>
  </conditionalFormatting>
  <conditionalFormatting sqref="B5:H93">
    <cfRule type="containsText" dxfId="550" priority="17" operator="containsText" text="Cardã">
      <formula>NOT(ISERROR(SEARCH("Cardã",B5)))</formula>
    </cfRule>
    <cfRule type="containsText" dxfId="549" priority="18" operator="containsText" text="Pneu">
      <formula>NOT(ISERROR(SEARCH("Pneu",B5)))</formula>
    </cfRule>
    <cfRule type="containsText" dxfId="548" priority="19" operator="containsText" text="Vedação">
      <formula>NOT(ISERROR(SEARCH("Vedação",B5)))</formula>
    </cfRule>
    <cfRule type="containsText" dxfId="547" priority="20" operator="containsText" text="Retentor">
      <formula>NOT(ISERROR(SEARCH("Retentor",B5)))</formula>
    </cfRule>
    <cfRule type="containsText" dxfId="546" priority="21" operator="containsText" text="Motorredutor">
      <formula>NOT(ISERROR(SEARCH("Motorredutor",B5)))</formula>
    </cfRule>
    <cfRule type="containsText" dxfId="545" priority="22" operator="containsText" text="Redutor">
      <formula>NOT(ISERROR(SEARCH("Redutor",B5)))</formula>
    </cfRule>
    <cfRule type="containsText" dxfId="544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AF8BC9A-B08B-4587-B570-8778EE37D9D7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663D442-FCD4-40CD-9C19-EBD9B8079BD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C3C8152-FB4F-4B3B-ADC6-5A90B8D3A59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51807930-AE4C-470B-B0AC-FF991DE1151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9745880B-5364-425F-9778-9903A7CDF16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BE2A3899-FC6C-4848-9B35-D999D1AC073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13628AB-4FB0-4A06-9C49-45D4904BB7D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C4EB58C3-4D73-482B-BD21-3B8D40192E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1AF59917-51DB-4215-8040-DCECB60A45D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8FDFD869-4B7D-4A08-BCCD-DE520995F64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BFC34953-EB84-426C-B28D-D3CF2523AFF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26E8B35F-F8B9-452E-8343-A57B74D4B51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5D01504-545C-4D98-9A3C-7DD8C0BEFE7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A9359ECB-B1D3-4018-A30B-7F4B32974E5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61D95EAD-D76A-4298-A685-47A8381BD1F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1F8C4A18-C778-41AD-836E-FE5562EC7119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B47C-3E05-4FE4-8735-9571AE030D17}">
  <sheetPr codeName="Planilha15">
    <tabColor theme="4"/>
    <pageSetUpPr fitToPage="1"/>
  </sheetPr>
  <dimension ref="A1:P93"/>
  <sheetViews>
    <sheetView showGridLines="0" topLeftCell="C1" zoomScaleNormal="100" workbookViewId="0">
      <pane ySplit="4" topLeftCell="A5" activePane="bottomLeft" state="frozen"/>
      <selection pane="bottomLeft" activeCell="K33" sqref="K33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44704</v>
      </c>
      <c r="C3" s="25">
        <f>B3+1</f>
        <v>44705</v>
      </c>
      <c r="D3" s="25">
        <f t="shared" ref="D3:H3" si="0">C3+1</f>
        <v>44706</v>
      </c>
      <c r="E3" s="25">
        <f t="shared" si="0"/>
        <v>44707</v>
      </c>
      <c r="F3" s="25">
        <f t="shared" si="0"/>
        <v>44708</v>
      </c>
      <c r="G3" s="25">
        <f t="shared" si="0"/>
        <v>44709</v>
      </c>
      <c r="H3" s="25">
        <f t="shared" si="0"/>
        <v>44710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4</v>
      </c>
      <c r="L5" s="39">
        <f t="shared" ref="L5:L14" si="2">K5/$K$15</f>
        <v>0.2</v>
      </c>
      <c r="M5" s="54">
        <v>44704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2</v>
      </c>
      <c r="L6" s="41">
        <f t="shared" si="2"/>
        <v>0.1</v>
      </c>
    </row>
    <row r="7" spans="1:16" x14ac:dyDescent="0.25">
      <c r="A7" s="8" t="s">
        <v>21</v>
      </c>
      <c r="B7" s="23"/>
      <c r="C7" s="23"/>
      <c r="D7" s="23"/>
      <c r="E7" s="23" t="s">
        <v>6</v>
      </c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0.05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4</v>
      </c>
      <c r="L8" s="41">
        <f t="shared" si="2"/>
        <v>0.2</v>
      </c>
    </row>
    <row r="9" spans="1:16" x14ac:dyDescent="0.25">
      <c r="A9" s="8" t="s">
        <v>23</v>
      </c>
      <c r="B9" s="23"/>
      <c r="C9" s="23" t="s">
        <v>6</v>
      </c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0.05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7</v>
      </c>
      <c r="L11" s="41">
        <f t="shared" si="2"/>
        <v>0.35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0.05</v>
      </c>
    </row>
    <row r="15" spans="1:16" x14ac:dyDescent="0.25">
      <c r="A15" s="8" t="s">
        <v>31</v>
      </c>
      <c r="B15" s="23"/>
      <c r="C15" s="23"/>
      <c r="D15" s="23" t="s">
        <v>5</v>
      </c>
      <c r="E15" s="23"/>
      <c r="F15" s="23"/>
      <c r="G15" s="23"/>
      <c r="H15" s="23"/>
      <c r="J15" s="1" t="s">
        <v>1</v>
      </c>
      <c r="K15" s="1">
        <f>SUM(K5:K14)</f>
        <v>20</v>
      </c>
    </row>
    <row r="16" spans="1:16" x14ac:dyDescent="0.25">
      <c r="A16" s="8" t="s">
        <v>32</v>
      </c>
      <c r="B16" s="23" t="s">
        <v>3</v>
      </c>
      <c r="C16" s="23" t="s">
        <v>3</v>
      </c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 t="s">
        <v>6</v>
      </c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 t="s">
        <v>4</v>
      </c>
      <c r="H24" s="23" t="s">
        <v>4</v>
      </c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 t="s">
        <v>6</v>
      </c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 t="s">
        <v>3</v>
      </c>
      <c r="C29" s="23"/>
      <c r="D29" s="23" t="s">
        <v>12</v>
      </c>
      <c r="E29" s="23"/>
      <c r="F29" s="23"/>
      <c r="G29" s="23" t="s">
        <v>3</v>
      </c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11" x14ac:dyDescent="0.25">
      <c r="A33" s="8" t="s">
        <v>49</v>
      </c>
      <c r="B33" s="23"/>
      <c r="C33" s="23"/>
      <c r="D33" s="23"/>
      <c r="E33" s="23"/>
      <c r="F33" s="23"/>
      <c r="G33" s="23"/>
      <c r="H33" s="23"/>
      <c r="K33" s="60" t="s">
        <v>89</v>
      </c>
    </row>
    <row r="34" spans="1:11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11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11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11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11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11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11" x14ac:dyDescent="0.25">
      <c r="A40" s="8" t="s">
        <v>56</v>
      </c>
      <c r="B40" s="23" t="s">
        <v>7</v>
      </c>
      <c r="C40" s="23"/>
      <c r="D40" s="23"/>
      <c r="E40" s="23"/>
      <c r="F40" s="23"/>
      <c r="G40" s="23"/>
      <c r="H40" s="23"/>
    </row>
    <row r="41" spans="1:11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11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11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11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11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11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11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11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 t="s">
        <v>9</v>
      </c>
      <c r="C54" s="23" t="s">
        <v>9</v>
      </c>
      <c r="D54" s="23" t="s">
        <v>9</v>
      </c>
      <c r="E54" s="23" t="s">
        <v>9</v>
      </c>
      <c r="F54" s="23" t="s">
        <v>9</v>
      </c>
      <c r="G54" s="23" t="s">
        <v>9</v>
      </c>
      <c r="H54" s="23" t="s">
        <v>9</v>
      </c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541" priority="24" operator="containsText" text="Pivô">
      <formula>NOT(ISERROR(SEARCH("Pivô",A1)))</formula>
    </cfRule>
    <cfRule type="containsText" dxfId="540" priority="25" operator="containsText" text="Pivô">
      <formula>NOT(ISERROR(SEARCH("Pivô",A1)))</formula>
    </cfRule>
  </conditionalFormatting>
  <conditionalFormatting sqref="B5:H93">
    <cfRule type="containsText" dxfId="526" priority="17" operator="containsText" text="Cardã">
      <formula>NOT(ISERROR(SEARCH("Cardã",B5)))</formula>
    </cfRule>
    <cfRule type="containsText" dxfId="525" priority="18" operator="containsText" text="Pneu">
      <formula>NOT(ISERROR(SEARCH("Pneu",B5)))</formula>
    </cfRule>
    <cfRule type="containsText" dxfId="524" priority="19" operator="containsText" text="Vedação">
      <formula>NOT(ISERROR(SEARCH("Vedação",B5)))</formula>
    </cfRule>
    <cfRule type="containsText" dxfId="523" priority="20" operator="containsText" text="Retentor">
      <formula>NOT(ISERROR(SEARCH("Retentor",B5)))</formula>
    </cfRule>
    <cfRule type="containsText" dxfId="522" priority="21" operator="containsText" text="Motorredutor">
      <formula>NOT(ISERROR(SEARCH("Motorredutor",B5)))</formula>
    </cfRule>
    <cfRule type="containsText" dxfId="521" priority="22" operator="containsText" text="Redutor">
      <formula>NOT(ISERROR(SEARCH("Redutor",B5)))</formula>
    </cfRule>
    <cfRule type="containsText" dxfId="520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732B9D0-FD5F-440E-B0A3-7A3D3A775A5B}">
      <formula1>$J$5:$J$14</formula1>
    </dataValidation>
  </dataValidations>
  <hyperlinks>
    <hyperlink ref="K33" location="'Dashboard de Indicadores'!A1" display="'Dashboard de Indicadores'!A1" xr:uid="{D69C9E78-44E7-4E6A-BFA1-872B6F05FF3D}"/>
  </hyperlink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A5B8DED-5DF9-4A9B-A686-1764D524B4E0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055D9B5-7A18-43AA-A63D-AC26E1C96FB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81EF4528-C948-4397-BD91-B1C2CA1EF7D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1F0A9B6C-D413-499C-B367-73C4AE7783B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457C6451-C61E-4233-9312-6979BD8B72E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D35912A0-FC6A-4EFD-AAF7-6558CB711FF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BD14B610-28B3-4B15-ABD0-D989D67583D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89450844-D979-4D5F-9321-38215B03772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A1D7C75A-1772-4C29-B36E-8D5B2DA23F7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EA504104-070F-4603-80D5-390FB26A54C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0C3F226B-F7C7-4B4F-BA0C-1A5CE7AA8291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E04A76C3-AD40-4DA9-AD7E-EE2AA16770F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84EA56C9-CDC2-4FE4-9418-EA1B34ED5BE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97E40D48-A4A5-4C7B-B491-CFB1FD2B4B2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10687DF-E4E2-4EE0-A109-AD96A81A9B94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CF88-1D94-4226-9ED0-CDEA905FF73F}">
  <sheetPr codeName="Planilha16">
    <tabColor theme="4"/>
    <pageSetUpPr fitToPage="1"/>
  </sheetPr>
  <dimension ref="A1:P93"/>
  <sheetViews>
    <sheetView showGridLines="0" topLeftCell="D1" zoomScaleNormal="100" workbookViewId="0">
      <pane ySplit="4" topLeftCell="A5" activePane="bottomLeft" state="frozen"/>
      <selection pane="bottomLeft" activeCell="K5" sqref="K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124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44711</v>
      </c>
      <c r="C3" s="25">
        <f>B3+1</f>
        <v>44712</v>
      </c>
      <c r="D3" s="25">
        <f t="shared" ref="D3:H3" si="0">C3+1</f>
        <v>44713</v>
      </c>
      <c r="E3" s="25">
        <f t="shared" si="0"/>
        <v>44714</v>
      </c>
      <c r="F3" s="25">
        <f t="shared" si="0"/>
        <v>44715</v>
      </c>
      <c r="G3" s="25">
        <f t="shared" si="0"/>
        <v>44716</v>
      </c>
      <c r="H3" s="25">
        <f t="shared" si="0"/>
        <v>44717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5</v>
      </c>
      <c r="L5" s="39">
        <f t="shared" ref="L5:L14" si="2">K5/$K$15</f>
        <v>1</v>
      </c>
      <c r="M5" s="54">
        <v>44711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 t="s">
        <v>3</v>
      </c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 t="s">
        <v>3</v>
      </c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5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 t="s">
        <v>3</v>
      </c>
    </row>
    <row r="29" spans="1:8" x14ac:dyDescent="0.25">
      <c r="A29" s="8" t="s">
        <v>45</v>
      </c>
      <c r="B29" s="23" t="s">
        <v>3</v>
      </c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 t="s">
        <v>3</v>
      </c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517" priority="24" operator="containsText" text="Pivô">
      <formula>NOT(ISERROR(SEARCH("Pivô",A1)))</formula>
    </cfRule>
    <cfRule type="containsText" dxfId="516" priority="25" operator="containsText" text="Pivô">
      <formula>NOT(ISERROR(SEARCH("Pivô",A1)))</formula>
    </cfRule>
  </conditionalFormatting>
  <conditionalFormatting sqref="B5:H93">
    <cfRule type="containsText" dxfId="502" priority="17" operator="containsText" text="Cardã">
      <formula>NOT(ISERROR(SEARCH("Cardã",B5)))</formula>
    </cfRule>
    <cfRule type="containsText" dxfId="501" priority="18" operator="containsText" text="Pneu">
      <formula>NOT(ISERROR(SEARCH("Pneu",B5)))</formula>
    </cfRule>
    <cfRule type="containsText" dxfId="500" priority="19" operator="containsText" text="Vedação">
      <formula>NOT(ISERROR(SEARCH("Vedação",B5)))</formula>
    </cfRule>
    <cfRule type="containsText" dxfId="499" priority="20" operator="containsText" text="Retentor">
      <formula>NOT(ISERROR(SEARCH("Retentor",B5)))</formula>
    </cfRule>
    <cfRule type="containsText" dxfId="498" priority="21" operator="containsText" text="Motorredutor">
      <formula>NOT(ISERROR(SEARCH("Motorredutor",B5)))</formula>
    </cfRule>
    <cfRule type="containsText" dxfId="497" priority="22" operator="containsText" text="Redutor">
      <formula>NOT(ISERROR(SEARCH("Redutor",B5)))</formula>
    </cfRule>
    <cfRule type="containsText" dxfId="496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B55F340-6A84-44A4-BE64-5EAF67813352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3D2F019-168D-41AA-87BB-6A109BB5CDB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B6A87F51-D257-4A80-A6A3-F5BE901E2B6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A9DE08CE-D79D-4E3B-AB35-9BEFE3E26AA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A3E04B0F-0999-46DA-B198-3745586DB05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9EA72E0E-9C9B-457C-A5F2-3F4337D1E95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A920499-AD7C-43E4-8CAD-6FB9118D752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5B3EA1A8-D2DA-4C86-AB67-F4BDCEEF8BE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87AD83C9-67FD-435A-986E-00FBDF9063D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BF3A1F7-3A69-47F8-BFAD-0302EDDAAF7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750FA7DB-47C9-4ADF-A64B-669C69D86FB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C4AAB80-4218-4978-AC3A-31F535E2D9A1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FBDE0B9D-F6B8-41DF-9FA9-DD932964DE2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5BF4F03B-D86D-45D2-8972-2D85D9EC4AC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B2357D45-6B57-4822-A204-8902B7B2F79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96468E91-FC8E-47A5-B44D-A7AFD4A90C1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5E09-E050-4FCD-BD62-0ED6D9013850}">
  <sheetPr codeName="Planilha17">
    <tabColor theme="4"/>
    <pageSetUpPr fitToPage="1"/>
  </sheetPr>
  <dimension ref="A1:P93"/>
  <sheetViews>
    <sheetView showGridLines="0" topLeftCell="B1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125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44718</v>
      </c>
      <c r="C3" s="25">
        <f>B3+1</f>
        <v>44719</v>
      </c>
      <c r="D3" s="25">
        <f t="shared" ref="D3:H3" si="0">C3+1</f>
        <v>44720</v>
      </c>
      <c r="E3" s="25">
        <f t="shared" si="0"/>
        <v>44721</v>
      </c>
      <c r="F3" s="25">
        <f t="shared" si="0"/>
        <v>44722</v>
      </c>
      <c r="G3" s="25">
        <f t="shared" si="0"/>
        <v>44723</v>
      </c>
      <c r="H3" s="25">
        <f t="shared" si="0"/>
        <v>44724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4" si="2">K5/$K$15</f>
        <v>0</v>
      </c>
      <c r="M5" s="54">
        <v>44718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1</v>
      </c>
      <c r="L12" s="41">
        <f t="shared" si="2"/>
        <v>0.5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2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 t="s">
        <v>12</v>
      </c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 t="s">
        <v>10</v>
      </c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93" priority="24" operator="containsText" text="Pivô">
      <formula>NOT(ISERROR(SEARCH("Pivô",A1)))</formula>
    </cfRule>
    <cfRule type="containsText" dxfId="492" priority="25" operator="containsText" text="Pivô">
      <formula>NOT(ISERROR(SEARCH("Pivô",A1)))</formula>
    </cfRule>
  </conditionalFormatting>
  <conditionalFormatting sqref="B5:H93">
    <cfRule type="containsText" dxfId="478" priority="17" operator="containsText" text="Cardã">
      <formula>NOT(ISERROR(SEARCH("Cardã",B5)))</formula>
    </cfRule>
    <cfRule type="containsText" dxfId="477" priority="18" operator="containsText" text="Pneu">
      <formula>NOT(ISERROR(SEARCH("Pneu",B5)))</formula>
    </cfRule>
    <cfRule type="containsText" dxfId="476" priority="19" operator="containsText" text="Vedação">
      <formula>NOT(ISERROR(SEARCH("Vedação",B5)))</formula>
    </cfRule>
    <cfRule type="containsText" dxfId="475" priority="20" operator="containsText" text="Retentor">
      <formula>NOT(ISERROR(SEARCH("Retentor",B5)))</formula>
    </cfRule>
    <cfRule type="containsText" dxfId="474" priority="21" operator="containsText" text="Motorredutor">
      <formula>NOT(ISERROR(SEARCH("Motorredutor",B5)))</formula>
    </cfRule>
    <cfRule type="containsText" dxfId="473" priority="22" operator="containsText" text="Redutor">
      <formula>NOT(ISERROR(SEARCH("Redutor",B5)))</formula>
    </cfRule>
    <cfRule type="containsText" dxfId="472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5B3E55A7-DE6D-4378-BC8C-4ABD1466A167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222500D-DA38-4FDB-AAD2-39443384E39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A3171B3D-B032-48D9-BB69-DC82655E240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1C96A9A-7C06-4B21-B6B6-327FA984C36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2BB4B244-A27B-40FF-916C-A1A7EF4C294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3A053B84-93F3-4406-920F-F07B642F14D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6F5F993C-C18B-4E5D-99F6-4724BC4CD28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EA1EE865-7FFE-42E1-BD0C-AC49C3CEFF9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5B7E2733-A620-4C62-8D98-BF4FF20DFD6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D3FA94E3-BDB4-426E-9C82-411E77B56BB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4368E599-2E53-4798-B569-5A65A563907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495C7BD1-DEAB-4372-ACB7-A5EA21AE86F7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C76CE94C-CA91-4343-89E1-11C3D93BAEA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119FA239-3CD9-4E5E-B199-3A6B664EA47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0033C862-36CB-46D5-B4D8-584C4A0C794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FF32C7D0-DFBA-4268-B431-5C54F4CAC1B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4879-2594-438E-B9C6-9C6A266D7FEC}">
  <sheetPr codeName="Planilha18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4" sqref="K4:M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126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44725</v>
      </c>
      <c r="C3" s="25">
        <f>B3+1</f>
        <v>44726</v>
      </c>
      <c r="D3" s="25">
        <f t="shared" ref="D3:H3" si="0">C3+1</f>
        <v>44727</v>
      </c>
      <c r="E3" s="25">
        <f t="shared" si="0"/>
        <v>44728</v>
      </c>
      <c r="F3" s="25">
        <f t="shared" si="0"/>
        <v>44729</v>
      </c>
      <c r="G3" s="25">
        <f t="shared" si="0"/>
        <v>44730</v>
      </c>
      <c r="H3" s="25">
        <f t="shared" si="0"/>
        <v>44731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2</v>
      </c>
      <c r="L5" s="39">
        <f t="shared" ref="L5:L14" si="2">K5/$K$15</f>
        <v>0.5</v>
      </c>
      <c r="M5" s="54">
        <v>44725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0.25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 t="s">
        <v>4</v>
      </c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1</v>
      </c>
      <c r="L11" s="41">
        <f t="shared" si="2"/>
        <v>0.25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4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 t="s">
        <v>3</v>
      </c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 t="s">
        <v>9</v>
      </c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 t="s">
        <v>3</v>
      </c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69" priority="24" operator="containsText" text="Pivô">
      <formula>NOT(ISERROR(SEARCH("Pivô",A1)))</formula>
    </cfRule>
    <cfRule type="containsText" dxfId="468" priority="25" operator="containsText" text="Pivô">
      <formula>NOT(ISERROR(SEARCH("Pivô",A1)))</formula>
    </cfRule>
  </conditionalFormatting>
  <conditionalFormatting sqref="B5:H93">
    <cfRule type="containsText" dxfId="454" priority="17" operator="containsText" text="Cardã">
      <formula>NOT(ISERROR(SEARCH("Cardã",B5)))</formula>
    </cfRule>
    <cfRule type="containsText" dxfId="453" priority="18" operator="containsText" text="Pneu">
      <formula>NOT(ISERROR(SEARCH("Pneu",B5)))</formula>
    </cfRule>
    <cfRule type="containsText" dxfId="452" priority="19" operator="containsText" text="Vedação">
      <formula>NOT(ISERROR(SEARCH("Vedação",B5)))</formula>
    </cfRule>
    <cfRule type="containsText" dxfId="451" priority="20" operator="containsText" text="Retentor">
      <formula>NOT(ISERROR(SEARCH("Retentor",B5)))</formula>
    </cfRule>
    <cfRule type="containsText" dxfId="450" priority="21" operator="containsText" text="Motorredutor">
      <formula>NOT(ISERROR(SEARCH("Motorredutor",B5)))</formula>
    </cfRule>
    <cfRule type="containsText" dxfId="449" priority="22" operator="containsText" text="Redutor">
      <formula>NOT(ISERROR(SEARCH("Redutor",B5)))</formula>
    </cfRule>
    <cfRule type="containsText" dxfId="448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061892FE-22F9-4983-88EE-22EC8D2FEAEC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55EDEDF3-21F5-46BE-993C-FC8CF385FA0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FA0A9D07-D954-439C-9412-2549AC4A35C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95B4695-6303-4FFA-96BC-AD111B432C5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55045A24-4C48-4F7F-B377-1E72D5BA502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5E63BD9-C2B1-405E-BB7E-47A1FD4963E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67E68AB3-204C-4836-83D7-482227535C7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5312E9B6-2DEE-454A-B4CE-1C3D8049F6C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16C4A9D7-5EC0-4B1B-8A46-17866A574FA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0F4A2E79-E606-4F4A-84CB-BB7220871CE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CE344DBD-B70B-447C-8407-92B3C4BE88C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B2650F7A-3947-4569-9221-17A1CEF7C62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54B95A6B-338D-4966-A8F1-D2AD8EE9980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5129A02D-7588-4FAE-A83D-25151E54A8C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58C9219D-02A9-408D-BAE4-AD10C57F48F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FCA5984E-2967-46F4-8674-1C382EC6110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9C73-F30D-4644-B558-84498B22656E}">
  <sheetPr codeName="Planilha19">
    <tabColor theme="4"/>
    <pageSetUpPr fitToPage="1"/>
  </sheetPr>
  <dimension ref="A1:P93"/>
  <sheetViews>
    <sheetView showGridLines="0" zoomScaleNormal="100" workbookViewId="0">
      <pane ySplit="4" topLeftCell="A74" activePane="bottomLeft" state="frozen"/>
      <selection pane="bottomLeft" activeCell="D25" sqref="D2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127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44732</v>
      </c>
      <c r="C3" s="25">
        <f>B3+1</f>
        <v>44733</v>
      </c>
      <c r="D3" s="25">
        <f t="shared" ref="D3:H3" si="0">C3+1</f>
        <v>44734</v>
      </c>
      <c r="E3" s="25">
        <f t="shared" si="0"/>
        <v>44735</v>
      </c>
      <c r="F3" s="25">
        <f t="shared" si="0"/>
        <v>44736</v>
      </c>
      <c r="G3" s="25">
        <f t="shared" si="0"/>
        <v>44737</v>
      </c>
      <c r="H3" s="25">
        <f t="shared" si="0"/>
        <v>44738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4" si="2">K5/$K$15</f>
        <v>0.375</v>
      </c>
      <c r="M5" s="54">
        <v>44732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0.125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2</v>
      </c>
      <c r="L9" s="41">
        <f t="shared" si="2"/>
        <v>0.25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 t="s">
        <v>7</v>
      </c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2"/>
        <v>0.25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8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 t="s">
        <v>3</v>
      </c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 t="s">
        <v>5</v>
      </c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 t="s">
        <v>3</v>
      </c>
      <c r="D29" s="23"/>
      <c r="E29" s="23" t="s">
        <v>3</v>
      </c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 t="s">
        <v>7</v>
      </c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 t="s">
        <v>12</v>
      </c>
      <c r="D93" s="23" t="s">
        <v>12</v>
      </c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45" priority="24" operator="containsText" text="Pivô">
      <formula>NOT(ISERROR(SEARCH("Pivô",A1)))</formula>
    </cfRule>
    <cfRule type="containsText" dxfId="444" priority="25" operator="containsText" text="Pivô">
      <formula>NOT(ISERROR(SEARCH("Pivô",A1)))</formula>
    </cfRule>
  </conditionalFormatting>
  <conditionalFormatting sqref="B5:H93">
    <cfRule type="containsText" dxfId="430" priority="17" operator="containsText" text="Cardã">
      <formula>NOT(ISERROR(SEARCH("Cardã",B5)))</formula>
    </cfRule>
    <cfRule type="containsText" dxfId="429" priority="18" operator="containsText" text="Pneu">
      <formula>NOT(ISERROR(SEARCH("Pneu",B5)))</formula>
    </cfRule>
    <cfRule type="containsText" dxfId="428" priority="19" operator="containsText" text="Vedação">
      <formula>NOT(ISERROR(SEARCH("Vedação",B5)))</formula>
    </cfRule>
    <cfRule type="containsText" dxfId="427" priority="20" operator="containsText" text="Retentor">
      <formula>NOT(ISERROR(SEARCH("Retentor",B5)))</formula>
    </cfRule>
    <cfRule type="containsText" dxfId="426" priority="21" operator="containsText" text="Motorredutor">
      <formula>NOT(ISERROR(SEARCH("Motorredutor",B5)))</formula>
    </cfRule>
    <cfRule type="containsText" dxfId="425" priority="22" operator="containsText" text="Redutor">
      <formula>NOT(ISERROR(SEARCH("Redutor",B5)))</formula>
    </cfRule>
    <cfRule type="containsText" dxfId="424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21EEB4D-CBE1-40F2-B156-FEC4A749C3D8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740A247-CC4F-404C-89DD-04FE31F1077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1094FB14-764C-4ED6-9F8A-60B4CD4CD93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92592C1-556D-4D13-A0FD-7CB55D3A2CE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EBD80C7-34D8-4A55-A12E-96EDB2BA059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DB0569F-6CB2-481F-9462-F6FD8FDECA1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77C213EA-C7F3-4011-8D8F-35BA5621776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7EA23611-E8BC-4328-90DB-D0CD4AB4BEC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5DC75740-C07B-4842-9F60-4BF55797F42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615E14A2-11E3-443D-9D97-D4911267AA8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CDAA7157-5C9E-4E9B-AAB0-BC5C5CDFDB3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D8469B48-09E6-4F56-BB37-4EF9E40A402C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BC526469-4E7C-45D0-AA0E-BC822C5EE2B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6E310043-7532-4208-9EFD-C622AA0082A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20DE38C4-FACC-4796-A954-633951C04BA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2E0DAE3-26CA-4068-B782-153499E1877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4209-BBC4-439F-984C-6044607E0B37}">
  <sheetPr codeName="Planilha20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F78" sqref="F7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128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44739</v>
      </c>
      <c r="C3" s="25">
        <f>B3+1</f>
        <v>44740</v>
      </c>
      <c r="D3" s="25">
        <f t="shared" ref="D3:H3" si="0">C3+1</f>
        <v>44741</v>
      </c>
      <c r="E3" s="25">
        <f t="shared" si="0"/>
        <v>44742</v>
      </c>
      <c r="F3" s="25">
        <f t="shared" si="0"/>
        <v>44743</v>
      </c>
      <c r="G3" s="25">
        <f t="shared" si="0"/>
        <v>44744</v>
      </c>
      <c r="H3" s="25">
        <f t="shared" si="0"/>
        <v>44745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 t="s">
        <v>3</v>
      </c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4" si="2">K5/$K$15</f>
        <v>0.5</v>
      </c>
      <c r="M5" s="54">
        <v>44739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0.16666666666666666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2"/>
        <v>0.33333333333333331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6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 t="s">
        <v>3</v>
      </c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 t="s">
        <v>3</v>
      </c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 t="s">
        <v>12</v>
      </c>
      <c r="F52" s="23" t="s">
        <v>12</v>
      </c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 t="s">
        <v>7</v>
      </c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21" priority="24" operator="containsText" text="Pivô">
      <formula>NOT(ISERROR(SEARCH("Pivô",A1)))</formula>
    </cfRule>
    <cfRule type="containsText" dxfId="420" priority="25" operator="containsText" text="Pivô">
      <formula>NOT(ISERROR(SEARCH("Pivô",A1)))</formula>
    </cfRule>
  </conditionalFormatting>
  <conditionalFormatting sqref="B5:H93">
    <cfRule type="containsText" dxfId="406" priority="17" operator="containsText" text="Cardã">
      <formula>NOT(ISERROR(SEARCH("Cardã",B5)))</formula>
    </cfRule>
    <cfRule type="containsText" dxfId="405" priority="18" operator="containsText" text="Pneu">
      <formula>NOT(ISERROR(SEARCH("Pneu",B5)))</formula>
    </cfRule>
    <cfRule type="containsText" dxfId="404" priority="19" operator="containsText" text="Vedação">
      <formula>NOT(ISERROR(SEARCH("Vedação",B5)))</formula>
    </cfRule>
    <cfRule type="containsText" dxfId="403" priority="20" operator="containsText" text="Retentor">
      <formula>NOT(ISERROR(SEARCH("Retentor",B5)))</formula>
    </cfRule>
    <cfRule type="containsText" dxfId="402" priority="21" operator="containsText" text="Motorredutor">
      <formula>NOT(ISERROR(SEARCH("Motorredutor",B5)))</formula>
    </cfRule>
    <cfRule type="containsText" dxfId="401" priority="22" operator="containsText" text="Redutor">
      <formula>NOT(ISERROR(SEARCH("Redutor",B5)))</formula>
    </cfRule>
    <cfRule type="containsText" dxfId="400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3ADFCF7-4ADD-4BEB-BAD5-E41DB22B9DFE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8A7A075-44AF-485F-BB9B-4A76DD71BC5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A6D21939-A4FA-4666-9479-704D2E3B390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347A3FEC-90D2-40F9-ACB7-517DE1E97E8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C2D8F956-12AE-4094-9963-C612435D433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98D4914-62E2-40D0-B0BA-93C8BBE6E3F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CBFB432C-0E2F-4A5A-9259-0376A3C1B2D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3DD66690-1AFC-4E93-9A3E-A1B7AFE457D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0ED926E4-B258-4399-B8D8-C6415249312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9775506B-0458-4A64-BF18-A5550C81B7C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E5331D6-0021-4703-A039-71B1ABEF48D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00646C71-C3D4-48B5-9724-57F6ABDB8FC7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CEAFF92F-B1E2-4D4E-AEAD-172EC72B0C3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37013B57-B653-4F00-9BDD-7293CF89A48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74CEDEF8-DFA1-49DC-91CF-6129E10B532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75A0D69C-1EA3-470F-A605-A94474929EA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0804-D620-4530-AF7E-F3FDD6372798}">
  <sheetPr codeName="Planilha21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L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129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44746</v>
      </c>
      <c r="C3" s="25">
        <f>B3+1</f>
        <v>44747</v>
      </c>
      <c r="D3" s="25">
        <f t="shared" ref="D3:H3" si="0">C3+1</f>
        <v>44748</v>
      </c>
      <c r="E3" s="25">
        <f t="shared" si="0"/>
        <v>44749</v>
      </c>
      <c r="F3" s="25">
        <f t="shared" si="0"/>
        <v>44750</v>
      </c>
      <c r="G3" s="25">
        <f t="shared" si="0"/>
        <v>44751</v>
      </c>
      <c r="H3" s="25">
        <f t="shared" si="0"/>
        <v>44752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4" si="2">K5/$K$15</f>
        <v>0</v>
      </c>
      <c r="M5" s="54">
        <f>B3</f>
        <v>44746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1</v>
      </c>
    </row>
    <row r="16" spans="1:16" x14ac:dyDescent="0.25">
      <c r="A16" s="8" t="s">
        <v>32</v>
      </c>
      <c r="B16" s="23"/>
      <c r="C16" s="23"/>
      <c r="D16" s="23"/>
      <c r="E16" s="23" t="s">
        <v>7</v>
      </c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97" priority="24" operator="containsText" text="Pivô">
      <formula>NOT(ISERROR(SEARCH("Pivô",A1)))</formula>
    </cfRule>
    <cfRule type="containsText" dxfId="396" priority="25" operator="containsText" text="Pivô">
      <formula>NOT(ISERROR(SEARCH("Pivô",A1)))</formula>
    </cfRule>
  </conditionalFormatting>
  <conditionalFormatting sqref="B5:H93">
    <cfRule type="containsText" dxfId="382" priority="17" operator="containsText" text="Cardã">
      <formula>NOT(ISERROR(SEARCH("Cardã",B5)))</formula>
    </cfRule>
    <cfRule type="containsText" dxfId="381" priority="18" operator="containsText" text="Pneu">
      <formula>NOT(ISERROR(SEARCH("Pneu",B5)))</formula>
    </cfRule>
    <cfRule type="containsText" dxfId="380" priority="19" operator="containsText" text="Vedação">
      <formula>NOT(ISERROR(SEARCH("Vedação",B5)))</formula>
    </cfRule>
    <cfRule type="containsText" dxfId="379" priority="20" operator="containsText" text="Retentor">
      <formula>NOT(ISERROR(SEARCH("Retentor",B5)))</formula>
    </cfRule>
    <cfRule type="containsText" dxfId="378" priority="21" operator="containsText" text="Motorredutor">
      <formula>NOT(ISERROR(SEARCH("Motorredutor",B5)))</formula>
    </cfRule>
    <cfRule type="containsText" dxfId="377" priority="22" operator="containsText" text="Redutor">
      <formula>NOT(ISERROR(SEARCH("Redutor",B5)))</formula>
    </cfRule>
    <cfRule type="containsText" dxfId="376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BD94F098-16F7-43DA-BBCD-BE23A11E4D19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1C6D092-BCBD-46C9-9DAB-26EC037C314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F855CE57-6452-41F8-8A78-29D3BBE35A2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73ADA9F3-E8FE-43CD-BF1D-62F2D92CCAA7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950EDA48-4517-49D1-A2E2-137CDF8AE54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6F2E7DBF-A434-4CBE-9F0E-1CFA99F91C5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EEA70090-D347-49DF-86BA-BF090F69902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E24D0417-E208-49BA-ABA3-65D041A1697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C5E2B43A-9403-444D-8E84-836526385EE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5F463E8F-5397-4ACA-90FF-D74E0404638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741E2F82-C01D-4CED-9765-B9AF5942EEB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C0777D6-BE5B-4068-8AC0-BA68E68C547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1E0C558A-AFA1-4F4C-A04E-6E05616136E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EE7E43E0-37F1-4550-9DA3-4433960FF7C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C185FEF6-6FB2-4382-82B2-714F2B86C7A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02E2ED81-32CF-4FA9-BB24-3F0F1268CAD6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B162-64F6-4BAA-8A29-9CD711B99E28}">
  <sheetPr codeName="Planilha22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4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44753</v>
      </c>
      <c r="C3" s="25">
        <f>B3+1</f>
        <v>44754</v>
      </c>
      <c r="D3" s="25">
        <f t="shared" ref="D3:H3" si="0">C3+1</f>
        <v>44755</v>
      </c>
      <c r="E3" s="25">
        <f t="shared" si="0"/>
        <v>44756</v>
      </c>
      <c r="F3" s="25">
        <f t="shared" si="0"/>
        <v>44757</v>
      </c>
      <c r="G3" s="25">
        <f t="shared" si="0"/>
        <v>44758</v>
      </c>
      <c r="H3" s="25">
        <f t="shared" si="0"/>
        <v>44759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4</v>
      </c>
      <c r="L5" s="39">
        <f t="shared" ref="L5:L14" si="2">K5/$K$15</f>
        <v>0.8</v>
      </c>
      <c r="M5" s="54">
        <f>B3</f>
        <v>44753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0.2</v>
      </c>
      <c r="P9" s="6"/>
    </row>
    <row r="10" spans="1:16" x14ac:dyDescent="0.25">
      <c r="A10" s="8" t="s">
        <v>24</v>
      </c>
      <c r="B10" s="23" t="s">
        <v>3</v>
      </c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1" t="s">
        <v>1</v>
      </c>
      <c r="K15" s="1">
        <f>SUM(K5:K14)</f>
        <v>5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 t="s">
        <v>3</v>
      </c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 t="s">
        <v>3</v>
      </c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 t="s">
        <v>3</v>
      </c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 t="s">
        <v>7</v>
      </c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73" priority="24" operator="containsText" text="Pivô">
      <formula>NOT(ISERROR(SEARCH("Pivô",A1)))</formula>
    </cfRule>
    <cfRule type="containsText" dxfId="372" priority="25" operator="containsText" text="Pivô">
      <formula>NOT(ISERROR(SEARCH("Pivô",A1)))</formula>
    </cfRule>
  </conditionalFormatting>
  <conditionalFormatting sqref="B5:H93">
    <cfRule type="containsText" dxfId="358" priority="17" operator="containsText" text="Cardã">
      <formula>NOT(ISERROR(SEARCH("Cardã",B5)))</formula>
    </cfRule>
    <cfRule type="containsText" dxfId="357" priority="18" operator="containsText" text="Pneu">
      <formula>NOT(ISERROR(SEARCH("Pneu",B5)))</formula>
    </cfRule>
    <cfRule type="containsText" dxfId="356" priority="19" operator="containsText" text="Vedação">
      <formula>NOT(ISERROR(SEARCH("Vedação",B5)))</formula>
    </cfRule>
    <cfRule type="containsText" dxfId="355" priority="20" operator="containsText" text="Retentor">
      <formula>NOT(ISERROR(SEARCH("Retentor",B5)))</formula>
    </cfRule>
    <cfRule type="containsText" dxfId="354" priority="21" operator="containsText" text="Motorredutor">
      <formula>NOT(ISERROR(SEARCH("Motorredutor",B5)))</formula>
    </cfRule>
    <cfRule type="containsText" dxfId="353" priority="22" operator="containsText" text="Redutor">
      <formula>NOT(ISERROR(SEARCH("Redutor",B5)))</formula>
    </cfRule>
    <cfRule type="containsText" dxfId="352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174E405-9763-44A1-8F4F-508155DAAD5D}">
      <formula1>$J$5:$J$14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4C1D5B3-2874-40B4-AE6F-FBC1F704113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35EBFD5A-5C0D-4D89-97E3-1830D6D6E58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561774E2-D54B-4589-A357-5F5FA4A56C7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EEEA6C2-033A-47B1-A141-38DCC80A6E8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A0D7CD03-B6CE-455A-AFB1-957CC39929A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2ED9AF9E-DE74-4CA3-A70F-2A942C38AA4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642E9FAA-7FDB-4F20-B6AD-C5B5B761582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59BBE95E-4E9A-4B29-BA05-A2A1793C6B6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66A83EF-B679-42B9-9640-77D87564E5A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1A3DD50-7A55-4BAD-9620-42F9BBE20FB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283B8BBA-7195-4AAE-AA56-86F32FE4051D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BD45AE71-8BCD-40FC-A9F7-857A0164B5D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415E940D-4D70-4AAB-9708-E5ED27060F6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4" operator="containsText" id="{B986AA09-70D6-4BFC-B072-CE1761ED2D8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01D99FB0-450B-4C3E-8304-00F839634CDB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7D81-D706-4564-88F6-097FDD6E003E}">
  <sheetPr codeName="Planilha23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44760</v>
      </c>
      <c r="C3" s="25">
        <f>B3+1</f>
        <v>44761</v>
      </c>
      <c r="D3" s="25">
        <f t="shared" ref="D3:H3" si="0">C3+1</f>
        <v>44762</v>
      </c>
      <c r="E3" s="25">
        <f t="shared" si="0"/>
        <v>44763</v>
      </c>
      <c r="F3" s="25">
        <f t="shared" si="0"/>
        <v>44764</v>
      </c>
      <c r="G3" s="25">
        <f t="shared" si="0"/>
        <v>44765</v>
      </c>
      <c r="H3" s="25">
        <f t="shared" si="0"/>
        <v>44766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44760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0.33333333333333331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 t="s">
        <v>4</v>
      </c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1</v>
      </c>
      <c r="L11" s="41">
        <f t="shared" si="2"/>
        <v>0.33333333333333331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 t="s">
        <v>9</v>
      </c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0.33333333333333331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3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 t="s">
        <v>12</v>
      </c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49" priority="25" operator="containsText" text="Pivô">
      <formula>NOT(ISERROR(SEARCH("Pivô",A1)))</formula>
    </cfRule>
    <cfRule type="containsText" dxfId="348" priority="26" operator="containsText" text="Pivô">
      <formula>NOT(ISERROR(SEARCH("Pivô",A1)))</formula>
    </cfRule>
  </conditionalFormatting>
  <conditionalFormatting sqref="B5:H93">
    <cfRule type="containsText" dxfId="333" priority="18" operator="containsText" text="Cardã">
      <formula>NOT(ISERROR(SEARCH("Cardã",B5)))</formula>
    </cfRule>
    <cfRule type="containsText" dxfId="332" priority="19" operator="containsText" text="Pneu">
      <formula>NOT(ISERROR(SEARCH("Pneu",B5)))</formula>
    </cfRule>
    <cfRule type="containsText" dxfId="331" priority="20" operator="containsText" text="Vedação">
      <formula>NOT(ISERROR(SEARCH("Vedação",B5)))</formula>
    </cfRule>
    <cfRule type="containsText" dxfId="330" priority="21" operator="containsText" text="Retentor">
      <formula>NOT(ISERROR(SEARCH("Retentor",B5)))</formula>
    </cfRule>
    <cfRule type="containsText" dxfId="329" priority="22" operator="containsText" text="Motorredutor">
      <formula>NOT(ISERROR(SEARCH("Motorredutor",B5)))</formula>
    </cfRule>
    <cfRule type="containsText" dxfId="328" priority="23" operator="containsText" text="Redutor">
      <formula>NOT(ISERROR(SEARCH("Redutor",B5)))</formula>
    </cfRule>
    <cfRule type="containsText" dxfId="32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C6B931B-A26D-4666-88D7-B98F2DFD322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C8497B7-B188-4102-AAC7-5DF766AFC73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7FD1FE7B-A95B-41D7-8E43-D417C89BE1D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FC2ABA04-8C65-46F9-AAD5-577ABD14B27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678BC19D-96C6-4439-BC23-92CACE51F99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BEC18DCE-FF9E-4926-9DF0-63B38B934AD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303BA80E-2B53-488A-9839-A8CADB9A0E6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BF40CB91-3DA4-4F8E-80AB-4976A7ABBCA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3FE765AA-9D4D-4FB6-98FE-CF4BC20E724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FCB412AA-5216-40AF-842D-A9B94AA3992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EB72A82B-5CE0-45B4-8899-CB49F2515FB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68F7731B-2D12-42C5-8454-0EEA1562DB5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A41B78D-ABA4-4301-BB90-C7B62881DA58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ADBA9735-6BA6-4327-A2B1-F70ADC0843C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EB2CE2D7-4FA4-44EB-91B7-D29836E4321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37C60D5C-9B59-454B-8B75-63F8FE12022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3705C348-D8AA-4284-8F1E-B3FE9A80EDB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41FA-7609-42E3-9A44-E594F58260B0}">
  <sheetPr codeName="Planilha24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44767</v>
      </c>
      <c r="C3" s="25">
        <f>B3+1</f>
        <v>44768</v>
      </c>
      <c r="D3" s="25">
        <f t="shared" ref="D3:H3" si="0">C3+1</f>
        <v>44769</v>
      </c>
      <c r="E3" s="25">
        <f t="shared" si="0"/>
        <v>44770</v>
      </c>
      <c r="F3" s="25">
        <f t="shared" si="0"/>
        <v>44771</v>
      </c>
      <c r="G3" s="25">
        <f t="shared" si="0"/>
        <v>44772</v>
      </c>
      <c r="H3" s="25">
        <f t="shared" si="0"/>
        <v>44773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0.16666666666666666</v>
      </c>
      <c r="M5" s="54">
        <f>B3</f>
        <v>44767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2</v>
      </c>
      <c r="L9" s="41">
        <f t="shared" si="2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 t="s">
        <v>3</v>
      </c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2</v>
      </c>
      <c r="L13" s="41">
        <f t="shared" si="2"/>
        <v>0.33333333333333331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0.16666666666666666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6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 t="s">
        <v>7</v>
      </c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 t="s">
        <v>11</v>
      </c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 t="s">
        <v>12</v>
      </c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 t="s">
        <v>11</v>
      </c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 t="s">
        <v>7</v>
      </c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324" priority="25" operator="containsText" text="Pivô">
      <formula>NOT(ISERROR(SEARCH("Pivô",A1)))</formula>
    </cfRule>
    <cfRule type="containsText" dxfId="323" priority="26" operator="containsText" text="Pivô">
      <formula>NOT(ISERROR(SEARCH("Pivô",A1)))</formula>
    </cfRule>
  </conditionalFormatting>
  <conditionalFormatting sqref="B5:H93">
    <cfRule type="containsText" dxfId="308" priority="18" operator="containsText" text="Cardã">
      <formula>NOT(ISERROR(SEARCH("Cardã",B5)))</formula>
    </cfRule>
    <cfRule type="containsText" dxfId="307" priority="19" operator="containsText" text="Pneu">
      <formula>NOT(ISERROR(SEARCH("Pneu",B5)))</formula>
    </cfRule>
    <cfRule type="containsText" dxfId="306" priority="20" operator="containsText" text="Vedação">
      <formula>NOT(ISERROR(SEARCH("Vedação",B5)))</formula>
    </cfRule>
    <cfRule type="containsText" dxfId="305" priority="21" operator="containsText" text="Retentor">
      <formula>NOT(ISERROR(SEARCH("Retentor",B5)))</formula>
    </cfRule>
    <cfRule type="containsText" dxfId="304" priority="22" operator="containsText" text="Motorredutor">
      <formula>NOT(ISERROR(SEARCH("Motorredutor",B5)))</formula>
    </cfRule>
    <cfRule type="containsText" dxfId="303" priority="23" operator="containsText" text="Redutor">
      <formula>NOT(ISERROR(SEARCH("Redutor",B5)))</formula>
    </cfRule>
    <cfRule type="containsText" dxfId="30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97F8C16-D390-4A95-BDD5-B909147D4AD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ECCB678-9AF7-43D4-8D74-C278AE6DB8C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19F9F982-DEF2-4691-BDCF-92DD353499F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85A8C279-FCFF-4C9B-8AAA-EA8553CFA61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837DA279-04CB-4503-B672-8AA5412EC04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69232687-997F-443A-A8F7-74E389B7E16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EB03DA59-4A76-4B32-A526-A11695B765B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CCF774E7-B3AB-4576-82A4-F9D31A6C954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7E367C51-9A50-4586-A569-BEFD7192B68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5529E69C-5330-4A09-910B-64832CE2438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4704918B-FF7A-4618-8232-1947CC1085B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145CC1AF-8DAD-4C64-A199-0D560DAA204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F2533004-3F85-48E8-8BF8-A7AF05D4A24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95540F05-17DC-4DAB-8DF9-4C979E70B6E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78BA469B-C0AC-4758-9AA3-633C5AFF60D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FE88EE49-2A16-4839-9977-FD6251C686E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2BF17B37-517C-4549-8C37-8FDBFE2CF8C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2681-1DD3-49C1-A994-FD5C9DD74C74}">
  <sheetPr codeName="Planilha25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134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44774</v>
      </c>
      <c r="C3" s="25">
        <f>B3+1</f>
        <v>44775</v>
      </c>
      <c r="D3" s="25">
        <f t="shared" ref="D3:H3" si="0">C3+1</f>
        <v>44776</v>
      </c>
      <c r="E3" s="25">
        <f t="shared" si="0"/>
        <v>44777</v>
      </c>
      <c r="F3" s="25">
        <f t="shared" si="0"/>
        <v>44778</v>
      </c>
      <c r="G3" s="25">
        <f t="shared" si="0"/>
        <v>44779</v>
      </c>
      <c r="H3" s="25">
        <f t="shared" si="0"/>
        <v>44780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2</v>
      </c>
      <c r="L5" s="39">
        <f t="shared" ref="L5:L15" si="2">K5/$K$16</f>
        <v>0.5</v>
      </c>
      <c r="M5" s="54">
        <f>B3</f>
        <v>44774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0.25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 t="s">
        <v>3</v>
      </c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 t="s">
        <v>3</v>
      </c>
      <c r="G11" s="23"/>
      <c r="H11" s="23"/>
      <c r="J11" s="17" t="s">
        <v>9</v>
      </c>
      <c r="K11" s="40">
        <f t="shared" si="3"/>
        <v>1</v>
      </c>
      <c r="L11" s="41">
        <f t="shared" si="2"/>
        <v>0.25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4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 t="s">
        <v>4</v>
      </c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 t="s">
        <v>9</v>
      </c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99" priority="25" operator="containsText" text="Pivô">
      <formula>NOT(ISERROR(SEARCH("Pivô",A1)))</formula>
    </cfRule>
    <cfRule type="containsText" dxfId="298" priority="26" operator="containsText" text="Pivô">
      <formula>NOT(ISERROR(SEARCH("Pivô",A1)))</formula>
    </cfRule>
  </conditionalFormatting>
  <conditionalFormatting sqref="B5:H93">
    <cfRule type="containsText" dxfId="283" priority="18" operator="containsText" text="Cardã">
      <formula>NOT(ISERROR(SEARCH("Cardã",B5)))</formula>
    </cfRule>
    <cfRule type="containsText" dxfId="282" priority="19" operator="containsText" text="Pneu">
      <formula>NOT(ISERROR(SEARCH("Pneu",B5)))</formula>
    </cfRule>
    <cfRule type="containsText" dxfId="281" priority="20" operator="containsText" text="Vedação">
      <formula>NOT(ISERROR(SEARCH("Vedação",B5)))</formula>
    </cfRule>
    <cfRule type="containsText" dxfId="280" priority="21" operator="containsText" text="Retentor">
      <formula>NOT(ISERROR(SEARCH("Retentor",B5)))</formula>
    </cfRule>
    <cfRule type="containsText" dxfId="279" priority="22" operator="containsText" text="Motorredutor">
      <formula>NOT(ISERROR(SEARCH("Motorredutor",B5)))</formula>
    </cfRule>
    <cfRule type="containsText" dxfId="278" priority="23" operator="containsText" text="Redutor">
      <formula>NOT(ISERROR(SEARCH("Redutor",B5)))</formula>
    </cfRule>
    <cfRule type="containsText" dxfId="27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E9E658DA-3943-4A38-9AC0-B0029AF810D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0232334-B495-4162-83ED-69DEE78BFD0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34FC54A-24AC-42B9-8F1D-69687EF0F47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216E51EF-540B-4DF9-86C7-11E513AA194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B1B00B07-7534-400C-A69A-B174514469EB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EFF8E31B-B976-4C22-9047-45BA1801AEF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4AB963BA-2CFB-4A98-A6E9-3BB7B214F9A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46FE5C68-E746-4848-B0A0-3643024C46F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8B3AC9CA-8CAE-4D2B-B208-79027121A15E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EFAB40FC-6481-4E22-95AF-A8B4CDA58E6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CD0D954A-8D08-4EFA-83EF-1811288F107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F06BFD8E-FDCB-4F84-B2AD-86C4DE7B02C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77FEC0E-AB66-42F3-A0DE-9B9ED2C057D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8C66D837-9693-48A7-B846-A89D1B15C2D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8CF79E7D-0EE8-49C2-9952-8D5938CD55D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28B48D64-4D3A-4BE2-A50D-42F1C0AC8A9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FE92141F-5D26-4DB1-B2E6-59E7EFB30512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B923-7A06-4E9D-AAAD-61F69E115DA4}">
  <sheetPr codeName="Planilha26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135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44781</v>
      </c>
      <c r="C3" s="25">
        <f>B3+1</f>
        <v>44782</v>
      </c>
      <c r="D3" s="25">
        <f t="shared" ref="D3:H3" si="0">C3+1</f>
        <v>44783</v>
      </c>
      <c r="E3" s="25">
        <f t="shared" si="0"/>
        <v>44784</v>
      </c>
      <c r="F3" s="25">
        <f t="shared" si="0"/>
        <v>44785</v>
      </c>
      <c r="G3" s="25">
        <f t="shared" si="0"/>
        <v>44786</v>
      </c>
      <c r="H3" s="25">
        <f t="shared" si="0"/>
        <v>44787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0.25</v>
      </c>
      <c r="M5" s="54">
        <f>B3</f>
        <v>44781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0.25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2</v>
      </c>
      <c r="L11" s="41">
        <f t="shared" si="2"/>
        <v>0.5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4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 t="s">
        <v>9</v>
      </c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 t="s">
        <v>9</v>
      </c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 t="s">
        <v>4</v>
      </c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 t="s">
        <v>3</v>
      </c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74" priority="25" operator="containsText" text="Pivô">
      <formula>NOT(ISERROR(SEARCH("Pivô",A1)))</formula>
    </cfRule>
    <cfRule type="containsText" dxfId="273" priority="26" operator="containsText" text="Pivô">
      <formula>NOT(ISERROR(SEARCH("Pivô",A1)))</formula>
    </cfRule>
  </conditionalFormatting>
  <conditionalFormatting sqref="B5:H93">
    <cfRule type="containsText" dxfId="258" priority="18" operator="containsText" text="Cardã">
      <formula>NOT(ISERROR(SEARCH("Cardã",B5)))</formula>
    </cfRule>
    <cfRule type="containsText" dxfId="257" priority="19" operator="containsText" text="Pneu">
      <formula>NOT(ISERROR(SEARCH("Pneu",B5)))</formula>
    </cfRule>
    <cfRule type="containsText" dxfId="256" priority="20" operator="containsText" text="Vedação">
      <formula>NOT(ISERROR(SEARCH("Vedação",B5)))</formula>
    </cfRule>
    <cfRule type="containsText" dxfId="255" priority="21" operator="containsText" text="Retentor">
      <formula>NOT(ISERROR(SEARCH("Retentor",B5)))</formula>
    </cfRule>
    <cfRule type="containsText" dxfId="254" priority="22" operator="containsText" text="Motorredutor">
      <formula>NOT(ISERROR(SEARCH("Motorredutor",B5)))</formula>
    </cfRule>
    <cfRule type="containsText" dxfId="253" priority="23" operator="containsText" text="Redutor">
      <formula>NOT(ISERROR(SEARCH("Redutor",B5)))</formula>
    </cfRule>
    <cfRule type="containsText" dxfId="25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0F2A6D1-2192-4C3C-A347-1104F2727100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A8EC5D1-4846-45E0-A364-0C670360A799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A877C301-9E82-4AC4-B980-9EF000C671FF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850685A4-EEE0-4ADE-A58A-862799FA106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7376EEFB-C022-4211-A2FF-9FC117F7E93D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3DC185D9-2EE2-465F-804A-E32143E26DB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4FA0C42E-DCA6-4E05-B698-492699D8857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80DB4ACE-A4C5-4691-B4E1-E3765740544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2E62B096-F43B-46FF-B5C2-01597E8A55B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A815DFD1-23B0-40F9-976C-DFB026998E1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2753E7A3-9967-4F4E-8D42-195B6867F8B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A2BEEEF4-C923-4B5C-B69D-1889CD4C299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CFEB77A0-C98F-4BD8-9F3F-5EEF5111ADFD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4A3BBA53-9905-4B54-908F-6842AE8CE97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130FA02C-491D-4F3C-BA7D-213400D2510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1FCE9B1E-4691-4C10-B6CC-B4CBFD09112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E4050A47-C4B9-4787-A2E0-8C7D8415AC7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289B-4201-4B7B-98BC-5987AFF448C9}">
  <sheetPr codeName="Planilha27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136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44788</v>
      </c>
      <c r="C3" s="25">
        <f>B3+1</f>
        <v>44789</v>
      </c>
      <c r="D3" s="25">
        <f t="shared" ref="D3:H3" si="0">C3+1</f>
        <v>44790</v>
      </c>
      <c r="E3" s="25">
        <f t="shared" si="0"/>
        <v>44791</v>
      </c>
      <c r="F3" s="25">
        <f t="shared" si="0"/>
        <v>44792</v>
      </c>
      <c r="G3" s="25">
        <f t="shared" si="0"/>
        <v>44793</v>
      </c>
      <c r="H3" s="25">
        <f t="shared" si="0"/>
        <v>44794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5</v>
      </c>
      <c r="L5" s="39">
        <f t="shared" ref="L5:L15" si="2">K5/$K$16</f>
        <v>0.7142857142857143</v>
      </c>
      <c r="M5" s="54">
        <f>B3</f>
        <v>44788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2</v>
      </c>
      <c r="L11" s="41">
        <f t="shared" si="2"/>
        <v>0.2857142857142857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7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 t="s">
        <v>3</v>
      </c>
      <c r="E18" s="23" t="s">
        <v>3</v>
      </c>
      <c r="F18" s="23"/>
      <c r="G18" s="23"/>
      <c r="H18" s="23" t="s">
        <v>3</v>
      </c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 t="s">
        <v>3</v>
      </c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 t="s">
        <v>3</v>
      </c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 t="s">
        <v>9</v>
      </c>
      <c r="E36" s="23" t="s">
        <v>9</v>
      </c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49" priority="25" operator="containsText" text="Pivô">
      <formula>NOT(ISERROR(SEARCH("Pivô",A1)))</formula>
    </cfRule>
    <cfRule type="containsText" dxfId="248" priority="26" operator="containsText" text="Pivô">
      <formula>NOT(ISERROR(SEARCH("Pivô",A1)))</formula>
    </cfRule>
  </conditionalFormatting>
  <conditionalFormatting sqref="B5:H93">
    <cfRule type="containsText" dxfId="233" priority="18" operator="containsText" text="Cardã">
      <formula>NOT(ISERROR(SEARCH("Cardã",B5)))</formula>
    </cfRule>
    <cfRule type="containsText" dxfId="232" priority="19" operator="containsText" text="Pneu">
      <formula>NOT(ISERROR(SEARCH("Pneu",B5)))</formula>
    </cfRule>
    <cfRule type="containsText" dxfId="231" priority="20" operator="containsText" text="Vedação">
      <formula>NOT(ISERROR(SEARCH("Vedação",B5)))</formula>
    </cfRule>
    <cfRule type="containsText" dxfId="230" priority="21" operator="containsText" text="Retentor">
      <formula>NOT(ISERROR(SEARCH("Retentor",B5)))</formula>
    </cfRule>
    <cfRule type="containsText" dxfId="229" priority="22" operator="containsText" text="Motorredutor">
      <formula>NOT(ISERROR(SEARCH("Motorredutor",B5)))</formula>
    </cfRule>
    <cfRule type="containsText" dxfId="228" priority="23" operator="containsText" text="Redutor">
      <formula>NOT(ISERROR(SEARCH("Redutor",B5)))</formula>
    </cfRule>
    <cfRule type="containsText" dxfId="22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79F1FCB-1C62-4EC6-85EC-8E458B56E950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FF3E486-250E-4D0E-BF24-DB867D1FAB2C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E1618E2-990D-4FBB-A41E-1528261E2140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F5082E5B-DED9-4A1D-810F-1BA009CC4C5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A66A8F55-6F74-4CAD-9DEA-389F6B7DCF4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82F2E092-9954-4982-A20D-7FDE5B0692F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276D1AB3-B318-4C6B-929F-1C819BC90D3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E73FA779-9D22-4690-8B7A-6CDFEA10DD9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570D21B-29F1-4F44-B07B-9FA4AECBB21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308DD9CD-917E-4CF2-9073-3D765103590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2DA0303B-7989-4CF1-B149-C55E3F3EFC4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FEBA86BE-0091-4B4E-BEEC-DADE54C7E20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CA55EF20-92A1-4185-93EB-FD077407132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F9329C7A-351E-4AE0-83C4-ADB97373C1B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2FB400CD-AD3D-4FA0-939E-E0155B782DC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E103A939-4C53-4849-A9AA-195B56B7BD2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4B488ACD-B0BA-44A5-B287-5678490C8F8C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7620-140B-47C5-9D68-953C2D2E4556}">
  <sheetPr codeName="Planilha28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137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44795</v>
      </c>
      <c r="C3" s="25">
        <f>B3+1</f>
        <v>44796</v>
      </c>
      <c r="D3" s="25">
        <f t="shared" ref="D3:H3" si="0">C3+1</f>
        <v>44797</v>
      </c>
      <c r="E3" s="25">
        <f t="shared" si="0"/>
        <v>44798</v>
      </c>
      <c r="F3" s="25">
        <f t="shared" si="0"/>
        <v>44799</v>
      </c>
      <c r="G3" s="25">
        <f t="shared" si="0"/>
        <v>44800</v>
      </c>
      <c r="H3" s="25">
        <f t="shared" si="0"/>
        <v>44801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4</v>
      </c>
      <c r="L5" s="39">
        <f t="shared" ref="L5:L15" si="2">K5/$K$16</f>
        <v>0.5</v>
      </c>
      <c r="M5" s="54">
        <f>B3</f>
        <v>44795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0.125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0.125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2</v>
      </c>
      <c r="L13" s="41">
        <f t="shared" si="2"/>
        <v>0.25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 t="s">
        <v>7</v>
      </c>
      <c r="F16" s="23"/>
      <c r="G16" s="23"/>
      <c r="H16" s="23"/>
      <c r="J16" s="1" t="s">
        <v>1</v>
      </c>
      <c r="K16" s="1">
        <f>SUM(K5:K14)</f>
        <v>8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 t="s">
        <v>5</v>
      </c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 t="s">
        <v>3</v>
      </c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 t="s">
        <v>3</v>
      </c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 t="s">
        <v>11</v>
      </c>
      <c r="C52" s="23" t="s">
        <v>11</v>
      </c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 t="s">
        <v>3</v>
      </c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 t="s">
        <v>3</v>
      </c>
    </row>
  </sheetData>
  <mergeCells count="1">
    <mergeCell ref="A1:H2"/>
  </mergeCells>
  <conditionalFormatting sqref="A1:A1048576">
    <cfRule type="containsText" dxfId="224" priority="25" operator="containsText" text="Pivô">
      <formula>NOT(ISERROR(SEARCH("Pivô",A1)))</formula>
    </cfRule>
    <cfRule type="containsText" dxfId="223" priority="26" operator="containsText" text="Pivô">
      <formula>NOT(ISERROR(SEARCH("Pivô",A1)))</formula>
    </cfRule>
  </conditionalFormatting>
  <conditionalFormatting sqref="B5:H93">
    <cfRule type="containsText" dxfId="208" priority="18" operator="containsText" text="Cardã">
      <formula>NOT(ISERROR(SEARCH("Cardã",B5)))</formula>
    </cfRule>
    <cfRule type="containsText" dxfId="207" priority="19" operator="containsText" text="Pneu">
      <formula>NOT(ISERROR(SEARCH("Pneu",B5)))</formula>
    </cfRule>
    <cfRule type="containsText" dxfId="206" priority="20" operator="containsText" text="Vedação">
      <formula>NOT(ISERROR(SEARCH("Vedação",B5)))</formula>
    </cfRule>
    <cfRule type="containsText" dxfId="205" priority="21" operator="containsText" text="Retentor">
      <formula>NOT(ISERROR(SEARCH("Retentor",B5)))</formula>
    </cfRule>
    <cfRule type="containsText" dxfId="204" priority="22" operator="containsText" text="Motorredutor">
      <formula>NOT(ISERROR(SEARCH("Motorredutor",B5)))</formula>
    </cfRule>
    <cfRule type="containsText" dxfId="203" priority="23" operator="containsText" text="Redutor">
      <formula>NOT(ISERROR(SEARCH("Redutor",B5)))</formula>
    </cfRule>
    <cfRule type="containsText" dxfId="20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ED73F0D-B563-4660-940F-97809E6F0CC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D3F06AF-B10C-4A1E-9406-19A41762B8D1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F521955D-54CF-41FC-A519-0BE97618FFE1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CA2C18DA-D653-434C-A477-5A25B6BCFA9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7DC22D9A-F33F-4EBD-BB43-B61E0DBE817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B070B001-B49F-4202-A768-3DC0B959C84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8E359865-EFB2-46BD-B6E0-D0060F7C796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EE3D3755-898C-4738-BB2B-365C063E6A8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B5C4864D-8B1C-4A3E-8D16-93065447193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6AE6131E-439B-4B2D-B91E-32F93EBF803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3955A20E-0F37-46A4-A64D-25B06FCA3F5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295DA0E8-4B7A-4558-8C24-CC44D3F7252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0F463D0-9E66-453E-9BA9-060417345F0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49F2457B-F0E7-4D6D-BEA5-2A1129B7AEC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FB715B2E-83C4-46B2-BB39-B53FE6F1AA5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ACF9BF78-94F3-40AE-85A1-9C4E3949E09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0CD25C52-5073-4B69-B217-BEA5D4916D22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1ECA-4070-4FCF-B2E0-1F2B4A367838}">
  <sheetPr codeName="Planilha29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L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138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44802</v>
      </c>
      <c r="C3" s="25">
        <f>B3+1</f>
        <v>44803</v>
      </c>
      <c r="D3" s="25">
        <f t="shared" ref="D3:H3" si="0">C3+1</f>
        <v>44804</v>
      </c>
      <c r="E3" s="25">
        <f t="shared" si="0"/>
        <v>44805</v>
      </c>
      <c r="F3" s="25">
        <f t="shared" si="0"/>
        <v>44806</v>
      </c>
      <c r="G3" s="25">
        <f t="shared" si="0"/>
        <v>44807</v>
      </c>
      <c r="H3" s="25">
        <f t="shared" si="0"/>
        <v>44808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44802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2</v>
      </c>
      <c r="L9" s="41">
        <f t="shared" si="2"/>
        <v>0.4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3</v>
      </c>
      <c r="L14" s="43">
        <f t="shared" si="2"/>
        <v>0.6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5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 t="s">
        <v>12</v>
      </c>
      <c r="D37" s="23" t="s">
        <v>12</v>
      </c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 t="s">
        <v>7</v>
      </c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 t="s">
        <v>7</v>
      </c>
      <c r="C93" s="23"/>
      <c r="D93" s="23"/>
      <c r="E93" s="23"/>
      <c r="F93" s="23"/>
      <c r="G93" s="23"/>
      <c r="H93" s="23" t="s">
        <v>12</v>
      </c>
    </row>
  </sheetData>
  <mergeCells count="1">
    <mergeCell ref="A1:H2"/>
  </mergeCells>
  <conditionalFormatting sqref="A1:A1048576">
    <cfRule type="containsText" dxfId="199" priority="25" operator="containsText" text="Pivô">
      <formula>NOT(ISERROR(SEARCH("Pivô",A1)))</formula>
    </cfRule>
    <cfRule type="containsText" dxfId="198" priority="26" operator="containsText" text="Pivô">
      <formula>NOT(ISERROR(SEARCH("Pivô",A1)))</formula>
    </cfRule>
  </conditionalFormatting>
  <conditionalFormatting sqref="B5:H93">
    <cfRule type="containsText" dxfId="183" priority="18" operator="containsText" text="Cardã">
      <formula>NOT(ISERROR(SEARCH("Cardã",B5)))</formula>
    </cfRule>
    <cfRule type="containsText" dxfId="182" priority="19" operator="containsText" text="Pneu">
      <formula>NOT(ISERROR(SEARCH("Pneu",B5)))</formula>
    </cfRule>
    <cfRule type="containsText" dxfId="181" priority="20" operator="containsText" text="Vedação">
      <formula>NOT(ISERROR(SEARCH("Vedação",B5)))</formula>
    </cfRule>
    <cfRule type="containsText" dxfId="180" priority="21" operator="containsText" text="Retentor">
      <formula>NOT(ISERROR(SEARCH("Retentor",B5)))</formula>
    </cfRule>
    <cfRule type="containsText" dxfId="179" priority="22" operator="containsText" text="Motorredutor">
      <formula>NOT(ISERROR(SEARCH("Motorredutor",B5)))</formula>
    </cfRule>
    <cfRule type="containsText" dxfId="178" priority="23" operator="containsText" text="Redutor">
      <formula>NOT(ISERROR(SEARCH("Redutor",B5)))</formula>
    </cfRule>
    <cfRule type="containsText" dxfId="17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B733C29-4459-4537-ADA8-9C30D6E3BB7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971AA37-3BDE-4DC4-BA6E-C27366F3E03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6D48DB07-EC10-4709-A3FE-06D37A0348C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C47ECAAA-0B48-44B5-B004-F99C31AED3B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E4EF2C25-9A5B-403F-BDB3-0C9195E3210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FE66DE4D-93D8-4DDA-B606-2EB992DE235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37D9F33A-6183-4CA4-84C3-6F17F23854F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6B26D7B6-9DA2-47D1-97BB-A9638693829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BCA5D2F3-EE3F-4C1B-867E-D47C56900C5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F586406D-2C80-4345-AB3F-526E61A1A66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BC971506-5BBC-47D5-8A9E-DA134A6B884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D9B16A01-A0E3-463D-BF91-69DD41397F9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0017E0FC-FE96-42EA-90FB-34E31D7062A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A7037D92-7924-4B62-A7C4-9EAC6F25E0B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BE58A3D1-EFFF-4749-8820-48A55A58075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C00DE64C-3A50-4D5C-ABD3-5C584BEDD1B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6E43358C-6243-4915-8310-88BF986D0916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BBA7-80C9-4374-9E86-0C3D942C38C0}">
  <sheetPr codeName="Planilha30">
    <tabColor theme="4"/>
    <pageSetUpPr fitToPage="1"/>
  </sheetPr>
  <dimension ref="A1:P93"/>
  <sheetViews>
    <sheetView showGridLines="0" zoomScaleNormal="100" workbookViewId="0">
      <pane ySplit="4" topLeftCell="A11" activePane="bottomLeft" state="frozen"/>
      <selection pane="bottomLeft" activeCell="E18" sqref="E1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139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44809</v>
      </c>
      <c r="C3" s="25">
        <f>B3+1</f>
        <v>44810</v>
      </c>
      <c r="D3" s="25">
        <f t="shared" ref="D3:H3" si="0">C3+1</f>
        <v>44811</v>
      </c>
      <c r="E3" s="25">
        <f t="shared" si="0"/>
        <v>44812</v>
      </c>
      <c r="F3" s="25">
        <f t="shared" si="0"/>
        <v>44813</v>
      </c>
      <c r="G3" s="25">
        <f t="shared" si="0"/>
        <v>44814</v>
      </c>
      <c r="H3" s="25">
        <f t="shared" si="0"/>
        <v>44815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44809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2</v>
      </c>
      <c r="L14" s="43">
        <f t="shared" si="2"/>
        <v>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2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 t="s">
        <v>12</v>
      </c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 t="s">
        <v>12</v>
      </c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74" priority="25" operator="containsText" text="Pivô">
      <formula>NOT(ISERROR(SEARCH("Pivô",A1)))</formula>
    </cfRule>
    <cfRule type="containsText" dxfId="173" priority="26" operator="containsText" text="Pivô">
      <formula>NOT(ISERROR(SEARCH("Pivô",A1)))</formula>
    </cfRule>
  </conditionalFormatting>
  <conditionalFormatting sqref="B5:H93">
    <cfRule type="containsText" dxfId="158" priority="18" operator="containsText" text="Cardã">
      <formula>NOT(ISERROR(SEARCH("Cardã",B5)))</formula>
    </cfRule>
    <cfRule type="containsText" dxfId="157" priority="19" operator="containsText" text="Pneu">
      <formula>NOT(ISERROR(SEARCH("Pneu",B5)))</formula>
    </cfRule>
    <cfRule type="containsText" dxfId="156" priority="20" operator="containsText" text="Vedação">
      <formula>NOT(ISERROR(SEARCH("Vedação",B5)))</formula>
    </cfRule>
    <cfRule type="containsText" dxfId="155" priority="21" operator="containsText" text="Retentor">
      <formula>NOT(ISERROR(SEARCH("Retentor",B5)))</formula>
    </cfRule>
    <cfRule type="containsText" dxfId="154" priority="22" operator="containsText" text="Motorredutor">
      <formula>NOT(ISERROR(SEARCH("Motorredutor",B5)))</formula>
    </cfRule>
    <cfRule type="containsText" dxfId="153" priority="23" operator="containsText" text="Redutor">
      <formula>NOT(ISERROR(SEARCH("Redutor",B5)))</formula>
    </cfRule>
    <cfRule type="containsText" dxfId="15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4D77C969-00AE-4F1B-9BA2-A98F7F8DFE91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7524EC0-E1FF-48A0-8D5E-FC7744DE7FB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89F5B307-99C3-42E8-A94E-FC790FA69B9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A4D121DA-833B-4A6E-AD1A-8F7FBAC893C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F3644200-5632-49A3-B482-018CA9B88F7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8824D982-0AAF-414C-9A95-78EB878DDCD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54F60F64-10B3-4A5B-BD3E-5CE2CD2B7D8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49C7C458-2871-48A4-9CAF-FC776B69C65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EF9F46D3-64B2-44FC-B559-6A65EA41CD0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9F5E2793-58A7-44B5-89BF-623A3C6818E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CACB7DBE-BF9E-483D-96C6-44D2F6F8455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D3D41221-D10B-43E8-87F3-F4C450A9F66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A9D46F6E-D00E-4C82-83CC-808A0E51AB90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C36EA466-1B13-42A0-9904-90C8FF681F4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EB4A3A35-CE29-4C81-BE6A-3A674709BB5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69CAAAF7-3794-4F22-8B6E-9F6EDA20B20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E5F82FFD-DE90-4F51-A08E-E67827466BF2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2C17-A554-4D1A-8628-FF11844A2444}">
  <sheetPr codeName="Planilha31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K5" sqref="K5:L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44816</v>
      </c>
      <c r="C3" s="25">
        <f>B3+1</f>
        <v>44817</v>
      </c>
      <c r="D3" s="25">
        <f t="shared" ref="D3:H3" si="0">C3+1</f>
        <v>44818</v>
      </c>
      <c r="E3" s="25">
        <f t="shared" si="0"/>
        <v>44819</v>
      </c>
      <c r="F3" s="25">
        <f t="shared" si="0"/>
        <v>44820</v>
      </c>
      <c r="G3" s="25">
        <f t="shared" si="0"/>
        <v>44821</v>
      </c>
      <c r="H3" s="25">
        <f t="shared" si="0"/>
        <v>44822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0.33333333333333331</v>
      </c>
      <c r="M5" s="54">
        <f>B3</f>
        <v>44816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1</v>
      </c>
      <c r="L11" s="41">
        <f t="shared" si="2"/>
        <v>0.33333333333333331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0.33333333333333331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3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 t="s">
        <v>3</v>
      </c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 t="s">
        <v>12</v>
      </c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 t="s">
        <v>9</v>
      </c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49" priority="25" operator="containsText" text="Pivô">
      <formula>NOT(ISERROR(SEARCH("Pivô",A1)))</formula>
    </cfRule>
    <cfRule type="containsText" dxfId="148" priority="26" operator="containsText" text="Pivô">
      <formula>NOT(ISERROR(SEARCH("Pivô",A1)))</formula>
    </cfRule>
  </conditionalFormatting>
  <conditionalFormatting sqref="B5:H93">
    <cfRule type="containsText" dxfId="133" priority="18" operator="containsText" text="Cardã">
      <formula>NOT(ISERROR(SEARCH("Cardã",B5)))</formula>
    </cfRule>
    <cfRule type="containsText" dxfId="132" priority="19" operator="containsText" text="Pneu">
      <formula>NOT(ISERROR(SEARCH("Pneu",B5)))</formula>
    </cfRule>
    <cfRule type="containsText" dxfId="131" priority="20" operator="containsText" text="Vedação">
      <formula>NOT(ISERROR(SEARCH("Vedação",B5)))</formula>
    </cfRule>
    <cfRule type="containsText" dxfId="130" priority="21" operator="containsText" text="Retentor">
      <formula>NOT(ISERROR(SEARCH("Retentor",B5)))</formula>
    </cfRule>
    <cfRule type="containsText" dxfId="129" priority="22" operator="containsText" text="Motorredutor">
      <formula>NOT(ISERROR(SEARCH("Motorredutor",B5)))</formula>
    </cfRule>
    <cfRule type="containsText" dxfId="128" priority="23" operator="containsText" text="Redutor">
      <formula>NOT(ISERROR(SEARCH("Redutor",B5)))</formula>
    </cfRule>
    <cfRule type="containsText" dxfId="12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19B9DDF-C3BA-4164-A1E0-031B18C30AA6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0AEE3E3-9E9A-4591-8173-C9497DFC01C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474BDD0-C6D4-47E0-80A9-16C5B0729468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06ACDB87-D021-47FD-AFEC-7D822F9DD9C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009EA72E-4885-4969-A00F-4D8EFB96256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5AC07687-42F0-4676-A50D-67804C196C1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90842E5B-A673-409F-8D87-45051FFDCA0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3A129BC9-57A0-4969-B833-005867EBC0F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47078A2-26F0-4B15-9708-82D559EFEB1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F1996730-1682-463C-9965-8F0D5F2BDF5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E0C5D35E-2039-4D9C-8556-EF77294AAD8E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6F792FF6-1FCF-4DA3-BB08-9728020D2A0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D3AEF4E6-EBDB-4BE3-8DCC-61FC2DF06BAC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D8A2EE39-7762-4119-AD45-A2ACF673220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DD96C3B5-A3DD-4D88-B879-B9926D6139A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8E0573F8-7D7A-436C-B6FF-EE6E8B136B0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36362D05-1EBD-41B9-9E0B-D2829F9EFFD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28FA-1E68-4939-91D9-F0F7F1702E80}">
  <sheetPr codeName="Planilha32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44823</v>
      </c>
      <c r="C3" s="25">
        <f>B3+1</f>
        <v>44824</v>
      </c>
      <c r="D3" s="25">
        <f t="shared" ref="D3:H3" si="0">C3+1</f>
        <v>44825</v>
      </c>
      <c r="E3" s="25">
        <f t="shared" si="0"/>
        <v>44826</v>
      </c>
      <c r="F3" s="25">
        <f t="shared" si="0"/>
        <v>44827</v>
      </c>
      <c r="G3" s="25">
        <f t="shared" si="0"/>
        <v>44828</v>
      </c>
      <c r="H3" s="25">
        <f t="shared" si="0"/>
        <v>44829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44823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1</v>
      </c>
      <c r="L8" s="41">
        <f t="shared" si="2"/>
        <v>1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 t="s">
        <v>6</v>
      </c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24" priority="25" operator="containsText" text="Pivô">
      <formula>NOT(ISERROR(SEARCH("Pivô",A1)))</formula>
    </cfRule>
    <cfRule type="containsText" dxfId="123" priority="26" operator="containsText" text="Pivô">
      <formula>NOT(ISERROR(SEARCH("Pivô",A1)))</formula>
    </cfRule>
  </conditionalFormatting>
  <conditionalFormatting sqref="B5:H93">
    <cfRule type="containsText" dxfId="108" priority="18" operator="containsText" text="Cardã">
      <formula>NOT(ISERROR(SEARCH("Cardã",B5)))</formula>
    </cfRule>
    <cfRule type="containsText" dxfId="107" priority="19" operator="containsText" text="Pneu">
      <formula>NOT(ISERROR(SEARCH("Pneu",B5)))</formula>
    </cfRule>
    <cfRule type="containsText" dxfId="106" priority="20" operator="containsText" text="Vedação">
      <formula>NOT(ISERROR(SEARCH("Vedação",B5)))</formula>
    </cfRule>
    <cfRule type="containsText" dxfId="105" priority="21" operator="containsText" text="Retentor">
      <formula>NOT(ISERROR(SEARCH("Retentor",B5)))</formula>
    </cfRule>
    <cfRule type="containsText" dxfId="104" priority="22" operator="containsText" text="Motorredutor">
      <formula>NOT(ISERROR(SEARCH("Motorredutor",B5)))</formula>
    </cfRule>
    <cfRule type="containsText" dxfId="103" priority="23" operator="containsText" text="Redutor">
      <formula>NOT(ISERROR(SEARCH("Redutor",B5)))</formula>
    </cfRule>
    <cfRule type="containsText" dxfId="10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814A78F-A382-487A-8A56-92AD5151862F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A2A29F8-9B01-4D12-8286-E53E3B9E4D5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DEA71A54-9855-4539-9F01-7FCD32701E5C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963FF05C-3123-4EF8-9513-8A03160B166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58487913-A3C4-4C85-8856-EC71627E0F8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2984A0F9-4BE5-4062-9F9E-AC413DC2771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3EDC8A2F-D326-4844-A8D1-B93C5412416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8EFBE089-5498-44D5-8EB9-32B92C559A5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758F4C9C-2365-4B65-9CAF-7D3258D0CA7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7797BE0E-4E26-43BE-8C2D-E246C4E478F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2E6E2379-888A-4AC8-8F9B-E36F3DBDA7A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2DF1F3DC-8E10-4DC5-AB5D-770830C3F23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3D38A8E9-BEEE-485D-B0A8-ABCDC736D94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B2229915-FF10-4E0F-BE22-DC410C3EF007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3AEA156A-B935-4F59-A92A-E650BCE97C3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8398F8E7-1B29-434A-AFA5-8F0B7967A89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84A1ACF9-4FDD-4BDE-A180-D65C56531C2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B481-0888-4362-A36D-DAA148315756}">
  <sheetPr codeName="Planilha33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44830</v>
      </c>
      <c r="C3" s="25">
        <f>B3+1</f>
        <v>44831</v>
      </c>
      <c r="D3" s="25">
        <f t="shared" ref="D3:H3" si="0">C3+1</f>
        <v>44832</v>
      </c>
      <c r="E3" s="25">
        <f t="shared" si="0"/>
        <v>44833</v>
      </c>
      <c r="F3" s="25">
        <f t="shared" si="0"/>
        <v>44834</v>
      </c>
      <c r="G3" s="25">
        <f t="shared" si="0"/>
        <v>44835</v>
      </c>
      <c r="H3" s="25">
        <f t="shared" si="0"/>
        <v>44836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44830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1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 t="s">
        <v>5</v>
      </c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99" priority="25" operator="containsText" text="Pivô">
      <formula>NOT(ISERROR(SEARCH("Pivô",A1)))</formula>
    </cfRule>
    <cfRule type="containsText" dxfId="98" priority="26" operator="containsText" text="Pivô">
      <formula>NOT(ISERROR(SEARCH("Pivô",A1)))</formula>
    </cfRule>
  </conditionalFormatting>
  <conditionalFormatting sqref="B5:H93">
    <cfRule type="containsText" dxfId="83" priority="18" operator="containsText" text="Cardã">
      <formula>NOT(ISERROR(SEARCH("Cardã",B5)))</formula>
    </cfRule>
    <cfRule type="containsText" dxfId="82" priority="19" operator="containsText" text="Pneu">
      <formula>NOT(ISERROR(SEARCH("Pneu",B5)))</formula>
    </cfRule>
    <cfRule type="containsText" dxfId="81" priority="20" operator="containsText" text="Vedação">
      <formula>NOT(ISERROR(SEARCH("Vedação",B5)))</formula>
    </cfRule>
    <cfRule type="containsText" dxfId="80" priority="21" operator="containsText" text="Retentor">
      <formula>NOT(ISERROR(SEARCH("Retentor",B5)))</formula>
    </cfRule>
    <cfRule type="containsText" dxfId="79" priority="22" operator="containsText" text="Motorredutor">
      <formula>NOT(ISERROR(SEARCH("Motorredutor",B5)))</formula>
    </cfRule>
    <cfRule type="containsText" dxfId="78" priority="23" operator="containsText" text="Redutor">
      <formula>NOT(ISERROR(SEARCH("Redutor",B5)))</formula>
    </cfRule>
    <cfRule type="containsText" dxfId="7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1BD60CA3-5FC8-4B11-8E8F-39C474604FF9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B4B1177-1730-478B-A5CF-7B43717CE8B2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7772F4FE-55E7-4205-AC42-B8908E45C4D9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20A19B0F-9D16-459E-9BB5-8027265520B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38B8F441-69EC-462D-875D-52D5A014519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54F881E0-1BDC-41F6-8F78-5985C516B80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5D3073E0-9A05-402A-9FE3-F7CA7BDC200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B96D5EEB-30E5-4D0C-849A-9D6D6789A72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47212078-A677-4E52-9C25-7F5D2C2B056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7EE95274-14B0-4424-90B3-35F49FC43EC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B91FAD67-B268-45F0-B355-D556AB6A71A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2FBAFC3B-8F6D-45AB-BD9D-820C7B04D5A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BEEC91E0-8D5A-482D-B190-966A8876210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A932475D-AC13-44C0-828A-8ACBC096DD4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14687E18-F51E-4589-96F7-7BB054A1E7F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8DC7A351-7BC7-40C8-8F57-2234A28FFAB5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73E7C482-CC2D-4246-855A-08FB07DD406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C9E7-3A5D-476E-AC59-073A0FAF3AC8}">
  <sheetPr codeName="Planilha34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44837</v>
      </c>
      <c r="C3" s="25">
        <f>B3+1</f>
        <v>44838</v>
      </c>
      <c r="D3" s="25">
        <f t="shared" ref="D3:H3" si="0">C3+1</f>
        <v>44839</v>
      </c>
      <c r="E3" s="25">
        <f t="shared" si="0"/>
        <v>44840</v>
      </c>
      <c r="F3" s="25">
        <f t="shared" si="0"/>
        <v>44841</v>
      </c>
      <c r="G3" s="25">
        <f t="shared" si="0"/>
        <v>44842</v>
      </c>
      <c r="H3" s="25">
        <f t="shared" si="0"/>
        <v>44843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44837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1</v>
      </c>
      <c r="L12" s="41">
        <f t="shared" si="2"/>
        <v>8.3333333333333329E-2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11</v>
      </c>
      <c r="L13" s="41">
        <f t="shared" si="2"/>
        <v>0.91666666666666663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12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 t="s">
        <v>11</v>
      </c>
      <c r="E27" s="23" t="s">
        <v>11</v>
      </c>
      <c r="F27" s="23"/>
      <c r="G27" s="23"/>
      <c r="H27" s="23"/>
    </row>
    <row r="28" spans="1:8" x14ac:dyDescent="0.25">
      <c r="A28" s="8" t="s">
        <v>44</v>
      </c>
      <c r="B28" s="23"/>
      <c r="C28" s="23"/>
      <c r="D28" s="23" t="s">
        <v>11</v>
      </c>
      <c r="E28" s="23" t="s">
        <v>11</v>
      </c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 t="s">
        <v>11</v>
      </c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 t="s">
        <v>11</v>
      </c>
      <c r="E34" s="23" t="s">
        <v>11</v>
      </c>
      <c r="F34" s="23"/>
      <c r="G34" s="23"/>
      <c r="H34" s="23"/>
    </row>
    <row r="35" spans="1:8" x14ac:dyDescent="0.25">
      <c r="A35" s="8" t="s">
        <v>51</v>
      </c>
      <c r="B35" s="23"/>
      <c r="C35" s="23" t="s">
        <v>10</v>
      </c>
      <c r="D35" s="23" t="s">
        <v>11</v>
      </c>
      <c r="E35" s="23" t="s">
        <v>11</v>
      </c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 t="s">
        <v>11</v>
      </c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 t="s">
        <v>11</v>
      </c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74" priority="25" operator="containsText" text="Pivô">
      <formula>NOT(ISERROR(SEARCH("Pivô",A1)))</formula>
    </cfRule>
    <cfRule type="containsText" dxfId="73" priority="26" operator="containsText" text="Pivô">
      <formula>NOT(ISERROR(SEARCH("Pivô",A1)))</formula>
    </cfRule>
  </conditionalFormatting>
  <conditionalFormatting sqref="B5:H93">
    <cfRule type="containsText" dxfId="58" priority="18" operator="containsText" text="Cardã">
      <formula>NOT(ISERROR(SEARCH("Cardã",B5)))</formula>
    </cfRule>
    <cfRule type="containsText" dxfId="57" priority="19" operator="containsText" text="Pneu">
      <formula>NOT(ISERROR(SEARCH("Pneu",B5)))</formula>
    </cfRule>
    <cfRule type="containsText" dxfId="56" priority="20" operator="containsText" text="Vedação">
      <formula>NOT(ISERROR(SEARCH("Vedação",B5)))</formula>
    </cfRule>
    <cfRule type="containsText" dxfId="55" priority="21" operator="containsText" text="Retentor">
      <formula>NOT(ISERROR(SEARCH("Retentor",B5)))</formula>
    </cfRule>
    <cfRule type="containsText" dxfId="54" priority="22" operator="containsText" text="Motorredutor">
      <formula>NOT(ISERROR(SEARCH("Motorredutor",B5)))</formula>
    </cfRule>
    <cfRule type="containsText" dxfId="53" priority="23" operator="containsText" text="Redutor">
      <formula>NOT(ISERROR(SEARCH("Redutor",B5)))</formula>
    </cfRule>
    <cfRule type="containsText" dxfId="5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21C985DA-3890-4C19-BEB2-0A3BA414DA07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4EE0DC2-23A0-4D0C-AD82-6975BB8A29FE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9F0729E9-7099-4CC9-B73E-6F4BA65D0F6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3AEF44F8-A2D8-4688-A07D-3B736C39049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50EC0917-8E36-4927-A896-1B86274B896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AC9A0473-1AAE-477B-BDE2-9186B7488B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1D952F04-C0EC-4DF4-9269-418AF0CFAA7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BD001EB8-5760-4F44-82C7-476FF9D2C9E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A4DFE624-A893-4B2C-935A-77E3F84A02F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B677E6D3-62A1-42F0-BA54-095D1FD63F1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1F87DE6A-50C3-464D-BCF3-D56BE4E5B5A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325776D9-05C7-4B4D-B652-565029A5DBC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E15CEEF3-12AA-4DFC-800A-E7BAECCBF488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662CFA0A-1510-4FF1-B5E5-97918B96FBE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D943EB43-704D-4BA4-9043-579DE8ED3A8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620527CD-81F0-4608-A98D-D658B391C20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6647C7B2-3BDA-4996-A160-47D7D3330A7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0710-76F2-49BB-8E20-2075A8386939}">
  <sheetPr codeName="Planilha35">
    <tabColor theme="4"/>
    <pageSetUpPr fitToPage="1"/>
  </sheetPr>
  <dimension ref="A1:P93"/>
  <sheetViews>
    <sheetView showGridLines="0" topLeftCell="E1" zoomScaleNormal="100" workbookViewId="0">
      <pane ySplit="4" topLeftCell="A5" activePane="bottomLeft" state="frozen"/>
      <selection pane="bottomLeft" activeCell="M13" activeCellId="1" sqref="J5:M15 M13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144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44844</v>
      </c>
      <c r="C3" s="25">
        <f>B3+1</f>
        <v>44845</v>
      </c>
      <c r="D3" s="25">
        <f t="shared" ref="D3:H3" si="0">C3+1</f>
        <v>44846</v>
      </c>
      <c r="E3" s="25">
        <f t="shared" si="0"/>
        <v>44847</v>
      </c>
      <c r="F3" s="25">
        <f t="shared" si="0"/>
        <v>44848</v>
      </c>
      <c r="G3" s="25">
        <f t="shared" si="0"/>
        <v>44849</v>
      </c>
      <c r="H3" s="25">
        <f t="shared" si="0"/>
        <v>44850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5" si="2">K5/$K$16</f>
        <v>0.75</v>
      </c>
      <c r="M5" s="54">
        <f>B3</f>
        <v>44844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4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 t="s">
        <v>3</v>
      </c>
      <c r="G29" s="23" t="s">
        <v>3</v>
      </c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 t="s">
        <v>3</v>
      </c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 t="s">
        <v>7</v>
      </c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49" priority="25" operator="containsText" text="Pivô">
      <formula>NOT(ISERROR(SEARCH("Pivô",A1)))</formula>
    </cfRule>
    <cfRule type="containsText" dxfId="48" priority="26" operator="containsText" text="Pivô">
      <formula>NOT(ISERROR(SEARCH("Pivô",A1)))</formula>
    </cfRule>
  </conditionalFormatting>
  <conditionalFormatting sqref="B5:H93">
    <cfRule type="containsText" dxfId="33" priority="18" operator="containsText" text="Cardã">
      <formula>NOT(ISERROR(SEARCH("Cardã",B5)))</formula>
    </cfRule>
    <cfRule type="containsText" dxfId="32" priority="19" operator="containsText" text="Pneu">
      <formula>NOT(ISERROR(SEARCH("Pneu",B5)))</formula>
    </cfRule>
    <cfRule type="containsText" dxfId="31" priority="20" operator="containsText" text="Vedação">
      <formula>NOT(ISERROR(SEARCH("Vedação",B5)))</formula>
    </cfRule>
    <cfRule type="containsText" dxfId="30" priority="21" operator="containsText" text="Retentor">
      <formula>NOT(ISERROR(SEARCH("Retentor",B5)))</formula>
    </cfRule>
    <cfRule type="containsText" dxfId="29" priority="22" operator="containsText" text="Motorredutor">
      <formula>NOT(ISERROR(SEARCH("Motorredutor",B5)))</formula>
    </cfRule>
    <cfRule type="containsText" dxfId="28" priority="23" operator="containsText" text="Redutor">
      <formula>NOT(ISERROR(SEARCH("Redutor",B5)))</formula>
    </cfRule>
    <cfRule type="containsText" dxfId="27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74D19493-F991-4EB7-859C-C08891E61DF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8C0AE82-309C-4844-B62C-C81837C3880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B545D96F-2036-4315-86C7-3605BC4FF97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B62F4D64-3957-416E-952C-F41D10EF913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BDD1E7F0-3E00-43D8-96DC-910A5AA8650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1FEF635A-32A8-4275-A281-37CBC6647DD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1933521F-3131-436F-80DF-55D86E1A80B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F39844BF-F774-4115-AB27-09855D4DEC9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987C969E-E107-4D06-8A57-0C0D14F2380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BA272A7F-516A-4FBB-9B72-02BEC1BD454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CC16E88D-D4DA-4437-8D55-1F7C586F660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81FB1BFE-38CD-46DE-B9FA-05B0A43455A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C79AC341-1F68-4B54-A17A-D6FDF9D2C94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73E1A69E-6F2F-4B9B-BBFE-6B368B6A2F1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475F356B-46A0-40C1-8F04-431D0507466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869B7B26-273C-4308-976D-6549AEC70522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AF3015C0-5499-44C6-867F-B8275F654B5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2222-F475-4202-BE4B-53ED8F741CBF}">
  <sheetPr codeName="Planilha36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145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44851</v>
      </c>
      <c r="C3" s="25">
        <f>B3+1</f>
        <v>44852</v>
      </c>
      <c r="D3" s="25">
        <f t="shared" ref="D3:H3" si="0">C3+1</f>
        <v>44853</v>
      </c>
      <c r="E3" s="25">
        <f t="shared" si="0"/>
        <v>44854</v>
      </c>
      <c r="F3" s="25">
        <f t="shared" si="0"/>
        <v>44855</v>
      </c>
      <c r="G3" s="25">
        <f t="shared" si="0"/>
        <v>44856</v>
      </c>
      <c r="H3" s="25">
        <f t="shared" si="0"/>
        <v>44857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4</v>
      </c>
      <c r="L5" s="39">
        <f t="shared" ref="L5:L15" si="2">K5/$K$16</f>
        <v>0.66666666666666663</v>
      </c>
      <c r="M5" s="54">
        <f>B3</f>
        <v>44851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2</v>
      </c>
      <c r="L9" s="41">
        <f t="shared" si="2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6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 t="s">
        <v>3</v>
      </c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 t="s">
        <v>3</v>
      </c>
      <c r="C32" s="23"/>
      <c r="D32" s="23" t="s">
        <v>3</v>
      </c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 t="s">
        <v>7</v>
      </c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 t="s">
        <v>3</v>
      </c>
      <c r="D93" s="23" t="s">
        <v>7</v>
      </c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24" priority="25" operator="containsText" text="Pivô">
      <formula>NOT(ISERROR(SEARCH("Pivô",A1)))</formula>
    </cfRule>
    <cfRule type="containsText" dxfId="23" priority="26" operator="containsText" text="Pivô">
      <formula>NOT(ISERROR(SEARCH("Pivô",A1)))</formula>
    </cfRule>
  </conditionalFormatting>
  <conditionalFormatting sqref="B5:H93">
    <cfRule type="containsText" dxfId="8" priority="18" operator="containsText" text="Cardã">
      <formula>NOT(ISERROR(SEARCH("Cardã",B5)))</formula>
    </cfRule>
    <cfRule type="containsText" dxfId="7" priority="19" operator="containsText" text="Pneu">
      <formula>NOT(ISERROR(SEARCH("Pneu",B5)))</formula>
    </cfRule>
    <cfRule type="containsText" dxfId="6" priority="20" operator="containsText" text="Vedação">
      <formula>NOT(ISERROR(SEARCH("Vedação",B5)))</formula>
    </cfRule>
    <cfRule type="containsText" dxfId="5" priority="21" operator="containsText" text="Retentor">
      <formula>NOT(ISERROR(SEARCH("Retentor",B5)))</formula>
    </cfRule>
    <cfRule type="containsText" dxfId="4" priority="22" operator="containsText" text="Motorredutor">
      <formula>NOT(ISERROR(SEARCH("Motorredutor",B5)))</formula>
    </cfRule>
    <cfRule type="containsText" dxfId="3" priority="23" operator="containsText" text="Redutor">
      <formula>NOT(ISERROR(SEARCH("Redutor",B5)))</formula>
    </cfRule>
    <cfRule type="containsText" dxfId="2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96C08487-5228-47FB-83C5-198A110F92B3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125B75-74A9-467D-892D-47F0E7402C79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E31BA2E2-F909-4404-BD55-AB5826C61B7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AD568BD0-EDCA-4BBF-821F-6B56950902B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75D506A0-56BF-4CAF-AAA4-45F27C3C013A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3F14A9C2-414D-4329-B325-DDD322F8FAF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275FEC8D-A302-411C-95B2-857EAD3E758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9D628AD7-544A-4516-BFA4-22DB9431D71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815ABCF-6CFD-4DDF-839E-3CB94118A03D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5892E8B2-5C70-4E01-9377-22A52B0BBEE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0B9A8B58-F6B3-469B-B07F-71C44B16FD9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29901FF1-2EB1-41D1-98F9-2170EECDC35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AB68412C-C678-48DB-98D4-266D783C4FF8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0F54CA60-BCC7-4A25-AA2D-D54A0AA96E7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5BB32E81-C4CB-4B47-9F09-B370FCBE409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1392B6D8-61EB-4AFA-BA5C-36C904AE3F9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616457A1-8F29-4D8F-8186-E16E9D7A250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91C6-7935-4307-B5AD-F65D35ABA84D}">
  <sheetPr codeName="Planilha37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146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44858</v>
      </c>
      <c r="C3" s="25">
        <f>B3+1</f>
        <v>44859</v>
      </c>
      <c r="D3" s="25">
        <f t="shared" ref="D3:H3" si="0">C3+1</f>
        <v>44860</v>
      </c>
      <c r="E3" s="25">
        <f t="shared" si="0"/>
        <v>44861</v>
      </c>
      <c r="F3" s="25">
        <f t="shared" si="0"/>
        <v>44862</v>
      </c>
      <c r="G3" s="25">
        <f t="shared" si="0"/>
        <v>44863</v>
      </c>
      <c r="H3" s="25">
        <f t="shared" si="0"/>
        <v>44864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3</v>
      </c>
      <c r="L5" s="39">
        <f t="shared" ref="L5:L15" si="2">K5/$K$16</f>
        <v>0.5</v>
      </c>
      <c r="M5" s="54">
        <f>B3</f>
        <v>44858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0.16666666666666666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2</v>
      </c>
      <c r="L9" s="41">
        <f t="shared" si="2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 t="s">
        <v>3</v>
      </c>
      <c r="D12" s="23" t="s">
        <v>3</v>
      </c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6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 t="s">
        <v>4</v>
      </c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 t="s">
        <v>3</v>
      </c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 t="s">
        <v>7</v>
      </c>
      <c r="E85" s="23"/>
      <c r="F85" s="23" t="s">
        <v>7</v>
      </c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736" priority="25" operator="containsText" text="Pivô">
      <formula>NOT(ISERROR(SEARCH("Pivô",A1)))</formula>
    </cfRule>
    <cfRule type="containsText" dxfId="1735" priority="26" operator="containsText" text="Pivô">
      <formula>NOT(ISERROR(SEARCH("Pivô",A1)))</formula>
    </cfRule>
  </conditionalFormatting>
  <conditionalFormatting sqref="B5:H93">
    <cfRule type="containsText" dxfId="1734" priority="18" operator="containsText" text="Cardã">
      <formula>NOT(ISERROR(SEARCH("Cardã",B5)))</formula>
    </cfRule>
    <cfRule type="containsText" dxfId="1733" priority="19" operator="containsText" text="Pneu">
      <formula>NOT(ISERROR(SEARCH("Pneu",B5)))</formula>
    </cfRule>
    <cfRule type="containsText" dxfId="1732" priority="20" operator="containsText" text="Vedação">
      <formula>NOT(ISERROR(SEARCH("Vedação",B5)))</formula>
    </cfRule>
    <cfRule type="containsText" dxfId="1731" priority="21" operator="containsText" text="Retentor">
      <formula>NOT(ISERROR(SEARCH("Retentor",B5)))</formula>
    </cfRule>
    <cfRule type="containsText" dxfId="1730" priority="22" operator="containsText" text="Motorredutor">
      <formula>NOT(ISERROR(SEARCH("Motorredutor",B5)))</formula>
    </cfRule>
    <cfRule type="containsText" dxfId="1729" priority="23" operator="containsText" text="Redutor">
      <formula>NOT(ISERROR(SEARCH("Redutor",B5)))</formula>
    </cfRule>
    <cfRule type="containsText" dxfId="172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400E731-110F-42A2-9D18-1BBA57417981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B5FB107-6F13-46BF-88AA-5918288A7AAB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02476049-1355-4C20-B854-6B74CF230461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24477620-C08A-413C-97B5-3544F9762D7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814A485B-A24B-40D0-9B64-30A64DB32D57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CB20EF9D-6023-4237-96F7-C8943B39FF8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6502798D-2228-49F4-98B3-5B00E728811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13D0E8A4-1D08-4059-9C53-9C90A821B7C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9901AEDA-DA54-488F-AC55-9AE97A2AD34C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8ECCF9A4-E982-487B-BB72-2876A2B3B40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13A0DD93-5040-42AA-BBDE-A7FCA0D4D53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3B56D4AC-825D-4E77-B29E-6AFE7616B38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3371D9A3-3106-4A3F-AF33-BDEB0379648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FCB01105-BAAB-4C9F-9B94-C58898E9F60E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D14315CE-9D25-4A8D-95A7-D70DE6E1023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B5B49460-FCE4-412E-832B-40F259AB605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B91E3E6C-5054-416C-8285-FBEEF5374CC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0807-3A1A-4D79-9283-94B3D16614AC}">
  <sheetPr codeName="Planilha38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147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44865</v>
      </c>
      <c r="C3" s="25">
        <f>B3+1</f>
        <v>44866</v>
      </c>
      <c r="D3" s="25">
        <f t="shared" ref="D3:H3" si="0">C3+1</f>
        <v>44867</v>
      </c>
      <c r="E3" s="25">
        <f t="shared" si="0"/>
        <v>44868</v>
      </c>
      <c r="F3" s="25">
        <f t="shared" si="0"/>
        <v>44869</v>
      </c>
      <c r="G3" s="25">
        <f t="shared" si="0"/>
        <v>44870</v>
      </c>
      <c r="H3" s="25">
        <f t="shared" si="0"/>
        <v>44871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1</v>
      </c>
      <c r="M5" s="54">
        <f>B3</f>
        <v>44865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 t="s">
        <v>3</v>
      </c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711" priority="25" operator="containsText" text="Pivô">
      <formula>NOT(ISERROR(SEARCH("Pivô",A1)))</formula>
    </cfRule>
    <cfRule type="containsText" dxfId="1710" priority="26" operator="containsText" text="Pivô">
      <formula>NOT(ISERROR(SEARCH("Pivô",A1)))</formula>
    </cfRule>
  </conditionalFormatting>
  <conditionalFormatting sqref="B5:H93">
    <cfRule type="containsText" dxfId="1709" priority="18" operator="containsText" text="Cardã">
      <formula>NOT(ISERROR(SEARCH("Cardã",B5)))</formula>
    </cfRule>
    <cfRule type="containsText" dxfId="1708" priority="19" operator="containsText" text="Pneu">
      <formula>NOT(ISERROR(SEARCH("Pneu",B5)))</formula>
    </cfRule>
    <cfRule type="containsText" dxfId="1707" priority="20" operator="containsText" text="Vedação">
      <formula>NOT(ISERROR(SEARCH("Vedação",B5)))</formula>
    </cfRule>
    <cfRule type="containsText" dxfId="1706" priority="21" operator="containsText" text="Retentor">
      <formula>NOT(ISERROR(SEARCH("Retentor",B5)))</formula>
    </cfRule>
    <cfRule type="containsText" dxfId="1705" priority="22" operator="containsText" text="Motorredutor">
      <formula>NOT(ISERROR(SEARCH("Motorredutor",B5)))</formula>
    </cfRule>
    <cfRule type="containsText" dxfId="1704" priority="23" operator="containsText" text="Redutor">
      <formula>NOT(ISERROR(SEARCH("Redutor",B5)))</formula>
    </cfRule>
    <cfRule type="containsText" dxfId="170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6E065BCD-7C80-41AB-BA93-9E9B871D6726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B6FDEF5-6ABE-4481-8A76-E4BC6B1C8475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B241B780-EDA1-4D5A-A167-349702BAF6B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C54E57B5-BA64-49F0-A0A9-A4DBA295CBC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DD43574F-AD4B-4D3E-A75D-45166B39332C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9ACD0C42-65E2-4207-8309-9D24A638944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F53469CB-CA93-43E4-8575-B0E980434C5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4C229540-7D12-4FA8-BFB5-09A2FC75857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590471AE-D0E2-4248-8D71-5838E817BB6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5DC02DD5-8513-4D13-B9B7-73C20B7B0D7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CBFC5BED-CE35-49CA-98BA-63FEAB66C82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20248F6C-CFCE-43EF-B1AE-5DC7F5C1706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42B00C08-72B3-4A9D-90E8-0E6052BA88F1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3D654471-6F7F-4790-AD80-2A5B755B1830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13DBA652-8EB3-4E4D-921C-85C7CA2FF1E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5527E9CB-A23A-4267-86BF-7A9C0C131E6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B0D21C76-E144-4DE4-8969-75F2B4982FD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F39A-2055-4940-BA51-7636C2FD0527}">
  <sheetPr codeName="Planilha43"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148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44872</v>
      </c>
      <c r="C3" s="25">
        <f>B3+1</f>
        <v>44873</v>
      </c>
      <c r="D3" s="25">
        <f t="shared" ref="D3:H3" si="0">C3+1</f>
        <v>44874</v>
      </c>
      <c r="E3" s="25">
        <f t="shared" si="0"/>
        <v>44875</v>
      </c>
      <c r="F3" s="25">
        <f t="shared" si="0"/>
        <v>44876</v>
      </c>
      <c r="G3" s="25">
        <f t="shared" si="0"/>
        <v>44877</v>
      </c>
      <c r="H3" s="25">
        <f t="shared" si="0"/>
        <v>44878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0.1</v>
      </c>
      <c r="M5" s="54">
        <f>B3</f>
        <v>44872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2</v>
      </c>
      <c r="L6" s="41">
        <f t="shared" si="2"/>
        <v>0.2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0.1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1</v>
      </c>
      <c r="L8" s="41">
        <f t="shared" si="2"/>
        <v>0.1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 t="s">
        <v>6</v>
      </c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1</v>
      </c>
      <c r="L11" s="41">
        <f t="shared" si="2"/>
        <v>0.1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3</v>
      </c>
      <c r="L14" s="43">
        <f t="shared" si="2"/>
        <v>0.3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10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 t="s">
        <v>4</v>
      </c>
      <c r="H26" s="23" t="s">
        <v>4</v>
      </c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 t="s">
        <v>5</v>
      </c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 t="s">
        <v>12</v>
      </c>
      <c r="F34" s="23" t="s">
        <v>12</v>
      </c>
      <c r="G34" s="23" t="s">
        <v>12</v>
      </c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 t="s">
        <v>3</v>
      </c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 t="s">
        <v>9</v>
      </c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 t="s">
        <v>7</v>
      </c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686" priority="25" operator="containsText" text="Pivô">
      <formula>NOT(ISERROR(SEARCH("Pivô",A1)))</formula>
    </cfRule>
    <cfRule type="containsText" dxfId="1685" priority="26" operator="containsText" text="Pivô">
      <formula>NOT(ISERROR(SEARCH("Pivô",A1)))</formula>
    </cfRule>
  </conditionalFormatting>
  <conditionalFormatting sqref="B5:H93">
    <cfRule type="containsText" dxfId="1684" priority="18" operator="containsText" text="Cardã">
      <formula>NOT(ISERROR(SEARCH("Cardã",B5)))</formula>
    </cfRule>
    <cfRule type="containsText" dxfId="1683" priority="19" operator="containsText" text="Pneu">
      <formula>NOT(ISERROR(SEARCH("Pneu",B5)))</formula>
    </cfRule>
    <cfRule type="containsText" dxfId="1682" priority="20" operator="containsText" text="Vedação">
      <formula>NOT(ISERROR(SEARCH("Vedação",B5)))</formula>
    </cfRule>
    <cfRule type="containsText" dxfId="1681" priority="21" operator="containsText" text="Retentor">
      <formula>NOT(ISERROR(SEARCH("Retentor",B5)))</formula>
    </cfRule>
    <cfRule type="containsText" dxfId="1680" priority="22" operator="containsText" text="Motorredutor">
      <formula>NOT(ISERROR(SEARCH("Motorredutor",B5)))</formula>
    </cfRule>
    <cfRule type="containsText" dxfId="1679" priority="23" operator="containsText" text="Redutor">
      <formula>NOT(ISERROR(SEARCH("Redutor",B5)))</formula>
    </cfRule>
    <cfRule type="containsText" dxfId="167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09A884D0-7177-4B49-A8D2-D632E0587BD6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AC1AC0C-8628-464F-9266-C2D05EDC3FA7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A850CA9-A374-498E-8AC2-7816DFC2BB2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D497C001-B267-47A0-8EAE-033191E7AEA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787DC839-BD12-4121-A70F-7F17E45688C0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88B89FD3-63EC-469B-A806-3794B4C537B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1E2734CA-9AB1-4352-A4CB-C288B7F515E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9BE11A58-3D85-4C25-BD71-E964FE2754A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290D58B8-0DD2-49C0-8C01-D2ADC8F5D3A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88256D7F-A723-4600-971E-EF96A801374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9756F438-C25A-40A9-8E68-E2295F79DA2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92E1AAF7-5D1F-4002-9063-57E91ACCA65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AFA45E99-4089-4DA8-B34E-E86E2AE3EF6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42B999C4-F7C8-4B98-A2F2-A0C7AB41C81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5283A9F7-A38F-41EB-AE46-E7791E6352E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F50C230E-9ACF-4AB8-9872-9F042BC2062A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C600F99F-6962-4025-8245-76DDF71E7D6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60CA-C3AA-4B7E-9CCB-397BB8D98756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E21" sqref="E2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149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44879</v>
      </c>
      <c r="C3" s="25">
        <f>B3+1</f>
        <v>44880</v>
      </c>
      <c r="D3" s="25">
        <f t="shared" ref="D3:H3" si="0">C3+1</f>
        <v>44881</v>
      </c>
      <c r="E3" s="25">
        <f t="shared" si="0"/>
        <v>44882</v>
      </c>
      <c r="F3" s="25">
        <f t="shared" si="0"/>
        <v>44883</v>
      </c>
      <c r="G3" s="25">
        <f t="shared" si="0"/>
        <v>44884</v>
      </c>
      <c r="H3" s="25">
        <f t="shared" si="0"/>
        <v>44885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44879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0.5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2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 t="s">
        <v>12</v>
      </c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 t="s">
        <v>7</v>
      </c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661" priority="25" operator="containsText" text="Pivô">
      <formula>NOT(ISERROR(SEARCH("Pivô",A1)))</formula>
    </cfRule>
    <cfRule type="containsText" dxfId="1660" priority="26" operator="containsText" text="Pivô">
      <formula>NOT(ISERROR(SEARCH("Pivô",A1)))</formula>
    </cfRule>
  </conditionalFormatting>
  <conditionalFormatting sqref="B5:H93">
    <cfRule type="containsText" dxfId="1659" priority="18" operator="containsText" text="Cardã">
      <formula>NOT(ISERROR(SEARCH("Cardã",B5)))</formula>
    </cfRule>
    <cfRule type="containsText" dxfId="1658" priority="19" operator="containsText" text="Pneu">
      <formula>NOT(ISERROR(SEARCH("Pneu",B5)))</formula>
    </cfRule>
    <cfRule type="containsText" dxfId="1657" priority="20" operator="containsText" text="Vedação">
      <formula>NOT(ISERROR(SEARCH("Vedação",B5)))</formula>
    </cfRule>
    <cfRule type="containsText" dxfId="1656" priority="21" operator="containsText" text="Retentor">
      <formula>NOT(ISERROR(SEARCH("Retentor",B5)))</formula>
    </cfRule>
    <cfRule type="containsText" dxfId="1655" priority="22" operator="containsText" text="Motorredutor">
      <formula>NOT(ISERROR(SEARCH("Motorredutor",B5)))</formula>
    </cfRule>
    <cfRule type="containsText" dxfId="1654" priority="23" operator="containsText" text="Redutor">
      <formula>NOT(ISERROR(SEARCH("Redutor",B5)))</formula>
    </cfRule>
    <cfRule type="containsText" dxfId="165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FD96C344-FAC6-496E-B453-3BCA602CB046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319C1EB-028A-470E-AD7A-764A70A78850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D4C006C4-4CE8-4262-87A6-DE3178FC8AB0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5E5D4E6D-4731-48EC-9C23-F58A26A72CA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96DC8E9F-7026-45B5-975A-2381B96CA9ED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2B146F1C-8B6D-4EB8-8171-90DD94DFC70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4FEC88F6-C476-410C-905D-2C39318121A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3594A687-0FEC-4417-BEB0-11239BC1FB2E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A0D20C04-C33E-4392-996E-A65335D876B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8B74312F-B7A5-425B-932C-45FE26BF3081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B0A5CD19-AA12-42B4-89AA-FED9191F4D3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6D12DFB3-2181-4E6B-B2B3-E3C83F3AA078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6319FB56-33EC-4889-8035-48A342B7584A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F10900C3-A2F7-4612-98AE-C179284F0AC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95F9E0BE-7CEE-4DAD-B6B4-F96A32BECAE0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013EA7C4-3280-4AA0-86EB-26E228F2460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F0589632-2EBA-4D5E-8FA8-8297AF64C1BC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04D7-5E57-4419-BEB0-A06FE170C4D7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F31" sqref="F3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44900</v>
      </c>
      <c r="C3" s="25">
        <f>B3+1</f>
        <v>44901</v>
      </c>
      <c r="D3" s="25">
        <f t="shared" ref="D3:H3" si="0">C3+1</f>
        <v>44902</v>
      </c>
      <c r="E3" s="25">
        <f t="shared" si="0"/>
        <v>44903</v>
      </c>
      <c r="F3" s="25">
        <f t="shared" si="0"/>
        <v>44904</v>
      </c>
      <c r="G3" s="25">
        <f t="shared" si="0"/>
        <v>44905</v>
      </c>
      <c r="H3" s="25">
        <f t="shared" si="0"/>
        <v>44906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44900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3</v>
      </c>
      <c r="L9" s="41">
        <f t="shared" si="2"/>
        <v>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3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 t="s">
        <v>7</v>
      </c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 t="s">
        <v>7</v>
      </c>
      <c r="F85" s="23"/>
      <c r="G85" s="23"/>
      <c r="H85" s="23" t="s">
        <v>7</v>
      </c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636" priority="25" operator="containsText" text="Pivô">
      <formula>NOT(ISERROR(SEARCH("Pivô",A1)))</formula>
    </cfRule>
    <cfRule type="containsText" dxfId="1635" priority="26" operator="containsText" text="Pivô">
      <formula>NOT(ISERROR(SEARCH("Pivô",A1)))</formula>
    </cfRule>
  </conditionalFormatting>
  <conditionalFormatting sqref="B5:H93">
    <cfRule type="containsText" dxfId="1634" priority="18" operator="containsText" text="Cardã">
      <formula>NOT(ISERROR(SEARCH("Cardã",B5)))</formula>
    </cfRule>
    <cfRule type="containsText" dxfId="1633" priority="19" operator="containsText" text="Pneu">
      <formula>NOT(ISERROR(SEARCH("Pneu",B5)))</formula>
    </cfRule>
    <cfRule type="containsText" dxfId="1632" priority="20" operator="containsText" text="Vedação">
      <formula>NOT(ISERROR(SEARCH("Vedação",B5)))</formula>
    </cfRule>
    <cfRule type="containsText" dxfId="1631" priority="21" operator="containsText" text="Retentor">
      <formula>NOT(ISERROR(SEARCH("Retentor",B5)))</formula>
    </cfRule>
    <cfRule type="containsText" dxfId="1630" priority="22" operator="containsText" text="Motorredutor">
      <formula>NOT(ISERROR(SEARCH("Motorredutor",B5)))</formula>
    </cfRule>
    <cfRule type="containsText" dxfId="1629" priority="23" operator="containsText" text="Redutor">
      <formula>NOT(ISERROR(SEARCH("Redutor",B5)))</formula>
    </cfRule>
    <cfRule type="containsText" dxfId="162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1AB359C4-76B4-4D22-B7AC-2AD844B62CC7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1AE59EC-B269-407D-BE62-71DF6D1462F3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99445DD3-9EDF-418B-BB3A-F659BEA96E6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8D800828-3A8C-4085-9719-8B26C31A962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58B8A4E0-B1ED-4923-9B9B-1A75661684C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E424F36F-87E5-4B30-8A83-5BE1372255B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9262909D-0321-481E-9A0F-901C7A568E6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BAE57E59-2751-46A3-9B7D-1A56203ECF0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44838F44-662F-4577-99B3-FC9285594D6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B9D79D68-4A44-43C3-A46D-07712280F3B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2EAD5579-F68F-4AEA-BBDB-9CE3DFDE27C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754E1A85-DF13-42E5-A67D-7D8FEAD642D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BD1BA8A6-2718-4B8A-956E-1016B207FBA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A3695A57-B8B1-4187-B99F-70F97899F372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E72BDAA6-DA9D-483D-8BD6-DD2CBBBF92B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784DCC36-DCF1-424D-B795-C6CC1C8BCF1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564F6813-39D6-402F-8B78-2426760E269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C3E56-B63A-4D9E-97D5-A3CBC061796E}">
  <sheetPr>
    <tabColor theme="4"/>
    <pageSetUpPr fitToPage="1"/>
  </sheetPr>
  <dimension ref="A1:P93"/>
  <sheetViews>
    <sheetView showGridLines="0" zoomScaleNormal="100" workbookViewId="0">
      <pane ySplit="4" topLeftCell="A47" activePane="bottomLeft" state="frozen"/>
      <selection pane="bottomLeft" activeCell="H58" sqref="H5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44921</v>
      </c>
      <c r="C3" s="25">
        <f>B3+1</f>
        <v>44922</v>
      </c>
      <c r="D3" s="25">
        <f t="shared" ref="D3:H3" si="0">C3+1</f>
        <v>44923</v>
      </c>
      <c r="E3" s="25">
        <f t="shared" si="0"/>
        <v>44924</v>
      </c>
      <c r="F3" s="25">
        <f t="shared" si="0"/>
        <v>44925</v>
      </c>
      <c r="G3" s="25">
        <f t="shared" si="0"/>
        <v>44926</v>
      </c>
      <c r="H3" s="25">
        <f t="shared" si="0"/>
        <v>44927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44921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0.25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3</v>
      </c>
      <c r="L9" s="41">
        <f t="shared" si="2"/>
        <v>0.75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4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 t="s">
        <v>4</v>
      </c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 t="s">
        <v>7</v>
      </c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 t="s">
        <v>7</v>
      </c>
      <c r="F85" s="23"/>
      <c r="G85" s="23"/>
      <c r="H85" s="23" t="s">
        <v>7</v>
      </c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611" priority="25" operator="containsText" text="Pivô">
      <formula>NOT(ISERROR(SEARCH("Pivô",A1)))</formula>
    </cfRule>
    <cfRule type="containsText" dxfId="1610" priority="26" operator="containsText" text="Pivô">
      <formula>NOT(ISERROR(SEARCH("Pivô",A1)))</formula>
    </cfRule>
  </conditionalFormatting>
  <conditionalFormatting sqref="B5:H93">
    <cfRule type="containsText" dxfId="1609" priority="18" operator="containsText" text="Cardã">
      <formula>NOT(ISERROR(SEARCH("Cardã",B5)))</formula>
    </cfRule>
    <cfRule type="containsText" dxfId="1608" priority="19" operator="containsText" text="Pneu">
      <formula>NOT(ISERROR(SEARCH("Pneu",B5)))</formula>
    </cfRule>
    <cfRule type="containsText" dxfId="1607" priority="20" operator="containsText" text="Vedação">
      <formula>NOT(ISERROR(SEARCH("Vedação",B5)))</formula>
    </cfRule>
    <cfRule type="containsText" dxfId="1606" priority="21" operator="containsText" text="Retentor">
      <formula>NOT(ISERROR(SEARCH("Retentor",B5)))</formula>
    </cfRule>
    <cfRule type="containsText" dxfId="1605" priority="22" operator="containsText" text="Motorredutor">
      <formula>NOT(ISERROR(SEARCH("Motorredutor",B5)))</formula>
    </cfRule>
    <cfRule type="containsText" dxfId="1604" priority="23" operator="containsText" text="Redutor">
      <formula>NOT(ISERROR(SEARCH("Redutor",B5)))</formula>
    </cfRule>
    <cfRule type="containsText" dxfId="160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8EE62F01-66D0-47A5-AB8D-63006C629EE8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E523CA9-EDF9-4C8A-9D60-16D91EAD8BA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EBCEBE5E-40D0-44F9-9D46-16733511BF6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C115A19C-2422-434B-BA16-7DAA2B0D505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C143783E-B333-486E-AA0A-99B093F155CF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F431593F-87C1-47E1-9C10-8D465A09AC4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5BCF02FE-EA94-4EA2-8EF0-771E2968B5E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5689B32F-9C43-45A8-B6C3-EC7F65C7C341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79644A1-2403-4934-859D-14348BF3963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166880B1-D26D-42CD-B9CB-CD37DD0E861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19BED80D-BB6F-47D5-AF2D-9357CC59E23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19129BEB-018F-40B9-94FA-C132786C2B9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2B8C780D-7EB2-4BFB-B27A-9B47BA87ABF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EE5F9088-4308-4124-99D4-982851B39DC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39BD2E33-B6C1-49A5-AD1A-AE7A7DF7226B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BA065ED9-7ECB-44C9-9A13-137925FB6FC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DEBDD69A-67E7-4C17-975B-2E05A46E8BFE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54EE-68B8-4769-88F4-756DC98734E6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44928</v>
      </c>
      <c r="C3" s="25">
        <f>B3+1</f>
        <v>44929</v>
      </c>
      <c r="D3" s="25">
        <f t="shared" ref="D3:H3" si="0">C3+1</f>
        <v>44930</v>
      </c>
      <c r="E3" s="25">
        <f t="shared" si="0"/>
        <v>44931</v>
      </c>
      <c r="F3" s="25">
        <f t="shared" si="0"/>
        <v>44932</v>
      </c>
      <c r="G3" s="25">
        <f t="shared" si="0"/>
        <v>44933</v>
      </c>
      <c r="H3" s="25">
        <f t="shared" si="0"/>
        <v>44934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44928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2</v>
      </c>
      <c r="L6" s="41">
        <f t="shared" si="2"/>
        <v>0.66666666666666663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0.33333333333333331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3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 t="s">
        <v>4</v>
      </c>
      <c r="D33" s="23" t="s">
        <v>4</v>
      </c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 t="s">
        <v>5</v>
      </c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586" priority="25" operator="containsText" text="Pivô">
      <formula>NOT(ISERROR(SEARCH("Pivô",A1)))</formula>
    </cfRule>
    <cfRule type="containsText" dxfId="1585" priority="26" operator="containsText" text="Pivô">
      <formula>NOT(ISERROR(SEARCH("Pivô",A1)))</formula>
    </cfRule>
  </conditionalFormatting>
  <conditionalFormatting sqref="B5:H93">
    <cfRule type="containsText" dxfId="1584" priority="18" operator="containsText" text="Cardã">
      <formula>NOT(ISERROR(SEARCH("Cardã",B5)))</formula>
    </cfRule>
    <cfRule type="containsText" dxfId="1583" priority="19" operator="containsText" text="Pneu">
      <formula>NOT(ISERROR(SEARCH("Pneu",B5)))</formula>
    </cfRule>
    <cfRule type="containsText" dxfId="1582" priority="20" operator="containsText" text="Vedação">
      <formula>NOT(ISERROR(SEARCH("Vedação",B5)))</formula>
    </cfRule>
    <cfRule type="containsText" dxfId="1581" priority="21" operator="containsText" text="Retentor">
      <formula>NOT(ISERROR(SEARCH("Retentor",B5)))</formula>
    </cfRule>
    <cfRule type="containsText" dxfId="1580" priority="22" operator="containsText" text="Motorredutor">
      <formula>NOT(ISERROR(SEARCH("Motorredutor",B5)))</formula>
    </cfRule>
    <cfRule type="containsText" dxfId="1579" priority="23" operator="containsText" text="Redutor">
      <formula>NOT(ISERROR(SEARCH("Redutor",B5)))</formula>
    </cfRule>
    <cfRule type="containsText" dxfId="157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32CB109F-7665-4B63-B096-0A6D401546B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4E33B1C-8000-4770-9624-C60841C583E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5C392B2-AC91-41FB-9484-2746117DAE8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B731D2DA-0659-40E5-B28E-05BB1D6CCE3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F5FE06BA-737B-4CCB-A1CB-B05FE4F1B24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D6ACEA8D-8C5D-4907-B85A-11F50A373E3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4825ABEB-C860-417E-A25D-605348D165B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A192D075-551A-4FF4-B8AE-D23761A861F7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5FF80BF0-E5F5-4C80-A5E8-47B371D3AB4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3E16A5B0-9748-4314-8AE7-FB120FA213F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489312C2-F1E3-4730-B81A-EE40E4149B6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469A3F76-EBD1-4212-9FD8-95FFCAE3088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99E9430D-E574-4EC3-A7B0-CBA5B1686C93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09AF944C-1B46-44E2-823A-ED73A14C96E3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1552D498-1DAB-4BA6-AE2D-2D129BC1196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1D633913-B921-4506-A4CF-3864042D2D6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2C86A3D6-B408-46E4-B573-A034B14B05E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D355-1746-47A8-AC09-9BE8D8A736E3}">
  <sheetPr>
    <tabColor theme="4"/>
    <pageSetUpPr fitToPage="1"/>
  </sheetPr>
  <dimension ref="A1:P93"/>
  <sheetViews>
    <sheetView showGridLines="0" zoomScaleNormal="100" workbookViewId="0">
      <pane ySplit="4" topLeftCell="A26" activePane="bottomLeft" state="frozen"/>
      <selection pane="bottomLeft" activeCell="E30" sqref="E30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44935</v>
      </c>
      <c r="C3" s="25">
        <f>B3+1</f>
        <v>44936</v>
      </c>
      <c r="D3" s="25">
        <f t="shared" ref="D3:H3" si="0">C3+1</f>
        <v>44937</v>
      </c>
      <c r="E3" s="25">
        <f t="shared" si="0"/>
        <v>44938</v>
      </c>
      <c r="F3" s="25">
        <f t="shared" si="0"/>
        <v>44939</v>
      </c>
      <c r="G3" s="25">
        <f t="shared" si="0"/>
        <v>44940</v>
      </c>
      <c r="H3" s="25">
        <f t="shared" si="0"/>
        <v>44941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44935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0</v>
      </c>
      <c r="L6" s="41">
        <f t="shared" si="2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1</v>
      </c>
      <c r="L14" s="43">
        <f t="shared" si="2"/>
        <v>1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1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 t="s">
        <v>12</v>
      </c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561" priority="25" operator="containsText" text="Pivô">
      <formula>NOT(ISERROR(SEARCH("Pivô",A1)))</formula>
    </cfRule>
    <cfRule type="containsText" dxfId="1560" priority="26" operator="containsText" text="Pivô">
      <formula>NOT(ISERROR(SEARCH("Pivô",A1)))</formula>
    </cfRule>
  </conditionalFormatting>
  <conditionalFormatting sqref="B5:H93">
    <cfRule type="containsText" dxfId="1559" priority="18" operator="containsText" text="Cardã">
      <formula>NOT(ISERROR(SEARCH("Cardã",B5)))</formula>
    </cfRule>
    <cfRule type="containsText" dxfId="1558" priority="19" operator="containsText" text="Pneu">
      <formula>NOT(ISERROR(SEARCH("Pneu",B5)))</formula>
    </cfRule>
    <cfRule type="containsText" dxfId="1557" priority="20" operator="containsText" text="Vedação">
      <formula>NOT(ISERROR(SEARCH("Vedação",B5)))</formula>
    </cfRule>
    <cfRule type="containsText" dxfId="1556" priority="21" operator="containsText" text="Retentor">
      <formula>NOT(ISERROR(SEARCH("Retentor",B5)))</formula>
    </cfRule>
    <cfRule type="containsText" dxfId="1555" priority="22" operator="containsText" text="Motorredutor">
      <formula>NOT(ISERROR(SEARCH("Motorredutor",B5)))</formula>
    </cfRule>
    <cfRule type="containsText" dxfId="1554" priority="23" operator="containsText" text="Redutor">
      <formula>NOT(ISERROR(SEARCH("Redutor",B5)))</formula>
    </cfRule>
    <cfRule type="containsText" dxfId="155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A92E2ECC-FCCB-46BE-A476-1D9B715FD39B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76F899F-3F4D-43A4-BFEA-6C50CE2EED48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854C9FCB-D3BD-4D2D-AC07-F3EE18BDF7E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6B263487-0239-4DF1-957F-31398018F6D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B437879C-3A4A-4D55-91D4-7C991E7C1A0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282755C0-621D-48F3-8535-6F5160221E8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A36E244A-3A56-4568-B5BB-2DF929160C6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ABAC99C8-2CDD-42D3-819A-596C3097A95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19D9EE98-A5DE-4DCF-8BB9-9909966C38F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67E6FD73-A7E1-4F28-A10A-EF86EC83B26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755ED5F1-56AF-4884-9557-A96F4515AF6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8A036956-C81B-461A-8302-08F95B0D9F0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DAA16C0-89B1-4F52-8DE3-C9D7E6805D60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03475B48-BF0B-49FA-A4B2-EAF4134E794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94EEBA7D-550F-464F-83AD-8B3A013C313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F255FAAC-82FE-4D92-9D49-04C7EA0410E8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02F2BA4C-662C-44B0-9112-B9E77743532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1353-7592-4F4D-84F7-85D8EDF98C1F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D11" sqref="D1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151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44942</v>
      </c>
      <c r="C3" s="25">
        <f>B3+1</f>
        <v>44943</v>
      </c>
      <c r="D3" s="25">
        <f t="shared" ref="D3:H3" si="0">C3+1</f>
        <v>44944</v>
      </c>
      <c r="E3" s="25">
        <f t="shared" si="0"/>
        <v>44945</v>
      </c>
      <c r="F3" s="25">
        <f t="shared" si="0"/>
        <v>44946</v>
      </c>
      <c r="G3" s="25">
        <f t="shared" si="0"/>
        <v>44947</v>
      </c>
      <c r="H3" s="25">
        <f t="shared" si="0"/>
        <v>44948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0</v>
      </c>
      <c r="L5" s="39">
        <f t="shared" ref="L5:L15" si="2">K5/$K$16</f>
        <v>0</v>
      </c>
      <c r="M5" s="54">
        <f>B3</f>
        <v>44942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2</v>
      </c>
      <c r="L6" s="41">
        <f t="shared" si="2"/>
        <v>1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0</v>
      </c>
      <c r="L7" s="41">
        <f t="shared" si="2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0</v>
      </c>
      <c r="L9" s="41">
        <f t="shared" si="2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0</v>
      </c>
      <c r="L11" s="41">
        <f t="shared" si="2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2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 t="s">
        <v>4</v>
      </c>
      <c r="D18" s="23" t="s">
        <v>4</v>
      </c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536" priority="25" operator="containsText" text="Pivô">
      <formula>NOT(ISERROR(SEARCH("Pivô",A1)))</formula>
    </cfRule>
    <cfRule type="containsText" dxfId="1535" priority="26" operator="containsText" text="Pivô">
      <formula>NOT(ISERROR(SEARCH("Pivô",A1)))</formula>
    </cfRule>
  </conditionalFormatting>
  <conditionalFormatting sqref="B5:H93">
    <cfRule type="containsText" dxfId="1534" priority="18" operator="containsText" text="Cardã">
      <formula>NOT(ISERROR(SEARCH("Cardã",B5)))</formula>
    </cfRule>
    <cfRule type="containsText" dxfId="1533" priority="19" operator="containsText" text="Pneu">
      <formula>NOT(ISERROR(SEARCH("Pneu",B5)))</formula>
    </cfRule>
    <cfRule type="containsText" dxfId="1532" priority="20" operator="containsText" text="Vedação">
      <formula>NOT(ISERROR(SEARCH("Vedação",B5)))</formula>
    </cfRule>
    <cfRule type="containsText" dxfId="1531" priority="21" operator="containsText" text="Retentor">
      <formula>NOT(ISERROR(SEARCH("Retentor",B5)))</formula>
    </cfRule>
    <cfRule type="containsText" dxfId="1530" priority="22" operator="containsText" text="Motorredutor">
      <formula>NOT(ISERROR(SEARCH("Motorredutor",B5)))</formula>
    </cfRule>
    <cfRule type="containsText" dxfId="1529" priority="23" operator="containsText" text="Redutor">
      <formula>NOT(ISERROR(SEARCH("Redutor",B5)))</formula>
    </cfRule>
    <cfRule type="containsText" dxfId="152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D07B515C-E6CD-4F29-A20E-E325DD123367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AAE727F-0B51-469D-BD62-A5A009FA8B88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2E390D3-CA8A-4AC8-82D2-63BB1D53F0E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6E3F1A3F-95C9-49EA-9BE3-73EE90A66BA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3A2FFFB6-31FF-4814-8A8C-0418160BC308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1C49DD03-4A02-4054-98DC-5ABE9F889CC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92D30F58-9156-48EF-A487-4A769AC0682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09211E54-77D3-4570-ABBA-A2996E1BE57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4287BA5D-55D9-413A-BCF4-BD6431C8442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0421CC81-0021-42D9-A1C8-888333C6A20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D7AD9C0E-182B-4EF8-BC55-E6B423649AC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84987B7D-C17C-4AA8-AA27-C6C05038486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144B502-587E-4BD1-AD3C-F513CAEAADB0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F47101CF-BB3B-45B5-87DE-AAF9E59DD22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7D8263BC-0D6A-4FE2-9C60-9B9C8B84D22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14214D88-E5D3-4C4E-8211-B2BB1C40F32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37450D8B-CD2F-42F1-9C27-0E6C42FFF24B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EC4F-426A-420C-BEB0-52738EBAEC77}">
  <sheetPr>
    <tabColor theme="4"/>
    <pageSetUpPr fitToPage="1"/>
  </sheetPr>
  <dimension ref="A1:P93"/>
  <sheetViews>
    <sheetView showGridLines="0" zoomScaleNormal="100" workbookViewId="0">
      <pane ySplit="4" topLeftCell="A5" activePane="bottomLeft" state="frozen"/>
      <selection pane="bottomLeft" activeCell="J5" sqref="J5:M15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0.7109375" bestFit="1" customWidth="1"/>
  </cols>
  <sheetData>
    <row r="1" spans="1:16" s="9" customFormat="1" ht="15" customHeight="1" x14ac:dyDescent="0.25">
      <c r="A1" s="62" t="s">
        <v>152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44956</v>
      </c>
      <c r="C3" s="25">
        <f>B3+1</f>
        <v>44957</v>
      </c>
      <c r="D3" s="25">
        <f t="shared" ref="D3:H3" si="0">C3+1</f>
        <v>44958</v>
      </c>
      <c r="E3" s="25">
        <f t="shared" si="0"/>
        <v>44959</v>
      </c>
      <c r="F3" s="25">
        <f t="shared" si="0"/>
        <v>44960</v>
      </c>
      <c r="G3" s="25">
        <f t="shared" si="0"/>
        <v>44961</v>
      </c>
      <c r="H3" s="25">
        <f t="shared" si="0"/>
        <v>44962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>COUNTIF($B$5:$H$93,J5)</f>
        <v>1</v>
      </c>
      <c r="L5" s="39">
        <f t="shared" ref="L5:L15" si="2">K5/$K$16</f>
        <v>0.16666666666666666</v>
      </c>
      <c r="M5" s="54">
        <f>B3</f>
        <v>44956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ref="K6:K11" si="3">COUNTIF($B$5:$H$93,J6)</f>
        <v>1</v>
      </c>
      <c r="L6" s="41">
        <f t="shared" si="2"/>
        <v>0.16666666666666666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3"/>
        <v>1</v>
      </c>
      <c r="L7" s="41">
        <f t="shared" si="2"/>
        <v>0.16666666666666666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3"/>
        <v>0</v>
      </c>
      <c r="L8" s="41">
        <f t="shared" si="2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3"/>
        <v>1</v>
      </c>
      <c r="L9" s="41">
        <f t="shared" si="2"/>
        <v>0.16666666666666666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3"/>
        <v>0</v>
      </c>
      <c r="L10" s="41">
        <f t="shared" si="2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3"/>
        <v>2</v>
      </c>
      <c r="L11" s="41">
        <f t="shared" si="2"/>
        <v>0.33333333333333331</v>
      </c>
    </row>
    <row r="12" spans="1:16" x14ac:dyDescent="0.25">
      <c r="A12" s="8" t="s">
        <v>28</v>
      </c>
      <c r="B12" s="23"/>
      <c r="C12" s="23"/>
      <c r="D12" s="23" t="s">
        <v>7</v>
      </c>
      <c r="E12" s="23"/>
      <c r="F12" s="23"/>
      <c r="G12" s="23"/>
      <c r="H12" s="23"/>
      <c r="J12" s="34" t="s">
        <v>10</v>
      </c>
      <c r="K12" s="40">
        <f>COUNTIF($B$5:$H$93,J12)</f>
        <v>0</v>
      </c>
      <c r="L12" s="41">
        <f t="shared" si="2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>COUNTIF($B$5:$H$93,J13)</f>
        <v>0</v>
      </c>
      <c r="L13" s="41">
        <f t="shared" si="2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>COUNTIF($B$5:$H$93,J14)</f>
        <v>0</v>
      </c>
      <c r="L14" s="43">
        <f t="shared" si="2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>COUNTIF($B$5:$H$93,J15)</f>
        <v>0</v>
      </c>
      <c r="L15" s="43">
        <f t="shared" si="2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1" t="s">
        <v>1</v>
      </c>
      <c r="K16" s="1">
        <f>SUM(K5:K14)</f>
        <v>6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 t="s">
        <v>3</v>
      </c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/>
      <c r="C24" s="23"/>
      <c r="D24" s="23"/>
      <c r="E24" s="23"/>
      <c r="F24" s="23"/>
      <c r="G24" s="23" t="s">
        <v>9</v>
      </c>
      <c r="H24" s="23"/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 t="s">
        <v>4</v>
      </c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 t="s">
        <v>5</v>
      </c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77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78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79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80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81</v>
      </c>
      <c r="B65" s="23"/>
      <c r="C65" s="23" t="s">
        <v>9</v>
      </c>
      <c r="D65" s="23"/>
      <c r="E65" s="23"/>
      <c r="F65" s="23"/>
      <c r="G65" s="23"/>
      <c r="H65" s="23"/>
    </row>
    <row r="66" spans="1:8" x14ac:dyDescent="0.25">
      <c r="A66" s="8" t="s">
        <v>82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83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84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85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86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87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88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90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91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92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93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94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95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96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97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98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99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100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101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102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103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104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105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106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107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108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109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110</v>
      </c>
      <c r="B93" s="23"/>
      <c r="C93" s="23"/>
      <c r="D93" s="23"/>
      <c r="E93" s="23"/>
      <c r="F93" s="23"/>
      <c r="G93" s="23"/>
      <c r="H93" s="23"/>
    </row>
  </sheetData>
  <mergeCells count="1">
    <mergeCell ref="A1:H2"/>
  </mergeCells>
  <conditionalFormatting sqref="A1:A1048576">
    <cfRule type="containsText" dxfId="1511" priority="25" operator="containsText" text="Pivô">
      <formula>NOT(ISERROR(SEARCH("Pivô",A1)))</formula>
    </cfRule>
    <cfRule type="containsText" dxfId="1510" priority="26" operator="containsText" text="Pivô">
      <formula>NOT(ISERROR(SEARCH("Pivô",A1)))</formula>
    </cfRule>
  </conditionalFormatting>
  <conditionalFormatting sqref="B5:H93">
    <cfRule type="containsText" dxfId="1509" priority="18" operator="containsText" text="Cardã">
      <formula>NOT(ISERROR(SEARCH("Cardã",B5)))</formula>
    </cfRule>
    <cfRule type="containsText" dxfId="1508" priority="19" operator="containsText" text="Pneu">
      <formula>NOT(ISERROR(SEARCH("Pneu",B5)))</formula>
    </cfRule>
    <cfRule type="containsText" dxfId="1507" priority="20" operator="containsText" text="Vedação">
      <formula>NOT(ISERROR(SEARCH("Vedação",B5)))</formula>
    </cfRule>
    <cfRule type="containsText" dxfId="1506" priority="21" operator="containsText" text="Retentor">
      <formula>NOT(ISERROR(SEARCH("Retentor",B5)))</formula>
    </cfRule>
    <cfRule type="containsText" dxfId="1505" priority="22" operator="containsText" text="Motorredutor">
      <formula>NOT(ISERROR(SEARCH("Motorredutor",B5)))</formula>
    </cfRule>
    <cfRule type="containsText" dxfId="1504" priority="23" operator="containsText" text="Redutor">
      <formula>NOT(ISERROR(SEARCH("Redutor",B5)))</formula>
    </cfRule>
    <cfRule type="containsText" dxfId="150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93" xr:uid="{CA8FBC96-3048-4F37-B8A6-E974484010F5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2FD55EA-E928-4E2B-BFB6-88DAA2908134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060EC17A-BCF8-4E10-8228-E13B59C9BF4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3198E6AC-3E68-463C-9471-13F05F288F6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FDDA7A8C-8128-45D2-B045-4701E86AB8E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47C1B82A-9E0F-4AB2-B58A-FFACA286FAB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384946B3-2931-4C1E-84AA-BB2398322C0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D5B519B8-9881-46C1-A25D-15E699569A8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943FA917-BC8B-4E63-AC0F-56AB85D36E2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BF07B3BB-8AC3-452A-B0A2-80A83C193E8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6F295569-A37C-4790-AC8B-5ADF9530447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66BCF080-9C90-4406-A88D-FA3CFE17F304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E52E5127-598F-400C-BF7C-886630433B10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EEF2E705-2F10-499A-93EA-4420CA689E9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09B94615-2BBD-4E44-934A-1A5EE85C0CE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B5:H93</xm:sqref>
        </x14:conditionalFormatting>
        <x14:conditionalFormatting xmlns:xm="http://schemas.microsoft.com/office/excel/2006/main">
          <x14:cfRule type="containsText" priority="15" operator="containsText" id="{A66E0C8F-1ACB-4951-83F3-A0C06B63A23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01A604DF-9A1E-4565-BA54-F261F1F5062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B9:H93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9A6D-96EE-4BFF-B318-88496B8C4DBB}">
  <sheetPr>
    <tabColor theme="4"/>
    <pageSetUpPr fitToPage="1"/>
  </sheetPr>
  <dimension ref="A1:P109"/>
  <sheetViews>
    <sheetView showGridLines="0" zoomScale="115" zoomScaleNormal="115" workbookViewId="0">
      <pane ySplit="4" topLeftCell="A5" activePane="bottomLeft" state="frozen"/>
      <selection pane="bottomLeft" activeCell="M18" sqref="M18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153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44963</v>
      </c>
      <c r="C3" s="25">
        <f>B3+1</f>
        <v>44964</v>
      </c>
      <c r="D3" s="25">
        <f t="shared" ref="D3:H3" si="0">C3+1</f>
        <v>44965</v>
      </c>
      <c r="E3" s="25">
        <f t="shared" si="0"/>
        <v>44966</v>
      </c>
      <c r="F3" s="25">
        <f t="shared" si="0"/>
        <v>44967</v>
      </c>
      <c r="G3" s="25">
        <f t="shared" si="0"/>
        <v>44968</v>
      </c>
      <c r="H3" s="25">
        <f t="shared" si="0"/>
        <v>44969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5" si="2">COUNTIF($B$5:$H$109,J5)</f>
        <v>4</v>
      </c>
      <c r="L5" s="39">
        <f t="shared" ref="L5:L15" si="3">K5/$K$16</f>
        <v>0.26666666666666666</v>
      </c>
      <c r="M5" s="54">
        <f>B3</f>
        <v>44963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6.6666666666666666E-2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7</v>
      </c>
      <c r="L11" s="41">
        <f t="shared" si="3"/>
        <v>0.46666666666666667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6.6666666666666666E-2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 t="s">
        <v>3</v>
      </c>
      <c r="F14" s="23"/>
      <c r="G14" s="23"/>
      <c r="H14" s="23"/>
      <c r="J14" s="37" t="s">
        <v>12</v>
      </c>
      <c r="K14" s="42">
        <f t="shared" si="2"/>
        <v>2</v>
      </c>
      <c r="L14" s="43">
        <f t="shared" si="3"/>
        <v>0.13333333333333333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 t="shared" si="2"/>
        <v>0</v>
      </c>
      <c r="L15" s="43">
        <f t="shared" si="3"/>
        <v>0</v>
      </c>
    </row>
    <row r="16" spans="1:16" x14ac:dyDescent="0.25">
      <c r="A16" s="8" t="s">
        <v>32</v>
      </c>
      <c r="B16" s="23"/>
      <c r="C16" s="23"/>
      <c r="D16" s="23" t="s">
        <v>3</v>
      </c>
      <c r="E16" s="23" t="s">
        <v>3</v>
      </c>
      <c r="F16" s="23"/>
      <c r="G16" s="23"/>
      <c r="H16" s="23"/>
      <c r="J16" s="1" t="s">
        <v>1</v>
      </c>
      <c r="K16" s="1">
        <f>SUM(K5:K14)</f>
        <v>15</v>
      </c>
    </row>
    <row r="17" spans="1:8" x14ac:dyDescent="0.25">
      <c r="A17" s="8" t="s">
        <v>33</v>
      </c>
      <c r="B17" s="23"/>
      <c r="C17" s="23"/>
      <c r="D17" s="23"/>
      <c r="E17" s="23"/>
      <c r="F17" s="23"/>
      <c r="G17" s="23"/>
      <c r="H17" s="23"/>
    </row>
    <row r="18" spans="1:8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8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8" x14ac:dyDescent="0.25">
      <c r="A24" s="8" t="s">
        <v>40</v>
      </c>
      <c r="B24" s="23" t="s">
        <v>9</v>
      </c>
      <c r="C24" s="23" t="s">
        <v>9</v>
      </c>
      <c r="D24" s="23" t="s">
        <v>9</v>
      </c>
      <c r="E24" s="23" t="s">
        <v>9</v>
      </c>
      <c r="F24" s="23" t="s">
        <v>9</v>
      </c>
      <c r="G24" s="23" t="s">
        <v>9</v>
      </c>
      <c r="H24" s="23" t="s">
        <v>9</v>
      </c>
    </row>
    <row r="25" spans="1:8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8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8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/>
      <c r="D32" s="23"/>
      <c r="E32" s="23"/>
      <c r="F32" s="23" t="s">
        <v>10</v>
      </c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 t="s">
        <v>12</v>
      </c>
      <c r="C51" s="23" t="s">
        <v>12</v>
      </c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 t="s">
        <v>3</v>
      </c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 t="s">
        <v>5</v>
      </c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phoneticPr fontId="3" type="noConversion"/>
  <conditionalFormatting sqref="A1:A1048576">
    <cfRule type="containsText" dxfId="1486" priority="25" operator="containsText" text="Pivô">
      <formula>NOT(ISERROR(SEARCH("Pivô",A1)))</formula>
    </cfRule>
    <cfRule type="containsText" dxfId="1485" priority="26" operator="containsText" text="Pivô">
      <formula>NOT(ISERROR(SEARCH("Pivô",A1)))</formula>
    </cfRule>
  </conditionalFormatting>
  <conditionalFormatting sqref="B5:H109">
    <cfRule type="containsText" dxfId="1484" priority="18" operator="containsText" text="Cardã">
      <formula>NOT(ISERROR(SEARCH("Cardã",B5)))</formula>
    </cfRule>
    <cfRule type="containsText" dxfId="1483" priority="19" operator="containsText" text="Pneu">
      <formula>NOT(ISERROR(SEARCH("Pneu",B5)))</formula>
    </cfRule>
    <cfRule type="containsText" dxfId="1482" priority="20" operator="containsText" text="Vedação">
      <formula>NOT(ISERROR(SEARCH("Vedação",B5)))</formula>
    </cfRule>
    <cfRule type="containsText" dxfId="1481" priority="21" operator="containsText" text="Retentor">
      <formula>NOT(ISERROR(SEARCH("Retentor",B5)))</formula>
    </cfRule>
    <cfRule type="containsText" dxfId="1480" priority="22" operator="containsText" text="Motorredutor">
      <formula>NOT(ISERROR(SEARCH("Motorredutor",B5)))</formula>
    </cfRule>
    <cfRule type="containsText" dxfId="1479" priority="23" operator="containsText" text="Redutor">
      <formula>NOT(ISERROR(SEARCH("Redutor",B5)))</formula>
    </cfRule>
    <cfRule type="containsText" dxfId="147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01DC233C-A0B3-480C-9272-62AE82AAEA3D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C02150F-6A41-43DC-A6AB-981E43F8F21D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3F71EB0F-8966-48D3-B79A-3AC9F4719584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0CA9F920-0446-4D21-842C-0474B8BC7DC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1FC6EDA1-D453-4BE8-ABB7-29CD44532F9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4605815E-DC21-42EB-9181-DA563A323DC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9BAAD938-9085-4689-81CC-4B67CF74602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4480DAE6-5FE8-4725-B3A6-33893523902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02879A3-3D63-4CA0-A0D3-A74E61A0872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DEF5770C-BD31-4239-9188-6D140BA01FE2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06EEB223-3BE5-4AB3-9C6E-E77E82C9F40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554EC4E6-C099-4DBB-999C-5A5E1989ABF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541A94C3-8DEE-497B-BC39-45C026B6D8F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9F8A4DA7-3CE2-48A7-87D4-477FEE716E6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96F24A0E-9807-4208-80A0-53DD331FC59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7" operator="containsText" id="{598D9E8B-ECDC-481F-B38A-D895293B13F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5A28D84C-C072-4E02-B709-554364528464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C91C-3ECF-417C-9D54-5AB977CF4BBF}">
  <sheetPr>
    <tabColor theme="4"/>
    <pageSetUpPr fitToPage="1"/>
  </sheetPr>
  <dimension ref="A1:P109"/>
  <sheetViews>
    <sheetView showGridLines="0" zoomScale="115" zoomScaleNormal="115" workbookViewId="0">
      <pane ySplit="4" topLeftCell="A14" activePane="bottomLeft" state="frozen"/>
      <selection pane="bottomLeft" activeCell="E11" sqref="E11"/>
    </sheetView>
  </sheetViews>
  <sheetFormatPr defaultRowHeight="15" x14ac:dyDescent="0.25"/>
  <cols>
    <col min="1" max="1" width="9.140625" style="9"/>
    <col min="2" max="8" width="17.5703125" customWidth="1"/>
    <col min="10" max="10" width="13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44970</v>
      </c>
      <c r="C3" s="25">
        <f>B3+1</f>
        <v>44971</v>
      </c>
      <c r="D3" s="25">
        <f t="shared" ref="D3:H3" si="0">C3+1</f>
        <v>44972</v>
      </c>
      <c r="E3" s="25">
        <f t="shared" si="0"/>
        <v>44973</v>
      </c>
      <c r="F3" s="25">
        <f t="shared" si="0"/>
        <v>44974</v>
      </c>
      <c r="G3" s="25">
        <f t="shared" si="0"/>
        <v>44975</v>
      </c>
      <c r="H3" s="25">
        <f t="shared" si="0"/>
        <v>44976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5" si="2">COUNTIF($B$5:$H$109,J5)</f>
        <v>3</v>
      </c>
      <c r="L5" s="39">
        <f t="shared" ref="L5:L15" si="3">K5/$K$16</f>
        <v>0.04</v>
      </c>
      <c r="M5" s="54">
        <f>B3</f>
        <v>44970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1.3333333333333334E-2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3</v>
      </c>
      <c r="L11" s="41">
        <f t="shared" si="3"/>
        <v>0.04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3</v>
      </c>
      <c r="L12" s="41">
        <f t="shared" si="3"/>
        <v>0.04</v>
      </c>
    </row>
    <row r="13" spans="1:16" x14ac:dyDescent="0.25">
      <c r="A13" s="8" t="s">
        <v>29</v>
      </c>
      <c r="B13" s="23"/>
      <c r="C13" s="23"/>
      <c r="D13" s="23" t="s">
        <v>11</v>
      </c>
      <c r="E13" s="23" t="s">
        <v>11</v>
      </c>
      <c r="F13" s="23" t="s">
        <v>11</v>
      </c>
      <c r="G13" s="23" t="s">
        <v>11</v>
      </c>
      <c r="H13" s="23" t="s">
        <v>11</v>
      </c>
      <c r="J13" s="36" t="s">
        <v>11</v>
      </c>
      <c r="K13" s="40">
        <f t="shared" si="2"/>
        <v>60</v>
      </c>
      <c r="L13" s="41">
        <f t="shared" si="3"/>
        <v>0.8</v>
      </c>
    </row>
    <row r="14" spans="1:16" x14ac:dyDescent="0.25">
      <c r="A14" s="8" t="s">
        <v>30</v>
      </c>
      <c r="B14" s="23"/>
      <c r="C14" s="23"/>
      <c r="D14" s="23" t="s">
        <v>11</v>
      </c>
      <c r="E14" s="23" t="s">
        <v>11</v>
      </c>
      <c r="F14" s="23" t="s">
        <v>11</v>
      </c>
      <c r="G14" s="23" t="s">
        <v>11</v>
      </c>
      <c r="H14" s="23" t="s">
        <v>11</v>
      </c>
      <c r="J14" s="37" t="s">
        <v>12</v>
      </c>
      <c r="K14" s="42">
        <f t="shared" si="2"/>
        <v>5</v>
      </c>
      <c r="L14" s="43">
        <f t="shared" si="3"/>
        <v>6.6666666666666666E-2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59" t="s">
        <v>132</v>
      </c>
      <c r="K15" s="42">
        <f t="shared" si="2"/>
        <v>0</v>
      </c>
      <c r="L15" s="43">
        <f t="shared" si="3"/>
        <v>0</v>
      </c>
    </row>
    <row r="16" spans="1:16" x14ac:dyDescent="0.25">
      <c r="A16" s="8" t="s">
        <v>32</v>
      </c>
      <c r="B16" s="23"/>
      <c r="C16" s="23" t="s">
        <v>11</v>
      </c>
      <c r="D16" s="23" t="s">
        <v>11</v>
      </c>
      <c r="E16" s="23" t="s">
        <v>11</v>
      </c>
      <c r="F16" s="23" t="s">
        <v>3</v>
      </c>
      <c r="G16" s="23" t="s">
        <v>3</v>
      </c>
      <c r="H16" s="23" t="s">
        <v>3</v>
      </c>
      <c r="J16" s="1" t="s">
        <v>1</v>
      </c>
      <c r="K16" s="1">
        <f>SUM(K5:K14)</f>
        <v>75</v>
      </c>
    </row>
    <row r="17" spans="1:8" x14ac:dyDescent="0.25">
      <c r="A17" s="8" t="s">
        <v>33</v>
      </c>
      <c r="B17" s="23"/>
      <c r="C17" s="23"/>
      <c r="D17" s="23" t="s">
        <v>11</v>
      </c>
      <c r="E17" s="23" t="s">
        <v>11</v>
      </c>
      <c r="F17" s="23"/>
      <c r="G17" s="23" t="s">
        <v>11</v>
      </c>
      <c r="H17" s="23" t="s">
        <v>11</v>
      </c>
    </row>
    <row r="18" spans="1:8" x14ac:dyDescent="0.25">
      <c r="A18" s="8" t="s">
        <v>34</v>
      </c>
      <c r="B18" s="23"/>
      <c r="C18" s="23"/>
      <c r="D18" s="23" t="s">
        <v>11</v>
      </c>
      <c r="E18" s="23" t="s">
        <v>11</v>
      </c>
      <c r="F18" s="23" t="s">
        <v>11</v>
      </c>
      <c r="G18" s="23" t="s">
        <v>11</v>
      </c>
      <c r="H18" s="23" t="s">
        <v>11</v>
      </c>
    </row>
    <row r="19" spans="1:8" x14ac:dyDescent="0.25">
      <c r="A19" s="8" t="s">
        <v>35</v>
      </c>
      <c r="B19" s="23"/>
      <c r="C19" s="23" t="s">
        <v>11</v>
      </c>
      <c r="D19" s="23"/>
      <c r="E19" s="23"/>
      <c r="F19" s="23"/>
      <c r="G19" s="23"/>
      <c r="H19" s="23"/>
    </row>
    <row r="20" spans="1:8" x14ac:dyDescent="0.25">
      <c r="A20" s="8" t="s">
        <v>36</v>
      </c>
      <c r="B20" s="23"/>
      <c r="C20" s="23"/>
      <c r="D20" s="23"/>
      <c r="E20" s="23"/>
      <c r="F20" s="23" t="s">
        <v>12</v>
      </c>
      <c r="G20" s="23" t="s">
        <v>12</v>
      </c>
      <c r="H20" s="23" t="s">
        <v>12</v>
      </c>
    </row>
    <row r="21" spans="1:8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8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8" x14ac:dyDescent="0.25">
      <c r="A23" s="8" t="s">
        <v>39</v>
      </c>
      <c r="B23" s="23"/>
      <c r="C23" s="23"/>
      <c r="D23" s="23"/>
      <c r="E23" s="23" t="s">
        <v>11</v>
      </c>
      <c r="F23" s="23" t="s">
        <v>11</v>
      </c>
      <c r="G23" s="23" t="s">
        <v>11</v>
      </c>
      <c r="H23" s="23"/>
    </row>
    <row r="24" spans="1:8" x14ac:dyDescent="0.25">
      <c r="A24" s="8" t="s">
        <v>40</v>
      </c>
      <c r="B24" s="23" t="s">
        <v>9</v>
      </c>
      <c r="C24" s="23" t="s">
        <v>9</v>
      </c>
      <c r="D24" s="23"/>
      <c r="E24" s="23"/>
      <c r="F24" s="23" t="s">
        <v>10</v>
      </c>
      <c r="G24" s="23" t="s">
        <v>10</v>
      </c>
      <c r="H24" s="23" t="s">
        <v>10</v>
      </c>
    </row>
    <row r="25" spans="1:8" x14ac:dyDescent="0.25">
      <c r="A25" s="8" t="s">
        <v>41</v>
      </c>
      <c r="B25" s="23"/>
      <c r="C25" s="23"/>
      <c r="D25" s="23"/>
      <c r="E25" s="23"/>
      <c r="F25" s="23" t="s">
        <v>11</v>
      </c>
      <c r="G25" s="23" t="s">
        <v>11</v>
      </c>
      <c r="H25" s="23" t="s">
        <v>11</v>
      </c>
    </row>
    <row r="26" spans="1:8" x14ac:dyDescent="0.25">
      <c r="A26" s="8" t="s">
        <v>42</v>
      </c>
      <c r="B26" s="23"/>
      <c r="C26" s="23"/>
      <c r="D26" s="23"/>
      <c r="E26" s="23"/>
      <c r="F26" s="23"/>
      <c r="G26" s="23" t="s">
        <v>11</v>
      </c>
      <c r="H26" s="23" t="s">
        <v>11</v>
      </c>
    </row>
    <row r="27" spans="1:8" x14ac:dyDescent="0.25">
      <c r="A27" s="8" t="s">
        <v>43</v>
      </c>
      <c r="B27" s="23"/>
      <c r="C27" s="23"/>
      <c r="D27" s="23"/>
      <c r="E27" s="23"/>
      <c r="F27" s="23"/>
      <c r="G27" s="23" t="s">
        <v>11</v>
      </c>
      <c r="H27" s="23" t="s">
        <v>11</v>
      </c>
    </row>
    <row r="28" spans="1:8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8" t="s">
        <v>45</v>
      </c>
      <c r="B29" s="23"/>
      <c r="C29" s="23"/>
      <c r="D29" s="23"/>
      <c r="E29" s="23" t="s">
        <v>11</v>
      </c>
      <c r="F29" s="23"/>
      <c r="G29" s="23" t="s">
        <v>11</v>
      </c>
      <c r="H29" s="23" t="s">
        <v>11</v>
      </c>
    </row>
    <row r="30" spans="1:8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8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8" x14ac:dyDescent="0.25">
      <c r="A32" s="8" t="s">
        <v>48</v>
      </c>
      <c r="B32" s="23"/>
      <c r="C32" s="23" t="s">
        <v>11</v>
      </c>
      <c r="D32" s="23" t="s">
        <v>11</v>
      </c>
      <c r="E32" s="23" t="s">
        <v>11</v>
      </c>
      <c r="F32" s="23" t="s">
        <v>11</v>
      </c>
      <c r="G32" s="23" t="s">
        <v>11</v>
      </c>
      <c r="H32" s="23" t="s">
        <v>11</v>
      </c>
    </row>
    <row r="33" spans="1:8" x14ac:dyDescent="0.25">
      <c r="A33" s="8" t="s">
        <v>49</v>
      </c>
      <c r="B33" s="23"/>
      <c r="C33" s="23"/>
      <c r="D33" s="23" t="s">
        <v>11</v>
      </c>
      <c r="E33" s="23" t="s">
        <v>11</v>
      </c>
      <c r="F33" s="23"/>
      <c r="G33" s="23" t="s">
        <v>11</v>
      </c>
      <c r="H33" s="23" t="s">
        <v>11</v>
      </c>
    </row>
    <row r="34" spans="1:8" x14ac:dyDescent="0.25">
      <c r="A34" s="8" t="s">
        <v>50</v>
      </c>
      <c r="B34" s="23"/>
      <c r="C34" s="23"/>
      <c r="D34" s="23"/>
      <c r="E34" s="23"/>
      <c r="F34" s="23"/>
      <c r="G34" s="23" t="s">
        <v>11</v>
      </c>
      <c r="H34" s="23" t="s">
        <v>11</v>
      </c>
    </row>
    <row r="35" spans="1:8" x14ac:dyDescent="0.25">
      <c r="A35" s="8" t="s">
        <v>51</v>
      </c>
      <c r="B35" s="23"/>
      <c r="C35" s="23"/>
      <c r="D35" s="23"/>
      <c r="E35" s="23"/>
      <c r="F35" s="23" t="s">
        <v>11</v>
      </c>
      <c r="G35" s="23" t="s">
        <v>11</v>
      </c>
      <c r="H35" s="23" t="s">
        <v>11</v>
      </c>
    </row>
    <row r="36" spans="1:8" x14ac:dyDescent="0.25">
      <c r="A36" s="8" t="s">
        <v>52</v>
      </c>
      <c r="B36" s="23"/>
      <c r="C36" s="23"/>
      <c r="D36" s="23" t="s">
        <v>11</v>
      </c>
      <c r="E36" s="23" t="s">
        <v>11</v>
      </c>
      <c r="F36" s="23"/>
      <c r="G36" s="23" t="s">
        <v>11</v>
      </c>
      <c r="H36" s="23" t="s">
        <v>11</v>
      </c>
    </row>
    <row r="37" spans="1:8" x14ac:dyDescent="0.25">
      <c r="A37" s="8" t="s">
        <v>53</v>
      </c>
      <c r="B37" s="23"/>
      <c r="C37" s="23"/>
      <c r="D37" s="23"/>
      <c r="E37" s="23" t="s">
        <v>11</v>
      </c>
      <c r="F37" s="23" t="s">
        <v>11</v>
      </c>
      <c r="G37" s="23" t="s">
        <v>11</v>
      </c>
      <c r="H37" s="23" t="s">
        <v>11</v>
      </c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 t="s">
        <v>11</v>
      </c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 t="s">
        <v>12</v>
      </c>
      <c r="H44" s="23" t="s">
        <v>12</v>
      </c>
    </row>
    <row r="45" spans="1:8" x14ac:dyDescent="0.25">
      <c r="A45" s="8" t="s">
        <v>61</v>
      </c>
      <c r="B45" s="23"/>
      <c r="C45" s="23" t="s">
        <v>7</v>
      </c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 t="s">
        <v>9</v>
      </c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461" priority="24" operator="containsText" text="Pivô">
      <formula>NOT(ISERROR(SEARCH("Pivô",A1)))</formula>
    </cfRule>
    <cfRule type="containsText" dxfId="1460" priority="25" operator="containsText" text="Pivô">
      <formula>NOT(ISERROR(SEARCH("Pivô",A1)))</formula>
    </cfRule>
  </conditionalFormatting>
  <conditionalFormatting sqref="B5:H109">
    <cfRule type="containsText" dxfId="1459" priority="17" operator="containsText" text="Cardã">
      <formula>NOT(ISERROR(SEARCH("Cardã",B5)))</formula>
    </cfRule>
    <cfRule type="containsText" dxfId="1458" priority="18" operator="containsText" text="Pneu">
      <formula>NOT(ISERROR(SEARCH("Pneu",B5)))</formula>
    </cfRule>
    <cfRule type="containsText" dxfId="1457" priority="19" operator="containsText" text="Vedação">
      <formula>NOT(ISERROR(SEARCH("Vedação",B5)))</formula>
    </cfRule>
    <cfRule type="containsText" dxfId="1456" priority="20" operator="containsText" text="Retentor">
      <formula>NOT(ISERROR(SEARCH("Retentor",B5)))</formula>
    </cfRule>
    <cfRule type="containsText" dxfId="1455" priority="21" operator="containsText" text="Motorredutor">
      <formula>NOT(ISERROR(SEARCH("Motorredutor",B5)))</formula>
    </cfRule>
    <cfRule type="containsText" dxfId="1454" priority="22" operator="containsText" text="Redutor">
      <formula>NOT(ISERROR(SEARCH("Redutor",B5)))</formula>
    </cfRule>
    <cfRule type="containsText" dxfId="1453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8F0610DE-E46C-4056-85E7-81941A0B7EAA}">
      <formula1>$J$5:$J$15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A13E09D-1E45-4B7A-9D79-FE3B80F835EA}">
            <xm:f>NOT(ISERROR(SEARCH($J$15,B5)))</xm:f>
            <xm:f>$J$15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14:cfRule type="containsText" priority="3" operator="containsText" id="{40BAAE8A-0D18-42E7-91A2-25338CAAE1C0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A67445AF-D440-4D6E-9E64-E18B1B4F314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114D8898-D6F4-4579-8398-0C52C73CC358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16758844-CB76-419D-91B1-3C5EF4729FB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2AF5C88E-3680-4706-9FB1-CDA3B1EEC65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6B929EC1-18A3-4D72-8D03-584C89A5B82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7E69E139-2C2E-43DD-AAF9-B9339BD2765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0D20ED28-730F-4C33-BB9C-46F659863D8E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A8A12230-EFF1-482B-A363-72CA2951980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3C325C64-3E4F-456B-A90E-011976D9BD1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788D5B5C-3EF6-41AA-B373-63D5129D210E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326F611B-23EC-442E-97E7-FD0445648ED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0BA77D3C-D6F8-470E-A5ED-F1707624935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6" operator="containsText" id="{F041EE7F-32F6-49E1-BD3B-835DB582A5C0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2340859E-F79E-4F6D-B92C-523FAFB5508F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61B5-A859-4B92-B996-B026F55F5633}">
  <sheetPr>
    <tabColor theme="4"/>
    <pageSetUpPr fitToPage="1"/>
  </sheetPr>
  <dimension ref="A1:P109"/>
  <sheetViews>
    <sheetView showGridLines="0" zoomScale="115" zoomScaleNormal="115" workbookViewId="0">
      <pane ySplit="4" topLeftCell="A5" activePane="bottomLeft" state="frozen"/>
      <selection pane="bottomLeft" activeCell="D17" sqref="D17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44977</v>
      </c>
      <c r="C3" s="25">
        <f>B3+1</f>
        <v>44978</v>
      </c>
      <c r="D3" s="25">
        <f t="shared" ref="D3:H3" si="0">C3+1</f>
        <v>44979</v>
      </c>
      <c r="E3" s="25">
        <f t="shared" si="0"/>
        <v>44980</v>
      </c>
      <c r="F3" s="25">
        <f t="shared" si="0"/>
        <v>44981</v>
      </c>
      <c r="G3" s="25">
        <f t="shared" si="0"/>
        <v>44982</v>
      </c>
      <c r="H3" s="25">
        <f t="shared" si="0"/>
        <v>44983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4" si="2">COUNTIF($B$5:$H$109,J5)</f>
        <v>7</v>
      </c>
      <c r="L5" s="39">
        <f t="shared" ref="L5:L16" si="3">K5/$K$17</f>
        <v>0.14583333333333334</v>
      </c>
      <c r="M5" s="54">
        <f>B3</f>
        <v>44977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 t="s">
        <v>4</v>
      </c>
      <c r="J6" s="12" t="s">
        <v>4</v>
      </c>
      <c r="K6" s="40">
        <f t="shared" si="2"/>
        <v>6</v>
      </c>
      <c r="L6" s="41">
        <f t="shared" si="3"/>
        <v>0.125</v>
      </c>
      <c r="M6" s="54"/>
    </row>
    <row r="7" spans="1:16" x14ac:dyDescent="0.25">
      <c r="A7" s="8" t="s">
        <v>21</v>
      </c>
      <c r="B7" s="23"/>
      <c r="C7" s="23"/>
      <c r="D7" s="23" t="s">
        <v>4</v>
      </c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5</v>
      </c>
      <c r="L9" s="41">
        <f t="shared" si="3"/>
        <v>0.10416666666666667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2.0833333333333332E-2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4</v>
      </c>
      <c r="L12" s="41">
        <f t="shared" si="3"/>
        <v>8.3333333333333329E-2</v>
      </c>
    </row>
    <row r="13" spans="1:16" x14ac:dyDescent="0.25">
      <c r="A13" s="8" t="s">
        <v>29</v>
      </c>
      <c r="B13" s="23" t="s">
        <v>11</v>
      </c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13</v>
      </c>
      <c r="L13" s="41">
        <f t="shared" si="3"/>
        <v>0.27083333333333331</v>
      </c>
    </row>
    <row r="14" spans="1:16" x14ac:dyDescent="0.25">
      <c r="A14" s="8" t="s">
        <v>30</v>
      </c>
      <c r="B14" s="23"/>
      <c r="C14" s="23"/>
      <c r="D14" s="23"/>
      <c r="E14" s="23" t="s">
        <v>4</v>
      </c>
      <c r="F14" s="23"/>
      <c r="G14" s="23"/>
      <c r="H14" s="23"/>
      <c r="J14" s="37" t="s">
        <v>12</v>
      </c>
      <c r="K14" s="42">
        <f t="shared" si="2"/>
        <v>9</v>
      </c>
      <c r="L14" s="43">
        <f t="shared" si="3"/>
        <v>0.1875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>COUNTIF($B$5:$H$109,J15)</f>
        <v>3</v>
      </c>
      <c r="L15" s="41">
        <f t="shared" si="3"/>
        <v>6.25E-2</v>
      </c>
    </row>
    <row r="16" spans="1:16" x14ac:dyDescent="0.25">
      <c r="A16" s="8" t="s">
        <v>32</v>
      </c>
      <c r="B16" s="23" t="s">
        <v>3</v>
      </c>
      <c r="C16" s="23"/>
      <c r="D16" s="23"/>
      <c r="E16" s="23"/>
      <c r="F16" s="23"/>
      <c r="G16" s="23"/>
      <c r="H16" s="23"/>
      <c r="J16" s="59" t="s">
        <v>132</v>
      </c>
      <c r="K16" s="42">
        <f t="shared" ref="K16" si="4">COUNTIF($B$5:$H$109,J16)</f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48</v>
      </c>
    </row>
    <row r="18" spans="1:11" x14ac:dyDescent="0.25">
      <c r="A18" s="8" t="s">
        <v>34</v>
      </c>
      <c r="B18" s="23" t="s">
        <v>11</v>
      </c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 t="s">
        <v>12</v>
      </c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 t="s">
        <v>10</v>
      </c>
      <c r="H22" s="23" t="s">
        <v>10</v>
      </c>
    </row>
    <row r="23" spans="1:11" x14ac:dyDescent="0.25">
      <c r="A23" s="8" t="s">
        <v>39</v>
      </c>
      <c r="B23" s="23"/>
      <c r="C23" s="23"/>
      <c r="D23" s="23" t="s">
        <v>3</v>
      </c>
      <c r="E23" s="23" t="s">
        <v>3</v>
      </c>
      <c r="F23" s="23" t="s">
        <v>3</v>
      </c>
      <c r="G23" s="23"/>
      <c r="H23" s="23"/>
    </row>
    <row r="24" spans="1:11" x14ac:dyDescent="0.25">
      <c r="A24" s="8" t="s">
        <v>40</v>
      </c>
      <c r="B24" s="23" t="s">
        <v>10</v>
      </c>
      <c r="C24" s="23" t="s">
        <v>10</v>
      </c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 t="s">
        <v>11</v>
      </c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 t="s">
        <v>11</v>
      </c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 t="s">
        <v>11</v>
      </c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 t="s">
        <v>11</v>
      </c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 t="s">
        <v>11</v>
      </c>
      <c r="C32" s="23" t="s">
        <v>11</v>
      </c>
      <c r="D32" s="23" t="s">
        <v>3</v>
      </c>
      <c r="E32" s="23" t="s">
        <v>3</v>
      </c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 t="s">
        <v>3</v>
      </c>
      <c r="H33" s="23"/>
    </row>
    <row r="34" spans="1:8" x14ac:dyDescent="0.25">
      <c r="A34" s="8" t="s">
        <v>50</v>
      </c>
      <c r="B34" s="23" t="s">
        <v>11</v>
      </c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 t="s">
        <v>11</v>
      </c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 t="s">
        <v>11</v>
      </c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 t="s">
        <v>11</v>
      </c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 t="s">
        <v>11</v>
      </c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 t="s">
        <v>12</v>
      </c>
      <c r="C44" s="23" t="s">
        <v>12</v>
      </c>
      <c r="D44" s="23" t="s">
        <v>12</v>
      </c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 t="s">
        <v>7</v>
      </c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 t="s">
        <v>7</v>
      </c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 t="s">
        <v>12</v>
      </c>
      <c r="D52" s="23" t="s">
        <v>12</v>
      </c>
      <c r="E52" s="23" t="s">
        <v>12</v>
      </c>
      <c r="F52" s="23" t="s">
        <v>12</v>
      </c>
      <c r="G52" s="23" t="s">
        <v>12</v>
      </c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 t="s">
        <v>171</v>
      </c>
      <c r="F74" s="23"/>
      <c r="G74" s="23"/>
      <c r="H74" s="23" t="s">
        <v>7</v>
      </c>
    </row>
    <row r="75" spans="1:8" x14ac:dyDescent="0.25">
      <c r="A75" s="8" t="s">
        <v>168</v>
      </c>
      <c r="B75" s="23"/>
      <c r="C75" s="23"/>
      <c r="D75" s="23"/>
      <c r="E75" s="23" t="s">
        <v>171</v>
      </c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 t="s">
        <v>171</v>
      </c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 t="s">
        <v>4</v>
      </c>
      <c r="C79" s="23" t="s">
        <v>4</v>
      </c>
      <c r="D79" s="23" t="s">
        <v>4</v>
      </c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 t="s">
        <v>9</v>
      </c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 t="s">
        <v>7</v>
      </c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 t="s">
        <v>7</v>
      </c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436" priority="24" operator="containsText" text="Pivô">
      <formula>NOT(ISERROR(SEARCH("Pivô",A1)))</formula>
    </cfRule>
    <cfRule type="containsText" dxfId="1435" priority="25" operator="containsText" text="Pivô">
      <formula>NOT(ISERROR(SEARCH("Pivô",A1)))</formula>
    </cfRule>
  </conditionalFormatting>
  <conditionalFormatting sqref="B5:H109">
    <cfRule type="containsText" dxfId="1434" priority="17" operator="containsText" text="Cardã">
      <formula>NOT(ISERROR(SEARCH("Cardã",B5)))</formula>
    </cfRule>
    <cfRule type="containsText" dxfId="1433" priority="18" operator="containsText" text="Pneu">
      <formula>NOT(ISERROR(SEARCH("Pneu",B5)))</formula>
    </cfRule>
    <cfRule type="containsText" dxfId="1432" priority="19" operator="containsText" text="Vedação">
      <formula>NOT(ISERROR(SEARCH("Vedação",B5)))</formula>
    </cfRule>
    <cfRule type="containsText" dxfId="1431" priority="20" operator="containsText" text="Retentor">
      <formula>NOT(ISERROR(SEARCH("Retentor",B5)))</formula>
    </cfRule>
    <cfRule type="containsText" dxfId="1430" priority="21" operator="containsText" text="Motorredutor">
      <formula>NOT(ISERROR(SEARCH("Motorredutor",B5)))</formula>
    </cfRule>
    <cfRule type="containsText" dxfId="1429" priority="22" operator="containsText" text="Redutor">
      <formula>NOT(ISERROR(SEARCH("Redutor",B5)))</formula>
    </cfRule>
    <cfRule type="containsText" dxfId="1428" priority="23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0A66C966-19E9-45F5-B9AC-C1DA2C8AFB68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A9AD94E2-710C-4D25-A6A8-36A2892D4F61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" operator="containsText" id="{99581669-D937-41D9-A9FF-51D45F4E176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5" operator="containsText" id="{EE2F6582-A104-44AD-A7B6-CC3AD671DA7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6" operator="containsText" id="{029B676B-EB1A-41B1-84DC-7EEE3F944D2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7" operator="containsText" id="{832EFFCF-1FC3-498B-B271-E44CE4EDC90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437BE502-9517-4E9D-BEC6-9864A79EE32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CCF86ADA-01C4-48AD-BE9B-5AB8E502C86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1" operator="containsText" id="{98EE320B-B1D5-43E0-AE58-372A22E7BE5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2" operator="containsText" id="{F5A50BFE-60B3-4D72-A4CD-DBED3AA09A5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3" operator="containsText" id="{FC410577-BE14-4431-85F9-E4494DF6E7E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4" operator="containsText" id="{FB1C221F-B097-400E-9EF1-DA1C8EE0A2D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5" operator="containsText" id="{454DC336-A7EA-4C7A-B828-FCD647A1B5E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6" operator="containsText" id="{0B67AFEB-45C5-4C40-B432-3A0B5BCCB93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39" operator="containsText" id="{3FFEF411-BEF9-46AF-ABFC-B4EEEA37AEF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6" operator="containsText" id="{26B921E8-7DC6-43CE-B4BC-2085AC42289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2" operator="containsText" id="{E35F4945-52BC-4452-B5EB-85EA6BFDDE1B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FDF4-DBF8-4F9F-B0F6-389EE6CCF702}">
  <sheetPr>
    <tabColor theme="4"/>
    <pageSetUpPr fitToPage="1"/>
  </sheetPr>
  <dimension ref="A1:P109"/>
  <sheetViews>
    <sheetView showGridLines="0" zoomScale="115" zoomScaleNormal="115" workbookViewId="0">
      <pane ySplit="4" topLeftCell="A5" activePane="bottomLeft" state="frozen"/>
      <selection pane="bottomLeft" activeCell="J5" sqref="J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44984</v>
      </c>
      <c r="C3" s="25">
        <f>B3+1</f>
        <v>44985</v>
      </c>
      <c r="D3" s="25">
        <f t="shared" ref="D3:H3" si="0">C3+1</f>
        <v>44986</v>
      </c>
      <c r="E3" s="25">
        <f t="shared" si="0"/>
        <v>44987</v>
      </c>
      <c r="F3" s="25">
        <f t="shared" si="0"/>
        <v>44988</v>
      </c>
      <c r="G3" s="25">
        <f t="shared" si="0"/>
        <v>44989</v>
      </c>
      <c r="H3" s="25">
        <f t="shared" si="0"/>
        <v>44990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 t="s">
        <v>3</v>
      </c>
      <c r="H5" s="20"/>
      <c r="J5" s="35" t="s">
        <v>3</v>
      </c>
      <c r="K5" s="38">
        <f t="shared" ref="K5:K14" si="2">COUNTIF($B$5:$H$109,J5)</f>
        <v>6</v>
      </c>
      <c r="L5" s="39">
        <f t="shared" ref="L5:L16" si="3">K5/$K$17</f>
        <v>0.22222222222222221</v>
      </c>
      <c r="M5" s="54">
        <f>B3</f>
        <v>44984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3.7037037037037035E-2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3.7037037037037035E-2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4</v>
      </c>
      <c r="L11" s="41">
        <f t="shared" si="3"/>
        <v>0.14814814814814814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3.7037037037037035E-2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13</v>
      </c>
      <c r="L13" s="41">
        <f t="shared" si="3"/>
        <v>0.48148148148148145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1</v>
      </c>
      <c r="L14" s="43">
        <f t="shared" si="3"/>
        <v>3.7037037037037035E-2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>COUNTIF($B$5:$H$109,J15)</f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ref="K16" si="4">COUNTIF($B$5:$H$109,J16)</f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27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 t="s">
        <v>9</v>
      </c>
      <c r="E21" s="23"/>
      <c r="F21" s="23"/>
      <c r="G21" s="23"/>
      <c r="H21" s="23"/>
    </row>
    <row r="22" spans="1:11" x14ac:dyDescent="0.25">
      <c r="A22" s="8" t="s">
        <v>38</v>
      </c>
      <c r="B22" s="23" t="s">
        <v>10</v>
      </c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 t="s">
        <v>11</v>
      </c>
      <c r="E29" s="23" t="s">
        <v>11</v>
      </c>
      <c r="F29" s="23"/>
      <c r="G29" s="23"/>
      <c r="H29" s="23"/>
    </row>
    <row r="30" spans="1:11" x14ac:dyDescent="0.25">
      <c r="A30" s="8" t="s">
        <v>46</v>
      </c>
      <c r="B30" s="23"/>
      <c r="C30" s="23"/>
      <c r="D30" s="23" t="s">
        <v>11</v>
      </c>
      <c r="E30" s="23" t="s">
        <v>11</v>
      </c>
      <c r="F30" s="23"/>
      <c r="G30" s="23"/>
      <c r="H30" s="23" t="s">
        <v>3</v>
      </c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 t="s">
        <v>11</v>
      </c>
      <c r="E32" s="23" t="s">
        <v>11</v>
      </c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 t="s">
        <v>11</v>
      </c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 t="s">
        <v>11</v>
      </c>
      <c r="E35" s="23" t="s">
        <v>11</v>
      </c>
      <c r="F35" s="23"/>
      <c r="G35" s="23"/>
      <c r="H35" s="23"/>
    </row>
    <row r="36" spans="1:8" x14ac:dyDescent="0.25">
      <c r="A36" s="8" t="s">
        <v>52</v>
      </c>
      <c r="B36" s="23"/>
      <c r="C36" s="23" t="s">
        <v>5</v>
      </c>
      <c r="D36" s="23" t="s">
        <v>11</v>
      </c>
      <c r="E36" s="23" t="s">
        <v>11</v>
      </c>
      <c r="F36" s="23"/>
      <c r="G36" s="23"/>
      <c r="H36" s="23" t="s">
        <v>3</v>
      </c>
    </row>
    <row r="37" spans="1:8" x14ac:dyDescent="0.25">
      <c r="A37" s="8" t="s">
        <v>53</v>
      </c>
      <c r="B37" s="23"/>
      <c r="C37" s="23"/>
      <c r="D37" s="23"/>
      <c r="E37" s="23" t="s">
        <v>11</v>
      </c>
      <c r="F37" s="23"/>
      <c r="G37" s="23"/>
      <c r="H37" s="23"/>
    </row>
    <row r="38" spans="1:8" x14ac:dyDescent="0.25">
      <c r="A38" s="8" t="s">
        <v>54</v>
      </c>
      <c r="B38" s="23"/>
      <c r="C38" s="23"/>
      <c r="D38" s="23" t="s">
        <v>11</v>
      </c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 t="s">
        <v>7</v>
      </c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 t="s">
        <v>12</v>
      </c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 t="s">
        <v>9</v>
      </c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 t="s">
        <v>9</v>
      </c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 t="s">
        <v>3</v>
      </c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 t="s">
        <v>9</v>
      </c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 t="s">
        <v>3</v>
      </c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 t="s">
        <v>3</v>
      </c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411" priority="23" operator="containsText" text="Pivô">
      <formula>NOT(ISERROR(SEARCH("Pivô",A1)))</formula>
    </cfRule>
    <cfRule type="containsText" dxfId="1410" priority="24" operator="containsText" text="Pivô">
      <formula>NOT(ISERROR(SEARCH("Pivô",A1)))</formula>
    </cfRule>
  </conditionalFormatting>
  <conditionalFormatting sqref="B5:H109">
    <cfRule type="containsText" dxfId="1409" priority="16" operator="containsText" text="Cardã">
      <formula>NOT(ISERROR(SEARCH("Cardã",B5)))</formula>
    </cfRule>
    <cfRule type="containsText" dxfId="1408" priority="17" operator="containsText" text="Pneu">
      <formula>NOT(ISERROR(SEARCH("Pneu",B5)))</formula>
    </cfRule>
    <cfRule type="containsText" dxfId="1407" priority="18" operator="containsText" text="Vedação">
      <formula>NOT(ISERROR(SEARCH("Vedação",B5)))</formula>
    </cfRule>
    <cfRule type="containsText" dxfId="1406" priority="19" operator="containsText" text="Retentor">
      <formula>NOT(ISERROR(SEARCH("Retentor",B5)))</formula>
    </cfRule>
    <cfRule type="containsText" dxfId="1405" priority="20" operator="containsText" text="Motorredutor">
      <formula>NOT(ISERROR(SEARCH("Motorredutor",B5)))</formula>
    </cfRule>
    <cfRule type="containsText" dxfId="1404" priority="21" operator="containsText" text="Redutor">
      <formula>NOT(ISERROR(SEARCH("Redutor",B5)))</formula>
    </cfRule>
    <cfRule type="containsText" dxfId="1403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D754CC5-B57C-458D-BFED-BBD8A03AFE5C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159FE29-0850-4532-86A5-163FEF871F2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D604B1D-EE7E-472E-BBC6-C0A6F9D6065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BBB718F-E97B-4EDB-8129-27BFCBE60E81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D1086D63-BC61-4DE7-AE42-88AE607FBE8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B070C463-CE09-423C-B4CD-2CB945BB194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55CE34CD-BBBA-497E-8C1F-39E02673CCCB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F71923D4-0B6F-45F7-8AEA-16FFCFA92EC0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4ACB018E-6EE8-43C4-8360-9F71D65D5B1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776C7FA0-7E47-491D-99CD-EEFB6DB908D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0DA85382-4B3D-4D44-80AD-34DCD5853EF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3B735CBD-0F48-4548-A604-801917D0201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10490C19-5BA2-4F8D-A6CF-7261BE39500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3B0C8C9F-456D-418F-B5CD-FB52C3F734B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72191C8E-F4FA-4B47-8E45-F451C13FF6B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2B96AF53-8874-4623-B6F9-1CEFB6088FC3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7BC8B4C9-F057-420A-9424-EA39CF269336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818-003D-4E9D-B086-3F4EB8C928D6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170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44991</v>
      </c>
      <c r="C3" s="25">
        <f>B3+1</f>
        <v>44992</v>
      </c>
      <c r="D3" s="25">
        <f t="shared" ref="D3:H3" si="0">C3+1</f>
        <v>44993</v>
      </c>
      <c r="E3" s="25">
        <f t="shared" si="0"/>
        <v>44994</v>
      </c>
      <c r="F3" s="25">
        <f t="shared" si="0"/>
        <v>44995</v>
      </c>
      <c r="G3" s="25">
        <f t="shared" si="0"/>
        <v>44996</v>
      </c>
      <c r="H3" s="25">
        <f t="shared" si="0"/>
        <v>44997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4" si="2">COUNTIF($B$5:$H$109,J5)</f>
        <v>5</v>
      </c>
      <c r="L5" s="39">
        <f t="shared" ref="L5:L16" si="3">K5/$K$17</f>
        <v>0.33333333333333331</v>
      </c>
      <c r="M5" s="54">
        <f>B3</f>
        <v>44991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5</v>
      </c>
      <c r="L9" s="41">
        <f t="shared" si="3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2</v>
      </c>
      <c r="L10" s="41">
        <f t="shared" si="3"/>
        <v>0.13333333333333333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2</v>
      </c>
      <c r="L11" s="41">
        <f t="shared" si="3"/>
        <v>0.13333333333333333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1</v>
      </c>
      <c r="L13" s="41">
        <f t="shared" si="3"/>
        <v>6.6666666666666666E-2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>COUNTIF($B$5:$H$109,J15)</f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ref="K16" si="4">COUNTIF($B$5:$H$109,J16)</f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15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 t="s">
        <v>8</v>
      </c>
      <c r="H32" s="23" t="s">
        <v>8</v>
      </c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7</v>
      </c>
      <c r="D36" s="23"/>
      <c r="E36" s="23"/>
      <c r="F36" s="23" t="s">
        <v>3</v>
      </c>
      <c r="G36" s="23" t="s">
        <v>3</v>
      </c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 t="s">
        <v>3</v>
      </c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 t="s">
        <v>7</v>
      </c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 t="s">
        <v>7</v>
      </c>
      <c r="H50" s="23"/>
    </row>
    <row r="51" spans="1:8" x14ac:dyDescent="0.25">
      <c r="A51" s="8" t="s">
        <v>67</v>
      </c>
      <c r="B51" s="23"/>
      <c r="C51" s="23"/>
      <c r="D51" s="23"/>
      <c r="E51" s="23" t="s">
        <v>3</v>
      </c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 t="s">
        <v>7</v>
      </c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 t="s">
        <v>9</v>
      </c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 t="s">
        <v>9</v>
      </c>
      <c r="D72" s="23"/>
      <c r="E72" s="23"/>
      <c r="F72" s="23"/>
      <c r="G72" s="23"/>
      <c r="H72" s="23" t="s">
        <v>7</v>
      </c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 t="s">
        <v>11</v>
      </c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 t="s">
        <v>3</v>
      </c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386" priority="23" operator="containsText" text="Pivô">
      <formula>NOT(ISERROR(SEARCH("Pivô",A1)))</formula>
    </cfRule>
    <cfRule type="containsText" dxfId="1385" priority="24" operator="containsText" text="Pivô">
      <formula>NOT(ISERROR(SEARCH("Pivô",A1)))</formula>
    </cfRule>
  </conditionalFormatting>
  <conditionalFormatting sqref="B5:H109">
    <cfRule type="containsText" dxfId="1384" priority="16" operator="containsText" text="Cardã">
      <formula>NOT(ISERROR(SEARCH("Cardã",B5)))</formula>
    </cfRule>
    <cfRule type="containsText" dxfId="1383" priority="17" operator="containsText" text="Pneu">
      <formula>NOT(ISERROR(SEARCH("Pneu",B5)))</formula>
    </cfRule>
    <cfRule type="containsText" dxfId="1382" priority="18" operator="containsText" text="Vedação">
      <formula>NOT(ISERROR(SEARCH("Vedação",B5)))</formula>
    </cfRule>
    <cfRule type="containsText" dxfId="1381" priority="19" operator="containsText" text="Retentor">
      <formula>NOT(ISERROR(SEARCH("Retentor",B5)))</formula>
    </cfRule>
    <cfRule type="containsText" dxfId="1380" priority="20" operator="containsText" text="Motorredutor">
      <formula>NOT(ISERROR(SEARCH("Motorredutor",B5)))</formula>
    </cfRule>
    <cfRule type="containsText" dxfId="1379" priority="21" operator="containsText" text="Redutor">
      <formula>NOT(ISERROR(SEARCH("Redutor",B5)))</formula>
    </cfRule>
    <cfRule type="containsText" dxfId="1378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7493A7D4-4E8D-45CD-A6D1-9151742256F3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37F8E66-34C9-40BD-919D-97A67A28580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98CABB2D-0ED4-4429-BE0A-2794742F82E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B01A04B0-C6E0-46D1-9C02-B1191AEEE4E8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DE3AE776-DC5A-4376-9D49-42315235E76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3A1B26AE-FE7F-4A8D-BFBE-A0E480E5DF3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E2794839-B508-442E-BF44-78B4841F098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A11EE9E8-C271-4D66-8486-3010B481886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7221BAFC-BCD2-4597-8BF6-AEC2ABEDFFD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685D564C-E55C-49FC-B51C-136142C9FDE5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3EBEB8F7-2ED9-4D5E-80E6-E7B0EE4DADB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81389B73-8111-454B-9D65-8F087EA9D5F3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F1D700EE-3DE3-49CD-9D7D-E6481802780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6BC25DB0-E0F4-4590-A3CB-D6DB9DDAC72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7EDC380E-D5C0-43C3-8B66-60C907E2FE1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DE1E9F02-1B96-4608-93FE-C560FFF765D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6EAEC48F-93CF-4396-A0C7-1AEFBB0835F6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6C99-5841-42DD-B992-CB99EC019A23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44998</v>
      </c>
      <c r="C3" s="25">
        <f>B3+1</f>
        <v>44999</v>
      </c>
      <c r="D3" s="25">
        <f t="shared" ref="D3:H3" si="0">C3+1</f>
        <v>45000</v>
      </c>
      <c r="E3" s="25">
        <f t="shared" si="0"/>
        <v>45001</v>
      </c>
      <c r="F3" s="25">
        <f t="shared" si="0"/>
        <v>45002</v>
      </c>
      <c r="G3" s="25">
        <f t="shared" si="0"/>
        <v>45003</v>
      </c>
      <c r="H3" s="25">
        <f t="shared" si="0"/>
        <v>45004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4" si="2">COUNTIF($B$5:$H$109,J5)</f>
        <v>2</v>
      </c>
      <c r="L5" s="39">
        <f t="shared" ref="L5:L16" si="3">K5/$K$17</f>
        <v>0.15384615384615385</v>
      </c>
      <c r="M5" s="54">
        <f>B3</f>
        <v>44998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2</v>
      </c>
      <c r="L6" s="41">
        <f t="shared" si="3"/>
        <v>0.15384615384615385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7</v>
      </c>
      <c r="L9" s="41">
        <f t="shared" si="3"/>
        <v>0.53846153846153844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2</v>
      </c>
      <c r="L10" s="41">
        <f t="shared" si="3"/>
        <v>0.15384615384615385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>COUNTIF($B$5:$H$109,J15)</f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ref="K16" si="4">COUNTIF($B$5:$H$109,J16)</f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13</v>
      </c>
    </row>
    <row r="18" spans="1:11" x14ac:dyDescent="0.25">
      <c r="A18" s="8" t="s">
        <v>34</v>
      </c>
      <c r="B18" s="23"/>
      <c r="C18" s="23"/>
      <c r="D18" s="23" t="s">
        <v>3</v>
      </c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 t="s">
        <v>3</v>
      </c>
      <c r="E20" s="23"/>
      <c r="F20" s="23"/>
      <c r="G20" s="23"/>
      <c r="H20" s="23"/>
    </row>
    <row r="21" spans="1:11" x14ac:dyDescent="0.25">
      <c r="A21" s="8" t="s">
        <v>37</v>
      </c>
      <c r="B21" s="23"/>
      <c r="C21" s="23" t="s">
        <v>4</v>
      </c>
      <c r="D21" s="23" t="s">
        <v>4</v>
      </c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 t="s">
        <v>8</v>
      </c>
      <c r="C32" s="23" t="s">
        <v>8</v>
      </c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 t="s">
        <v>7</v>
      </c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 t="s">
        <v>7</v>
      </c>
      <c r="C62" s="23" t="s">
        <v>7</v>
      </c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 t="s">
        <v>7</v>
      </c>
      <c r="C65" s="23" t="s">
        <v>7</v>
      </c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 t="s">
        <v>7</v>
      </c>
      <c r="C101" s="23" t="s">
        <v>7</v>
      </c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361" priority="23" operator="containsText" text="Pivô">
      <formula>NOT(ISERROR(SEARCH("Pivô",A1)))</formula>
    </cfRule>
    <cfRule type="containsText" dxfId="1360" priority="24" operator="containsText" text="Pivô">
      <formula>NOT(ISERROR(SEARCH("Pivô",A1)))</formula>
    </cfRule>
  </conditionalFormatting>
  <conditionalFormatting sqref="B5:H109">
    <cfRule type="containsText" dxfId="1359" priority="16" operator="containsText" text="Cardã">
      <formula>NOT(ISERROR(SEARCH("Cardã",B5)))</formula>
    </cfRule>
    <cfRule type="containsText" dxfId="1358" priority="17" operator="containsText" text="Pneu">
      <formula>NOT(ISERROR(SEARCH("Pneu",B5)))</formula>
    </cfRule>
    <cfRule type="containsText" dxfId="1357" priority="18" operator="containsText" text="Vedação">
      <formula>NOT(ISERROR(SEARCH("Vedação",B5)))</formula>
    </cfRule>
    <cfRule type="containsText" dxfId="1356" priority="19" operator="containsText" text="Retentor">
      <formula>NOT(ISERROR(SEARCH("Retentor",B5)))</formula>
    </cfRule>
    <cfRule type="containsText" dxfId="1355" priority="20" operator="containsText" text="Motorredutor">
      <formula>NOT(ISERROR(SEARCH("Motorredutor",B5)))</formula>
    </cfRule>
    <cfRule type="containsText" dxfId="1354" priority="21" operator="containsText" text="Redutor">
      <formula>NOT(ISERROR(SEARCH("Redutor",B5)))</formula>
    </cfRule>
    <cfRule type="containsText" dxfId="1353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7F9E28B5-D517-46E8-BA6F-4354BE6A77C2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F7484333-2425-437B-B065-5DD3ECC8E1A8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07A3DC3F-7225-4493-8D86-003EEB05C4C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202DF4C2-A015-4B3E-8DE6-445AFC864090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2BB7D18-DC92-49FE-8219-F776FE9755A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3685F59-9927-4FF0-9C48-92634A7C485D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8E0200FF-7E9B-4E42-8863-0CCF4EEF260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E1B47B00-84B6-4F7E-A6EE-8ECA74110EB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92CA9E1A-A098-4CC1-AAD6-741A130FF42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77610DEA-68C9-46B0-B737-B36F6B23A2C1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F96819CF-E334-4D89-B4D1-92A85AAE9F0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CE1D74F1-69A5-409E-994F-83460836D648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E8232646-EA99-4E6A-9AA7-5BB5052F07C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E2AF9FD7-7D89-4511-BD24-4E9C79E802F9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AAAD5888-9B1E-4CAA-A4B9-16437759ACDE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3F3DD379-6878-4808-AE0C-78E6DB7A868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AE4120B-0D57-4816-913E-F3A64CCD25C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0478-4C90-470C-9909-BFB583F75542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45005</v>
      </c>
      <c r="C3" s="25">
        <f>B3+1</f>
        <v>45006</v>
      </c>
      <c r="D3" s="25">
        <f t="shared" ref="D3:H3" si="0">C3+1</f>
        <v>45007</v>
      </c>
      <c r="E3" s="25">
        <f t="shared" si="0"/>
        <v>45008</v>
      </c>
      <c r="F3" s="25">
        <f t="shared" si="0"/>
        <v>45009</v>
      </c>
      <c r="G3" s="25">
        <f t="shared" si="0"/>
        <v>45010</v>
      </c>
      <c r="H3" s="25">
        <f t="shared" si="0"/>
        <v>45011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3</v>
      </c>
      <c r="L5" s="39">
        <f t="shared" ref="L5:L16" si="3">K5/$K$17</f>
        <v>0.25</v>
      </c>
      <c r="M5" s="54">
        <f>B3</f>
        <v>45005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 t="s">
        <v>3</v>
      </c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4</v>
      </c>
      <c r="L9" s="41">
        <f t="shared" si="3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</v>
      </c>
      <c r="L10" s="41">
        <f t="shared" si="3"/>
        <v>8.3333333333333329E-2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8.3333333333333329E-2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3</v>
      </c>
      <c r="L14" s="43">
        <f t="shared" si="3"/>
        <v>0.25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12</v>
      </c>
    </row>
    <row r="18" spans="1:11" x14ac:dyDescent="0.25">
      <c r="A18" s="8" t="s">
        <v>34</v>
      </c>
      <c r="B18" s="23"/>
      <c r="C18" s="23" t="s">
        <v>3</v>
      </c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 t="s">
        <v>3</v>
      </c>
      <c r="G25" s="23"/>
      <c r="H25" s="23"/>
    </row>
    <row r="26" spans="1:11" x14ac:dyDescent="0.25">
      <c r="A26" s="8" t="s">
        <v>42</v>
      </c>
      <c r="B26" s="23"/>
      <c r="C26" s="23"/>
      <c r="D26" s="23" t="s">
        <v>12</v>
      </c>
      <c r="E26" s="23" t="s">
        <v>12</v>
      </c>
      <c r="F26" s="23" t="s">
        <v>12</v>
      </c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 t="s">
        <v>8</v>
      </c>
      <c r="E38" s="23"/>
      <c r="F38" s="23"/>
      <c r="G38" s="23" t="s">
        <v>10</v>
      </c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 t="s">
        <v>7</v>
      </c>
      <c r="D52" s="23" t="s">
        <v>7</v>
      </c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 t="s">
        <v>7</v>
      </c>
      <c r="H62" s="23" t="s">
        <v>7</v>
      </c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336" priority="23" operator="containsText" text="Pivô">
      <formula>NOT(ISERROR(SEARCH("Pivô",A1)))</formula>
    </cfRule>
    <cfRule type="containsText" dxfId="1335" priority="24" operator="containsText" text="Pivô">
      <formula>NOT(ISERROR(SEARCH("Pivô",A1)))</formula>
    </cfRule>
  </conditionalFormatting>
  <conditionalFormatting sqref="B5:H109">
    <cfRule type="containsText" dxfId="1334" priority="16" operator="containsText" text="Cardã">
      <formula>NOT(ISERROR(SEARCH("Cardã",B5)))</formula>
    </cfRule>
    <cfRule type="containsText" dxfId="1333" priority="17" operator="containsText" text="Pneu">
      <formula>NOT(ISERROR(SEARCH("Pneu",B5)))</formula>
    </cfRule>
    <cfRule type="containsText" dxfId="1332" priority="18" operator="containsText" text="Vedação">
      <formula>NOT(ISERROR(SEARCH("Vedação",B5)))</formula>
    </cfRule>
    <cfRule type="containsText" dxfId="1331" priority="19" operator="containsText" text="Retentor">
      <formula>NOT(ISERROR(SEARCH("Retentor",B5)))</formula>
    </cfRule>
    <cfRule type="containsText" dxfId="1330" priority="20" operator="containsText" text="Motorredutor">
      <formula>NOT(ISERROR(SEARCH("Motorredutor",B5)))</formula>
    </cfRule>
    <cfRule type="containsText" dxfId="1329" priority="21" operator="containsText" text="Redutor">
      <formula>NOT(ISERROR(SEARCH("Redutor",B5)))</formula>
    </cfRule>
    <cfRule type="containsText" dxfId="1328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DDF39AF6-E87B-4A44-A3B0-EB6F69B0516E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8195308-B6FA-41B3-9CC9-1EC6D7BFF04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AFD18AA-6E0F-46C2-B0D5-EAAECF2798D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87B89CCC-3B9A-407B-9286-7ACA6F5FEFAE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B906824B-9DDB-4407-903D-3D999EC8D88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72CB42AC-BE9C-4B56-9D53-2B761B98C62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BE36A63-A3BD-4658-8FB9-39DC7707DECC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47636750-E15D-41D4-BF5F-07D57263B02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4B377029-CD06-4E7E-94C8-420A0E5A07E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74856A9E-BCA6-439E-A4D4-C1A9E6DFB10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627F316C-2AF1-489D-947C-A22D21826FC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AC765159-5CDD-4644-A16A-8A3ED1EEE0C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B74A8CC6-8AA0-42EB-946D-6B476C0E1F7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F25DAF13-2F0D-45C6-8B69-63D493AEEB5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B80137FD-A277-4CA7-B91A-4BA3F17AD55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ADA87351-1070-418F-A90C-BF6D4A28513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6EFA039A-51AE-432C-8B10-75161AA21FF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7D58-38F1-458D-A997-9866C4E5DA6D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K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45012</v>
      </c>
      <c r="C3" s="25">
        <f>B3+1</f>
        <v>45013</v>
      </c>
      <c r="D3" s="25">
        <f t="shared" ref="D3:H3" si="0">C3+1</f>
        <v>45014</v>
      </c>
      <c r="E3" s="25">
        <f t="shared" si="0"/>
        <v>45015</v>
      </c>
      <c r="F3" s="25">
        <f t="shared" si="0"/>
        <v>45016</v>
      </c>
      <c r="G3" s="25">
        <f t="shared" si="0"/>
        <v>45017</v>
      </c>
      <c r="H3" s="25">
        <f t="shared" si="0"/>
        <v>45018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6" si="3">K5/$K$17</f>
        <v>4.6511627906976744E-2</v>
      </c>
      <c r="M5" s="54">
        <f>B3</f>
        <v>45012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2.3255813953488372E-2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4</v>
      </c>
      <c r="L9" s="41">
        <f t="shared" si="3"/>
        <v>9.3023255813953487E-2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29</v>
      </c>
      <c r="L10" s="41">
        <f t="shared" si="3"/>
        <v>0.67441860465116277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2</v>
      </c>
      <c r="L11" s="41">
        <f t="shared" si="3"/>
        <v>4.6511627906976744E-2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2.3255813953488372E-2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4</v>
      </c>
      <c r="L14" s="43">
        <f t="shared" si="3"/>
        <v>9.3023255813953487E-2</v>
      </c>
    </row>
    <row r="15" spans="1:16" x14ac:dyDescent="0.25">
      <c r="A15" s="8" t="s">
        <v>31</v>
      </c>
      <c r="B15" s="23"/>
      <c r="C15" s="23"/>
      <c r="D15" s="23"/>
      <c r="E15" s="23"/>
      <c r="F15" s="23" t="s">
        <v>8</v>
      </c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 t="s">
        <v>8</v>
      </c>
      <c r="G17" s="23"/>
      <c r="H17" s="23"/>
      <c r="J17" s="1" t="s">
        <v>1</v>
      </c>
      <c r="K17" s="1">
        <f>SUM(K5:K16)</f>
        <v>43</v>
      </c>
    </row>
    <row r="18" spans="1:11" x14ac:dyDescent="0.25">
      <c r="A18" s="8" t="s">
        <v>34</v>
      </c>
      <c r="B18" s="23"/>
      <c r="C18" s="23" t="s">
        <v>8</v>
      </c>
      <c r="D18" s="23" t="s">
        <v>8</v>
      </c>
      <c r="E18" s="23"/>
      <c r="F18" s="23" t="s">
        <v>8</v>
      </c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 t="s">
        <v>8</v>
      </c>
      <c r="G19" s="23"/>
      <c r="H19" s="23"/>
    </row>
    <row r="20" spans="1:11" x14ac:dyDescent="0.25">
      <c r="A20" s="8" t="s">
        <v>36</v>
      </c>
      <c r="B20" s="23"/>
      <c r="C20" s="23"/>
      <c r="D20" s="23" t="s">
        <v>8</v>
      </c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 t="s">
        <v>8</v>
      </c>
      <c r="G21" s="23"/>
      <c r="H21" s="23"/>
    </row>
    <row r="22" spans="1:11" x14ac:dyDescent="0.25">
      <c r="A22" s="8" t="s">
        <v>38</v>
      </c>
      <c r="B22" s="23"/>
      <c r="C22" s="23"/>
      <c r="D22" s="23" t="s">
        <v>8</v>
      </c>
      <c r="E22" s="23"/>
      <c r="F22" s="23"/>
      <c r="G22" s="23" t="s">
        <v>9</v>
      </c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 t="s">
        <v>5</v>
      </c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 t="s">
        <v>8</v>
      </c>
      <c r="D29" s="23" t="s">
        <v>8</v>
      </c>
      <c r="E29" s="23"/>
      <c r="F29" s="23"/>
      <c r="G29" s="23"/>
      <c r="H29" s="23"/>
    </row>
    <row r="30" spans="1:11" x14ac:dyDescent="0.25">
      <c r="A30" s="8" t="s">
        <v>46</v>
      </c>
      <c r="B30" s="23" t="s">
        <v>8</v>
      </c>
      <c r="C30" s="23"/>
      <c r="D30" s="23" t="s">
        <v>8</v>
      </c>
      <c r="E30" s="23"/>
      <c r="F30" s="23"/>
      <c r="G30" s="23"/>
      <c r="H30" s="23"/>
    </row>
    <row r="31" spans="1:11" x14ac:dyDescent="0.25">
      <c r="A31" s="8" t="s">
        <v>47</v>
      </c>
      <c r="B31" s="23"/>
      <c r="C31" s="23" t="s">
        <v>8</v>
      </c>
      <c r="D31" s="23" t="s">
        <v>8</v>
      </c>
      <c r="E31" s="23"/>
      <c r="F31" s="23"/>
      <c r="G31" s="23"/>
      <c r="H31" s="23"/>
    </row>
    <row r="32" spans="1:11" x14ac:dyDescent="0.25">
      <c r="A32" s="8" t="s">
        <v>48</v>
      </c>
      <c r="B32" s="23" t="s">
        <v>8</v>
      </c>
      <c r="C32" s="23"/>
      <c r="D32" s="23" t="s">
        <v>8</v>
      </c>
      <c r="E32" s="23" t="s">
        <v>10</v>
      </c>
      <c r="F32" s="23"/>
      <c r="G32" s="23"/>
      <c r="H32" s="23"/>
    </row>
    <row r="33" spans="1:8" x14ac:dyDescent="0.25">
      <c r="A33" s="8" t="s">
        <v>49</v>
      </c>
      <c r="B33" s="23"/>
      <c r="C33" s="23" t="s">
        <v>8</v>
      </c>
      <c r="D33" s="23" t="s">
        <v>8</v>
      </c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 t="s">
        <v>8</v>
      </c>
      <c r="E34" s="23" t="s">
        <v>8</v>
      </c>
      <c r="F34" s="23"/>
      <c r="G34" s="23"/>
      <c r="H34" s="23" t="s">
        <v>12</v>
      </c>
    </row>
    <row r="35" spans="1:8" x14ac:dyDescent="0.25">
      <c r="A35" s="8" t="s">
        <v>51</v>
      </c>
      <c r="B35" s="23"/>
      <c r="C35" s="23"/>
      <c r="D35" s="23" t="s">
        <v>8</v>
      </c>
      <c r="E35" s="23" t="s">
        <v>8</v>
      </c>
      <c r="F35" s="23"/>
      <c r="G35" s="23"/>
      <c r="H35" s="23"/>
    </row>
    <row r="36" spans="1:8" x14ac:dyDescent="0.25">
      <c r="A36" s="8" t="s">
        <v>52</v>
      </c>
      <c r="B36" s="23" t="s">
        <v>8</v>
      </c>
      <c r="C36" s="23"/>
      <c r="D36" s="23"/>
      <c r="E36" s="23"/>
      <c r="F36" s="23" t="s">
        <v>8</v>
      </c>
      <c r="G36" s="23"/>
      <c r="H36" s="23"/>
    </row>
    <row r="37" spans="1:8" x14ac:dyDescent="0.25">
      <c r="A37" s="8" t="s">
        <v>53</v>
      </c>
      <c r="B37" s="23"/>
      <c r="C37" s="23"/>
      <c r="D37" s="23" t="s">
        <v>8</v>
      </c>
      <c r="E37" s="23" t="s">
        <v>8</v>
      </c>
      <c r="F37" s="23"/>
      <c r="G37" s="23"/>
      <c r="H37" s="23"/>
    </row>
    <row r="38" spans="1:8" x14ac:dyDescent="0.25">
      <c r="A38" s="8" t="s">
        <v>54</v>
      </c>
      <c r="B38" s="23" t="s">
        <v>8</v>
      </c>
      <c r="C38" s="23"/>
      <c r="D38" s="23"/>
      <c r="E38" s="23"/>
      <c r="F38" s="23" t="s">
        <v>8</v>
      </c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 t="s">
        <v>3</v>
      </c>
      <c r="C42" s="23" t="s">
        <v>3</v>
      </c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 t="s">
        <v>12</v>
      </c>
      <c r="D51" s="23"/>
      <c r="E51" s="23" t="s">
        <v>12</v>
      </c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 t="s">
        <v>12</v>
      </c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 t="s">
        <v>7</v>
      </c>
      <c r="E61" s="23"/>
      <c r="F61" s="23"/>
      <c r="G61" s="23"/>
      <c r="H61" s="23"/>
    </row>
    <row r="62" spans="1:8" x14ac:dyDescent="0.25">
      <c r="A62" s="8" t="s">
        <v>155</v>
      </c>
      <c r="B62" s="23" t="s">
        <v>7</v>
      </c>
      <c r="C62" s="23" t="s">
        <v>7</v>
      </c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 t="s">
        <v>9</v>
      </c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 t="s">
        <v>7</v>
      </c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311" priority="23" operator="containsText" text="Pivô">
      <formula>NOT(ISERROR(SEARCH("Pivô",A1)))</formula>
    </cfRule>
    <cfRule type="containsText" dxfId="1310" priority="24" operator="containsText" text="Pivô">
      <formula>NOT(ISERROR(SEARCH("Pivô",A1)))</formula>
    </cfRule>
  </conditionalFormatting>
  <conditionalFormatting sqref="B5:H109">
    <cfRule type="containsText" dxfId="1309" priority="16" operator="containsText" text="Cardã">
      <formula>NOT(ISERROR(SEARCH("Cardã",B5)))</formula>
    </cfRule>
    <cfRule type="containsText" dxfId="1308" priority="17" operator="containsText" text="Pneu">
      <formula>NOT(ISERROR(SEARCH("Pneu",B5)))</formula>
    </cfRule>
    <cfRule type="containsText" dxfId="1307" priority="18" operator="containsText" text="Vedação">
      <formula>NOT(ISERROR(SEARCH("Vedação",B5)))</formula>
    </cfRule>
    <cfRule type="containsText" dxfId="1306" priority="19" operator="containsText" text="Retentor">
      <formula>NOT(ISERROR(SEARCH("Retentor",B5)))</formula>
    </cfRule>
    <cfRule type="containsText" dxfId="1305" priority="20" operator="containsText" text="Motorredutor">
      <formula>NOT(ISERROR(SEARCH("Motorredutor",B5)))</formula>
    </cfRule>
    <cfRule type="containsText" dxfId="1304" priority="21" operator="containsText" text="Redutor">
      <formula>NOT(ISERROR(SEARCH("Redutor",B5)))</formula>
    </cfRule>
    <cfRule type="containsText" dxfId="1303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04815F25-4275-42DF-BB49-B4265E1A9717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0406B94-2A3C-4D37-840D-7F9FFE8BBC6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73F08AA-737D-43A9-8089-0D6C0EF5657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635F2082-EB81-429D-86E1-4CC3B3829FF7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C21BF595-819E-4A83-8E44-D2B3F804402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93E27412-870B-4A93-83E1-34B569A4185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A282C3D3-68A6-4950-AB27-02B1BBDE3F5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7B815442-79E2-441E-AF05-1E26C2F9283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9367F66A-D027-403A-B3BC-D8B0F95DC205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D166B7F2-16F0-49FD-8AAF-70DFB8E13B10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25CA295C-A04B-47FC-8B68-D926044463A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52C80AF6-68D3-43B4-8F9B-AEFF816B65E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83010924-DFBE-4062-85AC-10CA7CAE4E0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7C39B763-490D-4173-A93B-0E6FC2045D8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1DED3323-67B5-4190-8A5E-09E8DD2817DD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1B6C89B6-B6A1-406C-89E3-DCDC969E30CC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CE8518D9-2FBC-40F5-82BF-188A68142AC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B78A-DECB-4066-B158-75C7D34E338B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3" sqref="K33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45019</v>
      </c>
      <c r="C3" s="25">
        <f>B3+1</f>
        <v>45020</v>
      </c>
      <c r="D3" s="25">
        <f t="shared" ref="D3:H3" si="0">C3+1</f>
        <v>45021</v>
      </c>
      <c r="E3" s="25">
        <f t="shared" si="0"/>
        <v>45022</v>
      </c>
      <c r="F3" s="25">
        <f t="shared" si="0"/>
        <v>45023</v>
      </c>
      <c r="G3" s="25">
        <f t="shared" si="0"/>
        <v>45024</v>
      </c>
      <c r="H3" s="25">
        <f t="shared" si="0"/>
        <v>45025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1</v>
      </c>
      <c r="L5" s="39">
        <f t="shared" ref="L5:L16" si="3">K5/$K$17</f>
        <v>0.25</v>
      </c>
      <c r="M5" s="54">
        <f>B3</f>
        <v>45019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0.25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4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 t="s">
        <v>3</v>
      </c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 t="s">
        <v>7</v>
      </c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 t="s">
        <v>9</v>
      </c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 t="s">
        <v>7</v>
      </c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286" priority="23" operator="containsText" text="Pivô">
      <formula>NOT(ISERROR(SEARCH("Pivô",A1)))</formula>
    </cfRule>
    <cfRule type="containsText" dxfId="1285" priority="24" operator="containsText" text="Pivô">
      <formula>NOT(ISERROR(SEARCH("Pivô",A1)))</formula>
    </cfRule>
  </conditionalFormatting>
  <conditionalFormatting sqref="B5:H109">
    <cfRule type="containsText" dxfId="1284" priority="16" operator="containsText" text="Cardã">
      <formula>NOT(ISERROR(SEARCH("Cardã",B5)))</formula>
    </cfRule>
    <cfRule type="containsText" dxfId="1283" priority="17" operator="containsText" text="Pneu">
      <formula>NOT(ISERROR(SEARCH("Pneu",B5)))</formula>
    </cfRule>
    <cfRule type="containsText" dxfId="1282" priority="18" operator="containsText" text="Vedação">
      <formula>NOT(ISERROR(SEARCH("Vedação",B5)))</formula>
    </cfRule>
    <cfRule type="containsText" dxfId="1281" priority="19" operator="containsText" text="Retentor">
      <formula>NOT(ISERROR(SEARCH("Retentor",B5)))</formula>
    </cfRule>
    <cfRule type="containsText" dxfId="1280" priority="20" operator="containsText" text="Motorredutor">
      <formula>NOT(ISERROR(SEARCH("Motorredutor",B5)))</formula>
    </cfRule>
    <cfRule type="containsText" dxfId="1279" priority="21" operator="containsText" text="Redutor">
      <formula>NOT(ISERROR(SEARCH("Redutor",B5)))</formula>
    </cfRule>
    <cfRule type="containsText" dxfId="1278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771A2D6C-F9C3-49FB-AB55-4B7E23D04B25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7AE8387-CD56-485A-8344-BE9D0A942F2B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938F25B0-B892-4026-8190-42BD203A90F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463B4453-EE21-40A6-94BC-9A9B50ADBA6F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134D9E4-0842-455F-8D24-06B47ECBE3B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B25E541-4009-41C5-B71F-54EAABD3116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86A2FFC6-7E42-4FC6-A1F3-08073CC6881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3B874795-638C-466A-A319-74651E070F8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F6D2C7A8-BA05-40CF-9E06-CC6D2D9FE45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D8A9C0E5-DCF2-4B14-B3C1-1E2875C6AC5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10DAD2BF-57E3-4FE6-9EE8-D2236FA40CC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1ED1C963-39FC-4569-A965-1EC545DAF8A6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5F656B8B-55B9-481A-96B7-1F10A775D6C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24A3A312-FC20-45C9-A1C5-4A66BE6DDA7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5F7A4318-D8BD-4325-B94C-EFB75B33B8AF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A37AE261-B7C4-431D-8C18-0622A64C76BF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9D33CA8D-BBB6-41CF-8FAA-11FA631F230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5E746-8BD1-452D-80BF-17A591789B63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5" sqref="K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45026</v>
      </c>
      <c r="C3" s="25">
        <f>B3+1</f>
        <v>45027</v>
      </c>
      <c r="D3" s="25">
        <f t="shared" ref="D3:H3" si="0">C3+1</f>
        <v>45028</v>
      </c>
      <c r="E3" s="25">
        <f t="shared" si="0"/>
        <v>45029</v>
      </c>
      <c r="F3" s="25">
        <f t="shared" si="0"/>
        <v>45030</v>
      </c>
      <c r="G3" s="25">
        <f t="shared" si="0"/>
        <v>45031</v>
      </c>
      <c r="H3" s="25">
        <f t="shared" si="0"/>
        <v>45032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1</v>
      </c>
      <c r="L5" s="39">
        <f t="shared" ref="L5:L16" si="3">K5/$K$17</f>
        <v>0.125</v>
      </c>
      <c r="M5" s="54">
        <f>B3</f>
        <v>45026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2</v>
      </c>
      <c r="L7" s="41">
        <f t="shared" si="3"/>
        <v>0.25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0.125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2</v>
      </c>
      <c r="L14" s="43">
        <f t="shared" si="3"/>
        <v>0.25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8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 t="s">
        <v>3</v>
      </c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 t="s">
        <v>10</v>
      </c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 t="s">
        <v>12</v>
      </c>
      <c r="F37" s="23"/>
      <c r="G37" s="23" t="s">
        <v>12</v>
      </c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 t="s">
        <v>7</v>
      </c>
      <c r="F39" s="23" t="s">
        <v>5</v>
      </c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 t="s">
        <v>5</v>
      </c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 t="s">
        <v>7</v>
      </c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261" priority="23" operator="containsText" text="Pivô">
      <formula>NOT(ISERROR(SEARCH("Pivô",A1)))</formula>
    </cfRule>
    <cfRule type="containsText" dxfId="1260" priority="24" operator="containsText" text="Pivô">
      <formula>NOT(ISERROR(SEARCH("Pivô",A1)))</formula>
    </cfRule>
  </conditionalFormatting>
  <conditionalFormatting sqref="B5:H109">
    <cfRule type="containsText" dxfId="1259" priority="16" operator="containsText" text="Cardã">
      <formula>NOT(ISERROR(SEARCH("Cardã",B5)))</formula>
    </cfRule>
    <cfRule type="containsText" dxfId="1258" priority="17" operator="containsText" text="Pneu">
      <formula>NOT(ISERROR(SEARCH("Pneu",B5)))</formula>
    </cfRule>
    <cfRule type="containsText" dxfId="1257" priority="18" operator="containsText" text="Vedação">
      <formula>NOT(ISERROR(SEARCH("Vedação",B5)))</formula>
    </cfRule>
    <cfRule type="containsText" dxfId="1256" priority="19" operator="containsText" text="Retentor">
      <formula>NOT(ISERROR(SEARCH("Retentor",B5)))</formula>
    </cfRule>
    <cfRule type="containsText" dxfId="1255" priority="20" operator="containsText" text="Motorredutor">
      <formula>NOT(ISERROR(SEARCH("Motorredutor",B5)))</formula>
    </cfRule>
    <cfRule type="containsText" dxfId="1254" priority="21" operator="containsText" text="Redutor">
      <formula>NOT(ISERROR(SEARCH("Redutor",B5)))</formula>
    </cfRule>
    <cfRule type="containsText" dxfId="1253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D55F11A3-975A-48B6-8E96-B7E864C41121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EEC0D39-C973-4E09-94CF-D86B4E88FD0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5881404C-22B3-4C7D-8CF1-25AA1655CE1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DEAB318A-067F-4745-AC55-CB1843B069E3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E83E1275-FC72-479D-837B-2729A85359D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AF8D728-67E8-423F-8EC1-6F4BECF8223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2401D35B-A594-4804-B867-80305303807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387CAC05-EC53-418C-90D1-B2BF2ED7A9D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16AA3C07-E9EA-4BF8-80D1-199AC13E647C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F2CDB9EF-A9AB-4459-B589-5E266174DC1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75BF1E75-0BEE-405C-B9F5-13D864A0F351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5357F501-BFF8-4BD2-BE1F-D564043044C5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278FC837-DC63-4048-9B95-9764A9C1A628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D644387F-E5A2-4CDE-80AB-D7FD010A254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111A0FA7-A59C-4246-9D7D-DA77A5EA9BA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1A0CA0E2-913A-416A-BB91-15F81268FFA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82C8AEB5-4CB9-40E3-B206-26FD5FFA3A88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B800-3635-4E24-B6E4-CD113C3E21AD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8" sqref="K18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45033</v>
      </c>
      <c r="C3" s="25">
        <f>B3+1</f>
        <v>45034</v>
      </c>
      <c r="D3" s="25">
        <f t="shared" ref="D3:H3" si="0">C3+1</f>
        <v>45035</v>
      </c>
      <c r="E3" s="25">
        <f t="shared" si="0"/>
        <v>45036</v>
      </c>
      <c r="F3" s="25">
        <f t="shared" si="0"/>
        <v>45037</v>
      </c>
      <c r="G3" s="25">
        <f t="shared" si="0"/>
        <v>45038</v>
      </c>
      <c r="H3" s="25">
        <f t="shared" si="0"/>
        <v>45039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0</v>
      </c>
      <c r="L5" s="39">
        <f t="shared" ref="L5:L16" si="3">K5/$K$17</f>
        <v>0</v>
      </c>
      <c r="M5" s="54">
        <f>B3</f>
        <v>45033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0.5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</v>
      </c>
      <c r="L10" s="41">
        <f t="shared" si="3"/>
        <v>0.5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2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 t="s">
        <v>5</v>
      </c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 t="s">
        <v>8</v>
      </c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236" priority="23" operator="containsText" text="Pivô">
      <formula>NOT(ISERROR(SEARCH("Pivô",A1)))</formula>
    </cfRule>
    <cfRule type="containsText" dxfId="1235" priority="24" operator="containsText" text="Pivô">
      <formula>NOT(ISERROR(SEARCH("Pivô",A1)))</formula>
    </cfRule>
  </conditionalFormatting>
  <conditionalFormatting sqref="B5:H109">
    <cfRule type="containsText" dxfId="1234" priority="16" operator="containsText" text="Cardã">
      <formula>NOT(ISERROR(SEARCH("Cardã",B5)))</formula>
    </cfRule>
    <cfRule type="containsText" dxfId="1233" priority="17" operator="containsText" text="Pneu">
      <formula>NOT(ISERROR(SEARCH("Pneu",B5)))</formula>
    </cfRule>
    <cfRule type="containsText" dxfId="1232" priority="18" operator="containsText" text="Vedação">
      <formula>NOT(ISERROR(SEARCH("Vedação",B5)))</formula>
    </cfRule>
    <cfRule type="containsText" dxfId="1231" priority="19" operator="containsText" text="Retentor">
      <formula>NOT(ISERROR(SEARCH("Retentor",B5)))</formula>
    </cfRule>
    <cfRule type="containsText" dxfId="1230" priority="20" operator="containsText" text="Motorredutor">
      <formula>NOT(ISERROR(SEARCH("Motorredutor",B5)))</formula>
    </cfRule>
    <cfRule type="containsText" dxfId="1229" priority="21" operator="containsText" text="Redutor">
      <formula>NOT(ISERROR(SEARCH("Redutor",B5)))</formula>
    </cfRule>
    <cfRule type="containsText" dxfId="1228" priority="22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141150EA-E2C2-49E8-A2B3-ED0C3E5A6684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A972112C-3A88-44A2-9B49-D6054F1B2BD9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F54B54AC-3A9C-44D9-ADC1-88C26BEF0E8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8E554598-F81C-48D1-8542-6A1D77023C19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2EA4155F-B358-45BF-A71D-C70AA43ADBA3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8270B3AE-EE31-4DA5-B1EE-D4485BECBEA9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61FEAF07-75F1-43B0-AA5A-FB55B7BB92B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9" operator="containsText" id="{3F5722C7-B231-4311-A1E2-B3707609225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0" operator="containsText" id="{1CF39ED7-2CE5-4CF2-8444-4AB64E8A3F0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1" operator="containsText" id="{D780CF36-8FBB-493E-95DF-672C74172FDC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2" operator="containsText" id="{3AD8A99E-22AA-4A20-A882-7A502965349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3" operator="containsText" id="{74D513D6-ABE3-4E1A-8CBE-A63BB7A5010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FA0CC08A-6BD3-4471-9604-F55801A574D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5" operator="containsText" id="{C01E716A-83EC-4EC7-9E6C-A5D73D0F57B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6" operator="containsText" id="{455A2EAD-82F8-4069-A3B5-B774D7651F42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5" operator="containsText" id="{3EA237DB-824E-4DB1-8DFD-86E63731CB01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B9DB986-F4D3-4DFE-A599-F46BE885B78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A6EF-9B3D-4C2B-9FD9-4138E28F253C}">
  <sheetPr>
    <tabColor theme="4"/>
    <pageSetUpPr fitToPage="1"/>
  </sheetPr>
  <dimension ref="A1:P109"/>
  <sheetViews>
    <sheetView showGridLines="0" zoomScale="115" zoomScaleNormal="11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K5" sqref="K5:L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45040</v>
      </c>
      <c r="C3" s="25">
        <f>B3+1</f>
        <v>45041</v>
      </c>
      <c r="D3" s="25">
        <f t="shared" ref="D3:H3" si="0">C3+1</f>
        <v>45042</v>
      </c>
      <c r="E3" s="25">
        <f t="shared" si="0"/>
        <v>45043</v>
      </c>
      <c r="F3" s="25">
        <f t="shared" si="0"/>
        <v>45044</v>
      </c>
      <c r="G3" s="25">
        <f t="shared" si="0"/>
        <v>45045</v>
      </c>
      <c r="H3" s="25">
        <f t="shared" si="0"/>
        <v>45046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1</v>
      </c>
      <c r="L5" s="39">
        <f t="shared" ref="L5:L16" si="3">K5/$K$17</f>
        <v>0.125</v>
      </c>
      <c r="M5" s="54">
        <f>B3</f>
        <v>45040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0.125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0.125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 t="s">
        <v>5</v>
      </c>
      <c r="J9" s="15" t="s">
        <v>7</v>
      </c>
      <c r="K9" s="40">
        <f t="shared" si="2"/>
        <v>2</v>
      </c>
      <c r="L9" s="41">
        <f t="shared" si="3"/>
        <v>0.25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</v>
      </c>
      <c r="L10" s="41">
        <f t="shared" si="3"/>
        <v>0.125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2</v>
      </c>
      <c r="L14" s="43">
        <f t="shared" si="3"/>
        <v>0.25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8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 t="s">
        <v>3</v>
      </c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 t="s">
        <v>4</v>
      </c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 t="s">
        <v>8</v>
      </c>
      <c r="G48" s="23"/>
      <c r="H48" s="23"/>
    </row>
    <row r="49" spans="1:8" x14ac:dyDescent="0.25">
      <c r="A49" s="8" t="s">
        <v>65</v>
      </c>
      <c r="B49" s="23"/>
      <c r="C49" s="23"/>
      <c r="D49" s="23"/>
      <c r="E49" s="23" t="s">
        <v>7</v>
      </c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 t="s">
        <v>12</v>
      </c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 t="s">
        <v>7</v>
      </c>
    </row>
    <row r="78" spans="1:8" x14ac:dyDescent="0.25">
      <c r="A78" s="8" t="s">
        <v>78</v>
      </c>
      <c r="B78" s="23"/>
      <c r="C78" s="23"/>
      <c r="D78" s="23"/>
      <c r="E78" s="23"/>
      <c r="F78" s="23" t="s">
        <v>12</v>
      </c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211" priority="22" operator="containsText" text="Pivô">
      <formula>NOT(ISERROR(SEARCH("Pivô",A1)))</formula>
    </cfRule>
    <cfRule type="containsText" dxfId="1210" priority="23" operator="containsText" text="Pivô">
      <formula>NOT(ISERROR(SEARCH("Pivô",A1)))</formula>
    </cfRule>
  </conditionalFormatting>
  <conditionalFormatting sqref="B5:H109">
    <cfRule type="containsText" dxfId="1209" priority="15" operator="containsText" text="Cardã">
      <formula>NOT(ISERROR(SEARCH("Cardã",B5)))</formula>
    </cfRule>
    <cfRule type="containsText" dxfId="1208" priority="16" operator="containsText" text="Pneu">
      <formula>NOT(ISERROR(SEARCH("Pneu",B5)))</formula>
    </cfRule>
    <cfRule type="containsText" dxfId="1207" priority="17" operator="containsText" text="Vedação">
      <formula>NOT(ISERROR(SEARCH("Vedação",B5)))</formula>
    </cfRule>
    <cfRule type="containsText" dxfId="1206" priority="18" operator="containsText" text="Retentor">
      <formula>NOT(ISERROR(SEARCH("Retentor",B5)))</formula>
    </cfRule>
    <cfRule type="containsText" dxfId="1205" priority="19" operator="containsText" text="Motorredutor">
      <formula>NOT(ISERROR(SEARCH("Motorredutor",B5)))</formula>
    </cfRule>
    <cfRule type="containsText" dxfId="1204" priority="20" operator="containsText" text="Redutor">
      <formula>NOT(ISERROR(SEARCH("Redutor",B5)))</formula>
    </cfRule>
    <cfRule type="containsText" dxfId="1203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6E02E97-EF38-4147-9E91-F451665E3F37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26921C6-28D9-4253-A6D6-538D3D8BF4F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27E7D187-4E92-4799-AFF3-A32F78AE340B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E969F0B2-B75E-496E-ACD1-CA76864BEB71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D655B931-1860-426F-B169-C5B5D8A0171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235ECBE-C4A1-406E-B8D4-92C3158E920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8CBD6A66-29B1-4E24-BB81-21188F105D7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9E129086-59DA-4B73-8F32-FC7377DD7309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F20F8785-A844-4FB0-A84D-F988510E42D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62B4B943-8873-4015-8F56-362B34834A74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EA103148-DB9E-48AD-9DB0-4716E14548D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667C342B-6A06-49B1-AF63-DB3D10B8C61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A9CFB68C-58E8-4921-BA35-40D9F4B33F2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C43AEED6-9F82-4EA2-895E-DCCC114E148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95E6DAB7-206B-45BB-B8BF-0DAB0FA5685D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12E9912C-CEEA-4E24-B4CC-E16E8491A5B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C483E381-5142-4690-9763-175E3D96220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49DC-560A-4BC0-AE40-046BD1028D10}">
  <sheetPr>
    <tabColor theme="4"/>
    <pageSetUpPr fitToPage="1"/>
  </sheetPr>
  <dimension ref="A1:P109"/>
  <sheetViews>
    <sheetView showGridLines="0" zoomScale="115" zoomScaleNormal="115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G26" sqref="G2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45047</v>
      </c>
      <c r="C3" s="25">
        <f>B3+1</f>
        <v>45048</v>
      </c>
      <c r="D3" s="25">
        <f t="shared" ref="D3:H3" si="0">C3+1</f>
        <v>45049</v>
      </c>
      <c r="E3" s="25">
        <f t="shared" si="0"/>
        <v>45050</v>
      </c>
      <c r="F3" s="25">
        <f t="shared" si="0"/>
        <v>45051</v>
      </c>
      <c r="G3" s="25">
        <f t="shared" si="0"/>
        <v>45052</v>
      </c>
      <c r="H3" s="25">
        <f t="shared" si="0"/>
        <v>45053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6" si="3">K5/$K$17</f>
        <v>0.2857142857142857</v>
      </c>
      <c r="M5" s="54">
        <f>B3</f>
        <v>45047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0.14285714285714285</v>
      </c>
      <c r="M6" s="54"/>
    </row>
    <row r="7" spans="1:16" x14ac:dyDescent="0.25">
      <c r="A7" s="8" t="s">
        <v>21</v>
      </c>
      <c r="B7" s="23"/>
      <c r="C7" s="23" t="s">
        <v>4</v>
      </c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0.14285714285714285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3</v>
      </c>
      <c r="L9" s="41">
        <f t="shared" si="3"/>
        <v>0.42857142857142855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12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7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 t="s">
        <v>3</v>
      </c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 t="s">
        <v>3</v>
      </c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 t="s">
        <v>5</v>
      </c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 t="s">
        <v>7</v>
      </c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 t="s">
        <v>7</v>
      </c>
      <c r="F72" s="23" t="s">
        <v>7</v>
      </c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186" priority="22" operator="containsText" text="Pivô">
      <formula>NOT(ISERROR(SEARCH("Pivô",A1)))</formula>
    </cfRule>
    <cfRule type="containsText" dxfId="1185" priority="23" operator="containsText" text="Pivô">
      <formula>NOT(ISERROR(SEARCH("Pivô",A1)))</formula>
    </cfRule>
  </conditionalFormatting>
  <conditionalFormatting sqref="B5:H109">
    <cfRule type="containsText" dxfId="1184" priority="15" operator="containsText" text="Cardã">
      <formula>NOT(ISERROR(SEARCH("Cardã",B5)))</formula>
    </cfRule>
    <cfRule type="containsText" dxfId="1183" priority="16" operator="containsText" text="Pneu">
      <formula>NOT(ISERROR(SEARCH("Pneu",B5)))</formula>
    </cfRule>
    <cfRule type="containsText" dxfId="1182" priority="17" operator="containsText" text="Vedação">
      <formula>NOT(ISERROR(SEARCH("Vedação",B5)))</formula>
    </cfRule>
    <cfRule type="containsText" dxfId="1181" priority="18" operator="containsText" text="Retentor">
      <formula>NOT(ISERROR(SEARCH("Retentor",B5)))</formula>
    </cfRule>
    <cfRule type="containsText" dxfId="1180" priority="19" operator="containsText" text="Motorredutor">
      <formula>NOT(ISERROR(SEARCH("Motorredutor",B5)))</formula>
    </cfRule>
    <cfRule type="containsText" dxfId="1179" priority="20" operator="containsText" text="Redutor">
      <formula>NOT(ISERROR(SEARCH("Redutor",B5)))</formula>
    </cfRule>
    <cfRule type="containsText" dxfId="1178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9C0F55BF-F098-454C-AADD-DD5AD054256A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209738-5265-4D91-9760-57D9B81D7648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3D9CE7D-1653-453E-979B-5EF4780278F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EEDAB361-2554-40F3-98AD-DD7DBF6EA350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43F5B422-18E6-4B6B-AD02-9A2C2765C48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5FC04EBE-8D03-48C2-86BF-F2D033F6BB2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0E7FC89D-EC4F-484C-B828-B5CAA3DACB48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866CBFE2-C750-4FED-B030-3B8AF731C938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FD8C062F-C7CC-4F3C-AA03-1147953B588D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4E31CF97-A074-48DE-B554-9FD81B192FD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BFBD3E55-6721-48C5-8DE4-9909F0B22C8A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10D32A6D-DB11-41E2-B9E3-8DAE4F4A0AC9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FFCE0C87-6EE6-4DCA-96B8-983C68D27FA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AABE0D5B-318A-410B-9552-3378A06496AD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D47975AB-0455-4897-B6CD-BD369C78C424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E70B8744-100D-4A32-B2BF-43CF2D3D27F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49A2B946-18D6-46FB-81C3-5853E6829D29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087F-0763-4D39-9B9C-8A478120E54A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45054</v>
      </c>
      <c r="C3" s="25">
        <f>B3+1</f>
        <v>45055</v>
      </c>
      <c r="D3" s="25">
        <f t="shared" ref="D3:H3" si="0">C3+1</f>
        <v>45056</v>
      </c>
      <c r="E3" s="25">
        <f t="shared" si="0"/>
        <v>45057</v>
      </c>
      <c r="F3" s="25">
        <f t="shared" si="0"/>
        <v>45058</v>
      </c>
      <c r="G3" s="25">
        <f t="shared" si="0"/>
        <v>45059</v>
      </c>
      <c r="H3" s="25">
        <f t="shared" si="0"/>
        <v>45060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0</v>
      </c>
      <c r="L5" s="39">
        <f t="shared" ref="L5:L16" si="3">K5/$K$17</f>
        <v>0</v>
      </c>
      <c r="M5" s="54">
        <f>B3</f>
        <v>45054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0.33333333333333331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2</v>
      </c>
      <c r="L14" s="43">
        <f t="shared" si="3"/>
        <v>0.66666666666666663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 t="s">
        <v>173</v>
      </c>
      <c r="H17" s="23" t="s">
        <v>173</v>
      </c>
      <c r="J17" s="1" t="s">
        <v>1</v>
      </c>
      <c r="K17" s="1">
        <f>SUM(K5:K16)</f>
        <v>3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 t="s">
        <v>5</v>
      </c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161" priority="22" operator="containsText" text="Pivô">
      <formula>NOT(ISERROR(SEARCH("Pivô",A1)))</formula>
    </cfRule>
    <cfRule type="containsText" dxfId="1160" priority="23" operator="containsText" text="Pivô">
      <formula>NOT(ISERROR(SEARCH("Pivô",A1)))</formula>
    </cfRule>
  </conditionalFormatting>
  <conditionalFormatting sqref="B5:H109">
    <cfRule type="containsText" dxfId="1159" priority="15" operator="containsText" text="Cardã">
      <formula>NOT(ISERROR(SEARCH("Cardã",B5)))</formula>
    </cfRule>
    <cfRule type="containsText" dxfId="1158" priority="16" operator="containsText" text="Pneu">
      <formula>NOT(ISERROR(SEARCH("Pneu",B5)))</formula>
    </cfRule>
    <cfRule type="containsText" dxfId="1157" priority="17" operator="containsText" text="Vedação">
      <formula>NOT(ISERROR(SEARCH("Vedação",B5)))</formula>
    </cfRule>
    <cfRule type="containsText" dxfId="1156" priority="18" operator="containsText" text="Retentor">
      <formula>NOT(ISERROR(SEARCH("Retentor",B5)))</formula>
    </cfRule>
    <cfRule type="containsText" dxfId="1155" priority="19" operator="containsText" text="Motorredutor">
      <formula>NOT(ISERROR(SEARCH("Motorredutor",B5)))</formula>
    </cfRule>
    <cfRule type="containsText" dxfId="1154" priority="20" operator="containsText" text="Redutor">
      <formula>NOT(ISERROR(SEARCH("Redutor",B5)))</formula>
    </cfRule>
    <cfRule type="containsText" dxfId="1153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840210D4-9D3B-4B39-930B-5619809EFCA1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4215628-4DE5-4328-BF9B-EC7B30408B27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23070142-2A16-4475-B804-58542A83AF7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A0D50BE4-399E-4F10-952A-74FF721DAA2B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CC12734D-12FA-4CA6-8632-EBF0135A798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A329227F-EF56-44B8-9F8B-C7596DB2C61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315FF018-A592-4E3A-921D-269C2448851F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51CFF7CA-9C3D-4FCB-9B3C-5132B4352147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E9FF51E0-8730-48AE-AABE-6F66DAD0A5B0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0420F14F-52C4-4C42-AD0E-DE29567926E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74577FF2-E077-4975-B6A3-F343BE7B412B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1EF4333E-3F77-4740-8676-281D39F3F51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C14E5567-3F26-4EBF-A38F-8195BD2758FD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8A7028C5-7308-4AAC-9BD6-402897A92627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0B61BC28-2170-4C2F-AAAC-B402C135670C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DDA1586F-8E84-4017-8960-1B2263771586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9DB50E36-8181-430D-B822-7A49CDDE3CC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2234-F662-4A1C-A500-D32BEB0D4824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5" sqref="G25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45061</v>
      </c>
      <c r="C3" s="25">
        <f>B3+1</f>
        <v>45062</v>
      </c>
      <c r="D3" s="25">
        <f t="shared" ref="D3:H3" si="0">C3+1</f>
        <v>45063</v>
      </c>
      <c r="E3" s="25">
        <f t="shared" si="0"/>
        <v>45064</v>
      </c>
      <c r="F3" s="25">
        <f t="shared" si="0"/>
        <v>45065</v>
      </c>
      <c r="G3" s="25">
        <f t="shared" si="0"/>
        <v>45066</v>
      </c>
      <c r="H3" s="25">
        <f t="shared" si="0"/>
        <v>45067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6" si="3">K5/$K$17</f>
        <v>0.15384615384615385</v>
      </c>
      <c r="M5" s="54">
        <f>B3</f>
        <v>45061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7.6923076923076927E-2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1</v>
      </c>
      <c r="L7" s="41">
        <f t="shared" si="3"/>
        <v>7.6923076923076927E-2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5</v>
      </c>
      <c r="L9" s="41">
        <f t="shared" si="3"/>
        <v>0.38461538461538464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7.6923076923076927E-2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1</v>
      </c>
      <c r="L13" s="41">
        <f t="shared" si="3"/>
        <v>7.6923076923076927E-2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 t="s">
        <v>3</v>
      </c>
      <c r="J14" s="37" t="s">
        <v>173</v>
      </c>
      <c r="K14" s="42">
        <f t="shared" si="2"/>
        <v>2</v>
      </c>
      <c r="L14" s="43">
        <f t="shared" si="3"/>
        <v>0.15384615384615385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 t="s">
        <v>173</v>
      </c>
      <c r="C17" s="23" t="s">
        <v>173</v>
      </c>
      <c r="D17" s="23"/>
      <c r="E17" s="23"/>
      <c r="F17" s="23"/>
      <c r="G17" s="23"/>
      <c r="H17" s="23"/>
      <c r="J17" s="1" t="s">
        <v>1</v>
      </c>
      <c r="K17" s="1">
        <f>SUM(K5:K16)</f>
        <v>13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 t="s">
        <v>4</v>
      </c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 t="s">
        <v>9</v>
      </c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 t="s">
        <v>7</v>
      </c>
      <c r="H35" s="23" t="s">
        <v>7</v>
      </c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 t="s">
        <v>7</v>
      </c>
      <c r="E42" s="23" t="s">
        <v>7</v>
      </c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 t="s">
        <v>5</v>
      </c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 t="s">
        <v>7</v>
      </c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 t="s">
        <v>11</v>
      </c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 t="s">
        <v>3</v>
      </c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136" priority="22" operator="containsText" text="Pivô">
      <formula>NOT(ISERROR(SEARCH("Pivô",A1)))</formula>
    </cfRule>
    <cfRule type="containsText" dxfId="1135" priority="23" operator="containsText" text="Pivô">
      <formula>NOT(ISERROR(SEARCH("Pivô",A1)))</formula>
    </cfRule>
  </conditionalFormatting>
  <conditionalFormatting sqref="B5:H109">
    <cfRule type="containsText" dxfId="1134" priority="15" operator="containsText" text="Cardã">
      <formula>NOT(ISERROR(SEARCH("Cardã",B5)))</formula>
    </cfRule>
    <cfRule type="containsText" dxfId="1133" priority="16" operator="containsText" text="Pneu">
      <formula>NOT(ISERROR(SEARCH("Pneu",B5)))</formula>
    </cfRule>
    <cfRule type="containsText" dxfId="1132" priority="17" operator="containsText" text="Vedação">
      <formula>NOT(ISERROR(SEARCH("Vedação",B5)))</formula>
    </cfRule>
    <cfRule type="containsText" dxfId="1131" priority="18" operator="containsText" text="Retentor">
      <formula>NOT(ISERROR(SEARCH("Retentor",B5)))</formula>
    </cfRule>
    <cfRule type="containsText" dxfId="1130" priority="19" operator="containsText" text="Motorredutor">
      <formula>NOT(ISERROR(SEARCH("Motorredutor",B5)))</formula>
    </cfRule>
    <cfRule type="containsText" dxfId="1129" priority="20" operator="containsText" text="Redutor">
      <formula>NOT(ISERROR(SEARCH("Redutor",B5)))</formula>
    </cfRule>
    <cfRule type="containsText" dxfId="1128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12BA9106-FB2E-477F-A59A-76FC13BEA21A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ED924FDA-C66B-4D1F-8CC7-951B99CEDBC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C22852F0-4A08-4723-9F35-A93204F2D12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FE005FDF-0D8D-4E10-986D-9C6ECCF45EA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77F1DD1-43EF-4F6C-96ED-7DA0D5AD173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82A52A42-BBB3-4815-88CB-EC1481D78E6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9AADDAFB-80F6-42FB-A555-072C2D5FE3E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309C49AC-8E7C-488E-AF07-856093CEED05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5D1B9379-467C-4C21-82AC-A390364A102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057F2C85-F829-4C16-8FB9-0F78610B02C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B6DC4D7C-5F65-4795-AB4D-4EB9E0264406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97A10919-B96F-4DFB-B665-FB5B01AF5722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59C94288-7EF3-4124-89AE-78ECF6F53AD1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ECF1BD2C-62DB-42A0-855A-1FF066ED532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F22BFD4C-4F5D-4B04-8BF8-C2E8A55EA44A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818003CD-F5D1-4606-A308-58AF05C22F34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1F33C891-30EF-4BD7-B0E9-613692552D5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2B8C-94D0-4719-A7C5-69F40AF07DAC}">
  <sheetPr>
    <tabColor theme="4"/>
    <pageSetUpPr fitToPage="1"/>
  </sheetPr>
  <dimension ref="A1:P109"/>
  <sheetViews>
    <sheetView showGridLines="0" zoomScale="115" zoomScaleNormal="115" workbookViewId="0">
      <pane xSplit="1" ySplit="4" topLeftCell="J5" activePane="bottomRight" state="frozen"/>
      <selection pane="topRight" activeCell="B1" sqref="B1"/>
      <selection pane="bottomLeft" activeCell="A5" sqref="A5"/>
      <selection pane="bottomRight" activeCell="J5" sqref="J5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45068</v>
      </c>
      <c r="C3" s="25">
        <f>B3+1</f>
        <v>45069</v>
      </c>
      <c r="D3" s="25">
        <f t="shared" ref="D3:H3" si="0">C3+1</f>
        <v>45070</v>
      </c>
      <c r="E3" s="25">
        <f t="shared" si="0"/>
        <v>45071</v>
      </c>
      <c r="F3" s="25">
        <f t="shared" si="0"/>
        <v>45072</v>
      </c>
      <c r="G3" s="25">
        <f t="shared" si="0"/>
        <v>45073</v>
      </c>
      <c r="H3" s="25">
        <f t="shared" si="0"/>
        <v>45074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5</v>
      </c>
      <c r="L5" s="39">
        <f t="shared" ref="L5:L16" si="3">K5/$K$17</f>
        <v>0.41666666666666669</v>
      </c>
      <c r="M5" s="54">
        <f>B3</f>
        <v>45068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2</v>
      </c>
      <c r="L7" s="41">
        <f t="shared" si="3"/>
        <v>0.16666666666666666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5</v>
      </c>
      <c r="L9" s="41">
        <f t="shared" si="3"/>
        <v>0.41666666666666669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 t="s">
        <v>3</v>
      </c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 t="s">
        <v>7</v>
      </c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12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 t="s">
        <v>3</v>
      </c>
      <c r="D29" s="23"/>
      <c r="E29" s="23" t="s">
        <v>3</v>
      </c>
      <c r="F29" s="23"/>
      <c r="G29" s="23"/>
      <c r="H29" s="23" t="s">
        <v>3</v>
      </c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 t="s">
        <v>5</v>
      </c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 t="s">
        <v>7</v>
      </c>
      <c r="F39" s="23"/>
      <c r="G39" s="23" t="s">
        <v>7</v>
      </c>
      <c r="H39" s="23"/>
    </row>
    <row r="40" spans="1:8" x14ac:dyDescent="0.25">
      <c r="A40" s="8" t="s">
        <v>56</v>
      </c>
      <c r="B40" s="23"/>
      <c r="C40" s="23"/>
      <c r="D40" s="23"/>
      <c r="E40" s="23"/>
      <c r="F40" s="23" t="s">
        <v>7</v>
      </c>
      <c r="G40" s="23"/>
      <c r="H40" s="23"/>
    </row>
    <row r="41" spans="1:8" x14ac:dyDescent="0.25">
      <c r="A41" s="8" t="s">
        <v>57</v>
      </c>
      <c r="B41" s="23"/>
      <c r="C41" s="23"/>
      <c r="D41" s="23" t="s">
        <v>7</v>
      </c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 t="s">
        <v>5</v>
      </c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 t="s">
        <v>3</v>
      </c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111" priority="22" operator="containsText" text="Pivô">
      <formula>NOT(ISERROR(SEARCH("Pivô",A1)))</formula>
    </cfRule>
    <cfRule type="containsText" dxfId="1110" priority="23" operator="containsText" text="Pivô">
      <formula>NOT(ISERROR(SEARCH("Pivô",A1)))</formula>
    </cfRule>
  </conditionalFormatting>
  <conditionalFormatting sqref="B5:H109">
    <cfRule type="containsText" dxfId="1109" priority="15" operator="containsText" text="Cardã">
      <formula>NOT(ISERROR(SEARCH("Cardã",B5)))</formula>
    </cfRule>
    <cfRule type="containsText" dxfId="1108" priority="16" operator="containsText" text="Pneu">
      <formula>NOT(ISERROR(SEARCH("Pneu",B5)))</formula>
    </cfRule>
    <cfRule type="containsText" dxfId="1107" priority="17" operator="containsText" text="Vedação">
      <formula>NOT(ISERROR(SEARCH("Vedação",B5)))</formula>
    </cfRule>
    <cfRule type="containsText" dxfId="1106" priority="18" operator="containsText" text="Retentor">
      <formula>NOT(ISERROR(SEARCH("Retentor",B5)))</formula>
    </cfRule>
    <cfRule type="containsText" dxfId="1105" priority="19" operator="containsText" text="Motorredutor">
      <formula>NOT(ISERROR(SEARCH("Motorredutor",B5)))</formula>
    </cfRule>
    <cfRule type="containsText" dxfId="1104" priority="20" operator="containsText" text="Redutor">
      <formula>NOT(ISERROR(SEARCH("Redutor",B5)))</formula>
    </cfRule>
    <cfRule type="containsText" dxfId="1103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9A21CA94-DFD1-4479-9BA7-D22A9B780891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23E015EB-4648-4E61-BFD8-5A1FF8D0244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7328F228-26B5-421F-B4CA-7F5C564C13D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8AF24425-E4F2-4E1F-B5B0-F23E85ACFD44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7B9DD3CF-3204-4331-B144-F60AD53283F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06265BEB-1507-42E6-B75E-CC77C19EED1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5C74D1F0-07D3-426F-80A6-634BF18D92B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819BF8BC-FF20-424F-85FD-69C436C7377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BB1556EF-4DB4-4459-B6DE-7D990DFA4BAF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C894AD71-731B-473C-AFF0-A425C1C17D87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32A67AB7-1066-46AF-B857-7986A85970A9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9E63AD97-D5F4-4A42-9ECD-E0EC7FE1004D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9795BDFA-D155-4DF0-9BA2-5E73B28E39A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71F0F787-ADA2-4AE1-AA25-5249A79B32F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D2C6D90B-B8EB-44BF-B0FB-5E6FC6BA9CB9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0CEA92F9-A6E2-47B7-882F-36E619D39F1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5992DB9B-592E-4904-8BFB-FEF4D1975E9B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B5AF-CAD0-4272-85FA-EBC8F42DB635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25" sqref="J25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45075</v>
      </c>
      <c r="C3" s="25">
        <f>B3+1</f>
        <v>45076</v>
      </c>
      <c r="D3" s="25">
        <f t="shared" ref="D3:H3" si="0">C3+1</f>
        <v>45077</v>
      </c>
      <c r="E3" s="25">
        <f t="shared" si="0"/>
        <v>45078</v>
      </c>
      <c r="F3" s="25">
        <f t="shared" si="0"/>
        <v>45079</v>
      </c>
      <c r="G3" s="25">
        <f t="shared" si="0"/>
        <v>45080</v>
      </c>
      <c r="H3" s="25">
        <f t="shared" si="0"/>
        <v>45081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4</v>
      </c>
      <c r="L5" s="39">
        <f t="shared" ref="L5:L16" si="3">K5/$K$17</f>
        <v>0.5</v>
      </c>
      <c r="M5" s="54">
        <f>B3</f>
        <v>45075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0.125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3</v>
      </c>
      <c r="L13" s="41">
        <f t="shared" si="3"/>
        <v>0.375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 t="s">
        <v>3</v>
      </c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8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 t="s">
        <v>3</v>
      </c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 t="s">
        <v>7</v>
      </c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 t="s">
        <v>11</v>
      </c>
      <c r="D29" s="23"/>
      <c r="E29" s="23"/>
      <c r="F29" s="23"/>
      <c r="G29" s="23" t="s">
        <v>3</v>
      </c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 t="s">
        <v>11</v>
      </c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11</v>
      </c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 t="s">
        <v>3</v>
      </c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086" priority="22" operator="containsText" text="Pivô">
      <formula>NOT(ISERROR(SEARCH("Pivô",A1)))</formula>
    </cfRule>
    <cfRule type="containsText" dxfId="1085" priority="23" operator="containsText" text="Pivô">
      <formula>NOT(ISERROR(SEARCH("Pivô",A1)))</formula>
    </cfRule>
  </conditionalFormatting>
  <conditionalFormatting sqref="B5:H109">
    <cfRule type="containsText" dxfId="1084" priority="15" operator="containsText" text="Cardã">
      <formula>NOT(ISERROR(SEARCH("Cardã",B5)))</formula>
    </cfRule>
    <cfRule type="containsText" dxfId="1083" priority="16" operator="containsText" text="Pneu">
      <formula>NOT(ISERROR(SEARCH("Pneu",B5)))</formula>
    </cfRule>
    <cfRule type="containsText" dxfId="1082" priority="17" operator="containsText" text="Vedação">
      <formula>NOT(ISERROR(SEARCH("Vedação",B5)))</formula>
    </cfRule>
    <cfRule type="containsText" dxfId="1081" priority="18" operator="containsText" text="Retentor">
      <formula>NOT(ISERROR(SEARCH("Retentor",B5)))</formula>
    </cfRule>
    <cfRule type="containsText" dxfId="1080" priority="19" operator="containsText" text="Motorredutor">
      <formula>NOT(ISERROR(SEARCH("Motorredutor",B5)))</formula>
    </cfRule>
    <cfRule type="containsText" dxfId="1079" priority="20" operator="containsText" text="Redutor">
      <formula>NOT(ISERROR(SEARCH("Redutor",B5)))</formula>
    </cfRule>
    <cfRule type="containsText" dxfId="1078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C6587FBD-57D1-435F-8D52-40394AD31C53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12D4FDE-9F7F-4FDA-B97E-01068185E6B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ABD436C-63FB-43C9-802B-35A9F75E3645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BF05D436-AD75-406D-8AE1-26F86B408432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09EB0BB2-6042-4890-8A6A-CB7FEA14BAA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7A591EC1-424A-4CF3-ADF5-F7A6BC1BF4D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D14DE4CB-B337-4A02-97F5-EAD461FC5BF0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08563C62-AB74-4D08-BD8E-CAF4C1019CF2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727B721B-F41F-43E1-83AC-464E8B948307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B261A8F0-CA48-4B20-87AB-C866F256DB0A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B4E6B929-8851-4F80-BEA1-5F4BC79010BE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97AF6CDB-D6C2-4EBD-B6D3-AF7915FB104B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5473D53B-E639-470F-B84C-016F240E6F5C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FB6C03F8-CC7B-4FE0-BD6B-87717C89CE26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2C95ABF9-FB27-4B97-B778-4F35341B6BD1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B57DBB6E-4A0E-4CE1-861B-FD91A76E91B9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1094449D-3454-4B57-939A-760F935B20C5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790C-2E28-4FDC-8873-0E6DCB70C7EA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2" sqref="G12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45082</v>
      </c>
      <c r="C3" s="25">
        <f>B3+1</f>
        <v>45083</v>
      </c>
      <c r="D3" s="25">
        <f t="shared" ref="D3:H3" si="0">C3+1</f>
        <v>45084</v>
      </c>
      <c r="E3" s="25">
        <f t="shared" si="0"/>
        <v>45085</v>
      </c>
      <c r="F3" s="25">
        <f t="shared" si="0"/>
        <v>45086</v>
      </c>
      <c r="G3" s="25">
        <f t="shared" si="0"/>
        <v>45087</v>
      </c>
      <c r="H3" s="25">
        <f t="shared" si="0"/>
        <v>45088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6" si="3">K5/$K$17</f>
        <v>0.16666666666666666</v>
      </c>
      <c r="M5" s="54">
        <f>B3</f>
        <v>45082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3</v>
      </c>
      <c r="L6" s="41">
        <f t="shared" si="3"/>
        <v>0.25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8.3333333333333329E-2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8.3333333333333329E-2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5</v>
      </c>
      <c r="L14" s="43">
        <f t="shared" si="3"/>
        <v>0.41666666666666669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 t="s">
        <v>9</v>
      </c>
      <c r="C16" s="23" t="s">
        <v>7</v>
      </c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12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 t="s">
        <v>173</v>
      </c>
      <c r="E20" s="23" t="s">
        <v>173</v>
      </c>
      <c r="F20" s="23" t="s">
        <v>173</v>
      </c>
      <c r="G20" s="23" t="s">
        <v>173</v>
      </c>
      <c r="H20" s="23" t="s">
        <v>173</v>
      </c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 t="s">
        <v>3</v>
      </c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 t="s">
        <v>4</v>
      </c>
      <c r="C29" s="23"/>
      <c r="D29" s="23"/>
      <c r="E29" s="23"/>
      <c r="F29" s="23"/>
      <c r="G29" s="23" t="s">
        <v>4</v>
      </c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 t="s">
        <v>4</v>
      </c>
      <c r="F32" s="23"/>
      <c r="G32" s="23"/>
      <c r="H32" s="23" t="s">
        <v>3</v>
      </c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061" priority="22" operator="containsText" text="Pivô">
      <formula>NOT(ISERROR(SEARCH("Pivô",A1)))</formula>
    </cfRule>
    <cfRule type="containsText" dxfId="1060" priority="23" operator="containsText" text="Pivô">
      <formula>NOT(ISERROR(SEARCH("Pivô",A1)))</formula>
    </cfRule>
  </conditionalFormatting>
  <conditionalFormatting sqref="B5:H109">
    <cfRule type="containsText" dxfId="1059" priority="15" operator="containsText" text="Cardã">
      <formula>NOT(ISERROR(SEARCH("Cardã",B5)))</formula>
    </cfRule>
    <cfRule type="containsText" dxfId="1058" priority="16" operator="containsText" text="Pneu">
      <formula>NOT(ISERROR(SEARCH("Pneu",B5)))</formula>
    </cfRule>
    <cfRule type="containsText" dxfId="1057" priority="17" operator="containsText" text="Vedação">
      <formula>NOT(ISERROR(SEARCH("Vedação",B5)))</formula>
    </cfRule>
    <cfRule type="containsText" dxfId="1056" priority="18" operator="containsText" text="Retentor">
      <formula>NOT(ISERROR(SEARCH("Retentor",B5)))</formula>
    </cfRule>
    <cfRule type="containsText" dxfId="1055" priority="19" operator="containsText" text="Motorredutor">
      <formula>NOT(ISERROR(SEARCH("Motorredutor",B5)))</formula>
    </cfRule>
    <cfRule type="containsText" dxfId="1054" priority="20" operator="containsText" text="Redutor">
      <formula>NOT(ISERROR(SEARCH("Redutor",B5)))</formula>
    </cfRule>
    <cfRule type="containsText" dxfId="1053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860BE8D1-4743-47A8-9DB4-78588BC3742C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197A7D38-D207-4743-9AD2-80758A9611F6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685324C3-84A2-4D95-AD97-D79DB8EF73C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26B90975-7E07-483F-8850-FD106872EFB7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44465A24-4F76-43AA-A98D-1CC38E74015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4847FA16-8CDE-4AE7-9CB5-5331ABBCDFA6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30F45CCB-3482-47B0-A49C-831C8E050733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D43AA01A-DA30-4733-9EC2-7EB001748CE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01FE22E0-7078-47F8-B827-CE88EE5272A8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83B6CBD3-9C92-48AF-A97B-5284E513DAB9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F5FBFE53-9ABE-4886-B0BD-077A9D4776C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DC7F5885-DC2F-4656-B3D9-FFD51E7F4BD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2E2EBADB-CFA0-4CBC-9C4A-A845C949152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16077070-8AD5-4448-B77D-C50B8C4252EC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7D8CC9D1-4705-4A3F-AB3B-A071EA65FCF5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EF47E73D-5B2F-4B72-B88F-75E51E8E4A8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8AD730EA-B318-4273-A093-B1E58594ECAD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8EE-36D4-411D-8B45-1242B538910C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45089</v>
      </c>
      <c r="C3" s="25">
        <f>B3+1</f>
        <v>45090</v>
      </c>
      <c r="D3" s="25">
        <f t="shared" ref="D3:H3" si="0">C3+1</f>
        <v>45091</v>
      </c>
      <c r="E3" s="25">
        <f t="shared" si="0"/>
        <v>45092</v>
      </c>
      <c r="F3" s="25">
        <f t="shared" si="0"/>
        <v>45093</v>
      </c>
      <c r="G3" s="25">
        <f t="shared" si="0"/>
        <v>45094</v>
      </c>
      <c r="H3" s="25">
        <f t="shared" si="0"/>
        <v>45095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0</v>
      </c>
      <c r="L5" s="39">
        <f t="shared" ref="L5:L16" si="3">K5/$K$17</f>
        <v>0</v>
      </c>
      <c r="M5" s="54">
        <f>B3</f>
        <v>45089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1</v>
      </c>
      <c r="L10" s="41">
        <f t="shared" si="3"/>
        <v>1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1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 t="s">
        <v>8</v>
      </c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036" priority="22" operator="containsText" text="Pivô">
      <formula>NOT(ISERROR(SEARCH("Pivô",A1)))</formula>
    </cfRule>
    <cfRule type="containsText" dxfId="1035" priority="23" operator="containsText" text="Pivô">
      <formula>NOT(ISERROR(SEARCH("Pivô",A1)))</formula>
    </cfRule>
  </conditionalFormatting>
  <conditionalFormatting sqref="B5:H109">
    <cfRule type="containsText" dxfId="1034" priority="15" operator="containsText" text="Cardã">
      <formula>NOT(ISERROR(SEARCH("Cardã",B5)))</formula>
    </cfRule>
    <cfRule type="containsText" dxfId="1033" priority="16" operator="containsText" text="Pneu">
      <formula>NOT(ISERROR(SEARCH("Pneu",B5)))</formula>
    </cfRule>
    <cfRule type="containsText" dxfId="1032" priority="17" operator="containsText" text="Vedação">
      <formula>NOT(ISERROR(SEARCH("Vedação",B5)))</formula>
    </cfRule>
    <cfRule type="containsText" dxfId="1031" priority="18" operator="containsText" text="Retentor">
      <formula>NOT(ISERROR(SEARCH("Retentor",B5)))</formula>
    </cfRule>
    <cfRule type="containsText" dxfId="1030" priority="19" operator="containsText" text="Motorredutor">
      <formula>NOT(ISERROR(SEARCH("Motorredutor",B5)))</formula>
    </cfRule>
    <cfRule type="containsText" dxfId="1029" priority="20" operator="containsText" text="Redutor">
      <formula>NOT(ISERROR(SEARCH("Redutor",B5)))</formula>
    </cfRule>
    <cfRule type="containsText" dxfId="1028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3ED64DC-5DFB-4929-9DFD-6835899A2F72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A90613A-B6CC-4A7F-9301-814AFEC37E53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04B09D8-5B84-4B4F-9A47-6903E2A602E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6FAC18D6-0F01-432C-8AF3-44F08EE8E536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E8972D8D-63A3-41F8-B291-7BA4A2995D77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D0682AC5-007C-42E9-90B2-75859D96E20E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B25152D6-1B4E-4AD1-8734-F057F319738A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21ADD3E5-13C1-4D97-9251-1247053813F4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8513C860-7F83-44AD-A3D4-FA55F06602F4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D3830CA6-727A-4C28-85E4-E3A0CF613336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5FA7EA12-19CB-4CCF-9A6E-6EEA7305A2B3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3264A8B0-74C6-4807-92A3-62D100DA2E6E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0DAFCCF0-6F4E-4126-AC10-A62A15A5D2D4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309C1A15-B905-48EB-9DB4-30DAC830F53F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8D105E32-CE61-4C4B-A8A6-61A950F48C6B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7C55C59D-E2EC-4FDF-9D58-B2F37F5C0199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D11E79C2-0C68-4EAB-B93D-C81C607C8488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A3FC-9EB0-4328-95CF-7A67611301FD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6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45096</v>
      </c>
      <c r="C3" s="25">
        <f>B3+1</f>
        <v>45097</v>
      </c>
      <c r="D3" s="25">
        <f t="shared" ref="D3:H3" si="0">C3+1</f>
        <v>45098</v>
      </c>
      <c r="E3" s="25">
        <f t="shared" si="0"/>
        <v>45099</v>
      </c>
      <c r="F3" s="25">
        <f t="shared" si="0"/>
        <v>45100</v>
      </c>
      <c r="G3" s="25">
        <f t="shared" si="0"/>
        <v>45101</v>
      </c>
      <c r="H3" s="25">
        <f t="shared" si="0"/>
        <v>45102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0</v>
      </c>
      <c r="L5" s="39">
        <f t="shared" ref="L5:L16" si="3">K5/$K$17</f>
        <v>0</v>
      </c>
      <c r="M5" s="54">
        <f>B3</f>
        <v>45096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1</v>
      </c>
      <c r="L8" s="41">
        <f t="shared" si="3"/>
        <v>0.5</v>
      </c>
    </row>
    <row r="9" spans="1:16" x14ac:dyDescent="0.25">
      <c r="A9" s="8" t="s">
        <v>23</v>
      </c>
      <c r="B9" s="23"/>
      <c r="C9" s="23"/>
      <c r="D9" s="23" t="s">
        <v>6</v>
      </c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0.5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s="59" t="s">
        <v>132</v>
      </c>
      <c r="K16" s="42">
        <f t="shared" si="2"/>
        <v>0</v>
      </c>
      <c r="L16" s="43">
        <f t="shared" si="3"/>
        <v>0</v>
      </c>
    </row>
    <row r="17" spans="1:11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1" t="s">
        <v>1</v>
      </c>
      <c r="K17" s="1">
        <f>SUM(K5:K16)</f>
        <v>2</v>
      </c>
    </row>
    <row r="18" spans="1:11" x14ac:dyDescent="0.25">
      <c r="A18" s="8" t="s">
        <v>34</v>
      </c>
      <c r="B18" s="23"/>
      <c r="C18" s="23"/>
      <c r="D18" s="23"/>
      <c r="E18" s="23"/>
      <c r="F18" s="23"/>
      <c r="G18" s="23"/>
      <c r="H18" s="23"/>
    </row>
    <row r="19" spans="1:11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1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1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1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1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1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1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1" x14ac:dyDescent="0.25">
      <c r="A26" s="8" t="s">
        <v>42</v>
      </c>
      <c r="B26" s="23"/>
      <c r="C26" s="23"/>
      <c r="D26" s="23" t="s">
        <v>7</v>
      </c>
      <c r="E26" s="23"/>
      <c r="F26" s="23"/>
      <c r="G26" s="23"/>
      <c r="H26" s="23"/>
    </row>
    <row r="27" spans="1:11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1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1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1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1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1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1011" priority="22" operator="containsText" text="Pivô">
      <formula>NOT(ISERROR(SEARCH("Pivô",A1)))</formula>
    </cfRule>
    <cfRule type="containsText" dxfId="1010" priority="23" operator="containsText" text="Pivô">
      <formula>NOT(ISERROR(SEARCH("Pivô",A1)))</formula>
    </cfRule>
  </conditionalFormatting>
  <conditionalFormatting sqref="B5:H109">
    <cfRule type="containsText" dxfId="1009" priority="15" operator="containsText" text="Cardã">
      <formula>NOT(ISERROR(SEARCH("Cardã",B5)))</formula>
    </cfRule>
    <cfRule type="containsText" dxfId="1008" priority="16" operator="containsText" text="Pneu">
      <formula>NOT(ISERROR(SEARCH("Pneu",B5)))</formula>
    </cfRule>
    <cfRule type="containsText" dxfId="1007" priority="17" operator="containsText" text="Vedação">
      <formula>NOT(ISERROR(SEARCH("Vedação",B5)))</formula>
    </cfRule>
    <cfRule type="containsText" dxfId="1006" priority="18" operator="containsText" text="Retentor">
      <formula>NOT(ISERROR(SEARCH("Retentor",B5)))</formula>
    </cfRule>
    <cfRule type="containsText" dxfId="1005" priority="19" operator="containsText" text="Motorredutor">
      <formula>NOT(ISERROR(SEARCH("Motorredutor",B5)))</formula>
    </cfRule>
    <cfRule type="containsText" dxfId="1004" priority="20" operator="containsText" text="Redutor">
      <formula>NOT(ISERROR(SEARCH("Redutor",B5)))</formula>
    </cfRule>
    <cfRule type="containsText" dxfId="1003" priority="21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A0D77009-2FAF-4191-ABC3-3A8F3AA3CCDF}">
      <formula1>$J$5:$J$16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F23A0A5-4BD7-4277-B49C-F579E3410A8B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3" operator="containsText" id="{D06E7B74-656E-4C33-BF74-77AB9221735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" operator="containsText" id="{BE5E10FF-F276-4880-A814-F1C54594312F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5" operator="containsText" id="{636BA45D-4601-4E2B-9F16-4D3C9A62774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6" operator="containsText" id="{EA1EEA9E-E870-4A1F-873D-6CE44CDC013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7" operator="containsText" id="{47210DE5-3D8D-43BA-A5CB-5191D6B19D6D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8" operator="containsText" id="{C02FB59F-4D10-4EB8-A94A-6E6091B7E773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9" operator="containsText" id="{446DA492-9599-4CEE-8F7B-78245BF4F3C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0" operator="containsText" id="{BB7839FA-0ED6-4BF0-A03F-F746C4423A18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1" operator="containsText" id="{F70FA0BF-557E-4106-9B08-691A09984D9C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2" operator="containsText" id="{F291312A-FC82-4A4C-904B-7F8B4F72FAD4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3" operator="containsText" id="{4389E231-4F8C-4874-B10F-E0FAFD1BB60B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4" operator="containsText" id="{586D06A5-77F8-48E7-BBC4-AAB25F050892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558FC0D4-AA60-4DF0-93CB-4072AAF35782}">
            <xm:f>NOT(ISERROR(SEARCH($J$16,B5)))</xm:f>
            <xm:f>$J$16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80AAE960-7567-40C8-8412-E83CFFE7C87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1F79FFD2-C3CB-47A3-B69B-59B800D77A01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8905-2AA6-4A18-9456-5F9E44A42334}">
  <sheetPr>
    <tabColor theme="4"/>
    <pageSetUpPr fitToPage="1"/>
  </sheetPr>
  <dimension ref="A1:P109"/>
  <sheetViews>
    <sheetView showGridLines="0" zoomScale="115" zoomScaleNormal="115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E23" sqref="E23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45103</v>
      </c>
      <c r="C3" s="25">
        <f>B3+1</f>
        <v>45104</v>
      </c>
      <c r="D3" s="25">
        <f t="shared" ref="D3:H3" si="0">C3+1</f>
        <v>45105</v>
      </c>
      <c r="E3" s="25">
        <f t="shared" si="0"/>
        <v>45106</v>
      </c>
      <c r="F3" s="25">
        <f t="shared" si="0"/>
        <v>45107</v>
      </c>
      <c r="G3" s="25">
        <f t="shared" si="0"/>
        <v>45108</v>
      </c>
      <c r="H3" s="25">
        <f t="shared" si="0"/>
        <v>45109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7" si="3">K5/$K$18</f>
        <v>0.25</v>
      </c>
      <c r="M5" s="54">
        <f>B3</f>
        <v>45103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0.125</v>
      </c>
      <c r="M6" s="54"/>
    </row>
    <row r="7" spans="1:16" x14ac:dyDescent="0.25">
      <c r="A7" s="8" t="s">
        <v>21</v>
      </c>
      <c r="B7" s="23"/>
      <c r="C7" s="23"/>
      <c r="D7" s="23"/>
      <c r="E7" s="23" t="s">
        <v>7</v>
      </c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1</v>
      </c>
      <c r="L8" s="41">
        <f t="shared" si="3"/>
        <v>0.125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0.25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0.125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 t="s">
        <v>4</v>
      </c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t="s">
        <v>182</v>
      </c>
      <c r="K16" s="40">
        <f t="shared" si="2"/>
        <v>1</v>
      </c>
      <c r="L16" s="41">
        <f t="shared" si="3"/>
        <v>0.125</v>
      </c>
    </row>
    <row r="17" spans="1:12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59" t="s">
        <v>132</v>
      </c>
      <c r="K17" s="42">
        <f>COUNTIF($B$5:$H$109,J17)</f>
        <v>0</v>
      </c>
      <c r="L17" s="43">
        <f t="shared" si="3"/>
        <v>0</v>
      </c>
    </row>
    <row r="18" spans="1:12" x14ac:dyDescent="0.25">
      <c r="A18" s="8" t="s">
        <v>34</v>
      </c>
      <c r="B18" s="23"/>
      <c r="C18" s="23"/>
      <c r="D18" s="23"/>
      <c r="E18" s="23"/>
      <c r="F18" s="23"/>
      <c r="G18" s="23"/>
      <c r="H18" s="23"/>
      <c r="J18" s="1" t="s">
        <v>1</v>
      </c>
      <c r="K18" s="1">
        <f>SUM(K5:K17)</f>
        <v>8</v>
      </c>
    </row>
    <row r="19" spans="1:12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2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2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2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2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2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2" x14ac:dyDescent="0.25">
      <c r="A25" s="8" t="s">
        <v>41</v>
      </c>
      <c r="B25" s="23"/>
      <c r="C25" s="23"/>
      <c r="D25" s="23"/>
      <c r="E25" s="23"/>
      <c r="F25" s="23" t="s">
        <v>182</v>
      </c>
      <c r="G25" s="23"/>
      <c r="H25" s="23"/>
    </row>
    <row r="26" spans="1:12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2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2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2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2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2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2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 t="s">
        <v>6</v>
      </c>
      <c r="D36" s="23"/>
      <c r="E36" s="23"/>
      <c r="F36" s="23" t="s">
        <v>10</v>
      </c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 t="s">
        <v>7</v>
      </c>
      <c r="C49" s="23"/>
      <c r="D49" s="23" t="s">
        <v>3</v>
      </c>
      <c r="E49" s="23" t="s">
        <v>3</v>
      </c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986" priority="22" operator="containsText" text="Pivô">
      <formula>NOT(ISERROR(SEARCH("Pivô",A1)))</formula>
    </cfRule>
    <cfRule type="containsText" dxfId="985" priority="23" operator="containsText" text="Pivô">
      <formula>NOT(ISERROR(SEARCH("Pivô",A1)))</formula>
    </cfRule>
  </conditionalFormatting>
  <conditionalFormatting sqref="B5:H109">
    <cfRule type="containsText" dxfId="984" priority="53" operator="containsText" text="Cardã">
      <formula>NOT(ISERROR(SEARCH("Cardã",B5)))</formula>
    </cfRule>
    <cfRule type="containsText" dxfId="983" priority="54" operator="containsText" text="Pneu">
      <formula>NOT(ISERROR(SEARCH("Pneu",B5)))</formula>
    </cfRule>
    <cfRule type="containsText" dxfId="982" priority="55" operator="containsText" text="Vedação">
      <formula>NOT(ISERROR(SEARCH("Vedação",B5)))</formula>
    </cfRule>
    <cfRule type="containsText" dxfId="981" priority="56" operator="containsText" text="Retentor">
      <formula>NOT(ISERROR(SEARCH("Retentor",B5)))</formula>
    </cfRule>
    <cfRule type="containsText" dxfId="980" priority="57" operator="containsText" text="Motorredutor">
      <formula>NOT(ISERROR(SEARCH("Motorredutor",B5)))</formula>
    </cfRule>
    <cfRule type="containsText" dxfId="979" priority="58" operator="containsText" text="Redutor">
      <formula>NOT(ISERROR(SEARCH("Redutor",B5)))</formula>
    </cfRule>
    <cfRule type="containsText" dxfId="978" priority="59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B894B82A-B1D5-4CFD-BBDF-45EEBD63CB08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id="{51A14C30-FFD3-4454-B6F7-6C298BC289E4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41" operator="containsText" id="{26108CF7-7B25-46D4-BAB3-4A92F4CED1B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42" operator="containsText" id="{0070CEA6-A636-4887-B041-92A14CBF786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43" operator="containsText" id="{4FA21EAB-8856-400D-A14F-2AC8ED48237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44" operator="containsText" id="{5424A96E-0646-475C-B7FB-CD257336DCA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45" operator="containsText" id="{BA59060C-3A8A-41D2-B090-59F91A371965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46" operator="containsText" id="{ABC07E58-3449-4270-B1AF-417F1D39388B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47" operator="containsText" id="{550C2E0F-5B54-4650-A375-A1B1B7D8F653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48" operator="containsText" id="{C749641D-691A-4D50-9B07-3BA4340C3B7B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49" operator="containsText" id="{3619A472-1799-40BC-9D61-042D3A8F2405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50" operator="containsText" id="{325CF7D7-27E8-4D54-86F1-CAB5DF1F60DE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51" operator="containsText" id="{B2CB5E99-811C-4C7F-BA6C-C8C14135B3D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52" operator="containsText" id="{C1AA3AEF-2F63-4F0F-8465-52A8F3E19AB5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60" operator="containsText" id="{E478909D-C43A-4E5B-9974-835C6D32EBFC}">
            <xm:f>NOT(ISERROR(SEARCH($J$17,B5)))</xm:f>
            <xm:f>$J$17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24" operator="containsText" id="{58A2DDAC-1C34-4B9B-AE63-E853A5E2B54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F48930E8-F71A-4F26-ACB4-9A1CBDDD1510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FE3E-CCAE-4A30-BFE1-E08F8C3637CF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5" sqref="J5:M17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45110</v>
      </c>
      <c r="C3" s="25">
        <f>B3+1</f>
        <v>45111</v>
      </c>
      <c r="D3" s="25">
        <f t="shared" ref="D3:H3" si="0">C3+1</f>
        <v>45112</v>
      </c>
      <c r="E3" s="25">
        <f t="shared" si="0"/>
        <v>45113</v>
      </c>
      <c r="F3" s="25">
        <f t="shared" si="0"/>
        <v>45114</v>
      </c>
      <c r="G3" s="25">
        <f t="shared" si="0"/>
        <v>45115</v>
      </c>
      <c r="H3" s="25">
        <f t="shared" si="0"/>
        <v>45116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1</v>
      </c>
      <c r="L5" s="39">
        <f t="shared" ref="L5:L17" si="3">K5/$K$18</f>
        <v>0.33333333333333331</v>
      </c>
      <c r="M5" s="54">
        <f>B3</f>
        <v>45110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1</v>
      </c>
      <c r="L9" s="41">
        <f t="shared" si="3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1</v>
      </c>
      <c r="L11" s="41">
        <f t="shared" si="3"/>
        <v>0.33333333333333331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t="s">
        <v>182</v>
      </c>
      <c r="K16" s="40">
        <f t="shared" si="2"/>
        <v>0</v>
      </c>
      <c r="L16" s="41">
        <f t="shared" si="3"/>
        <v>0</v>
      </c>
    </row>
    <row r="17" spans="1:12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59" t="s">
        <v>132</v>
      </c>
      <c r="K17" s="42">
        <f>COUNTIF($B$5:$H$109,J17)</f>
        <v>0</v>
      </c>
      <c r="L17" s="43">
        <f t="shared" si="3"/>
        <v>0</v>
      </c>
    </row>
    <row r="18" spans="1:12" x14ac:dyDescent="0.25">
      <c r="A18" s="8" t="s">
        <v>34</v>
      </c>
      <c r="B18" s="23"/>
      <c r="C18" s="23"/>
      <c r="D18" s="23"/>
      <c r="E18" s="23"/>
      <c r="F18" s="23" t="s">
        <v>7</v>
      </c>
      <c r="G18" s="23"/>
      <c r="H18" s="23"/>
      <c r="J18" s="1" t="s">
        <v>1</v>
      </c>
      <c r="K18" s="1">
        <f>SUM(K5:K17)</f>
        <v>3</v>
      </c>
    </row>
    <row r="19" spans="1:12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2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2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2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2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2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2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2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2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2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2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2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2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2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 t="s">
        <v>9</v>
      </c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 t="s">
        <v>3</v>
      </c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961" priority="2" operator="containsText" text="Pivô">
      <formula>NOT(ISERROR(SEARCH("Pivô",A1)))</formula>
    </cfRule>
    <cfRule type="containsText" dxfId="960" priority="3" operator="containsText" text="Pivô">
      <formula>NOT(ISERROR(SEARCH("Pivô",A1)))</formula>
    </cfRule>
  </conditionalFormatting>
  <conditionalFormatting sqref="B5:H109">
    <cfRule type="containsText" dxfId="959" priority="18" operator="containsText" text="Cardã">
      <formula>NOT(ISERROR(SEARCH("Cardã",B5)))</formula>
    </cfRule>
    <cfRule type="containsText" dxfId="958" priority="19" operator="containsText" text="Pneu">
      <formula>NOT(ISERROR(SEARCH("Pneu",B5)))</formula>
    </cfRule>
    <cfRule type="containsText" dxfId="957" priority="20" operator="containsText" text="Vedação">
      <formula>NOT(ISERROR(SEARCH("Vedação",B5)))</formula>
    </cfRule>
    <cfRule type="containsText" dxfId="956" priority="21" operator="containsText" text="Retentor">
      <formula>NOT(ISERROR(SEARCH("Retentor",B5)))</formula>
    </cfRule>
    <cfRule type="containsText" dxfId="955" priority="22" operator="containsText" text="Motorredutor">
      <formula>NOT(ISERROR(SEARCH("Motorredutor",B5)))</formula>
    </cfRule>
    <cfRule type="containsText" dxfId="954" priority="23" operator="containsText" text="Redutor">
      <formula>NOT(ISERROR(SEARCH("Redutor",B5)))</formula>
    </cfRule>
    <cfRule type="containsText" dxfId="95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EE6A879-D21D-4F83-B7A4-CF39EEDDD593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C1B3C4E0-63F7-46D5-8E35-A8ABCE89A615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6" operator="containsText" id="{C7573169-0D6E-4DDA-8C29-A0B3957B84D1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7" operator="containsText" id="{BDD4E51A-C329-43F6-B0F9-C61E01501578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8" operator="containsText" id="{55D820E4-9D93-4F02-B47C-4E9806DEADC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9" operator="containsText" id="{813227AF-7511-4BA8-B1D9-34C0B639B54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6C292050-A97A-46C7-9546-F07B65E40782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1" operator="containsText" id="{A4B26CF7-DB65-4992-8F8D-6FE2D29895BA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2" operator="containsText" id="{A83A8581-D569-4765-A31F-7C0810ED14CB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3" operator="containsText" id="{C23F7C59-EFDE-4416-AD5D-A73747D06C9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4" operator="containsText" id="{52A1D013-D329-48D6-B9E8-C2C46A68E7FF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" operator="containsText" id="{A006F95A-F3B8-4A50-8A8E-4F775A159E8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8D536A1E-69C8-4B44-9F92-36783CA8700F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37FA6447-29F4-4D50-A4DF-4C377927D624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AFE0860A-EFF6-4B26-85E2-AF0D533B44AD}">
            <xm:f>NOT(ISERROR(SEARCH($J$17,B5)))</xm:f>
            <xm:f>$J$17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4" operator="containsText" id="{D566A50C-F75F-481E-B97B-EE767A66CC2E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A220158C-84F9-4C7F-AE15-64DE73E98E83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B48C-EA7B-4C41-B998-D8C69D844258}">
  <sheetPr>
    <tabColor theme="4"/>
    <pageSetUpPr fitToPage="1"/>
  </sheetPr>
  <dimension ref="A1:P109"/>
  <sheetViews>
    <sheetView showGridLines="0" zoomScale="115" zoomScaleNormal="11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F15" sqref="F15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45117</v>
      </c>
      <c r="C3" s="25">
        <f>B3+1</f>
        <v>45118</v>
      </c>
      <c r="D3" s="25">
        <f t="shared" ref="D3:H3" si="0">C3+1</f>
        <v>45119</v>
      </c>
      <c r="E3" s="25">
        <f t="shared" si="0"/>
        <v>45120</v>
      </c>
      <c r="F3" s="25">
        <f t="shared" si="0"/>
        <v>45121</v>
      </c>
      <c r="G3" s="25">
        <f t="shared" si="0"/>
        <v>45122</v>
      </c>
      <c r="H3" s="25">
        <f t="shared" si="0"/>
        <v>45123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2</v>
      </c>
      <c r="L5" s="39">
        <f t="shared" ref="L5:L17" si="3">K5/$K$18</f>
        <v>0.4</v>
      </c>
      <c r="M5" s="54">
        <f>B3</f>
        <v>45117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0.2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1</v>
      </c>
      <c r="L8" s="41">
        <f t="shared" si="3"/>
        <v>0.2</v>
      </c>
    </row>
    <row r="9" spans="1:16" x14ac:dyDescent="0.25">
      <c r="A9" s="8" t="s">
        <v>23</v>
      </c>
      <c r="B9" s="23"/>
      <c r="C9" s="23" t="s">
        <v>3</v>
      </c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1</v>
      </c>
      <c r="L12" s="41">
        <f t="shared" si="3"/>
        <v>0.2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 t="s">
        <v>4</v>
      </c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t="s">
        <v>182</v>
      </c>
      <c r="K16" s="40">
        <f t="shared" si="2"/>
        <v>0</v>
      </c>
      <c r="L16" s="41">
        <f t="shared" si="3"/>
        <v>0</v>
      </c>
    </row>
    <row r="17" spans="1:12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59" t="s">
        <v>132</v>
      </c>
      <c r="K17" s="42">
        <f>COUNTIF($B$5:$H$109,J17)</f>
        <v>0</v>
      </c>
      <c r="L17" s="43">
        <f t="shared" si="3"/>
        <v>0</v>
      </c>
    </row>
    <row r="18" spans="1:12" x14ac:dyDescent="0.25">
      <c r="A18" s="8" t="s">
        <v>34</v>
      </c>
      <c r="B18" s="23"/>
      <c r="C18" s="23"/>
      <c r="D18" s="23"/>
      <c r="E18" s="23"/>
      <c r="F18" s="23"/>
      <c r="G18" s="23"/>
      <c r="H18" s="23"/>
      <c r="J18" s="1" t="s">
        <v>1</v>
      </c>
      <c r="K18" s="1">
        <f>SUM(K5:K17)</f>
        <v>5</v>
      </c>
    </row>
    <row r="19" spans="1:12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2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2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2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2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2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2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2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2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2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2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2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2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2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 t="s">
        <v>3</v>
      </c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 t="s">
        <v>10</v>
      </c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 t="s">
        <v>6</v>
      </c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936" priority="2" operator="containsText" text="Pivô">
      <formula>NOT(ISERROR(SEARCH("Pivô",A1)))</formula>
    </cfRule>
    <cfRule type="containsText" dxfId="935" priority="3" operator="containsText" text="Pivô">
      <formula>NOT(ISERROR(SEARCH("Pivô",A1)))</formula>
    </cfRule>
  </conditionalFormatting>
  <conditionalFormatting sqref="B5:H109">
    <cfRule type="containsText" dxfId="934" priority="18" operator="containsText" text="Cardã">
      <formula>NOT(ISERROR(SEARCH("Cardã",B5)))</formula>
    </cfRule>
    <cfRule type="containsText" dxfId="933" priority="19" operator="containsText" text="Pneu">
      <formula>NOT(ISERROR(SEARCH("Pneu",B5)))</formula>
    </cfRule>
    <cfRule type="containsText" dxfId="932" priority="20" operator="containsText" text="Vedação">
      <formula>NOT(ISERROR(SEARCH("Vedação",B5)))</formula>
    </cfRule>
    <cfRule type="containsText" dxfId="931" priority="21" operator="containsText" text="Retentor">
      <formula>NOT(ISERROR(SEARCH("Retentor",B5)))</formula>
    </cfRule>
    <cfRule type="containsText" dxfId="930" priority="22" operator="containsText" text="Motorredutor">
      <formula>NOT(ISERROR(SEARCH("Motorredutor",B5)))</formula>
    </cfRule>
    <cfRule type="containsText" dxfId="929" priority="23" operator="containsText" text="Redutor">
      <formula>NOT(ISERROR(SEARCH("Redutor",B5)))</formula>
    </cfRule>
    <cfRule type="containsText" dxfId="92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89B109E5-8C0B-47EA-9FB6-0609281A482A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EC6F80B-AD56-4B39-A4BF-731BF17B908E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6" operator="containsText" id="{BF80CE51-62E9-4723-9211-F5E793D17EE8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7" operator="containsText" id="{B0031BBD-38AB-4EF4-AA06-62CEBCB207B8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8" operator="containsText" id="{C413FE24-95EC-489F-A537-D885AD61B27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9" operator="containsText" id="{D2CB1A3A-6200-4CEA-85E0-D1555BB6B34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049FDCCD-BFBB-4021-B91B-A85CE5E8C2C9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1" operator="containsText" id="{78371DBB-369B-4A8E-AA6F-AB6CDFC18C31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2" operator="containsText" id="{E1BFF308-33CE-4E9E-B902-768E719FB0BA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3" operator="containsText" id="{BAFE5776-1623-4965-9E9A-DAB22F262E3D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4" operator="containsText" id="{F8A38FA1-57C5-43AA-89A6-2510D438D5B0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" operator="containsText" id="{D10E9953-4BBC-46D2-9E18-247B8B57CEEF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897AF4A1-AA87-4F36-B55A-353D854FD1B6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7B8ADCC8-071F-427D-8067-8BAB49F585E1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2DAE0A50-BE43-45A7-A955-79FD62067671}">
            <xm:f>NOT(ISERROR(SEARCH($J$17,B5)))</xm:f>
            <xm:f>$J$17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4" operator="containsText" id="{265E7B5D-DEC3-4B76-BC88-E521442F41FB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9F16C9BA-A423-4FCA-86C6-3AD8D6BD47B9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62DE-2C7C-41F4-A0D0-5A19C92529A4}">
  <sheetPr>
    <tabColor theme="4"/>
    <pageSetUpPr fitToPage="1"/>
  </sheetPr>
  <dimension ref="A1:P109"/>
  <sheetViews>
    <sheetView showGridLines="0"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14" sqref="N14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45124</v>
      </c>
      <c r="C3" s="25">
        <f>B3+1</f>
        <v>45125</v>
      </c>
      <c r="D3" s="25">
        <f t="shared" ref="D3:H3" si="0">C3+1</f>
        <v>45126</v>
      </c>
      <c r="E3" s="25">
        <f t="shared" si="0"/>
        <v>45127</v>
      </c>
      <c r="F3" s="25">
        <f t="shared" si="0"/>
        <v>45128</v>
      </c>
      <c r="G3" s="25">
        <f t="shared" si="0"/>
        <v>45129</v>
      </c>
      <c r="H3" s="25">
        <f t="shared" si="0"/>
        <v>45130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1</v>
      </c>
      <c r="L5" s="39">
        <f t="shared" ref="L5:L17" si="3">K5/$K$18</f>
        <v>1</v>
      </c>
      <c r="M5" s="54">
        <f>B3</f>
        <v>45124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0</v>
      </c>
      <c r="L6" s="41">
        <f t="shared" si="3"/>
        <v>0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0</v>
      </c>
      <c r="L9" s="41">
        <f t="shared" si="3"/>
        <v>0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 t="s">
        <v>3</v>
      </c>
      <c r="C12" s="23"/>
      <c r="D12" s="23"/>
      <c r="E12" s="23"/>
      <c r="F12" s="23"/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/>
      <c r="C14" s="23"/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t="s">
        <v>182</v>
      </c>
      <c r="K16" s="40">
        <f t="shared" si="2"/>
        <v>0</v>
      </c>
      <c r="L16" s="41">
        <f t="shared" si="3"/>
        <v>0</v>
      </c>
    </row>
    <row r="17" spans="1:12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59" t="s">
        <v>132</v>
      </c>
      <c r="K17" s="42">
        <f>COUNTIF($B$5:$H$109,J17)</f>
        <v>0</v>
      </c>
      <c r="L17" s="43">
        <f t="shared" si="3"/>
        <v>0</v>
      </c>
    </row>
    <row r="18" spans="1:12" x14ac:dyDescent="0.25">
      <c r="A18" s="8" t="s">
        <v>34</v>
      </c>
      <c r="B18" s="23"/>
      <c r="C18" s="23"/>
      <c r="D18" s="23"/>
      <c r="E18" s="23"/>
      <c r="F18" s="23"/>
      <c r="G18" s="23"/>
      <c r="H18" s="23"/>
      <c r="J18" s="1" t="s">
        <v>1</v>
      </c>
      <c r="K18" s="1">
        <f>SUM(K5:K17)</f>
        <v>1</v>
      </c>
    </row>
    <row r="19" spans="1:12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2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2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2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2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2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2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2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2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2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2" x14ac:dyDescent="0.25">
      <c r="A29" s="8" t="s">
        <v>45</v>
      </c>
      <c r="B29" s="23"/>
      <c r="C29" s="23"/>
      <c r="D29" s="23"/>
      <c r="E29" s="23"/>
      <c r="F29" s="23"/>
      <c r="G29" s="23"/>
      <c r="H29" s="23"/>
    </row>
    <row r="30" spans="1:12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2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2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/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/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911" priority="2" operator="containsText" text="Pivô">
      <formula>NOT(ISERROR(SEARCH("Pivô",A1)))</formula>
    </cfRule>
    <cfRule type="containsText" dxfId="910" priority="3" operator="containsText" text="Pivô">
      <formula>NOT(ISERROR(SEARCH("Pivô",A1)))</formula>
    </cfRule>
  </conditionalFormatting>
  <conditionalFormatting sqref="B5:H109">
    <cfRule type="containsText" dxfId="909" priority="18" operator="containsText" text="Cardã">
      <formula>NOT(ISERROR(SEARCH("Cardã",B5)))</formula>
    </cfRule>
    <cfRule type="containsText" dxfId="908" priority="19" operator="containsText" text="Pneu">
      <formula>NOT(ISERROR(SEARCH("Pneu",B5)))</formula>
    </cfRule>
    <cfRule type="containsText" dxfId="907" priority="20" operator="containsText" text="Vedação">
      <formula>NOT(ISERROR(SEARCH("Vedação",B5)))</formula>
    </cfRule>
    <cfRule type="containsText" dxfId="906" priority="21" operator="containsText" text="Retentor">
      <formula>NOT(ISERROR(SEARCH("Retentor",B5)))</formula>
    </cfRule>
    <cfRule type="containsText" dxfId="905" priority="22" operator="containsText" text="Motorredutor">
      <formula>NOT(ISERROR(SEARCH("Motorredutor",B5)))</formula>
    </cfRule>
    <cfRule type="containsText" dxfId="904" priority="23" operator="containsText" text="Redutor">
      <formula>NOT(ISERROR(SEARCH("Redutor",B5)))</formula>
    </cfRule>
    <cfRule type="containsText" dxfId="903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FD1E9D00-3DD6-4C24-8EF1-523ED9C7F366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4EC399C2-F8D8-4CE9-8395-80480201ECB2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6" operator="containsText" id="{13518E6E-4018-421C-BE39-13B66F1DC27F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7" operator="containsText" id="{59197BEF-B819-482A-B76A-6E9B418C2C01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8" operator="containsText" id="{E45375D6-4048-4178-B9BE-B2918D4B75AA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9" operator="containsText" id="{12F9A3E8-7EB9-475F-BD34-546B680E046C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11022716-306E-47E3-BB91-6110E4C88D94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1" operator="containsText" id="{BD6A77A0-5577-45C6-BD0C-60D44B968A56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2" operator="containsText" id="{F65C0A81-E663-452F-A494-4DE792CD9B46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3" operator="containsText" id="{5310688E-B5E5-40FA-8303-0F2EF6B8E552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4" operator="containsText" id="{3B67CD98-C40B-4D54-B4C1-F80CC4AD31AD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" operator="containsText" id="{872157D2-AE86-4BEB-A931-99B48B958618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265CE71F-EC09-421B-8A18-BF0BDAD5A249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931F42D5-9CD0-4B29-950C-B6E16F293AD3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3D88B8A4-75B3-4954-8914-3ACA504867EE}">
            <xm:f>NOT(ISERROR(SEARCH($J$17,B5)))</xm:f>
            <xm:f>$J$17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4" operator="containsText" id="{9FB4DADB-99F5-471A-BCA7-F1DE4E025F47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3F9BCE6A-684B-457C-9A7C-AA31951BACBA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1E6B-EB49-4AC3-9FE6-C79826A3AAF2}">
  <sheetPr>
    <tabColor theme="4"/>
    <pageSetUpPr fitToPage="1"/>
  </sheetPr>
  <dimension ref="A1:P109"/>
  <sheetViews>
    <sheetView showGridLines="0" zoomScale="115" zoomScaleNormal="11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J5" sqref="J5:M17"/>
    </sheetView>
  </sheetViews>
  <sheetFormatPr defaultRowHeight="15" x14ac:dyDescent="0.25"/>
  <cols>
    <col min="1" max="1" width="9.140625" style="9"/>
    <col min="2" max="8" width="17.5703125" customWidth="1"/>
    <col min="10" max="10" width="18.28515625" bestFit="1" customWidth="1"/>
    <col min="11" max="11" width="9" customWidth="1"/>
    <col min="13" max="13" width="11.85546875" bestFit="1" customWidth="1"/>
  </cols>
  <sheetData>
    <row r="1" spans="1:16" s="9" customFormat="1" ht="15" customHeight="1" x14ac:dyDescent="0.25">
      <c r="A1" s="62" t="s">
        <v>172</v>
      </c>
      <c r="B1" s="62"/>
      <c r="C1" s="62"/>
      <c r="D1" s="62"/>
      <c r="E1" s="62"/>
      <c r="F1" s="62"/>
      <c r="G1" s="62"/>
      <c r="H1" s="62"/>
    </row>
    <row r="2" spans="1:16" s="9" customFormat="1" ht="15" customHeight="1" x14ac:dyDescent="0.25">
      <c r="A2" s="62"/>
      <c r="B2" s="62"/>
      <c r="C2" s="62"/>
      <c r="D2" s="62"/>
      <c r="E2" s="62"/>
      <c r="F2" s="62"/>
      <c r="G2" s="62"/>
      <c r="H2" s="62"/>
    </row>
    <row r="3" spans="1:16" s="9" customFormat="1" ht="15.75" x14ac:dyDescent="0.25">
      <c r="A3" s="24" t="s">
        <v>14</v>
      </c>
      <c r="B3" s="25">
        <v>45131</v>
      </c>
      <c r="C3" s="25">
        <f>B3+1</f>
        <v>45132</v>
      </c>
      <c r="D3" s="25">
        <f t="shared" ref="D3:H3" si="0">C3+1</f>
        <v>45133</v>
      </c>
      <c r="E3" s="25">
        <f t="shared" si="0"/>
        <v>45134</v>
      </c>
      <c r="F3" s="25">
        <f t="shared" si="0"/>
        <v>45135</v>
      </c>
      <c r="G3" s="25">
        <f t="shared" si="0"/>
        <v>45136</v>
      </c>
      <c r="H3" s="25">
        <f t="shared" si="0"/>
        <v>45137</v>
      </c>
      <c r="I3" s="11"/>
      <c r="K3" s="10"/>
    </row>
    <row r="4" spans="1:16" s="9" customFormat="1" ht="15.75" x14ac:dyDescent="0.25">
      <c r="A4" s="27" t="s">
        <v>15</v>
      </c>
      <c r="B4" s="28" t="str">
        <f t="shared" ref="B4:H4" si="1">TEXT(B3,"ddd")</f>
        <v>seg</v>
      </c>
      <c r="C4" s="28" t="str">
        <f t="shared" si="1"/>
        <v>ter</v>
      </c>
      <c r="D4" s="28" t="str">
        <f t="shared" si="1"/>
        <v>qua</v>
      </c>
      <c r="E4" s="28" t="str">
        <f t="shared" si="1"/>
        <v>qui</v>
      </c>
      <c r="F4" s="28" t="str">
        <f t="shared" si="1"/>
        <v>sex</v>
      </c>
      <c r="G4" s="28" t="str">
        <f t="shared" si="1"/>
        <v>sáb</v>
      </c>
      <c r="H4" s="29" t="str">
        <f t="shared" si="1"/>
        <v>dom</v>
      </c>
      <c r="I4" s="11"/>
      <c r="J4" s="10" t="s">
        <v>0</v>
      </c>
      <c r="K4" s="18" t="s">
        <v>16</v>
      </c>
      <c r="L4" s="19" t="s">
        <v>17</v>
      </c>
      <c r="M4" s="9" t="s">
        <v>18</v>
      </c>
    </row>
    <row r="5" spans="1:16" x14ac:dyDescent="0.25">
      <c r="A5" s="7" t="s">
        <v>19</v>
      </c>
      <c r="B5" s="20"/>
      <c r="C5" s="20"/>
      <c r="D5" s="21"/>
      <c r="E5" s="20"/>
      <c r="F5" s="22"/>
      <c r="G5" s="20"/>
      <c r="H5" s="20"/>
      <c r="J5" s="35" t="s">
        <v>3</v>
      </c>
      <c r="K5" s="38">
        <f t="shared" ref="K5:K16" si="2">COUNTIF($B$5:$H$109,J5)</f>
        <v>3</v>
      </c>
      <c r="L5" s="39">
        <f t="shared" ref="L5:L17" si="3">K5/$K$18</f>
        <v>0.5</v>
      </c>
      <c r="M5" s="54">
        <f>B3</f>
        <v>45131</v>
      </c>
    </row>
    <row r="6" spans="1:16" x14ac:dyDescent="0.25">
      <c r="A6" s="8" t="s">
        <v>20</v>
      </c>
      <c r="B6" s="23"/>
      <c r="C6" s="23"/>
      <c r="D6" s="23"/>
      <c r="E6" s="20"/>
      <c r="F6" s="23"/>
      <c r="G6" s="23"/>
      <c r="H6" s="23"/>
      <c r="J6" s="12" t="s">
        <v>4</v>
      </c>
      <c r="K6" s="40">
        <f t="shared" si="2"/>
        <v>1</v>
      </c>
      <c r="L6" s="41">
        <f t="shared" si="3"/>
        <v>0.16666666666666666</v>
      </c>
      <c r="M6" s="54"/>
    </row>
    <row r="7" spans="1:16" x14ac:dyDescent="0.25">
      <c r="A7" s="8" t="s">
        <v>21</v>
      </c>
      <c r="B7" s="23"/>
      <c r="C7" s="23"/>
      <c r="D7" s="23"/>
      <c r="E7" s="23"/>
      <c r="F7" s="23"/>
      <c r="G7" s="23"/>
      <c r="H7" s="23"/>
      <c r="J7" s="13" t="s">
        <v>5</v>
      </c>
      <c r="K7" s="40">
        <f t="shared" si="2"/>
        <v>0</v>
      </c>
      <c r="L7" s="41">
        <f t="shared" si="3"/>
        <v>0</v>
      </c>
    </row>
    <row r="8" spans="1:16" x14ac:dyDescent="0.25">
      <c r="A8" s="8" t="s">
        <v>22</v>
      </c>
      <c r="B8" s="23"/>
      <c r="C8" s="23"/>
      <c r="D8" s="23"/>
      <c r="E8" s="23"/>
      <c r="F8" s="23"/>
      <c r="G8" s="23"/>
      <c r="H8" s="23"/>
      <c r="J8" s="14" t="s">
        <v>6</v>
      </c>
      <c r="K8" s="40">
        <f t="shared" si="2"/>
        <v>0</v>
      </c>
      <c r="L8" s="41">
        <f t="shared" si="3"/>
        <v>0</v>
      </c>
    </row>
    <row r="9" spans="1:16" x14ac:dyDescent="0.25">
      <c r="A9" s="8" t="s">
        <v>23</v>
      </c>
      <c r="B9" s="23"/>
      <c r="C9" s="23"/>
      <c r="D9" s="23"/>
      <c r="E9" s="23"/>
      <c r="F9" s="23"/>
      <c r="G9" s="23"/>
      <c r="H9" s="23"/>
      <c r="J9" s="15" t="s">
        <v>7</v>
      </c>
      <c r="K9" s="40">
        <f t="shared" si="2"/>
        <v>2</v>
      </c>
      <c r="L9" s="41">
        <f t="shared" si="3"/>
        <v>0.33333333333333331</v>
      </c>
      <c r="P9" s="6"/>
    </row>
    <row r="10" spans="1:16" x14ac:dyDescent="0.25">
      <c r="A10" s="8" t="s">
        <v>24</v>
      </c>
      <c r="B10" s="23"/>
      <c r="C10" s="23"/>
      <c r="D10" s="23"/>
      <c r="E10" s="23"/>
      <c r="F10" s="23"/>
      <c r="G10" s="23"/>
      <c r="H10" s="23"/>
      <c r="J10" s="16" t="s">
        <v>8</v>
      </c>
      <c r="K10" s="40">
        <f t="shared" si="2"/>
        <v>0</v>
      </c>
      <c r="L10" s="41">
        <f t="shared" si="3"/>
        <v>0</v>
      </c>
    </row>
    <row r="11" spans="1:16" x14ac:dyDescent="0.25">
      <c r="A11" s="8" t="s">
        <v>26</v>
      </c>
      <c r="B11" s="23"/>
      <c r="C11" s="23"/>
      <c r="D11" s="23"/>
      <c r="E11" s="23"/>
      <c r="F11" s="23"/>
      <c r="G11" s="23"/>
      <c r="H11" s="23"/>
      <c r="J11" s="17" t="s">
        <v>9</v>
      </c>
      <c r="K11" s="40">
        <f t="shared" si="2"/>
        <v>0</v>
      </c>
      <c r="L11" s="41">
        <f t="shared" si="3"/>
        <v>0</v>
      </c>
    </row>
    <row r="12" spans="1:16" x14ac:dyDescent="0.25">
      <c r="A12" s="8" t="s">
        <v>28</v>
      </c>
      <c r="B12" s="23"/>
      <c r="C12" s="23"/>
      <c r="D12" s="23"/>
      <c r="E12" s="23"/>
      <c r="F12" s="23" t="s">
        <v>3</v>
      </c>
      <c r="G12" s="23"/>
      <c r="H12" s="23"/>
      <c r="J12" s="34" t="s">
        <v>10</v>
      </c>
      <c r="K12" s="40">
        <f t="shared" si="2"/>
        <v>0</v>
      </c>
      <c r="L12" s="41">
        <f t="shared" si="3"/>
        <v>0</v>
      </c>
    </row>
    <row r="13" spans="1:16" x14ac:dyDescent="0.25">
      <c r="A13" s="8" t="s">
        <v>29</v>
      </c>
      <c r="B13" s="23"/>
      <c r="C13" s="23"/>
      <c r="D13" s="23"/>
      <c r="E13" s="23"/>
      <c r="F13" s="23"/>
      <c r="G13" s="23"/>
      <c r="H13" s="23"/>
      <c r="J13" s="36" t="s">
        <v>11</v>
      </c>
      <c r="K13" s="40">
        <f t="shared" si="2"/>
        <v>0</v>
      </c>
      <c r="L13" s="41">
        <f t="shared" si="3"/>
        <v>0</v>
      </c>
    </row>
    <row r="14" spans="1:16" x14ac:dyDescent="0.25">
      <c r="A14" s="8" t="s">
        <v>30</v>
      </c>
      <c r="B14" s="23" t="s">
        <v>3</v>
      </c>
      <c r="C14" s="23" t="s">
        <v>3</v>
      </c>
      <c r="D14" s="23"/>
      <c r="E14" s="23"/>
      <c r="F14" s="23"/>
      <c r="G14" s="23"/>
      <c r="H14" s="23"/>
      <c r="J14" s="37" t="s">
        <v>173</v>
      </c>
      <c r="K14" s="42">
        <f t="shared" si="2"/>
        <v>0</v>
      </c>
      <c r="L14" s="43">
        <f t="shared" si="3"/>
        <v>0</v>
      </c>
    </row>
    <row r="15" spans="1:16" x14ac:dyDescent="0.25">
      <c r="A15" s="8" t="s">
        <v>31</v>
      </c>
      <c r="B15" s="23"/>
      <c r="C15" s="23"/>
      <c r="D15" s="23"/>
      <c r="E15" s="23"/>
      <c r="F15" s="23"/>
      <c r="G15" s="23"/>
      <c r="H15" s="23"/>
      <c r="J15" s="61" t="s">
        <v>171</v>
      </c>
      <c r="K15" s="40">
        <f t="shared" si="2"/>
        <v>0</v>
      </c>
      <c r="L15" s="41">
        <f t="shared" si="3"/>
        <v>0</v>
      </c>
    </row>
    <row r="16" spans="1:16" x14ac:dyDescent="0.25">
      <c r="A16" s="8" t="s">
        <v>32</v>
      </c>
      <c r="B16" s="23"/>
      <c r="C16" s="23"/>
      <c r="D16" s="23"/>
      <c r="E16" s="23"/>
      <c r="F16" s="23"/>
      <c r="G16" s="23"/>
      <c r="H16" s="23"/>
      <c r="J16" t="s">
        <v>182</v>
      </c>
      <c r="K16" s="40">
        <f t="shared" si="2"/>
        <v>0</v>
      </c>
      <c r="L16" s="41">
        <f t="shared" si="3"/>
        <v>0</v>
      </c>
    </row>
    <row r="17" spans="1:12" x14ac:dyDescent="0.25">
      <c r="A17" s="8" t="s">
        <v>33</v>
      </c>
      <c r="B17" s="23"/>
      <c r="C17" s="23"/>
      <c r="D17" s="23"/>
      <c r="E17" s="23"/>
      <c r="F17" s="23"/>
      <c r="G17" s="23"/>
      <c r="H17" s="23"/>
      <c r="J17" s="59" t="s">
        <v>132</v>
      </c>
      <c r="K17" s="42">
        <f>COUNTIF($B$5:$H$109,J17)</f>
        <v>0</v>
      </c>
      <c r="L17" s="43">
        <f t="shared" si="3"/>
        <v>0</v>
      </c>
    </row>
    <row r="18" spans="1:12" x14ac:dyDescent="0.25">
      <c r="A18" s="8" t="s">
        <v>34</v>
      </c>
      <c r="B18" s="23"/>
      <c r="C18" s="23"/>
      <c r="D18" s="23"/>
      <c r="E18" s="23"/>
      <c r="F18" s="23"/>
      <c r="G18" s="23"/>
      <c r="H18" s="23"/>
      <c r="J18" s="1" t="s">
        <v>1</v>
      </c>
      <c r="K18" s="1">
        <f>SUM(K5:K17)</f>
        <v>6</v>
      </c>
    </row>
    <row r="19" spans="1:12" x14ac:dyDescent="0.25">
      <c r="A19" s="8" t="s">
        <v>35</v>
      </c>
      <c r="B19" s="23"/>
      <c r="C19" s="23"/>
      <c r="D19" s="23"/>
      <c r="E19" s="23"/>
      <c r="F19" s="23"/>
      <c r="G19" s="23"/>
      <c r="H19" s="23"/>
    </row>
    <row r="20" spans="1:12" x14ac:dyDescent="0.25">
      <c r="A20" s="8" t="s">
        <v>36</v>
      </c>
      <c r="B20" s="23"/>
      <c r="C20" s="23"/>
      <c r="D20" s="23"/>
      <c r="E20" s="23"/>
      <c r="F20" s="23"/>
      <c r="G20" s="23"/>
      <c r="H20" s="23"/>
    </row>
    <row r="21" spans="1:12" x14ac:dyDescent="0.25">
      <c r="A21" s="8" t="s">
        <v>37</v>
      </c>
      <c r="B21" s="23"/>
      <c r="C21" s="23"/>
      <c r="D21" s="23"/>
      <c r="E21" s="23"/>
      <c r="F21" s="23"/>
      <c r="G21" s="23"/>
      <c r="H21" s="23"/>
    </row>
    <row r="22" spans="1:12" x14ac:dyDescent="0.25">
      <c r="A22" s="8" t="s">
        <v>38</v>
      </c>
      <c r="B22" s="23"/>
      <c r="C22" s="23"/>
      <c r="D22" s="23"/>
      <c r="E22" s="23"/>
      <c r="F22" s="23"/>
      <c r="G22" s="23"/>
      <c r="H22" s="23"/>
    </row>
    <row r="23" spans="1:12" x14ac:dyDescent="0.25">
      <c r="A23" s="8" t="s">
        <v>39</v>
      </c>
      <c r="B23" s="23"/>
      <c r="C23" s="23"/>
      <c r="D23" s="23"/>
      <c r="E23" s="23"/>
      <c r="F23" s="23"/>
      <c r="G23" s="23"/>
      <c r="H23" s="23"/>
    </row>
    <row r="24" spans="1:12" x14ac:dyDescent="0.25">
      <c r="A24" s="8" t="s">
        <v>40</v>
      </c>
      <c r="B24" s="23"/>
      <c r="C24" s="23"/>
      <c r="D24" s="23"/>
      <c r="E24" s="23"/>
      <c r="F24" s="23"/>
      <c r="G24" s="23"/>
      <c r="H24" s="23"/>
    </row>
    <row r="25" spans="1:12" x14ac:dyDescent="0.25">
      <c r="A25" s="8" t="s">
        <v>41</v>
      </c>
      <c r="B25" s="23"/>
      <c r="C25" s="23"/>
      <c r="D25" s="23"/>
      <c r="E25" s="23"/>
      <c r="F25" s="23"/>
      <c r="G25" s="23"/>
      <c r="H25" s="23"/>
    </row>
    <row r="26" spans="1:12" x14ac:dyDescent="0.25">
      <c r="A26" s="8" t="s">
        <v>42</v>
      </c>
      <c r="B26" s="23"/>
      <c r="C26" s="23"/>
      <c r="D26" s="23"/>
      <c r="E26" s="23"/>
      <c r="F26" s="23"/>
      <c r="G26" s="23"/>
      <c r="H26" s="23"/>
    </row>
    <row r="27" spans="1:12" x14ac:dyDescent="0.25">
      <c r="A27" s="8" t="s">
        <v>43</v>
      </c>
      <c r="B27" s="23"/>
      <c r="C27" s="23"/>
      <c r="D27" s="23"/>
      <c r="E27" s="23"/>
      <c r="F27" s="23"/>
      <c r="G27" s="23"/>
      <c r="H27" s="23"/>
    </row>
    <row r="28" spans="1:12" x14ac:dyDescent="0.25">
      <c r="A28" s="8" t="s">
        <v>44</v>
      </c>
      <c r="B28" s="23"/>
      <c r="C28" s="23"/>
      <c r="D28" s="23"/>
      <c r="E28" s="23"/>
      <c r="F28" s="23"/>
      <c r="G28" s="23"/>
      <c r="H28" s="23"/>
    </row>
    <row r="29" spans="1:12" x14ac:dyDescent="0.25">
      <c r="A29" s="8" t="s">
        <v>45</v>
      </c>
      <c r="B29" s="23"/>
      <c r="C29" s="23"/>
      <c r="D29" s="23"/>
      <c r="E29" s="23"/>
      <c r="F29" s="23"/>
      <c r="G29" s="23"/>
      <c r="H29" s="23" t="s">
        <v>4</v>
      </c>
    </row>
    <row r="30" spans="1:12" x14ac:dyDescent="0.25">
      <c r="A30" s="8" t="s">
        <v>46</v>
      </c>
      <c r="B30" s="23"/>
      <c r="C30" s="23"/>
      <c r="D30" s="23"/>
      <c r="E30" s="23"/>
      <c r="F30" s="23"/>
      <c r="G30" s="23"/>
      <c r="H30" s="23"/>
    </row>
    <row r="31" spans="1:12" x14ac:dyDescent="0.25">
      <c r="A31" s="8" t="s">
        <v>47</v>
      </c>
      <c r="B31" s="23"/>
      <c r="C31" s="23"/>
      <c r="D31" s="23"/>
      <c r="E31" s="23"/>
      <c r="F31" s="23"/>
      <c r="G31" s="23"/>
      <c r="H31" s="23"/>
    </row>
    <row r="32" spans="1:12" x14ac:dyDescent="0.25">
      <c r="A32" s="8" t="s">
        <v>48</v>
      </c>
      <c r="B32" s="23"/>
      <c r="C32" s="23"/>
      <c r="D32" s="23"/>
      <c r="E32" s="23"/>
      <c r="F32" s="23"/>
      <c r="G32" s="23"/>
      <c r="H32" s="23"/>
    </row>
    <row r="33" spans="1:8" x14ac:dyDescent="0.25">
      <c r="A33" s="8" t="s">
        <v>49</v>
      </c>
      <c r="B33" s="23"/>
      <c r="C33" s="23"/>
      <c r="D33" s="23"/>
      <c r="E33" s="23"/>
      <c r="F33" s="23"/>
      <c r="G33" s="23"/>
      <c r="H33" s="23"/>
    </row>
    <row r="34" spans="1:8" x14ac:dyDescent="0.25">
      <c r="A34" s="8" t="s">
        <v>50</v>
      </c>
      <c r="B34" s="23"/>
      <c r="C34" s="23"/>
      <c r="D34" s="23"/>
      <c r="E34" s="23"/>
      <c r="F34" s="23"/>
      <c r="G34" s="23"/>
      <c r="H34" s="23"/>
    </row>
    <row r="35" spans="1:8" x14ac:dyDescent="0.25">
      <c r="A35" s="8" t="s">
        <v>51</v>
      </c>
      <c r="B35" s="23"/>
      <c r="C35" s="23"/>
      <c r="D35" s="23"/>
      <c r="E35" s="23"/>
      <c r="F35" s="23"/>
      <c r="G35" s="23"/>
      <c r="H35" s="23"/>
    </row>
    <row r="36" spans="1:8" x14ac:dyDescent="0.25">
      <c r="A36" s="8" t="s">
        <v>52</v>
      </c>
      <c r="B36" s="23"/>
      <c r="C36" s="23"/>
      <c r="D36" s="23"/>
      <c r="E36" s="23"/>
      <c r="F36" s="23"/>
      <c r="G36" s="23"/>
      <c r="H36" s="23"/>
    </row>
    <row r="37" spans="1:8" x14ac:dyDescent="0.25">
      <c r="A37" s="8" t="s">
        <v>53</v>
      </c>
      <c r="B37" s="23"/>
      <c r="C37" s="23"/>
      <c r="D37" s="23"/>
      <c r="E37" s="23"/>
      <c r="F37" s="23"/>
      <c r="G37" s="23"/>
      <c r="H37" s="23"/>
    </row>
    <row r="38" spans="1:8" x14ac:dyDescent="0.25">
      <c r="A38" s="8" t="s">
        <v>54</v>
      </c>
      <c r="B38" s="23"/>
      <c r="C38" s="23"/>
      <c r="D38" s="23"/>
      <c r="E38" s="23"/>
      <c r="F38" s="23"/>
      <c r="G38" s="23"/>
      <c r="H38" s="23"/>
    </row>
    <row r="39" spans="1:8" x14ac:dyDescent="0.25">
      <c r="A39" s="8" t="s">
        <v>55</v>
      </c>
      <c r="B39" s="23"/>
      <c r="C39" s="23"/>
      <c r="D39" s="23"/>
      <c r="E39" s="23"/>
      <c r="F39" s="23"/>
      <c r="G39" s="23"/>
      <c r="H39" s="23"/>
    </row>
    <row r="40" spans="1:8" x14ac:dyDescent="0.25">
      <c r="A40" s="8" t="s">
        <v>56</v>
      </c>
      <c r="B40" s="23"/>
      <c r="C40" s="23"/>
      <c r="D40" s="23"/>
      <c r="E40" s="23"/>
      <c r="F40" s="23"/>
      <c r="G40" s="23"/>
      <c r="H40" s="23"/>
    </row>
    <row r="41" spans="1:8" x14ac:dyDescent="0.25">
      <c r="A41" s="8" t="s">
        <v>57</v>
      </c>
      <c r="B41" s="23"/>
      <c r="C41" s="23"/>
      <c r="D41" s="23"/>
      <c r="E41" s="23"/>
      <c r="F41" s="23"/>
      <c r="G41" s="23"/>
      <c r="H41" s="23"/>
    </row>
    <row r="42" spans="1:8" x14ac:dyDescent="0.25">
      <c r="A42" s="8" t="s">
        <v>58</v>
      </c>
      <c r="B42" s="23"/>
      <c r="C42" s="23"/>
      <c r="D42" s="23"/>
      <c r="E42" s="23"/>
      <c r="F42" s="23"/>
      <c r="G42" s="23"/>
      <c r="H42" s="23"/>
    </row>
    <row r="43" spans="1:8" x14ac:dyDescent="0.25">
      <c r="A43" s="8" t="s">
        <v>59</v>
      </c>
      <c r="B43" s="23"/>
      <c r="C43" s="23"/>
      <c r="D43" s="23"/>
      <c r="E43" s="23"/>
      <c r="F43" s="23"/>
      <c r="G43" s="23"/>
      <c r="H43" s="23"/>
    </row>
    <row r="44" spans="1:8" x14ac:dyDescent="0.25">
      <c r="A44" s="8" t="s">
        <v>60</v>
      </c>
      <c r="B44" s="23"/>
      <c r="C44" s="23"/>
      <c r="D44" s="23"/>
      <c r="E44" s="23"/>
      <c r="F44" s="23"/>
      <c r="G44" s="23"/>
      <c r="H44" s="23"/>
    </row>
    <row r="45" spans="1:8" x14ac:dyDescent="0.25">
      <c r="A45" s="8" t="s">
        <v>61</v>
      </c>
      <c r="B45" s="23"/>
      <c r="C45" s="23"/>
      <c r="D45" s="23"/>
      <c r="E45" s="23"/>
      <c r="F45" s="23"/>
      <c r="G45" s="23"/>
      <c r="H45" s="23"/>
    </row>
    <row r="46" spans="1:8" x14ac:dyDescent="0.25">
      <c r="A46" s="8" t="s">
        <v>62</v>
      </c>
      <c r="B46" s="23"/>
      <c r="C46" s="23"/>
      <c r="D46" s="23"/>
      <c r="E46" s="23"/>
      <c r="F46" s="23"/>
      <c r="G46" s="23"/>
      <c r="H46" s="23"/>
    </row>
    <row r="47" spans="1:8" x14ac:dyDescent="0.25">
      <c r="A47" s="8" t="s">
        <v>63</v>
      </c>
      <c r="B47" s="23"/>
      <c r="C47" s="23"/>
      <c r="D47" s="23"/>
      <c r="E47" s="23"/>
      <c r="F47" s="23"/>
      <c r="G47" s="23"/>
      <c r="H47" s="23"/>
    </row>
    <row r="48" spans="1:8" x14ac:dyDescent="0.25">
      <c r="A48" s="8" t="s">
        <v>64</v>
      </c>
      <c r="B48" s="23"/>
      <c r="C48" s="23"/>
      <c r="D48" s="23"/>
      <c r="E48" s="23"/>
      <c r="F48" s="23"/>
      <c r="G48" s="23"/>
      <c r="H48" s="23"/>
    </row>
    <row r="49" spans="1:8" x14ac:dyDescent="0.25">
      <c r="A49" s="8" t="s">
        <v>65</v>
      </c>
      <c r="B49" s="23"/>
      <c r="C49" s="23"/>
      <c r="D49" s="23"/>
      <c r="E49" s="23"/>
      <c r="F49" s="23"/>
      <c r="G49" s="23"/>
      <c r="H49" s="23"/>
    </row>
    <row r="50" spans="1:8" x14ac:dyDescent="0.25">
      <c r="A50" s="8" t="s">
        <v>66</v>
      </c>
      <c r="B50" s="23"/>
      <c r="C50" s="23"/>
      <c r="D50" s="23"/>
      <c r="E50" s="23"/>
      <c r="F50" s="23" t="s">
        <v>7</v>
      </c>
      <c r="G50" s="23"/>
      <c r="H50" s="23"/>
    </row>
    <row r="51" spans="1:8" x14ac:dyDescent="0.25">
      <c r="A51" s="8" t="s">
        <v>67</v>
      </c>
      <c r="B51" s="23"/>
      <c r="C51" s="23"/>
      <c r="D51" s="23"/>
      <c r="E51" s="23"/>
      <c r="F51" s="23"/>
      <c r="G51" s="23"/>
      <c r="H51" s="23"/>
    </row>
    <row r="52" spans="1:8" x14ac:dyDescent="0.25">
      <c r="A52" s="8" t="s">
        <v>68</v>
      </c>
      <c r="B52" s="23"/>
      <c r="C52" s="23"/>
      <c r="D52" s="23"/>
      <c r="E52" s="23"/>
      <c r="F52" s="23"/>
      <c r="G52" s="23"/>
      <c r="H52" s="23"/>
    </row>
    <row r="53" spans="1:8" x14ac:dyDescent="0.25">
      <c r="A53" s="8" t="s">
        <v>69</v>
      </c>
      <c r="B53" s="23"/>
      <c r="C53" s="23"/>
      <c r="D53" s="23"/>
      <c r="E53" s="23"/>
      <c r="F53" s="23"/>
      <c r="G53" s="23"/>
      <c r="H53" s="23"/>
    </row>
    <row r="54" spans="1:8" x14ac:dyDescent="0.25">
      <c r="A54" s="8" t="s">
        <v>70</v>
      </c>
      <c r="B54" s="23"/>
      <c r="C54" s="23"/>
      <c r="D54" s="23"/>
      <c r="E54" s="23"/>
      <c r="F54" s="23"/>
      <c r="G54" s="23"/>
      <c r="H54" s="23"/>
    </row>
    <row r="55" spans="1:8" x14ac:dyDescent="0.25">
      <c r="A55" s="8" t="s">
        <v>71</v>
      </c>
      <c r="B55" s="23"/>
      <c r="C55" s="23"/>
      <c r="D55" s="23"/>
      <c r="E55" s="23"/>
      <c r="F55" s="23"/>
      <c r="G55" s="23"/>
      <c r="H55" s="23"/>
    </row>
    <row r="56" spans="1:8" x14ac:dyDescent="0.25">
      <c r="A56" s="8" t="s">
        <v>72</v>
      </c>
      <c r="B56" s="23"/>
      <c r="C56" s="23"/>
      <c r="D56" s="23"/>
      <c r="E56" s="23"/>
      <c r="F56" s="23"/>
      <c r="G56" s="23"/>
      <c r="H56" s="23"/>
    </row>
    <row r="57" spans="1:8" x14ac:dyDescent="0.25">
      <c r="A57" s="8" t="s">
        <v>73</v>
      </c>
      <c r="B57" s="23"/>
      <c r="C57" s="23"/>
      <c r="D57" s="23"/>
      <c r="E57" s="23"/>
      <c r="F57" s="23"/>
      <c r="G57" s="23"/>
      <c r="H57" s="23"/>
    </row>
    <row r="58" spans="1:8" x14ac:dyDescent="0.25">
      <c r="A58" s="8" t="s">
        <v>74</v>
      </c>
      <c r="B58" s="23"/>
      <c r="C58" s="23"/>
      <c r="D58" s="23"/>
      <c r="E58" s="23"/>
      <c r="F58" s="23"/>
      <c r="G58" s="23"/>
      <c r="H58" s="23"/>
    </row>
    <row r="59" spans="1:8" x14ac:dyDescent="0.25">
      <c r="A59" s="8" t="s">
        <v>75</v>
      </c>
      <c r="B59" s="23"/>
      <c r="C59" s="23"/>
      <c r="D59" s="23"/>
      <c r="E59" s="23"/>
      <c r="F59" s="23"/>
      <c r="G59" s="23"/>
      <c r="H59" s="23"/>
    </row>
    <row r="60" spans="1:8" x14ac:dyDescent="0.25">
      <c r="A60" s="8" t="s">
        <v>76</v>
      </c>
      <c r="B60" s="23"/>
      <c r="C60" s="23"/>
      <c r="D60" s="23"/>
      <c r="E60" s="23"/>
      <c r="F60" s="23"/>
      <c r="G60" s="23"/>
      <c r="H60" s="23"/>
    </row>
    <row r="61" spans="1:8" x14ac:dyDescent="0.25">
      <c r="A61" s="8" t="s">
        <v>154</v>
      </c>
      <c r="B61" s="23"/>
      <c r="C61" s="23"/>
      <c r="D61" s="23"/>
      <c r="E61" s="23"/>
      <c r="F61" s="23"/>
      <c r="G61" s="23"/>
      <c r="H61" s="23"/>
    </row>
    <row r="62" spans="1:8" x14ac:dyDescent="0.25">
      <c r="A62" s="8" t="s">
        <v>155</v>
      </c>
      <c r="B62" s="23"/>
      <c r="C62" s="23"/>
      <c r="D62" s="23"/>
      <c r="E62" s="23"/>
      <c r="F62" s="23"/>
      <c r="G62" s="23"/>
      <c r="H62" s="23"/>
    </row>
    <row r="63" spans="1:8" x14ac:dyDescent="0.25">
      <c r="A63" s="8" t="s">
        <v>156</v>
      </c>
      <c r="B63" s="23"/>
      <c r="C63" s="23"/>
      <c r="D63" s="23"/>
      <c r="E63" s="23"/>
      <c r="F63" s="23"/>
      <c r="G63" s="23"/>
      <c r="H63" s="23"/>
    </row>
    <row r="64" spans="1:8" x14ac:dyDescent="0.25">
      <c r="A64" s="8" t="s">
        <v>157</v>
      </c>
      <c r="B64" s="23"/>
      <c r="C64" s="23"/>
      <c r="D64" s="23"/>
      <c r="E64" s="23"/>
      <c r="F64" s="23"/>
      <c r="G64" s="23"/>
      <c r="H64" s="23"/>
    </row>
    <row r="65" spans="1:8" x14ac:dyDescent="0.25">
      <c r="A65" s="8" t="s">
        <v>158</v>
      </c>
      <c r="B65" s="23"/>
      <c r="C65" s="23"/>
      <c r="D65" s="23"/>
      <c r="E65" s="23"/>
      <c r="F65" s="23"/>
      <c r="G65" s="23"/>
      <c r="H65" s="23"/>
    </row>
    <row r="66" spans="1:8" x14ac:dyDescent="0.25">
      <c r="A66" s="8" t="s">
        <v>159</v>
      </c>
      <c r="B66" s="23"/>
      <c r="C66" s="23"/>
      <c r="D66" s="23"/>
      <c r="E66" s="23"/>
      <c r="F66" s="23"/>
      <c r="G66" s="23"/>
      <c r="H66" s="23"/>
    </row>
    <row r="67" spans="1:8" x14ac:dyDescent="0.25">
      <c r="A67" s="8" t="s">
        <v>160</v>
      </c>
      <c r="B67" s="23"/>
      <c r="C67" s="23"/>
      <c r="D67" s="23"/>
      <c r="E67" s="23"/>
      <c r="F67" s="23"/>
      <c r="G67" s="23"/>
      <c r="H67" s="23"/>
    </row>
    <row r="68" spans="1:8" x14ac:dyDescent="0.25">
      <c r="A68" s="8" t="s">
        <v>161</v>
      </c>
      <c r="B68" s="23"/>
      <c r="C68" s="23"/>
      <c r="D68" s="23"/>
      <c r="E68" s="23"/>
      <c r="F68" s="23"/>
      <c r="G68" s="23"/>
      <c r="H68" s="23"/>
    </row>
    <row r="69" spans="1:8" x14ac:dyDescent="0.25">
      <c r="A69" s="8" t="s">
        <v>162</v>
      </c>
      <c r="B69" s="23"/>
      <c r="C69" s="23"/>
      <c r="D69" s="23"/>
      <c r="E69" s="23"/>
      <c r="F69" s="23"/>
      <c r="G69" s="23"/>
      <c r="H69" s="23"/>
    </row>
    <row r="70" spans="1:8" x14ac:dyDescent="0.25">
      <c r="A70" s="8" t="s">
        <v>163</v>
      </c>
      <c r="B70" s="23"/>
      <c r="C70" s="23"/>
      <c r="D70" s="23"/>
      <c r="E70" s="23"/>
      <c r="F70" s="23"/>
      <c r="G70" s="23"/>
      <c r="H70" s="23"/>
    </row>
    <row r="71" spans="1:8" x14ac:dyDescent="0.25">
      <c r="A71" s="8" t="s">
        <v>164</v>
      </c>
      <c r="B71" s="23"/>
      <c r="C71" s="23"/>
      <c r="D71" s="23"/>
      <c r="E71" s="23"/>
      <c r="F71" s="23"/>
      <c r="G71" s="23"/>
      <c r="H71" s="23"/>
    </row>
    <row r="72" spans="1:8" x14ac:dyDescent="0.25">
      <c r="A72" s="8" t="s">
        <v>165</v>
      </c>
      <c r="B72" s="23"/>
      <c r="C72" s="23"/>
      <c r="D72" s="23"/>
      <c r="E72" s="23"/>
      <c r="F72" s="23"/>
      <c r="G72" s="23"/>
      <c r="H72" s="23"/>
    </row>
    <row r="73" spans="1:8" x14ac:dyDescent="0.25">
      <c r="A73" s="8" t="s">
        <v>166</v>
      </c>
      <c r="B73" s="23"/>
      <c r="C73" s="23"/>
      <c r="D73" s="23"/>
      <c r="E73" s="23"/>
      <c r="F73" s="23"/>
      <c r="G73" s="23"/>
      <c r="H73" s="23"/>
    </row>
    <row r="74" spans="1:8" x14ac:dyDescent="0.25">
      <c r="A74" s="8" t="s">
        <v>167</v>
      </c>
      <c r="B74" s="23"/>
      <c r="C74" s="23"/>
      <c r="D74" s="23"/>
      <c r="E74" s="23"/>
      <c r="F74" s="23"/>
      <c r="G74" s="23"/>
      <c r="H74" s="23"/>
    </row>
    <row r="75" spans="1:8" x14ac:dyDescent="0.25">
      <c r="A75" s="8" t="s">
        <v>168</v>
      </c>
      <c r="B75" s="23"/>
      <c r="C75" s="23"/>
      <c r="D75" s="23"/>
      <c r="E75" s="23"/>
      <c r="F75" s="23"/>
      <c r="G75" s="23"/>
      <c r="H75" s="23"/>
    </row>
    <row r="76" spans="1:8" x14ac:dyDescent="0.25">
      <c r="A76" s="8" t="s">
        <v>169</v>
      </c>
      <c r="B76" s="23"/>
      <c r="C76" s="23"/>
      <c r="D76" s="23"/>
      <c r="E76" s="23"/>
      <c r="F76" s="23"/>
      <c r="G76" s="23"/>
      <c r="H76" s="23"/>
    </row>
    <row r="77" spans="1:8" x14ac:dyDescent="0.25">
      <c r="A77" s="8" t="s">
        <v>77</v>
      </c>
      <c r="B77" s="23"/>
      <c r="C77" s="23"/>
      <c r="D77" s="23"/>
      <c r="E77" s="23"/>
      <c r="F77" s="23"/>
      <c r="G77" s="23"/>
      <c r="H77" s="23"/>
    </row>
    <row r="78" spans="1:8" x14ac:dyDescent="0.25">
      <c r="A78" s="8" t="s">
        <v>78</v>
      </c>
      <c r="B78" s="23"/>
      <c r="C78" s="23"/>
      <c r="D78" s="23"/>
      <c r="E78" s="23"/>
      <c r="F78" s="23"/>
      <c r="G78" s="23"/>
      <c r="H78" s="23"/>
    </row>
    <row r="79" spans="1:8" x14ac:dyDescent="0.25">
      <c r="A79" s="8" t="s">
        <v>79</v>
      </c>
      <c r="B79" s="23"/>
      <c r="C79" s="23"/>
      <c r="D79" s="23"/>
      <c r="E79" s="23"/>
      <c r="F79" s="23"/>
      <c r="G79" s="23"/>
      <c r="H79" s="23"/>
    </row>
    <row r="80" spans="1:8" x14ac:dyDescent="0.25">
      <c r="A80" s="8" t="s">
        <v>80</v>
      </c>
      <c r="B80" s="23"/>
      <c r="C80" s="23"/>
      <c r="D80" s="23"/>
      <c r="E80" s="23"/>
      <c r="F80" s="23"/>
      <c r="G80" s="23"/>
      <c r="H80" s="23"/>
    </row>
    <row r="81" spans="1:8" x14ac:dyDescent="0.25">
      <c r="A81" s="8" t="s">
        <v>81</v>
      </c>
      <c r="B81" s="23"/>
      <c r="C81" s="23"/>
      <c r="D81" s="23"/>
      <c r="E81" s="23"/>
      <c r="F81" s="23"/>
      <c r="G81" s="23"/>
      <c r="H81" s="23"/>
    </row>
    <row r="82" spans="1:8" x14ac:dyDescent="0.25">
      <c r="A82" s="8" t="s">
        <v>82</v>
      </c>
      <c r="B82" s="23"/>
      <c r="C82" s="23"/>
      <c r="D82" s="23"/>
      <c r="E82" s="23"/>
      <c r="F82" s="23"/>
      <c r="G82" s="23"/>
      <c r="H82" s="23"/>
    </row>
    <row r="83" spans="1:8" x14ac:dyDescent="0.25">
      <c r="A83" s="8" t="s">
        <v>83</v>
      </c>
      <c r="B83" s="23"/>
      <c r="C83" s="23"/>
      <c r="D83" s="23"/>
      <c r="E83" s="23"/>
      <c r="F83" s="23"/>
      <c r="G83" s="23"/>
      <c r="H83" s="23"/>
    </row>
    <row r="84" spans="1:8" x14ac:dyDescent="0.25">
      <c r="A84" s="8" t="s">
        <v>84</v>
      </c>
      <c r="B84" s="23"/>
      <c r="C84" s="23"/>
      <c r="D84" s="23"/>
      <c r="E84" s="23"/>
      <c r="F84" s="23"/>
      <c r="G84" s="23"/>
      <c r="H84" s="23"/>
    </row>
    <row r="85" spans="1:8" x14ac:dyDescent="0.25">
      <c r="A85" s="8" t="s">
        <v>85</v>
      </c>
      <c r="B85" s="23"/>
      <c r="C85" s="23"/>
      <c r="D85" s="23"/>
      <c r="E85" s="23"/>
      <c r="F85" s="23"/>
      <c r="G85" s="23"/>
      <c r="H85" s="23"/>
    </row>
    <row r="86" spans="1:8" x14ac:dyDescent="0.25">
      <c r="A86" s="8" t="s">
        <v>86</v>
      </c>
      <c r="B86" s="23"/>
      <c r="C86" s="23"/>
      <c r="D86" s="23"/>
      <c r="E86" s="23"/>
      <c r="F86" s="23"/>
      <c r="G86" s="23"/>
      <c r="H86" s="23"/>
    </row>
    <row r="87" spans="1:8" x14ac:dyDescent="0.25">
      <c r="A87" s="8" t="s">
        <v>87</v>
      </c>
      <c r="B87" s="23"/>
      <c r="C87" s="23"/>
      <c r="D87" s="23"/>
      <c r="E87" s="23"/>
      <c r="F87" s="23"/>
      <c r="G87" s="23"/>
      <c r="H87" s="23"/>
    </row>
    <row r="88" spans="1:8" x14ac:dyDescent="0.25">
      <c r="A88" s="8" t="s">
        <v>88</v>
      </c>
      <c r="B88" s="23"/>
      <c r="C88" s="23"/>
      <c r="D88" s="23"/>
      <c r="E88" s="23"/>
      <c r="F88" s="23"/>
      <c r="G88" s="23"/>
      <c r="H88" s="23"/>
    </row>
    <row r="89" spans="1:8" x14ac:dyDescent="0.25">
      <c r="A89" s="8" t="s">
        <v>90</v>
      </c>
      <c r="B89" s="23"/>
      <c r="C89" s="23"/>
      <c r="D89" s="23"/>
      <c r="E89" s="23"/>
      <c r="F89" s="23"/>
      <c r="G89" s="23"/>
      <c r="H89" s="23"/>
    </row>
    <row r="90" spans="1:8" x14ac:dyDescent="0.25">
      <c r="A90" s="8" t="s">
        <v>91</v>
      </c>
      <c r="B90" s="23"/>
      <c r="C90" s="23"/>
      <c r="D90" s="23"/>
      <c r="E90" s="23"/>
      <c r="F90" s="23"/>
      <c r="G90" s="23"/>
      <c r="H90" s="23"/>
    </row>
    <row r="91" spans="1:8" x14ac:dyDescent="0.25">
      <c r="A91" s="8" t="s">
        <v>92</v>
      </c>
      <c r="B91" s="23"/>
      <c r="C91" s="23"/>
      <c r="D91" s="23"/>
      <c r="E91" s="23"/>
      <c r="F91" s="23"/>
      <c r="G91" s="23"/>
      <c r="H91" s="23"/>
    </row>
    <row r="92" spans="1:8" x14ac:dyDescent="0.25">
      <c r="A92" s="8" t="s">
        <v>93</v>
      </c>
      <c r="B92" s="23"/>
      <c r="C92" s="23"/>
      <c r="D92" s="23"/>
      <c r="E92" s="23"/>
      <c r="F92" s="23"/>
      <c r="G92" s="23"/>
      <c r="H92" s="23"/>
    </row>
    <row r="93" spans="1:8" x14ac:dyDescent="0.25">
      <c r="A93" s="8" t="s">
        <v>94</v>
      </c>
      <c r="B93" s="23"/>
      <c r="C93" s="23"/>
      <c r="D93" s="23"/>
      <c r="E93" s="23"/>
      <c r="F93" s="23"/>
      <c r="G93" s="23"/>
      <c r="H93" s="23"/>
    </row>
    <row r="94" spans="1:8" x14ac:dyDescent="0.25">
      <c r="A94" s="8" t="s">
        <v>95</v>
      </c>
      <c r="B94" s="23"/>
      <c r="C94" s="23"/>
      <c r="D94" s="23"/>
      <c r="E94" s="23"/>
      <c r="F94" s="23"/>
      <c r="G94" s="23"/>
      <c r="H94" s="23"/>
    </row>
    <row r="95" spans="1:8" x14ac:dyDescent="0.25">
      <c r="A95" s="8" t="s">
        <v>96</v>
      </c>
      <c r="B95" s="23"/>
      <c r="C95" s="23"/>
      <c r="D95" s="23"/>
      <c r="E95" s="23"/>
      <c r="F95" s="23"/>
      <c r="G95" s="23"/>
      <c r="H95" s="23"/>
    </row>
    <row r="96" spans="1:8" x14ac:dyDescent="0.25">
      <c r="A96" s="8" t="s">
        <v>97</v>
      </c>
      <c r="B96" s="23"/>
      <c r="C96" s="23"/>
      <c r="D96" s="23"/>
      <c r="E96" s="23"/>
      <c r="F96" s="23"/>
      <c r="G96" s="23"/>
      <c r="H96" s="23"/>
    </row>
    <row r="97" spans="1:8" x14ac:dyDescent="0.25">
      <c r="A97" s="8" t="s">
        <v>98</v>
      </c>
      <c r="B97" s="23"/>
      <c r="C97" s="23"/>
      <c r="D97" s="23"/>
      <c r="E97" s="23"/>
      <c r="F97" s="23"/>
      <c r="G97" s="23"/>
      <c r="H97" s="23"/>
    </row>
    <row r="98" spans="1:8" x14ac:dyDescent="0.25">
      <c r="A98" s="8" t="s">
        <v>99</v>
      </c>
      <c r="B98" s="23"/>
      <c r="C98" s="23"/>
      <c r="D98" s="23"/>
      <c r="E98" s="23"/>
      <c r="F98" s="23"/>
      <c r="G98" s="23"/>
      <c r="H98" s="23"/>
    </row>
    <row r="99" spans="1:8" x14ac:dyDescent="0.25">
      <c r="A99" s="8" t="s">
        <v>100</v>
      </c>
      <c r="B99" s="23"/>
      <c r="C99" s="23"/>
      <c r="D99" s="23"/>
      <c r="E99" s="23"/>
      <c r="F99" s="23"/>
      <c r="G99" s="23"/>
      <c r="H99" s="23"/>
    </row>
    <row r="100" spans="1:8" x14ac:dyDescent="0.25">
      <c r="A100" s="8" t="s">
        <v>101</v>
      </c>
      <c r="B100" s="23"/>
      <c r="C100" s="23"/>
      <c r="D100" s="23"/>
      <c r="E100" s="23"/>
      <c r="F100" s="23"/>
      <c r="G100" s="23"/>
      <c r="H100" s="23"/>
    </row>
    <row r="101" spans="1:8" x14ac:dyDescent="0.25">
      <c r="A101" s="8" t="s">
        <v>102</v>
      </c>
      <c r="B101" s="23"/>
      <c r="C101" s="23"/>
      <c r="D101" s="23"/>
      <c r="E101" s="23"/>
      <c r="F101" s="23"/>
      <c r="G101" s="23"/>
      <c r="H101" s="23" t="s">
        <v>7</v>
      </c>
    </row>
    <row r="102" spans="1:8" x14ac:dyDescent="0.25">
      <c r="A102" s="8" t="s">
        <v>103</v>
      </c>
      <c r="B102" s="23"/>
      <c r="C102" s="23"/>
      <c r="D102" s="23"/>
      <c r="E102" s="23"/>
      <c r="F102" s="23"/>
      <c r="G102" s="23"/>
      <c r="H102" s="23"/>
    </row>
    <row r="103" spans="1:8" x14ac:dyDescent="0.25">
      <c r="A103" s="8" t="s">
        <v>104</v>
      </c>
      <c r="B103" s="23"/>
      <c r="C103" s="23"/>
      <c r="D103" s="23"/>
      <c r="E103" s="23"/>
      <c r="F103" s="23"/>
      <c r="G103" s="23"/>
      <c r="H103" s="23"/>
    </row>
    <row r="104" spans="1:8" x14ac:dyDescent="0.25">
      <c r="A104" s="8" t="s">
        <v>105</v>
      </c>
      <c r="B104" s="23"/>
      <c r="C104" s="23"/>
      <c r="D104" s="23"/>
      <c r="E104" s="23"/>
      <c r="F104" s="23"/>
      <c r="G104" s="23"/>
      <c r="H104" s="23"/>
    </row>
    <row r="105" spans="1:8" x14ac:dyDescent="0.25">
      <c r="A105" s="8" t="s">
        <v>106</v>
      </c>
      <c r="B105" s="23"/>
      <c r="C105" s="23"/>
      <c r="D105" s="23"/>
      <c r="E105" s="23"/>
      <c r="F105" s="23"/>
      <c r="G105" s="23"/>
      <c r="H105" s="23"/>
    </row>
    <row r="106" spans="1:8" x14ac:dyDescent="0.25">
      <c r="A106" s="8" t="s">
        <v>107</v>
      </c>
      <c r="B106" s="23"/>
      <c r="C106" s="23"/>
      <c r="D106" s="23"/>
      <c r="E106" s="23"/>
      <c r="F106" s="23"/>
      <c r="G106" s="23"/>
      <c r="H106" s="23"/>
    </row>
    <row r="107" spans="1:8" x14ac:dyDescent="0.25">
      <c r="A107" s="8" t="s">
        <v>108</v>
      </c>
      <c r="B107" s="23"/>
      <c r="C107" s="23"/>
      <c r="D107" s="23"/>
      <c r="E107" s="23"/>
      <c r="F107" s="23"/>
      <c r="G107" s="23"/>
      <c r="H107" s="23"/>
    </row>
    <row r="108" spans="1:8" x14ac:dyDescent="0.25">
      <c r="A108" s="8" t="s">
        <v>109</v>
      </c>
      <c r="B108" s="23"/>
      <c r="C108" s="23"/>
      <c r="D108" s="23"/>
      <c r="E108" s="23"/>
      <c r="F108" s="23"/>
      <c r="G108" s="23"/>
      <c r="H108" s="23"/>
    </row>
    <row r="109" spans="1:8" x14ac:dyDescent="0.25">
      <c r="A109" s="8" t="s">
        <v>110</v>
      </c>
      <c r="B109" s="23"/>
      <c r="C109" s="23"/>
      <c r="D109" s="23"/>
      <c r="E109" s="23"/>
      <c r="F109" s="23"/>
      <c r="G109" s="23"/>
      <c r="H109" s="23"/>
    </row>
  </sheetData>
  <mergeCells count="1">
    <mergeCell ref="A1:H2"/>
  </mergeCells>
  <conditionalFormatting sqref="A1:A1048576">
    <cfRule type="containsText" dxfId="886" priority="2" operator="containsText" text="Pivô">
      <formula>NOT(ISERROR(SEARCH("Pivô",A1)))</formula>
    </cfRule>
    <cfRule type="containsText" dxfId="885" priority="3" operator="containsText" text="Pivô">
      <formula>NOT(ISERROR(SEARCH("Pivô",A1)))</formula>
    </cfRule>
  </conditionalFormatting>
  <conditionalFormatting sqref="B5:H109">
    <cfRule type="containsText" dxfId="884" priority="18" operator="containsText" text="Cardã">
      <formula>NOT(ISERROR(SEARCH("Cardã",B5)))</formula>
    </cfRule>
    <cfRule type="containsText" dxfId="883" priority="19" operator="containsText" text="Pneu">
      <formula>NOT(ISERROR(SEARCH("Pneu",B5)))</formula>
    </cfRule>
    <cfRule type="containsText" dxfId="882" priority="20" operator="containsText" text="Vedação">
      <formula>NOT(ISERROR(SEARCH("Vedação",B5)))</formula>
    </cfRule>
    <cfRule type="containsText" dxfId="881" priority="21" operator="containsText" text="Retentor">
      <formula>NOT(ISERROR(SEARCH("Retentor",B5)))</formula>
    </cfRule>
    <cfRule type="containsText" dxfId="880" priority="22" operator="containsText" text="Motorredutor">
      <formula>NOT(ISERROR(SEARCH("Motorredutor",B5)))</formula>
    </cfRule>
    <cfRule type="containsText" dxfId="879" priority="23" operator="containsText" text="Redutor">
      <formula>NOT(ISERROR(SEARCH("Redutor",B5)))</formula>
    </cfRule>
    <cfRule type="containsText" dxfId="878" priority="24" operator="containsText" text="Bomba">
      <formula>NOT(ISERROR(SEARCH("Bomba",B5)))</formula>
    </cfRule>
  </conditionalFormatting>
  <dataValidations count="1">
    <dataValidation type="list" allowBlank="1" showInputMessage="1" showErrorMessage="1" sqref="B5:H109" xr:uid="{43B9B8EF-F253-4778-A371-9FA417E07006}">
      <formula1>$J$5:$J$17</formula1>
    </dataValidation>
  </dataValidations>
  <pageMargins left="0.511811024" right="0.511811024" top="0.78740157499999996" bottom="0.78740157499999996" header="0.31496062000000002" footer="0.31496062000000002"/>
  <pageSetup paperSize="9" scale="58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1037F950-8A65-4DC4-BEB8-7E80EDE43A3A}">
            <xm:f>NOT(ISERROR(SEARCH($J$14,B5)))</xm:f>
            <xm:f>$J$14</xm:f>
            <x14:dxf>
              <font>
                <b/>
                <i val="0"/>
                <color theme="0"/>
              </font>
              <fill>
                <patternFill>
                  <bgColor theme="1" tint="0.24994659260841701"/>
                </patternFill>
              </fill>
            </x14:dxf>
          </x14:cfRule>
          <x14:cfRule type="containsText" priority="6" operator="containsText" id="{C0136E1B-EEE7-410D-80B8-F0D413BF39F2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499984740745262"/>
                </patternFill>
              </fill>
            </x14:dxf>
          </x14:cfRule>
          <x14:cfRule type="containsText" priority="7" operator="containsText" id="{8E8D60C0-FD1E-4EC2-83F8-030E2715D765}">
            <xm:f>NOT(ISERROR(SEARCH($J$12,B5)))</xm:f>
            <xm:f>$J$12</xm:f>
            <x14:dxf>
              <font>
                <b/>
                <i val="0"/>
                <color theme="0"/>
              </font>
              <fill>
                <patternFill>
                  <bgColor rgb="FF245760"/>
                </patternFill>
              </fill>
            </x14:dxf>
          </x14:cfRule>
          <x14:cfRule type="containsText" priority="8" operator="containsText" id="{262C2D25-B0EC-4F65-83A9-7D2B669D6AE0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theme="2" tint="-0.749961851863155"/>
                </patternFill>
              </fill>
            </x14:dxf>
          </x14:cfRule>
          <x14:cfRule type="containsText" priority="9" operator="containsText" id="{44B3A052-4054-4ED7-950A-A8AFA5ABE8B4}">
            <xm:f>NOT(ISERROR(SEARCH($J$13,B5)))</xm:f>
            <xm:f>$J$13</xm:f>
            <x14:dxf>
              <font>
                <b/>
                <i val="0"/>
                <color theme="0"/>
              </font>
              <fill>
                <patternFill>
                  <bgColor rgb="FF1C71AA"/>
                </patternFill>
              </fill>
            </x14:dxf>
          </x14:cfRule>
          <x14:cfRule type="containsText" priority="10" operator="containsText" id="{2AC74268-7EF3-497E-851A-9276B7B442F6}">
            <xm:f>NOT(ISERROR(SEARCH($J$13,B5)))</xm:f>
            <xm:f>$J$13</xm:f>
            <x14:dxf>
              <font>
                <b/>
                <i val="0"/>
              </font>
              <fill>
                <patternFill>
                  <bgColor rgb="FF1C71AA"/>
                </patternFill>
              </fill>
            </x14:dxf>
          </x14:cfRule>
          <x14:cfRule type="containsText" priority="11" operator="containsText" id="{549666E9-D64C-4EF8-B5C5-E8B6D8980CBF}">
            <xm:f>NOT(ISERROR(SEARCH($J$12,B5)))</xm:f>
            <xm:f>$J$12</xm:f>
            <x14:dxf>
              <font>
                <b/>
                <i val="0"/>
              </font>
              <fill>
                <patternFill>
                  <bgColor rgb="FFAFC8D3"/>
                </patternFill>
              </fill>
            </x14:dxf>
          </x14:cfRule>
          <x14:cfRule type="containsText" priority="12" operator="containsText" id="{3F0AA8D7-6E98-443A-90FE-C3FE6B7E3FB9}">
            <xm:f>NOT(ISERROR(SEARCH($J$11,B5)))</xm:f>
            <xm:f>$J$11</xm:f>
            <x14:dxf>
              <font>
                <b/>
                <i val="0"/>
                <color theme="1"/>
              </font>
              <fill>
                <patternFill>
                  <bgColor rgb="FF7292C2"/>
                </patternFill>
              </fill>
            </x14:dxf>
          </x14:cfRule>
          <x14:cfRule type="containsText" priority="13" operator="containsText" id="{2C87AC03-A222-4AC0-A914-B60033636013}">
            <xm:f>NOT(ISERROR(SEARCH($J$10,B5)))</xm:f>
            <xm:f>$J$10</xm:f>
            <x14:dxf>
              <font>
                <b/>
                <i val="0"/>
              </font>
              <fill>
                <patternFill>
                  <bgColor theme="3" tint="0.39994506668294322"/>
                </patternFill>
              </fill>
            </x14:dxf>
          </x14:cfRule>
          <x14:cfRule type="containsText" priority="14" operator="containsText" id="{076CA35E-EB95-4DC2-ADBE-E22905E17117}">
            <xm:f>NOT(ISERROR(SEARCH($J$9,B5)))</xm:f>
            <xm:f>$J$9</xm:f>
            <x14:dxf>
              <font>
                <b/>
                <i val="0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5" operator="containsText" id="{249CF494-B054-408D-9FD7-370991713C1C}">
            <xm:f>NOT(ISERROR(SEARCH($J$8,B5)))</xm:f>
            <xm:f>$J$8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14:cfRule type="containsText" priority="16" operator="containsText" id="{688B6411-ABB5-4492-B595-46A0C8C11F15}">
            <xm:f>NOT(ISERROR(SEARCH($J$6,B5)))</xm:f>
            <xm:f>$J$6</xm:f>
            <x14:dxf>
              <font>
                <b/>
                <i val="0"/>
                <color theme="0"/>
              </font>
              <fill>
                <patternFill>
                  <bgColor theme="8" tint="-0.24994659260841701"/>
                </patternFill>
              </fill>
            </x14:dxf>
          </x14:cfRule>
          <x14:cfRule type="containsText" priority="17" operator="containsText" id="{7B9BA45D-01AB-42C0-9958-774204A0A9E8}">
            <xm:f>NOT(ISERROR(SEARCH($J$5,B5)))</xm:f>
            <xm:f>$J$5</xm:f>
            <x14:dxf>
              <font>
                <b/>
                <i val="0"/>
                <color theme="0"/>
              </font>
              <fill>
                <patternFill>
                  <bgColor theme="8" tint="-0.499984740745262"/>
                </patternFill>
              </fill>
            </x14:dxf>
          </x14:cfRule>
          <x14:cfRule type="containsText" priority="25" operator="containsText" id="{136DC56C-0B0C-4A37-905C-C957C226C8BA}">
            <xm:f>NOT(ISERROR(SEARCH($J$17,B5)))</xm:f>
            <xm:f>$J$17</xm:f>
            <x14:dxf>
              <font>
                <b/>
                <i val="0"/>
              </font>
              <fill>
                <patternFill>
                  <bgColor theme="4"/>
                </patternFill>
              </fill>
            </x14:dxf>
          </x14:cfRule>
          <xm:sqref>B5:H109</xm:sqref>
        </x14:conditionalFormatting>
        <x14:conditionalFormatting xmlns:xm="http://schemas.microsoft.com/office/excel/2006/main">
          <x14:cfRule type="containsText" priority="4" operator="containsText" id="{34D71364-7236-4870-99A1-7DBF469CE77D}">
            <xm:f>NOT(ISERROR(SEARCH($J$7,B5)))</xm:f>
            <xm:f>$J$7</xm:f>
            <x14:dxf>
              <font>
                <b/>
                <i val="0"/>
                <color theme="0"/>
              </font>
              <fill>
                <patternFill>
                  <bgColor rgb="FF2A91BA"/>
                </patternFill>
              </fill>
            </x14:dxf>
          </x14:cfRule>
          <xm:sqref>B5:H1048576</xm:sqref>
        </x14:conditionalFormatting>
        <x14:conditionalFormatting xmlns:xm="http://schemas.microsoft.com/office/excel/2006/main">
          <x14:cfRule type="containsText" priority="1" operator="containsText" id="{073DE28E-EF3C-4C01-9797-7EF89F7FBE5B}">
            <xm:f>NOT(ISERROR(SEARCH($J$14,B9)))</xm:f>
            <xm:f>$J$14</xm:f>
            <x14:dxf>
              <font>
                <b/>
                <i val="0"/>
              </font>
              <fill>
                <patternFill>
                  <bgColor rgb="FF00B0F0"/>
                </patternFill>
              </fill>
            </x14:dxf>
          </x14:cfRule>
          <xm:sqref>B9:H109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BC46C-7CB0-4521-93CB-6EF693588E89}">
  <sheetPr codeName="Planilha39"/>
  <dimension ref="A1:G778"/>
  <sheetViews>
    <sheetView showGridLines="0" workbookViewId="0">
      <pane ySplit="1" topLeftCell="A744" activePane="bottomLeft" state="frozen"/>
      <selection pane="bottomLeft" activeCell="H774" sqref="H774"/>
    </sheetView>
  </sheetViews>
  <sheetFormatPr defaultRowHeight="15" x14ac:dyDescent="0.25"/>
  <cols>
    <col min="1" max="1" width="18.28515625" bestFit="1" customWidth="1"/>
    <col min="2" max="2" width="12.28515625" bestFit="1" customWidth="1"/>
    <col min="3" max="3" width="15" style="6" bestFit="1" customWidth="1"/>
    <col min="4" max="4" width="11.42578125" style="54" bestFit="1" customWidth="1"/>
    <col min="5" max="5" width="10.7109375" style="54" customWidth="1"/>
    <col min="6" max="6" width="6.85546875" bestFit="1" customWidth="1"/>
    <col min="7" max="7" width="11.7109375" bestFit="1" customWidth="1"/>
    <col min="9" max="9" width="11.7109375" bestFit="1" customWidth="1"/>
  </cols>
  <sheetData>
    <row r="1" spans="1:7" x14ac:dyDescent="0.25">
      <c r="A1" t="s">
        <v>0</v>
      </c>
      <c r="B1" t="s">
        <v>16</v>
      </c>
      <c r="C1" s="6" t="s">
        <v>17</v>
      </c>
      <c r="D1" s="54" t="s">
        <v>18</v>
      </c>
      <c r="E1" s="54" t="s">
        <v>174</v>
      </c>
      <c r="F1" t="s">
        <v>175</v>
      </c>
      <c r="G1" t="s">
        <v>176</v>
      </c>
    </row>
    <row r="2" spans="1:7" x14ac:dyDescent="0.25">
      <c r="A2" t="s">
        <v>3</v>
      </c>
      <c r="B2">
        <v>1</v>
      </c>
      <c r="C2" s="6">
        <v>0.16666666666666666</v>
      </c>
      <c r="D2" s="54">
        <v>44613</v>
      </c>
      <c r="E2" s="54" t="str">
        <f>TEXT(Base_de_Dados[[#This Row],[Semana]],"Mmmm")</f>
        <v>fevereiro</v>
      </c>
      <c r="F2">
        <f>YEAR(Base_de_Dados[[#This Row],[Semana]])</f>
        <v>2022</v>
      </c>
      <c r="G2" t="str">
        <f>IF(MONTH( Base_de_Dados[[#This Row],[Semana]])&lt;=6,"1ª Semestre","2ª Semestre")</f>
        <v>1ª Semestre</v>
      </c>
    </row>
    <row r="3" spans="1:7" x14ac:dyDescent="0.25">
      <c r="A3" t="s">
        <v>4</v>
      </c>
      <c r="B3">
        <v>1</v>
      </c>
      <c r="C3" s="6">
        <v>0.16666666666666666</v>
      </c>
      <c r="D3" s="54">
        <v>44613</v>
      </c>
      <c r="E3" s="54" t="str">
        <f>TEXT(Base_de_Dados[[#This Row],[Semana]],"Mmmm")</f>
        <v>fevereiro</v>
      </c>
      <c r="F3">
        <f>YEAR(Base_de_Dados[[#This Row],[Semana]])</f>
        <v>2022</v>
      </c>
      <c r="G3" t="str">
        <f>IF(MONTH( Base_de_Dados[[#This Row],[Semana]])&lt;=6,"1ª Semestre","2ª Semestre")</f>
        <v>1ª Semestre</v>
      </c>
    </row>
    <row r="4" spans="1:7" x14ac:dyDescent="0.25">
      <c r="A4" t="s">
        <v>5</v>
      </c>
      <c r="B4">
        <v>0</v>
      </c>
      <c r="C4" s="6">
        <v>0</v>
      </c>
      <c r="D4" s="54">
        <v>44613</v>
      </c>
      <c r="E4" s="54" t="str">
        <f>TEXT(Base_de_Dados[[#This Row],[Semana]],"Mmmm")</f>
        <v>fevereiro</v>
      </c>
      <c r="F4">
        <f>YEAR(Base_de_Dados[[#This Row],[Semana]])</f>
        <v>2022</v>
      </c>
      <c r="G4" t="str">
        <f>IF(MONTH( Base_de_Dados[[#This Row],[Semana]])&lt;=6,"1ª Semestre","2ª Semestre")</f>
        <v>1ª Semestre</v>
      </c>
    </row>
    <row r="5" spans="1:7" x14ac:dyDescent="0.25">
      <c r="A5" t="s">
        <v>6</v>
      </c>
      <c r="B5">
        <v>0</v>
      </c>
      <c r="C5" s="6">
        <v>0</v>
      </c>
      <c r="D5" s="54">
        <v>44613</v>
      </c>
      <c r="E5" s="54" t="str">
        <f>TEXT(Base_de_Dados[[#This Row],[Semana]],"Mmmm")</f>
        <v>fevereiro</v>
      </c>
      <c r="F5">
        <f>YEAR(Base_de_Dados[[#This Row],[Semana]])</f>
        <v>2022</v>
      </c>
      <c r="G5" t="str">
        <f>IF(MONTH( Base_de_Dados[[#This Row],[Semana]])&lt;=6,"1ª Semestre","2ª Semestre")</f>
        <v>1ª Semestre</v>
      </c>
    </row>
    <row r="6" spans="1:7" x14ac:dyDescent="0.25">
      <c r="A6" t="s">
        <v>7</v>
      </c>
      <c r="B6">
        <v>0</v>
      </c>
      <c r="C6" s="6">
        <v>0</v>
      </c>
      <c r="D6" s="54">
        <v>44613</v>
      </c>
      <c r="E6" s="54" t="str">
        <f>TEXT(Base_de_Dados[[#This Row],[Semana]],"Mmmm")</f>
        <v>fevereiro</v>
      </c>
      <c r="F6">
        <f>YEAR(Base_de_Dados[[#This Row],[Semana]])</f>
        <v>2022</v>
      </c>
      <c r="G6" t="str">
        <f>IF(MONTH( Base_de_Dados[[#This Row],[Semana]])&lt;=6,"1ª Semestre","2ª Semestre")</f>
        <v>1ª Semestre</v>
      </c>
    </row>
    <row r="7" spans="1:7" x14ac:dyDescent="0.25">
      <c r="A7" t="s">
        <v>25</v>
      </c>
      <c r="B7">
        <v>0</v>
      </c>
      <c r="C7" s="6">
        <v>0</v>
      </c>
      <c r="D7" s="54">
        <v>44613</v>
      </c>
      <c r="E7" s="54" t="str">
        <f>TEXT(Base_de_Dados[[#This Row],[Semana]],"Mmmm")</f>
        <v>fevereiro</v>
      </c>
      <c r="F7">
        <f>YEAR(Base_de_Dados[[#This Row],[Semana]])</f>
        <v>2022</v>
      </c>
      <c r="G7" t="str">
        <f>IF(MONTH( Base_de_Dados[[#This Row],[Semana]])&lt;=6,"1ª Semestre","2ª Semestre")</f>
        <v>1ª Semestre</v>
      </c>
    </row>
    <row r="8" spans="1:7" x14ac:dyDescent="0.25">
      <c r="A8" t="s">
        <v>27</v>
      </c>
      <c r="B8">
        <v>2</v>
      </c>
      <c r="C8" s="6">
        <v>0.33333333333333331</v>
      </c>
      <c r="D8" s="54">
        <v>44613</v>
      </c>
      <c r="E8" s="54" t="str">
        <f>TEXT(Base_de_Dados[[#This Row],[Semana]],"Mmmm")</f>
        <v>fevereiro</v>
      </c>
      <c r="F8">
        <f>YEAR(Base_de_Dados[[#This Row],[Semana]])</f>
        <v>2022</v>
      </c>
      <c r="G8" t="str">
        <f>IF(MONTH( Base_de_Dados[[#This Row],[Semana]])&lt;=6,"1ª Semestre","2ª Semestre")</f>
        <v>1ª Semestre</v>
      </c>
    </row>
    <row r="9" spans="1:7" x14ac:dyDescent="0.25">
      <c r="A9" t="s">
        <v>10</v>
      </c>
      <c r="B9">
        <v>0</v>
      </c>
      <c r="C9" s="6">
        <v>0</v>
      </c>
      <c r="D9" s="54">
        <v>44613</v>
      </c>
      <c r="E9" s="54" t="str">
        <f>TEXT(Base_de_Dados[[#This Row],[Semana]],"Mmmm")</f>
        <v>fevereiro</v>
      </c>
      <c r="F9">
        <f>YEAR(Base_de_Dados[[#This Row],[Semana]])</f>
        <v>2022</v>
      </c>
      <c r="G9" t="str">
        <f>IF(MONTH( Base_de_Dados[[#This Row],[Semana]])&lt;=6,"1ª Semestre","2ª Semestre")</f>
        <v>1ª Semestre</v>
      </c>
    </row>
    <row r="10" spans="1:7" x14ac:dyDescent="0.25">
      <c r="A10" t="s">
        <v>11</v>
      </c>
      <c r="B10">
        <v>0</v>
      </c>
      <c r="C10" s="6">
        <v>0</v>
      </c>
      <c r="D10" s="54">
        <v>44613</v>
      </c>
      <c r="E10" s="54" t="str">
        <f>TEXT(Base_de_Dados[[#This Row],[Semana]],"Mmmm")</f>
        <v>fevereiro</v>
      </c>
      <c r="F10">
        <f>YEAR(Base_de_Dados[[#This Row],[Semana]])</f>
        <v>2022</v>
      </c>
      <c r="G10" t="str">
        <f>IF(MONTH( Base_de_Dados[[#This Row],[Semana]])&lt;=6,"1ª Semestre","2ª Semestre")</f>
        <v>1ª Semestre</v>
      </c>
    </row>
    <row r="11" spans="1:7" x14ac:dyDescent="0.25">
      <c r="A11" t="s">
        <v>12</v>
      </c>
      <c r="B11">
        <v>2</v>
      </c>
      <c r="C11" s="6">
        <v>0.33333333333333331</v>
      </c>
      <c r="D11" s="54">
        <v>44613</v>
      </c>
      <c r="E11" s="54" t="str">
        <f>TEXT(Base_de_Dados[[#This Row],[Semana]],"Mmmm")</f>
        <v>fevereiro</v>
      </c>
      <c r="F11">
        <f>YEAR(Base_de_Dados[[#This Row],[Semana]])</f>
        <v>2022</v>
      </c>
      <c r="G11" t="str">
        <f>IF(MONTH( Base_de_Dados[[#This Row],[Semana]])&lt;=6,"1ª Semestre","2ª Semestre")</f>
        <v>1ª Semestre</v>
      </c>
    </row>
    <row r="12" spans="1:7" x14ac:dyDescent="0.25">
      <c r="A12" t="s">
        <v>3</v>
      </c>
      <c r="B12">
        <v>2</v>
      </c>
      <c r="C12" s="6">
        <v>0.11764705882352941</v>
      </c>
      <c r="D12" s="54">
        <v>44620</v>
      </c>
      <c r="E12" s="54" t="str">
        <f>TEXT(Base_de_Dados[[#This Row],[Semana]],"Mmmm")</f>
        <v>fevereiro</v>
      </c>
      <c r="F12">
        <f>YEAR(Base_de_Dados[[#This Row],[Semana]])</f>
        <v>2022</v>
      </c>
      <c r="G12" t="str">
        <f>IF(MONTH( Base_de_Dados[[#This Row],[Semana]])&lt;=6,"1ª Semestre","2ª Semestre")</f>
        <v>1ª Semestre</v>
      </c>
    </row>
    <row r="13" spans="1:7" x14ac:dyDescent="0.25">
      <c r="A13" t="s">
        <v>4</v>
      </c>
      <c r="B13">
        <v>0</v>
      </c>
      <c r="C13" s="6">
        <v>0</v>
      </c>
      <c r="D13" s="54">
        <v>44620</v>
      </c>
      <c r="E13" s="54" t="str">
        <f>TEXT(Base_de_Dados[[#This Row],[Semana]],"Mmmm")</f>
        <v>fevereiro</v>
      </c>
      <c r="F13">
        <f>YEAR(Base_de_Dados[[#This Row],[Semana]])</f>
        <v>2022</v>
      </c>
      <c r="G13" t="str">
        <f>IF(MONTH( Base_de_Dados[[#This Row],[Semana]])&lt;=6,"1ª Semestre","2ª Semestre")</f>
        <v>1ª Semestre</v>
      </c>
    </row>
    <row r="14" spans="1:7" x14ac:dyDescent="0.25">
      <c r="A14" t="s">
        <v>5</v>
      </c>
      <c r="B14">
        <v>0</v>
      </c>
      <c r="C14" s="6">
        <v>0</v>
      </c>
      <c r="D14" s="54">
        <v>44620</v>
      </c>
      <c r="E14" s="54" t="str">
        <f>TEXT(Base_de_Dados[[#This Row],[Semana]],"Mmmm")</f>
        <v>fevereiro</v>
      </c>
      <c r="F14">
        <f>YEAR(Base_de_Dados[[#This Row],[Semana]])</f>
        <v>2022</v>
      </c>
      <c r="G14" t="str">
        <f>IF(MONTH( Base_de_Dados[[#This Row],[Semana]])&lt;=6,"1ª Semestre","2ª Semestre")</f>
        <v>1ª Semestre</v>
      </c>
    </row>
    <row r="15" spans="1:7" x14ac:dyDescent="0.25">
      <c r="A15" t="s">
        <v>6</v>
      </c>
      <c r="B15">
        <v>0</v>
      </c>
      <c r="C15" s="6">
        <v>0</v>
      </c>
      <c r="D15" s="54">
        <v>44620</v>
      </c>
      <c r="E15" s="54" t="str">
        <f>TEXT(Base_de_Dados[[#This Row],[Semana]],"Mmmm")</f>
        <v>fevereiro</v>
      </c>
      <c r="F15">
        <f>YEAR(Base_de_Dados[[#This Row],[Semana]])</f>
        <v>2022</v>
      </c>
      <c r="G15" t="str">
        <f>IF(MONTH( Base_de_Dados[[#This Row],[Semana]])&lt;=6,"1ª Semestre","2ª Semestre")</f>
        <v>1ª Semestre</v>
      </c>
    </row>
    <row r="16" spans="1:7" x14ac:dyDescent="0.25">
      <c r="A16" t="s">
        <v>7</v>
      </c>
      <c r="B16">
        <v>2</v>
      </c>
      <c r="C16" s="6">
        <v>0.11764705882352941</v>
      </c>
      <c r="D16" s="54">
        <v>44620</v>
      </c>
      <c r="E16" s="54" t="str">
        <f>TEXT(Base_de_Dados[[#This Row],[Semana]],"Mmmm")</f>
        <v>fevereiro</v>
      </c>
      <c r="F16">
        <f>YEAR(Base_de_Dados[[#This Row],[Semana]])</f>
        <v>2022</v>
      </c>
      <c r="G16" t="str">
        <f>IF(MONTH( Base_de_Dados[[#This Row],[Semana]])&lt;=6,"1ª Semestre","2ª Semestre")</f>
        <v>1ª Semestre</v>
      </c>
    </row>
    <row r="17" spans="1:7" x14ac:dyDescent="0.25">
      <c r="A17" t="s">
        <v>8</v>
      </c>
      <c r="B17">
        <v>10</v>
      </c>
      <c r="C17" s="6">
        <v>0.58823529411764708</v>
      </c>
      <c r="D17" s="54">
        <v>44620</v>
      </c>
      <c r="E17" s="54" t="str">
        <f>TEXT(Base_de_Dados[[#This Row],[Semana]],"Mmmm")</f>
        <v>fevereiro</v>
      </c>
      <c r="F17">
        <f>YEAR(Base_de_Dados[[#This Row],[Semana]])</f>
        <v>2022</v>
      </c>
      <c r="G17" t="str">
        <f>IF(MONTH( Base_de_Dados[[#This Row],[Semana]])&lt;=6,"1ª Semestre","2ª Semestre")</f>
        <v>1ª Semestre</v>
      </c>
    </row>
    <row r="18" spans="1:7" x14ac:dyDescent="0.25">
      <c r="A18" t="s">
        <v>9</v>
      </c>
      <c r="B18">
        <v>1</v>
      </c>
      <c r="C18" s="6">
        <v>5.8823529411764705E-2</v>
      </c>
      <c r="D18" s="54">
        <v>44620</v>
      </c>
      <c r="E18" s="54" t="str">
        <f>TEXT(Base_de_Dados[[#This Row],[Semana]],"Mmmm")</f>
        <v>fevereiro</v>
      </c>
      <c r="F18">
        <f>YEAR(Base_de_Dados[[#This Row],[Semana]])</f>
        <v>2022</v>
      </c>
      <c r="G18" t="str">
        <f>IF(MONTH( Base_de_Dados[[#This Row],[Semana]])&lt;=6,"1ª Semestre","2ª Semestre")</f>
        <v>1ª Semestre</v>
      </c>
    </row>
    <row r="19" spans="1:7" x14ac:dyDescent="0.25">
      <c r="A19" t="s">
        <v>10</v>
      </c>
      <c r="B19">
        <v>0</v>
      </c>
      <c r="C19" s="6">
        <v>0</v>
      </c>
      <c r="D19" s="54">
        <v>44620</v>
      </c>
      <c r="E19" s="54" t="str">
        <f>TEXT(Base_de_Dados[[#This Row],[Semana]],"Mmmm")</f>
        <v>fevereiro</v>
      </c>
      <c r="F19">
        <f>YEAR(Base_de_Dados[[#This Row],[Semana]])</f>
        <v>2022</v>
      </c>
      <c r="G19" t="str">
        <f>IF(MONTH( Base_de_Dados[[#This Row],[Semana]])&lt;=6,"1ª Semestre","2ª Semestre")</f>
        <v>1ª Semestre</v>
      </c>
    </row>
    <row r="20" spans="1:7" x14ac:dyDescent="0.25">
      <c r="A20" t="s">
        <v>11</v>
      </c>
      <c r="B20">
        <v>0</v>
      </c>
      <c r="C20" s="6">
        <v>0</v>
      </c>
      <c r="D20" s="54">
        <v>44620</v>
      </c>
      <c r="E20" s="54" t="str">
        <f>TEXT(Base_de_Dados[[#This Row],[Semana]],"Mmmm")</f>
        <v>fevereiro</v>
      </c>
      <c r="F20">
        <f>YEAR(Base_de_Dados[[#This Row],[Semana]])</f>
        <v>2022</v>
      </c>
      <c r="G20" t="str">
        <f>IF(MONTH( Base_de_Dados[[#This Row],[Semana]])&lt;=6,"1ª Semestre","2ª Semestre")</f>
        <v>1ª Semestre</v>
      </c>
    </row>
    <row r="21" spans="1:7" x14ac:dyDescent="0.25">
      <c r="A21" t="s">
        <v>12</v>
      </c>
      <c r="B21">
        <v>2</v>
      </c>
      <c r="C21" s="6">
        <v>0.11764705882352941</v>
      </c>
      <c r="D21" s="54">
        <v>44620</v>
      </c>
      <c r="E21" s="54" t="str">
        <f>TEXT(Base_de_Dados[[#This Row],[Semana]],"Mmmm")</f>
        <v>fevereiro</v>
      </c>
      <c r="F21">
        <f>YEAR(Base_de_Dados[[#This Row],[Semana]])</f>
        <v>2022</v>
      </c>
      <c r="G21" t="str">
        <f>IF(MONTH( Base_de_Dados[[#This Row],[Semana]])&lt;=6,"1ª Semestre","2ª Semestre")</f>
        <v>1ª Semestre</v>
      </c>
    </row>
    <row r="22" spans="1:7" x14ac:dyDescent="0.25">
      <c r="A22" t="s">
        <v>3</v>
      </c>
      <c r="B22">
        <v>2</v>
      </c>
      <c r="C22" s="6">
        <v>0.2</v>
      </c>
      <c r="D22" s="54">
        <v>44627</v>
      </c>
      <c r="E22" s="54" t="str">
        <f>TEXT(Base_de_Dados[[#This Row],[Semana]],"Mmmm")</f>
        <v>março</v>
      </c>
      <c r="F22">
        <f>YEAR(Base_de_Dados[[#This Row],[Semana]])</f>
        <v>2022</v>
      </c>
      <c r="G22" t="str">
        <f>IF(MONTH( Base_de_Dados[[#This Row],[Semana]])&lt;=6,"1ª Semestre","2ª Semestre")</f>
        <v>1ª Semestre</v>
      </c>
    </row>
    <row r="23" spans="1:7" x14ac:dyDescent="0.25">
      <c r="A23" t="s">
        <v>4</v>
      </c>
      <c r="B23">
        <v>0</v>
      </c>
      <c r="C23" s="6">
        <v>0</v>
      </c>
      <c r="D23" s="54">
        <v>44627</v>
      </c>
      <c r="E23" s="54" t="str">
        <f>TEXT(Base_de_Dados[[#This Row],[Semana]],"Mmmm")</f>
        <v>março</v>
      </c>
      <c r="F23">
        <f>YEAR(Base_de_Dados[[#This Row],[Semana]])</f>
        <v>2022</v>
      </c>
      <c r="G23" t="str">
        <f>IF(MONTH( Base_de_Dados[[#This Row],[Semana]])&lt;=6,"1ª Semestre","2ª Semestre")</f>
        <v>1ª Semestre</v>
      </c>
    </row>
    <row r="24" spans="1:7" x14ac:dyDescent="0.25">
      <c r="A24" t="s">
        <v>5</v>
      </c>
      <c r="B24">
        <v>0</v>
      </c>
      <c r="C24" s="6">
        <v>0</v>
      </c>
      <c r="D24" s="54">
        <v>44627</v>
      </c>
      <c r="E24" s="54" t="str">
        <f>TEXT(Base_de_Dados[[#This Row],[Semana]],"Mmmm")</f>
        <v>março</v>
      </c>
      <c r="F24">
        <f>YEAR(Base_de_Dados[[#This Row],[Semana]])</f>
        <v>2022</v>
      </c>
      <c r="G24" t="str">
        <f>IF(MONTH( Base_de_Dados[[#This Row],[Semana]])&lt;=6,"1ª Semestre","2ª Semestre")</f>
        <v>1ª Semestre</v>
      </c>
    </row>
    <row r="25" spans="1:7" x14ac:dyDescent="0.25">
      <c r="A25" t="s">
        <v>6</v>
      </c>
      <c r="B25">
        <v>0</v>
      </c>
      <c r="C25" s="6">
        <v>0</v>
      </c>
      <c r="D25" s="54">
        <v>44627</v>
      </c>
      <c r="E25" s="54" t="str">
        <f>TEXT(Base_de_Dados[[#This Row],[Semana]],"Mmmm")</f>
        <v>março</v>
      </c>
      <c r="F25">
        <f>YEAR(Base_de_Dados[[#This Row],[Semana]])</f>
        <v>2022</v>
      </c>
      <c r="G25" t="str">
        <f>IF(MONTH( Base_de_Dados[[#This Row],[Semana]])&lt;=6,"1ª Semestre","2ª Semestre")</f>
        <v>1ª Semestre</v>
      </c>
    </row>
    <row r="26" spans="1:7" x14ac:dyDescent="0.25">
      <c r="A26" t="s">
        <v>7</v>
      </c>
      <c r="B26">
        <v>2</v>
      </c>
      <c r="C26" s="6">
        <v>0.2</v>
      </c>
      <c r="D26" s="54">
        <v>44627</v>
      </c>
      <c r="E26" s="54" t="str">
        <f>TEXT(Base_de_Dados[[#This Row],[Semana]],"Mmmm")</f>
        <v>março</v>
      </c>
      <c r="F26">
        <f>YEAR(Base_de_Dados[[#This Row],[Semana]])</f>
        <v>2022</v>
      </c>
      <c r="G26" t="str">
        <f>IF(MONTH( Base_de_Dados[[#This Row],[Semana]])&lt;=6,"1ª Semestre","2ª Semestre")</f>
        <v>1ª Semestre</v>
      </c>
    </row>
    <row r="27" spans="1:7" x14ac:dyDescent="0.25">
      <c r="A27" t="s">
        <v>8</v>
      </c>
      <c r="B27">
        <v>5</v>
      </c>
      <c r="C27" s="6">
        <v>0.5</v>
      </c>
      <c r="D27" s="54">
        <v>44627</v>
      </c>
      <c r="E27" s="54" t="str">
        <f>TEXT(Base_de_Dados[[#This Row],[Semana]],"Mmmm")</f>
        <v>março</v>
      </c>
      <c r="F27">
        <f>YEAR(Base_de_Dados[[#This Row],[Semana]])</f>
        <v>2022</v>
      </c>
      <c r="G27" t="str">
        <f>IF(MONTH( Base_de_Dados[[#This Row],[Semana]])&lt;=6,"1ª Semestre","2ª Semestre")</f>
        <v>1ª Semestre</v>
      </c>
    </row>
    <row r="28" spans="1:7" x14ac:dyDescent="0.25">
      <c r="A28" t="s">
        <v>9</v>
      </c>
      <c r="B28">
        <v>0</v>
      </c>
      <c r="C28" s="6">
        <v>0</v>
      </c>
      <c r="D28" s="54">
        <v>44627</v>
      </c>
      <c r="E28" s="54" t="str">
        <f>TEXT(Base_de_Dados[[#This Row],[Semana]],"Mmmm")</f>
        <v>março</v>
      </c>
      <c r="F28">
        <f>YEAR(Base_de_Dados[[#This Row],[Semana]])</f>
        <v>2022</v>
      </c>
      <c r="G28" t="str">
        <f>IF(MONTH( Base_de_Dados[[#This Row],[Semana]])&lt;=6,"1ª Semestre","2ª Semestre")</f>
        <v>1ª Semestre</v>
      </c>
    </row>
    <row r="29" spans="1:7" x14ac:dyDescent="0.25">
      <c r="A29" t="s">
        <v>10</v>
      </c>
      <c r="B29">
        <v>1</v>
      </c>
      <c r="C29" s="6">
        <v>0.1</v>
      </c>
      <c r="D29" s="54">
        <v>44627</v>
      </c>
      <c r="E29" s="54" t="str">
        <f>TEXT(Base_de_Dados[[#This Row],[Semana]],"Mmmm")</f>
        <v>março</v>
      </c>
      <c r="F29">
        <f>YEAR(Base_de_Dados[[#This Row],[Semana]])</f>
        <v>2022</v>
      </c>
      <c r="G29" t="str">
        <f>IF(MONTH( Base_de_Dados[[#This Row],[Semana]])&lt;=6,"1ª Semestre","2ª Semestre")</f>
        <v>1ª Semestre</v>
      </c>
    </row>
    <row r="30" spans="1:7" x14ac:dyDescent="0.25">
      <c r="A30" t="s">
        <v>11</v>
      </c>
      <c r="B30">
        <v>0</v>
      </c>
      <c r="C30" s="6">
        <v>0</v>
      </c>
      <c r="D30" s="54">
        <v>44627</v>
      </c>
      <c r="E30" s="54" t="str">
        <f>TEXT(Base_de_Dados[[#This Row],[Semana]],"Mmmm")</f>
        <v>março</v>
      </c>
      <c r="F30">
        <f>YEAR(Base_de_Dados[[#This Row],[Semana]])</f>
        <v>2022</v>
      </c>
      <c r="G30" t="str">
        <f>IF(MONTH( Base_de_Dados[[#This Row],[Semana]])&lt;=6,"1ª Semestre","2ª Semestre")</f>
        <v>1ª Semestre</v>
      </c>
    </row>
    <row r="31" spans="1:7" x14ac:dyDescent="0.25">
      <c r="A31" t="s">
        <v>12</v>
      </c>
      <c r="B31">
        <v>0</v>
      </c>
      <c r="C31" s="6">
        <v>0</v>
      </c>
      <c r="D31" s="54">
        <v>44627</v>
      </c>
      <c r="E31" s="54" t="str">
        <f>TEXT(Base_de_Dados[[#This Row],[Semana]],"Mmmm")</f>
        <v>março</v>
      </c>
      <c r="F31">
        <f>YEAR(Base_de_Dados[[#This Row],[Semana]])</f>
        <v>2022</v>
      </c>
      <c r="G31" t="str">
        <f>IF(MONTH( Base_de_Dados[[#This Row],[Semana]])&lt;=6,"1ª Semestre","2ª Semestre")</f>
        <v>1ª Semestre</v>
      </c>
    </row>
    <row r="32" spans="1:7" x14ac:dyDescent="0.25">
      <c r="A32" t="s">
        <v>3</v>
      </c>
      <c r="B32">
        <v>0</v>
      </c>
      <c r="C32" s="6">
        <v>0</v>
      </c>
      <c r="D32" s="54">
        <v>44634</v>
      </c>
      <c r="E32" s="54" t="str">
        <f>TEXT(Base_de_Dados[[#This Row],[Semana]],"Mmmm")</f>
        <v>março</v>
      </c>
      <c r="F32">
        <f>YEAR(Base_de_Dados[[#This Row],[Semana]])</f>
        <v>2022</v>
      </c>
      <c r="G32" t="str">
        <f>IF(MONTH( Base_de_Dados[[#This Row],[Semana]])&lt;=6,"1ª Semestre","2ª Semestre")</f>
        <v>1ª Semestre</v>
      </c>
    </row>
    <row r="33" spans="1:7" x14ac:dyDescent="0.25">
      <c r="A33" t="s">
        <v>4</v>
      </c>
      <c r="B33">
        <v>3</v>
      </c>
      <c r="C33" s="6">
        <v>0.15</v>
      </c>
      <c r="D33" s="54">
        <v>44634</v>
      </c>
      <c r="E33" s="54" t="str">
        <f>TEXT(Base_de_Dados[[#This Row],[Semana]],"Mmmm")</f>
        <v>março</v>
      </c>
      <c r="F33">
        <f>YEAR(Base_de_Dados[[#This Row],[Semana]])</f>
        <v>2022</v>
      </c>
      <c r="G33" t="str">
        <f>IF(MONTH( Base_de_Dados[[#This Row],[Semana]])&lt;=6,"1ª Semestre","2ª Semestre")</f>
        <v>1ª Semestre</v>
      </c>
    </row>
    <row r="34" spans="1:7" x14ac:dyDescent="0.25">
      <c r="A34" t="s">
        <v>5</v>
      </c>
      <c r="B34">
        <v>0</v>
      </c>
      <c r="C34" s="6">
        <v>0</v>
      </c>
      <c r="D34" s="54">
        <v>44634</v>
      </c>
      <c r="E34" s="54" t="str">
        <f>TEXT(Base_de_Dados[[#This Row],[Semana]],"Mmmm")</f>
        <v>março</v>
      </c>
      <c r="F34">
        <f>YEAR(Base_de_Dados[[#This Row],[Semana]])</f>
        <v>2022</v>
      </c>
      <c r="G34" t="str">
        <f>IF(MONTH( Base_de_Dados[[#This Row],[Semana]])&lt;=6,"1ª Semestre","2ª Semestre")</f>
        <v>1ª Semestre</v>
      </c>
    </row>
    <row r="35" spans="1:7" x14ac:dyDescent="0.25">
      <c r="A35" t="s">
        <v>6</v>
      </c>
      <c r="B35">
        <v>1</v>
      </c>
      <c r="C35" s="6">
        <v>0.05</v>
      </c>
      <c r="D35" s="54">
        <v>44634</v>
      </c>
      <c r="E35" s="54" t="str">
        <f>TEXT(Base_de_Dados[[#This Row],[Semana]],"Mmmm")</f>
        <v>março</v>
      </c>
      <c r="F35">
        <f>YEAR(Base_de_Dados[[#This Row],[Semana]])</f>
        <v>2022</v>
      </c>
      <c r="G35" t="str">
        <f>IF(MONTH( Base_de_Dados[[#This Row],[Semana]])&lt;=6,"1ª Semestre","2ª Semestre")</f>
        <v>1ª Semestre</v>
      </c>
    </row>
    <row r="36" spans="1:7" x14ac:dyDescent="0.25">
      <c r="A36" t="s">
        <v>7</v>
      </c>
      <c r="B36">
        <v>4</v>
      </c>
      <c r="C36" s="6">
        <v>0.2</v>
      </c>
      <c r="D36" s="54">
        <v>44634</v>
      </c>
      <c r="E36" s="54" t="str">
        <f>TEXT(Base_de_Dados[[#This Row],[Semana]],"Mmmm")</f>
        <v>março</v>
      </c>
      <c r="F36">
        <f>YEAR(Base_de_Dados[[#This Row],[Semana]])</f>
        <v>2022</v>
      </c>
      <c r="G36" t="str">
        <f>IF(MONTH( Base_de_Dados[[#This Row],[Semana]])&lt;=6,"1ª Semestre","2ª Semestre")</f>
        <v>1ª Semestre</v>
      </c>
    </row>
    <row r="37" spans="1:7" x14ac:dyDescent="0.25">
      <c r="A37" t="s">
        <v>8</v>
      </c>
      <c r="B37">
        <v>11</v>
      </c>
      <c r="C37" s="6">
        <v>0.55000000000000004</v>
      </c>
      <c r="D37" s="54">
        <v>44634</v>
      </c>
      <c r="E37" s="54" t="str">
        <f>TEXT(Base_de_Dados[[#This Row],[Semana]],"Mmmm")</f>
        <v>março</v>
      </c>
      <c r="F37">
        <f>YEAR(Base_de_Dados[[#This Row],[Semana]])</f>
        <v>2022</v>
      </c>
      <c r="G37" t="str">
        <f>IF(MONTH( Base_de_Dados[[#This Row],[Semana]])&lt;=6,"1ª Semestre","2ª Semestre")</f>
        <v>1ª Semestre</v>
      </c>
    </row>
    <row r="38" spans="1:7" x14ac:dyDescent="0.25">
      <c r="A38" t="s">
        <v>9</v>
      </c>
      <c r="B38">
        <v>1</v>
      </c>
      <c r="C38" s="6">
        <v>0.05</v>
      </c>
      <c r="D38" s="54">
        <v>44634</v>
      </c>
      <c r="E38" s="54" t="str">
        <f>TEXT(Base_de_Dados[[#This Row],[Semana]],"Mmmm")</f>
        <v>março</v>
      </c>
      <c r="F38">
        <f>YEAR(Base_de_Dados[[#This Row],[Semana]])</f>
        <v>2022</v>
      </c>
      <c r="G38" t="str">
        <f>IF(MONTH( Base_de_Dados[[#This Row],[Semana]])&lt;=6,"1ª Semestre","2ª Semestre")</f>
        <v>1ª Semestre</v>
      </c>
    </row>
    <row r="39" spans="1:7" x14ac:dyDescent="0.25">
      <c r="A39" t="s">
        <v>10</v>
      </c>
      <c r="B39">
        <v>0</v>
      </c>
      <c r="C39" s="6">
        <v>0</v>
      </c>
      <c r="D39" s="54">
        <v>44634</v>
      </c>
      <c r="E39" s="54" t="str">
        <f>TEXT(Base_de_Dados[[#This Row],[Semana]],"Mmmm")</f>
        <v>março</v>
      </c>
      <c r="F39">
        <f>YEAR(Base_de_Dados[[#This Row],[Semana]])</f>
        <v>2022</v>
      </c>
      <c r="G39" t="str">
        <f>IF(MONTH( Base_de_Dados[[#This Row],[Semana]])&lt;=6,"1ª Semestre","2ª Semestre")</f>
        <v>1ª Semestre</v>
      </c>
    </row>
    <row r="40" spans="1:7" x14ac:dyDescent="0.25">
      <c r="A40" t="s">
        <v>11</v>
      </c>
      <c r="B40">
        <v>0</v>
      </c>
      <c r="C40" s="6">
        <v>0</v>
      </c>
      <c r="D40" s="54">
        <v>44634</v>
      </c>
      <c r="E40" s="54" t="str">
        <f>TEXT(Base_de_Dados[[#This Row],[Semana]],"Mmmm")</f>
        <v>março</v>
      </c>
      <c r="F40">
        <f>YEAR(Base_de_Dados[[#This Row],[Semana]])</f>
        <v>2022</v>
      </c>
      <c r="G40" t="str">
        <f>IF(MONTH( Base_de_Dados[[#This Row],[Semana]])&lt;=6,"1ª Semestre","2ª Semestre")</f>
        <v>1ª Semestre</v>
      </c>
    </row>
    <row r="41" spans="1:7" x14ac:dyDescent="0.25">
      <c r="A41" t="s">
        <v>12</v>
      </c>
      <c r="B41">
        <v>0</v>
      </c>
      <c r="C41" s="6">
        <v>0</v>
      </c>
      <c r="D41" s="54">
        <v>44634</v>
      </c>
      <c r="E41" s="54" t="str">
        <f>TEXT(Base_de_Dados[[#This Row],[Semana]],"Mmmm")</f>
        <v>março</v>
      </c>
      <c r="F41">
        <f>YEAR(Base_de_Dados[[#This Row],[Semana]])</f>
        <v>2022</v>
      </c>
      <c r="G41" t="str">
        <f>IF(MONTH( Base_de_Dados[[#This Row],[Semana]])&lt;=6,"1ª Semestre","2ª Semestre")</f>
        <v>1ª Semestre</v>
      </c>
    </row>
    <row r="42" spans="1:7" x14ac:dyDescent="0.25">
      <c r="A42" t="s">
        <v>3</v>
      </c>
      <c r="B42">
        <v>0</v>
      </c>
      <c r="C42" s="6">
        <v>0</v>
      </c>
      <c r="D42" s="54">
        <v>44641</v>
      </c>
      <c r="E42" s="54" t="str">
        <f>TEXT(Base_de_Dados[[#This Row],[Semana]],"Mmmm")</f>
        <v>março</v>
      </c>
      <c r="F42">
        <f>YEAR(Base_de_Dados[[#This Row],[Semana]])</f>
        <v>2022</v>
      </c>
      <c r="G42" t="str">
        <f>IF(MONTH( Base_de_Dados[[#This Row],[Semana]])&lt;=6,"1ª Semestre","2ª Semestre")</f>
        <v>1ª Semestre</v>
      </c>
    </row>
    <row r="43" spans="1:7" x14ac:dyDescent="0.25">
      <c r="A43" t="s">
        <v>4</v>
      </c>
      <c r="B43">
        <v>0</v>
      </c>
      <c r="C43" s="6">
        <v>0</v>
      </c>
      <c r="D43" s="54">
        <v>44641</v>
      </c>
      <c r="E43" s="54" t="str">
        <f>TEXT(Base_de_Dados[[#This Row],[Semana]],"Mmmm")</f>
        <v>março</v>
      </c>
      <c r="F43">
        <f>YEAR(Base_de_Dados[[#This Row],[Semana]])</f>
        <v>2022</v>
      </c>
      <c r="G43" t="str">
        <f>IF(MONTH( Base_de_Dados[[#This Row],[Semana]])&lt;=6,"1ª Semestre","2ª Semestre")</f>
        <v>1ª Semestre</v>
      </c>
    </row>
    <row r="44" spans="1:7" x14ac:dyDescent="0.25">
      <c r="A44" t="s">
        <v>5</v>
      </c>
      <c r="B44">
        <v>0</v>
      </c>
      <c r="C44" s="6">
        <v>0</v>
      </c>
      <c r="D44" s="54">
        <v>44641</v>
      </c>
      <c r="E44" s="54" t="str">
        <f>TEXT(Base_de_Dados[[#This Row],[Semana]],"Mmmm")</f>
        <v>março</v>
      </c>
      <c r="F44">
        <f>YEAR(Base_de_Dados[[#This Row],[Semana]])</f>
        <v>2022</v>
      </c>
      <c r="G44" t="str">
        <f>IF(MONTH( Base_de_Dados[[#This Row],[Semana]])&lt;=6,"1ª Semestre","2ª Semestre")</f>
        <v>1ª Semestre</v>
      </c>
    </row>
    <row r="45" spans="1:7" x14ac:dyDescent="0.25">
      <c r="A45" t="s">
        <v>6</v>
      </c>
      <c r="B45">
        <v>0</v>
      </c>
      <c r="C45" s="6">
        <v>0</v>
      </c>
      <c r="D45" s="54">
        <v>44641</v>
      </c>
      <c r="E45" s="54" t="str">
        <f>TEXT(Base_de_Dados[[#This Row],[Semana]],"Mmmm")</f>
        <v>março</v>
      </c>
      <c r="F45">
        <f>YEAR(Base_de_Dados[[#This Row],[Semana]])</f>
        <v>2022</v>
      </c>
      <c r="G45" t="str">
        <f>IF(MONTH( Base_de_Dados[[#This Row],[Semana]])&lt;=6,"1ª Semestre","2ª Semestre")</f>
        <v>1ª Semestre</v>
      </c>
    </row>
    <row r="46" spans="1:7" x14ac:dyDescent="0.25">
      <c r="A46" t="s">
        <v>7</v>
      </c>
      <c r="B46">
        <v>1</v>
      </c>
      <c r="C46" s="6">
        <v>6.6666666666666666E-2</v>
      </c>
      <c r="D46" s="54">
        <v>44641</v>
      </c>
      <c r="E46" s="54" t="str">
        <f>TEXT(Base_de_Dados[[#This Row],[Semana]],"Mmmm")</f>
        <v>março</v>
      </c>
      <c r="F46">
        <f>YEAR(Base_de_Dados[[#This Row],[Semana]])</f>
        <v>2022</v>
      </c>
      <c r="G46" t="str">
        <f>IF(MONTH( Base_de_Dados[[#This Row],[Semana]])&lt;=6,"1ª Semestre","2ª Semestre")</f>
        <v>1ª Semestre</v>
      </c>
    </row>
    <row r="47" spans="1:7" x14ac:dyDescent="0.25">
      <c r="A47" t="s">
        <v>8</v>
      </c>
      <c r="B47">
        <v>11</v>
      </c>
      <c r="C47" s="6">
        <v>0.73333333333333328</v>
      </c>
      <c r="D47" s="54">
        <v>44641</v>
      </c>
      <c r="E47" s="54" t="str">
        <f>TEXT(Base_de_Dados[[#This Row],[Semana]],"Mmmm")</f>
        <v>março</v>
      </c>
      <c r="F47">
        <f>YEAR(Base_de_Dados[[#This Row],[Semana]])</f>
        <v>2022</v>
      </c>
      <c r="G47" t="str">
        <f>IF(MONTH( Base_de_Dados[[#This Row],[Semana]])&lt;=6,"1ª Semestre","2ª Semestre")</f>
        <v>1ª Semestre</v>
      </c>
    </row>
    <row r="48" spans="1:7" x14ac:dyDescent="0.25">
      <c r="A48" t="s">
        <v>9</v>
      </c>
      <c r="B48">
        <v>0</v>
      </c>
      <c r="C48" s="6">
        <v>0</v>
      </c>
      <c r="D48" s="54">
        <v>44641</v>
      </c>
      <c r="E48" s="54" t="str">
        <f>TEXT(Base_de_Dados[[#This Row],[Semana]],"Mmmm")</f>
        <v>março</v>
      </c>
      <c r="F48">
        <f>YEAR(Base_de_Dados[[#This Row],[Semana]])</f>
        <v>2022</v>
      </c>
      <c r="G48" t="str">
        <f>IF(MONTH( Base_de_Dados[[#This Row],[Semana]])&lt;=6,"1ª Semestre","2ª Semestre")</f>
        <v>1ª Semestre</v>
      </c>
    </row>
    <row r="49" spans="1:7" x14ac:dyDescent="0.25">
      <c r="A49" t="s">
        <v>10</v>
      </c>
      <c r="B49">
        <v>3</v>
      </c>
      <c r="C49" s="6">
        <v>0.2</v>
      </c>
      <c r="D49" s="54">
        <v>44641</v>
      </c>
      <c r="E49" s="54" t="str">
        <f>TEXT(Base_de_Dados[[#This Row],[Semana]],"Mmmm")</f>
        <v>março</v>
      </c>
      <c r="F49">
        <f>YEAR(Base_de_Dados[[#This Row],[Semana]])</f>
        <v>2022</v>
      </c>
      <c r="G49" t="str">
        <f>IF(MONTH( Base_de_Dados[[#This Row],[Semana]])&lt;=6,"1ª Semestre","2ª Semestre")</f>
        <v>1ª Semestre</v>
      </c>
    </row>
    <row r="50" spans="1:7" x14ac:dyDescent="0.25">
      <c r="A50" t="s">
        <v>11</v>
      </c>
      <c r="B50">
        <v>0</v>
      </c>
      <c r="C50" s="6">
        <v>0</v>
      </c>
      <c r="D50" s="54">
        <v>44641</v>
      </c>
      <c r="E50" s="54" t="str">
        <f>TEXT(Base_de_Dados[[#This Row],[Semana]],"Mmmm")</f>
        <v>março</v>
      </c>
      <c r="F50">
        <f>YEAR(Base_de_Dados[[#This Row],[Semana]])</f>
        <v>2022</v>
      </c>
      <c r="G50" t="str">
        <f>IF(MONTH( Base_de_Dados[[#This Row],[Semana]])&lt;=6,"1ª Semestre","2ª Semestre")</f>
        <v>1ª Semestre</v>
      </c>
    </row>
    <row r="51" spans="1:7" x14ac:dyDescent="0.25">
      <c r="A51" t="s">
        <v>12</v>
      </c>
      <c r="B51">
        <v>0</v>
      </c>
      <c r="C51" s="6">
        <v>0</v>
      </c>
      <c r="D51" s="54">
        <v>44641</v>
      </c>
      <c r="E51" s="54" t="str">
        <f>TEXT(Base_de_Dados[[#This Row],[Semana]],"Mmmm")</f>
        <v>março</v>
      </c>
      <c r="F51">
        <f>YEAR(Base_de_Dados[[#This Row],[Semana]])</f>
        <v>2022</v>
      </c>
      <c r="G51" t="str">
        <f>IF(MONTH( Base_de_Dados[[#This Row],[Semana]])&lt;=6,"1ª Semestre","2ª Semestre")</f>
        <v>1ª Semestre</v>
      </c>
    </row>
    <row r="52" spans="1:7" x14ac:dyDescent="0.25">
      <c r="A52" t="s">
        <v>3</v>
      </c>
      <c r="B52">
        <v>0</v>
      </c>
      <c r="C52" s="6">
        <v>0</v>
      </c>
      <c r="D52" s="54">
        <v>44648</v>
      </c>
      <c r="E52" s="54" t="str">
        <f>TEXT(Base_de_Dados[[#This Row],[Semana]],"Mmmm")</f>
        <v>março</v>
      </c>
      <c r="F52">
        <f>YEAR(Base_de_Dados[[#This Row],[Semana]])</f>
        <v>2022</v>
      </c>
      <c r="G52" t="str">
        <f>IF(MONTH( Base_de_Dados[[#This Row],[Semana]])&lt;=6,"1ª Semestre","2ª Semestre")</f>
        <v>1ª Semestre</v>
      </c>
    </row>
    <row r="53" spans="1:7" x14ac:dyDescent="0.25">
      <c r="A53" t="s">
        <v>4</v>
      </c>
      <c r="B53">
        <v>1</v>
      </c>
      <c r="C53" s="6">
        <v>7.1428571428571425E-2</v>
      </c>
      <c r="D53" s="54">
        <v>44648</v>
      </c>
      <c r="E53" s="54" t="str">
        <f>TEXT(Base_de_Dados[[#This Row],[Semana]],"Mmmm")</f>
        <v>março</v>
      </c>
      <c r="F53">
        <f>YEAR(Base_de_Dados[[#This Row],[Semana]])</f>
        <v>2022</v>
      </c>
      <c r="G53" t="str">
        <f>IF(MONTH( Base_de_Dados[[#This Row],[Semana]])&lt;=6,"1ª Semestre","2ª Semestre")</f>
        <v>1ª Semestre</v>
      </c>
    </row>
    <row r="54" spans="1:7" x14ac:dyDescent="0.25">
      <c r="A54" t="s">
        <v>5</v>
      </c>
      <c r="B54">
        <v>0</v>
      </c>
      <c r="C54" s="6">
        <v>0</v>
      </c>
      <c r="D54" s="54">
        <v>44648</v>
      </c>
      <c r="E54" s="54" t="str">
        <f>TEXT(Base_de_Dados[[#This Row],[Semana]],"Mmmm")</f>
        <v>março</v>
      </c>
      <c r="F54">
        <f>YEAR(Base_de_Dados[[#This Row],[Semana]])</f>
        <v>2022</v>
      </c>
      <c r="G54" t="str">
        <f>IF(MONTH( Base_de_Dados[[#This Row],[Semana]])&lt;=6,"1ª Semestre","2ª Semestre")</f>
        <v>1ª Semestre</v>
      </c>
    </row>
    <row r="55" spans="1:7" x14ac:dyDescent="0.25">
      <c r="A55" t="s">
        <v>6</v>
      </c>
      <c r="B55">
        <v>0</v>
      </c>
      <c r="C55" s="6">
        <v>0</v>
      </c>
      <c r="D55" s="54">
        <v>44648</v>
      </c>
      <c r="E55" s="54" t="str">
        <f>TEXT(Base_de_Dados[[#This Row],[Semana]],"Mmmm")</f>
        <v>março</v>
      </c>
      <c r="F55">
        <f>YEAR(Base_de_Dados[[#This Row],[Semana]])</f>
        <v>2022</v>
      </c>
      <c r="G55" t="str">
        <f>IF(MONTH( Base_de_Dados[[#This Row],[Semana]])&lt;=6,"1ª Semestre","2ª Semestre")</f>
        <v>1ª Semestre</v>
      </c>
    </row>
    <row r="56" spans="1:7" x14ac:dyDescent="0.25">
      <c r="A56" t="s">
        <v>7</v>
      </c>
      <c r="B56">
        <v>1</v>
      </c>
      <c r="C56" s="6">
        <v>7.1428571428571425E-2</v>
      </c>
      <c r="D56" s="54">
        <v>44648</v>
      </c>
      <c r="E56" s="54" t="str">
        <f>TEXT(Base_de_Dados[[#This Row],[Semana]],"Mmmm")</f>
        <v>março</v>
      </c>
      <c r="F56">
        <f>YEAR(Base_de_Dados[[#This Row],[Semana]])</f>
        <v>2022</v>
      </c>
      <c r="G56" t="str">
        <f>IF(MONTH( Base_de_Dados[[#This Row],[Semana]])&lt;=6,"1ª Semestre","2ª Semestre")</f>
        <v>1ª Semestre</v>
      </c>
    </row>
    <row r="57" spans="1:7" x14ac:dyDescent="0.25">
      <c r="A57" t="s">
        <v>8</v>
      </c>
      <c r="B57">
        <v>11</v>
      </c>
      <c r="C57" s="6">
        <v>0.7857142857142857</v>
      </c>
      <c r="D57" s="54">
        <v>44648</v>
      </c>
      <c r="E57" s="54" t="str">
        <f>TEXT(Base_de_Dados[[#This Row],[Semana]],"Mmmm")</f>
        <v>março</v>
      </c>
      <c r="F57">
        <f>YEAR(Base_de_Dados[[#This Row],[Semana]])</f>
        <v>2022</v>
      </c>
      <c r="G57" t="str">
        <f>IF(MONTH( Base_de_Dados[[#This Row],[Semana]])&lt;=6,"1ª Semestre","2ª Semestre")</f>
        <v>1ª Semestre</v>
      </c>
    </row>
    <row r="58" spans="1:7" x14ac:dyDescent="0.25">
      <c r="A58" t="s">
        <v>9</v>
      </c>
      <c r="B58">
        <v>0</v>
      </c>
      <c r="C58" s="6">
        <v>0</v>
      </c>
      <c r="D58" s="54">
        <v>44648</v>
      </c>
      <c r="E58" s="54" t="str">
        <f>TEXT(Base_de_Dados[[#This Row],[Semana]],"Mmmm")</f>
        <v>março</v>
      </c>
      <c r="F58">
        <f>YEAR(Base_de_Dados[[#This Row],[Semana]])</f>
        <v>2022</v>
      </c>
      <c r="G58" t="str">
        <f>IF(MONTH( Base_de_Dados[[#This Row],[Semana]])&lt;=6,"1ª Semestre","2ª Semestre")</f>
        <v>1ª Semestre</v>
      </c>
    </row>
    <row r="59" spans="1:7" x14ac:dyDescent="0.25">
      <c r="A59" t="s">
        <v>10</v>
      </c>
      <c r="B59">
        <v>0</v>
      </c>
      <c r="C59" s="6">
        <v>0</v>
      </c>
      <c r="D59" s="54">
        <v>44648</v>
      </c>
      <c r="E59" s="54" t="str">
        <f>TEXT(Base_de_Dados[[#This Row],[Semana]],"Mmmm")</f>
        <v>março</v>
      </c>
      <c r="F59">
        <f>YEAR(Base_de_Dados[[#This Row],[Semana]])</f>
        <v>2022</v>
      </c>
      <c r="G59" t="str">
        <f>IF(MONTH( Base_de_Dados[[#This Row],[Semana]])&lt;=6,"1ª Semestre","2ª Semestre")</f>
        <v>1ª Semestre</v>
      </c>
    </row>
    <row r="60" spans="1:7" x14ac:dyDescent="0.25">
      <c r="A60" t="s">
        <v>11</v>
      </c>
      <c r="B60">
        <v>0</v>
      </c>
      <c r="C60" s="6">
        <v>0</v>
      </c>
      <c r="D60" s="54">
        <v>44648</v>
      </c>
      <c r="E60" s="54" t="str">
        <f>TEXT(Base_de_Dados[[#This Row],[Semana]],"Mmmm")</f>
        <v>março</v>
      </c>
      <c r="F60">
        <f>YEAR(Base_de_Dados[[#This Row],[Semana]])</f>
        <v>2022</v>
      </c>
      <c r="G60" t="str">
        <f>IF(MONTH( Base_de_Dados[[#This Row],[Semana]])&lt;=6,"1ª Semestre","2ª Semestre")</f>
        <v>1ª Semestre</v>
      </c>
    </row>
    <row r="61" spans="1:7" x14ac:dyDescent="0.25">
      <c r="A61" t="s">
        <v>12</v>
      </c>
      <c r="B61">
        <v>1</v>
      </c>
      <c r="C61" s="6">
        <v>7.1428571428571425E-2</v>
      </c>
      <c r="D61" s="54">
        <v>44648</v>
      </c>
      <c r="E61" s="54" t="str">
        <f>TEXT(Base_de_Dados[[#This Row],[Semana]],"Mmmm")</f>
        <v>março</v>
      </c>
      <c r="F61">
        <f>YEAR(Base_de_Dados[[#This Row],[Semana]])</f>
        <v>2022</v>
      </c>
      <c r="G61" t="str">
        <f>IF(MONTH( Base_de_Dados[[#This Row],[Semana]])&lt;=6,"1ª Semestre","2ª Semestre")</f>
        <v>1ª Semestre</v>
      </c>
    </row>
    <row r="62" spans="1:7" x14ac:dyDescent="0.25">
      <c r="A62" t="s">
        <v>3</v>
      </c>
      <c r="B62">
        <v>0</v>
      </c>
      <c r="C62" s="6">
        <v>0</v>
      </c>
      <c r="D62" s="54">
        <v>44655</v>
      </c>
      <c r="E62" s="54" t="str">
        <f>TEXT(Base_de_Dados[[#This Row],[Semana]],"Mmmm")</f>
        <v>abril</v>
      </c>
      <c r="F62">
        <f>YEAR(Base_de_Dados[[#This Row],[Semana]])</f>
        <v>2022</v>
      </c>
      <c r="G62" t="str">
        <f>IF(MONTH( Base_de_Dados[[#This Row],[Semana]])&lt;=6,"1ª Semestre","2ª Semestre")</f>
        <v>1ª Semestre</v>
      </c>
    </row>
    <row r="63" spans="1:7" x14ac:dyDescent="0.25">
      <c r="A63" t="s">
        <v>4</v>
      </c>
      <c r="B63">
        <v>1</v>
      </c>
      <c r="C63" s="6">
        <v>5.8823529411764705E-2</v>
      </c>
      <c r="D63" s="54">
        <v>44655</v>
      </c>
      <c r="E63" s="54" t="str">
        <f>TEXT(Base_de_Dados[[#This Row],[Semana]],"Mmmm")</f>
        <v>abril</v>
      </c>
      <c r="F63">
        <f>YEAR(Base_de_Dados[[#This Row],[Semana]])</f>
        <v>2022</v>
      </c>
      <c r="G63" t="str">
        <f>IF(MONTH( Base_de_Dados[[#This Row],[Semana]])&lt;=6,"1ª Semestre","2ª Semestre")</f>
        <v>1ª Semestre</v>
      </c>
    </row>
    <row r="64" spans="1:7" x14ac:dyDescent="0.25">
      <c r="A64" t="s">
        <v>5</v>
      </c>
      <c r="B64">
        <v>0</v>
      </c>
      <c r="C64" s="6">
        <v>0</v>
      </c>
      <c r="D64" s="54">
        <v>44655</v>
      </c>
      <c r="E64" s="54" t="str">
        <f>TEXT(Base_de_Dados[[#This Row],[Semana]],"Mmmm")</f>
        <v>abril</v>
      </c>
      <c r="F64">
        <f>YEAR(Base_de_Dados[[#This Row],[Semana]])</f>
        <v>2022</v>
      </c>
      <c r="G64" t="str">
        <f>IF(MONTH( Base_de_Dados[[#This Row],[Semana]])&lt;=6,"1ª Semestre","2ª Semestre")</f>
        <v>1ª Semestre</v>
      </c>
    </row>
    <row r="65" spans="1:7" x14ac:dyDescent="0.25">
      <c r="A65" t="s">
        <v>6</v>
      </c>
      <c r="B65">
        <v>1</v>
      </c>
      <c r="C65" s="6">
        <v>5.8823529411764705E-2</v>
      </c>
      <c r="D65" s="54">
        <v>44655</v>
      </c>
      <c r="E65" s="54" t="str">
        <f>TEXT(Base_de_Dados[[#This Row],[Semana]],"Mmmm")</f>
        <v>abril</v>
      </c>
      <c r="F65">
        <f>YEAR(Base_de_Dados[[#This Row],[Semana]])</f>
        <v>2022</v>
      </c>
      <c r="G65" t="str">
        <f>IF(MONTH( Base_de_Dados[[#This Row],[Semana]])&lt;=6,"1ª Semestre","2ª Semestre")</f>
        <v>1ª Semestre</v>
      </c>
    </row>
    <row r="66" spans="1:7" x14ac:dyDescent="0.25">
      <c r="A66" t="s">
        <v>7</v>
      </c>
      <c r="B66">
        <v>1</v>
      </c>
      <c r="C66" s="6">
        <v>5.8823529411764705E-2</v>
      </c>
      <c r="D66" s="54">
        <v>44655</v>
      </c>
      <c r="E66" s="54" t="str">
        <f>TEXT(Base_de_Dados[[#This Row],[Semana]],"Mmmm")</f>
        <v>abril</v>
      </c>
      <c r="F66">
        <f>YEAR(Base_de_Dados[[#This Row],[Semana]])</f>
        <v>2022</v>
      </c>
      <c r="G66" t="str">
        <f>IF(MONTH( Base_de_Dados[[#This Row],[Semana]])&lt;=6,"1ª Semestre","2ª Semestre")</f>
        <v>1ª Semestre</v>
      </c>
    </row>
    <row r="67" spans="1:7" x14ac:dyDescent="0.25">
      <c r="A67" t="s">
        <v>8</v>
      </c>
      <c r="B67">
        <v>11</v>
      </c>
      <c r="C67" s="6">
        <v>0.6470588235294118</v>
      </c>
      <c r="D67" s="54">
        <v>44655</v>
      </c>
      <c r="E67" s="54" t="str">
        <f>TEXT(Base_de_Dados[[#This Row],[Semana]],"Mmmm")</f>
        <v>abril</v>
      </c>
      <c r="F67">
        <f>YEAR(Base_de_Dados[[#This Row],[Semana]])</f>
        <v>2022</v>
      </c>
      <c r="G67" t="str">
        <f>IF(MONTH( Base_de_Dados[[#This Row],[Semana]])&lt;=6,"1ª Semestre","2ª Semestre")</f>
        <v>1ª Semestre</v>
      </c>
    </row>
    <row r="68" spans="1:7" x14ac:dyDescent="0.25">
      <c r="A68" t="s">
        <v>9</v>
      </c>
      <c r="B68">
        <v>1</v>
      </c>
      <c r="C68" s="6">
        <v>5.8823529411764705E-2</v>
      </c>
      <c r="D68" s="54">
        <v>44655</v>
      </c>
      <c r="E68" s="54" t="str">
        <f>TEXT(Base_de_Dados[[#This Row],[Semana]],"Mmmm")</f>
        <v>abril</v>
      </c>
      <c r="F68">
        <f>YEAR(Base_de_Dados[[#This Row],[Semana]])</f>
        <v>2022</v>
      </c>
      <c r="G68" t="str">
        <f>IF(MONTH( Base_de_Dados[[#This Row],[Semana]])&lt;=6,"1ª Semestre","2ª Semestre")</f>
        <v>1ª Semestre</v>
      </c>
    </row>
    <row r="69" spans="1:7" x14ac:dyDescent="0.25">
      <c r="A69" t="s">
        <v>10</v>
      </c>
      <c r="B69">
        <v>0</v>
      </c>
      <c r="C69" s="6">
        <v>0</v>
      </c>
      <c r="D69" s="54">
        <v>44655</v>
      </c>
      <c r="E69" s="54" t="str">
        <f>TEXT(Base_de_Dados[[#This Row],[Semana]],"Mmmm")</f>
        <v>abril</v>
      </c>
      <c r="F69">
        <f>YEAR(Base_de_Dados[[#This Row],[Semana]])</f>
        <v>2022</v>
      </c>
      <c r="G69" t="str">
        <f>IF(MONTH( Base_de_Dados[[#This Row],[Semana]])&lt;=6,"1ª Semestre","2ª Semestre")</f>
        <v>1ª Semestre</v>
      </c>
    </row>
    <row r="70" spans="1:7" x14ac:dyDescent="0.25">
      <c r="A70" t="s">
        <v>11</v>
      </c>
      <c r="B70">
        <v>0</v>
      </c>
      <c r="C70" s="6">
        <v>0</v>
      </c>
      <c r="D70" s="54">
        <v>44655</v>
      </c>
      <c r="E70" s="54" t="str">
        <f>TEXT(Base_de_Dados[[#This Row],[Semana]],"Mmmm")</f>
        <v>abril</v>
      </c>
      <c r="F70">
        <f>YEAR(Base_de_Dados[[#This Row],[Semana]])</f>
        <v>2022</v>
      </c>
      <c r="G70" t="str">
        <f>IF(MONTH( Base_de_Dados[[#This Row],[Semana]])&lt;=6,"1ª Semestre","2ª Semestre")</f>
        <v>1ª Semestre</v>
      </c>
    </row>
    <row r="71" spans="1:7" x14ac:dyDescent="0.25">
      <c r="A71" t="s">
        <v>12</v>
      </c>
      <c r="B71">
        <v>2</v>
      </c>
      <c r="C71" s="6">
        <v>0.11764705882352941</v>
      </c>
      <c r="D71" s="54">
        <v>44655</v>
      </c>
      <c r="E71" s="54" t="str">
        <f>TEXT(Base_de_Dados[[#This Row],[Semana]],"Mmmm")</f>
        <v>abril</v>
      </c>
      <c r="F71">
        <f>YEAR(Base_de_Dados[[#This Row],[Semana]])</f>
        <v>2022</v>
      </c>
      <c r="G71" t="str">
        <f>IF(MONTH( Base_de_Dados[[#This Row],[Semana]])&lt;=6,"1ª Semestre","2ª Semestre")</f>
        <v>1ª Semestre</v>
      </c>
    </row>
    <row r="72" spans="1:7" x14ac:dyDescent="0.25">
      <c r="A72" t="s">
        <v>3</v>
      </c>
      <c r="B72">
        <v>2</v>
      </c>
      <c r="C72" s="6">
        <v>8.6956521739130432E-2</v>
      </c>
      <c r="D72" s="54">
        <v>44662</v>
      </c>
      <c r="E72" s="54" t="str">
        <f>TEXT(Base_de_Dados[[#This Row],[Semana]],"Mmmm")</f>
        <v>abril</v>
      </c>
      <c r="F72">
        <f>YEAR(Base_de_Dados[[#This Row],[Semana]])</f>
        <v>2022</v>
      </c>
      <c r="G72" t="str">
        <f>IF(MONTH( Base_de_Dados[[#This Row],[Semana]])&lt;=6,"1ª Semestre","2ª Semestre")</f>
        <v>1ª Semestre</v>
      </c>
    </row>
    <row r="73" spans="1:7" x14ac:dyDescent="0.25">
      <c r="A73" t="s">
        <v>4</v>
      </c>
      <c r="B73">
        <v>0</v>
      </c>
      <c r="C73" s="6">
        <v>0</v>
      </c>
      <c r="D73" s="54">
        <v>44662</v>
      </c>
      <c r="E73" s="54" t="str">
        <f>TEXT(Base_de_Dados[[#This Row],[Semana]],"Mmmm")</f>
        <v>abril</v>
      </c>
      <c r="F73">
        <f>YEAR(Base_de_Dados[[#This Row],[Semana]])</f>
        <v>2022</v>
      </c>
      <c r="G73" t="str">
        <f>IF(MONTH( Base_de_Dados[[#This Row],[Semana]])&lt;=6,"1ª Semestre","2ª Semestre")</f>
        <v>1ª Semestre</v>
      </c>
    </row>
    <row r="74" spans="1:7" x14ac:dyDescent="0.25">
      <c r="A74" t="s">
        <v>5</v>
      </c>
      <c r="B74">
        <v>0</v>
      </c>
      <c r="C74" s="6">
        <v>0</v>
      </c>
      <c r="D74" s="54">
        <v>44662</v>
      </c>
      <c r="E74" s="54" t="str">
        <f>TEXT(Base_de_Dados[[#This Row],[Semana]],"Mmmm")</f>
        <v>abril</v>
      </c>
      <c r="F74">
        <f>YEAR(Base_de_Dados[[#This Row],[Semana]])</f>
        <v>2022</v>
      </c>
      <c r="G74" t="str">
        <f>IF(MONTH( Base_de_Dados[[#This Row],[Semana]])&lt;=6,"1ª Semestre","2ª Semestre")</f>
        <v>1ª Semestre</v>
      </c>
    </row>
    <row r="75" spans="1:7" x14ac:dyDescent="0.25">
      <c r="A75" t="s">
        <v>6</v>
      </c>
      <c r="B75">
        <v>2</v>
      </c>
      <c r="C75" s="6">
        <v>8.6956521739130432E-2</v>
      </c>
      <c r="D75" s="54">
        <v>44662</v>
      </c>
      <c r="E75" s="54" t="str">
        <f>TEXT(Base_de_Dados[[#This Row],[Semana]],"Mmmm")</f>
        <v>abril</v>
      </c>
      <c r="F75">
        <f>YEAR(Base_de_Dados[[#This Row],[Semana]])</f>
        <v>2022</v>
      </c>
      <c r="G75" t="str">
        <f>IF(MONTH( Base_de_Dados[[#This Row],[Semana]])&lt;=6,"1ª Semestre","2ª Semestre")</f>
        <v>1ª Semestre</v>
      </c>
    </row>
    <row r="76" spans="1:7" x14ac:dyDescent="0.25">
      <c r="A76" t="s">
        <v>7</v>
      </c>
      <c r="B76">
        <v>2</v>
      </c>
      <c r="C76" s="6">
        <v>8.6956521739130432E-2</v>
      </c>
      <c r="D76" s="54">
        <v>44662</v>
      </c>
      <c r="E76" s="54" t="str">
        <f>TEXT(Base_de_Dados[[#This Row],[Semana]],"Mmmm")</f>
        <v>abril</v>
      </c>
      <c r="F76">
        <f>YEAR(Base_de_Dados[[#This Row],[Semana]])</f>
        <v>2022</v>
      </c>
      <c r="G76" t="str">
        <f>IF(MONTH( Base_de_Dados[[#This Row],[Semana]])&lt;=6,"1ª Semestre","2ª Semestre")</f>
        <v>1ª Semestre</v>
      </c>
    </row>
    <row r="77" spans="1:7" x14ac:dyDescent="0.25">
      <c r="A77" t="s">
        <v>8</v>
      </c>
      <c r="B77">
        <v>15</v>
      </c>
      <c r="C77" s="6">
        <v>0.65217391304347827</v>
      </c>
      <c r="D77" s="54">
        <v>44662</v>
      </c>
      <c r="E77" s="54" t="str">
        <f>TEXT(Base_de_Dados[[#This Row],[Semana]],"Mmmm")</f>
        <v>abril</v>
      </c>
      <c r="F77">
        <f>YEAR(Base_de_Dados[[#This Row],[Semana]])</f>
        <v>2022</v>
      </c>
      <c r="G77" t="str">
        <f>IF(MONTH( Base_de_Dados[[#This Row],[Semana]])&lt;=6,"1ª Semestre","2ª Semestre")</f>
        <v>1ª Semestre</v>
      </c>
    </row>
    <row r="78" spans="1:7" x14ac:dyDescent="0.25">
      <c r="A78" t="s">
        <v>9</v>
      </c>
      <c r="B78">
        <v>0</v>
      </c>
      <c r="C78" s="6">
        <v>0</v>
      </c>
      <c r="D78" s="54">
        <v>44662</v>
      </c>
      <c r="E78" s="54" t="str">
        <f>TEXT(Base_de_Dados[[#This Row],[Semana]],"Mmmm")</f>
        <v>abril</v>
      </c>
      <c r="F78">
        <f>YEAR(Base_de_Dados[[#This Row],[Semana]])</f>
        <v>2022</v>
      </c>
      <c r="G78" t="str">
        <f>IF(MONTH( Base_de_Dados[[#This Row],[Semana]])&lt;=6,"1ª Semestre","2ª Semestre")</f>
        <v>1ª Semestre</v>
      </c>
    </row>
    <row r="79" spans="1:7" x14ac:dyDescent="0.25">
      <c r="A79" t="s">
        <v>10</v>
      </c>
      <c r="B79">
        <v>0</v>
      </c>
      <c r="C79" s="6">
        <v>0</v>
      </c>
      <c r="D79" s="54">
        <v>44662</v>
      </c>
      <c r="E79" s="54" t="str">
        <f>TEXT(Base_de_Dados[[#This Row],[Semana]],"Mmmm")</f>
        <v>abril</v>
      </c>
      <c r="F79">
        <f>YEAR(Base_de_Dados[[#This Row],[Semana]])</f>
        <v>2022</v>
      </c>
      <c r="G79" t="str">
        <f>IF(MONTH( Base_de_Dados[[#This Row],[Semana]])&lt;=6,"1ª Semestre","2ª Semestre")</f>
        <v>1ª Semestre</v>
      </c>
    </row>
    <row r="80" spans="1:7" x14ac:dyDescent="0.25">
      <c r="A80" t="s">
        <v>11</v>
      </c>
      <c r="B80">
        <v>0</v>
      </c>
      <c r="C80" s="6">
        <v>0</v>
      </c>
      <c r="D80" s="54">
        <v>44662</v>
      </c>
      <c r="E80" s="54" t="str">
        <f>TEXT(Base_de_Dados[[#This Row],[Semana]],"Mmmm")</f>
        <v>abril</v>
      </c>
      <c r="F80">
        <f>YEAR(Base_de_Dados[[#This Row],[Semana]])</f>
        <v>2022</v>
      </c>
      <c r="G80" t="str">
        <f>IF(MONTH( Base_de_Dados[[#This Row],[Semana]])&lt;=6,"1ª Semestre","2ª Semestre")</f>
        <v>1ª Semestre</v>
      </c>
    </row>
    <row r="81" spans="1:7" x14ac:dyDescent="0.25">
      <c r="A81" t="s">
        <v>12</v>
      </c>
      <c r="B81">
        <v>2</v>
      </c>
      <c r="C81" s="6">
        <v>8.6956521739130432E-2</v>
      </c>
      <c r="D81" s="54">
        <v>44662</v>
      </c>
      <c r="E81" s="54" t="str">
        <f>TEXT(Base_de_Dados[[#This Row],[Semana]],"Mmmm")</f>
        <v>abril</v>
      </c>
      <c r="F81">
        <f>YEAR(Base_de_Dados[[#This Row],[Semana]])</f>
        <v>2022</v>
      </c>
      <c r="G81" t="str">
        <f>IF(MONTH( Base_de_Dados[[#This Row],[Semana]])&lt;=6,"1ª Semestre","2ª Semestre")</f>
        <v>1ª Semestre</v>
      </c>
    </row>
    <row r="82" spans="1:7" x14ac:dyDescent="0.25">
      <c r="A82" t="s">
        <v>3</v>
      </c>
      <c r="B82">
        <v>4</v>
      </c>
      <c r="C82" s="6">
        <v>0.16</v>
      </c>
      <c r="D82" s="54">
        <v>44669</v>
      </c>
      <c r="E82" s="54" t="str">
        <f>TEXT(Base_de_Dados[[#This Row],[Semana]],"Mmmm")</f>
        <v>abril</v>
      </c>
      <c r="F82">
        <f>YEAR(Base_de_Dados[[#This Row],[Semana]])</f>
        <v>2022</v>
      </c>
      <c r="G82" t="str">
        <f>IF(MONTH( Base_de_Dados[[#This Row],[Semana]])&lt;=6,"1ª Semestre","2ª Semestre")</f>
        <v>1ª Semestre</v>
      </c>
    </row>
    <row r="83" spans="1:7" x14ac:dyDescent="0.25">
      <c r="A83" t="s">
        <v>4</v>
      </c>
      <c r="B83">
        <v>1</v>
      </c>
      <c r="C83" s="6">
        <v>0.04</v>
      </c>
      <c r="D83" s="54">
        <v>44669</v>
      </c>
      <c r="E83" s="54" t="str">
        <f>TEXT(Base_de_Dados[[#This Row],[Semana]],"Mmmm")</f>
        <v>abril</v>
      </c>
      <c r="F83">
        <f>YEAR(Base_de_Dados[[#This Row],[Semana]])</f>
        <v>2022</v>
      </c>
      <c r="G83" t="str">
        <f>IF(MONTH( Base_de_Dados[[#This Row],[Semana]])&lt;=6,"1ª Semestre","2ª Semestre")</f>
        <v>1ª Semestre</v>
      </c>
    </row>
    <row r="84" spans="1:7" x14ac:dyDescent="0.25">
      <c r="A84" t="s">
        <v>5</v>
      </c>
      <c r="B84">
        <v>0</v>
      </c>
      <c r="C84" s="6">
        <v>0</v>
      </c>
      <c r="D84" s="54">
        <v>44669</v>
      </c>
      <c r="E84" s="54" t="str">
        <f>TEXT(Base_de_Dados[[#This Row],[Semana]],"Mmmm")</f>
        <v>abril</v>
      </c>
      <c r="F84">
        <f>YEAR(Base_de_Dados[[#This Row],[Semana]])</f>
        <v>2022</v>
      </c>
      <c r="G84" t="str">
        <f>IF(MONTH( Base_de_Dados[[#This Row],[Semana]])&lt;=6,"1ª Semestre","2ª Semestre")</f>
        <v>1ª Semestre</v>
      </c>
    </row>
    <row r="85" spans="1:7" x14ac:dyDescent="0.25">
      <c r="A85" t="s">
        <v>6</v>
      </c>
      <c r="B85">
        <v>3</v>
      </c>
      <c r="C85" s="6">
        <v>0.12</v>
      </c>
      <c r="D85" s="54">
        <v>44669</v>
      </c>
      <c r="E85" s="54" t="str">
        <f>TEXT(Base_de_Dados[[#This Row],[Semana]],"Mmmm")</f>
        <v>abril</v>
      </c>
      <c r="F85">
        <f>YEAR(Base_de_Dados[[#This Row],[Semana]])</f>
        <v>2022</v>
      </c>
      <c r="G85" t="str">
        <f>IF(MONTH( Base_de_Dados[[#This Row],[Semana]])&lt;=6,"1ª Semestre","2ª Semestre")</f>
        <v>1ª Semestre</v>
      </c>
    </row>
    <row r="86" spans="1:7" x14ac:dyDescent="0.25">
      <c r="A86" t="s">
        <v>7</v>
      </c>
      <c r="B86">
        <v>4</v>
      </c>
      <c r="C86" s="6">
        <v>0.16</v>
      </c>
      <c r="D86" s="54">
        <v>44669</v>
      </c>
      <c r="E86" s="54" t="str">
        <f>TEXT(Base_de_Dados[[#This Row],[Semana]],"Mmmm")</f>
        <v>abril</v>
      </c>
      <c r="F86">
        <f>YEAR(Base_de_Dados[[#This Row],[Semana]])</f>
        <v>2022</v>
      </c>
      <c r="G86" t="str">
        <f>IF(MONTH( Base_de_Dados[[#This Row],[Semana]])&lt;=6,"1ª Semestre","2ª Semestre")</f>
        <v>1ª Semestre</v>
      </c>
    </row>
    <row r="87" spans="1:7" x14ac:dyDescent="0.25">
      <c r="A87" t="s">
        <v>8</v>
      </c>
      <c r="B87">
        <v>5</v>
      </c>
      <c r="C87" s="6">
        <v>0.2</v>
      </c>
      <c r="D87" s="54">
        <v>44669</v>
      </c>
      <c r="E87" s="54" t="str">
        <f>TEXT(Base_de_Dados[[#This Row],[Semana]],"Mmmm")</f>
        <v>abril</v>
      </c>
      <c r="F87">
        <f>YEAR(Base_de_Dados[[#This Row],[Semana]])</f>
        <v>2022</v>
      </c>
      <c r="G87" t="str">
        <f>IF(MONTH( Base_de_Dados[[#This Row],[Semana]])&lt;=6,"1ª Semestre","2ª Semestre")</f>
        <v>1ª Semestre</v>
      </c>
    </row>
    <row r="88" spans="1:7" x14ac:dyDescent="0.25">
      <c r="A88" t="s">
        <v>9</v>
      </c>
      <c r="B88">
        <v>1</v>
      </c>
      <c r="C88" s="6">
        <v>0.04</v>
      </c>
      <c r="D88" s="54">
        <v>44669</v>
      </c>
      <c r="E88" s="54" t="str">
        <f>TEXT(Base_de_Dados[[#This Row],[Semana]],"Mmmm")</f>
        <v>abril</v>
      </c>
      <c r="F88">
        <f>YEAR(Base_de_Dados[[#This Row],[Semana]])</f>
        <v>2022</v>
      </c>
      <c r="G88" t="str">
        <f>IF(MONTH( Base_de_Dados[[#This Row],[Semana]])&lt;=6,"1ª Semestre","2ª Semestre")</f>
        <v>1ª Semestre</v>
      </c>
    </row>
    <row r="89" spans="1:7" x14ac:dyDescent="0.25">
      <c r="A89" t="s">
        <v>10</v>
      </c>
      <c r="B89">
        <v>0</v>
      </c>
      <c r="C89" s="6">
        <v>0</v>
      </c>
      <c r="D89" s="54">
        <v>44669</v>
      </c>
      <c r="E89" s="54" t="str">
        <f>TEXT(Base_de_Dados[[#This Row],[Semana]],"Mmmm")</f>
        <v>abril</v>
      </c>
      <c r="F89">
        <f>YEAR(Base_de_Dados[[#This Row],[Semana]])</f>
        <v>2022</v>
      </c>
      <c r="G89" t="str">
        <f>IF(MONTH( Base_de_Dados[[#This Row],[Semana]])&lt;=6,"1ª Semestre","2ª Semestre")</f>
        <v>1ª Semestre</v>
      </c>
    </row>
    <row r="90" spans="1:7" x14ac:dyDescent="0.25">
      <c r="A90" t="s">
        <v>11</v>
      </c>
      <c r="B90">
        <v>6</v>
      </c>
      <c r="C90" s="6">
        <v>0.24</v>
      </c>
      <c r="D90" s="54">
        <v>44669</v>
      </c>
      <c r="E90" s="54" t="str">
        <f>TEXT(Base_de_Dados[[#This Row],[Semana]],"Mmmm")</f>
        <v>abril</v>
      </c>
      <c r="F90">
        <f>YEAR(Base_de_Dados[[#This Row],[Semana]])</f>
        <v>2022</v>
      </c>
      <c r="G90" t="str">
        <f>IF(MONTH( Base_de_Dados[[#This Row],[Semana]])&lt;=6,"1ª Semestre","2ª Semestre")</f>
        <v>1ª Semestre</v>
      </c>
    </row>
    <row r="91" spans="1:7" x14ac:dyDescent="0.25">
      <c r="A91" t="s">
        <v>12</v>
      </c>
      <c r="B91">
        <v>1</v>
      </c>
      <c r="C91" s="6">
        <v>0.04</v>
      </c>
      <c r="D91" s="54">
        <v>44669</v>
      </c>
      <c r="E91" s="54" t="str">
        <f>TEXT(Base_de_Dados[[#This Row],[Semana]],"Mmmm")</f>
        <v>abril</v>
      </c>
      <c r="F91">
        <f>YEAR(Base_de_Dados[[#This Row],[Semana]])</f>
        <v>2022</v>
      </c>
      <c r="G91" t="str">
        <f>IF(MONTH( Base_de_Dados[[#This Row],[Semana]])&lt;=6,"1ª Semestre","2ª Semestre")</f>
        <v>1ª Semestre</v>
      </c>
    </row>
    <row r="92" spans="1:7" x14ac:dyDescent="0.25">
      <c r="A92" t="s">
        <v>3</v>
      </c>
      <c r="B92">
        <v>3</v>
      </c>
      <c r="C92" s="6">
        <v>0.10714285714285714</v>
      </c>
      <c r="D92" s="54">
        <v>44676</v>
      </c>
      <c r="E92" s="54" t="str">
        <f>TEXT(Base_de_Dados[[#This Row],[Semana]],"Mmmm")</f>
        <v>abril</v>
      </c>
      <c r="F92">
        <f>YEAR(Base_de_Dados[[#This Row],[Semana]])</f>
        <v>2022</v>
      </c>
      <c r="G92" t="str">
        <f>IF(MONTH( Base_de_Dados[[#This Row],[Semana]])&lt;=6,"1ª Semestre","2ª Semestre")</f>
        <v>1ª Semestre</v>
      </c>
    </row>
    <row r="93" spans="1:7" x14ac:dyDescent="0.25">
      <c r="A93" t="s">
        <v>4</v>
      </c>
      <c r="B93">
        <v>0</v>
      </c>
      <c r="C93" s="6">
        <v>0</v>
      </c>
      <c r="D93" s="54">
        <v>44676</v>
      </c>
      <c r="E93" s="54" t="str">
        <f>TEXT(Base_de_Dados[[#This Row],[Semana]],"Mmmm")</f>
        <v>abril</v>
      </c>
      <c r="F93">
        <f>YEAR(Base_de_Dados[[#This Row],[Semana]])</f>
        <v>2022</v>
      </c>
      <c r="G93" t="str">
        <f>IF(MONTH( Base_de_Dados[[#This Row],[Semana]])&lt;=6,"1ª Semestre","2ª Semestre")</f>
        <v>1ª Semestre</v>
      </c>
    </row>
    <row r="94" spans="1:7" x14ac:dyDescent="0.25">
      <c r="A94" t="s">
        <v>5</v>
      </c>
      <c r="B94">
        <v>1</v>
      </c>
      <c r="C94" s="6">
        <v>3.5714285714285712E-2</v>
      </c>
      <c r="D94" s="54">
        <v>44676</v>
      </c>
      <c r="E94" s="54" t="str">
        <f>TEXT(Base_de_Dados[[#This Row],[Semana]],"Mmmm")</f>
        <v>abril</v>
      </c>
      <c r="F94">
        <f>YEAR(Base_de_Dados[[#This Row],[Semana]])</f>
        <v>2022</v>
      </c>
      <c r="G94" t="str">
        <f>IF(MONTH( Base_de_Dados[[#This Row],[Semana]])&lt;=6,"1ª Semestre","2ª Semestre")</f>
        <v>1ª Semestre</v>
      </c>
    </row>
    <row r="95" spans="1:7" x14ac:dyDescent="0.25">
      <c r="A95" t="s">
        <v>6</v>
      </c>
      <c r="B95">
        <v>2</v>
      </c>
      <c r="C95" s="6">
        <v>7.1428571428571425E-2</v>
      </c>
      <c r="D95" s="54">
        <v>44676</v>
      </c>
      <c r="E95" s="54" t="str">
        <f>TEXT(Base_de_Dados[[#This Row],[Semana]],"Mmmm")</f>
        <v>abril</v>
      </c>
      <c r="F95">
        <f>YEAR(Base_de_Dados[[#This Row],[Semana]])</f>
        <v>2022</v>
      </c>
      <c r="G95" t="str">
        <f>IF(MONTH( Base_de_Dados[[#This Row],[Semana]])&lt;=6,"1ª Semestre","2ª Semestre")</f>
        <v>1ª Semestre</v>
      </c>
    </row>
    <row r="96" spans="1:7" x14ac:dyDescent="0.25">
      <c r="A96" t="s">
        <v>7</v>
      </c>
      <c r="B96">
        <v>1</v>
      </c>
      <c r="C96" s="6">
        <v>3.5714285714285712E-2</v>
      </c>
      <c r="D96" s="54">
        <v>44676</v>
      </c>
      <c r="E96" s="54" t="str">
        <f>TEXT(Base_de_Dados[[#This Row],[Semana]],"Mmmm")</f>
        <v>abril</v>
      </c>
      <c r="F96">
        <f>YEAR(Base_de_Dados[[#This Row],[Semana]])</f>
        <v>2022</v>
      </c>
      <c r="G96" t="str">
        <f>IF(MONTH( Base_de_Dados[[#This Row],[Semana]])&lt;=6,"1ª Semestre","2ª Semestre")</f>
        <v>1ª Semestre</v>
      </c>
    </row>
    <row r="97" spans="1:7" x14ac:dyDescent="0.25">
      <c r="A97" t="s">
        <v>8</v>
      </c>
      <c r="B97">
        <v>0</v>
      </c>
      <c r="C97" s="6">
        <v>0</v>
      </c>
      <c r="D97" s="54">
        <v>44676</v>
      </c>
      <c r="E97" s="54" t="str">
        <f>TEXT(Base_de_Dados[[#This Row],[Semana]],"Mmmm")</f>
        <v>abril</v>
      </c>
      <c r="F97">
        <f>YEAR(Base_de_Dados[[#This Row],[Semana]])</f>
        <v>2022</v>
      </c>
      <c r="G97" t="str">
        <f>IF(MONTH( Base_de_Dados[[#This Row],[Semana]])&lt;=6,"1ª Semestre","2ª Semestre")</f>
        <v>1ª Semestre</v>
      </c>
    </row>
    <row r="98" spans="1:7" x14ac:dyDescent="0.25">
      <c r="A98" t="s">
        <v>9</v>
      </c>
      <c r="B98">
        <v>13</v>
      </c>
      <c r="C98" s="6">
        <v>0.4642857142857143</v>
      </c>
      <c r="D98" s="54">
        <v>44676</v>
      </c>
      <c r="E98" s="54" t="str">
        <f>TEXT(Base_de_Dados[[#This Row],[Semana]],"Mmmm")</f>
        <v>abril</v>
      </c>
      <c r="F98">
        <f>YEAR(Base_de_Dados[[#This Row],[Semana]])</f>
        <v>2022</v>
      </c>
      <c r="G98" t="str">
        <f>IF(MONTH( Base_de_Dados[[#This Row],[Semana]])&lt;=6,"1ª Semestre","2ª Semestre")</f>
        <v>1ª Semestre</v>
      </c>
    </row>
    <row r="99" spans="1:7" x14ac:dyDescent="0.25">
      <c r="A99" t="s">
        <v>10</v>
      </c>
      <c r="B99">
        <v>0</v>
      </c>
      <c r="C99" s="6">
        <v>0</v>
      </c>
      <c r="D99" s="54">
        <v>44676</v>
      </c>
      <c r="E99" s="54" t="str">
        <f>TEXT(Base_de_Dados[[#This Row],[Semana]],"Mmmm")</f>
        <v>abril</v>
      </c>
      <c r="F99">
        <f>YEAR(Base_de_Dados[[#This Row],[Semana]])</f>
        <v>2022</v>
      </c>
      <c r="G99" t="str">
        <f>IF(MONTH( Base_de_Dados[[#This Row],[Semana]])&lt;=6,"1ª Semestre","2ª Semestre")</f>
        <v>1ª Semestre</v>
      </c>
    </row>
    <row r="100" spans="1:7" x14ac:dyDescent="0.25">
      <c r="A100" t="s">
        <v>11</v>
      </c>
      <c r="B100">
        <v>8</v>
      </c>
      <c r="C100" s="6">
        <v>0.2857142857142857</v>
      </c>
      <c r="D100" s="54">
        <v>44676</v>
      </c>
      <c r="E100" s="54" t="str">
        <f>TEXT(Base_de_Dados[[#This Row],[Semana]],"Mmmm")</f>
        <v>abril</v>
      </c>
      <c r="F100">
        <f>YEAR(Base_de_Dados[[#This Row],[Semana]])</f>
        <v>2022</v>
      </c>
      <c r="G100" t="str">
        <f>IF(MONTH( Base_de_Dados[[#This Row],[Semana]])&lt;=6,"1ª Semestre","2ª Semestre")</f>
        <v>1ª Semestre</v>
      </c>
    </row>
    <row r="101" spans="1:7" x14ac:dyDescent="0.25">
      <c r="A101" t="s">
        <v>12</v>
      </c>
      <c r="B101">
        <v>0</v>
      </c>
      <c r="C101" s="6">
        <v>0</v>
      </c>
      <c r="D101" s="54">
        <v>44676</v>
      </c>
      <c r="E101" s="54" t="str">
        <f>TEXT(Base_de_Dados[[#This Row],[Semana]],"Mmmm")</f>
        <v>abril</v>
      </c>
      <c r="F101">
        <f>YEAR(Base_de_Dados[[#This Row],[Semana]])</f>
        <v>2022</v>
      </c>
      <c r="G101" t="str">
        <f>IF(MONTH( Base_de_Dados[[#This Row],[Semana]])&lt;=6,"1ª Semestre","2ª Semestre")</f>
        <v>1ª Semestre</v>
      </c>
    </row>
    <row r="102" spans="1:7" x14ac:dyDescent="0.25">
      <c r="A102" t="s">
        <v>3</v>
      </c>
      <c r="B102">
        <v>2</v>
      </c>
      <c r="C102" s="6">
        <v>0.125</v>
      </c>
      <c r="D102" s="54">
        <v>44683</v>
      </c>
      <c r="E102" s="54" t="str">
        <f>TEXT(Base_de_Dados[[#This Row],[Semana]],"Mmmm")</f>
        <v>maio</v>
      </c>
      <c r="F102">
        <f>YEAR(Base_de_Dados[[#This Row],[Semana]])</f>
        <v>2022</v>
      </c>
      <c r="G102" t="str">
        <f>IF(MONTH( Base_de_Dados[[#This Row],[Semana]])&lt;=6,"1ª Semestre","2ª Semestre")</f>
        <v>1ª Semestre</v>
      </c>
    </row>
    <row r="103" spans="1:7" x14ac:dyDescent="0.25">
      <c r="A103" t="s">
        <v>4</v>
      </c>
      <c r="B103">
        <v>0</v>
      </c>
      <c r="C103" s="6">
        <v>0</v>
      </c>
      <c r="D103" s="54">
        <v>44683</v>
      </c>
      <c r="E103" s="54" t="str">
        <f>TEXT(Base_de_Dados[[#This Row],[Semana]],"Mmmm")</f>
        <v>maio</v>
      </c>
      <c r="F103">
        <f>YEAR(Base_de_Dados[[#This Row],[Semana]])</f>
        <v>2022</v>
      </c>
      <c r="G103" t="str">
        <f>IF(MONTH( Base_de_Dados[[#This Row],[Semana]])&lt;=6,"1ª Semestre","2ª Semestre")</f>
        <v>1ª Semestre</v>
      </c>
    </row>
    <row r="104" spans="1:7" x14ac:dyDescent="0.25">
      <c r="A104" t="s">
        <v>5</v>
      </c>
      <c r="B104">
        <v>2</v>
      </c>
      <c r="C104" s="6">
        <v>0.125</v>
      </c>
      <c r="D104" s="54">
        <v>44683</v>
      </c>
      <c r="E104" s="54" t="str">
        <f>TEXT(Base_de_Dados[[#This Row],[Semana]],"Mmmm")</f>
        <v>maio</v>
      </c>
      <c r="F104">
        <f>YEAR(Base_de_Dados[[#This Row],[Semana]])</f>
        <v>2022</v>
      </c>
      <c r="G104" t="str">
        <f>IF(MONTH( Base_de_Dados[[#This Row],[Semana]])&lt;=6,"1ª Semestre","2ª Semestre")</f>
        <v>1ª Semestre</v>
      </c>
    </row>
    <row r="105" spans="1:7" x14ac:dyDescent="0.25">
      <c r="A105" t="s">
        <v>6</v>
      </c>
      <c r="B105">
        <v>0</v>
      </c>
      <c r="C105" s="6">
        <v>0</v>
      </c>
      <c r="D105" s="54">
        <v>44683</v>
      </c>
      <c r="E105" s="54" t="str">
        <f>TEXT(Base_de_Dados[[#This Row],[Semana]],"Mmmm")</f>
        <v>maio</v>
      </c>
      <c r="F105">
        <f>YEAR(Base_de_Dados[[#This Row],[Semana]])</f>
        <v>2022</v>
      </c>
      <c r="G105" t="str">
        <f>IF(MONTH( Base_de_Dados[[#This Row],[Semana]])&lt;=6,"1ª Semestre","2ª Semestre")</f>
        <v>1ª Semestre</v>
      </c>
    </row>
    <row r="106" spans="1:7" x14ac:dyDescent="0.25">
      <c r="A106" t="s">
        <v>7</v>
      </c>
      <c r="B106">
        <v>5</v>
      </c>
      <c r="C106" s="6">
        <v>0.3125</v>
      </c>
      <c r="D106" s="54">
        <v>44683</v>
      </c>
      <c r="E106" s="54" t="str">
        <f>TEXT(Base_de_Dados[[#This Row],[Semana]],"Mmmm")</f>
        <v>maio</v>
      </c>
      <c r="F106">
        <f>YEAR(Base_de_Dados[[#This Row],[Semana]])</f>
        <v>2022</v>
      </c>
      <c r="G106" t="str">
        <f>IF(MONTH( Base_de_Dados[[#This Row],[Semana]])&lt;=6,"1ª Semestre","2ª Semestre")</f>
        <v>1ª Semestre</v>
      </c>
    </row>
    <row r="107" spans="1:7" x14ac:dyDescent="0.25">
      <c r="A107" t="s">
        <v>8</v>
      </c>
      <c r="B107">
        <v>0</v>
      </c>
      <c r="C107" s="6">
        <v>0</v>
      </c>
      <c r="D107" s="54">
        <v>44683</v>
      </c>
      <c r="E107" s="54" t="str">
        <f>TEXT(Base_de_Dados[[#This Row],[Semana]],"Mmmm")</f>
        <v>maio</v>
      </c>
      <c r="F107">
        <f>YEAR(Base_de_Dados[[#This Row],[Semana]])</f>
        <v>2022</v>
      </c>
      <c r="G107" t="str">
        <f>IF(MONTH( Base_de_Dados[[#This Row],[Semana]])&lt;=6,"1ª Semestre","2ª Semestre")</f>
        <v>1ª Semestre</v>
      </c>
    </row>
    <row r="108" spans="1:7" x14ac:dyDescent="0.25">
      <c r="A108" t="s">
        <v>9</v>
      </c>
      <c r="B108">
        <v>5</v>
      </c>
      <c r="C108" s="6">
        <v>0.3125</v>
      </c>
      <c r="D108" s="54">
        <v>44683</v>
      </c>
      <c r="E108" s="54" t="str">
        <f>TEXT(Base_de_Dados[[#This Row],[Semana]],"Mmmm")</f>
        <v>maio</v>
      </c>
      <c r="F108">
        <f>YEAR(Base_de_Dados[[#This Row],[Semana]])</f>
        <v>2022</v>
      </c>
      <c r="G108" t="str">
        <f>IF(MONTH( Base_de_Dados[[#This Row],[Semana]])&lt;=6,"1ª Semestre","2ª Semestre")</f>
        <v>1ª Semestre</v>
      </c>
    </row>
    <row r="109" spans="1:7" x14ac:dyDescent="0.25">
      <c r="A109" t="s">
        <v>10</v>
      </c>
      <c r="B109">
        <v>0</v>
      </c>
      <c r="C109" s="6">
        <v>0</v>
      </c>
      <c r="D109" s="54">
        <v>44683</v>
      </c>
      <c r="E109" s="54" t="str">
        <f>TEXT(Base_de_Dados[[#This Row],[Semana]],"Mmmm")</f>
        <v>maio</v>
      </c>
      <c r="F109">
        <f>YEAR(Base_de_Dados[[#This Row],[Semana]])</f>
        <v>2022</v>
      </c>
      <c r="G109" t="str">
        <f>IF(MONTH( Base_de_Dados[[#This Row],[Semana]])&lt;=6,"1ª Semestre","2ª Semestre")</f>
        <v>1ª Semestre</v>
      </c>
    </row>
    <row r="110" spans="1:7" x14ac:dyDescent="0.25">
      <c r="A110" t="s">
        <v>11</v>
      </c>
      <c r="B110">
        <v>2</v>
      </c>
      <c r="C110" s="6">
        <v>0.125</v>
      </c>
      <c r="D110" s="54">
        <v>44683</v>
      </c>
      <c r="E110" s="54" t="str">
        <f>TEXT(Base_de_Dados[[#This Row],[Semana]],"Mmmm")</f>
        <v>maio</v>
      </c>
      <c r="F110">
        <f>YEAR(Base_de_Dados[[#This Row],[Semana]])</f>
        <v>2022</v>
      </c>
      <c r="G110" t="str">
        <f>IF(MONTH( Base_de_Dados[[#This Row],[Semana]])&lt;=6,"1ª Semestre","2ª Semestre")</f>
        <v>1ª Semestre</v>
      </c>
    </row>
    <row r="111" spans="1:7" x14ac:dyDescent="0.25">
      <c r="A111" t="s">
        <v>12</v>
      </c>
      <c r="B111">
        <v>0</v>
      </c>
      <c r="C111" s="6">
        <v>0</v>
      </c>
      <c r="D111" s="54">
        <v>44683</v>
      </c>
      <c r="E111" s="54" t="str">
        <f>TEXT(Base_de_Dados[[#This Row],[Semana]],"Mmmm")</f>
        <v>maio</v>
      </c>
      <c r="F111">
        <f>YEAR(Base_de_Dados[[#This Row],[Semana]])</f>
        <v>2022</v>
      </c>
      <c r="G111" t="str">
        <f>IF(MONTH( Base_de_Dados[[#This Row],[Semana]])&lt;=6,"1ª Semestre","2ª Semestre")</f>
        <v>1ª Semestre</v>
      </c>
    </row>
    <row r="112" spans="1:7" x14ac:dyDescent="0.25">
      <c r="A112" t="s">
        <v>3</v>
      </c>
      <c r="B112">
        <v>1</v>
      </c>
      <c r="C112" s="6">
        <v>0.14285714285714285</v>
      </c>
      <c r="D112" s="54">
        <v>44690</v>
      </c>
      <c r="E112" s="54" t="str">
        <f>TEXT(Base_de_Dados[[#This Row],[Semana]],"Mmmm")</f>
        <v>maio</v>
      </c>
      <c r="F112">
        <f>YEAR(Base_de_Dados[[#This Row],[Semana]])</f>
        <v>2022</v>
      </c>
      <c r="G112" t="str">
        <f>IF(MONTH( Base_de_Dados[[#This Row],[Semana]])&lt;=6,"1ª Semestre","2ª Semestre")</f>
        <v>1ª Semestre</v>
      </c>
    </row>
    <row r="113" spans="1:7" x14ac:dyDescent="0.25">
      <c r="A113" t="s">
        <v>4</v>
      </c>
      <c r="B113">
        <v>0</v>
      </c>
      <c r="C113" s="6">
        <v>0</v>
      </c>
      <c r="D113" s="54">
        <v>44690</v>
      </c>
      <c r="E113" s="54" t="str">
        <f>TEXT(Base_de_Dados[[#This Row],[Semana]],"Mmmm")</f>
        <v>maio</v>
      </c>
      <c r="F113">
        <f>YEAR(Base_de_Dados[[#This Row],[Semana]])</f>
        <v>2022</v>
      </c>
      <c r="G113" t="str">
        <f>IF(MONTH( Base_de_Dados[[#This Row],[Semana]])&lt;=6,"1ª Semestre","2ª Semestre")</f>
        <v>1ª Semestre</v>
      </c>
    </row>
    <row r="114" spans="1:7" x14ac:dyDescent="0.25">
      <c r="A114" t="s">
        <v>5</v>
      </c>
      <c r="B114">
        <v>0</v>
      </c>
      <c r="C114" s="6">
        <v>0</v>
      </c>
      <c r="D114" s="54">
        <v>44690</v>
      </c>
      <c r="E114" s="54" t="str">
        <f>TEXT(Base_de_Dados[[#This Row],[Semana]],"Mmmm")</f>
        <v>maio</v>
      </c>
      <c r="F114">
        <f>YEAR(Base_de_Dados[[#This Row],[Semana]])</f>
        <v>2022</v>
      </c>
      <c r="G114" t="str">
        <f>IF(MONTH( Base_de_Dados[[#This Row],[Semana]])&lt;=6,"1ª Semestre","2ª Semestre")</f>
        <v>1ª Semestre</v>
      </c>
    </row>
    <row r="115" spans="1:7" x14ac:dyDescent="0.25">
      <c r="A115" t="s">
        <v>6</v>
      </c>
      <c r="B115">
        <v>0</v>
      </c>
      <c r="C115" s="6">
        <v>0</v>
      </c>
      <c r="D115" s="54">
        <v>44690</v>
      </c>
      <c r="E115" s="54" t="str">
        <f>TEXT(Base_de_Dados[[#This Row],[Semana]],"Mmmm")</f>
        <v>maio</v>
      </c>
      <c r="F115">
        <f>YEAR(Base_de_Dados[[#This Row],[Semana]])</f>
        <v>2022</v>
      </c>
      <c r="G115" t="str">
        <f>IF(MONTH( Base_de_Dados[[#This Row],[Semana]])&lt;=6,"1ª Semestre","2ª Semestre")</f>
        <v>1ª Semestre</v>
      </c>
    </row>
    <row r="116" spans="1:7" x14ac:dyDescent="0.25">
      <c r="A116" t="s">
        <v>7</v>
      </c>
      <c r="B116">
        <v>0</v>
      </c>
      <c r="C116" s="6">
        <v>0</v>
      </c>
      <c r="D116" s="54">
        <v>44690</v>
      </c>
      <c r="E116" s="54" t="str">
        <f>TEXT(Base_de_Dados[[#This Row],[Semana]],"Mmmm")</f>
        <v>maio</v>
      </c>
      <c r="F116">
        <f>YEAR(Base_de_Dados[[#This Row],[Semana]])</f>
        <v>2022</v>
      </c>
      <c r="G116" t="str">
        <f>IF(MONTH( Base_de_Dados[[#This Row],[Semana]])&lt;=6,"1ª Semestre","2ª Semestre")</f>
        <v>1ª Semestre</v>
      </c>
    </row>
    <row r="117" spans="1:7" x14ac:dyDescent="0.25">
      <c r="A117" t="s">
        <v>8</v>
      </c>
      <c r="B117">
        <v>0</v>
      </c>
      <c r="C117" s="6">
        <v>0</v>
      </c>
      <c r="D117" s="54">
        <v>44690</v>
      </c>
      <c r="E117" s="54" t="str">
        <f>TEXT(Base_de_Dados[[#This Row],[Semana]],"Mmmm")</f>
        <v>maio</v>
      </c>
      <c r="F117">
        <f>YEAR(Base_de_Dados[[#This Row],[Semana]])</f>
        <v>2022</v>
      </c>
      <c r="G117" t="str">
        <f>IF(MONTH( Base_de_Dados[[#This Row],[Semana]])&lt;=6,"1ª Semestre","2ª Semestre")</f>
        <v>1ª Semestre</v>
      </c>
    </row>
    <row r="118" spans="1:7" x14ac:dyDescent="0.25">
      <c r="A118" t="s">
        <v>9</v>
      </c>
      <c r="B118">
        <v>0</v>
      </c>
      <c r="C118" s="6">
        <v>0</v>
      </c>
      <c r="D118" s="54">
        <v>44690</v>
      </c>
      <c r="E118" s="54" t="str">
        <f>TEXT(Base_de_Dados[[#This Row],[Semana]],"Mmmm")</f>
        <v>maio</v>
      </c>
      <c r="F118">
        <f>YEAR(Base_de_Dados[[#This Row],[Semana]])</f>
        <v>2022</v>
      </c>
      <c r="G118" t="str">
        <f>IF(MONTH( Base_de_Dados[[#This Row],[Semana]])&lt;=6,"1ª Semestre","2ª Semestre")</f>
        <v>1ª Semestre</v>
      </c>
    </row>
    <row r="119" spans="1:7" x14ac:dyDescent="0.25">
      <c r="A119" t="s">
        <v>10</v>
      </c>
      <c r="B119">
        <v>0</v>
      </c>
      <c r="C119" s="6">
        <v>0</v>
      </c>
      <c r="D119" s="54">
        <v>44690</v>
      </c>
      <c r="E119" s="54" t="str">
        <f>TEXT(Base_de_Dados[[#This Row],[Semana]],"Mmmm")</f>
        <v>maio</v>
      </c>
      <c r="F119">
        <f>YEAR(Base_de_Dados[[#This Row],[Semana]])</f>
        <v>2022</v>
      </c>
      <c r="G119" t="str">
        <f>IF(MONTH( Base_de_Dados[[#This Row],[Semana]])&lt;=6,"1ª Semestre","2ª Semestre")</f>
        <v>1ª Semestre</v>
      </c>
    </row>
    <row r="120" spans="1:7" x14ac:dyDescent="0.25">
      <c r="A120" t="s">
        <v>11</v>
      </c>
      <c r="B120">
        <v>3</v>
      </c>
      <c r="C120" s="6">
        <v>0.42857142857142855</v>
      </c>
      <c r="D120" s="54">
        <v>44690</v>
      </c>
      <c r="E120" s="54" t="str">
        <f>TEXT(Base_de_Dados[[#This Row],[Semana]],"Mmmm")</f>
        <v>maio</v>
      </c>
      <c r="F120">
        <f>YEAR(Base_de_Dados[[#This Row],[Semana]])</f>
        <v>2022</v>
      </c>
      <c r="G120" t="str">
        <f>IF(MONTH( Base_de_Dados[[#This Row],[Semana]])&lt;=6,"1ª Semestre","2ª Semestre")</f>
        <v>1ª Semestre</v>
      </c>
    </row>
    <row r="121" spans="1:7" x14ac:dyDescent="0.25">
      <c r="A121" t="s">
        <v>12</v>
      </c>
      <c r="B121">
        <v>3</v>
      </c>
      <c r="C121" s="6">
        <v>0.42857142857142855</v>
      </c>
      <c r="D121" s="54">
        <v>44690</v>
      </c>
      <c r="E121" s="54" t="str">
        <f>TEXT(Base_de_Dados[[#This Row],[Semana]],"Mmmm")</f>
        <v>maio</v>
      </c>
      <c r="F121">
        <f>YEAR(Base_de_Dados[[#This Row],[Semana]])</f>
        <v>2022</v>
      </c>
      <c r="G121" t="str">
        <f>IF(MONTH( Base_de_Dados[[#This Row],[Semana]])&lt;=6,"1ª Semestre","2ª Semestre")</f>
        <v>1ª Semestre</v>
      </c>
    </row>
    <row r="122" spans="1:7" x14ac:dyDescent="0.25">
      <c r="A122" t="s">
        <v>3</v>
      </c>
      <c r="B122">
        <v>3</v>
      </c>
      <c r="C122" s="6">
        <v>0.42857142857142855</v>
      </c>
      <c r="D122" s="54">
        <v>44697</v>
      </c>
      <c r="E122" s="54" t="str">
        <f>TEXT(Base_de_Dados[[#This Row],[Semana]],"Mmmm")</f>
        <v>maio</v>
      </c>
      <c r="F122">
        <f>YEAR(Base_de_Dados[[#This Row],[Semana]])</f>
        <v>2022</v>
      </c>
      <c r="G122" t="str">
        <f>IF(MONTH( Base_de_Dados[[#This Row],[Semana]])&lt;=6,"1ª Semestre","2ª Semestre")</f>
        <v>1ª Semestre</v>
      </c>
    </row>
    <row r="123" spans="1:7" x14ac:dyDescent="0.25">
      <c r="A123" t="s">
        <v>4</v>
      </c>
      <c r="B123">
        <v>0</v>
      </c>
      <c r="C123" s="6">
        <v>0</v>
      </c>
      <c r="D123" s="54">
        <v>44697</v>
      </c>
      <c r="E123" s="54" t="str">
        <f>TEXT(Base_de_Dados[[#This Row],[Semana]],"Mmmm")</f>
        <v>maio</v>
      </c>
      <c r="F123">
        <f>YEAR(Base_de_Dados[[#This Row],[Semana]])</f>
        <v>2022</v>
      </c>
      <c r="G123" t="str">
        <f>IF(MONTH( Base_de_Dados[[#This Row],[Semana]])&lt;=6,"1ª Semestre","2ª Semestre")</f>
        <v>1ª Semestre</v>
      </c>
    </row>
    <row r="124" spans="1:7" x14ac:dyDescent="0.25">
      <c r="A124" t="s">
        <v>5</v>
      </c>
      <c r="B124">
        <v>2</v>
      </c>
      <c r="C124" s="6">
        <v>0.2857142857142857</v>
      </c>
      <c r="D124" s="54">
        <v>44697</v>
      </c>
      <c r="E124" s="54" t="str">
        <f>TEXT(Base_de_Dados[[#This Row],[Semana]],"Mmmm")</f>
        <v>maio</v>
      </c>
      <c r="F124">
        <f>YEAR(Base_de_Dados[[#This Row],[Semana]])</f>
        <v>2022</v>
      </c>
      <c r="G124" t="str">
        <f>IF(MONTH( Base_de_Dados[[#This Row],[Semana]])&lt;=6,"1ª Semestre","2ª Semestre")</f>
        <v>1ª Semestre</v>
      </c>
    </row>
    <row r="125" spans="1:7" x14ac:dyDescent="0.25">
      <c r="A125" t="s">
        <v>6</v>
      </c>
      <c r="B125">
        <v>1</v>
      </c>
      <c r="C125" s="6">
        <v>0.14285714285714285</v>
      </c>
      <c r="D125" s="54">
        <v>44697</v>
      </c>
      <c r="E125" s="54" t="str">
        <f>TEXT(Base_de_Dados[[#This Row],[Semana]],"Mmmm")</f>
        <v>maio</v>
      </c>
      <c r="F125">
        <f>YEAR(Base_de_Dados[[#This Row],[Semana]])</f>
        <v>2022</v>
      </c>
      <c r="G125" t="str">
        <f>IF(MONTH( Base_de_Dados[[#This Row],[Semana]])&lt;=6,"1ª Semestre","2ª Semestre")</f>
        <v>1ª Semestre</v>
      </c>
    </row>
    <row r="126" spans="1:7" x14ac:dyDescent="0.25">
      <c r="A126" t="s">
        <v>7</v>
      </c>
      <c r="B126">
        <v>1</v>
      </c>
      <c r="C126" s="6">
        <v>0.14285714285714285</v>
      </c>
      <c r="D126" s="54">
        <v>44697</v>
      </c>
      <c r="E126" s="54" t="str">
        <f>TEXT(Base_de_Dados[[#This Row],[Semana]],"Mmmm")</f>
        <v>maio</v>
      </c>
      <c r="F126">
        <f>YEAR(Base_de_Dados[[#This Row],[Semana]])</f>
        <v>2022</v>
      </c>
      <c r="G126" t="str">
        <f>IF(MONTH( Base_de_Dados[[#This Row],[Semana]])&lt;=6,"1ª Semestre","2ª Semestre")</f>
        <v>1ª Semestre</v>
      </c>
    </row>
    <row r="127" spans="1:7" x14ac:dyDescent="0.25">
      <c r="A127" t="s">
        <v>8</v>
      </c>
      <c r="B127">
        <v>0</v>
      </c>
      <c r="C127" s="6">
        <v>0</v>
      </c>
      <c r="D127" s="54">
        <v>44697</v>
      </c>
      <c r="E127" s="54" t="str">
        <f>TEXT(Base_de_Dados[[#This Row],[Semana]],"Mmmm")</f>
        <v>maio</v>
      </c>
      <c r="F127">
        <f>YEAR(Base_de_Dados[[#This Row],[Semana]])</f>
        <v>2022</v>
      </c>
      <c r="G127" t="str">
        <f>IF(MONTH( Base_de_Dados[[#This Row],[Semana]])&lt;=6,"1ª Semestre","2ª Semestre")</f>
        <v>1ª Semestre</v>
      </c>
    </row>
    <row r="128" spans="1:7" x14ac:dyDescent="0.25">
      <c r="A128" t="s">
        <v>9</v>
      </c>
      <c r="B128">
        <v>0</v>
      </c>
      <c r="C128" s="6">
        <v>0</v>
      </c>
      <c r="D128" s="54">
        <v>44697</v>
      </c>
      <c r="E128" s="54" t="str">
        <f>TEXT(Base_de_Dados[[#This Row],[Semana]],"Mmmm")</f>
        <v>maio</v>
      </c>
      <c r="F128">
        <f>YEAR(Base_de_Dados[[#This Row],[Semana]])</f>
        <v>2022</v>
      </c>
      <c r="G128" t="str">
        <f>IF(MONTH( Base_de_Dados[[#This Row],[Semana]])&lt;=6,"1ª Semestre","2ª Semestre")</f>
        <v>1ª Semestre</v>
      </c>
    </row>
    <row r="129" spans="1:7" x14ac:dyDescent="0.25">
      <c r="A129" t="s">
        <v>10</v>
      </c>
      <c r="B129">
        <v>0</v>
      </c>
      <c r="C129" s="6">
        <v>0</v>
      </c>
      <c r="D129" s="54">
        <v>44697</v>
      </c>
      <c r="E129" s="54" t="str">
        <f>TEXT(Base_de_Dados[[#This Row],[Semana]],"Mmmm")</f>
        <v>maio</v>
      </c>
      <c r="F129">
        <f>YEAR(Base_de_Dados[[#This Row],[Semana]])</f>
        <v>2022</v>
      </c>
      <c r="G129" t="str">
        <f>IF(MONTH( Base_de_Dados[[#This Row],[Semana]])&lt;=6,"1ª Semestre","2ª Semestre")</f>
        <v>1ª Semestre</v>
      </c>
    </row>
    <row r="130" spans="1:7" x14ac:dyDescent="0.25">
      <c r="A130" t="s">
        <v>11</v>
      </c>
      <c r="B130">
        <v>0</v>
      </c>
      <c r="C130" s="6">
        <v>0</v>
      </c>
      <c r="D130" s="54">
        <v>44697</v>
      </c>
      <c r="E130" s="54" t="str">
        <f>TEXT(Base_de_Dados[[#This Row],[Semana]],"Mmmm")</f>
        <v>maio</v>
      </c>
      <c r="F130">
        <f>YEAR(Base_de_Dados[[#This Row],[Semana]])</f>
        <v>2022</v>
      </c>
      <c r="G130" t="str">
        <f>IF(MONTH( Base_de_Dados[[#This Row],[Semana]])&lt;=6,"1ª Semestre","2ª Semestre")</f>
        <v>1ª Semestre</v>
      </c>
    </row>
    <row r="131" spans="1:7" x14ac:dyDescent="0.25">
      <c r="A131" t="s">
        <v>12</v>
      </c>
      <c r="B131">
        <v>0</v>
      </c>
      <c r="C131" s="6">
        <v>0</v>
      </c>
      <c r="D131" s="54">
        <v>44697</v>
      </c>
      <c r="E131" s="54" t="str">
        <f>TEXT(Base_de_Dados[[#This Row],[Semana]],"Mmmm")</f>
        <v>maio</v>
      </c>
      <c r="F131">
        <f>YEAR(Base_de_Dados[[#This Row],[Semana]])</f>
        <v>2022</v>
      </c>
      <c r="G131" t="str">
        <f>IF(MONTH( Base_de_Dados[[#This Row],[Semana]])&lt;=6,"1ª Semestre","2ª Semestre")</f>
        <v>1ª Semestre</v>
      </c>
    </row>
    <row r="132" spans="1:7" x14ac:dyDescent="0.25">
      <c r="A132" t="s">
        <v>3</v>
      </c>
      <c r="B132">
        <v>4</v>
      </c>
      <c r="C132" s="6">
        <v>0.2</v>
      </c>
      <c r="D132" s="54">
        <v>44704</v>
      </c>
      <c r="E132" s="54" t="str">
        <f>TEXT(Base_de_Dados[[#This Row],[Semana]],"Mmmm")</f>
        <v>maio</v>
      </c>
      <c r="F132">
        <f>YEAR(Base_de_Dados[[#This Row],[Semana]])</f>
        <v>2022</v>
      </c>
      <c r="G132" t="str">
        <f>IF(MONTH( Base_de_Dados[[#This Row],[Semana]])&lt;=6,"1ª Semestre","2ª Semestre")</f>
        <v>1ª Semestre</v>
      </c>
    </row>
    <row r="133" spans="1:7" x14ac:dyDescent="0.25">
      <c r="A133" t="s">
        <v>4</v>
      </c>
      <c r="B133">
        <v>2</v>
      </c>
      <c r="C133" s="6">
        <v>0.1</v>
      </c>
      <c r="D133" s="54">
        <v>44704</v>
      </c>
      <c r="E133" s="54" t="str">
        <f>TEXT(Base_de_Dados[[#This Row],[Semana]],"Mmmm")</f>
        <v>maio</v>
      </c>
      <c r="F133">
        <f>YEAR(Base_de_Dados[[#This Row],[Semana]])</f>
        <v>2022</v>
      </c>
      <c r="G133" t="str">
        <f>IF(MONTH( Base_de_Dados[[#This Row],[Semana]])&lt;=6,"1ª Semestre","2ª Semestre")</f>
        <v>1ª Semestre</v>
      </c>
    </row>
    <row r="134" spans="1:7" x14ac:dyDescent="0.25">
      <c r="A134" t="s">
        <v>5</v>
      </c>
      <c r="B134">
        <v>1</v>
      </c>
      <c r="C134" s="6">
        <v>0.05</v>
      </c>
      <c r="D134" s="54">
        <v>44704</v>
      </c>
      <c r="E134" s="54" t="str">
        <f>TEXT(Base_de_Dados[[#This Row],[Semana]],"Mmmm")</f>
        <v>maio</v>
      </c>
      <c r="F134">
        <f>YEAR(Base_de_Dados[[#This Row],[Semana]])</f>
        <v>2022</v>
      </c>
      <c r="G134" t="str">
        <f>IF(MONTH( Base_de_Dados[[#This Row],[Semana]])&lt;=6,"1ª Semestre","2ª Semestre")</f>
        <v>1ª Semestre</v>
      </c>
    </row>
    <row r="135" spans="1:7" x14ac:dyDescent="0.25">
      <c r="A135" t="s">
        <v>6</v>
      </c>
      <c r="B135">
        <v>4</v>
      </c>
      <c r="C135" s="6">
        <v>0.2</v>
      </c>
      <c r="D135" s="54">
        <v>44704</v>
      </c>
      <c r="E135" s="54" t="str">
        <f>TEXT(Base_de_Dados[[#This Row],[Semana]],"Mmmm")</f>
        <v>maio</v>
      </c>
      <c r="F135">
        <f>YEAR(Base_de_Dados[[#This Row],[Semana]])</f>
        <v>2022</v>
      </c>
      <c r="G135" t="str">
        <f>IF(MONTH( Base_de_Dados[[#This Row],[Semana]])&lt;=6,"1ª Semestre","2ª Semestre")</f>
        <v>1ª Semestre</v>
      </c>
    </row>
    <row r="136" spans="1:7" x14ac:dyDescent="0.25">
      <c r="A136" t="s">
        <v>7</v>
      </c>
      <c r="B136">
        <v>1</v>
      </c>
      <c r="C136" s="6">
        <v>0.05</v>
      </c>
      <c r="D136" s="54">
        <v>44704</v>
      </c>
      <c r="E136" s="54" t="str">
        <f>TEXT(Base_de_Dados[[#This Row],[Semana]],"Mmmm")</f>
        <v>maio</v>
      </c>
      <c r="F136">
        <f>YEAR(Base_de_Dados[[#This Row],[Semana]])</f>
        <v>2022</v>
      </c>
      <c r="G136" t="str">
        <f>IF(MONTH( Base_de_Dados[[#This Row],[Semana]])&lt;=6,"1ª Semestre","2ª Semestre")</f>
        <v>1ª Semestre</v>
      </c>
    </row>
    <row r="137" spans="1:7" x14ac:dyDescent="0.25">
      <c r="A137" t="s">
        <v>8</v>
      </c>
      <c r="B137">
        <v>0</v>
      </c>
      <c r="C137" s="6">
        <v>0</v>
      </c>
      <c r="D137" s="54">
        <v>44704</v>
      </c>
      <c r="E137" s="54" t="str">
        <f>TEXT(Base_de_Dados[[#This Row],[Semana]],"Mmmm")</f>
        <v>maio</v>
      </c>
      <c r="F137">
        <f>YEAR(Base_de_Dados[[#This Row],[Semana]])</f>
        <v>2022</v>
      </c>
      <c r="G137" t="str">
        <f>IF(MONTH( Base_de_Dados[[#This Row],[Semana]])&lt;=6,"1ª Semestre","2ª Semestre")</f>
        <v>1ª Semestre</v>
      </c>
    </row>
    <row r="138" spans="1:7" x14ac:dyDescent="0.25">
      <c r="A138" t="s">
        <v>9</v>
      </c>
      <c r="B138">
        <v>7</v>
      </c>
      <c r="C138" s="6">
        <v>0.35</v>
      </c>
      <c r="D138" s="54">
        <v>44704</v>
      </c>
      <c r="E138" s="54" t="str">
        <f>TEXT(Base_de_Dados[[#This Row],[Semana]],"Mmmm")</f>
        <v>maio</v>
      </c>
      <c r="F138">
        <f>YEAR(Base_de_Dados[[#This Row],[Semana]])</f>
        <v>2022</v>
      </c>
      <c r="G138" t="str">
        <f>IF(MONTH( Base_de_Dados[[#This Row],[Semana]])&lt;=6,"1ª Semestre","2ª Semestre")</f>
        <v>1ª Semestre</v>
      </c>
    </row>
    <row r="139" spans="1:7" x14ac:dyDescent="0.25">
      <c r="A139" t="s">
        <v>10</v>
      </c>
      <c r="B139">
        <v>0</v>
      </c>
      <c r="C139" s="6">
        <v>0</v>
      </c>
      <c r="D139" s="54">
        <v>44704</v>
      </c>
      <c r="E139" s="54" t="str">
        <f>TEXT(Base_de_Dados[[#This Row],[Semana]],"Mmmm")</f>
        <v>maio</v>
      </c>
      <c r="F139">
        <f>YEAR(Base_de_Dados[[#This Row],[Semana]])</f>
        <v>2022</v>
      </c>
      <c r="G139" t="str">
        <f>IF(MONTH( Base_de_Dados[[#This Row],[Semana]])&lt;=6,"1ª Semestre","2ª Semestre")</f>
        <v>1ª Semestre</v>
      </c>
    </row>
    <row r="140" spans="1:7" x14ac:dyDescent="0.25">
      <c r="A140" t="s">
        <v>11</v>
      </c>
      <c r="B140">
        <v>0</v>
      </c>
      <c r="C140" s="6">
        <v>0</v>
      </c>
      <c r="D140" s="54">
        <v>44704</v>
      </c>
      <c r="E140" s="54" t="str">
        <f>TEXT(Base_de_Dados[[#This Row],[Semana]],"Mmmm")</f>
        <v>maio</v>
      </c>
      <c r="F140">
        <f>YEAR(Base_de_Dados[[#This Row],[Semana]])</f>
        <v>2022</v>
      </c>
      <c r="G140" t="str">
        <f>IF(MONTH( Base_de_Dados[[#This Row],[Semana]])&lt;=6,"1ª Semestre","2ª Semestre")</f>
        <v>1ª Semestre</v>
      </c>
    </row>
    <row r="141" spans="1:7" x14ac:dyDescent="0.25">
      <c r="A141" t="s">
        <v>12</v>
      </c>
      <c r="B141">
        <v>1</v>
      </c>
      <c r="C141" s="6">
        <v>0.05</v>
      </c>
      <c r="D141" s="54">
        <v>44704</v>
      </c>
      <c r="E141" s="54" t="str">
        <f>TEXT(Base_de_Dados[[#This Row],[Semana]],"Mmmm")</f>
        <v>maio</v>
      </c>
      <c r="F141">
        <f>YEAR(Base_de_Dados[[#This Row],[Semana]])</f>
        <v>2022</v>
      </c>
      <c r="G141" t="str">
        <f>IF(MONTH( Base_de_Dados[[#This Row],[Semana]])&lt;=6,"1ª Semestre","2ª Semestre")</f>
        <v>1ª Semestre</v>
      </c>
    </row>
    <row r="142" spans="1:7" x14ac:dyDescent="0.25">
      <c r="A142" t="s">
        <v>3</v>
      </c>
      <c r="B142">
        <v>5</v>
      </c>
      <c r="C142" s="6">
        <v>1</v>
      </c>
      <c r="D142" s="54">
        <v>44711</v>
      </c>
      <c r="E142" s="54" t="str">
        <f>TEXT(Base_de_Dados[[#This Row],[Semana]],"Mmmm")</f>
        <v>maio</v>
      </c>
      <c r="F142">
        <f>YEAR(Base_de_Dados[[#This Row],[Semana]])</f>
        <v>2022</v>
      </c>
      <c r="G142" t="str">
        <f>IF(MONTH( Base_de_Dados[[#This Row],[Semana]])&lt;=6,"1ª Semestre","2ª Semestre")</f>
        <v>1ª Semestre</v>
      </c>
    </row>
    <row r="143" spans="1:7" x14ac:dyDescent="0.25">
      <c r="A143" t="s">
        <v>4</v>
      </c>
      <c r="B143">
        <v>0</v>
      </c>
      <c r="C143" s="6">
        <v>0</v>
      </c>
      <c r="D143" s="54">
        <v>44711</v>
      </c>
      <c r="E143" s="54" t="str">
        <f>TEXT(Base_de_Dados[[#This Row],[Semana]],"Mmmm")</f>
        <v>maio</v>
      </c>
      <c r="F143">
        <f>YEAR(Base_de_Dados[[#This Row],[Semana]])</f>
        <v>2022</v>
      </c>
      <c r="G143" t="str">
        <f>IF(MONTH( Base_de_Dados[[#This Row],[Semana]])&lt;=6,"1ª Semestre","2ª Semestre")</f>
        <v>1ª Semestre</v>
      </c>
    </row>
    <row r="144" spans="1:7" x14ac:dyDescent="0.25">
      <c r="A144" t="s">
        <v>5</v>
      </c>
      <c r="B144">
        <v>0</v>
      </c>
      <c r="C144" s="6">
        <v>0</v>
      </c>
      <c r="D144" s="54">
        <v>44711</v>
      </c>
      <c r="E144" s="54" t="str">
        <f>TEXT(Base_de_Dados[[#This Row],[Semana]],"Mmmm")</f>
        <v>maio</v>
      </c>
      <c r="F144">
        <f>YEAR(Base_de_Dados[[#This Row],[Semana]])</f>
        <v>2022</v>
      </c>
      <c r="G144" t="str">
        <f>IF(MONTH( Base_de_Dados[[#This Row],[Semana]])&lt;=6,"1ª Semestre","2ª Semestre")</f>
        <v>1ª Semestre</v>
      </c>
    </row>
    <row r="145" spans="1:7" x14ac:dyDescent="0.25">
      <c r="A145" t="s">
        <v>6</v>
      </c>
      <c r="B145">
        <v>0</v>
      </c>
      <c r="C145" s="6">
        <v>0</v>
      </c>
      <c r="D145" s="54">
        <v>44711</v>
      </c>
      <c r="E145" s="54" t="str">
        <f>TEXT(Base_de_Dados[[#This Row],[Semana]],"Mmmm")</f>
        <v>maio</v>
      </c>
      <c r="F145">
        <f>YEAR(Base_de_Dados[[#This Row],[Semana]])</f>
        <v>2022</v>
      </c>
      <c r="G145" t="str">
        <f>IF(MONTH( Base_de_Dados[[#This Row],[Semana]])&lt;=6,"1ª Semestre","2ª Semestre")</f>
        <v>1ª Semestre</v>
      </c>
    </row>
    <row r="146" spans="1:7" x14ac:dyDescent="0.25">
      <c r="A146" t="s">
        <v>7</v>
      </c>
      <c r="B146">
        <v>0</v>
      </c>
      <c r="C146" s="6">
        <v>0</v>
      </c>
      <c r="D146" s="54">
        <v>44711</v>
      </c>
      <c r="E146" s="54" t="str">
        <f>TEXT(Base_de_Dados[[#This Row],[Semana]],"Mmmm")</f>
        <v>maio</v>
      </c>
      <c r="F146">
        <f>YEAR(Base_de_Dados[[#This Row],[Semana]])</f>
        <v>2022</v>
      </c>
      <c r="G146" t="str">
        <f>IF(MONTH( Base_de_Dados[[#This Row],[Semana]])&lt;=6,"1ª Semestre","2ª Semestre")</f>
        <v>1ª Semestre</v>
      </c>
    </row>
    <row r="147" spans="1:7" x14ac:dyDescent="0.25">
      <c r="A147" t="s">
        <v>8</v>
      </c>
      <c r="B147">
        <v>0</v>
      </c>
      <c r="C147" s="6">
        <v>0</v>
      </c>
      <c r="D147" s="54">
        <v>44711</v>
      </c>
      <c r="E147" s="54" t="str">
        <f>TEXT(Base_de_Dados[[#This Row],[Semana]],"Mmmm")</f>
        <v>maio</v>
      </c>
      <c r="F147">
        <f>YEAR(Base_de_Dados[[#This Row],[Semana]])</f>
        <v>2022</v>
      </c>
      <c r="G147" t="str">
        <f>IF(MONTH( Base_de_Dados[[#This Row],[Semana]])&lt;=6,"1ª Semestre","2ª Semestre")</f>
        <v>1ª Semestre</v>
      </c>
    </row>
    <row r="148" spans="1:7" x14ac:dyDescent="0.25">
      <c r="A148" t="s">
        <v>9</v>
      </c>
      <c r="B148">
        <v>0</v>
      </c>
      <c r="C148" s="6">
        <v>0</v>
      </c>
      <c r="D148" s="54">
        <v>44711</v>
      </c>
      <c r="E148" s="54" t="str">
        <f>TEXT(Base_de_Dados[[#This Row],[Semana]],"Mmmm")</f>
        <v>maio</v>
      </c>
      <c r="F148">
        <f>YEAR(Base_de_Dados[[#This Row],[Semana]])</f>
        <v>2022</v>
      </c>
      <c r="G148" t="str">
        <f>IF(MONTH( Base_de_Dados[[#This Row],[Semana]])&lt;=6,"1ª Semestre","2ª Semestre")</f>
        <v>1ª Semestre</v>
      </c>
    </row>
    <row r="149" spans="1:7" x14ac:dyDescent="0.25">
      <c r="A149" t="s">
        <v>10</v>
      </c>
      <c r="B149">
        <v>0</v>
      </c>
      <c r="C149" s="6">
        <v>0</v>
      </c>
      <c r="D149" s="54">
        <v>44711</v>
      </c>
      <c r="E149" s="54" t="str">
        <f>TEXT(Base_de_Dados[[#This Row],[Semana]],"Mmmm")</f>
        <v>maio</v>
      </c>
      <c r="F149">
        <f>YEAR(Base_de_Dados[[#This Row],[Semana]])</f>
        <v>2022</v>
      </c>
      <c r="G149" t="str">
        <f>IF(MONTH( Base_de_Dados[[#This Row],[Semana]])&lt;=6,"1ª Semestre","2ª Semestre")</f>
        <v>1ª Semestre</v>
      </c>
    </row>
    <row r="150" spans="1:7" x14ac:dyDescent="0.25">
      <c r="A150" t="s">
        <v>11</v>
      </c>
      <c r="B150">
        <v>0</v>
      </c>
      <c r="C150" s="6">
        <v>0</v>
      </c>
      <c r="D150" s="54">
        <v>44711</v>
      </c>
      <c r="E150" s="54" t="str">
        <f>TEXT(Base_de_Dados[[#This Row],[Semana]],"Mmmm")</f>
        <v>maio</v>
      </c>
      <c r="F150">
        <f>YEAR(Base_de_Dados[[#This Row],[Semana]])</f>
        <v>2022</v>
      </c>
      <c r="G150" t="str">
        <f>IF(MONTH( Base_de_Dados[[#This Row],[Semana]])&lt;=6,"1ª Semestre","2ª Semestre")</f>
        <v>1ª Semestre</v>
      </c>
    </row>
    <row r="151" spans="1:7" x14ac:dyDescent="0.25">
      <c r="A151" t="s">
        <v>12</v>
      </c>
      <c r="B151">
        <v>0</v>
      </c>
      <c r="C151" s="6">
        <v>0</v>
      </c>
      <c r="D151" s="54">
        <v>44711</v>
      </c>
      <c r="E151" s="54" t="str">
        <f>TEXT(Base_de_Dados[[#This Row],[Semana]],"Mmmm")</f>
        <v>maio</v>
      </c>
      <c r="F151">
        <f>YEAR(Base_de_Dados[[#This Row],[Semana]])</f>
        <v>2022</v>
      </c>
      <c r="G151" t="str">
        <f>IF(MONTH( Base_de_Dados[[#This Row],[Semana]])&lt;=6,"1ª Semestre","2ª Semestre")</f>
        <v>1ª Semestre</v>
      </c>
    </row>
    <row r="152" spans="1:7" x14ac:dyDescent="0.25">
      <c r="A152" t="s">
        <v>3</v>
      </c>
      <c r="B152">
        <v>0</v>
      </c>
      <c r="C152" s="6">
        <v>0</v>
      </c>
      <c r="D152" s="54">
        <v>44718</v>
      </c>
      <c r="E152" s="54" t="str">
        <f>TEXT(Base_de_Dados[[#This Row],[Semana]],"Mmmm")</f>
        <v>junho</v>
      </c>
      <c r="F152">
        <f>YEAR(Base_de_Dados[[#This Row],[Semana]])</f>
        <v>2022</v>
      </c>
      <c r="G152" t="str">
        <f>IF(MONTH( Base_de_Dados[[#This Row],[Semana]])&lt;=6,"1ª Semestre","2ª Semestre")</f>
        <v>1ª Semestre</v>
      </c>
    </row>
    <row r="153" spans="1:7" x14ac:dyDescent="0.25">
      <c r="A153" t="s">
        <v>4</v>
      </c>
      <c r="B153">
        <v>0</v>
      </c>
      <c r="C153" s="6">
        <v>0</v>
      </c>
      <c r="D153" s="54">
        <v>44718</v>
      </c>
      <c r="E153" s="54" t="str">
        <f>TEXT(Base_de_Dados[[#This Row],[Semana]],"Mmmm")</f>
        <v>junho</v>
      </c>
      <c r="F153">
        <f>YEAR(Base_de_Dados[[#This Row],[Semana]])</f>
        <v>2022</v>
      </c>
      <c r="G153" t="str">
        <f>IF(MONTH( Base_de_Dados[[#This Row],[Semana]])&lt;=6,"1ª Semestre","2ª Semestre")</f>
        <v>1ª Semestre</v>
      </c>
    </row>
    <row r="154" spans="1:7" x14ac:dyDescent="0.25">
      <c r="A154" t="s">
        <v>5</v>
      </c>
      <c r="B154">
        <v>0</v>
      </c>
      <c r="C154" s="6">
        <v>0</v>
      </c>
      <c r="D154" s="54">
        <v>44718</v>
      </c>
      <c r="E154" s="54" t="str">
        <f>TEXT(Base_de_Dados[[#This Row],[Semana]],"Mmmm")</f>
        <v>junho</v>
      </c>
      <c r="F154">
        <f>YEAR(Base_de_Dados[[#This Row],[Semana]])</f>
        <v>2022</v>
      </c>
      <c r="G154" t="str">
        <f>IF(MONTH( Base_de_Dados[[#This Row],[Semana]])&lt;=6,"1ª Semestre","2ª Semestre")</f>
        <v>1ª Semestre</v>
      </c>
    </row>
    <row r="155" spans="1:7" x14ac:dyDescent="0.25">
      <c r="A155" t="s">
        <v>6</v>
      </c>
      <c r="B155">
        <v>0</v>
      </c>
      <c r="C155" s="6">
        <v>0</v>
      </c>
      <c r="D155" s="54">
        <v>44718</v>
      </c>
      <c r="E155" s="54" t="str">
        <f>TEXT(Base_de_Dados[[#This Row],[Semana]],"Mmmm")</f>
        <v>junho</v>
      </c>
      <c r="F155">
        <f>YEAR(Base_de_Dados[[#This Row],[Semana]])</f>
        <v>2022</v>
      </c>
      <c r="G155" t="str">
        <f>IF(MONTH( Base_de_Dados[[#This Row],[Semana]])&lt;=6,"1ª Semestre","2ª Semestre")</f>
        <v>1ª Semestre</v>
      </c>
    </row>
    <row r="156" spans="1:7" x14ac:dyDescent="0.25">
      <c r="A156" t="s">
        <v>7</v>
      </c>
      <c r="B156">
        <v>0</v>
      </c>
      <c r="C156" s="6">
        <v>0</v>
      </c>
      <c r="D156" s="54">
        <v>44718</v>
      </c>
      <c r="E156" s="54" t="str">
        <f>TEXT(Base_de_Dados[[#This Row],[Semana]],"Mmmm")</f>
        <v>junho</v>
      </c>
      <c r="F156">
        <f>YEAR(Base_de_Dados[[#This Row],[Semana]])</f>
        <v>2022</v>
      </c>
      <c r="G156" t="str">
        <f>IF(MONTH( Base_de_Dados[[#This Row],[Semana]])&lt;=6,"1ª Semestre","2ª Semestre")</f>
        <v>1ª Semestre</v>
      </c>
    </row>
    <row r="157" spans="1:7" x14ac:dyDescent="0.25">
      <c r="A157" t="s">
        <v>8</v>
      </c>
      <c r="B157">
        <v>0</v>
      </c>
      <c r="C157" s="6">
        <v>0</v>
      </c>
      <c r="D157" s="54">
        <v>44718</v>
      </c>
      <c r="E157" s="54" t="str">
        <f>TEXT(Base_de_Dados[[#This Row],[Semana]],"Mmmm")</f>
        <v>junho</v>
      </c>
      <c r="F157">
        <f>YEAR(Base_de_Dados[[#This Row],[Semana]])</f>
        <v>2022</v>
      </c>
      <c r="G157" t="str">
        <f>IF(MONTH( Base_de_Dados[[#This Row],[Semana]])&lt;=6,"1ª Semestre","2ª Semestre")</f>
        <v>1ª Semestre</v>
      </c>
    </row>
    <row r="158" spans="1:7" x14ac:dyDescent="0.25">
      <c r="A158" t="s">
        <v>9</v>
      </c>
      <c r="B158">
        <v>0</v>
      </c>
      <c r="C158" s="6">
        <v>0</v>
      </c>
      <c r="D158" s="54">
        <v>44718</v>
      </c>
      <c r="E158" s="54" t="str">
        <f>TEXT(Base_de_Dados[[#This Row],[Semana]],"Mmmm")</f>
        <v>junho</v>
      </c>
      <c r="F158">
        <f>YEAR(Base_de_Dados[[#This Row],[Semana]])</f>
        <v>2022</v>
      </c>
      <c r="G158" t="str">
        <f>IF(MONTH( Base_de_Dados[[#This Row],[Semana]])&lt;=6,"1ª Semestre","2ª Semestre")</f>
        <v>1ª Semestre</v>
      </c>
    </row>
    <row r="159" spans="1:7" x14ac:dyDescent="0.25">
      <c r="A159" t="s">
        <v>10</v>
      </c>
      <c r="B159">
        <v>1</v>
      </c>
      <c r="C159" s="6">
        <v>0.5</v>
      </c>
      <c r="D159" s="54">
        <v>44718</v>
      </c>
      <c r="E159" s="54" t="str">
        <f>TEXT(Base_de_Dados[[#This Row],[Semana]],"Mmmm")</f>
        <v>junho</v>
      </c>
      <c r="F159">
        <f>YEAR(Base_de_Dados[[#This Row],[Semana]])</f>
        <v>2022</v>
      </c>
      <c r="G159" t="str">
        <f>IF(MONTH( Base_de_Dados[[#This Row],[Semana]])&lt;=6,"1ª Semestre","2ª Semestre")</f>
        <v>1ª Semestre</v>
      </c>
    </row>
    <row r="160" spans="1:7" x14ac:dyDescent="0.25">
      <c r="A160" t="s">
        <v>11</v>
      </c>
      <c r="B160">
        <v>0</v>
      </c>
      <c r="C160" s="6">
        <v>0</v>
      </c>
      <c r="D160" s="54">
        <v>44718</v>
      </c>
      <c r="E160" s="54" t="str">
        <f>TEXT(Base_de_Dados[[#This Row],[Semana]],"Mmmm")</f>
        <v>junho</v>
      </c>
      <c r="F160">
        <f>YEAR(Base_de_Dados[[#This Row],[Semana]])</f>
        <v>2022</v>
      </c>
      <c r="G160" t="str">
        <f>IF(MONTH( Base_de_Dados[[#This Row],[Semana]])&lt;=6,"1ª Semestre","2ª Semestre")</f>
        <v>1ª Semestre</v>
      </c>
    </row>
    <row r="161" spans="1:7" x14ac:dyDescent="0.25">
      <c r="A161" t="s">
        <v>12</v>
      </c>
      <c r="B161">
        <v>1</v>
      </c>
      <c r="C161" s="6">
        <v>0.5</v>
      </c>
      <c r="D161" s="54">
        <v>44718</v>
      </c>
      <c r="E161" s="54" t="str">
        <f>TEXT(Base_de_Dados[[#This Row],[Semana]],"Mmmm")</f>
        <v>junho</v>
      </c>
      <c r="F161">
        <f>YEAR(Base_de_Dados[[#This Row],[Semana]])</f>
        <v>2022</v>
      </c>
      <c r="G161" t="str">
        <f>IF(MONTH( Base_de_Dados[[#This Row],[Semana]])&lt;=6,"1ª Semestre","2ª Semestre")</f>
        <v>1ª Semestre</v>
      </c>
    </row>
    <row r="162" spans="1:7" x14ac:dyDescent="0.25">
      <c r="A162" t="s">
        <v>3</v>
      </c>
      <c r="B162">
        <v>2</v>
      </c>
      <c r="C162" s="6">
        <v>0.5</v>
      </c>
      <c r="D162" s="54">
        <v>44725</v>
      </c>
      <c r="E162" s="54" t="str">
        <f>TEXT(Base_de_Dados[[#This Row],[Semana]],"Mmmm")</f>
        <v>junho</v>
      </c>
      <c r="F162">
        <f>YEAR(Base_de_Dados[[#This Row],[Semana]])</f>
        <v>2022</v>
      </c>
      <c r="G162" t="str">
        <f>IF(MONTH( Base_de_Dados[[#This Row],[Semana]])&lt;=6,"1ª Semestre","2ª Semestre")</f>
        <v>1ª Semestre</v>
      </c>
    </row>
    <row r="163" spans="1:7" x14ac:dyDescent="0.25">
      <c r="A163" t="s">
        <v>4</v>
      </c>
      <c r="B163">
        <v>1</v>
      </c>
      <c r="C163" s="6">
        <v>0.25</v>
      </c>
      <c r="D163" s="54">
        <v>44725</v>
      </c>
      <c r="E163" s="54" t="str">
        <f>TEXT(Base_de_Dados[[#This Row],[Semana]],"Mmmm")</f>
        <v>junho</v>
      </c>
      <c r="F163">
        <f>YEAR(Base_de_Dados[[#This Row],[Semana]])</f>
        <v>2022</v>
      </c>
      <c r="G163" t="str">
        <f>IF(MONTH( Base_de_Dados[[#This Row],[Semana]])&lt;=6,"1ª Semestre","2ª Semestre")</f>
        <v>1ª Semestre</v>
      </c>
    </row>
    <row r="164" spans="1:7" x14ac:dyDescent="0.25">
      <c r="A164" t="s">
        <v>5</v>
      </c>
      <c r="B164">
        <v>0</v>
      </c>
      <c r="C164" s="6">
        <v>0</v>
      </c>
      <c r="D164" s="54">
        <v>44725</v>
      </c>
      <c r="E164" s="54" t="str">
        <f>TEXT(Base_de_Dados[[#This Row],[Semana]],"Mmmm")</f>
        <v>junho</v>
      </c>
      <c r="F164">
        <f>YEAR(Base_de_Dados[[#This Row],[Semana]])</f>
        <v>2022</v>
      </c>
      <c r="G164" t="str">
        <f>IF(MONTH( Base_de_Dados[[#This Row],[Semana]])&lt;=6,"1ª Semestre","2ª Semestre")</f>
        <v>1ª Semestre</v>
      </c>
    </row>
    <row r="165" spans="1:7" x14ac:dyDescent="0.25">
      <c r="A165" t="s">
        <v>6</v>
      </c>
      <c r="B165">
        <v>0</v>
      </c>
      <c r="C165" s="6">
        <v>0</v>
      </c>
      <c r="D165" s="54">
        <v>44725</v>
      </c>
      <c r="E165" s="54" t="str">
        <f>TEXT(Base_de_Dados[[#This Row],[Semana]],"Mmmm")</f>
        <v>junho</v>
      </c>
      <c r="F165">
        <f>YEAR(Base_de_Dados[[#This Row],[Semana]])</f>
        <v>2022</v>
      </c>
      <c r="G165" t="str">
        <f>IF(MONTH( Base_de_Dados[[#This Row],[Semana]])&lt;=6,"1ª Semestre","2ª Semestre")</f>
        <v>1ª Semestre</v>
      </c>
    </row>
    <row r="166" spans="1:7" x14ac:dyDescent="0.25">
      <c r="A166" t="s">
        <v>7</v>
      </c>
      <c r="B166">
        <v>0</v>
      </c>
      <c r="C166" s="6">
        <v>0</v>
      </c>
      <c r="D166" s="54">
        <v>44725</v>
      </c>
      <c r="E166" s="54" t="str">
        <f>TEXT(Base_de_Dados[[#This Row],[Semana]],"Mmmm")</f>
        <v>junho</v>
      </c>
      <c r="F166">
        <f>YEAR(Base_de_Dados[[#This Row],[Semana]])</f>
        <v>2022</v>
      </c>
      <c r="G166" t="str">
        <f>IF(MONTH( Base_de_Dados[[#This Row],[Semana]])&lt;=6,"1ª Semestre","2ª Semestre")</f>
        <v>1ª Semestre</v>
      </c>
    </row>
    <row r="167" spans="1:7" x14ac:dyDescent="0.25">
      <c r="A167" t="s">
        <v>8</v>
      </c>
      <c r="B167">
        <v>0</v>
      </c>
      <c r="C167" s="6">
        <v>0</v>
      </c>
      <c r="D167" s="54">
        <v>44725</v>
      </c>
      <c r="E167" s="54" t="str">
        <f>TEXT(Base_de_Dados[[#This Row],[Semana]],"Mmmm")</f>
        <v>junho</v>
      </c>
      <c r="F167">
        <f>YEAR(Base_de_Dados[[#This Row],[Semana]])</f>
        <v>2022</v>
      </c>
      <c r="G167" t="str">
        <f>IF(MONTH( Base_de_Dados[[#This Row],[Semana]])&lt;=6,"1ª Semestre","2ª Semestre")</f>
        <v>1ª Semestre</v>
      </c>
    </row>
    <row r="168" spans="1:7" x14ac:dyDescent="0.25">
      <c r="A168" t="s">
        <v>9</v>
      </c>
      <c r="B168">
        <v>1</v>
      </c>
      <c r="C168" s="6">
        <v>0.25</v>
      </c>
      <c r="D168" s="54">
        <v>44725</v>
      </c>
      <c r="E168" s="54" t="str">
        <f>TEXT(Base_de_Dados[[#This Row],[Semana]],"Mmmm")</f>
        <v>junho</v>
      </c>
      <c r="F168">
        <f>YEAR(Base_de_Dados[[#This Row],[Semana]])</f>
        <v>2022</v>
      </c>
      <c r="G168" t="str">
        <f>IF(MONTH( Base_de_Dados[[#This Row],[Semana]])&lt;=6,"1ª Semestre","2ª Semestre")</f>
        <v>1ª Semestre</v>
      </c>
    </row>
    <row r="169" spans="1:7" x14ac:dyDescent="0.25">
      <c r="A169" t="s">
        <v>10</v>
      </c>
      <c r="B169">
        <v>0</v>
      </c>
      <c r="C169" s="6">
        <v>0</v>
      </c>
      <c r="D169" s="54">
        <v>44725</v>
      </c>
      <c r="E169" s="54" t="str">
        <f>TEXT(Base_de_Dados[[#This Row],[Semana]],"Mmmm")</f>
        <v>junho</v>
      </c>
      <c r="F169">
        <f>YEAR(Base_de_Dados[[#This Row],[Semana]])</f>
        <v>2022</v>
      </c>
      <c r="G169" t="str">
        <f>IF(MONTH( Base_de_Dados[[#This Row],[Semana]])&lt;=6,"1ª Semestre","2ª Semestre")</f>
        <v>1ª Semestre</v>
      </c>
    </row>
    <row r="170" spans="1:7" x14ac:dyDescent="0.25">
      <c r="A170" t="s">
        <v>11</v>
      </c>
      <c r="B170">
        <v>0</v>
      </c>
      <c r="C170" s="6">
        <v>0</v>
      </c>
      <c r="D170" s="54">
        <v>44725</v>
      </c>
      <c r="E170" s="54" t="str">
        <f>TEXT(Base_de_Dados[[#This Row],[Semana]],"Mmmm")</f>
        <v>junho</v>
      </c>
      <c r="F170">
        <f>YEAR(Base_de_Dados[[#This Row],[Semana]])</f>
        <v>2022</v>
      </c>
      <c r="G170" t="str">
        <f>IF(MONTH( Base_de_Dados[[#This Row],[Semana]])&lt;=6,"1ª Semestre","2ª Semestre")</f>
        <v>1ª Semestre</v>
      </c>
    </row>
    <row r="171" spans="1:7" x14ac:dyDescent="0.25">
      <c r="A171" t="s">
        <v>12</v>
      </c>
      <c r="B171">
        <v>0</v>
      </c>
      <c r="C171" s="6">
        <v>0</v>
      </c>
      <c r="D171" s="54">
        <v>44725</v>
      </c>
      <c r="E171" s="54" t="str">
        <f>TEXT(Base_de_Dados[[#This Row],[Semana]],"Mmmm")</f>
        <v>junho</v>
      </c>
      <c r="F171">
        <f>YEAR(Base_de_Dados[[#This Row],[Semana]])</f>
        <v>2022</v>
      </c>
      <c r="G171" t="str">
        <f>IF(MONTH( Base_de_Dados[[#This Row],[Semana]])&lt;=6,"1ª Semestre","2ª Semestre")</f>
        <v>1ª Semestre</v>
      </c>
    </row>
    <row r="172" spans="1:7" x14ac:dyDescent="0.25">
      <c r="A172" t="s">
        <v>3</v>
      </c>
      <c r="B172">
        <v>3</v>
      </c>
      <c r="C172" s="6">
        <v>0.375</v>
      </c>
      <c r="D172" s="54">
        <v>44732</v>
      </c>
      <c r="E172" s="54" t="str">
        <f>TEXT(Base_de_Dados[[#This Row],[Semana]],"Mmmm")</f>
        <v>junho</v>
      </c>
      <c r="F172">
        <f>YEAR(Base_de_Dados[[#This Row],[Semana]])</f>
        <v>2022</v>
      </c>
      <c r="G172" t="str">
        <f>IF(MONTH( Base_de_Dados[[#This Row],[Semana]])&lt;=6,"1ª Semestre","2ª Semestre")</f>
        <v>1ª Semestre</v>
      </c>
    </row>
    <row r="173" spans="1:7" x14ac:dyDescent="0.25">
      <c r="A173" t="s">
        <v>4</v>
      </c>
      <c r="B173">
        <v>0</v>
      </c>
      <c r="C173" s="6">
        <v>0</v>
      </c>
      <c r="D173" s="54">
        <v>44732</v>
      </c>
      <c r="E173" s="54" t="str">
        <f>TEXT(Base_de_Dados[[#This Row],[Semana]],"Mmmm")</f>
        <v>junho</v>
      </c>
      <c r="F173">
        <f>YEAR(Base_de_Dados[[#This Row],[Semana]])</f>
        <v>2022</v>
      </c>
      <c r="G173" t="str">
        <f>IF(MONTH( Base_de_Dados[[#This Row],[Semana]])&lt;=6,"1ª Semestre","2ª Semestre")</f>
        <v>1ª Semestre</v>
      </c>
    </row>
    <row r="174" spans="1:7" x14ac:dyDescent="0.25">
      <c r="A174" t="s">
        <v>5</v>
      </c>
      <c r="B174">
        <v>1</v>
      </c>
      <c r="C174" s="6">
        <v>0.125</v>
      </c>
      <c r="D174" s="54">
        <v>44732</v>
      </c>
      <c r="E174" s="54" t="str">
        <f>TEXT(Base_de_Dados[[#This Row],[Semana]],"Mmmm")</f>
        <v>junho</v>
      </c>
      <c r="F174">
        <f>YEAR(Base_de_Dados[[#This Row],[Semana]])</f>
        <v>2022</v>
      </c>
      <c r="G174" t="str">
        <f>IF(MONTH( Base_de_Dados[[#This Row],[Semana]])&lt;=6,"1ª Semestre","2ª Semestre")</f>
        <v>1ª Semestre</v>
      </c>
    </row>
    <row r="175" spans="1:7" x14ac:dyDescent="0.25">
      <c r="A175" t="s">
        <v>6</v>
      </c>
      <c r="B175">
        <v>0</v>
      </c>
      <c r="C175" s="6">
        <v>0</v>
      </c>
      <c r="D175" s="54">
        <v>44732</v>
      </c>
      <c r="E175" s="54" t="str">
        <f>TEXT(Base_de_Dados[[#This Row],[Semana]],"Mmmm")</f>
        <v>junho</v>
      </c>
      <c r="F175">
        <f>YEAR(Base_de_Dados[[#This Row],[Semana]])</f>
        <v>2022</v>
      </c>
      <c r="G175" t="str">
        <f>IF(MONTH( Base_de_Dados[[#This Row],[Semana]])&lt;=6,"1ª Semestre","2ª Semestre")</f>
        <v>1ª Semestre</v>
      </c>
    </row>
    <row r="176" spans="1:7" x14ac:dyDescent="0.25">
      <c r="A176" t="s">
        <v>7</v>
      </c>
      <c r="B176">
        <v>2</v>
      </c>
      <c r="C176" s="6">
        <v>0.25</v>
      </c>
      <c r="D176" s="54">
        <v>44732</v>
      </c>
      <c r="E176" s="54" t="str">
        <f>TEXT(Base_de_Dados[[#This Row],[Semana]],"Mmmm")</f>
        <v>junho</v>
      </c>
      <c r="F176">
        <f>YEAR(Base_de_Dados[[#This Row],[Semana]])</f>
        <v>2022</v>
      </c>
      <c r="G176" t="str">
        <f>IF(MONTH( Base_de_Dados[[#This Row],[Semana]])&lt;=6,"1ª Semestre","2ª Semestre")</f>
        <v>1ª Semestre</v>
      </c>
    </row>
    <row r="177" spans="1:7" x14ac:dyDescent="0.25">
      <c r="A177" t="s">
        <v>8</v>
      </c>
      <c r="B177">
        <v>0</v>
      </c>
      <c r="C177" s="6">
        <v>0</v>
      </c>
      <c r="D177" s="54">
        <v>44732</v>
      </c>
      <c r="E177" s="54" t="str">
        <f>TEXT(Base_de_Dados[[#This Row],[Semana]],"Mmmm")</f>
        <v>junho</v>
      </c>
      <c r="F177">
        <f>YEAR(Base_de_Dados[[#This Row],[Semana]])</f>
        <v>2022</v>
      </c>
      <c r="G177" t="str">
        <f>IF(MONTH( Base_de_Dados[[#This Row],[Semana]])&lt;=6,"1ª Semestre","2ª Semestre")</f>
        <v>1ª Semestre</v>
      </c>
    </row>
    <row r="178" spans="1:7" x14ac:dyDescent="0.25">
      <c r="A178" t="s">
        <v>9</v>
      </c>
      <c r="B178">
        <v>0</v>
      </c>
      <c r="C178" s="6">
        <v>0</v>
      </c>
      <c r="D178" s="54">
        <v>44732</v>
      </c>
      <c r="E178" s="54" t="str">
        <f>TEXT(Base_de_Dados[[#This Row],[Semana]],"Mmmm")</f>
        <v>junho</v>
      </c>
      <c r="F178">
        <f>YEAR(Base_de_Dados[[#This Row],[Semana]])</f>
        <v>2022</v>
      </c>
      <c r="G178" t="str">
        <f>IF(MONTH( Base_de_Dados[[#This Row],[Semana]])&lt;=6,"1ª Semestre","2ª Semestre")</f>
        <v>1ª Semestre</v>
      </c>
    </row>
    <row r="179" spans="1:7" x14ac:dyDescent="0.25">
      <c r="A179" t="s">
        <v>10</v>
      </c>
      <c r="B179">
        <v>0</v>
      </c>
      <c r="C179" s="6">
        <v>0</v>
      </c>
      <c r="D179" s="54">
        <v>44732</v>
      </c>
      <c r="E179" s="54" t="str">
        <f>TEXT(Base_de_Dados[[#This Row],[Semana]],"Mmmm")</f>
        <v>junho</v>
      </c>
      <c r="F179">
        <f>YEAR(Base_de_Dados[[#This Row],[Semana]])</f>
        <v>2022</v>
      </c>
      <c r="G179" t="str">
        <f>IF(MONTH( Base_de_Dados[[#This Row],[Semana]])&lt;=6,"1ª Semestre","2ª Semestre")</f>
        <v>1ª Semestre</v>
      </c>
    </row>
    <row r="180" spans="1:7" x14ac:dyDescent="0.25">
      <c r="A180" t="s">
        <v>11</v>
      </c>
      <c r="B180">
        <v>0</v>
      </c>
      <c r="C180" s="6">
        <v>0</v>
      </c>
      <c r="D180" s="54">
        <v>44732</v>
      </c>
      <c r="E180" s="54" t="str">
        <f>TEXT(Base_de_Dados[[#This Row],[Semana]],"Mmmm")</f>
        <v>junho</v>
      </c>
      <c r="F180">
        <f>YEAR(Base_de_Dados[[#This Row],[Semana]])</f>
        <v>2022</v>
      </c>
      <c r="G180" t="str">
        <f>IF(MONTH( Base_de_Dados[[#This Row],[Semana]])&lt;=6,"1ª Semestre","2ª Semestre")</f>
        <v>1ª Semestre</v>
      </c>
    </row>
    <row r="181" spans="1:7" x14ac:dyDescent="0.25">
      <c r="A181" t="s">
        <v>12</v>
      </c>
      <c r="B181">
        <v>2</v>
      </c>
      <c r="C181" s="6">
        <v>0.25</v>
      </c>
      <c r="D181" s="54">
        <v>44732</v>
      </c>
      <c r="E181" s="54" t="str">
        <f>TEXT(Base_de_Dados[[#This Row],[Semana]],"Mmmm")</f>
        <v>junho</v>
      </c>
      <c r="F181">
        <f>YEAR(Base_de_Dados[[#This Row],[Semana]])</f>
        <v>2022</v>
      </c>
      <c r="G181" t="str">
        <f>IF(MONTH( Base_de_Dados[[#This Row],[Semana]])&lt;=6,"1ª Semestre","2ª Semestre")</f>
        <v>1ª Semestre</v>
      </c>
    </row>
    <row r="182" spans="1:7" x14ac:dyDescent="0.25">
      <c r="A182" t="s">
        <v>3</v>
      </c>
      <c r="B182">
        <v>3</v>
      </c>
      <c r="C182" s="6">
        <v>0.5</v>
      </c>
      <c r="D182" s="54">
        <v>44739</v>
      </c>
      <c r="E182" s="54" t="str">
        <f>TEXT(Base_de_Dados[[#This Row],[Semana]],"Mmmm")</f>
        <v>junho</v>
      </c>
      <c r="F182">
        <f>YEAR(Base_de_Dados[[#This Row],[Semana]])</f>
        <v>2022</v>
      </c>
      <c r="G182" t="str">
        <f>IF(MONTH( Base_de_Dados[[#This Row],[Semana]])&lt;=6,"1ª Semestre","2ª Semestre")</f>
        <v>1ª Semestre</v>
      </c>
    </row>
    <row r="183" spans="1:7" x14ac:dyDescent="0.25">
      <c r="A183" t="s">
        <v>4</v>
      </c>
      <c r="B183">
        <v>0</v>
      </c>
      <c r="C183" s="6">
        <v>0</v>
      </c>
      <c r="D183" s="54">
        <v>44739</v>
      </c>
      <c r="E183" s="54" t="str">
        <f>TEXT(Base_de_Dados[[#This Row],[Semana]],"Mmmm")</f>
        <v>junho</v>
      </c>
      <c r="F183">
        <f>YEAR(Base_de_Dados[[#This Row],[Semana]])</f>
        <v>2022</v>
      </c>
      <c r="G183" t="str">
        <f>IF(MONTH( Base_de_Dados[[#This Row],[Semana]])&lt;=6,"1ª Semestre","2ª Semestre")</f>
        <v>1ª Semestre</v>
      </c>
    </row>
    <row r="184" spans="1:7" x14ac:dyDescent="0.25">
      <c r="A184" t="s">
        <v>5</v>
      </c>
      <c r="B184">
        <v>0</v>
      </c>
      <c r="C184" s="6">
        <v>0</v>
      </c>
      <c r="D184" s="54">
        <v>44739</v>
      </c>
      <c r="E184" s="54" t="str">
        <f>TEXT(Base_de_Dados[[#This Row],[Semana]],"Mmmm")</f>
        <v>junho</v>
      </c>
      <c r="F184">
        <f>YEAR(Base_de_Dados[[#This Row],[Semana]])</f>
        <v>2022</v>
      </c>
      <c r="G184" t="str">
        <f>IF(MONTH( Base_de_Dados[[#This Row],[Semana]])&lt;=6,"1ª Semestre","2ª Semestre")</f>
        <v>1ª Semestre</v>
      </c>
    </row>
    <row r="185" spans="1:7" x14ac:dyDescent="0.25">
      <c r="A185" t="s">
        <v>6</v>
      </c>
      <c r="B185">
        <v>0</v>
      </c>
      <c r="C185" s="6">
        <v>0</v>
      </c>
      <c r="D185" s="54">
        <v>44739</v>
      </c>
      <c r="E185" s="54" t="str">
        <f>TEXT(Base_de_Dados[[#This Row],[Semana]],"Mmmm")</f>
        <v>junho</v>
      </c>
      <c r="F185">
        <f>YEAR(Base_de_Dados[[#This Row],[Semana]])</f>
        <v>2022</v>
      </c>
      <c r="G185" t="str">
        <f>IF(MONTH( Base_de_Dados[[#This Row],[Semana]])&lt;=6,"1ª Semestre","2ª Semestre")</f>
        <v>1ª Semestre</v>
      </c>
    </row>
    <row r="186" spans="1:7" x14ac:dyDescent="0.25">
      <c r="A186" t="s">
        <v>7</v>
      </c>
      <c r="B186">
        <v>1</v>
      </c>
      <c r="C186" s="6">
        <v>0.16666666666666666</v>
      </c>
      <c r="D186" s="54">
        <v>44739</v>
      </c>
      <c r="E186" s="54" t="str">
        <f>TEXT(Base_de_Dados[[#This Row],[Semana]],"Mmmm")</f>
        <v>junho</v>
      </c>
      <c r="F186">
        <f>YEAR(Base_de_Dados[[#This Row],[Semana]])</f>
        <v>2022</v>
      </c>
      <c r="G186" t="str">
        <f>IF(MONTH( Base_de_Dados[[#This Row],[Semana]])&lt;=6,"1ª Semestre","2ª Semestre")</f>
        <v>1ª Semestre</v>
      </c>
    </row>
    <row r="187" spans="1:7" x14ac:dyDescent="0.25">
      <c r="A187" t="s">
        <v>8</v>
      </c>
      <c r="B187">
        <v>0</v>
      </c>
      <c r="C187" s="6">
        <v>0</v>
      </c>
      <c r="D187" s="54">
        <v>44739</v>
      </c>
      <c r="E187" s="54" t="str">
        <f>TEXT(Base_de_Dados[[#This Row],[Semana]],"Mmmm")</f>
        <v>junho</v>
      </c>
      <c r="F187">
        <f>YEAR(Base_de_Dados[[#This Row],[Semana]])</f>
        <v>2022</v>
      </c>
      <c r="G187" t="str">
        <f>IF(MONTH( Base_de_Dados[[#This Row],[Semana]])&lt;=6,"1ª Semestre","2ª Semestre")</f>
        <v>1ª Semestre</v>
      </c>
    </row>
    <row r="188" spans="1:7" x14ac:dyDescent="0.25">
      <c r="A188" t="s">
        <v>9</v>
      </c>
      <c r="B188">
        <v>0</v>
      </c>
      <c r="C188" s="6">
        <v>0</v>
      </c>
      <c r="D188" s="54">
        <v>44739</v>
      </c>
      <c r="E188" s="54" t="str">
        <f>TEXT(Base_de_Dados[[#This Row],[Semana]],"Mmmm")</f>
        <v>junho</v>
      </c>
      <c r="F188">
        <f>YEAR(Base_de_Dados[[#This Row],[Semana]])</f>
        <v>2022</v>
      </c>
      <c r="G188" t="str">
        <f>IF(MONTH( Base_de_Dados[[#This Row],[Semana]])&lt;=6,"1ª Semestre","2ª Semestre")</f>
        <v>1ª Semestre</v>
      </c>
    </row>
    <row r="189" spans="1:7" x14ac:dyDescent="0.25">
      <c r="A189" t="s">
        <v>10</v>
      </c>
      <c r="B189">
        <v>0</v>
      </c>
      <c r="C189" s="6">
        <v>0</v>
      </c>
      <c r="D189" s="54">
        <v>44739</v>
      </c>
      <c r="E189" s="54" t="str">
        <f>TEXT(Base_de_Dados[[#This Row],[Semana]],"Mmmm")</f>
        <v>junho</v>
      </c>
      <c r="F189">
        <f>YEAR(Base_de_Dados[[#This Row],[Semana]])</f>
        <v>2022</v>
      </c>
      <c r="G189" t="str">
        <f>IF(MONTH( Base_de_Dados[[#This Row],[Semana]])&lt;=6,"1ª Semestre","2ª Semestre")</f>
        <v>1ª Semestre</v>
      </c>
    </row>
    <row r="190" spans="1:7" x14ac:dyDescent="0.25">
      <c r="A190" t="s">
        <v>11</v>
      </c>
      <c r="B190">
        <v>0</v>
      </c>
      <c r="C190" s="6">
        <v>0</v>
      </c>
      <c r="D190" s="54">
        <v>44739</v>
      </c>
      <c r="E190" s="54" t="str">
        <f>TEXT(Base_de_Dados[[#This Row],[Semana]],"Mmmm")</f>
        <v>junho</v>
      </c>
      <c r="F190">
        <f>YEAR(Base_de_Dados[[#This Row],[Semana]])</f>
        <v>2022</v>
      </c>
      <c r="G190" t="str">
        <f>IF(MONTH( Base_de_Dados[[#This Row],[Semana]])&lt;=6,"1ª Semestre","2ª Semestre")</f>
        <v>1ª Semestre</v>
      </c>
    </row>
    <row r="191" spans="1:7" x14ac:dyDescent="0.25">
      <c r="A191" t="s">
        <v>12</v>
      </c>
      <c r="B191">
        <v>2</v>
      </c>
      <c r="C191" s="6">
        <v>0.33333333333333331</v>
      </c>
      <c r="D191" s="54">
        <v>44739</v>
      </c>
      <c r="E191" s="54" t="str">
        <f>TEXT(Base_de_Dados[[#This Row],[Semana]],"Mmmm")</f>
        <v>junho</v>
      </c>
      <c r="F191">
        <f>YEAR(Base_de_Dados[[#This Row],[Semana]])</f>
        <v>2022</v>
      </c>
      <c r="G191" t="str">
        <f>IF(MONTH( Base_de_Dados[[#This Row],[Semana]])&lt;=6,"1ª Semestre","2ª Semestre")</f>
        <v>1ª Semestre</v>
      </c>
    </row>
    <row r="192" spans="1:7" x14ac:dyDescent="0.25">
      <c r="A192" t="s">
        <v>3</v>
      </c>
      <c r="B192">
        <v>0</v>
      </c>
      <c r="C192" s="6">
        <v>0</v>
      </c>
      <c r="D192" s="54">
        <v>44746</v>
      </c>
      <c r="E192" s="54" t="str">
        <f>TEXT(Base_de_Dados[[#This Row],[Semana]],"Mmmm")</f>
        <v>julho</v>
      </c>
      <c r="F192">
        <f>YEAR(Base_de_Dados[[#This Row],[Semana]])</f>
        <v>2022</v>
      </c>
      <c r="G192" t="str">
        <f>IF(MONTH( Base_de_Dados[[#This Row],[Semana]])&lt;=6,"1ª Semestre","2ª Semestre")</f>
        <v>2ª Semestre</v>
      </c>
    </row>
    <row r="193" spans="1:7" x14ac:dyDescent="0.25">
      <c r="A193" t="s">
        <v>4</v>
      </c>
      <c r="B193">
        <v>0</v>
      </c>
      <c r="C193" s="6">
        <v>0</v>
      </c>
      <c r="D193" s="54">
        <v>44746</v>
      </c>
      <c r="E193" s="54" t="str">
        <f>TEXT(Base_de_Dados[[#This Row],[Semana]],"Mmmm")</f>
        <v>julho</v>
      </c>
      <c r="F193">
        <f>YEAR(Base_de_Dados[[#This Row],[Semana]])</f>
        <v>2022</v>
      </c>
      <c r="G193" t="str">
        <f>IF(MONTH( Base_de_Dados[[#This Row],[Semana]])&lt;=6,"1ª Semestre","2ª Semestre")</f>
        <v>2ª Semestre</v>
      </c>
    </row>
    <row r="194" spans="1:7" x14ac:dyDescent="0.25">
      <c r="A194" t="s">
        <v>5</v>
      </c>
      <c r="B194">
        <v>0</v>
      </c>
      <c r="C194" s="6">
        <v>0</v>
      </c>
      <c r="D194" s="54">
        <v>44746</v>
      </c>
      <c r="E194" s="54" t="str">
        <f>TEXT(Base_de_Dados[[#This Row],[Semana]],"Mmmm")</f>
        <v>julho</v>
      </c>
      <c r="F194">
        <f>YEAR(Base_de_Dados[[#This Row],[Semana]])</f>
        <v>2022</v>
      </c>
      <c r="G194" t="str">
        <f>IF(MONTH( Base_de_Dados[[#This Row],[Semana]])&lt;=6,"1ª Semestre","2ª Semestre")</f>
        <v>2ª Semestre</v>
      </c>
    </row>
    <row r="195" spans="1:7" x14ac:dyDescent="0.25">
      <c r="A195" t="s">
        <v>6</v>
      </c>
      <c r="B195">
        <v>0</v>
      </c>
      <c r="C195" s="6">
        <v>0</v>
      </c>
      <c r="D195" s="54">
        <v>44746</v>
      </c>
      <c r="E195" s="54" t="str">
        <f>TEXT(Base_de_Dados[[#This Row],[Semana]],"Mmmm")</f>
        <v>julho</v>
      </c>
      <c r="F195">
        <f>YEAR(Base_de_Dados[[#This Row],[Semana]])</f>
        <v>2022</v>
      </c>
      <c r="G195" t="str">
        <f>IF(MONTH( Base_de_Dados[[#This Row],[Semana]])&lt;=6,"1ª Semestre","2ª Semestre")</f>
        <v>2ª Semestre</v>
      </c>
    </row>
    <row r="196" spans="1:7" x14ac:dyDescent="0.25">
      <c r="A196" t="s">
        <v>7</v>
      </c>
      <c r="B196">
        <v>1</v>
      </c>
      <c r="C196" s="6">
        <v>1</v>
      </c>
      <c r="D196" s="54">
        <v>44746</v>
      </c>
      <c r="E196" s="54" t="str">
        <f>TEXT(Base_de_Dados[[#This Row],[Semana]],"Mmmm")</f>
        <v>julho</v>
      </c>
      <c r="F196">
        <f>YEAR(Base_de_Dados[[#This Row],[Semana]])</f>
        <v>2022</v>
      </c>
      <c r="G196" t="str">
        <f>IF(MONTH( Base_de_Dados[[#This Row],[Semana]])&lt;=6,"1ª Semestre","2ª Semestre")</f>
        <v>2ª Semestre</v>
      </c>
    </row>
    <row r="197" spans="1:7" x14ac:dyDescent="0.25">
      <c r="A197" t="s">
        <v>8</v>
      </c>
      <c r="B197">
        <v>0</v>
      </c>
      <c r="C197" s="6">
        <v>0</v>
      </c>
      <c r="D197" s="54">
        <v>44746</v>
      </c>
      <c r="E197" s="54" t="str">
        <f>TEXT(Base_de_Dados[[#This Row],[Semana]],"Mmmm")</f>
        <v>julho</v>
      </c>
      <c r="F197">
        <f>YEAR(Base_de_Dados[[#This Row],[Semana]])</f>
        <v>2022</v>
      </c>
      <c r="G197" t="str">
        <f>IF(MONTH( Base_de_Dados[[#This Row],[Semana]])&lt;=6,"1ª Semestre","2ª Semestre")</f>
        <v>2ª Semestre</v>
      </c>
    </row>
    <row r="198" spans="1:7" x14ac:dyDescent="0.25">
      <c r="A198" t="s">
        <v>9</v>
      </c>
      <c r="B198">
        <v>0</v>
      </c>
      <c r="C198" s="6">
        <v>0</v>
      </c>
      <c r="D198" s="54">
        <v>44746</v>
      </c>
      <c r="E198" s="54" t="str">
        <f>TEXT(Base_de_Dados[[#This Row],[Semana]],"Mmmm")</f>
        <v>julho</v>
      </c>
      <c r="F198">
        <f>YEAR(Base_de_Dados[[#This Row],[Semana]])</f>
        <v>2022</v>
      </c>
      <c r="G198" t="str">
        <f>IF(MONTH( Base_de_Dados[[#This Row],[Semana]])&lt;=6,"1ª Semestre","2ª Semestre")</f>
        <v>2ª Semestre</v>
      </c>
    </row>
    <row r="199" spans="1:7" x14ac:dyDescent="0.25">
      <c r="A199" t="s">
        <v>10</v>
      </c>
      <c r="B199">
        <v>0</v>
      </c>
      <c r="C199" s="6">
        <v>0</v>
      </c>
      <c r="D199" s="54">
        <v>44746</v>
      </c>
      <c r="E199" s="54" t="str">
        <f>TEXT(Base_de_Dados[[#This Row],[Semana]],"Mmmm")</f>
        <v>julho</v>
      </c>
      <c r="F199">
        <f>YEAR(Base_de_Dados[[#This Row],[Semana]])</f>
        <v>2022</v>
      </c>
      <c r="G199" t="str">
        <f>IF(MONTH( Base_de_Dados[[#This Row],[Semana]])&lt;=6,"1ª Semestre","2ª Semestre")</f>
        <v>2ª Semestre</v>
      </c>
    </row>
    <row r="200" spans="1:7" x14ac:dyDescent="0.25">
      <c r="A200" t="s">
        <v>11</v>
      </c>
      <c r="B200">
        <v>0</v>
      </c>
      <c r="C200" s="6">
        <v>0</v>
      </c>
      <c r="D200" s="54">
        <v>44746</v>
      </c>
      <c r="E200" s="54" t="str">
        <f>TEXT(Base_de_Dados[[#This Row],[Semana]],"Mmmm")</f>
        <v>julho</v>
      </c>
      <c r="F200">
        <f>YEAR(Base_de_Dados[[#This Row],[Semana]])</f>
        <v>2022</v>
      </c>
      <c r="G200" t="str">
        <f>IF(MONTH( Base_de_Dados[[#This Row],[Semana]])&lt;=6,"1ª Semestre","2ª Semestre")</f>
        <v>2ª Semestre</v>
      </c>
    </row>
    <row r="201" spans="1:7" x14ac:dyDescent="0.25">
      <c r="A201" t="s">
        <v>12</v>
      </c>
      <c r="B201">
        <v>0</v>
      </c>
      <c r="C201" s="6">
        <v>0</v>
      </c>
      <c r="D201" s="54">
        <v>44746</v>
      </c>
      <c r="E201" s="54" t="str">
        <f>TEXT(Base_de_Dados[[#This Row],[Semana]],"Mmmm")</f>
        <v>julho</v>
      </c>
      <c r="F201">
        <f>YEAR(Base_de_Dados[[#This Row],[Semana]])</f>
        <v>2022</v>
      </c>
      <c r="G201" t="str">
        <f>IF(MONTH( Base_de_Dados[[#This Row],[Semana]])&lt;=6,"1ª Semestre","2ª Semestre")</f>
        <v>2ª Semestre</v>
      </c>
    </row>
    <row r="202" spans="1:7" x14ac:dyDescent="0.25">
      <c r="A202" t="s">
        <v>3</v>
      </c>
      <c r="B202">
        <v>4</v>
      </c>
      <c r="C202" s="6">
        <v>0.8</v>
      </c>
      <c r="D202" s="54">
        <v>44753</v>
      </c>
      <c r="E202" s="54" t="str">
        <f>TEXT(Base_de_Dados[[#This Row],[Semana]],"Mmmm")</f>
        <v>julho</v>
      </c>
      <c r="F202">
        <f>YEAR(Base_de_Dados[[#This Row],[Semana]])</f>
        <v>2022</v>
      </c>
      <c r="G202" t="str">
        <f>IF(MONTH( Base_de_Dados[[#This Row],[Semana]])&lt;=6,"1ª Semestre","2ª Semestre")</f>
        <v>2ª Semestre</v>
      </c>
    </row>
    <row r="203" spans="1:7" x14ac:dyDescent="0.25">
      <c r="A203" t="s">
        <v>4</v>
      </c>
      <c r="B203">
        <v>0</v>
      </c>
      <c r="C203" s="6">
        <v>0</v>
      </c>
      <c r="D203" s="54">
        <v>44753</v>
      </c>
      <c r="E203" s="54" t="str">
        <f>TEXT(Base_de_Dados[[#This Row],[Semana]],"Mmmm")</f>
        <v>julho</v>
      </c>
      <c r="F203">
        <f>YEAR(Base_de_Dados[[#This Row],[Semana]])</f>
        <v>2022</v>
      </c>
      <c r="G203" t="str">
        <f>IF(MONTH( Base_de_Dados[[#This Row],[Semana]])&lt;=6,"1ª Semestre","2ª Semestre")</f>
        <v>2ª Semestre</v>
      </c>
    </row>
    <row r="204" spans="1:7" x14ac:dyDescent="0.25">
      <c r="A204" t="s">
        <v>5</v>
      </c>
      <c r="B204">
        <v>0</v>
      </c>
      <c r="C204" s="6">
        <v>0</v>
      </c>
      <c r="D204" s="54">
        <v>44753</v>
      </c>
      <c r="E204" s="54" t="str">
        <f>TEXT(Base_de_Dados[[#This Row],[Semana]],"Mmmm")</f>
        <v>julho</v>
      </c>
      <c r="F204">
        <f>YEAR(Base_de_Dados[[#This Row],[Semana]])</f>
        <v>2022</v>
      </c>
      <c r="G204" t="str">
        <f>IF(MONTH( Base_de_Dados[[#This Row],[Semana]])&lt;=6,"1ª Semestre","2ª Semestre")</f>
        <v>2ª Semestre</v>
      </c>
    </row>
    <row r="205" spans="1:7" x14ac:dyDescent="0.25">
      <c r="A205" t="s">
        <v>6</v>
      </c>
      <c r="B205">
        <v>0</v>
      </c>
      <c r="C205" s="6">
        <v>0</v>
      </c>
      <c r="D205" s="54">
        <v>44753</v>
      </c>
      <c r="E205" s="54" t="str">
        <f>TEXT(Base_de_Dados[[#This Row],[Semana]],"Mmmm")</f>
        <v>julho</v>
      </c>
      <c r="F205">
        <f>YEAR(Base_de_Dados[[#This Row],[Semana]])</f>
        <v>2022</v>
      </c>
      <c r="G205" t="str">
        <f>IF(MONTH( Base_de_Dados[[#This Row],[Semana]])&lt;=6,"1ª Semestre","2ª Semestre")</f>
        <v>2ª Semestre</v>
      </c>
    </row>
    <row r="206" spans="1:7" x14ac:dyDescent="0.25">
      <c r="A206" t="s">
        <v>7</v>
      </c>
      <c r="B206">
        <v>1</v>
      </c>
      <c r="C206" s="6">
        <v>0.2</v>
      </c>
      <c r="D206" s="54">
        <v>44753</v>
      </c>
      <c r="E206" s="54" t="str">
        <f>TEXT(Base_de_Dados[[#This Row],[Semana]],"Mmmm")</f>
        <v>julho</v>
      </c>
      <c r="F206">
        <f>YEAR(Base_de_Dados[[#This Row],[Semana]])</f>
        <v>2022</v>
      </c>
      <c r="G206" t="str">
        <f>IF(MONTH( Base_de_Dados[[#This Row],[Semana]])&lt;=6,"1ª Semestre","2ª Semestre")</f>
        <v>2ª Semestre</v>
      </c>
    </row>
    <row r="207" spans="1:7" x14ac:dyDescent="0.25">
      <c r="A207" t="s">
        <v>8</v>
      </c>
      <c r="B207">
        <v>0</v>
      </c>
      <c r="C207" s="6">
        <v>0</v>
      </c>
      <c r="D207" s="54">
        <v>44753</v>
      </c>
      <c r="E207" s="54" t="str">
        <f>TEXT(Base_de_Dados[[#This Row],[Semana]],"Mmmm")</f>
        <v>julho</v>
      </c>
      <c r="F207">
        <f>YEAR(Base_de_Dados[[#This Row],[Semana]])</f>
        <v>2022</v>
      </c>
      <c r="G207" t="str">
        <f>IF(MONTH( Base_de_Dados[[#This Row],[Semana]])&lt;=6,"1ª Semestre","2ª Semestre")</f>
        <v>2ª Semestre</v>
      </c>
    </row>
    <row r="208" spans="1:7" x14ac:dyDescent="0.25">
      <c r="A208" t="s">
        <v>9</v>
      </c>
      <c r="B208">
        <v>0</v>
      </c>
      <c r="C208" s="6">
        <v>0</v>
      </c>
      <c r="D208" s="54">
        <v>44753</v>
      </c>
      <c r="E208" s="54" t="str">
        <f>TEXT(Base_de_Dados[[#This Row],[Semana]],"Mmmm")</f>
        <v>julho</v>
      </c>
      <c r="F208">
        <f>YEAR(Base_de_Dados[[#This Row],[Semana]])</f>
        <v>2022</v>
      </c>
      <c r="G208" t="str">
        <f>IF(MONTH( Base_de_Dados[[#This Row],[Semana]])&lt;=6,"1ª Semestre","2ª Semestre")</f>
        <v>2ª Semestre</v>
      </c>
    </row>
    <row r="209" spans="1:7" x14ac:dyDescent="0.25">
      <c r="A209" t="s">
        <v>10</v>
      </c>
      <c r="B209">
        <v>0</v>
      </c>
      <c r="C209" s="6">
        <v>0</v>
      </c>
      <c r="D209" s="54">
        <v>44753</v>
      </c>
      <c r="E209" s="54" t="str">
        <f>TEXT(Base_de_Dados[[#This Row],[Semana]],"Mmmm")</f>
        <v>julho</v>
      </c>
      <c r="F209">
        <f>YEAR(Base_de_Dados[[#This Row],[Semana]])</f>
        <v>2022</v>
      </c>
      <c r="G209" t="str">
        <f>IF(MONTH( Base_de_Dados[[#This Row],[Semana]])&lt;=6,"1ª Semestre","2ª Semestre")</f>
        <v>2ª Semestre</v>
      </c>
    </row>
    <row r="210" spans="1:7" x14ac:dyDescent="0.25">
      <c r="A210" t="s">
        <v>11</v>
      </c>
      <c r="B210">
        <v>0</v>
      </c>
      <c r="C210" s="6">
        <v>0</v>
      </c>
      <c r="D210" s="54">
        <v>44753</v>
      </c>
      <c r="E210" s="54" t="str">
        <f>TEXT(Base_de_Dados[[#This Row],[Semana]],"Mmmm")</f>
        <v>julho</v>
      </c>
      <c r="F210">
        <f>YEAR(Base_de_Dados[[#This Row],[Semana]])</f>
        <v>2022</v>
      </c>
      <c r="G210" t="str">
        <f>IF(MONTH( Base_de_Dados[[#This Row],[Semana]])&lt;=6,"1ª Semestre","2ª Semestre")</f>
        <v>2ª Semestre</v>
      </c>
    </row>
    <row r="211" spans="1:7" x14ac:dyDescent="0.25">
      <c r="A211" t="s">
        <v>12</v>
      </c>
      <c r="B211">
        <v>0</v>
      </c>
      <c r="C211" s="6">
        <v>0</v>
      </c>
      <c r="D211" s="54">
        <v>44753</v>
      </c>
      <c r="E211" s="54" t="str">
        <f>TEXT(Base_de_Dados[[#This Row],[Semana]],"Mmmm")</f>
        <v>julho</v>
      </c>
      <c r="F211">
        <f>YEAR(Base_de_Dados[[#This Row],[Semana]])</f>
        <v>2022</v>
      </c>
      <c r="G211" t="str">
        <f>IF(MONTH( Base_de_Dados[[#This Row],[Semana]])&lt;=6,"1ª Semestre","2ª Semestre")</f>
        <v>2ª Semestre</v>
      </c>
    </row>
    <row r="212" spans="1:7" x14ac:dyDescent="0.25">
      <c r="A212" t="s">
        <v>3</v>
      </c>
      <c r="B212">
        <v>0</v>
      </c>
      <c r="C212" s="6">
        <v>0</v>
      </c>
      <c r="D212" s="54">
        <v>44760</v>
      </c>
      <c r="E212" s="54" t="str">
        <f>TEXT(Base_de_Dados[[#This Row],[Semana]],"Mmmm")</f>
        <v>julho</v>
      </c>
      <c r="F212">
        <f>YEAR(Base_de_Dados[[#This Row],[Semana]])</f>
        <v>2022</v>
      </c>
      <c r="G212" t="str">
        <f>IF(MONTH( Base_de_Dados[[#This Row],[Semana]])&lt;=6,"1ª Semestre","2ª Semestre")</f>
        <v>2ª Semestre</v>
      </c>
    </row>
    <row r="213" spans="1:7" x14ac:dyDescent="0.25">
      <c r="A213" t="s">
        <v>4</v>
      </c>
      <c r="B213">
        <v>1</v>
      </c>
      <c r="C213" s="6">
        <v>0.33333333333333331</v>
      </c>
      <c r="D213" s="54">
        <v>44760</v>
      </c>
      <c r="E213" s="54" t="str">
        <f>TEXT(Base_de_Dados[[#This Row],[Semana]],"Mmmm")</f>
        <v>julho</v>
      </c>
      <c r="F213">
        <f>YEAR(Base_de_Dados[[#This Row],[Semana]])</f>
        <v>2022</v>
      </c>
      <c r="G213" t="str">
        <f>IF(MONTH( Base_de_Dados[[#This Row],[Semana]])&lt;=6,"1ª Semestre","2ª Semestre")</f>
        <v>2ª Semestre</v>
      </c>
    </row>
    <row r="214" spans="1:7" x14ac:dyDescent="0.25">
      <c r="A214" t="s">
        <v>5</v>
      </c>
      <c r="B214">
        <v>0</v>
      </c>
      <c r="C214" s="6">
        <v>0</v>
      </c>
      <c r="D214" s="54">
        <v>44753</v>
      </c>
      <c r="E214" s="54" t="str">
        <f>TEXT(Base_de_Dados[[#This Row],[Semana]],"Mmmm")</f>
        <v>julho</v>
      </c>
      <c r="F214">
        <f>YEAR(Base_de_Dados[[#This Row],[Semana]])</f>
        <v>2022</v>
      </c>
      <c r="G214" t="str">
        <f>IF(MONTH( Base_de_Dados[[#This Row],[Semana]])&lt;=6,"1ª Semestre","2ª Semestre")</f>
        <v>2ª Semestre</v>
      </c>
    </row>
    <row r="215" spans="1:7" x14ac:dyDescent="0.25">
      <c r="A215" t="s">
        <v>6</v>
      </c>
      <c r="B215">
        <v>0</v>
      </c>
      <c r="C215" s="6">
        <v>0</v>
      </c>
      <c r="D215" s="54">
        <v>44760</v>
      </c>
      <c r="E215" s="54" t="str">
        <f>TEXT(Base_de_Dados[[#This Row],[Semana]],"Mmmm")</f>
        <v>julho</v>
      </c>
      <c r="F215">
        <f>YEAR(Base_de_Dados[[#This Row],[Semana]])</f>
        <v>2022</v>
      </c>
      <c r="G215" t="str">
        <f>IF(MONTH( Base_de_Dados[[#This Row],[Semana]])&lt;=6,"1ª Semestre","2ª Semestre")</f>
        <v>2ª Semestre</v>
      </c>
    </row>
    <row r="216" spans="1:7" x14ac:dyDescent="0.25">
      <c r="A216" t="s">
        <v>7</v>
      </c>
      <c r="B216">
        <v>0</v>
      </c>
      <c r="C216" s="6">
        <v>0</v>
      </c>
      <c r="D216" s="54">
        <v>44760</v>
      </c>
      <c r="E216" s="54" t="str">
        <f>TEXT(Base_de_Dados[[#This Row],[Semana]],"Mmmm")</f>
        <v>julho</v>
      </c>
      <c r="F216">
        <f>YEAR(Base_de_Dados[[#This Row],[Semana]])</f>
        <v>2022</v>
      </c>
      <c r="G216" t="str">
        <f>IF(MONTH( Base_de_Dados[[#This Row],[Semana]])&lt;=6,"1ª Semestre","2ª Semestre")</f>
        <v>2ª Semestre</v>
      </c>
    </row>
    <row r="217" spans="1:7" x14ac:dyDescent="0.25">
      <c r="A217" t="s">
        <v>8</v>
      </c>
      <c r="B217">
        <v>0</v>
      </c>
      <c r="C217" s="6">
        <v>0</v>
      </c>
      <c r="D217" s="54">
        <v>44753</v>
      </c>
      <c r="E217" s="54" t="str">
        <f>TEXT(Base_de_Dados[[#This Row],[Semana]],"Mmmm")</f>
        <v>julho</v>
      </c>
      <c r="F217">
        <f>YEAR(Base_de_Dados[[#This Row],[Semana]])</f>
        <v>2022</v>
      </c>
      <c r="G217" t="str">
        <f>IF(MONTH( Base_de_Dados[[#This Row],[Semana]])&lt;=6,"1ª Semestre","2ª Semestre")</f>
        <v>2ª Semestre</v>
      </c>
    </row>
    <row r="218" spans="1:7" x14ac:dyDescent="0.25">
      <c r="A218" t="s">
        <v>9</v>
      </c>
      <c r="B218">
        <v>1</v>
      </c>
      <c r="C218" s="6">
        <v>0.33333333333333331</v>
      </c>
      <c r="D218" s="54">
        <v>44760</v>
      </c>
      <c r="E218" s="54" t="str">
        <f>TEXT(Base_de_Dados[[#This Row],[Semana]],"Mmmm")</f>
        <v>julho</v>
      </c>
      <c r="F218">
        <f>YEAR(Base_de_Dados[[#This Row],[Semana]])</f>
        <v>2022</v>
      </c>
      <c r="G218" t="str">
        <f>IF(MONTH( Base_de_Dados[[#This Row],[Semana]])&lt;=6,"1ª Semestre","2ª Semestre")</f>
        <v>2ª Semestre</v>
      </c>
    </row>
    <row r="219" spans="1:7" x14ac:dyDescent="0.25">
      <c r="A219" t="s">
        <v>10</v>
      </c>
      <c r="B219">
        <v>0</v>
      </c>
      <c r="C219" s="6">
        <v>0</v>
      </c>
      <c r="D219" s="54">
        <v>44760</v>
      </c>
      <c r="E219" s="54" t="str">
        <f>TEXT(Base_de_Dados[[#This Row],[Semana]],"Mmmm")</f>
        <v>julho</v>
      </c>
      <c r="F219">
        <f>YEAR(Base_de_Dados[[#This Row],[Semana]])</f>
        <v>2022</v>
      </c>
      <c r="G219" t="str">
        <f>IF(MONTH( Base_de_Dados[[#This Row],[Semana]])&lt;=6,"1ª Semestre","2ª Semestre")</f>
        <v>2ª Semestre</v>
      </c>
    </row>
    <row r="220" spans="1:7" x14ac:dyDescent="0.25">
      <c r="A220" t="s">
        <v>11</v>
      </c>
      <c r="B220">
        <v>0</v>
      </c>
      <c r="C220" s="6">
        <v>0</v>
      </c>
      <c r="D220" s="54">
        <v>44753</v>
      </c>
      <c r="E220" s="54" t="str">
        <f>TEXT(Base_de_Dados[[#This Row],[Semana]],"Mmmm")</f>
        <v>julho</v>
      </c>
      <c r="F220">
        <f>YEAR(Base_de_Dados[[#This Row],[Semana]])</f>
        <v>2022</v>
      </c>
      <c r="G220" t="str">
        <f>IF(MONTH( Base_de_Dados[[#This Row],[Semana]])&lt;=6,"1ª Semestre","2ª Semestre")</f>
        <v>2ª Semestre</v>
      </c>
    </row>
    <row r="221" spans="1:7" x14ac:dyDescent="0.25">
      <c r="A221" t="s">
        <v>12</v>
      </c>
      <c r="B221">
        <v>1</v>
      </c>
      <c r="C221" s="6">
        <v>0.33333333333333331</v>
      </c>
      <c r="D221" s="54">
        <v>44760</v>
      </c>
      <c r="E221" s="54" t="str">
        <f>TEXT(Base_de_Dados[[#This Row],[Semana]],"Mmmm")</f>
        <v>julho</v>
      </c>
      <c r="F221">
        <f>YEAR(Base_de_Dados[[#This Row],[Semana]])</f>
        <v>2022</v>
      </c>
      <c r="G221" t="str">
        <f>IF(MONTH( Base_de_Dados[[#This Row],[Semana]])&lt;=6,"1ª Semestre","2ª Semestre")</f>
        <v>2ª Semestre</v>
      </c>
    </row>
    <row r="222" spans="1:7" x14ac:dyDescent="0.25">
      <c r="A222" t="s">
        <v>132</v>
      </c>
      <c r="B222">
        <v>0</v>
      </c>
      <c r="C222" s="6">
        <v>0</v>
      </c>
      <c r="D222" s="54">
        <v>44760</v>
      </c>
      <c r="E222" s="54" t="str">
        <f>TEXT(Base_de_Dados[[#This Row],[Semana]],"Mmmm")</f>
        <v>julho</v>
      </c>
      <c r="F222">
        <f>YEAR(Base_de_Dados[[#This Row],[Semana]])</f>
        <v>2022</v>
      </c>
      <c r="G222" t="str">
        <f>IF(MONTH( Base_de_Dados[[#This Row],[Semana]])&lt;=6,"1ª Semestre","2ª Semestre")</f>
        <v>2ª Semestre</v>
      </c>
    </row>
    <row r="223" spans="1:7" x14ac:dyDescent="0.25">
      <c r="A223" t="s">
        <v>3</v>
      </c>
      <c r="B223">
        <v>1</v>
      </c>
      <c r="C223" s="6">
        <v>0.16666666666666666</v>
      </c>
      <c r="D223" s="54">
        <v>44767</v>
      </c>
      <c r="E223" s="54" t="str">
        <f>TEXT(Base_de_Dados[[#This Row],[Semana]],"Mmmm")</f>
        <v>julho</v>
      </c>
      <c r="F223">
        <f>YEAR(Base_de_Dados[[#This Row],[Semana]])</f>
        <v>2022</v>
      </c>
      <c r="G223" t="str">
        <f>IF(MONTH( Base_de_Dados[[#This Row],[Semana]])&lt;=6,"1ª Semestre","2ª Semestre")</f>
        <v>2ª Semestre</v>
      </c>
    </row>
    <row r="224" spans="1:7" x14ac:dyDescent="0.25">
      <c r="A224" t="s">
        <v>4</v>
      </c>
      <c r="B224">
        <v>0</v>
      </c>
      <c r="C224" s="6">
        <v>0</v>
      </c>
      <c r="D224" s="54">
        <v>44767</v>
      </c>
      <c r="E224" s="54" t="str">
        <f>TEXT(Base_de_Dados[[#This Row],[Semana]],"Mmmm")</f>
        <v>julho</v>
      </c>
      <c r="F224">
        <f>YEAR(Base_de_Dados[[#This Row],[Semana]])</f>
        <v>2022</v>
      </c>
      <c r="G224" t="str">
        <f>IF(MONTH( Base_de_Dados[[#This Row],[Semana]])&lt;=6,"1ª Semestre","2ª Semestre")</f>
        <v>2ª Semestre</v>
      </c>
    </row>
    <row r="225" spans="1:7" x14ac:dyDescent="0.25">
      <c r="A225" t="s">
        <v>5</v>
      </c>
      <c r="B225">
        <v>0</v>
      </c>
      <c r="C225" s="6">
        <v>0</v>
      </c>
      <c r="D225" s="54">
        <v>44767</v>
      </c>
      <c r="E225" s="54" t="str">
        <f>TEXT(Base_de_Dados[[#This Row],[Semana]],"Mmmm")</f>
        <v>julho</v>
      </c>
      <c r="F225">
        <f>YEAR(Base_de_Dados[[#This Row],[Semana]])</f>
        <v>2022</v>
      </c>
      <c r="G225" t="str">
        <f>IF(MONTH( Base_de_Dados[[#This Row],[Semana]])&lt;=6,"1ª Semestre","2ª Semestre")</f>
        <v>2ª Semestre</v>
      </c>
    </row>
    <row r="226" spans="1:7" x14ac:dyDescent="0.25">
      <c r="A226" t="s">
        <v>6</v>
      </c>
      <c r="B226">
        <v>0</v>
      </c>
      <c r="C226" s="6">
        <v>0</v>
      </c>
      <c r="D226" s="54">
        <v>44767</v>
      </c>
      <c r="E226" s="54" t="str">
        <f>TEXT(Base_de_Dados[[#This Row],[Semana]],"Mmmm")</f>
        <v>julho</v>
      </c>
      <c r="F226">
        <f>YEAR(Base_de_Dados[[#This Row],[Semana]])</f>
        <v>2022</v>
      </c>
      <c r="G226" t="str">
        <f>IF(MONTH( Base_de_Dados[[#This Row],[Semana]])&lt;=6,"1ª Semestre","2ª Semestre")</f>
        <v>2ª Semestre</v>
      </c>
    </row>
    <row r="227" spans="1:7" x14ac:dyDescent="0.25">
      <c r="A227" t="s">
        <v>7</v>
      </c>
      <c r="B227">
        <v>2</v>
      </c>
      <c r="C227" s="6">
        <v>0.33333333333333331</v>
      </c>
      <c r="D227" s="54">
        <v>44767</v>
      </c>
      <c r="E227" s="54" t="str">
        <f>TEXT(Base_de_Dados[[#This Row],[Semana]],"Mmmm")</f>
        <v>julho</v>
      </c>
      <c r="F227">
        <f>YEAR(Base_de_Dados[[#This Row],[Semana]])</f>
        <v>2022</v>
      </c>
      <c r="G227" t="str">
        <f>IF(MONTH( Base_de_Dados[[#This Row],[Semana]])&lt;=6,"1ª Semestre","2ª Semestre")</f>
        <v>2ª Semestre</v>
      </c>
    </row>
    <row r="228" spans="1:7" x14ac:dyDescent="0.25">
      <c r="A228" t="s">
        <v>8</v>
      </c>
      <c r="B228">
        <v>0</v>
      </c>
      <c r="C228" s="6">
        <v>0</v>
      </c>
      <c r="D228" s="54">
        <v>44767</v>
      </c>
      <c r="E228" s="54" t="str">
        <f>TEXT(Base_de_Dados[[#This Row],[Semana]],"Mmmm")</f>
        <v>julho</v>
      </c>
      <c r="F228">
        <f>YEAR(Base_de_Dados[[#This Row],[Semana]])</f>
        <v>2022</v>
      </c>
      <c r="G228" t="str">
        <f>IF(MONTH( Base_de_Dados[[#This Row],[Semana]])&lt;=6,"1ª Semestre","2ª Semestre")</f>
        <v>2ª Semestre</v>
      </c>
    </row>
    <row r="229" spans="1:7" x14ac:dyDescent="0.25">
      <c r="A229" t="s">
        <v>9</v>
      </c>
      <c r="B229">
        <v>0</v>
      </c>
      <c r="C229" s="6">
        <v>0</v>
      </c>
      <c r="D229" s="54">
        <v>44767</v>
      </c>
      <c r="E229" s="54" t="str">
        <f>TEXT(Base_de_Dados[[#This Row],[Semana]],"Mmmm")</f>
        <v>julho</v>
      </c>
      <c r="F229">
        <f>YEAR(Base_de_Dados[[#This Row],[Semana]])</f>
        <v>2022</v>
      </c>
      <c r="G229" t="str">
        <f>IF(MONTH( Base_de_Dados[[#This Row],[Semana]])&lt;=6,"1ª Semestre","2ª Semestre")</f>
        <v>2ª Semestre</v>
      </c>
    </row>
    <row r="230" spans="1:7" x14ac:dyDescent="0.25">
      <c r="A230" t="s">
        <v>10</v>
      </c>
      <c r="B230">
        <v>0</v>
      </c>
      <c r="C230" s="6">
        <v>0</v>
      </c>
      <c r="D230" s="54">
        <v>44767</v>
      </c>
      <c r="E230" s="54" t="str">
        <f>TEXT(Base_de_Dados[[#This Row],[Semana]],"Mmmm")</f>
        <v>julho</v>
      </c>
      <c r="F230">
        <f>YEAR(Base_de_Dados[[#This Row],[Semana]])</f>
        <v>2022</v>
      </c>
      <c r="G230" t="str">
        <f>IF(MONTH( Base_de_Dados[[#This Row],[Semana]])&lt;=6,"1ª Semestre","2ª Semestre")</f>
        <v>2ª Semestre</v>
      </c>
    </row>
    <row r="231" spans="1:7" x14ac:dyDescent="0.25">
      <c r="A231" t="s">
        <v>11</v>
      </c>
      <c r="B231">
        <v>2</v>
      </c>
      <c r="C231" s="6">
        <v>0.33333333333333331</v>
      </c>
      <c r="D231" s="54">
        <v>44767</v>
      </c>
      <c r="E231" s="54" t="str">
        <f>TEXT(Base_de_Dados[[#This Row],[Semana]],"Mmmm")</f>
        <v>julho</v>
      </c>
      <c r="F231">
        <f>YEAR(Base_de_Dados[[#This Row],[Semana]])</f>
        <v>2022</v>
      </c>
      <c r="G231" t="str">
        <f>IF(MONTH( Base_de_Dados[[#This Row],[Semana]])&lt;=6,"1ª Semestre","2ª Semestre")</f>
        <v>2ª Semestre</v>
      </c>
    </row>
    <row r="232" spans="1:7" x14ac:dyDescent="0.25">
      <c r="A232" t="s">
        <v>12</v>
      </c>
      <c r="B232">
        <v>1</v>
      </c>
      <c r="C232" s="6">
        <v>0.16666666666666666</v>
      </c>
      <c r="D232" s="54">
        <v>44767</v>
      </c>
      <c r="E232" s="54" t="str">
        <f>TEXT(Base_de_Dados[[#This Row],[Semana]],"Mmmm")</f>
        <v>julho</v>
      </c>
      <c r="F232">
        <f>YEAR(Base_de_Dados[[#This Row],[Semana]])</f>
        <v>2022</v>
      </c>
      <c r="G232" t="str">
        <f>IF(MONTH( Base_de_Dados[[#This Row],[Semana]])&lt;=6,"1ª Semestre","2ª Semestre")</f>
        <v>2ª Semestre</v>
      </c>
    </row>
    <row r="233" spans="1:7" x14ac:dyDescent="0.25">
      <c r="A233" t="s">
        <v>132</v>
      </c>
      <c r="B233">
        <v>0</v>
      </c>
      <c r="C233" s="6">
        <v>0</v>
      </c>
      <c r="D233" s="54">
        <v>44767</v>
      </c>
      <c r="E233" s="54" t="str">
        <f>TEXT(Base_de_Dados[[#This Row],[Semana]],"Mmmm")</f>
        <v>julho</v>
      </c>
      <c r="F233">
        <f>YEAR(Base_de_Dados[[#This Row],[Semana]])</f>
        <v>2022</v>
      </c>
      <c r="G233" t="str">
        <f>IF(MONTH( Base_de_Dados[[#This Row],[Semana]])&lt;=6,"1ª Semestre","2ª Semestre")</f>
        <v>2ª Semestre</v>
      </c>
    </row>
    <row r="234" spans="1:7" x14ac:dyDescent="0.25">
      <c r="A234" t="s">
        <v>3</v>
      </c>
      <c r="B234">
        <v>2</v>
      </c>
      <c r="C234" s="6">
        <v>0.5</v>
      </c>
      <c r="D234" s="54">
        <v>44774</v>
      </c>
      <c r="E234" s="54" t="str">
        <f>TEXT(Base_de_Dados[[#This Row],[Semana]],"Mmmm")</f>
        <v>agosto</v>
      </c>
      <c r="F234">
        <f>YEAR(Base_de_Dados[[#This Row],[Semana]])</f>
        <v>2022</v>
      </c>
      <c r="G234" t="str">
        <f>IF(MONTH( Base_de_Dados[[#This Row],[Semana]])&lt;=6,"1ª Semestre","2ª Semestre")</f>
        <v>2ª Semestre</v>
      </c>
    </row>
    <row r="235" spans="1:7" x14ac:dyDescent="0.25">
      <c r="A235" t="s">
        <v>4</v>
      </c>
      <c r="B235">
        <v>1</v>
      </c>
      <c r="C235" s="6">
        <v>0.25</v>
      </c>
      <c r="D235" s="54">
        <v>44774</v>
      </c>
      <c r="E235" s="54" t="str">
        <f>TEXT(Base_de_Dados[[#This Row],[Semana]],"Mmmm")</f>
        <v>agosto</v>
      </c>
      <c r="F235">
        <f>YEAR(Base_de_Dados[[#This Row],[Semana]])</f>
        <v>2022</v>
      </c>
      <c r="G235" t="str">
        <f>IF(MONTH( Base_de_Dados[[#This Row],[Semana]])&lt;=6,"1ª Semestre","2ª Semestre")</f>
        <v>2ª Semestre</v>
      </c>
    </row>
    <row r="236" spans="1:7" x14ac:dyDescent="0.25">
      <c r="A236" t="s">
        <v>5</v>
      </c>
      <c r="B236">
        <v>0</v>
      </c>
      <c r="C236" s="6">
        <v>0</v>
      </c>
      <c r="D236" s="54">
        <v>44774</v>
      </c>
      <c r="E236" s="54" t="str">
        <f>TEXT(Base_de_Dados[[#This Row],[Semana]],"Mmmm")</f>
        <v>agosto</v>
      </c>
      <c r="F236">
        <f>YEAR(Base_de_Dados[[#This Row],[Semana]])</f>
        <v>2022</v>
      </c>
      <c r="G236" t="str">
        <f>IF(MONTH( Base_de_Dados[[#This Row],[Semana]])&lt;=6,"1ª Semestre","2ª Semestre")</f>
        <v>2ª Semestre</v>
      </c>
    </row>
    <row r="237" spans="1:7" x14ac:dyDescent="0.25">
      <c r="A237" t="s">
        <v>6</v>
      </c>
      <c r="B237">
        <v>0</v>
      </c>
      <c r="C237" s="6">
        <v>0</v>
      </c>
      <c r="D237" s="54">
        <v>44774</v>
      </c>
      <c r="E237" s="54" t="str">
        <f>TEXT(Base_de_Dados[[#This Row],[Semana]],"Mmmm")</f>
        <v>agosto</v>
      </c>
      <c r="F237">
        <f>YEAR(Base_de_Dados[[#This Row],[Semana]])</f>
        <v>2022</v>
      </c>
      <c r="G237" t="str">
        <f>IF(MONTH( Base_de_Dados[[#This Row],[Semana]])&lt;=6,"1ª Semestre","2ª Semestre")</f>
        <v>2ª Semestre</v>
      </c>
    </row>
    <row r="238" spans="1:7" x14ac:dyDescent="0.25">
      <c r="A238" t="s">
        <v>7</v>
      </c>
      <c r="B238">
        <v>0</v>
      </c>
      <c r="C238" s="6">
        <v>0</v>
      </c>
      <c r="D238" s="54">
        <v>44774</v>
      </c>
      <c r="E238" s="54" t="str">
        <f>TEXT(Base_de_Dados[[#This Row],[Semana]],"Mmmm")</f>
        <v>agosto</v>
      </c>
      <c r="F238">
        <f>YEAR(Base_de_Dados[[#This Row],[Semana]])</f>
        <v>2022</v>
      </c>
      <c r="G238" t="str">
        <f>IF(MONTH( Base_de_Dados[[#This Row],[Semana]])&lt;=6,"1ª Semestre","2ª Semestre")</f>
        <v>2ª Semestre</v>
      </c>
    </row>
    <row r="239" spans="1:7" x14ac:dyDescent="0.25">
      <c r="A239" t="s">
        <v>8</v>
      </c>
      <c r="B239">
        <v>0</v>
      </c>
      <c r="C239" s="6">
        <v>0</v>
      </c>
      <c r="D239" s="54">
        <v>44774</v>
      </c>
      <c r="E239" s="54" t="str">
        <f>TEXT(Base_de_Dados[[#This Row],[Semana]],"Mmmm")</f>
        <v>agosto</v>
      </c>
      <c r="F239">
        <f>YEAR(Base_de_Dados[[#This Row],[Semana]])</f>
        <v>2022</v>
      </c>
      <c r="G239" t="str">
        <f>IF(MONTH( Base_de_Dados[[#This Row],[Semana]])&lt;=6,"1ª Semestre","2ª Semestre")</f>
        <v>2ª Semestre</v>
      </c>
    </row>
    <row r="240" spans="1:7" x14ac:dyDescent="0.25">
      <c r="A240" t="s">
        <v>9</v>
      </c>
      <c r="B240">
        <v>1</v>
      </c>
      <c r="C240" s="6">
        <v>0.25</v>
      </c>
      <c r="D240" s="54">
        <v>44774</v>
      </c>
      <c r="E240" s="54" t="str">
        <f>TEXT(Base_de_Dados[[#This Row],[Semana]],"Mmmm")</f>
        <v>agosto</v>
      </c>
      <c r="F240">
        <f>YEAR(Base_de_Dados[[#This Row],[Semana]])</f>
        <v>2022</v>
      </c>
      <c r="G240" t="str">
        <f>IF(MONTH( Base_de_Dados[[#This Row],[Semana]])&lt;=6,"1ª Semestre","2ª Semestre")</f>
        <v>2ª Semestre</v>
      </c>
    </row>
    <row r="241" spans="1:7" x14ac:dyDescent="0.25">
      <c r="A241" t="s">
        <v>10</v>
      </c>
      <c r="B241">
        <v>0</v>
      </c>
      <c r="C241" s="6">
        <v>0</v>
      </c>
      <c r="D241" s="54">
        <v>44774</v>
      </c>
      <c r="E241" s="54" t="str">
        <f>TEXT(Base_de_Dados[[#This Row],[Semana]],"Mmmm")</f>
        <v>agosto</v>
      </c>
      <c r="F241">
        <f>YEAR(Base_de_Dados[[#This Row],[Semana]])</f>
        <v>2022</v>
      </c>
      <c r="G241" t="str">
        <f>IF(MONTH( Base_de_Dados[[#This Row],[Semana]])&lt;=6,"1ª Semestre","2ª Semestre")</f>
        <v>2ª Semestre</v>
      </c>
    </row>
    <row r="242" spans="1:7" x14ac:dyDescent="0.25">
      <c r="A242" t="s">
        <v>11</v>
      </c>
      <c r="B242">
        <v>0</v>
      </c>
      <c r="C242" s="6">
        <v>0</v>
      </c>
      <c r="D242" s="54">
        <v>44774</v>
      </c>
      <c r="E242" s="54" t="str">
        <f>TEXT(Base_de_Dados[[#This Row],[Semana]],"Mmmm")</f>
        <v>agosto</v>
      </c>
      <c r="F242">
        <f>YEAR(Base_de_Dados[[#This Row],[Semana]])</f>
        <v>2022</v>
      </c>
      <c r="G242" t="str">
        <f>IF(MONTH( Base_de_Dados[[#This Row],[Semana]])&lt;=6,"1ª Semestre","2ª Semestre")</f>
        <v>2ª Semestre</v>
      </c>
    </row>
    <row r="243" spans="1:7" x14ac:dyDescent="0.25">
      <c r="A243" t="s">
        <v>12</v>
      </c>
      <c r="B243">
        <v>0</v>
      </c>
      <c r="C243" s="6">
        <v>0</v>
      </c>
      <c r="D243" s="54">
        <v>44774</v>
      </c>
      <c r="E243" s="54" t="str">
        <f>TEXT(Base_de_Dados[[#This Row],[Semana]],"Mmmm")</f>
        <v>agosto</v>
      </c>
      <c r="F243">
        <f>YEAR(Base_de_Dados[[#This Row],[Semana]])</f>
        <v>2022</v>
      </c>
      <c r="G243" t="str">
        <f>IF(MONTH( Base_de_Dados[[#This Row],[Semana]])&lt;=6,"1ª Semestre","2ª Semestre")</f>
        <v>2ª Semestre</v>
      </c>
    </row>
    <row r="244" spans="1:7" x14ac:dyDescent="0.25">
      <c r="A244" t="s">
        <v>132</v>
      </c>
      <c r="B244">
        <v>0</v>
      </c>
      <c r="C244" s="6">
        <v>0</v>
      </c>
      <c r="D244" s="54">
        <v>44774</v>
      </c>
      <c r="E244" s="54" t="str">
        <f>TEXT(Base_de_Dados[[#This Row],[Semana]],"Mmmm")</f>
        <v>agosto</v>
      </c>
      <c r="F244">
        <f>YEAR(Base_de_Dados[[#This Row],[Semana]])</f>
        <v>2022</v>
      </c>
      <c r="G244" t="str">
        <f>IF(MONTH( Base_de_Dados[[#This Row],[Semana]])&lt;=6,"1ª Semestre","2ª Semestre")</f>
        <v>2ª Semestre</v>
      </c>
    </row>
    <row r="245" spans="1:7" x14ac:dyDescent="0.25">
      <c r="A245" t="s">
        <v>3</v>
      </c>
      <c r="B245">
        <v>1</v>
      </c>
      <c r="C245" s="6">
        <v>0.25</v>
      </c>
      <c r="D245" s="54">
        <v>44781</v>
      </c>
      <c r="E245" s="54" t="str">
        <f>TEXT(Base_de_Dados[[#This Row],[Semana]],"Mmmm")</f>
        <v>agosto</v>
      </c>
      <c r="F245">
        <f>YEAR(Base_de_Dados[[#This Row],[Semana]])</f>
        <v>2022</v>
      </c>
      <c r="G245" t="str">
        <f>IF(MONTH( Base_de_Dados[[#This Row],[Semana]])&lt;=6,"1ª Semestre","2ª Semestre")</f>
        <v>2ª Semestre</v>
      </c>
    </row>
    <row r="246" spans="1:7" x14ac:dyDescent="0.25">
      <c r="A246" t="s">
        <v>4</v>
      </c>
      <c r="B246">
        <v>1</v>
      </c>
      <c r="C246" s="6">
        <v>0.25</v>
      </c>
      <c r="D246" s="54">
        <v>44781</v>
      </c>
      <c r="E246" s="54" t="str">
        <f>TEXT(Base_de_Dados[[#This Row],[Semana]],"Mmmm")</f>
        <v>agosto</v>
      </c>
      <c r="F246">
        <f>YEAR(Base_de_Dados[[#This Row],[Semana]])</f>
        <v>2022</v>
      </c>
      <c r="G246" t="str">
        <f>IF(MONTH( Base_de_Dados[[#This Row],[Semana]])&lt;=6,"1ª Semestre","2ª Semestre")</f>
        <v>2ª Semestre</v>
      </c>
    </row>
    <row r="247" spans="1:7" x14ac:dyDescent="0.25">
      <c r="A247" t="s">
        <v>5</v>
      </c>
      <c r="B247">
        <v>0</v>
      </c>
      <c r="C247" s="6">
        <v>0</v>
      </c>
      <c r="D247" s="54">
        <v>44781</v>
      </c>
      <c r="E247" s="54" t="str">
        <f>TEXT(Base_de_Dados[[#This Row],[Semana]],"Mmmm")</f>
        <v>agosto</v>
      </c>
      <c r="F247">
        <f>YEAR(Base_de_Dados[[#This Row],[Semana]])</f>
        <v>2022</v>
      </c>
      <c r="G247" t="str">
        <f>IF(MONTH( Base_de_Dados[[#This Row],[Semana]])&lt;=6,"1ª Semestre","2ª Semestre")</f>
        <v>2ª Semestre</v>
      </c>
    </row>
    <row r="248" spans="1:7" x14ac:dyDescent="0.25">
      <c r="A248" t="s">
        <v>6</v>
      </c>
      <c r="B248">
        <v>0</v>
      </c>
      <c r="C248" s="6">
        <v>0</v>
      </c>
      <c r="D248" s="54">
        <v>44781</v>
      </c>
      <c r="E248" s="54" t="str">
        <f>TEXT(Base_de_Dados[[#This Row],[Semana]],"Mmmm")</f>
        <v>agosto</v>
      </c>
      <c r="F248">
        <f>YEAR(Base_de_Dados[[#This Row],[Semana]])</f>
        <v>2022</v>
      </c>
      <c r="G248" t="str">
        <f>IF(MONTH( Base_de_Dados[[#This Row],[Semana]])&lt;=6,"1ª Semestre","2ª Semestre")</f>
        <v>2ª Semestre</v>
      </c>
    </row>
    <row r="249" spans="1:7" x14ac:dyDescent="0.25">
      <c r="A249" t="s">
        <v>7</v>
      </c>
      <c r="B249">
        <v>0</v>
      </c>
      <c r="C249" s="6">
        <v>0</v>
      </c>
      <c r="D249" s="54">
        <v>44781</v>
      </c>
      <c r="E249" s="54" t="str">
        <f>TEXT(Base_de_Dados[[#This Row],[Semana]],"Mmmm")</f>
        <v>agosto</v>
      </c>
      <c r="F249">
        <f>YEAR(Base_de_Dados[[#This Row],[Semana]])</f>
        <v>2022</v>
      </c>
      <c r="G249" t="str">
        <f>IF(MONTH( Base_de_Dados[[#This Row],[Semana]])&lt;=6,"1ª Semestre","2ª Semestre")</f>
        <v>2ª Semestre</v>
      </c>
    </row>
    <row r="250" spans="1:7" x14ac:dyDescent="0.25">
      <c r="A250" t="s">
        <v>8</v>
      </c>
      <c r="B250">
        <v>0</v>
      </c>
      <c r="C250" s="6">
        <v>0</v>
      </c>
      <c r="D250" s="54">
        <v>44781</v>
      </c>
      <c r="E250" s="54" t="str">
        <f>TEXT(Base_de_Dados[[#This Row],[Semana]],"Mmmm")</f>
        <v>agosto</v>
      </c>
      <c r="F250">
        <f>YEAR(Base_de_Dados[[#This Row],[Semana]])</f>
        <v>2022</v>
      </c>
      <c r="G250" t="str">
        <f>IF(MONTH( Base_de_Dados[[#This Row],[Semana]])&lt;=6,"1ª Semestre","2ª Semestre")</f>
        <v>2ª Semestre</v>
      </c>
    </row>
    <row r="251" spans="1:7" x14ac:dyDescent="0.25">
      <c r="A251" t="s">
        <v>9</v>
      </c>
      <c r="B251">
        <v>2</v>
      </c>
      <c r="C251" s="6">
        <v>0.5</v>
      </c>
      <c r="D251" s="54">
        <v>44781</v>
      </c>
      <c r="E251" s="54" t="str">
        <f>TEXT(Base_de_Dados[[#This Row],[Semana]],"Mmmm")</f>
        <v>agosto</v>
      </c>
      <c r="F251">
        <f>YEAR(Base_de_Dados[[#This Row],[Semana]])</f>
        <v>2022</v>
      </c>
      <c r="G251" t="str">
        <f>IF(MONTH( Base_de_Dados[[#This Row],[Semana]])&lt;=6,"1ª Semestre","2ª Semestre")</f>
        <v>2ª Semestre</v>
      </c>
    </row>
    <row r="252" spans="1:7" x14ac:dyDescent="0.25">
      <c r="A252" t="s">
        <v>10</v>
      </c>
      <c r="B252">
        <v>0</v>
      </c>
      <c r="C252" s="6">
        <v>0</v>
      </c>
      <c r="D252" s="54">
        <v>44781</v>
      </c>
      <c r="E252" s="54" t="str">
        <f>TEXT(Base_de_Dados[[#This Row],[Semana]],"Mmmm")</f>
        <v>agosto</v>
      </c>
      <c r="F252">
        <f>YEAR(Base_de_Dados[[#This Row],[Semana]])</f>
        <v>2022</v>
      </c>
      <c r="G252" t="str">
        <f>IF(MONTH( Base_de_Dados[[#This Row],[Semana]])&lt;=6,"1ª Semestre","2ª Semestre")</f>
        <v>2ª Semestre</v>
      </c>
    </row>
    <row r="253" spans="1:7" x14ac:dyDescent="0.25">
      <c r="A253" t="s">
        <v>11</v>
      </c>
      <c r="B253">
        <v>0</v>
      </c>
      <c r="C253" s="6">
        <v>0</v>
      </c>
      <c r="D253" s="54">
        <v>44781</v>
      </c>
      <c r="E253" s="54" t="str">
        <f>TEXT(Base_de_Dados[[#This Row],[Semana]],"Mmmm")</f>
        <v>agosto</v>
      </c>
      <c r="F253">
        <f>YEAR(Base_de_Dados[[#This Row],[Semana]])</f>
        <v>2022</v>
      </c>
      <c r="G253" t="str">
        <f>IF(MONTH( Base_de_Dados[[#This Row],[Semana]])&lt;=6,"1ª Semestre","2ª Semestre")</f>
        <v>2ª Semestre</v>
      </c>
    </row>
    <row r="254" spans="1:7" x14ac:dyDescent="0.25">
      <c r="A254" t="s">
        <v>12</v>
      </c>
      <c r="B254">
        <v>0</v>
      </c>
      <c r="C254" s="6">
        <v>0</v>
      </c>
      <c r="D254" s="54">
        <v>44781</v>
      </c>
      <c r="E254" s="54" t="str">
        <f>TEXT(Base_de_Dados[[#This Row],[Semana]],"Mmmm")</f>
        <v>agosto</v>
      </c>
      <c r="F254">
        <f>YEAR(Base_de_Dados[[#This Row],[Semana]])</f>
        <v>2022</v>
      </c>
      <c r="G254" t="str">
        <f>IF(MONTH( Base_de_Dados[[#This Row],[Semana]])&lt;=6,"1ª Semestre","2ª Semestre")</f>
        <v>2ª Semestre</v>
      </c>
    </row>
    <row r="255" spans="1:7" x14ac:dyDescent="0.25">
      <c r="A255" t="s">
        <v>132</v>
      </c>
      <c r="B255">
        <v>0</v>
      </c>
      <c r="C255" s="6">
        <v>0</v>
      </c>
      <c r="D255" s="54">
        <v>44781</v>
      </c>
      <c r="E255" s="54" t="str">
        <f>TEXT(Base_de_Dados[[#This Row],[Semana]],"Mmmm")</f>
        <v>agosto</v>
      </c>
      <c r="F255">
        <f>YEAR(Base_de_Dados[[#This Row],[Semana]])</f>
        <v>2022</v>
      </c>
      <c r="G255" t="str">
        <f>IF(MONTH( Base_de_Dados[[#This Row],[Semana]])&lt;=6,"1ª Semestre","2ª Semestre")</f>
        <v>2ª Semestre</v>
      </c>
    </row>
    <row r="256" spans="1:7" x14ac:dyDescent="0.25">
      <c r="A256" t="s">
        <v>3</v>
      </c>
      <c r="B256">
        <v>5</v>
      </c>
      <c r="C256" s="6">
        <v>0.7142857142857143</v>
      </c>
      <c r="D256" s="54">
        <v>44788</v>
      </c>
      <c r="E256" s="54" t="str">
        <f>TEXT(Base_de_Dados[[#This Row],[Semana]],"Mmmm")</f>
        <v>agosto</v>
      </c>
      <c r="F256">
        <f>YEAR(Base_de_Dados[[#This Row],[Semana]])</f>
        <v>2022</v>
      </c>
      <c r="G256" t="str">
        <f>IF(MONTH( Base_de_Dados[[#This Row],[Semana]])&lt;=6,"1ª Semestre","2ª Semestre")</f>
        <v>2ª Semestre</v>
      </c>
    </row>
    <row r="257" spans="1:7" x14ac:dyDescent="0.25">
      <c r="A257" t="s">
        <v>4</v>
      </c>
      <c r="B257">
        <v>0</v>
      </c>
      <c r="C257" s="6">
        <v>0</v>
      </c>
      <c r="D257" s="54">
        <v>44788</v>
      </c>
      <c r="E257" s="54" t="str">
        <f>TEXT(Base_de_Dados[[#This Row],[Semana]],"Mmmm")</f>
        <v>agosto</v>
      </c>
      <c r="F257">
        <f>YEAR(Base_de_Dados[[#This Row],[Semana]])</f>
        <v>2022</v>
      </c>
      <c r="G257" t="str">
        <f>IF(MONTH( Base_de_Dados[[#This Row],[Semana]])&lt;=6,"1ª Semestre","2ª Semestre")</f>
        <v>2ª Semestre</v>
      </c>
    </row>
    <row r="258" spans="1:7" x14ac:dyDescent="0.25">
      <c r="A258" t="s">
        <v>5</v>
      </c>
      <c r="B258">
        <v>0</v>
      </c>
      <c r="C258" s="6">
        <v>0</v>
      </c>
      <c r="D258" s="54">
        <v>44788</v>
      </c>
      <c r="E258" s="54" t="str">
        <f>TEXT(Base_de_Dados[[#This Row],[Semana]],"Mmmm")</f>
        <v>agosto</v>
      </c>
      <c r="F258">
        <f>YEAR(Base_de_Dados[[#This Row],[Semana]])</f>
        <v>2022</v>
      </c>
      <c r="G258" t="str">
        <f>IF(MONTH( Base_de_Dados[[#This Row],[Semana]])&lt;=6,"1ª Semestre","2ª Semestre")</f>
        <v>2ª Semestre</v>
      </c>
    </row>
    <row r="259" spans="1:7" x14ac:dyDescent="0.25">
      <c r="A259" t="s">
        <v>6</v>
      </c>
      <c r="B259">
        <v>0</v>
      </c>
      <c r="C259" s="6">
        <v>0</v>
      </c>
      <c r="D259" s="54">
        <v>44788</v>
      </c>
      <c r="E259" s="54" t="str">
        <f>TEXT(Base_de_Dados[[#This Row],[Semana]],"Mmmm")</f>
        <v>agosto</v>
      </c>
      <c r="F259">
        <f>YEAR(Base_de_Dados[[#This Row],[Semana]])</f>
        <v>2022</v>
      </c>
      <c r="G259" t="str">
        <f>IF(MONTH( Base_de_Dados[[#This Row],[Semana]])&lt;=6,"1ª Semestre","2ª Semestre")</f>
        <v>2ª Semestre</v>
      </c>
    </row>
    <row r="260" spans="1:7" x14ac:dyDescent="0.25">
      <c r="A260" t="s">
        <v>7</v>
      </c>
      <c r="B260">
        <v>0</v>
      </c>
      <c r="C260" s="6">
        <v>0</v>
      </c>
      <c r="D260" s="54">
        <v>44788</v>
      </c>
      <c r="E260" s="54" t="str">
        <f>TEXT(Base_de_Dados[[#This Row],[Semana]],"Mmmm")</f>
        <v>agosto</v>
      </c>
      <c r="F260">
        <f>YEAR(Base_de_Dados[[#This Row],[Semana]])</f>
        <v>2022</v>
      </c>
      <c r="G260" t="str">
        <f>IF(MONTH( Base_de_Dados[[#This Row],[Semana]])&lt;=6,"1ª Semestre","2ª Semestre")</f>
        <v>2ª Semestre</v>
      </c>
    </row>
    <row r="261" spans="1:7" x14ac:dyDescent="0.25">
      <c r="A261" t="s">
        <v>8</v>
      </c>
      <c r="B261">
        <v>0</v>
      </c>
      <c r="C261" s="6">
        <v>0</v>
      </c>
      <c r="D261" s="54">
        <v>44788</v>
      </c>
      <c r="E261" s="54" t="str">
        <f>TEXT(Base_de_Dados[[#This Row],[Semana]],"Mmmm")</f>
        <v>agosto</v>
      </c>
      <c r="F261">
        <f>YEAR(Base_de_Dados[[#This Row],[Semana]])</f>
        <v>2022</v>
      </c>
      <c r="G261" t="str">
        <f>IF(MONTH( Base_de_Dados[[#This Row],[Semana]])&lt;=6,"1ª Semestre","2ª Semestre")</f>
        <v>2ª Semestre</v>
      </c>
    </row>
    <row r="262" spans="1:7" x14ac:dyDescent="0.25">
      <c r="A262" t="s">
        <v>9</v>
      </c>
      <c r="B262">
        <v>2</v>
      </c>
      <c r="C262" s="6">
        <v>0.2857142857142857</v>
      </c>
      <c r="D262" s="54">
        <v>44788</v>
      </c>
      <c r="E262" s="54" t="str">
        <f>TEXT(Base_de_Dados[[#This Row],[Semana]],"Mmmm")</f>
        <v>agosto</v>
      </c>
      <c r="F262">
        <f>YEAR(Base_de_Dados[[#This Row],[Semana]])</f>
        <v>2022</v>
      </c>
      <c r="G262" t="str">
        <f>IF(MONTH( Base_de_Dados[[#This Row],[Semana]])&lt;=6,"1ª Semestre","2ª Semestre")</f>
        <v>2ª Semestre</v>
      </c>
    </row>
    <row r="263" spans="1:7" x14ac:dyDescent="0.25">
      <c r="A263" t="s">
        <v>10</v>
      </c>
      <c r="B263">
        <v>0</v>
      </c>
      <c r="C263" s="6">
        <v>0</v>
      </c>
      <c r="D263" s="54">
        <v>44788</v>
      </c>
      <c r="E263" s="54" t="str">
        <f>TEXT(Base_de_Dados[[#This Row],[Semana]],"Mmmm")</f>
        <v>agosto</v>
      </c>
      <c r="F263">
        <f>YEAR(Base_de_Dados[[#This Row],[Semana]])</f>
        <v>2022</v>
      </c>
      <c r="G263" t="str">
        <f>IF(MONTH( Base_de_Dados[[#This Row],[Semana]])&lt;=6,"1ª Semestre","2ª Semestre")</f>
        <v>2ª Semestre</v>
      </c>
    </row>
    <row r="264" spans="1:7" x14ac:dyDescent="0.25">
      <c r="A264" t="s">
        <v>11</v>
      </c>
      <c r="B264">
        <v>0</v>
      </c>
      <c r="C264" s="6">
        <v>0</v>
      </c>
      <c r="D264" s="54">
        <v>44788</v>
      </c>
      <c r="E264" s="54" t="str">
        <f>TEXT(Base_de_Dados[[#This Row],[Semana]],"Mmmm")</f>
        <v>agosto</v>
      </c>
      <c r="F264">
        <f>YEAR(Base_de_Dados[[#This Row],[Semana]])</f>
        <v>2022</v>
      </c>
      <c r="G264" t="str">
        <f>IF(MONTH( Base_de_Dados[[#This Row],[Semana]])&lt;=6,"1ª Semestre","2ª Semestre")</f>
        <v>2ª Semestre</v>
      </c>
    </row>
    <row r="265" spans="1:7" x14ac:dyDescent="0.25">
      <c r="A265" t="s">
        <v>12</v>
      </c>
      <c r="B265">
        <v>0</v>
      </c>
      <c r="C265" s="6">
        <v>0</v>
      </c>
      <c r="D265" s="54">
        <v>44788</v>
      </c>
      <c r="E265" s="54" t="str">
        <f>TEXT(Base_de_Dados[[#This Row],[Semana]],"Mmmm")</f>
        <v>agosto</v>
      </c>
      <c r="F265">
        <f>YEAR(Base_de_Dados[[#This Row],[Semana]])</f>
        <v>2022</v>
      </c>
      <c r="G265" t="str">
        <f>IF(MONTH( Base_de_Dados[[#This Row],[Semana]])&lt;=6,"1ª Semestre","2ª Semestre")</f>
        <v>2ª Semestre</v>
      </c>
    </row>
    <row r="266" spans="1:7" x14ac:dyDescent="0.25">
      <c r="A266" t="s">
        <v>132</v>
      </c>
      <c r="B266">
        <v>0</v>
      </c>
      <c r="C266" s="6">
        <v>0</v>
      </c>
      <c r="D266" s="54">
        <v>44788</v>
      </c>
      <c r="E266" s="54" t="str">
        <f>TEXT(Base_de_Dados[[#This Row],[Semana]],"Mmmm")</f>
        <v>agosto</v>
      </c>
      <c r="F266">
        <f>YEAR(Base_de_Dados[[#This Row],[Semana]])</f>
        <v>2022</v>
      </c>
      <c r="G266" t="str">
        <f>IF(MONTH( Base_de_Dados[[#This Row],[Semana]])&lt;=6,"1ª Semestre","2ª Semestre")</f>
        <v>2ª Semestre</v>
      </c>
    </row>
    <row r="267" spans="1:7" x14ac:dyDescent="0.25">
      <c r="A267" t="s">
        <v>3</v>
      </c>
      <c r="B267">
        <v>4</v>
      </c>
      <c r="C267" s="6">
        <v>0.5</v>
      </c>
      <c r="D267" s="54">
        <v>44795</v>
      </c>
      <c r="E267" s="54" t="str">
        <f>TEXT(Base_de_Dados[[#This Row],[Semana]],"Mmmm")</f>
        <v>agosto</v>
      </c>
      <c r="F267">
        <f>YEAR(Base_de_Dados[[#This Row],[Semana]])</f>
        <v>2022</v>
      </c>
      <c r="G267" t="str">
        <f>IF(MONTH( Base_de_Dados[[#This Row],[Semana]])&lt;=6,"1ª Semestre","2ª Semestre")</f>
        <v>2ª Semestre</v>
      </c>
    </row>
    <row r="268" spans="1:7" x14ac:dyDescent="0.25">
      <c r="A268" t="s">
        <v>4</v>
      </c>
      <c r="B268">
        <v>0</v>
      </c>
      <c r="C268" s="6">
        <v>0</v>
      </c>
      <c r="D268" s="54">
        <v>44795</v>
      </c>
      <c r="E268" s="54" t="str">
        <f>TEXT(Base_de_Dados[[#This Row],[Semana]],"Mmmm")</f>
        <v>agosto</v>
      </c>
      <c r="F268">
        <f>YEAR(Base_de_Dados[[#This Row],[Semana]])</f>
        <v>2022</v>
      </c>
      <c r="G268" t="str">
        <f>IF(MONTH( Base_de_Dados[[#This Row],[Semana]])&lt;=6,"1ª Semestre","2ª Semestre")</f>
        <v>2ª Semestre</v>
      </c>
    </row>
    <row r="269" spans="1:7" x14ac:dyDescent="0.25">
      <c r="A269" t="s">
        <v>5</v>
      </c>
      <c r="B269">
        <v>1</v>
      </c>
      <c r="C269" s="6">
        <v>0.125</v>
      </c>
      <c r="D269" s="54">
        <v>44795</v>
      </c>
      <c r="E269" s="54" t="str">
        <f>TEXT(Base_de_Dados[[#This Row],[Semana]],"Mmmm")</f>
        <v>agosto</v>
      </c>
      <c r="F269">
        <f>YEAR(Base_de_Dados[[#This Row],[Semana]])</f>
        <v>2022</v>
      </c>
      <c r="G269" t="str">
        <f>IF(MONTH( Base_de_Dados[[#This Row],[Semana]])&lt;=6,"1ª Semestre","2ª Semestre")</f>
        <v>2ª Semestre</v>
      </c>
    </row>
    <row r="270" spans="1:7" x14ac:dyDescent="0.25">
      <c r="A270" t="s">
        <v>6</v>
      </c>
      <c r="B270">
        <v>0</v>
      </c>
      <c r="C270" s="6">
        <v>0</v>
      </c>
      <c r="D270" s="54">
        <v>44795</v>
      </c>
      <c r="E270" s="54" t="str">
        <f>TEXT(Base_de_Dados[[#This Row],[Semana]],"Mmmm")</f>
        <v>agosto</v>
      </c>
      <c r="F270">
        <f>YEAR(Base_de_Dados[[#This Row],[Semana]])</f>
        <v>2022</v>
      </c>
      <c r="G270" t="str">
        <f>IF(MONTH( Base_de_Dados[[#This Row],[Semana]])&lt;=6,"1ª Semestre","2ª Semestre")</f>
        <v>2ª Semestre</v>
      </c>
    </row>
    <row r="271" spans="1:7" x14ac:dyDescent="0.25">
      <c r="A271" t="s">
        <v>7</v>
      </c>
      <c r="B271">
        <v>1</v>
      </c>
      <c r="C271" s="6">
        <v>0.125</v>
      </c>
      <c r="D271" s="54">
        <v>44795</v>
      </c>
      <c r="E271" s="54" t="str">
        <f>TEXT(Base_de_Dados[[#This Row],[Semana]],"Mmmm")</f>
        <v>agosto</v>
      </c>
      <c r="F271">
        <f>YEAR(Base_de_Dados[[#This Row],[Semana]])</f>
        <v>2022</v>
      </c>
      <c r="G271" t="str">
        <f>IF(MONTH( Base_de_Dados[[#This Row],[Semana]])&lt;=6,"1ª Semestre","2ª Semestre")</f>
        <v>2ª Semestre</v>
      </c>
    </row>
    <row r="272" spans="1:7" x14ac:dyDescent="0.25">
      <c r="A272" t="s">
        <v>8</v>
      </c>
      <c r="B272">
        <v>0</v>
      </c>
      <c r="C272" s="6">
        <v>0</v>
      </c>
      <c r="D272" s="54">
        <v>44795</v>
      </c>
      <c r="E272" s="54" t="str">
        <f>TEXT(Base_de_Dados[[#This Row],[Semana]],"Mmmm")</f>
        <v>agosto</v>
      </c>
      <c r="F272">
        <f>YEAR(Base_de_Dados[[#This Row],[Semana]])</f>
        <v>2022</v>
      </c>
      <c r="G272" t="str">
        <f>IF(MONTH( Base_de_Dados[[#This Row],[Semana]])&lt;=6,"1ª Semestre","2ª Semestre")</f>
        <v>2ª Semestre</v>
      </c>
    </row>
    <row r="273" spans="1:7" x14ac:dyDescent="0.25">
      <c r="A273" t="s">
        <v>9</v>
      </c>
      <c r="B273">
        <v>0</v>
      </c>
      <c r="C273" s="6">
        <v>0</v>
      </c>
      <c r="D273" s="54">
        <v>44795</v>
      </c>
      <c r="E273" s="54" t="str">
        <f>TEXT(Base_de_Dados[[#This Row],[Semana]],"Mmmm")</f>
        <v>agosto</v>
      </c>
      <c r="F273">
        <f>YEAR(Base_de_Dados[[#This Row],[Semana]])</f>
        <v>2022</v>
      </c>
      <c r="G273" t="str">
        <f>IF(MONTH( Base_de_Dados[[#This Row],[Semana]])&lt;=6,"1ª Semestre","2ª Semestre")</f>
        <v>2ª Semestre</v>
      </c>
    </row>
    <row r="274" spans="1:7" x14ac:dyDescent="0.25">
      <c r="A274" t="s">
        <v>10</v>
      </c>
      <c r="B274">
        <v>0</v>
      </c>
      <c r="C274" s="6">
        <v>0</v>
      </c>
      <c r="D274" s="54">
        <v>44795</v>
      </c>
      <c r="E274" s="54" t="str">
        <f>TEXT(Base_de_Dados[[#This Row],[Semana]],"Mmmm")</f>
        <v>agosto</v>
      </c>
      <c r="F274">
        <f>YEAR(Base_de_Dados[[#This Row],[Semana]])</f>
        <v>2022</v>
      </c>
      <c r="G274" t="str">
        <f>IF(MONTH( Base_de_Dados[[#This Row],[Semana]])&lt;=6,"1ª Semestre","2ª Semestre")</f>
        <v>2ª Semestre</v>
      </c>
    </row>
    <row r="275" spans="1:7" x14ac:dyDescent="0.25">
      <c r="A275" t="s">
        <v>11</v>
      </c>
      <c r="B275">
        <v>2</v>
      </c>
      <c r="C275" s="6">
        <v>0.25</v>
      </c>
      <c r="D275" s="54">
        <v>44795</v>
      </c>
      <c r="E275" s="54" t="str">
        <f>TEXT(Base_de_Dados[[#This Row],[Semana]],"Mmmm")</f>
        <v>agosto</v>
      </c>
      <c r="F275">
        <f>YEAR(Base_de_Dados[[#This Row],[Semana]])</f>
        <v>2022</v>
      </c>
      <c r="G275" t="str">
        <f>IF(MONTH( Base_de_Dados[[#This Row],[Semana]])&lt;=6,"1ª Semestre","2ª Semestre")</f>
        <v>2ª Semestre</v>
      </c>
    </row>
    <row r="276" spans="1:7" x14ac:dyDescent="0.25">
      <c r="A276" t="s">
        <v>12</v>
      </c>
      <c r="B276">
        <v>0</v>
      </c>
      <c r="C276" s="6">
        <v>0</v>
      </c>
      <c r="D276" s="54">
        <v>44795</v>
      </c>
      <c r="E276" s="54" t="str">
        <f>TEXT(Base_de_Dados[[#This Row],[Semana]],"Mmmm")</f>
        <v>agosto</v>
      </c>
      <c r="F276">
        <f>YEAR(Base_de_Dados[[#This Row],[Semana]])</f>
        <v>2022</v>
      </c>
      <c r="G276" t="str">
        <f>IF(MONTH( Base_de_Dados[[#This Row],[Semana]])&lt;=6,"1ª Semestre","2ª Semestre")</f>
        <v>2ª Semestre</v>
      </c>
    </row>
    <row r="277" spans="1:7" x14ac:dyDescent="0.25">
      <c r="A277" t="s">
        <v>132</v>
      </c>
      <c r="B277">
        <v>0</v>
      </c>
      <c r="C277" s="6">
        <v>0</v>
      </c>
      <c r="D277" s="54">
        <v>44795</v>
      </c>
      <c r="E277" s="54" t="str">
        <f>TEXT(Base_de_Dados[[#This Row],[Semana]],"Mmmm")</f>
        <v>agosto</v>
      </c>
      <c r="F277">
        <f>YEAR(Base_de_Dados[[#This Row],[Semana]])</f>
        <v>2022</v>
      </c>
      <c r="G277" t="str">
        <f>IF(MONTH( Base_de_Dados[[#This Row],[Semana]])&lt;=6,"1ª Semestre","2ª Semestre")</f>
        <v>2ª Semestre</v>
      </c>
    </row>
    <row r="278" spans="1:7" x14ac:dyDescent="0.25">
      <c r="A278" t="s">
        <v>3</v>
      </c>
      <c r="B278">
        <v>0</v>
      </c>
      <c r="C278" s="6">
        <v>0</v>
      </c>
      <c r="D278" s="54">
        <v>44802</v>
      </c>
      <c r="E278" s="54" t="str">
        <f>TEXT(Base_de_Dados[[#This Row],[Semana]],"Mmmm")</f>
        <v>agosto</v>
      </c>
      <c r="F278">
        <f>YEAR(Base_de_Dados[[#This Row],[Semana]])</f>
        <v>2022</v>
      </c>
      <c r="G278" t="str">
        <f>IF(MONTH( Base_de_Dados[[#This Row],[Semana]])&lt;=6,"1ª Semestre","2ª Semestre")</f>
        <v>2ª Semestre</v>
      </c>
    </row>
    <row r="279" spans="1:7" x14ac:dyDescent="0.25">
      <c r="A279" t="s">
        <v>4</v>
      </c>
      <c r="B279">
        <v>0</v>
      </c>
      <c r="C279" s="6">
        <v>0</v>
      </c>
      <c r="D279" s="54">
        <v>44802</v>
      </c>
      <c r="E279" s="54" t="str">
        <f>TEXT(Base_de_Dados[[#This Row],[Semana]],"Mmmm")</f>
        <v>agosto</v>
      </c>
      <c r="F279">
        <f>YEAR(Base_de_Dados[[#This Row],[Semana]])</f>
        <v>2022</v>
      </c>
      <c r="G279" t="str">
        <f>IF(MONTH( Base_de_Dados[[#This Row],[Semana]])&lt;=6,"1ª Semestre","2ª Semestre")</f>
        <v>2ª Semestre</v>
      </c>
    </row>
    <row r="280" spans="1:7" x14ac:dyDescent="0.25">
      <c r="A280" t="s">
        <v>5</v>
      </c>
      <c r="B280">
        <v>0</v>
      </c>
      <c r="C280" s="6">
        <v>0</v>
      </c>
      <c r="D280" s="54">
        <v>44802</v>
      </c>
      <c r="E280" s="54" t="str">
        <f>TEXT(Base_de_Dados[[#This Row],[Semana]],"Mmmm")</f>
        <v>agosto</v>
      </c>
      <c r="F280">
        <f>YEAR(Base_de_Dados[[#This Row],[Semana]])</f>
        <v>2022</v>
      </c>
      <c r="G280" t="str">
        <f>IF(MONTH( Base_de_Dados[[#This Row],[Semana]])&lt;=6,"1ª Semestre","2ª Semestre")</f>
        <v>2ª Semestre</v>
      </c>
    </row>
    <row r="281" spans="1:7" x14ac:dyDescent="0.25">
      <c r="A281" t="s">
        <v>6</v>
      </c>
      <c r="B281">
        <v>0</v>
      </c>
      <c r="C281" s="6">
        <v>0</v>
      </c>
      <c r="D281" s="54">
        <v>44802</v>
      </c>
      <c r="E281" s="54" t="str">
        <f>TEXT(Base_de_Dados[[#This Row],[Semana]],"Mmmm")</f>
        <v>agosto</v>
      </c>
      <c r="F281">
        <f>YEAR(Base_de_Dados[[#This Row],[Semana]])</f>
        <v>2022</v>
      </c>
      <c r="G281" t="str">
        <f>IF(MONTH( Base_de_Dados[[#This Row],[Semana]])&lt;=6,"1ª Semestre","2ª Semestre")</f>
        <v>2ª Semestre</v>
      </c>
    </row>
    <row r="282" spans="1:7" x14ac:dyDescent="0.25">
      <c r="A282" t="s">
        <v>7</v>
      </c>
      <c r="B282">
        <v>2</v>
      </c>
      <c r="C282" s="6">
        <v>0.4</v>
      </c>
      <c r="D282" s="54">
        <v>44802</v>
      </c>
      <c r="E282" s="54" t="str">
        <f>TEXT(Base_de_Dados[[#This Row],[Semana]],"Mmmm")</f>
        <v>agosto</v>
      </c>
      <c r="F282">
        <f>YEAR(Base_de_Dados[[#This Row],[Semana]])</f>
        <v>2022</v>
      </c>
      <c r="G282" t="str">
        <f>IF(MONTH( Base_de_Dados[[#This Row],[Semana]])&lt;=6,"1ª Semestre","2ª Semestre")</f>
        <v>2ª Semestre</v>
      </c>
    </row>
    <row r="283" spans="1:7" x14ac:dyDescent="0.25">
      <c r="A283" t="s">
        <v>8</v>
      </c>
      <c r="B283">
        <v>0</v>
      </c>
      <c r="C283" s="6">
        <v>0</v>
      </c>
      <c r="D283" s="54">
        <v>44802</v>
      </c>
      <c r="E283" s="54" t="str">
        <f>TEXT(Base_de_Dados[[#This Row],[Semana]],"Mmmm")</f>
        <v>agosto</v>
      </c>
      <c r="F283">
        <f>YEAR(Base_de_Dados[[#This Row],[Semana]])</f>
        <v>2022</v>
      </c>
      <c r="G283" t="str">
        <f>IF(MONTH( Base_de_Dados[[#This Row],[Semana]])&lt;=6,"1ª Semestre","2ª Semestre")</f>
        <v>2ª Semestre</v>
      </c>
    </row>
    <row r="284" spans="1:7" x14ac:dyDescent="0.25">
      <c r="A284" t="s">
        <v>9</v>
      </c>
      <c r="B284">
        <v>0</v>
      </c>
      <c r="C284" s="6">
        <v>0</v>
      </c>
      <c r="D284" s="54">
        <v>44802</v>
      </c>
      <c r="E284" s="54" t="str">
        <f>TEXT(Base_de_Dados[[#This Row],[Semana]],"Mmmm")</f>
        <v>agosto</v>
      </c>
      <c r="F284">
        <f>YEAR(Base_de_Dados[[#This Row],[Semana]])</f>
        <v>2022</v>
      </c>
      <c r="G284" t="str">
        <f>IF(MONTH( Base_de_Dados[[#This Row],[Semana]])&lt;=6,"1ª Semestre","2ª Semestre")</f>
        <v>2ª Semestre</v>
      </c>
    </row>
    <row r="285" spans="1:7" x14ac:dyDescent="0.25">
      <c r="A285" t="s">
        <v>10</v>
      </c>
      <c r="B285">
        <v>0</v>
      </c>
      <c r="C285" s="6">
        <v>0</v>
      </c>
      <c r="D285" s="54">
        <v>44802</v>
      </c>
      <c r="E285" s="54" t="str">
        <f>TEXT(Base_de_Dados[[#This Row],[Semana]],"Mmmm")</f>
        <v>agosto</v>
      </c>
      <c r="F285">
        <f>YEAR(Base_de_Dados[[#This Row],[Semana]])</f>
        <v>2022</v>
      </c>
      <c r="G285" t="str">
        <f>IF(MONTH( Base_de_Dados[[#This Row],[Semana]])&lt;=6,"1ª Semestre","2ª Semestre")</f>
        <v>2ª Semestre</v>
      </c>
    </row>
    <row r="286" spans="1:7" x14ac:dyDescent="0.25">
      <c r="A286" t="s">
        <v>11</v>
      </c>
      <c r="B286">
        <v>0</v>
      </c>
      <c r="C286" s="6">
        <v>0</v>
      </c>
      <c r="D286" s="54">
        <v>44802</v>
      </c>
      <c r="E286" s="54" t="str">
        <f>TEXT(Base_de_Dados[[#This Row],[Semana]],"Mmmm")</f>
        <v>agosto</v>
      </c>
      <c r="F286">
        <f>YEAR(Base_de_Dados[[#This Row],[Semana]])</f>
        <v>2022</v>
      </c>
      <c r="G286" t="str">
        <f>IF(MONTH( Base_de_Dados[[#This Row],[Semana]])&lt;=6,"1ª Semestre","2ª Semestre")</f>
        <v>2ª Semestre</v>
      </c>
    </row>
    <row r="287" spans="1:7" x14ac:dyDescent="0.25">
      <c r="A287" t="s">
        <v>12</v>
      </c>
      <c r="B287">
        <v>3</v>
      </c>
      <c r="C287" s="6">
        <v>0.6</v>
      </c>
      <c r="D287" s="54">
        <v>44802</v>
      </c>
      <c r="E287" s="54" t="str">
        <f>TEXT(Base_de_Dados[[#This Row],[Semana]],"Mmmm")</f>
        <v>agosto</v>
      </c>
      <c r="F287">
        <f>YEAR(Base_de_Dados[[#This Row],[Semana]])</f>
        <v>2022</v>
      </c>
      <c r="G287" t="str">
        <f>IF(MONTH( Base_de_Dados[[#This Row],[Semana]])&lt;=6,"1ª Semestre","2ª Semestre")</f>
        <v>2ª Semestre</v>
      </c>
    </row>
    <row r="288" spans="1:7" x14ac:dyDescent="0.25">
      <c r="A288" t="s">
        <v>132</v>
      </c>
      <c r="B288">
        <v>0</v>
      </c>
      <c r="C288" s="6">
        <v>0</v>
      </c>
      <c r="D288" s="54">
        <v>44802</v>
      </c>
      <c r="E288" s="54" t="str">
        <f>TEXT(Base_de_Dados[[#This Row],[Semana]],"Mmmm")</f>
        <v>agosto</v>
      </c>
      <c r="F288">
        <f>YEAR(Base_de_Dados[[#This Row],[Semana]])</f>
        <v>2022</v>
      </c>
      <c r="G288" t="str">
        <f>IF(MONTH( Base_de_Dados[[#This Row],[Semana]])&lt;=6,"1ª Semestre","2ª Semestre")</f>
        <v>2ª Semestre</v>
      </c>
    </row>
    <row r="289" spans="1:7" x14ac:dyDescent="0.25">
      <c r="A289" t="s">
        <v>3</v>
      </c>
      <c r="B289">
        <v>0</v>
      </c>
      <c r="C289" s="6">
        <v>0</v>
      </c>
      <c r="D289" s="54">
        <v>44809</v>
      </c>
      <c r="E289" s="54" t="str">
        <f>TEXT(Base_de_Dados[[#This Row],[Semana]],"Mmmm")</f>
        <v>setembro</v>
      </c>
      <c r="F289">
        <f>YEAR(Base_de_Dados[[#This Row],[Semana]])</f>
        <v>2022</v>
      </c>
      <c r="G289" t="str">
        <f>IF(MONTH( Base_de_Dados[[#This Row],[Semana]])&lt;=6,"1ª Semestre","2ª Semestre")</f>
        <v>2ª Semestre</v>
      </c>
    </row>
    <row r="290" spans="1:7" x14ac:dyDescent="0.25">
      <c r="A290" t="s">
        <v>4</v>
      </c>
      <c r="B290">
        <v>0</v>
      </c>
      <c r="C290" s="6">
        <v>0</v>
      </c>
      <c r="D290" s="54">
        <v>44809</v>
      </c>
      <c r="E290" s="54" t="str">
        <f>TEXT(Base_de_Dados[[#This Row],[Semana]],"Mmmm")</f>
        <v>setembro</v>
      </c>
      <c r="F290">
        <f>YEAR(Base_de_Dados[[#This Row],[Semana]])</f>
        <v>2022</v>
      </c>
      <c r="G290" t="str">
        <f>IF(MONTH( Base_de_Dados[[#This Row],[Semana]])&lt;=6,"1ª Semestre","2ª Semestre")</f>
        <v>2ª Semestre</v>
      </c>
    </row>
    <row r="291" spans="1:7" x14ac:dyDescent="0.25">
      <c r="A291" t="s">
        <v>5</v>
      </c>
      <c r="B291">
        <v>0</v>
      </c>
      <c r="C291" s="6">
        <v>0</v>
      </c>
      <c r="D291" s="54">
        <v>44809</v>
      </c>
      <c r="E291" s="54" t="str">
        <f>TEXT(Base_de_Dados[[#This Row],[Semana]],"Mmmm")</f>
        <v>setembro</v>
      </c>
      <c r="F291">
        <f>YEAR(Base_de_Dados[[#This Row],[Semana]])</f>
        <v>2022</v>
      </c>
      <c r="G291" t="str">
        <f>IF(MONTH( Base_de_Dados[[#This Row],[Semana]])&lt;=6,"1ª Semestre","2ª Semestre")</f>
        <v>2ª Semestre</v>
      </c>
    </row>
    <row r="292" spans="1:7" x14ac:dyDescent="0.25">
      <c r="A292" t="s">
        <v>6</v>
      </c>
      <c r="B292">
        <v>0</v>
      </c>
      <c r="C292" s="6">
        <v>0</v>
      </c>
      <c r="D292" s="54">
        <v>44809</v>
      </c>
      <c r="E292" s="54" t="str">
        <f>TEXT(Base_de_Dados[[#This Row],[Semana]],"Mmmm")</f>
        <v>setembro</v>
      </c>
      <c r="F292">
        <f>YEAR(Base_de_Dados[[#This Row],[Semana]])</f>
        <v>2022</v>
      </c>
      <c r="G292" t="str">
        <f>IF(MONTH( Base_de_Dados[[#This Row],[Semana]])&lt;=6,"1ª Semestre","2ª Semestre")</f>
        <v>2ª Semestre</v>
      </c>
    </row>
    <row r="293" spans="1:7" x14ac:dyDescent="0.25">
      <c r="A293" t="s">
        <v>7</v>
      </c>
      <c r="B293">
        <v>0</v>
      </c>
      <c r="C293" s="6">
        <v>0</v>
      </c>
      <c r="D293" s="54">
        <v>44809</v>
      </c>
      <c r="E293" s="54" t="str">
        <f>TEXT(Base_de_Dados[[#This Row],[Semana]],"Mmmm")</f>
        <v>setembro</v>
      </c>
      <c r="F293">
        <f>YEAR(Base_de_Dados[[#This Row],[Semana]])</f>
        <v>2022</v>
      </c>
      <c r="G293" t="str">
        <f>IF(MONTH( Base_de_Dados[[#This Row],[Semana]])&lt;=6,"1ª Semestre","2ª Semestre")</f>
        <v>2ª Semestre</v>
      </c>
    </row>
    <row r="294" spans="1:7" x14ac:dyDescent="0.25">
      <c r="A294" t="s">
        <v>8</v>
      </c>
      <c r="B294">
        <v>0</v>
      </c>
      <c r="C294" s="6">
        <v>0</v>
      </c>
      <c r="D294" s="54">
        <v>44809</v>
      </c>
      <c r="E294" s="54" t="str">
        <f>TEXT(Base_de_Dados[[#This Row],[Semana]],"Mmmm")</f>
        <v>setembro</v>
      </c>
      <c r="F294">
        <f>YEAR(Base_de_Dados[[#This Row],[Semana]])</f>
        <v>2022</v>
      </c>
      <c r="G294" t="str">
        <f>IF(MONTH( Base_de_Dados[[#This Row],[Semana]])&lt;=6,"1ª Semestre","2ª Semestre")</f>
        <v>2ª Semestre</v>
      </c>
    </row>
    <row r="295" spans="1:7" x14ac:dyDescent="0.25">
      <c r="A295" t="s">
        <v>9</v>
      </c>
      <c r="B295">
        <v>0</v>
      </c>
      <c r="C295" s="6">
        <v>0</v>
      </c>
      <c r="D295" s="54">
        <v>44809</v>
      </c>
      <c r="E295" s="54" t="str">
        <f>TEXT(Base_de_Dados[[#This Row],[Semana]],"Mmmm")</f>
        <v>setembro</v>
      </c>
      <c r="F295">
        <f>YEAR(Base_de_Dados[[#This Row],[Semana]])</f>
        <v>2022</v>
      </c>
      <c r="G295" t="str">
        <f>IF(MONTH( Base_de_Dados[[#This Row],[Semana]])&lt;=6,"1ª Semestre","2ª Semestre")</f>
        <v>2ª Semestre</v>
      </c>
    </row>
    <row r="296" spans="1:7" x14ac:dyDescent="0.25">
      <c r="A296" t="s">
        <v>10</v>
      </c>
      <c r="B296">
        <v>0</v>
      </c>
      <c r="C296" s="6">
        <v>0</v>
      </c>
      <c r="D296" s="54">
        <v>44809</v>
      </c>
      <c r="E296" s="54" t="str">
        <f>TEXT(Base_de_Dados[[#This Row],[Semana]],"Mmmm")</f>
        <v>setembro</v>
      </c>
      <c r="F296">
        <f>YEAR(Base_de_Dados[[#This Row],[Semana]])</f>
        <v>2022</v>
      </c>
      <c r="G296" t="str">
        <f>IF(MONTH( Base_de_Dados[[#This Row],[Semana]])&lt;=6,"1ª Semestre","2ª Semestre")</f>
        <v>2ª Semestre</v>
      </c>
    </row>
    <row r="297" spans="1:7" x14ac:dyDescent="0.25">
      <c r="A297" t="s">
        <v>11</v>
      </c>
      <c r="B297">
        <v>0</v>
      </c>
      <c r="C297" s="6">
        <v>0</v>
      </c>
      <c r="D297" s="54">
        <v>44809</v>
      </c>
      <c r="E297" s="54" t="str">
        <f>TEXT(Base_de_Dados[[#This Row],[Semana]],"Mmmm")</f>
        <v>setembro</v>
      </c>
      <c r="F297">
        <f>YEAR(Base_de_Dados[[#This Row],[Semana]])</f>
        <v>2022</v>
      </c>
      <c r="G297" t="str">
        <f>IF(MONTH( Base_de_Dados[[#This Row],[Semana]])&lt;=6,"1ª Semestre","2ª Semestre")</f>
        <v>2ª Semestre</v>
      </c>
    </row>
    <row r="298" spans="1:7" x14ac:dyDescent="0.25">
      <c r="A298" t="s">
        <v>12</v>
      </c>
      <c r="B298">
        <v>2</v>
      </c>
      <c r="C298" s="6">
        <v>1</v>
      </c>
      <c r="D298" s="54">
        <v>44809</v>
      </c>
      <c r="E298" s="54" t="str">
        <f>TEXT(Base_de_Dados[[#This Row],[Semana]],"Mmmm")</f>
        <v>setembro</v>
      </c>
      <c r="F298">
        <f>YEAR(Base_de_Dados[[#This Row],[Semana]])</f>
        <v>2022</v>
      </c>
      <c r="G298" t="str">
        <f>IF(MONTH( Base_de_Dados[[#This Row],[Semana]])&lt;=6,"1ª Semestre","2ª Semestre")</f>
        <v>2ª Semestre</v>
      </c>
    </row>
    <row r="299" spans="1:7" x14ac:dyDescent="0.25">
      <c r="A299" t="s">
        <v>132</v>
      </c>
      <c r="B299">
        <v>0</v>
      </c>
      <c r="C299" s="6">
        <v>0</v>
      </c>
      <c r="D299" s="54">
        <v>44809</v>
      </c>
      <c r="E299" s="54" t="str">
        <f>TEXT(Base_de_Dados[[#This Row],[Semana]],"Mmmm")</f>
        <v>setembro</v>
      </c>
      <c r="F299">
        <f>YEAR(Base_de_Dados[[#This Row],[Semana]])</f>
        <v>2022</v>
      </c>
      <c r="G299" t="str">
        <f>IF(MONTH( Base_de_Dados[[#This Row],[Semana]])&lt;=6,"1ª Semestre","2ª Semestre")</f>
        <v>2ª Semestre</v>
      </c>
    </row>
    <row r="300" spans="1:7" x14ac:dyDescent="0.25">
      <c r="A300" t="s">
        <v>3</v>
      </c>
      <c r="B300">
        <v>1</v>
      </c>
      <c r="C300" s="6">
        <v>0.33333333333333331</v>
      </c>
      <c r="D300" s="54">
        <v>44816</v>
      </c>
      <c r="E300" s="54" t="str">
        <f>TEXT(Base_de_Dados[[#This Row],[Semana]],"Mmmm")</f>
        <v>setembro</v>
      </c>
      <c r="F300">
        <f>YEAR(Base_de_Dados[[#This Row],[Semana]])</f>
        <v>2022</v>
      </c>
      <c r="G300" t="str">
        <f>IF(MONTH( Base_de_Dados[[#This Row],[Semana]])&lt;=6,"1ª Semestre","2ª Semestre")</f>
        <v>2ª Semestre</v>
      </c>
    </row>
    <row r="301" spans="1:7" x14ac:dyDescent="0.25">
      <c r="A301" t="s">
        <v>4</v>
      </c>
      <c r="B301">
        <v>0</v>
      </c>
      <c r="C301" s="6">
        <v>0</v>
      </c>
      <c r="D301" s="54">
        <v>44816</v>
      </c>
      <c r="E301" s="54" t="str">
        <f>TEXT(Base_de_Dados[[#This Row],[Semana]],"Mmmm")</f>
        <v>setembro</v>
      </c>
      <c r="F301">
        <f>YEAR(Base_de_Dados[[#This Row],[Semana]])</f>
        <v>2022</v>
      </c>
      <c r="G301" t="str">
        <f>IF(MONTH( Base_de_Dados[[#This Row],[Semana]])&lt;=6,"1ª Semestre","2ª Semestre")</f>
        <v>2ª Semestre</v>
      </c>
    </row>
    <row r="302" spans="1:7" x14ac:dyDescent="0.25">
      <c r="A302" t="s">
        <v>5</v>
      </c>
      <c r="B302">
        <v>0</v>
      </c>
      <c r="C302" s="6">
        <v>0</v>
      </c>
      <c r="D302" s="54">
        <v>44816</v>
      </c>
      <c r="E302" s="54" t="str">
        <f>TEXT(Base_de_Dados[[#This Row],[Semana]],"Mmmm")</f>
        <v>setembro</v>
      </c>
      <c r="F302">
        <f>YEAR(Base_de_Dados[[#This Row],[Semana]])</f>
        <v>2022</v>
      </c>
      <c r="G302" t="str">
        <f>IF(MONTH( Base_de_Dados[[#This Row],[Semana]])&lt;=6,"1ª Semestre","2ª Semestre")</f>
        <v>2ª Semestre</v>
      </c>
    </row>
    <row r="303" spans="1:7" x14ac:dyDescent="0.25">
      <c r="A303" t="s">
        <v>6</v>
      </c>
      <c r="B303">
        <v>0</v>
      </c>
      <c r="C303" s="6">
        <v>0</v>
      </c>
      <c r="D303" s="54">
        <v>44816</v>
      </c>
      <c r="E303" s="54" t="str">
        <f>TEXT(Base_de_Dados[[#This Row],[Semana]],"Mmmm")</f>
        <v>setembro</v>
      </c>
      <c r="F303">
        <f>YEAR(Base_de_Dados[[#This Row],[Semana]])</f>
        <v>2022</v>
      </c>
      <c r="G303" t="str">
        <f>IF(MONTH( Base_de_Dados[[#This Row],[Semana]])&lt;=6,"1ª Semestre","2ª Semestre")</f>
        <v>2ª Semestre</v>
      </c>
    </row>
    <row r="304" spans="1:7" x14ac:dyDescent="0.25">
      <c r="A304" t="s">
        <v>7</v>
      </c>
      <c r="B304">
        <v>0</v>
      </c>
      <c r="C304" s="6">
        <v>0</v>
      </c>
      <c r="D304" s="54">
        <v>44816</v>
      </c>
      <c r="E304" s="54" t="str">
        <f>TEXT(Base_de_Dados[[#This Row],[Semana]],"Mmmm")</f>
        <v>setembro</v>
      </c>
      <c r="F304">
        <f>YEAR(Base_de_Dados[[#This Row],[Semana]])</f>
        <v>2022</v>
      </c>
      <c r="G304" t="str">
        <f>IF(MONTH( Base_de_Dados[[#This Row],[Semana]])&lt;=6,"1ª Semestre","2ª Semestre")</f>
        <v>2ª Semestre</v>
      </c>
    </row>
    <row r="305" spans="1:7" x14ac:dyDescent="0.25">
      <c r="A305" t="s">
        <v>8</v>
      </c>
      <c r="B305">
        <v>0</v>
      </c>
      <c r="C305" s="6">
        <v>0</v>
      </c>
      <c r="D305" s="54">
        <v>44816</v>
      </c>
      <c r="E305" s="54" t="str">
        <f>TEXT(Base_de_Dados[[#This Row],[Semana]],"Mmmm")</f>
        <v>setembro</v>
      </c>
      <c r="F305">
        <f>YEAR(Base_de_Dados[[#This Row],[Semana]])</f>
        <v>2022</v>
      </c>
      <c r="G305" t="str">
        <f>IF(MONTH( Base_de_Dados[[#This Row],[Semana]])&lt;=6,"1ª Semestre","2ª Semestre")</f>
        <v>2ª Semestre</v>
      </c>
    </row>
    <row r="306" spans="1:7" x14ac:dyDescent="0.25">
      <c r="A306" t="s">
        <v>9</v>
      </c>
      <c r="B306">
        <v>1</v>
      </c>
      <c r="C306" s="6">
        <v>0.33333333333333331</v>
      </c>
      <c r="D306" s="54">
        <v>44816</v>
      </c>
      <c r="E306" s="54" t="str">
        <f>TEXT(Base_de_Dados[[#This Row],[Semana]],"Mmmm")</f>
        <v>setembro</v>
      </c>
      <c r="F306">
        <f>YEAR(Base_de_Dados[[#This Row],[Semana]])</f>
        <v>2022</v>
      </c>
      <c r="G306" t="str">
        <f>IF(MONTH( Base_de_Dados[[#This Row],[Semana]])&lt;=6,"1ª Semestre","2ª Semestre")</f>
        <v>2ª Semestre</v>
      </c>
    </row>
    <row r="307" spans="1:7" x14ac:dyDescent="0.25">
      <c r="A307" t="s">
        <v>10</v>
      </c>
      <c r="B307">
        <v>0</v>
      </c>
      <c r="C307" s="6">
        <v>0</v>
      </c>
      <c r="D307" s="54">
        <v>44816</v>
      </c>
      <c r="E307" s="54" t="str">
        <f>TEXT(Base_de_Dados[[#This Row],[Semana]],"Mmmm")</f>
        <v>setembro</v>
      </c>
      <c r="F307">
        <f>YEAR(Base_de_Dados[[#This Row],[Semana]])</f>
        <v>2022</v>
      </c>
      <c r="G307" t="str">
        <f>IF(MONTH( Base_de_Dados[[#This Row],[Semana]])&lt;=6,"1ª Semestre","2ª Semestre")</f>
        <v>2ª Semestre</v>
      </c>
    </row>
    <row r="308" spans="1:7" x14ac:dyDescent="0.25">
      <c r="A308" t="s">
        <v>11</v>
      </c>
      <c r="B308">
        <v>0</v>
      </c>
      <c r="C308" s="6">
        <v>0</v>
      </c>
      <c r="D308" s="54">
        <v>44816</v>
      </c>
      <c r="E308" s="54" t="str">
        <f>TEXT(Base_de_Dados[[#This Row],[Semana]],"Mmmm")</f>
        <v>setembro</v>
      </c>
      <c r="F308">
        <f>YEAR(Base_de_Dados[[#This Row],[Semana]])</f>
        <v>2022</v>
      </c>
      <c r="G308" t="str">
        <f>IF(MONTH( Base_de_Dados[[#This Row],[Semana]])&lt;=6,"1ª Semestre","2ª Semestre")</f>
        <v>2ª Semestre</v>
      </c>
    </row>
    <row r="309" spans="1:7" x14ac:dyDescent="0.25">
      <c r="A309" t="s">
        <v>12</v>
      </c>
      <c r="B309">
        <v>1</v>
      </c>
      <c r="C309" s="6">
        <v>0.33333333333333331</v>
      </c>
      <c r="D309" s="54">
        <v>44816</v>
      </c>
      <c r="E309" s="54" t="str">
        <f>TEXT(Base_de_Dados[[#This Row],[Semana]],"Mmmm")</f>
        <v>setembro</v>
      </c>
      <c r="F309">
        <f>YEAR(Base_de_Dados[[#This Row],[Semana]])</f>
        <v>2022</v>
      </c>
      <c r="G309" t="str">
        <f>IF(MONTH( Base_de_Dados[[#This Row],[Semana]])&lt;=6,"1ª Semestre","2ª Semestre")</f>
        <v>2ª Semestre</v>
      </c>
    </row>
    <row r="310" spans="1:7" x14ac:dyDescent="0.25">
      <c r="A310" t="s">
        <v>132</v>
      </c>
      <c r="B310">
        <v>0</v>
      </c>
      <c r="C310" s="6">
        <v>0</v>
      </c>
      <c r="D310" s="54">
        <v>44816</v>
      </c>
      <c r="E310" s="54" t="str">
        <f>TEXT(Base_de_Dados[[#This Row],[Semana]],"Mmmm")</f>
        <v>setembro</v>
      </c>
      <c r="F310">
        <f>YEAR(Base_de_Dados[[#This Row],[Semana]])</f>
        <v>2022</v>
      </c>
      <c r="G310" t="str">
        <f>IF(MONTH( Base_de_Dados[[#This Row],[Semana]])&lt;=6,"1ª Semestre","2ª Semestre")</f>
        <v>2ª Semestre</v>
      </c>
    </row>
    <row r="311" spans="1:7" x14ac:dyDescent="0.25">
      <c r="A311" t="s">
        <v>3</v>
      </c>
      <c r="B311">
        <v>0</v>
      </c>
      <c r="C311" s="6">
        <v>0</v>
      </c>
      <c r="D311" s="54">
        <v>44823</v>
      </c>
      <c r="E311" s="54" t="str">
        <f>TEXT(Base_de_Dados[[#This Row],[Semana]],"Mmmm")</f>
        <v>setembro</v>
      </c>
      <c r="F311">
        <f>YEAR(Base_de_Dados[[#This Row],[Semana]])</f>
        <v>2022</v>
      </c>
      <c r="G311" t="str">
        <f>IF(MONTH( Base_de_Dados[[#This Row],[Semana]])&lt;=6,"1ª Semestre","2ª Semestre")</f>
        <v>2ª Semestre</v>
      </c>
    </row>
    <row r="312" spans="1:7" x14ac:dyDescent="0.25">
      <c r="A312" t="s">
        <v>4</v>
      </c>
      <c r="B312">
        <v>0</v>
      </c>
      <c r="C312" s="6">
        <v>0</v>
      </c>
      <c r="D312" s="54">
        <v>44823</v>
      </c>
      <c r="E312" s="54" t="str">
        <f>TEXT(Base_de_Dados[[#This Row],[Semana]],"Mmmm")</f>
        <v>setembro</v>
      </c>
      <c r="F312">
        <f>YEAR(Base_de_Dados[[#This Row],[Semana]])</f>
        <v>2022</v>
      </c>
      <c r="G312" t="str">
        <f>IF(MONTH( Base_de_Dados[[#This Row],[Semana]])&lt;=6,"1ª Semestre","2ª Semestre")</f>
        <v>2ª Semestre</v>
      </c>
    </row>
    <row r="313" spans="1:7" x14ac:dyDescent="0.25">
      <c r="A313" t="s">
        <v>5</v>
      </c>
      <c r="B313">
        <v>0</v>
      </c>
      <c r="C313" s="6">
        <v>0</v>
      </c>
      <c r="D313" s="54">
        <v>44823</v>
      </c>
      <c r="E313" s="54" t="str">
        <f>TEXT(Base_de_Dados[[#This Row],[Semana]],"Mmmm")</f>
        <v>setembro</v>
      </c>
      <c r="F313">
        <f>YEAR(Base_de_Dados[[#This Row],[Semana]])</f>
        <v>2022</v>
      </c>
      <c r="G313" t="str">
        <f>IF(MONTH( Base_de_Dados[[#This Row],[Semana]])&lt;=6,"1ª Semestre","2ª Semestre")</f>
        <v>2ª Semestre</v>
      </c>
    </row>
    <row r="314" spans="1:7" x14ac:dyDescent="0.25">
      <c r="A314" t="s">
        <v>6</v>
      </c>
      <c r="B314">
        <v>1</v>
      </c>
      <c r="C314" s="6">
        <v>1</v>
      </c>
      <c r="D314" s="54">
        <v>44823</v>
      </c>
      <c r="E314" s="54" t="str">
        <f>TEXT(Base_de_Dados[[#This Row],[Semana]],"Mmmm")</f>
        <v>setembro</v>
      </c>
      <c r="F314">
        <f>YEAR(Base_de_Dados[[#This Row],[Semana]])</f>
        <v>2022</v>
      </c>
      <c r="G314" t="str">
        <f>IF(MONTH( Base_de_Dados[[#This Row],[Semana]])&lt;=6,"1ª Semestre","2ª Semestre")</f>
        <v>2ª Semestre</v>
      </c>
    </row>
    <row r="315" spans="1:7" x14ac:dyDescent="0.25">
      <c r="A315" t="s">
        <v>7</v>
      </c>
      <c r="B315">
        <v>0</v>
      </c>
      <c r="C315" s="6">
        <v>0</v>
      </c>
      <c r="D315" s="54">
        <v>44823</v>
      </c>
      <c r="E315" s="54" t="str">
        <f>TEXT(Base_de_Dados[[#This Row],[Semana]],"Mmmm")</f>
        <v>setembro</v>
      </c>
      <c r="F315">
        <f>YEAR(Base_de_Dados[[#This Row],[Semana]])</f>
        <v>2022</v>
      </c>
      <c r="G315" t="str">
        <f>IF(MONTH( Base_de_Dados[[#This Row],[Semana]])&lt;=6,"1ª Semestre","2ª Semestre")</f>
        <v>2ª Semestre</v>
      </c>
    </row>
    <row r="316" spans="1:7" x14ac:dyDescent="0.25">
      <c r="A316" t="s">
        <v>8</v>
      </c>
      <c r="B316">
        <v>0</v>
      </c>
      <c r="C316" s="6">
        <v>0</v>
      </c>
      <c r="D316" s="54">
        <v>44823</v>
      </c>
      <c r="E316" s="54" t="str">
        <f>TEXT(Base_de_Dados[[#This Row],[Semana]],"Mmmm")</f>
        <v>setembro</v>
      </c>
      <c r="F316">
        <f>YEAR(Base_de_Dados[[#This Row],[Semana]])</f>
        <v>2022</v>
      </c>
      <c r="G316" t="str">
        <f>IF(MONTH( Base_de_Dados[[#This Row],[Semana]])&lt;=6,"1ª Semestre","2ª Semestre")</f>
        <v>2ª Semestre</v>
      </c>
    </row>
    <row r="317" spans="1:7" x14ac:dyDescent="0.25">
      <c r="A317" t="s">
        <v>9</v>
      </c>
      <c r="B317">
        <v>0</v>
      </c>
      <c r="C317" s="6">
        <v>0</v>
      </c>
      <c r="D317" s="54">
        <v>44823</v>
      </c>
      <c r="E317" s="54" t="str">
        <f>TEXT(Base_de_Dados[[#This Row],[Semana]],"Mmmm")</f>
        <v>setembro</v>
      </c>
      <c r="F317">
        <f>YEAR(Base_de_Dados[[#This Row],[Semana]])</f>
        <v>2022</v>
      </c>
      <c r="G317" t="str">
        <f>IF(MONTH( Base_de_Dados[[#This Row],[Semana]])&lt;=6,"1ª Semestre","2ª Semestre")</f>
        <v>2ª Semestre</v>
      </c>
    </row>
    <row r="318" spans="1:7" x14ac:dyDescent="0.25">
      <c r="A318" t="s">
        <v>10</v>
      </c>
      <c r="B318">
        <v>0</v>
      </c>
      <c r="C318" s="6">
        <v>0</v>
      </c>
      <c r="D318" s="54">
        <v>44823</v>
      </c>
      <c r="E318" s="54" t="str">
        <f>TEXT(Base_de_Dados[[#This Row],[Semana]],"Mmmm")</f>
        <v>setembro</v>
      </c>
      <c r="F318">
        <f>YEAR(Base_de_Dados[[#This Row],[Semana]])</f>
        <v>2022</v>
      </c>
      <c r="G318" t="str">
        <f>IF(MONTH( Base_de_Dados[[#This Row],[Semana]])&lt;=6,"1ª Semestre","2ª Semestre")</f>
        <v>2ª Semestre</v>
      </c>
    </row>
    <row r="319" spans="1:7" x14ac:dyDescent="0.25">
      <c r="A319" t="s">
        <v>11</v>
      </c>
      <c r="B319">
        <v>0</v>
      </c>
      <c r="C319" s="6">
        <v>0</v>
      </c>
      <c r="D319" s="54">
        <v>44823</v>
      </c>
      <c r="E319" s="54" t="str">
        <f>TEXT(Base_de_Dados[[#This Row],[Semana]],"Mmmm")</f>
        <v>setembro</v>
      </c>
      <c r="F319">
        <f>YEAR(Base_de_Dados[[#This Row],[Semana]])</f>
        <v>2022</v>
      </c>
      <c r="G319" t="str">
        <f>IF(MONTH( Base_de_Dados[[#This Row],[Semana]])&lt;=6,"1ª Semestre","2ª Semestre")</f>
        <v>2ª Semestre</v>
      </c>
    </row>
    <row r="320" spans="1:7" x14ac:dyDescent="0.25">
      <c r="A320" t="s">
        <v>12</v>
      </c>
      <c r="B320">
        <v>0</v>
      </c>
      <c r="C320" s="6">
        <v>0</v>
      </c>
      <c r="D320" s="54">
        <v>44823</v>
      </c>
      <c r="E320" s="54" t="str">
        <f>TEXT(Base_de_Dados[[#This Row],[Semana]],"Mmmm")</f>
        <v>setembro</v>
      </c>
      <c r="F320">
        <f>YEAR(Base_de_Dados[[#This Row],[Semana]])</f>
        <v>2022</v>
      </c>
      <c r="G320" t="str">
        <f>IF(MONTH( Base_de_Dados[[#This Row],[Semana]])&lt;=6,"1ª Semestre","2ª Semestre")</f>
        <v>2ª Semestre</v>
      </c>
    </row>
    <row r="321" spans="1:7" x14ac:dyDescent="0.25">
      <c r="A321" t="s">
        <v>132</v>
      </c>
      <c r="B321">
        <v>0</v>
      </c>
      <c r="C321" s="6">
        <v>0</v>
      </c>
      <c r="D321" s="54">
        <v>44823</v>
      </c>
      <c r="E321" s="54" t="str">
        <f>TEXT(Base_de_Dados[[#This Row],[Semana]],"Mmmm")</f>
        <v>setembro</v>
      </c>
      <c r="F321">
        <f>YEAR(Base_de_Dados[[#This Row],[Semana]])</f>
        <v>2022</v>
      </c>
      <c r="G321" t="str">
        <f>IF(MONTH( Base_de_Dados[[#This Row],[Semana]])&lt;=6,"1ª Semestre","2ª Semestre")</f>
        <v>2ª Semestre</v>
      </c>
    </row>
    <row r="322" spans="1:7" x14ac:dyDescent="0.25">
      <c r="A322" t="s">
        <v>3</v>
      </c>
      <c r="B322">
        <v>0</v>
      </c>
      <c r="C322" s="6">
        <v>0</v>
      </c>
      <c r="D322" s="54">
        <v>44830</v>
      </c>
      <c r="E322" s="54" t="str">
        <f>TEXT(Base_de_Dados[[#This Row],[Semana]],"Mmmm")</f>
        <v>setembro</v>
      </c>
      <c r="F322">
        <f>YEAR(Base_de_Dados[[#This Row],[Semana]])</f>
        <v>2022</v>
      </c>
      <c r="G322" t="str">
        <f>IF(MONTH( Base_de_Dados[[#This Row],[Semana]])&lt;=6,"1ª Semestre","2ª Semestre")</f>
        <v>2ª Semestre</v>
      </c>
    </row>
    <row r="323" spans="1:7" x14ac:dyDescent="0.25">
      <c r="A323" t="s">
        <v>4</v>
      </c>
      <c r="B323">
        <v>0</v>
      </c>
      <c r="C323" s="6">
        <v>0</v>
      </c>
      <c r="D323" s="54">
        <v>44830</v>
      </c>
      <c r="E323" s="54" t="str">
        <f>TEXT(Base_de_Dados[[#This Row],[Semana]],"Mmmm")</f>
        <v>setembro</v>
      </c>
      <c r="F323">
        <f>YEAR(Base_de_Dados[[#This Row],[Semana]])</f>
        <v>2022</v>
      </c>
      <c r="G323" t="str">
        <f>IF(MONTH( Base_de_Dados[[#This Row],[Semana]])&lt;=6,"1ª Semestre","2ª Semestre")</f>
        <v>2ª Semestre</v>
      </c>
    </row>
    <row r="324" spans="1:7" x14ac:dyDescent="0.25">
      <c r="A324" t="s">
        <v>5</v>
      </c>
      <c r="B324">
        <v>1</v>
      </c>
      <c r="C324" s="6">
        <v>1</v>
      </c>
      <c r="D324" s="54">
        <v>44830</v>
      </c>
      <c r="E324" s="54" t="str">
        <f>TEXT(Base_de_Dados[[#This Row],[Semana]],"Mmmm")</f>
        <v>setembro</v>
      </c>
      <c r="F324">
        <f>YEAR(Base_de_Dados[[#This Row],[Semana]])</f>
        <v>2022</v>
      </c>
      <c r="G324" t="str">
        <f>IF(MONTH( Base_de_Dados[[#This Row],[Semana]])&lt;=6,"1ª Semestre","2ª Semestre")</f>
        <v>2ª Semestre</v>
      </c>
    </row>
    <row r="325" spans="1:7" x14ac:dyDescent="0.25">
      <c r="A325" t="s">
        <v>6</v>
      </c>
      <c r="B325">
        <v>0</v>
      </c>
      <c r="C325" s="6">
        <v>0</v>
      </c>
      <c r="D325" s="54">
        <v>44830</v>
      </c>
      <c r="E325" s="54" t="str">
        <f>TEXT(Base_de_Dados[[#This Row],[Semana]],"Mmmm")</f>
        <v>setembro</v>
      </c>
      <c r="F325">
        <f>YEAR(Base_de_Dados[[#This Row],[Semana]])</f>
        <v>2022</v>
      </c>
      <c r="G325" t="str">
        <f>IF(MONTH( Base_de_Dados[[#This Row],[Semana]])&lt;=6,"1ª Semestre","2ª Semestre")</f>
        <v>2ª Semestre</v>
      </c>
    </row>
    <row r="326" spans="1:7" x14ac:dyDescent="0.25">
      <c r="A326" t="s">
        <v>7</v>
      </c>
      <c r="B326">
        <v>0</v>
      </c>
      <c r="C326" s="6">
        <v>0</v>
      </c>
      <c r="D326" s="54">
        <v>44830</v>
      </c>
      <c r="E326" s="54" t="str">
        <f>TEXT(Base_de_Dados[[#This Row],[Semana]],"Mmmm")</f>
        <v>setembro</v>
      </c>
      <c r="F326">
        <f>YEAR(Base_de_Dados[[#This Row],[Semana]])</f>
        <v>2022</v>
      </c>
      <c r="G326" t="str">
        <f>IF(MONTH( Base_de_Dados[[#This Row],[Semana]])&lt;=6,"1ª Semestre","2ª Semestre")</f>
        <v>2ª Semestre</v>
      </c>
    </row>
    <row r="327" spans="1:7" x14ac:dyDescent="0.25">
      <c r="A327" t="s">
        <v>8</v>
      </c>
      <c r="B327">
        <v>0</v>
      </c>
      <c r="C327" s="6">
        <v>0</v>
      </c>
      <c r="D327" s="54">
        <v>44830</v>
      </c>
      <c r="E327" s="54" t="str">
        <f>TEXT(Base_de_Dados[[#This Row],[Semana]],"Mmmm")</f>
        <v>setembro</v>
      </c>
      <c r="F327">
        <f>YEAR(Base_de_Dados[[#This Row],[Semana]])</f>
        <v>2022</v>
      </c>
      <c r="G327" t="str">
        <f>IF(MONTH( Base_de_Dados[[#This Row],[Semana]])&lt;=6,"1ª Semestre","2ª Semestre")</f>
        <v>2ª Semestre</v>
      </c>
    </row>
    <row r="328" spans="1:7" x14ac:dyDescent="0.25">
      <c r="A328" t="s">
        <v>9</v>
      </c>
      <c r="B328">
        <v>0</v>
      </c>
      <c r="C328" s="6">
        <v>0</v>
      </c>
      <c r="D328" s="54">
        <v>44830</v>
      </c>
      <c r="E328" s="54" t="str">
        <f>TEXT(Base_de_Dados[[#This Row],[Semana]],"Mmmm")</f>
        <v>setembro</v>
      </c>
      <c r="F328">
        <f>YEAR(Base_de_Dados[[#This Row],[Semana]])</f>
        <v>2022</v>
      </c>
      <c r="G328" t="str">
        <f>IF(MONTH( Base_de_Dados[[#This Row],[Semana]])&lt;=6,"1ª Semestre","2ª Semestre")</f>
        <v>2ª Semestre</v>
      </c>
    </row>
    <row r="329" spans="1:7" x14ac:dyDescent="0.25">
      <c r="A329" t="s">
        <v>10</v>
      </c>
      <c r="B329">
        <v>0</v>
      </c>
      <c r="C329" s="6">
        <v>0</v>
      </c>
      <c r="D329" s="54">
        <v>44830</v>
      </c>
      <c r="E329" s="54" t="str">
        <f>TEXT(Base_de_Dados[[#This Row],[Semana]],"Mmmm")</f>
        <v>setembro</v>
      </c>
      <c r="F329">
        <f>YEAR(Base_de_Dados[[#This Row],[Semana]])</f>
        <v>2022</v>
      </c>
      <c r="G329" t="str">
        <f>IF(MONTH( Base_de_Dados[[#This Row],[Semana]])&lt;=6,"1ª Semestre","2ª Semestre")</f>
        <v>2ª Semestre</v>
      </c>
    </row>
    <row r="330" spans="1:7" x14ac:dyDescent="0.25">
      <c r="A330" t="s">
        <v>11</v>
      </c>
      <c r="B330">
        <v>0</v>
      </c>
      <c r="C330" s="6">
        <v>0</v>
      </c>
      <c r="D330" s="54">
        <v>44830</v>
      </c>
      <c r="E330" s="54" t="str">
        <f>TEXT(Base_de_Dados[[#This Row],[Semana]],"Mmmm")</f>
        <v>setembro</v>
      </c>
      <c r="F330">
        <f>YEAR(Base_de_Dados[[#This Row],[Semana]])</f>
        <v>2022</v>
      </c>
      <c r="G330" t="str">
        <f>IF(MONTH( Base_de_Dados[[#This Row],[Semana]])&lt;=6,"1ª Semestre","2ª Semestre")</f>
        <v>2ª Semestre</v>
      </c>
    </row>
    <row r="331" spans="1:7" x14ac:dyDescent="0.25">
      <c r="A331" t="s">
        <v>12</v>
      </c>
      <c r="B331">
        <v>0</v>
      </c>
      <c r="C331" s="6">
        <v>0</v>
      </c>
      <c r="D331" s="54">
        <v>44830</v>
      </c>
      <c r="E331" s="54" t="str">
        <f>TEXT(Base_de_Dados[[#This Row],[Semana]],"Mmmm")</f>
        <v>setembro</v>
      </c>
      <c r="F331">
        <f>YEAR(Base_de_Dados[[#This Row],[Semana]])</f>
        <v>2022</v>
      </c>
      <c r="G331" t="str">
        <f>IF(MONTH( Base_de_Dados[[#This Row],[Semana]])&lt;=6,"1ª Semestre","2ª Semestre")</f>
        <v>2ª Semestre</v>
      </c>
    </row>
    <row r="332" spans="1:7" x14ac:dyDescent="0.25">
      <c r="A332" t="s">
        <v>132</v>
      </c>
      <c r="B332">
        <v>0</v>
      </c>
      <c r="C332" s="6">
        <v>0</v>
      </c>
      <c r="D332" s="54">
        <v>44830</v>
      </c>
      <c r="E332" s="54" t="str">
        <f>TEXT(Base_de_Dados[[#This Row],[Semana]],"Mmmm")</f>
        <v>setembro</v>
      </c>
      <c r="F332">
        <f>YEAR(Base_de_Dados[[#This Row],[Semana]])</f>
        <v>2022</v>
      </c>
      <c r="G332" t="str">
        <f>IF(MONTH( Base_de_Dados[[#This Row],[Semana]])&lt;=6,"1ª Semestre","2ª Semestre")</f>
        <v>2ª Semestre</v>
      </c>
    </row>
    <row r="333" spans="1:7" x14ac:dyDescent="0.25">
      <c r="A333" t="s">
        <v>3</v>
      </c>
      <c r="B333">
        <v>0</v>
      </c>
      <c r="C333" s="6">
        <v>0</v>
      </c>
      <c r="D333" s="54">
        <v>44837</v>
      </c>
      <c r="E333" s="54" t="str">
        <f>TEXT(Base_de_Dados[[#This Row],[Semana]],"Mmmm")</f>
        <v>outubro</v>
      </c>
      <c r="F333">
        <f>YEAR(Base_de_Dados[[#This Row],[Semana]])</f>
        <v>2022</v>
      </c>
      <c r="G333" t="str">
        <f>IF(MONTH( Base_de_Dados[[#This Row],[Semana]])&lt;=6,"1ª Semestre","2ª Semestre")</f>
        <v>2ª Semestre</v>
      </c>
    </row>
    <row r="334" spans="1:7" x14ac:dyDescent="0.25">
      <c r="A334" t="s">
        <v>4</v>
      </c>
      <c r="B334">
        <v>0</v>
      </c>
      <c r="C334" s="6">
        <v>0</v>
      </c>
      <c r="D334" s="54">
        <v>44837</v>
      </c>
      <c r="E334" s="54" t="str">
        <f>TEXT(Base_de_Dados[[#This Row],[Semana]],"Mmmm")</f>
        <v>outubro</v>
      </c>
      <c r="F334">
        <f>YEAR(Base_de_Dados[[#This Row],[Semana]])</f>
        <v>2022</v>
      </c>
      <c r="G334" t="str">
        <f>IF(MONTH( Base_de_Dados[[#This Row],[Semana]])&lt;=6,"1ª Semestre","2ª Semestre")</f>
        <v>2ª Semestre</v>
      </c>
    </row>
    <row r="335" spans="1:7" x14ac:dyDescent="0.25">
      <c r="A335" t="s">
        <v>5</v>
      </c>
      <c r="B335">
        <v>0</v>
      </c>
      <c r="C335" s="6">
        <v>0</v>
      </c>
      <c r="D335" s="54">
        <v>44837</v>
      </c>
      <c r="E335" s="54" t="str">
        <f>TEXT(Base_de_Dados[[#This Row],[Semana]],"Mmmm")</f>
        <v>outubro</v>
      </c>
      <c r="F335">
        <f>YEAR(Base_de_Dados[[#This Row],[Semana]])</f>
        <v>2022</v>
      </c>
      <c r="G335" t="str">
        <f>IF(MONTH( Base_de_Dados[[#This Row],[Semana]])&lt;=6,"1ª Semestre","2ª Semestre")</f>
        <v>2ª Semestre</v>
      </c>
    </row>
    <row r="336" spans="1:7" x14ac:dyDescent="0.25">
      <c r="A336" t="s">
        <v>6</v>
      </c>
      <c r="B336">
        <v>0</v>
      </c>
      <c r="C336" s="6">
        <v>0</v>
      </c>
      <c r="D336" s="54">
        <v>44837</v>
      </c>
      <c r="E336" s="54" t="str">
        <f>TEXT(Base_de_Dados[[#This Row],[Semana]],"Mmmm")</f>
        <v>outubro</v>
      </c>
      <c r="F336">
        <f>YEAR(Base_de_Dados[[#This Row],[Semana]])</f>
        <v>2022</v>
      </c>
      <c r="G336" t="str">
        <f>IF(MONTH( Base_de_Dados[[#This Row],[Semana]])&lt;=6,"1ª Semestre","2ª Semestre")</f>
        <v>2ª Semestre</v>
      </c>
    </row>
    <row r="337" spans="1:7" x14ac:dyDescent="0.25">
      <c r="A337" t="s">
        <v>7</v>
      </c>
      <c r="B337">
        <v>0</v>
      </c>
      <c r="C337" s="6">
        <v>0</v>
      </c>
      <c r="D337" s="54">
        <v>44837</v>
      </c>
      <c r="E337" s="54" t="str">
        <f>TEXT(Base_de_Dados[[#This Row],[Semana]],"Mmmm")</f>
        <v>outubro</v>
      </c>
      <c r="F337">
        <f>YEAR(Base_de_Dados[[#This Row],[Semana]])</f>
        <v>2022</v>
      </c>
      <c r="G337" t="str">
        <f>IF(MONTH( Base_de_Dados[[#This Row],[Semana]])&lt;=6,"1ª Semestre","2ª Semestre")</f>
        <v>2ª Semestre</v>
      </c>
    </row>
    <row r="338" spans="1:7" x14ac:dyDescent="0.25">
      <c r="A338" t="s">
        <v>8</v>
      </c>
      <c r="B338">
        <v>0</v>
      </c>
      <c r="C338" s="6">
        <v>0</v>
      </c>
      <c r="D338" s="54">
        <v>44837</v>
      </c>
      <c r="E338" s="54" t="str">
        <f>TEXT(Base_de_Dados[[#This Row],[Semana]],"Mmmm")</f>
        <v>outubro</v>
      </c>
      <c r="F338">
        <f>YEAR(Base_de_Dados[[#This Row],[Semana]])</f>
        <v>2022</v>
      </c>
      <c r="G338" t="str">
        <f>IF(MONTH( Base_de_Dados[[#This Row],[Semana]])&lt;=6,"1ª Semestre","2ª Semestre")</f>
        <v>2ª Semestre</v>
      </c>
    </row>
    <row r="339" spans="1:7" x14ac:dyDescent="0.25">
      <c r="A339" t="s">
        <v>9</v>
      </c>
      <c r="B339">
        <v>0</v>
      </c>
      <c r="C339" s="6">
        <v>0</v>
      </c>
      <c r="D339" s="54">
        <v>44837</v>
      </c>
      <c r="E339" s="54" t="str">
        <f>TEXT(Base_de_Dados[[#This Row],[Semana]],"Mmmm")</f>
        <v>outubro</v>
      </c>
      <c r="F339">
        <f>YEAR(Base_de_Dados[[#This Row],[Semana]])</f>
        <v>2022</v>
      </c>
      <c r="G339" t="str">
        <f>IF(MONTH( Base_de_Dados[[#This Row],[Semana]])&lt;=6,"1ª Semestre","2ª Semestre")</f>
        <v>2ª Semestre</v>
      </c>
    </row>
    <row r="340" spans="1:7" x14ac:dyDescent="0.25">
      <c r="A340" t="s">
        <v>10</v>
      </c>
      <c r="B340">
        <v>1</v>
      </c>
      <c r="C340" s="6">
        <v>8.3333333333333329E-2</v>
      </c>
      <c r="D340" s="54">
        <v>44837</v>
      </c>
      <c r="E340" s="54" t="str">
        <f>TEXT(Base_de_Dados[[#This Row],[Semana]],"Mmmm")</f>
        <v>outubro</v>
      </c>
      <c r="F340">
        <f>YEAR(Base_de_Dados[[#This Row],[Semana]])</f>
        <v>2022</v>
      </c>
      <c r="G340" t="str">
        <f>IF(MONTH( Base_de_Dados[[#This Row],[Semana]])&lt;=6,"1ª Semestre","2ª Semestre")</f>
        <v>2ª Semestre</v>
      </c>
    </row>
    <row r="341" spans="1:7" x14ac:dyDescent="0.25">
      <c r="A341" t="s">
        <v>11</v>
      </c>
      <c r="B341">
        <v>11</v>
      </c>
      <c r="C341" s="6">
        <v>0.91666666666666663</v>
      </c>
      <c r="D341" s="54">
        <v>44837</v>
      </c>
      <c r="E341" s="54" t="str">
        <f>TEXT(Base_de_Dados[[#This Row],[Semana]],"Mmmm")</f>
        <v>outubro</v>
      </c>
      <c r="F341">
        <f>YEAR(Base_de_Dados[[#This Row],[Semana]])</f>
        <v>2022</v>
      </c>
      <c r="G341" t="str">
        <f>IF(MONTH( Base_de_Dados[[#This Row],[Semana]])&lt;=6,"1ª Semestre","2ª Semestre")</f>
        <v>2ª Semestre</v>
      </c>
    </row>
    <row r="342" spans="1:7" x14ac:dyDescent="0.25">
      <c r="A342" t="s">
        <v>12</v>
      </c>
      <c r="B342">
        <v>0</v>
      </c>
      <c r="C342" s="6">
        <v>0</v>
      </c>
      <c r="D342" s="54">
        <v>44837</v>
      </c>
      <c r="E342" s="54" t="str">
        <f>TEXT(Base_de_Dados[[#This Row],[Semana]],"Mmmm")</f>
        <v>outubro</v>
      </c>
      <c r="F342">
        <f>YEAR(Base_de_Dados[[#This Row],[Semana]])</f>
        <v>2022</v>
      </c>
      <c r="G342" t="str">
        <f>IF(MONTH( Base_de_Dados[[#This Row],[Semana]])&lt;=6,"1ª Semestre","2ª Semestre")</f>
        <v>2ª Semestre</v>
      </c>
    </row>
    <row r="343" spans="1:7" x14ac:dyDescent="0.25">
      <c r="A343" t="s">
        <v>132</v>
      </c>
      <c r="B343">
        <v>0</v>
      </c>
      <c r="C343" s="6">
        <v>0</v>
      </c>
      <c r="D343" s="54">
        <v>44837</v>
      </c>
      <c r="E343" s="54" t="str">
        <f>TEXT(Base_de_Dados[[#This Row],[Semana]],"Mmmm")</f>
        <v>outubro</v>
      </c>
      <c r="F343">
        <f>YEAR(Base_de_Dados[[#This Row],[Semana]])</f>
        <v>2022</v>
      </c>
      <c r="G343" t="str">
        <f>IF(MONTH( Base_de_Dados[[#This Row],[Semana]])&lt;=6,"1ª Semestre","2ª Semestre")</f>
        <v>2ª Semestre</v>
      </c>
    </row>
    <row r="344" spans="1:7" x14ac:dyDescent="0.25">
      <c r="A344" t="s">
        <v>3</v>
      </c>
      <c r="B344">
        <v>3</v>
      </c>
      <c r="C344" s="6">
        <v>0.75</v>
      </c>
      <c r="D344" s="54">
        <v>44844</v>
      </c>
      <c r="E344" s="54" t="str">
        <f>TEXT(Base_de_Dados[[#This Row],[Semana]],"Mmmm")</f>
        <v>outubro</v>
      </c>
      <c r="F344">
        <f>YEAR(Base_de_Dados[[#This Row],[Semana]])</f>
        <v>2022</v>
      </c>
      <c r="G344" t="str">
        <f>IF(MONTH( Base_de_Dados[[#This Row],[Semana]])&lt;=6,"1ª Semestre","2ª Semestre")</f>
        <v>2ª Semestre</v>
      </c>
    </row>
    <row r="345" spans="1:7" x14ac:dyDescent="0.25">
      <c r="A345" t="s">
        <v>4</v>
      </c>
      <c r="B345">
        <v>0</v>
      </c>
      <c r="C345" s="6">
        <v>0</v>
      </c>
      <c r="D345" s="54">
        <v>44844</v>
      </c>
      <c r="E345" s="54" t="str">
        <f>TEXT(Base_de_Dados[[#This Row],[Semana]],"Mmmm")</f>
        <v>outubro</v>
      </c>
      <c r="F345">
        <f>YEAR(Base_de_Dados[[#This Row],[Semana]])</f>
        <v>2022</v>
      </c>
      <c r="G345" t="str">
        <f>IF(MONTH( Base_de_Dados[[#This Row],[Semana]])&lt;=6,"1ª Semestre","2ª Semestre")</f>
        <v>2ª Semestre</v>
      </c>
    </row>
    <row r="346" spans="1:7" x14ac:dyDescent="0.25">
      <c r="A346" t="s">
        <v>5</v>
      </c>
      <c r="B346">
        <v>0</v>
      </c>
      <c r="C346" s="6">
        <v>0</v>
      </c>
      <c r="D346" s="54">
        <v>44844</v>
      </c>
      <c r="E346" s="54" t="str">
        <f>TEXT(Base_de_Dados[[#This Row],[Semana]],"Mmmm")</f>
        <v>outubro</v>
      </c>
      <c r="F346">
        <f>YEAR(Base_de_Dados[[#This Row],[Semana]])</f>
        <v>2022</v>
      </c>
      <c r="G346" t="str">
        <f>IF(MONTH( Base_de_Dados[[#This Row],[Semana]])&lt;=6,"1ª Semestre","2ª Semestre")</f>
        <v>2ª Semestre</v>
      </c>
    </row>
    <row r="347" spans="1:7" x14ac:dyDescent="0.25">
      <c r="A347" t="s">
        <v>6</v>
      </c>
      <c r="B347">
        <v>0</v>
      </c>
      <c r="C347" s="6">
        <v>0</v>
      </c>
      <c r="D347" s="54">
        <v>44844</v>
      </c>
      <c r="E347" s="54" t="str">
        <f>TEXT(Base_de_Dados[[#This Row],[Semana]],"Mmmm")</f>
        <v>outubro</v>
      </c>
      <c r="F347">
        <f>YEAR(Base_de_Dados[[#This Row],[Semana]])</f>
        <v>2022</v>
      </c>
      <c r="G347" t="str">
        <f>IF(MONTH( Base_de_Dados[[#This Row],[Semana]])&lt;=6,"1ª Semestre","2ª Semestre")</f>
        <v>2ª Semestre</v>
      </c>
    </row>
    <row r="348" spans="1:7" x14ac:dyDescent="0.25">
      <c r="A348" t="s">
        <v>7</v>
      </c>
      <c r="B348">
        <v>1</v>
      </c>
      <c r="C348" s="6">
        <v>0.25</v>
      </c>
      <c r="D348" s="54">
        <v>44844</v>
      </c>
      <c r="E348" s="54" t="str">
        <f>TEXT(Base_de_Dados[[#This Row],[Semana]],"Mmmm")</f>
        <v>outubro</v>
      </c>
      <c r="F348">
        <f>YEAR(Base_de_Dados[[#This Row],[Semana]])</f>
        <v>2022</v>
      </c>
      <c r="G348" t="str">
        <f>IF(MONTH( Base_de_Dados[[#This Row],[Semana]])&lt;=6,"1ª Semestre","2ª Semestre")</f>
        <v>2ª Semestre</v>
      </c>
    </row>
    <row r="349" spans="1:7" x14ac:dyDescent="0.25">
      <c r="A349" t="s">
        <v>8</v>
      </c>
      <c r="B349">
        <v>0</v>
      </c>
      <c r="C349" s="6">
        <v>0</v>
      </c>
      <c r="D349" s="54">
        <v>44844</v>
      </c>
      <c r="E349" s="54" t="str">
        <f>TEXT(Base_de_Dados[[#This Row],[Semana]],"Mmmm")</f>
        <v>outubro</v>
      </c>
      <c r="F349">
        <f>YEAR(Base_de_Dados[[#This Row],[Semana]])</f>
        <v>2022</v>
      </c>
      <c r="G349" t="str">
        <f>IF(MONTH( Base_de_Dados[[#This Row],[Semana]])&lt;=6,"1ª Semestre","2ª Semestre")</f>
        <v>2ª Semestre</v>
      </c>
    </row>
    <row r="350" spans="1:7" x14ac:dyDescent="0.25">
      <c r="A350" t="s">
        <v>9</v>
      </c>
      <c r="B350">
        <v>0</v>
      </c>
      <c r="C350" s="6">
        <v>0</v>
      </c>
      <c r="D350" s="54">
        <v>44844</v>
      </c>
      <c r="E350" s="54" t="str">
        <f>TEXT(Base_de_Dados[[#This Row],[Semana]],"Mmmm")</f>
        <v>outubro</v>
      </c>
      <c r="F350">
        <f>YEAR(Base_de_Dados[[#This Row],[Semana]])</f>
        <v>2022</v>
      </c>
      <c r="G350" t="str">
        <f>IF(MONTH( Base_de_Dados[[#This Row],[Semana]])&lt;=6,"1ª Semestre","2ª Semestre")</f>
        <v>2ª Semestre</v>
      </c>
    </row>
    <row r="351" spans="1:7" x14ac:dyDescent="0.25">
      <c r="A351" t="s">
        <v>10</v>
      </c>
      <c r="B351">
        <v>0</v>
      </c>
      <c r="C351" s="6">
        <v>0</v>
      </c>
      <c r="D351" s="54">
        <v>44844</v>
      </c>
      <c r="E351" s="54" t="str">
        <f>TEXT(Base_de_Dados[[#This Row],[Semana]],"Mmmm")</f>
        <v>outubro</v>
      </c>
      <c r="F351">
        <f>YEAR(Base_de_Dados[[#This Row],[Semana]])</f>
        <v>2022</v>
      </c>
      <c r="G351" t="str">
        <f>IF(MONTH( Base_de_Dados[[#This Row],[Semana]])&lt;=6,"1ª Semestre","2ª Semestre")</f>
        <v>2ª Semestre</v>
      </c>
    </row>
    <row r="352" spans="1:7" x14ac:dyDescent="0.25">
      <c r="A352" t="s">
        <v>11</v>
      </c>
      <c r="B352">
        <v>0</v>
      </c>
      <c r="C352" s="6">
        <v>0</v>
      </c>
      <c r="D352" s="54">
        <v>44844</v>
      </c>
      <c r="E352" s="54" t="str">
        <f>TEXT(Base_de_Dados[[#This Row],[Semana]],"Mmmm")</f>
        <v>outubro</v>
      </c>
      <c r="F352">
        <f>YEAR(Base_de_Dados[[#This Row],[Semana]])</f>
        <v>2022</v>
      </c>
      <c r="G352" t="str">
        <f>IF(MONTH( Base_de_Dados[[#This Row],[Semana]])&lt;=6,"1ª Semestre","2ª Semestre")</f>
        <v>2ª Semestre</v>
      </c>
    </row>
    <row r="353" spans="1:7" x14ac:dyDescent="0.25">
      <c r="A353" t="s">
        <v>12</v>
      </c>
      <c r="B353">
        <v>0</v>
      </c>
      <c r="C353" s="6">
        <v>0</v>
      </c>
      <c r="D353" s="54">
        <v>44844</v>
      </c>
      <c r="E353" s="54" t="str">
        <f>TEXT(Base_de_Dados[[#This Row],[Semana]],"Mmmm")</f>
        <v>outubro</v>
      </c>
      <c r="F353">
        <f>YEAR(Base_de_Dados[[#This Row],[Semana]])</f>
        <v>2022</v>
      </c>
      <c r="G353" t="str">
        <f>IF(MONTH( Base_de_Dados[[#This Row],[Semana]])&lt;=6,"1ª Semestre","2ª Semestre")</f>
        <v>2ª Semestre</v>
      </c>
    </row>
    <row r="354" spans="1:7" x14ac:dyDescent="0.25">
      <c r="A354" t="s">
        <v>132</v>
      </c>
      <c r="B354">
        <v>0</v>
      </c>
      <c r="C354" s="6">
        <v>0</v>
      </c>
      <c r="D354" s="54">
        <v>44844</v>
      </c>
      <c r="E354" s="54" t="str">
        <f>TEXT(Base_de_Dados[[#This Row],[Semana]],"Mmmm")</f>
        <v>outubro</v>
      </c>
      <c r="F354">
        <f>YEAR(Base_de_Dados[[#This Row],[Semana]])</f>
        <v>2022</v>
      </c>
      <c r="G354" t="str">
        <f>IF(MONTH( Base_de_Dados[[#This Row],[Semana]])&lt;=6,"1ª Semestre","2ª Semestre")</f>
        <v>2ª Semestre</v>
      </c>
    </row>
    <row r="355" spans="1:7" x14ac:dyDescent="0.25">
      <c r="A355" t="s">
        <v>3</v>
      </c>
      <c r="B355">
        <v>4</v>
      </c>
      <c r="C355" s="6">
        <v>0.66666666666666663</v>
      </c>
      <c r="D355" s="54">
        <v>44851</v>
      </c>
      <c r="E355" s="54" t="str">
        <f>TEXT(Base_de_Dados[[#This Row],[Semana]],"Mmmm")</f>
        <v>outubro</v>
      </c>
      <c r="F355">
        <f>YEAR(Base_de_Dados[[#This Row],[Semana]])</f>
        <v>2022</v>
      </c>
      <c r="G355" t="str">
        <f>IF(MONTH( Base_de_Dados[[#This Row],[Semana]])&lt;=6,"1ª Semestre","2ª Semestre")</f>
        <v>2ª Semestre</v>
      </c>
    </row>
    <row r="356" spans="1:7" x14ac:dyDescent="0.25">
      <c r="A356" t="s">
        <v>4</v>
      </c>
      <c r="B356">
        <v>0</v>
      </c>
      <c r="C356" s="6">
        <v>0</v>
      </c>
      <c r="D356" s="54">
        <v>44851</v>
      </c>
      <c r="E356" s="54" t="str">
        <f>TEXT(Base_de_Dados[[#This Row],[Semana]],"Mmmm")</f>
        <v>outubro</v>
      </c>
      <c r="F356">
        <f>YEAR(Base_de_Dados[[#This Row],[Semana]])</f>
        <v>2022</v>
      </c>
      <c r="G356" t="str">
        <f>IF(MONTH( Base_de_Dados[[#This Row],[Semana]])&lt;=6,"1ª Semestre","2ª Semestre")</f>
        <v>2ª Semestre</v>
      </c>
    </row>
    <row r="357" spans="1:7" x14ac:dyDescent="0.25">
      <c r="A357" t="s">
        <v>5</v>
      </c>
      <c r="B357">
        <v>0</v>
      </c>
      <c r="C357" s="6">
        <v>0</v>
      </c>
      <c r="D357" s="54">
        <v>44851</v>
      </c>
      <c r="E357" s="54" t="str">
        <f>TEXT(Base_de_Dados[[#This Row],[Semana]],"Mmmm")</f>
        <v>outubro</v>
      </c>
      <c r="F357">
        <f>YEAR(Base_de_Dados[[#This Row],[Semana]])</f>
        <v>2022</v>
      </c>
      <c r="G357" t="str">
        <f>IF(MONTH( Base_de_Dados[[#This Row],[Semana]])&lt;=6,"1ª Semestre","2ª Semestre")</f>
        <v>2ª Semestre</v>
      </c>
    </row>
    <row r="358" spans="1:7" x14ac:dyDescent="0.25">
      <c r="A358" t="s">
        <v>6</v>
      </c>
      <c r="B358">
        <v>0</v>
      </c>
      <c r="C358" s="6">
        <v>0</v>
      </c>
      <c r="D358" s="54">
        <v>44851</v>
      </c>
      <c r="E358" s="54" t="str">
        <f>TEXT(Base_de_Dados[[#This Row],[Semana]],"Mmmm")</f>
        <v>outubro</v>
      </c>
      <c r="F358">
        <f>YEAR(Base_de_Dados[[#This Row],[Semana]])</f>
        <v>2022</v>
      </c>
      <c r="G358" t="str">
        <f>IF(MONTH( Base_de_Dados[[#This Row],[Semana]])&lt;=6,"1ª Semestre","2ª Semestre")</f>
        <v>2ª Semestre</v>
      </c>
    </row>
    <row r="359" spans="1:7" x14ac:dyDescent="0.25">
      <c r="A359" t="s">
        <v>7</v>
      </c>
      <c r="B359">
        <v>2</v>
      </c>
      <c r="C359" s="6">
        <v>0.33333333333333331</v>
      </c>
      <c r="D359" s="54">
        <v>44851</v>
      </c>
      <c r="E359" s="54" t="str">
        <f>TEXT(Base_de_Dados[[#This Row],[Semana]],"Mmmm")</f>
        <v>outubro</v>
      </c>
      <c r="F359">
        <f>YEAR(Base_de_Dados[[#This Row],[Semana]])</f>
        <v>2022</v>
      </c>
      <c r="G359" t="str">
        <f>IF(MONTH( Base_de_Dados[[#This Row],[Semana]])&lt;=6,"1ª Semestre","2ª Semestre")</f>
        <v>2ª Semestre</v>
      </c>
    </row>
    <row r="360" spans="1:7" x14ac:dyDescent="0.25">
      <c r="A360" t="s">
        <v>8</v>
      </c>
      <c r="B360">
        <v>0</v>
      </c>
      <c r="C360" s="6">
        <v>0</v>
      </c>
      <c r="D360" s="54">
        <v>44851</v>
      </c>
      <c r="E360" s="54" t="str">
        <f>TEXT(Base_de_Dados[[#This Row],[Semana]],"Mmmm")</f>
        <v>outubro</v>
      </c>
      <c r="F360">
        <f>YEAR(Base_de_Dados[[#This Row],[Semana]])</f>
        <v>2022</v>
      </c>
      <c r="G360" t="str">
        <f>IF(MONTH( Base_de_Dados[[#This Row],[Semana]])&lt;=6,"1ª Semestre","2ª Semestre")</f>
        <v>2ª Semestre</v>
      </c>
    </row>
    <row r="361" spans="1:7" x14ac:dyDescent="0.25">
      <c r="A361" t="s">
        <v>9</v>
      </c>
      <c r="B361">
        <v>0</v>
      </c>
      <c r="C361" s="6">
        <v>0</v>
      </c>
      <c r="D361" s="54">
        <v>44851</v>
      </c>
      <c r="E361" s="54" t="str">
        <f>TEXT(Base_de_Dados[[#This Row],[Semana]],"Mmmm")</f>
        <v>outubro</v>
      </c>
      <c r="F361">
        <f>YEAR(Base_de_Dados[[#This Row],[Semana]])</f>
        <v>2022</v>
      </c>
      <c r="G361" t="str">
        <f>IF(MONTH( Base_de_Dados[[#This Row],[Semana]])&lt;=6,"1ª Semestre","2ª Semestre")</f>
        <v>2ª Semestre</v>
      </c>
    </row>
    <row r="362" spans="1:7" x14ac:dyDescent="0.25">
      <c r="A362" t="s">
        <v>10</v>
      </c>
      <c r="B362">
        <v>0</v>
      </c>
      <c r="C362" s="6">
        <v>0</v>
      </c>
      <c r="D362" s="54">
        <v>44851</v>
      </c>
      <c r="E362" s="54" t="str">
        <f>TEXT(Base_de_Dados[[#This Row],[Semana]],"Mmmm")</f>
        <v>outubro</v>
      </c>
      <c r="F362">
        <f>YEAR(Base_de_Dados[[#This Row],[Semana]])</f>
        <v>2022</v>
      </c>
      <c r="G362" t="str">
        <f>IF(MONTH( Base_de_Dados[[#This Row],[Semana]])&lt;=6,"1ª Semestre","2ª Semestre")</f>
        <v>2ª Semestre</v>
      </c>
    </row>
    <row r="363" spans="1:7" x14ac:dyDescent="0.25">
      <c r="A363" t="s">
        <v>11</v>
      </c>
      <c r="B363">
        <v>0</v>
      </c>
      <c r="C363" s="6">
        <v>0</v>
      </c>
      <c r="D363" s="54">
        <v>44851</v>
      </c>
      <c r="E363" s="54" t="str">
        <f>TEXT(Base_de_Dados[[#This Row],[Semana]],"Mmmm")</f>
        <v>outubro</v>
      </c>
      <c r="F363">
        <f>YEAR(Base_de_Dados[[#This Row],[Semana]])</f>
        <v>2022</v>
      </c>
      <c r="G363" t="str">
        <f>IF(MONTH( Base_de_Dados[[#This Row],[Semana]])&lt;=6,"1ª Semestre","2ª Semestre")</f>
        <v>2ª Semestre</v>
      </c>
    </row>
    <row r="364" spans="1:7" x14ac:dyDescent="0.25">
      <c r="A364" t="s">
        <v>12</v>
      </c>
      <c r="B364">
        <v>0</v>
      </c>
      <c r="C364" s="6">
        <v>0</v>
      </c>
      <c r="D364" s="54">
        <v>44851</v>
      </c>
      <c r="E364" s="54" t="str">
        <f>TEXT(Base_de_Dados[[#This Row],[Semana]],"Mmmm")</f>
        <v>outubro</v>
      </c>
      <c r="F364">
        <f>YEAR(Base_de_Dados[[#This Row],[Semana]])</f>
        <v>2022</v>
      </c>
      <c r="G364" t="str">
        <f>IF(MONTH( Base_de_Dados[[#This Row],[Semana]])&lt;=6,"1ª Semestre","2ª Semestre")</f>
        <v>2ª Semestre</v>
      </c>
    </row>
    <row r="365" spans="1:7" x14ac:dyDescent="0.25">
      <c r="A365" t="s">
        <v>132</v>
      </c>
      <c r="B365">
        <v>0</v>
      </c>
      <c r="C365" s="6">
        <v>0</v>
      </c>
      <c r="D365" s="54">
        <v>44851</v>
      </c>
      <c r="E365" s="54" t="str">
        <f>TEXT(Base_de_Dados[[#This Row],[Semana]],"Mmmm")</f>
        <v>outubro</v>
      </c>
      <c r="F365">
        <f>YEAR(Base_de_Dados[[#This Row],[Semana]])</f>
        <v>2022</v>
      </c>
      <c r="G365" t="str">
        <f>IF(MONTH( Base_de_Dados[[#This Row],[Semana]])&lt;=6,"1ª Semestre","2ª Semestre")</f>
        <v>2ª Semestre</v>
      </c>
    </row>
    <row r="366" spans="1:7" x14ac:dyDescent="0.25">
      <c r="A366" t="s">
        <v>3</v>
      </c>
      <c r="B366">
        <v>3</v>
      </c>
      <c r="C366" s="6">
        <v>0.5</v>
      </c>
      <c r="D366" s="54">
        <v>44858</v>
      </c>
      <c r="E366" s="54" t="str">
        <f>TEXT(Base_de_Dados[[#This Row],[Semana]],"Mmmm")</f>
        <v>outubro</v>
      </c>
      <c r="F366">
        <f>YEAR(Base_de_Dados[[#This Row],[Semana]])</f>
        <v>2022</v>
      </c>
      <c r="G366" t="str">
        <f>IF(MONTH( Base_de_Dados[[#This Row],[Semana]])&lt;=6,"1ª Semestre","2ª Semestre")</f>
        <v>2ª Semestre</v>
      </c>
    </row>
    <row r="367" spans="1:7" x14ac:dyDescent="0.25">
      <c r="A367" t="s">
        <v>4</v>
      </c>
      <c r="B367">
        <v>1</v>
      </c>
      <c r="C367" s="6">
        <v>0.16666666666666666</v>
      </c>
      <c r="D367" s="54">
        <v>44858</v>
      </c>
      <c r="E367" s="54" t="str">
        <f>TEXT(Base_de_Dados[[#This Row],[Semana]],"Mmmm")</f>
        <v>outubro</v>
      </c>
      <c r="F367">
        <f>YEAR(Base_de_Dados[[#This Row],[Semana]])</f>
        <v>2022</v>
      </c>
      <c r="G367" t="str">
        <f>IF(MONTH( Base_de_Dados[[#This Row],[Semana]])&lt;=6,"1ª Semestre","2ª Semestre")</f>
        <v>2ª Semestre</v>
      </c>
    </row>
    <row r="368" spans="1:7" x14ac:dyDescent="0.25">
      <c r="A368" t="s">
        <v>5</v>
      </c>
      <c r="B368">
        <v>0</v>
      </c>
      <c r="C368" s="6">
        <v>0</v>
      </c>
      <c r="D368" s="54">
        <v>44858</v>
      </c>
      <c r="E368" s="54" t="str">
        <f>TEXT(Base_de_Dados[[#This Row],[Semana]],"Mmmm")</f>
        <v>outubro</v>
      </c>
      <c r="F368">
        <f>YEAR(Base_de_Dados[[#This Row],[Semana]])</f>
        <v>2022</v>
      </c>
      <c r="G368" t="str">
        <f>IF(MONTH( Base_de_Dados[[#This Row],[Semana]])&lt;=6,"1ª Semestre","2ª Semestre")</f>
        <v>2ª Semestre</v>
      </c>
    </row>
    <row r="369" spans="1:7" x14ac:dyDescent="0.25">
      <c r="A369" t="s">
        <v>6</v>
      </c>
      <c r="B369">
        <v>0</v>
      </c>
      <c r="C369" s="6">
        <v>0</v>
      </c>
      <c r="D369" s="54">
        <v>44858</v>
      </c>
      <c r="E369" s="54" t="str">
        <f>TEXT(Base_de_Dados[[#This Row],[Semana]],"Mmmm")</f>
        <v>outubro</v>
      </c>
      <c r="F369">
        <f>YEAR(Base_de_Dados[[#This Row],[Semana]])</f>
        <v>2022</v>
      </c>
      <c r="G369" t="str">
        <f>IF(MONTH( Base_de_Dados[[#This Row],[Semana]])&lt;=6,"1ª Semestre","2ª Semestre")</f>
        <v>2ª Semestre</v>
      </c>
    </row>
    <row r="370" spans="1:7" x14ac:dyDescent="0.25">
      <c r="A370" t="s">
        <v>7</v>
      </c>
      <c r="B370">
        <v>2</v>
      </c>
      <c r="C370" s="6">
        <v>0.33333333333333331</v>
      </c>
      <c r="D370" s="54">
        <v>44858</v>
      </c>
      <c r="E370" s="54" t="str">
        <f>TEXT(Base_de_Dados[[#This Row],[Semana]],"Mmmm")</f>
        <v>outubro</v>
      </c>
      <c r="F370">
        <f>YEAR(Base_de_Dados[[#This Row],[Semana]])</f>
        <v>2022</v>
      </c>
      <c r="G370" t="str">
        <f>IF(MONTH( Base_de_Dados[[#This Row],[Semana]])&lt;=6,"1ª Semestre","2ª Semestre")</f>
        <v>2ª Semestre</v>
      </c>
    </row>
    <row r="371" spans="1:7" x14ac:dyDescent="0.25">
      <c r="A371" t="s">
        <v>8</v>
      </c>
      <c r="B371">
        <v>0</v>
      </c>
      <c r="C371" s="6">
        <v>0</v>
      </c>
      <c r="D371" s="54">
        <v>44858</v>
      </c>
      <c r="E371" s="54" t="str">
        <f>TEXT(Base_de_Dados[[#This Row],[Semana]],"Mmmm")</f>
        <v>outubro</v>
      </c>
      <c r="F371">
        <f>YEAR(Base_de_Dados[[#This Row],[Semana]])</f>
        <v>2022</v>
      </c>
      <c r="G371" t="str">
        <f>IF(MONTH( Base_de_Dados[[#This Row],[Semana]])&lt;=6,"1ª Semestre","2ª Semestre")</f>
        <v>2ª Semestre</v>
      </c>
    </row>
    <row r="372" spans="1:7" x14ac:dyDescent="0.25">
      <c r="A372" t="s">
        <v>9</v>
      </c>
      <c r="B372">
        <v>0</v>
      </c>
      <c r="C372" s="6">
        <v>0</v>
      </c>
      <c r="D372" s="54">
        <v>44858</v>
      </c>
      <c r="E372" s="54" t="str">
        <f>TEXT(Base_de_Dados[[#This Row],[Semana]],"Mmmm")</f>
        <v>outubro</v>
      </c>
      <c r="F372">
        <f>YEAR(Base_de_Dados[[#This Row],[Semana]])</f>
        <v>2022</v>
      </c>
      <c r="G372" t="str">
        <f>IF(MONTH( Base_de_Dados[[#This Row],[Semana]])&lt;=6,"1ª Semestre","2ª Semestre")</f>
        <v>2ª Semestre</v>
      </c>
    </row>
    <row r="373" spans="1:7" x14ac:dyDescent="0.25">
      <c r="A373" t="s">
        <v>10</v>
      </c>
      <c r="B373">
        <v>0</v>
      </c>
      <c r="C373" s="6">
        <v>0</v>
      </c>
      <c r="D373" s="54">
        <v>44858</v>
      </c>
      <c r="E373" s="54" t="str">
        <f>TEXT(Base_de_Dados[[#This Row],[Semana]],"Mmmm")</f>
        <v>outubro</v>
      </c>
      <c r="F373">
        <f>YEAR(Base_de_Dados[[#This Row],[Semana]])</f>
        <v>2022</v>
      </c>
      <c r="G373" t="str">
        <f>IF(MONTH( Base_de_Dados[[#This Row],[Semana]])&lt;=6,"1ª Semestre","2ª Semestre")</f>
        <v>2ª Semestre</v>
      </c>
    </row>
    <row r="374" spans="1:7" x14ac:dyDescent="0.25">
      <c r="A374" t="s">
        <v>11</v>
      </c>
      <c r="B374">
        <v>0</v>
      </c>
      <c r="C374" s="6">
        <v>0</v>
      </c>
      <c r="D374" s="54">
        <v>44858</v>
      </c>
      <c r="E374" s="54" t="str">
        <f>TEXT(Base_de_Dados[[#This Row],[Semana]],"Mmmm")</f>
        <v>outubro</v>
      </c>
      <c r="F374">
        <f>YEAR(Base_de_Dados[[#This Row],[Semana]])</f>
        <v>2022</v>
      </c>
      <c r="G374" t="str">
        <f>IF(MONTH( Base_de_Dados[[#This Row],[Semana]])&lt;=6,"1ª Semestre","2ª Semestre")</f>
        <v>2ª Semestre</v>
      </c>
    </row>
    <row r="375" spans="1:7" x14ac:dyDescent="0.25">
      <c r="A375" t="s">
        <v>12</v>
      </c>
      <c r="B375">
        <v>0</v>
      </c>
      <c r="C375" s="6">
        <v>0</v>
      </c>
      <c r="D375" s="54">
        <v>44858</v>
      </c>
      <c r="E375" s="54" t="str">
        <f>TEXT(Base_de_Dados[[#This Row],[Semana]],"Mmmm")</f>
        <v>outubro</v>
      </c>
      <c r="F375">
        <f>YEAR(Base_de_Dados[[#This Row],[Semana]])</f>
        <v>2022</v>
      </c>
      <c r="G375" t="str">
        <f>IF(MONTH( Base_de_Dados[[#This Row],[Semana]])&lt;=6,"1ª Semestre","2ª Semestre")</f>
        <v>2ª Semestre</v>
      </c>
    </row>
    <row r="376" spans="1:7" x14ac:dyDescent="0.25">
      <c r="A376" t="s">
        <v>132</v>
      </c>
      <c r="B376">
        <v>0</v>
      </c>
      <c r="C376" s="6">
        <v>0</v>
      </c>
      <c r="D376" s="54">
        <v>44858</v>
      </c>
      <c r="E376" s="54" t="str">
        <f>TEXT(Base_de_Dados[[#This Row],[Semana]],"Mmmm")</f>
        <v>outubro</v>
      </c>
      <c r="F376">
        <f>YEAR(Base_de_Dados[[#This Row],[Semana]])</f>
        <v>2022</v>
      </c>
      <c r="G376" t="str">
        <f>IF(MONTH( Base_de_Dados[[#This Row],[Semana]])&lt;=6,"1ª Semestre","2ª Semestre")</f>
        <v>2ª Semestre</v>
      </c>
    </row>
    <row r="377" spans="1:7" x14ac:dyDescent="0.25">
      <c r="A377" t="s">
        <v>3</v>
      </c>
      <c r="B377">
        <v>1</v>
      </c>
      <c r="C377" s="6">
        <v>1</v>
      </c>
      <c r="D377" s="54">
        <v>44865</v>
      </c>
      <c r="E377" s="54" t="str">
        <f>TEXT(Base_de_Dados[[#This Row],[Semana]],"Mmmm")</f>
        <v>outubro</v>
      </c>
      <c r="F377">
        <f>YEAR(Base_de_Dados[[#This Row],[Semana]])</f>
        <v>2022</v>
      </c>
      <c r="G377" t="str">
        <f>IF(MONTH( Base_de_Dados[[#This Row],[Semana]])&lt;=6,"1ª Semestre","2ª Semestre")</f>
        <v>2ª Semestre</v>
      </c>
    </row>
    <row r="378" spans="1:7" x14ac:dyDescent="0.25">
      <c r="A378" t="s">
        <v>4</v>
      </c>
      <c r="B378">
        <v>0</v>
      </c>
      <c r="C378" s="6">
        <v>0</v>
      </c>
      <c r="D378" s="54">
        <v>44865</v>
      </c>
      <c r="E378" s="54" t="str">
        <f>TEXT(Base_de_Dados[[#This Row],[Semana]],"Mmmm")</f>
        <v>outubro</v>
      </c>
      <c r="F378">
        <f>YEAR(Base_de_Dados[[#This Row],[Semana]])</f>
        <v>2022</v>
      </c>
      <c r="G378" t="str">
        <f>IF(MONTH( Base_de_Dados[[#This Row],[Semana]])&lt;=6,"1ª Semestre","2ª Semestre")</f>
        <v>2ª Semestre</v>
      </c>
    </row>
    <row r="379" spans="1:7" x14ac:dyDescent="0.25">
      <c r="A379" t="s">
        <v>5</v>
      </c>
      <c r="B379">
        <v>0</v>
      </c>
      <c r="C379" s="6">
        <v>0</v>
      </c>
      <c r="D379" s="54">
        <v>44865</v>
      </c>
      <c r="E379" s="54" t="str">
        <f>TEXT(Base_de_Dados[[#This Row],[Semana]],"Mmmm")</f>
        <v>outubro</v>
      </c>
      <c r="F379">
        <f>YEAR(Base_de_Dados[[#This Row],[Semana]])</f>
        <v>2022</v>
      </c>
      <c r="G379" t="str">
        <f>IF(MONTH( Base_de_Dados[[#This Row],[Semana]])&lt;=6,"1ª Semestre","2ª Semestre")</f>
        <v>2ª Semestre</v>
      </c>
    </row>
    <row r="380" spans="1:7" x14ac:dyDescent="0.25">
      <c r="A380" t="s">
        <v>6</v>
      </c>
      <c r="B380">
        <v>0</v>
      </c>
      <c r="C380" s="6">
        <v>0</v>
      </c>
      <c r="D380" s="54">
        <v>44865</v>
      </c>
      <c r="E380" s="54" t="str">
        <f>TEXT(Base_de_Dados[[#This Row],[Semana]],"Mmmm")</f>
        <v>outubro</v>
      </c>
      <c r="F380">
        <f>YEAR(Base_de_Dados[[#This Row],[Semana]])</f>
        <v>2022</v>
      </c>
      <c r="G380" t="str">
        <f>IF(MONTH( Base_de_Dados[[#This Row],[Semana]])&lt;=6,"1ª Semestre","2ª Semestre")</f>
        <v>2ª Semestre</v>
      </c>
    </row>
    <row r="381" spans="1:7" x14ac:dyDescent="0.25">
      <c r="A381" t="s">
        <v>7</v>
      </c>
      <c r="B381">
        <v>0</v>
      </c>
      <c r="C381" s="6">
        <v>0</v>
      </c>
      <c r="D381" s="54">
        <v>44865</v>
      </c>
      <c r="E381" s="54" t="str">
        <f>TEXT(Base_de_Dados[[#This Row],[Semana]],"Mmmm")</f>
        <v>outubro</v>
      </c>
      <c r="F381">
        <f>YEAR(Base_de_Dados[[#This Row],[Semana]])</f>
        <v>2022</v>
      </c>
      <c r="G381" t="str">
        <f>IF(MONTH( Base_de_Dados[[#This Row],[Semana]])&lt;=6,"1ª Semestre","2ª Semestre")</f>
        <v>2ª Semestre</v>
      </c>
    </row>
    <row r="382" spans="1:7" x14ac:dyDescent="0.25">
      <c r="A382" t="s">
        <v>8</v>
      </c>
      <c r="B382">
        <v>0</v>
      </c>
      <c r="C382" s="6">
        <v>0</v>
      </c>
      <c r="D382" s="54">
        <v>44865</v>
      </c>
      <c r="E382" s="54" t="str">
        <f>TEXT(Base_de_Dados[[#This Row],[Semana]],"Mmmm")</f>
        <v>outubro</v>
      </c>
      <c r="F382">
        <f>YEAR(Base_de_Dados[[#This Row],[Semana]])</f>
        <v>2022</v>
      </c>
      <c r="G382" t="str">
        <f>IF(MONTH( Base_de_Dados[[#This Row],[Semana]])&lt;=6,"1ª Semestre","2ª Semestre")</f>
        <v>2ª Semestre</v>
      </c>
    </row>
    <row r="383" spans="1:7" x14ac:dyDescent="0.25">
      <c r="A383" t="s">
        <v>9</v>
      </c>
      <c r="B383">
        <v>0</v>
      </c>
      <c r="C383" s="6">
        <v>0</v>
      </c>
      <c r="D383" s="54">
        <v>44865</v>
      </c>
      <c r="E383" s="54" t="str">
        <f>TEXT(Base_de_Dados[[#This Row],[Semana]],"Mmmm")</f>
        <v>outubro</v>
      </c>
      <c r="F383">
        <f>YEAR(Base_de_Dados[[#This Row],[Semana]])</f>
        <v>2022</v>
      </c>
      <c r="G383" t="str">
        <f>IF(MONTH( Base_de_Dados[[#This Row],[Semana]])&lt;=6,"1ª Semestre","2ª Semestre")</f>
        <v>2ª Semestre</v>
      </c>
    </row>
    <row r="384" spans="1:7" x14ac:dyDescent="0.25">
      <c r="A384" t="s">
        <v>10</v>
      </c>
      <c r="B384">
        <v>0</v>
      </c>
      <c r="C384" s="6">
        <v>0</v>
      </c>
      <c r="D384" s="54">
        <v>44865</v>
      </c>
      <c r="E384" s="54" t="str">
        <f>TEXT(Base_de_Dados[[#This Row],[Semana]],"Mmmm")</f>
        <v>outubro</v>
      </c>
      <c r="F384">
        <f>YEAR(Base_de_Dados[[#This Row],[Semana]])</f>
        <v>2022</v>
      </c>
      <c r="G384" t="str">
        <f>IF(MONTH( Base_de_Dados[[#This Row],[Semana]])&lt;=6,"1ª Semestre","2ª Semestre")</f>
        <v>2ª Semestre</v>
      </c>
    </row>
    <row r="385" spans="1:7" x14ac:dyDescent="0.25">
      <c r="A385" t="s">
        <v>11</v>
      </c>
      <c r="B385">
        <v>0</v>
      </c>
      <c r="C385" s="6">
        <v>0</v>
      </c>
      <c r="D385" s="54">
        <v>44865</v>
      </c>
      <c r="E385" s="54" t="str">
        <f>TEXT(Base_de_Dados[[#This Row],[Semana]],"Mmmm")</f>
        <v>outubro</v>
      </c>
      <c r="F385">
        <f>YEAR(Base_de_Dados[[#This Row],[Semana]])</f>
        <v>2022</v>
      </c>
      <c r="G385" t="str">
        <f>IF(MONTH( Base_de_Dados[[#This Row],[Semana]])&lt;=6,"1ª Semestre","2ª Semestre")</f>
        <v>2ª Semestre</v>
      </c>
    </row>
    <row r="386" spans="1:7" x14ac:dyDescent="0.25">
      <c r="A386" t="s">
        <v>12</v>
      </c>
      <c r="B386">
        <v>0</v>
      </c>
      <c r="C386" s="6">
        <v>0</v>
      </c>
      <c r="D386" s="54">
        <v>44865</v>
      </c>
      <c r="E386" s="54" t="str">
        <f>TEXT(Base_de_Dados[[#This Row],[Semana]],"Mmmm")</f>
        <v>outubro</v>
      </c>
      <c r="F386">
        <f>YEAR(Base_de_Dados[[#This Row],[Semana]])</f>
        <v>2022</v>
      </c>
      <c r="G386" t="str">
        <f>IF(MONTH( Base_de_Dados[[#This Row],[Semana]])&lt;=6,"1ª Semestre","2ª Semestre")</f>
        <v>2ª Semestre</v>
      </c>
    </row>
    <row r="387" spans="1:7" x14ac:dyDescent="0.25">
      <c r="A387" t="s">
        <v>132</v>
      </c>
      <c r="B387">
        <v>0</v>
      </c>
      <c r="C387" s="6">
        <v>0</v>
      </c>
      <c r="D387" s="54">
        <v>44865</v>
      </c>
      <c r="E387" s="54" t="str">
        <f>TEXT(Base_de_Dados[[#This Row],[Semana]],"Mmmm")</f>
        <v>outubro</v>
      </c>
      <c r="F387">
        <f>YEAR(Base_de_Dados[[#This Row],[Semana]])</f>
        <v>2022</v>
      </c>
      <c r="G387" t="str">
        <f>IF(MONTH( Base_de_Dados[[#This Row],[Semana]])&lt;=6,"1ª Semestre","2ª Semestre")</f>
        <v>2ª Semestre</v>
      </c>
    </row>
    <row r="388" spans="1:7" x14ac:dyDescent="0.25">
      <c r="A388" t="s">
        <v>3</v>
      </c>
      <c r="B388">
        <v>1</v>
      </c>
      <c r="C388" s="6">
        <v>0.1</v>
      </c>
      <c r="D388" s="54">
        <v>44872</v>
      </c>
      <c r="E388" s="54" t="str">
        <f>TEXT(Base_de_Dados[[#This Row],[Semana]],"Mmmm")</f>
        <v>novembro</v>
      </c>
      <c r="F388">
        <f>YEAR(Base_de_Dados[[#This Row],[Semana]])</f>
        <v>2022</v>
      </c>
      <c r="G388" t="str">
        <f>IF(MONTH( Base_de_Dados[[#This Row],[Semana]])&lt;=6,"1ª Semestre","2ª Semestre")</f>
        <v>2ª Semestre</v>
      </c>
    </row>
    <row r="389" spans="1:7" x14ac:dyDescent="0.25">
      <c r="A389" t="s">
        <v>4</v>
      </c>
      <c r="B389">
        <v>2</v>
      </c>
      <c r="C389" s="6">
        <v>0.2</v>
      </c>
      <c r="D389" s="54">
        <v>44872</v>
      </c>
      <c r="E389" s="54" t="str">
        <f>TEXT(Base_de_Dados[[#This Row],[Semana]],"Mmmm")</f>
        <v>novembro</v>
      </c>
      <c r="F389">
        <f>YEAR(Base_de_Dados[[#This Row],[Semana]])</f>
        <v>2022</v>
      </c>
      <c r="G389" t="str">
        <f>IF(MONTH( Base_de_Dados[[#This Row],[Semana]])&lt;=6,"1ª Semestre","2ª Semestre")</f>
        <v>2ª Semestre</v>
      </c>
    </row>
    <row r="390" spans="1:7" x14ac:dyDescent="0.25">
      <c r="A390" t="s">
        <v>5</v>
      </c>
      <c r="B390">
        <v>1</v>
      </c>
      <c r="C390" s="6">
        <v>0.1</v>
      </c>
      <c r="D390" s="54">
        <v>44872</v>
      </c>
      <c r="E390" s="54" t="str">
        <f>TEXT(Base_de_Dados[[#This Row],[Semana]],"Mmmm")</f>
        <v>novembro</v>
      </c>
      <c r="F390">
        <f>YEAR(Base_de_Dados[[#This Row],[Semana]])</f>
        <v>2022</v>
      </c>
      <c r="G390" t="str">
        <f>IF(MONTH( Base_de_Dados[[#This Row],[Semana]])&lt;=6,"1ª Semestre","2ª Semestre")</f>
        <v>2ª Semestre</v>
      </c>
    </row>
    <row r="391" spans="1:7" x14ac:dyDescent="0.25">
      <c r="A391" t="s">
        <v>6</v>
      </c>
      <c r="B391">
        <v>1</v>
      </c>
      <c r="C391" s="6">
        <v>0.1</v>
      </c>
      <c r="D391" s="54">
        <v>44872</v>
      </c>
      <c r="E391" s="54" t="str">
        <f>TEXT(Base_de_Dados[[#This Row],[Semana]],"Mmmm")</f>
        <v>novembro</v>
      </c>
      <c r="F391">
        <f>YEAR(Base_de_Dados[[#This Row],[Semana]])</f>
        <v>2022</v>
      </c>
      <c r="G391" t="str">
        <f>IF(MONTH( Base_de_Dados[[#This Row],[Semana]])&lt;=6,"1ª Semestre","2ª Semestre")</f>
        <v>2ª Semestre</v>
      </c>
    </row>
    <row r="392" spans="1:7" x14ac:dyDescent="0.25">
      <c r="A392" t="s">
        <v>7</v>
      </c>
      <c r="B392">
        <v>1</v>
      </c>
      <c r="C392" s="6">
        <v>0.1</v>
      </c>
      <c r="D392" s="54">
        <v>44872</v>
      </c>
      <c r="E392" s="54" t="str">
        <f>TEXT(Base_de_Dados[[#This Row],[Semana]],"Mmmm")</f>
        <v>novembro</v>
      </c>
      <c r="F392">
        <f>YEAR(Base_de_Dados[[#This Row],[Semana]])</f>
        <v>2022</v>
      </c>
      <c r="G392" t="str">
        <f>IF(MONTH( Base_de_Dados[[#This Row],[Semana]])&lt;=6,"1ª Semestre","2ª Semestre")</f>
        <v>2ª Semestre</v>
      </c>
    </row>
    <row r="393" spans="1:7" x14ac:dyDescent="0.25">
      <c r="A393" t="s">
        <v>8</v>
      </c>
      <c r="B393">
        <v>0</v>
      </c>
      <c r="C393" s="6">
        <v>0</v>
      </c>
      <c r="D393" s="54">
        <v>44872</v>
      </c>
      <c r="E393" s="54" t="str">
        <f>TEXT(Base_de_Dados[[#This Row],[Semana]],"Mmmm")</f>
        <v>novembro</v>
      </c>
      <c r="F393">
        <f>YEAR(Base_de_Dados[[#This Row],[Semana]])</f>
        <v>2022</v>
      </c>
      <c r="G393" t="str">
        <f>IF(MONTH( Base_de_Dados[[#This Row],[Semana]])&lt;=6,"1ª Semestre","2ª Semestre")</f>
        <v>2ª Semestre</v>
      </c>
    </row>
    <row r="394" spans="1:7" x14ac:dyDescent="0.25">
      <c r="A394" t="s">
        <v>9</v>
      </c>
      <c r="B394">
        <v>1</v>
      </c>
      <c r="C394" s="6">
        <v>0.1</v>
      </c>
      <c r="D394" s="54">
        <v>44872</v>
      </c>
      <c r="E394" s="54" t="str">
        <f>TEXT(Base_de_Dados[[#This Row],[Semana]],"Mmmm")</f>
        <v>novembro</v>
      </c>
      <c r="F394">
        <f>YEAR(Base_de_Dados[[#This Row],[Semana]])</f>
        <v>2022</v>
      </c>
      <c r="G394" t="str">
        <f>IF(MONTH( Base_de_Dados[[#This Row],[Semana]])&lt;=6,"1ª Semestre","2ª Semestre")</f>
        <v>2ª Semestre</v>
      </c>
    </row>
    <row r="395" spans="1:7" x14ac:dyDescent="0.25">
      <c r="A395" t="s">
        <v>10</v>
      </c>
      <c r="B395">
        <v>0</v>
      </c>
      <c r="C395" s="6">
        <v>0</v>
      </c>
      <c r="D395" s="54">
        <v>44872</v>
      </c>
      <c r="E395" s="54" t="str">
        <f>TEXT(Base_de_Dados[[#This Row],[Semana]],"Mmmm")</f>
        <v>novembro</v>
      </c>
      <c r="F395">
        <f>YEAR(Base_de_Dados[[#This Row],[Semana]])</f>
        <v>2022</v>
      </c>
      <c r="G395" t="str">
        <f>IF(MONTH( Base_de_Dados[[#This Row],[Semana]])&lt;=6,"1ª Semestre","2ª Semestre")</f>
        <v>2ª Semestre</v>
      </c>
    </row>
    <row r="396" spans="1:7" x14ac:dyDescent="0.25">
      <c r="A396" t="s">
        <v>11</v>
      </c>
      <c r="B396">
        <v>0</v>
      </c>
      <c r="C396" s="6">
        <v>0</v>
      </c>
      <c r="D396" s="54">
        <v>44872</v>
      </c>
      <c r="E396" s="54" t="str">
        <f>TEXT(Base_de_Dados[[#This Row],[Semana]],"Mmmm")</f>
        <v>novembro</v>
      </c>
      <c r="F396">
        <f>YEAR(Base_de_Dados[[#This Row],[Semana]])</f>
        <v>2022</v>
      </c>
      <c r="G396" t="str">
        <f>IF(MONTH( Base_de_Dados[[#This Row],[Semana]])&lt;=6,"1ª Semestre","2ª Semestre")</f>
        <v>2ª Semestre</v>
      </c>
    </row>
    <row r="397" spans="1:7" x14ac:dyDescent="0.25">
      <c r="A397" t="s">
        <v>12</v>
      </c>
      <c r="B397">
        <v>3</v>
      </c>
      <c r="C397" s="6">
        <v>0.3</v>
      </c>
      <c r="D397" s="54">
        <v>44872</v>
      </c>
      <c r="E397" s="54" t="str">
        <f>TEXT(Base_de_Dados[[#This Row],[Semana]],"Mmmm")</f>
        <v>novembro</v>
      </c>
      <c r="F397">
        <f>YEAR(Base_de_Dados[[#This Row],[Semana]])</f>
        <v>2022</v>
      </c>
      <c r="G397" t="str">
        <f>IF(MONTH( Base_de_Dados[[#This Row],[Semana]])&lt;=6,"1ª Semestre","2ª Semestre")</f>
        <v>2ª Semestre</v>
      </c>
    </row>
    <row r="398" spans="1:7" x14ac:dyDescent="0.25">
      <c r="A398" t="s">
        <v>132</v>
      </c>
      <c r="B398">
        <v>0</v>
      </c>
      <c r="C398" s="6">
        <v>0</v>
      </c>
      <c r="D398" s="54">
        <v>44872</v>
      </c>
      <c r="E398" s="54" t="str">
        <f>TEXT(Base_de_Dados[[#This Row],[Semana]],"Mmmm")</f>
        <v>novembro</v>
      </c>
      <c r="F398">
        <f>YEAR(Base_de_Dados[[#This Row],[Semana]])</f>
        <v>2022</v>
      </c>
      <c r="G398" t="str">
        <f>IF(MONTH( Base_de_Dados[[#This Row],[Semana]])&lt;=6,"1ª Semestre","2ª Semestre")</f>
        <v>2ª Semestre</v>
      </c>
    </row>
    <row r="399" spans="1:7" x14ac:dyDescent="0.25">
      <c r="A399" t="s">
        <v>3</v>
      </c>
      <c r="B399">
        <v>0</v>
      </c>
      <c r="C399" s="6">
        <v>0</v>
      </c>
      <c r="D399" s="54">
        <v>44879</v>
      </c>
      <c r="E399" s="54" t="str">
        <f>TEXT(Base_de_Dados[[#This Row],[Semana]],"Mmmm")</f>
        <v>novembro</v>
      </c>
      <c r="F399">
        <f>YEAR(Base_de_Dados[[#This Row],[Semana]])</f>
        <v>2022</v>
      </c>
      <c r="G399" t="str">
        <f>IF(MONTH( Base_de_Dados[[#This Row],[Semana]])&lt;=6,"1ª Semestre","2ª Semestre")</f>
        <v>2ª Semestre</v>
      </c>
    </row>
    <row r="400" spans="1:7" x14ac:dyDescent="0.25">
      <c r="A400" t="s">
        <v>4</v>
      </c>
      <c r="B400">
        <v>0</v>
      </c>
      <c r="C400" s="6">
        <v>0</v>
      </c>
      <c r="D400" s="54">
        <v>44879</v>
      </c>
      <c r="E400" s="54" t="str">
        <f>TEXT(Base_de_Dados[[#This Row],[Semana]],"Mmmm")</f>
        <v>novembro</v>
      </c>
      <c r="F400">
        <f>YEAR(Base_de_Dados[[#This Row],[Semana]])</f>
        <v>2022</v>
      </c>
      <c r="G400" t="str">
        <f>IF(MONTH( Base_de_Dados[[#This Row],[Semana]])&lt;=6,"1ª Semestre","2ª Semestre")</f>
        <v>2ª Semestre</v>
      </c>
    </row>
    <row r="401" spans="1:7" x14ac:dyDescent="0.25">
      <c r="A401" t="s">
        <v>5</v>
      </c>
      <c r="B401">
        <v>0</v>
      </c>
      <c r="C401" s="6">
        <v>0</v>
      </c>
      <c r="D401" s="54">
        <v>44879</v>
      </c>
      <c r="E401" s="54" t="str">
        <f>TEXT(Base_de_Dados[[#This Row],[Semana]],"Mmmm")</f>
        <v>novembro</v>
      </c>
      <c r="F401">
        <f>YEAR(Base_de_Dados[[#This Row],[Semana]])</f>
        <v>2022</v>
      </c>
      <c r="G401" t="str">
        <f>IF(MONTH( Base_de_Dados[[#This Row],[Semana]])&lt;=6,"1ª Semestre","2ª Semestre")</f>
        <v>2ª Semestre</v>
      </c>
    </row>
    <row r="402" spans="1:7" x14ac:dyDescent="0.25">
      <c r="A402" t="s">
        <v>6</v>
      </c>
      <c r="B402">
        <v>0</v>
      </c>
      <c r="C402" s="6">
        <v>0</v>
      </c>
      <c r="D402" s="54">
        <v>44879</v>
      </c>
      <c r="E402" s="54" t="str">
        <f>TEXT(Base_de_Dados[[#This Row],[Semana]],"Mmmm")</f>
        <v>novembro</v>
      </c>
      <c r="F402">
        <f>YEAR(Base_de_Dados[[#This Row],[Semana]])</f>
        <v>2022</v>
      </c>
      <c r="G402" t="str">
        <f>IF(MONTH( Base_de_Dados[[#This Row],[Semana]])&lt;=6,"1ª Semestre","2ª Semestre")</f>
        <v>2ª Semestre</v>
      </c>
    </row>
    <row r="403" spans="1:7" x14ac:dyDescent="0.25">
      <c r="A403" t="s">
        <v>7</v>
      </c>
      <c r="B403">
        <v>1</v>
      </c>
      <c r="C403" s="6">
        <v>0.5</v>
      </c>
      <c r="D403" s="54">
        <v>44879</v>
      </c>
      <c r="E403" s="54" t="str">
        <f>TEXT(Base_de_Dados[[#This Row],[Semana]],"Mmmm")</f>
        <v>novembro</v>
      </c>
      <c r="F403">
        <f>YEAR(Base_de_Dados[[#This Row],[Semana]])</f>
        <v>2022</v>
      </c>
      <c r="G403" t="str">
        <f>IF(MONTH( Base_de_Dados[[#This Row],[Semana]])&lt;=6,"1ª Semestre","2ª Semestre")</f>
        <v>2ª Semestre</v>
      </c>
    </row>
    <row r="404" spans="1:7" x14ac:dyDescent="0.25">
      <c r="A404" t="s">
        <v>8</v>
      </c>
      <c r="B404">
        <v>0</v>
      </c>
      <c r="C404" s="6">
        <v>0</v>
      </c>
      <c r="D404" s="54">
        <v>44879</v>
      </c>
      <c r="E404" s="54" t="str">
        <f>TEXT(Base_de_Dados[[#This Row],[Semana]],"Mmmm")</f>
        <v>novembro</v>
      </c>
      <c r="F404">
        <f>YEAR(Base_de_Dados[[#This Row],[Semana]])</f>
        <v>2022</v>
      </c>
      <c r="G404" t="str">
        <f>IF(MONTH( Base_de_Dados[[#This Row],[Semana]])&lt;=6,"1ª Semestre","2ª Semestre")</f>
        <v>2ª Semestre</v>
      </c>
    </row>
    <row r="405" spans="1:7" x14ac:dyDescent="0.25">
      <c r="A405" t="s">
        <v>9</v>
      </c>
      <c r="B405">
        <v>0</v>
      </c>
      <c r="C405" s="6">
        <v>0</v>
      </c>
      <c r="D405" s="54">
        <v>44879</v>
      </c>
      <c r="E405" s="54" t="str">
        <f>TEXT(Base_de_Dados[[#This Row],[Semana]],"Mmmm")</f>
        <v>novembro</v>
      </c>
      <c r="F405">
        <f>YEAR(Base_de_Dados[[#This Row],[Semana]])</f>
        <v>2022</v>
      </c>
      <c r="G405" t="str">
        <f>IF(MONTH( Base_de_Dados[[#This Row],[Semana]])&lt;=6,"1ª Semestre","2ª Semestre")</f>
        <v>2ª Semestre</v>
      </c>
    </row>
    <row r="406" spans="1:7" x14ac:dyDescent="0.25">
      <c r="A406" t="s">
        <v>10</v>
      </c>
      <c r="B406">
        <v>0</v>
      </c>
      <c r="C406" s="6">
        <v>0</v>
      </c>
      <c r="D406" s="54">
        <v>44879</v>
      </c>
      <c r="E406" s="54" t="str">
        <f>TEXT(Base_de_Dados[[#This Row],[Semana]],"Mmmm")</f>
        <v>novembro</v>
      </c>
      <c r="F406">
        <f>YEAR(Base_de_Dados[[#This Row],[Semana]])</f>
        <v>2022</v>
      </c>
      <c r="G406" t="str">
        <f>IF(MONTH( Base_de_Dados[[#This Row],[Semana]])&lt;=6,"1ª Semestre","2ª Semestre")</f>
        <v>2ª Semestre</v>
      </c>
    </row>
    <row r="407" spans="1:7" x14ac:dyDescent="0.25">
      <c r="A407" t="s">
        <v>11</v>
      </c>
      <c r="B407">
        <v>0</v>
      </c>
      <c r="C407" s="6">
        <v>0</v>
      </c>
      <c r="D407" s="54">
        <v>44879</v>
      </c>
      <c r="E407" s="54" t="str">
        <f>TEXT(Base_de_Dados[[#This Row],[Semana]],"Mmmm")</f>
        <v>novembro</v>
      </c>
      <c r="F407">
        <f>YEAR(Base_de_Dados[[#This Row],[Semana]])</f>
        <v>2022</v>
      </c>
      <c r="G407" t="str">
        <f>IF(MONTH( Base_de_Dados[[#This Row],[Semana]])&lt;=6,"1ª Semestre","2ª Semestre")</f>
        <v>2ª Semestre</v>
      </c>
    </row>
    <row r="408" spans="1:7" x14ac:dyDescent="0.25">
      <c r="A408" t="s">
        <v>12</v>
      </c>
      <c r="B408">
        <v>1</v>
      </c>
      <c r="C408" s="6">
        <v>0.5</v>
      </c>
      <c r="D408" s="54">
        <v>44879</v>
      </c>
      <c r="E408" s="54" t="str">
        <f>TEXT(Base_de_Dados[[#This Row],[Semana]],"Mmmm")</f>
        <v>novembro</v>
      </c>
      <c r="F408">
        <f>YEAR(Base_de_Dados[[#This Row],[Semana]])</f>
        <v>2022</v>
      </c>
      <c r="G408" t="str">
        <f>IF(MONTH( Base_de_Dados[[#This Row],[Semana]])&lt;=6,"1ª Semestre","2ª Semestre")</f>
        <v>2ª Semestre</v>
      </c>
    </row>
    <row r="409" spans="1:7" x14ac:dyDescent="0.25">
      <c r="A409" t="s">
        <v>132</v>
      </c>
      <c r="B409">
        <v>0</v>
      </c>
      <c r="C409" s="6">
        <v>0</v>
      </c>
      <c r="D409" s="54">
        <v>44879</v>
      </c>
      <c r="E409" s="54" t="str">
        <f>TEXT(Base_de_Dados[[#This Row],[Semana]],"Mmmm")</f>
        <v>novembro</v>
      </c>
      <c r="F409">
        <f>YEAR(Base_de_Dados[[#This Row],[Semana]])</f>
        <v>2022</v>
      </c>
      <c r="G409" t="str">
        <f>IF(MONTH( Base_de_Dados[[#This Row],[Semana]])&lt;=6,"1ª Semestre","2ª Semestre")</f>
        <v>2ª Semestre</v>
      </c>
    </row>
    <row r="410" spans="1:7" x14ac:dyDescent="0.25">
      <c r="A410" t="s">
        <v>3</v>
      </c>
      <c r="B410">
        <v>0</v>
      </c>
      <c r="C410" s="6">
        <v>0</v>
      </c>
      <c r="D410" s="54">
        <v>44900</v>
      </c>
      <c r="E410" s="54" t="str">
        <f>TEXT(Base_de_Dados[[#This Row],[Semana]],"Mmmm")</f>
        <v>dezembro</v>
      </c>
      <c r="F410">
        <f>YEAR(Base_de_Dados[[#This Row],[Semana]])</f>
        <v>2022</v>
      </c>
      <c r="G410" t="str">
        <f>IF(MONTH( Base_de_Dados[[#This Row],[Semana]])&lt;=6,"1ª Semestre","2ª Semestre")</f>
        <v>2ª Semestre</v>
      </c>
    </row>
    <row r="411" spans="1:7" x14ac:dyDescent="0.25">
      <c r="A411" t="s">
        <v>4</v>
      </c>
      <c r="B411">
        <v>0</v>
      </c>
      <c r="C411" s="6">
        <v>0</v>
      </c>
      <c r="D411" s="54">
        <v>44900</v>
      </c>
      <c r="E411" s="54" t="str">
        <f>TEXT(Base_de_Dados[[#This Row],[Semana]],"Mmmm")</f>
        <v>dezembro</v>
      </c>
      <c r="F411">
        <f>YEAR(Base_de_Dados[[#This Row],[Semana]])</f>
        <v>2022</v>
      </c>
      <c r="G411" t="str">
        <f>IF(MONTH( Base_de_Dados[[#This Row],[Semana]])&lt;=6,"1ª Semestre","2ª Semestre")</f>
        <v>2ª Semestre</v>
      </c>
    </row>
    <row r="412" spans="1:7" x14ac:dyDescent="0.25">
      <c r="A412" t="s">
        <v>5</v>
      </c>
      <c r="B412">
        <v>0</v>
      </c>
      <c r="C412" s="6">
        <v>0</v>
      </c>
      <c r="D412" s="54">
        <v>44900</v>
      </c>
      <c r="E412" s="54" t="str">
        <f>TEXT(Base_de_Dados[[#This Row],[Semana]],"Mmmm")</f>
        <v>dezembro</v>
      </c>
      <c r="F412">
        <f>YEAR(Base_de_Dados[[#This Row],[Semana]])</f>
        <v>2022</v>
      </c>
      <c r="G412" t="str">
        <f>IF(MONTH( Base_de_Dados[[#This Row],[Semana]])&lt;=6,"1ª Semestre","2ª Semestre")</f>
        <v>2ª Semestre</v>
      </c>
    </row>
    <row r="413" spans="1:7" x14ac:dyDescent="0.25">
      <c r="A413" t="s">
        <v>6</v>
      </c>
      <c r="B413">
        <v>0</v>
      </c>
      <c r="C413" s="6">
        <v>0</v>
      </c>
      <c r="D413" s="54">
        <v>44900</v>
      </c>
      <c r="E413" s="54" t="str">
        <f>TEXT(Base_de_Dados[[#This Row],[Semana]],"Mmmm")</f>
        <v>dezembro</v>
      </c>
      <c r="F413">
        <f>YEAR(Base_de_Dados[[#This Row],[Semana]])</f>
        <v>2022</v>
      </c>
      <c r="G413" t="str">
        <f>IF(MONTH( Base_de_Dados[[#This Row],[Semana]])&lt;=6,"1ª Semestre","2ª Semestre")</f>
        <v>2ª Semestre</v>
      </c>
    </row>
    <row r="414" spans="1:7" x14ac:dyDescent="0.25">
      <c r="A414" t="s">
        <v>7</v>
      </c>
      <c r="B414">
        <v>3</v>
      </c>
      <c r="C414" s="6">
        <v>1</v>
      </c>
      <c r="D414" s="54">
        <v>44900</v>
      </c>
      <c r="E414" s="54" t="str">
        <f>TEXT(Base_de_Dados[[#This Row],[Semana]],"Mmmm")</f>
        <v>dezembro</v>
      </c>
      <c r="F414">
        <f>YEAR(Base_de_Dados[[#This Row],[Semana]])</f>
        <v>2022</v>
      </c>
      <c r="G414" t="str">
        <f>IF(MONTH( Base_de_Dados[[#This Row],[Semana]])&lt;=6,"1ª Semestre","2ª Semestre")</f>
        <v>2ª Semestre</v>
      </c>
    </row>
    <row r="415" spans="1:7" x14ac:dyDescent="0.25">
      <c r="A415" t="s">
        <v>8</v>
      </c>
      <c r="B415">
        <v>0</v>
      </c>
      <c r="C415" s="6">
        <v>0</v>
      </c>
      <c r="D415" s="54">
        <v>44900</v>
      </c>
      <c r="E415" s="54" t="str">
        <f>TEXT(Base_de_Dados[[#This Row],[Semana]],"Mmmm")</f>
        <v>dezembro</v>
      </c>
      <c r="F415">
        <f>YEAR(Base_de_Dados[[#This Row],[Semana]])</f>
        <v>2022</v>
      </c>
      <c r="G415" t="str">
        <f>IF(MONTH( Base_de_Dados[[#This Row],[Semana]])&lt;=6,"1ª Semestre","2ª Semestre")</f>
        <v>2ª Semestre</v>
      </c>
    </row>
    <row r="416" spans="1:7" x14ac:dyDescent="0.25">
      <c r="A416" t="s">
        <v>9</v>
      </c>
      <c r="B416">
        <v>0</v>
      </c>
      <c r="C416" s="6">
        <v>0</v>
      </c>
      <c r="D416" s="54">
        <v>44900</v>
      </c>
      <c r="E416" s="54" t="str">
        <f>TEXT(Base_de_Dados[[#This Row],[Semana]],"Mmmm")</f>
        <v>dezembro</v>
      </c>
      <c r="F416">
        <f>YEAR(Base_de_Dados[[#This Row],[Semana]])</f>
        <v>2022</v>
      </c>
      <c r="G416" t="str">
        <f>IF(MONTH( Base_de_Dados[[#This Row],[Semana]])&lt;=6,"1ª Semestre","2ª Semestre")</f>
        <v>2ª Semestre</v>
      </c>
    </row>
    <row r="417" spans="1:7" x14ac:dyDescent="0.25">
      <c r="A417" t="s">
        <v>10</v>
      </c>
      <c r="B417">
        <v>0</v>
      </c>
      <c r="C417" s="6">
        <v>0</v>
      </c>
      <c r="D417" s="54">
        <v>44900</v>
      </c>
      <c r="E417" s="54" t="str">
        <f>TEXT(Base_de_Dados[[#This Row],[Semana]],"Mmmm")</f>
        <v>dezembro</v>
      </c>
      <c r="F417">
        <f>YEAR(Base_de_Dados[[#This Row],[Semana]])</f>
        <v>2022</v>
      </c>
      <c r="G417" t="str">
        <f>IF(MONTH( Base_de_Dados[[#This Row],[Semana]])&lt;=6,"1ª Semestre","2ª Semestre")</f>
        <v>2ª Semestre</v>
      </c>
    </row>
    <row r="418" spans="1:7" x14ac:dyDescent="0.25">
      <c r="A418" t="s">
        <v>11</v>
      </c>
      <c r="B418">
        <v>0</v>
      </c>
      <c r="C418" s="6">
        <v>0</v>
      </c>
      <c r="D418" s="54">
        <v>44900</v>
      </c>
      <c r="E418" s="54" t="str">
        <f>TEXT(Base_de_Dados[[#This Row],[Semana]],"Mmmm")</f>
        <v>dezembro</v>
      </c>
      <c r="F418">
        <f>YEAR(Base_de_Dados[[#This Row],[Semana]])</f>
        <v>2022</v>
      </c>
      <c r="G418" t="str">
        <f>IF(MONTH( Base_de_Dados[[#This Row],[Semana]])&lt;=6,"1ª Semestre","2ª Semestre")</f>
        <v>2ª Semestre</v>
      </c>
    </row>
    <row r="419" spans="1:7" x14ac:dyDescent="0.25">
      <c r="A419" t="s">
        <v>12</v>
      </c>
      <c r="B419">
        <v>0</v>
      </c>
      <c r="C419" s="6">
        <v>0</v>
      </c>
      <c r="D419" s="54">
        <v>44900</v>
      </c>
      <c r="E419" s="54" t="str">
        <f>TEXT(Base_de_Dados[[#This Row],[Semana]],"Mmmm")</f>
        <v>dezembro</v>
      </c>
      <c r="F419">
        <f>YEAR(Base_de_Dados[[#This Row],[Semana]])</f>
        <v>2022</v>
      </c>
      <c r="G419" t="str">
        <f>IF(MONTH( Base_de_Dados[[#This Row],[Semana]])&lt;=6,"1ª Semestre","2ª Semestre")</f>
        <v>2ª Semestre</v>
      </c>
    </row>
    <row r="420" spans="1:7" x14ac:dyDescent="0.25">
      <c r="A420" t="s">
        <v>132</v>
      </c>
      <c r="B420">
        <v>0</v>
      </c>
      <c r="C420" s="6">
        <v>0</v>
      </c>
      <c r="D420" s="54">
        <v>44900</v>
      </c>
      <c r="E420" s="54" t="str">
        <f>TEXT(Base_de_Dados[[#This Row],[Semana]],"Mmmm")</f>
        <v>dezembro</v>
      </c>
      <c r="F420">
        <f>YEAR(Base_de_Dados[[#This Row],[Semana]])</f>
        <v>2022</v>
      </c>
      <c r="G420" t="str">
        <f>IF(MONTH( Base_de_Dados[[#This Row],[Semana]])&lt;=6,"1ª Semestre","2ª Semestre")</f>
        <v>2ª Semestre</v>
      </c>
    </row>
    <row r="421" spans="1:7" x14ac:dyDescent="0.25">
      <c r="A421" t="s">
        <v>3</v>
      </c>
      <c r="B421">
        <v>0</v>
      </c>
      <c r="C421" s="6">
        <v>0</v>
      </c>
      <c r="D421" s="54">
        <v>44921</v>
      </c>
      <c r="E421" s="54" t="str">
        <f>TEXT(Base_de_Dados[[#This Row],[Semana]],"Mmmm")</f>
        <v>dezembro</v>
      </c>
      <c r="F421">
        <f>YEAR(Base_de_Dados[[#This Row],[Semana]])</f>
        <v>2022</v>
      </c>
      <c r="G421" t="str">
        <f>IF(MONTH( Base_de_Dados[[#This Row],[Semana]])&lt;=6,"1ª Semestre","2ª Semestre")</f>
        <v>2ª Semestre</v>
      </c>
    </row>
    <row r="422" spans="1:7" x14ac:dyDescent="0.25">
      <c r="A422" t="s">
        <v>4</v>
      </c>
      <c r="B422">
        <v>1</v>
      </c>
      <c r="C422" s="6">
        <v>1</v>
      </c>
      <c r="D422" s="54">
        <v>44921</v>
      </c>
      <c r="E422" s="54" t="str">
        <f>TEXT(Base_de_Dados[[#This Row],[Semana]],"Mmmm")</f>
        <v>dezembro</v>
      </c>
      <c r="F422">
        <f>YEAR(Base_de_Dados[[#This Row],[Semana]])</f>
        <v>2022</v>
      </c>
      <c r="G422" t="str">
        <f>IF(MONTH( Base_de_Dados[[#This Row],[Semana]])&lt;=6,"1ª Semestre","2ª Semestre")</f>
        <v>2ª Semestre</v>
      </c>
    </row>
    <row r="423" spans="1:7" x14ac:dyDescent="0.25">
      <c r="A423" t="s">
        <v>5</v>
      </c>
      <c r="B423">
        <v>0</v>
      </c>
      <c r="C423" s="6">
        <v>0</v>
      </c>
      <c r="D423" s="54">
        <v>44921</v>
      </c>
      <c r="E423" s="54" t="str">
        <f>TEXT(Base_de_Dados[[#This Row],[Semana]],"Mmmm")</f>
        <v>dezembro</v>
      </c>
      <c r="F423">
        <f>YEAR(Base_de_Dados[[#This Row],[Semana]])</f>
        <v>2022</v>
      </c>
      <c r="G423" t="str">
        <f>IF(MONTH( Base_de_Dados[[#This Row],[Semana]])&lt;=6,"1ª Semestre","2ª Semestre")</f>
        <v>2ª Semestre</v>
      </c>
    </row>
    <row r="424" spans="1:7" x14ac:dyDescent="0.25">
      <c r="A424" t="s">
        <v>6</v>
      </c>
      <c r="B424">
        <v>0</v>
      </c>
      <c r="C424" s="6">
        <v>0</v>
      </c>
      <c r="D424" s="54">
        <v>44921</v>
      </c>
      <c r="E424" s="54" t="str">
        <f>TEXT(Base_de_Dados[[#This Row],[Semana]],"Mmmm")</f>
        <v>dezembro</v>
      </c>
      <c r="F424">
        <f>YEAR(Base_de_Dados[[#This Row],[Semana]])</f>
        <v>2022</v>
      </c>
      <c r="G424" t="str">
        <f>IF(MONTH( Base_de_Dados[[#This Row],[Semana]])&lt;=6,"1ª Semestre","2ª Semestre")</f>
        <v>2ª Semestre</v>
      </c>
    </row>
    <row r="425" spans="1:7" x14ac:dyDescent="0.25">
      <c r="A425" t="s">
        <v>7</v>
      </c>
      <c r="B425">
        <v>0</v>
      </c>
      <c r="C425" s="6">
        <v>0</v>
      </c>
      <c r="D425" s="54">
        <v>44921</v>
      </c>
      <c r="E425" s="54" t="str">
        <f>TEXT(Base_de_Dados[[#This Row],[Semana]],"Mmmm")</f>
        <v>dezembro</v>
      </c>
      <c r="F425">
        <f>YEAR(Base_de_Dados[[#This Row],[Semana]])</f>
        <v>2022</v>
      </c>
      <c r="G425" t="str">
        <f>IF(MONTH( Base_de_Dados[[#This Row],[Semana]])&lt;=6,"1ª Semestre","2ª Semestre")</f>
        <v>2ª Semestre</v>
      </c>
    </row>
    <row r="426" spans="1:7" x14ac:dyDescent="0.25">
      <c r="A426" t="s">
        <v>8</v>
      </c>
      <c r="B426">
        <v>0</v>
      </c>
      <c r="C426" s="6">
        <v>0</v>
      </c>
      <c r="D426" s="54">
        <v>44921</v>
      </c>
      <c r="E426" s="54" t="str">
        <f>TEXT(Base_de_Dados[[#This Row],[Semana]],"Mmmm")</f>
        <v>dezembro</v>
      </c>
      <c r="F426">
        <f>YEAR(Base_de_Dados[[#This Row],[Semana]])</f>
        <v>2022</v>
      </c>
      <c r="G426" t="str">
        <f>IF(MONTH( Base_de_Dados[[#This Row],[Semana]])&lt;=6,"1ª Semestre","2ª Semestre")</f>
        <v>2ª Semestre</v>
      </c>
    </row>
    <row r="427" spans="1:7" x14ac:dyDescent="0.25">
      <c r="A427" t="s">
        <v>9</v>
      </c>
      <c r="B427">
        <v>0</v>
      </c>
      <c r="C427" s="6">
        <v>0</v>
      </c>
      <c r="D427" s="54">
        <v>44921</v>
      </c>
      <c r="E427" s="54" t="str">
        <f>TEXT(Base_de_Dados[[#This Row],[Semana]],"Mmmm")</f>
        <v>dezembro</v>
      </c>
      <c r="F427">
        <f>YEAR(Base_de_Dados[[#This Row],[Semana]])</f>
        <v>2022</v>
      </c>
      <c r="G427" t="str">
        <f>IF(MONTH( Base_de_Dados[[#This Row],[Semana]])&lt;=6,"1ª Semestre","2ª Semestre")</f>
        <v>2ª Semestre</v>
      </c>
    </row>
    <row r="428" spans="1:7" x14ac:dyDescent="0.25">
      <c r="A428" t="s">
        <v>10</v>
      </c>
      <c r="B428">
        <v>0</v>
      </c>
      <c r="C428" s="6">
        <v>0</v>
      </c>
      <c r="D428" s="54">
        <v>44921</v>
      </c>
      <c r="E428" s="54" t="str">
        <f>TEXT(Base_de_Dados[[#This Row],[Semana]],"Mmmm")</f>
        <v>dezembro</v>
      </c>
      <c r="F428">
        <f>YEAR(Base_de_Dados[[#This Row],[Semana]])</f>
        <v>2022</v>
      </c>
      <c r="G428" t="str">
        <f>IF(MONTH( Base_de_Dados[[#This Row],[Semana]])&lt;=6,"1ª Semestre","2ª Semestre")</f>
        <v>2ª Semestre</v>
      </c>
    </row>
    <row r="429" spans="1:7" x14ac:dyDescent="0.25">
      <c r="A429" t="s">
        <v>11</v>
      </c>
      <c r="B429">
        <v>0</v>
      </c>
      <c r="C429" s="6">
        <v>0</v>
      </c>
      <c r="D429" s="54">
        <v>44921</v>
      </c>
      <c r="E429" s="54" t="str">
        <f>TEXT(Base_de_Dados[[#This Row],[Semana]],"Mmmm")</f>
        <v>dezembro</v>
      </c>
      <c r="F429">
        <f>YEAR(Base_de_Dados[[#This Row],[Semana]])</f>
        <v>2022</v>
      </c>
      <c r="G429" t="str">
        <f>IF(MONTH( Base_de_Dados[[#This Row],[Semana]])&lt;=6,"1ª Semestre","2ª Semestre")</f>
        <v>2ª Semestre</v>
      </c>
    </row>
    <row r="430" spans="1:7" x14ac:dyDescent="0.25">
      <c r="A430" t="s">
        <v>12</v>
      </c>
      <c r="B430">
        <v>0</v>
      </c>
      <c r="C430" s="6">
        <v>0</v>
      </c>
      <c r="D430" s="54">
        <v>44921</v>
      </c>
      <c r="E430" s="54" t="str">
        <f>TEXT(Base_de_Dados[[#This Row],[Semana]],"Mmmm")</f>
        <v>dezembro</v>
      </c>
      <c r="F430">
        <f>YEAR(Base_de_Dados[[#This Row],[Semana]])</f>
        <v>2022</v>
      </c>
      <c r="G430" t="str">
        <f>IF(MONTH( Base_de_Dados[[#This Row],[Semana]])&lt;=6,"1ª Semestre","2ª Semestre")</f>
        <v>2ª Semestre</v>
      </c>
    </row>
    <row r="431" spans="1:7" x14ac:dyDescent="0.25">
      <c r="A431" t="s">
        <v>132</v>
      </c>
      <c r="B431">
        <v>0</v>
      </c>
      <c r="C431" s="6">
        <v>0</v>
      </c>
      <c r="D431" s="54">
        <v>44921</v>
      </c>
      <c r="E431" s="54" t="str">
        <f>TEXT(Base_de_Dados[[#This Row],[Semana]],"Mmmm")</f>
        <v>dezembro</v>
      </c>
      <c r="F431">
        <f>YEAR(Base_de_Dados[[#This Row],[Semana]])</f>
        <v>2022</v>
      </c>
      <c r="G431" t="str">
        <f>IF(MONTH( Base_de_Dados[[#This Row],[Semana]])&lt;=6,"1ª Semestre","2ª Semestre")</f>
        <v>2ª Semestre</v>
      </c>
    </row>
    <row r="432" spans="1:7" x14ac:dyDescent="0.25">
      <c r="A432" t="s">
        <v>3</v>
      </c>
      <c r="B432">
        <v>0</v>
      </c>
      <c r="C432" s="6">
        <v>0</v>
      </c>
      <c r="D432" s="54">
        <v>44928</v>
      </c>
      <c r="E432" s="54" t="str">
        <f>TEXT(Base_de_Dados[[#This Row],[Semana]],"Mmmm")</f>
        <v>janeiro</v>
      </c>
      <c r="F432">
        <f>YEAR(Base_de_Dados[[#This Row],[Semana]])</f>
        <v>2023</v>
      </c>
      <c r="G432" t="str">
        <f>IF(MONTH( Base_de_Dados[[#This Row],[Semana]])&lt;=6,"1ª Semestre","2ª Semestre")</f>
        <v>1ª Semestre</v>
      </c>
    </row>
    <row r="433" spans="1:7" x14ac:dyDescent="0.25">
      <c r="A433" t="s">
        <v>4</v>
      </c>
      <c r="B433">
        <v>2</v>
      </c>
      <c r="C433" s="6">
        <v>0.66666666666666663</v>
      </c>
      <c r="D433" s="54">
        <v>44928</v>
      </c>
      <c r="E433" s="54" t="str">
        <f>TEXT(Base_de_Dados[[#This Row],[Semana]],"Mmmm")</f>
        <v>janeiro</v>
      </c>
      <c r="F433">
        <f>YEAR(Base_de_Dados[[#This Row],[Semana]])</f>
        <v>2023</v>
      </c>
      <c r="G433" t="str">
        <f>IF(MONTH( Base_de_Dados[[#This Row],[Semana]])&lt;=6,"1ª Semestre","2ª Semestre")</f>
        <v>1ª Semestre</v>
      </c>
    </row>
    <row r="434" spans="1:7" x14ac:dyDescent="0.25">
      <c r="A434" t="s">
        <v>5</v>
      </c>
      <c r="B434">
        <v>1</v>
      </c>
      <c r="C434" s="6">
        <v>0.33333333333333331</v>
      </c>
      <c r="D434" s="54">
        <v>44928</v>
      </c>
      <c r="E434" s="54" t="str">
        <f>TEXT(Base_de_Dados[[#This Row],[Semana]],"Mmmm")</f>
        <v>janeiro</v>
      </c>
      <c r="F434">
        <f>YEAR(Base_de_Dados[[#This Row],[Semana]])</f>
        <v>2023</v>
      </c>
      <c r="G434" t="str">
        <f>IF(MONTH( Base_de_Dados[[#This Row],[Semana]])&lt;=6,"1ª Semestre","2ª Semestre")</f>
        <v>1ª Semestre</v>
      </c>
    </row>
    <row r="435" spans="1:7" x14ac:dyDescent="0.25">
      <c r="A435" t="s">
        <v>6</v>
      </c>
      <c r="B435">
        <v>0</v>
      </c>
      <c r="C435" s="6">
        <v>0</v>
      </c>
      <c r="D435" s="54">
        <v>44928</v>
      </c>
      <c r="E435" s="54" t="str">
        <f>TEXT(Base_de_Dados[[#This Row],[Semana]],"Mmmm")</f>
        <v>janeiro</v>
      </c>
      <c r="F435">
        <f>YEAR(Base_de_Dados[[#This Row],[Semana]])</f>
        <v>2023</v>
      </c>
      <c r="G435" t="str">
        <f>IF(MONTH( Base_de_Dados[[#This Row],[Semana]])&lt;=6,"1ª Semestre","2ª Semestre")</f>
        <v>1ª Semestre</v>
      </c>
    </row>
    <row r="436" spans="1:7" x14ac:dyDescent="0.25">
      <c r="A436" t="s">
        <v>7</v>
      </c>
      <c r="B436">
        <v>0</v>
      </c>
      <c r="C436" s="6">
        <v>0</v>
      </c>
      <c r="D436" s="54">
        <v>44928</v>
      </c>
      <c r="E436" s="54" t="str">
        <f>TEXT(Base_de_Dados[[#This Row],[Semana]],"Mmmm")</f>
        <v>janeiro</v>
      </c>
      <c r="F436">
        <f>YEAR(Base_de_Dados[[#This Row],[Semana]])</f>
        <v>2023</v>
      </c>
      <c r="G436" t="str">
        <f>IF(MONTH( Base_de_Dados[[#This Row],[Semana]])&lt;=6,"1ª Semestre","2ª Semestre")</f>
        <v>1ª Semestre</v>
      </c>
    </row>
    <row r="437" spans="1:7" x14ac:dyDescent="0.25">
      <c r="A437" t="s">
        <v>8</v>
      </c>
      <c r="B437">
        <v>0</v>
      </c>
      <c r="C437" s="6">
        <v>0</v>
      </c>
      <c r="D437" s="54">
        <v>44928</v>
      </c>
      <c r="E437" s="54" t="str">
        <f>TEXT(Base_de_Dados[[#This Row],[Semana]],"Mmmm")</f>
        <v>janeiro</v>
      </c>
      <c r="F437">
        <f>YEAR(Base_de_Dados[[#This Row],[Semana]])</f>
        <v>2023</v>
      </c>
      <c r="G437" t="str">
        <f>IF(MONTH( Base_de_Dados[[#This Row],[Semana]])&lt;=6,"1ª Semestre","2ª Semestre")</f>
        <v>1ª Semestre</v>
      </c>
    </row>
    <row r="438" spans="1:7" x14ac:dyDescent="0.25">
      <c r="A438" t="s">
        <v>9</v>
      </c>
      <c r="B438">
        <v>0</v>
      </c>
      <c r="C438" s="6">
        <v>0</v>
      </c>
      <c r="D438" s="54">
        <v>44928</v>
      </c>
      <c r="E438" s="54" t="str">
        <f>TEXT(Base_de_Dados[[#This Row],[Semana]],"Mmmm")</f>
        <v>janeiro</v>
      </c>
      <c r="F438">
        <f>YEAR(Base_de_Dados[[#This Row],[Semana]])</f>
        <v>2023</v>
      </c>
      <c r="G438" t="str">
        <f>IF(MONTH( Base_de_Dados[[#This Row],[Semana]])&lt;=6,"1ª Semestre","2ª Semestre")</f>
        <v>1ª Semestre</v>
      </c>
    </row>
    <row r="439" spans="1:7" x14ac:dyDescent="0.25">
      <c r="A439" t="s">
        <v>10</v>
      </c>
      <c r="B439">
        <v>0</v>
      </c>
      <c r="C439" s="6">
        <v>0</v>
      </c>
      <c r="D439" s="54">
        <v>44928</v>
      </c>
      <c r="E439" s="54" t="str">
        <f>TEXT(Base_de_Dados[[#This Row],[Semana]],"Mmmm")</f>
        <v>janeiro</v>
      </c>
      <c r="F439">
        <f>YEAR(Base_de_Dados[[#This Row],[Semana]])</f>
        <v>2023</v>
      </c>
      <c r="G439" t="str">
        <f>IF(MONTH( Base_de_Dados[[#This Row],[Semana]])&lt;=6,"1ª Semestre","2ª Semestre")</f>
        <v>1ª Semestre</v>
      </c>
    </row>
    <row r="440" spans="1:7" x14ac:dyDescent="0.25">
      <c r="A440" t="s">
        <v>11</v>
      </c>
      <c r="B440">
        <v>0</v>
      </c>
      <c r="C440" s="6">
        <v>0</v>
      </c>
      <c r="D440" s="54">
        <v>44928</v>
      </c>
      <c r="E440" s="54" t="str">
        <f>TEXT(Base_de_Dados[[#This Row],[Semana]],"Mmmm")</f>
        <v>janeiro</v>
      </c>
      <c r="F440">
        <f>YEAR(Base_de_Dados[[#This Row],[Semana]])</f>
        <v>2023</v>
      </c>
      <c r="G440" t="str">
        <f>IF(MONTH( Base_de_Dados[[#This Row],[Semana]])&lt;=6,"1ª Semestre","2ª Semestre")</f>
        <v>1ª Semestre</v>
      </c>
    </row>
    <row r="441" spans="1:7" x14ac:dyDescent="0.25">
      <c r="A441" t="s">
        <v>12</v>
      </c>
      <c r="B441">
        <v>0</v>
      </c>
      <c r="C441" s="6">
        <v>0</v>
      </c>
      <c r="D441" s="54">
        <v>44928</v>
      </c>
      <c r="E441" s="54" t="str">
        <f>TEXT(Base_de_Dados[[#This Row],[Semana]],"Mmmm")</f>
        <v>janeiro</v>
      </c>
      <c r="F441">
        <f>YEAR(Base_de_Dados[[#This Row],[Semana]])</f>
        <v>2023</v>
      </c>
      <c r="G441" t="str">
        <f>IF(MONTH( Base_de_Dados[[#This Row],[Semana]])&lt;=6,"1ª Semestre","2ª Semestre")</f>
        <v>1ª Semestre</v>
      </c>
    </row>
    <row r="442" spans="1:7" x14ac:dyDescent="0.25">
      <c r="A442" t="s">
        <v>132</v>
      </c>
      <c r="B442">
        <v>0</v>
      </c>
      <c r="C442" s="6">
        <v>0</v>
      </c>
      <c r="D442" s="54">
        <v>44928</v>
      </c>
      <c r="E442" s="54" t="str">
        <f>TEXT(Base_de_Dados[[#This Row],[Semana]],"Mmmm")</f>
        <v>janeiro</v>
      </c>
      <c r="F442">
        <f>YEAR(Base_de_Dados[[#This Row],[Semana]])</f>
        <v>2023</v>
      </c>
      <c r="G442" t="str">
        <f>IF(MONTH( Base_de_Dados[[#This Row],[Semana]])&lt;=6,"1ª Semestre","2ª Semestre")</f>
        <v>1ª Semestre</v>
      </c>
    </row>
    <row r="443" spans="1:7" x14ac:dyDescent="0.25">
      <c r="A443" t="s">
        <v>3</v>
      </c>
      <c r="B443">
        <v>0</v>
      </c>
      <c r="C443" s="6">
        <v>0</v>
      </c>
      <c r="D443" s="54">
        <v>44935</v>
      </c>
      <c r="E443" s="54" t="str">
        <f>TEXT(Base_de_Dados[[#This Row],[Semana]],"Mmmm")</f>
        <v>janeiro</v>
      </c>
      <c r="F443">
        <f>YEAR(Base_de_Dados[[#This Row],[Semana]])</f>
        <v>2023</v>
      </c>
      <c r="G443" t="str">
        <f>IF(MONTH( Base_de_Dados[[#This Row],[Semana]])&lt;=6,"1ª Semestre","2ª Semestre")</f>
        <v>1ª Semestre</v>
      </c>
    </row>
    <row r="444" spans="1:7" x14ac:dyDescent="0.25">
      <c r="A444" t="s">
        <v>4</v>
      </c>
      <c r="B444">
        <v>0</v>
      </c>
      <c r="C444" s="6">
        <v>0</v>
      </c>
      <c r="D444" s="54">
        <v>44935</v>
      </c>
      <c r="E444" s="54" t="str">
        <f>TEXT(Base_de_Dados[[#This Row],[Semana]],"Mmmm")</f>
        <v>janeiro</v>
      </c>
      <c r="F444">
        <f>YEAR(Base_de_Dados[[#This Row],[Semana]])</f>
        <v>2023</v>
      </c>
      <c r="G444" t="str">
        <f>IF(MONTH( Base_de_Dados[[#This Row],[Semana]])&lt;=6,"1ª Semestre","2ª Semestre")</f>
        <v>1ª Semestre</v>
      </c>
    </row>
    <row r="445" spans="1:7" x14ac:dyDescent="0.25">
      <c r="A445" t="s">
        <v>5</v>
      </c>
      <c r="B445">
        <v>0</v>
      </c>
      <c r="C445" s="6">
        <v>0</v>
      </c>
      <c r="D445" s="54">
        <v>44935</v>
      </c>
      <c r="E445" s="54" t="str">
        <f>TEXT(Base_de_Dados[[#This Row],[Semana]],"Mmmm")</f>
        <v>janeiro</v>
      </c>
      <c r="F445">
        <f>YEAR(Base_de_Dados[[#This Row],[Semana]])</f>
        <v>2023</v>
      </c>
      <c r="G445" t="str">
        <f>IF(MONTH( Base_de_Dados[[#This Row],[Semana]])&lt;=6,"1ª Semestre","2ª Semestre")</f>
        <v>1ª Semestre</v>
      </c>
    </row>
    <row r="446" spans="1:7" x14ac:dyDescent="0.25">
      <c r="A446" t="s">
        <v>6</v>
      </c>
      <c r="B446">
        <v>0</v>
      </c>
      <c r="C446" s="6">
        <v>0</v>
      </c>
      <c r="D446" s="54">
        <v>44935</v>
      </c>
      <c r="E446" s="54" t="str">
        <f>TEXT(Base_de_Dados[[#This Row],[Semana]],"Mmmm")</f>
        <v>janeiro</v>
      </c>
      <c r="F446">
        <f>YEAR(Base_de_Dados[[#This Row],[Semana]])</f>
        <v>2023</v>
      </c>
      <c r="G446" t="str">
        <f>IF(MONTH( Base_de_Dados[[#This Row],[Semana]])&lt;=6,"1ª Semestre","2ª Semestre")</f>
        <v>1ª Semestre</v>
      </c>
    </row>
    <row r="447" spans="1:7" x14ac:dyDescent="0.25">
      <c r="A447" t="s">
        <v>7</v>
      </c>
      <c r="B447">
        <v>0</v>
      </c>
      <c r="C447" s="6">
        <v>0</v>
      </c>
      <c r="D447" s="54">
        <v>44935</v>
      </c>
      <c r="E447" s="54" t="str">
        <f>TEXT(Base_de_Dados[[#This Row],[Semana]],"Mmmm")</f>
        <v>janeiro</v>
      </c>
      <c r="F447">
        <f>YEAR(Base_de_Dados[[#This Row],[Semana]])</f>
        <v>2023</v>
      </c>
      <c r="G447" t="str">
        <f>IF(MONTH( Base_de_Dados[[#This Row],[Semana]])&lt;=6,"1ª Semestre","2ª Semestre")</f>
        <v>1ª Semestre</v>
      </c>
    </row>
    <row r="448" spans="1:7" x14ac:dyDescent="0.25">
      <c r="A448" t="s">
        <v>8</v>
      </c>
      <c r="B448">
        <v>0</v>
      </c>
      <c r="C448" s="6">
        <v>0</v>
      </c>
      <c r="D448" s="54">
        <v>44935</v>
      </c>
      <c r="E448" s="54" t="str">
        <f>TEXT(Base_de_Dados[[#This Row],[Semana]],"Mmmm")</f>
        <v>janeiro</v>
      </c>
      <c r="F448">
        <f>YEAR(Base_de_Dados[[#This Row],[Semana]])</f>
        <v>2023</v>
      </c>
      <c r="G448" t="str">
        <f>IF(MONTH( Base_de_Dados[[#This Row],[Semana]])&lt;=6,"1ª Semestre","2ª Semestre")</f>
        <v>1ª Semestre</v>
      </c>
    </row>
    <row r="449" spans="1:7" x14ac:dyDescent="0.25">
      <c r="A449" t="s">
        <v>9</v>
      </c>
      <c r="B449">
        <v>0</v>
      </c>
      <c r="C449" s="6">
        <v>0</v>
      </c>
      <c r="D449" s="54">
        <v>44935</v>
      </c>
      <c r="E449" s="54" t="str">
        <f>TEXT(Base_de_Dados[[#This Row],[Semana]],"Mmmm")</f>
        <v>janeiro</v>
      </c>
      <c r="F449">
        <f>YEAR(Base_de_Dados[[#This Row],[Semana]])</f>
        <v>2023</v>
      </c>
      <c r="G449" t="str">
        <f>IF(MONTH( Base_de_Dados[[#This Row],[Semana]])&lt;=6,"1ª Semestre","2ª Semestre")</f>
        <v>1ª Semestre</v>
      </c>
    </row>
    <row r="450" spans="1:7" x14ac:dyDescent="0.25">
      <c r="A450" t="s">
        <v>10</v>
      </c>
      <c r="B450">
        <v>0</v>
      </c>
      <c r="C450" s="6">
        <v>0</v>
      </c>
      <c r="D450" s="54">
        <v>44935</v>
      </c>
      <c r="E450" s="54" t="str">
        <f>TEXT(Base_de_Dados[[#This Row],[Semana]],"Mmmm")</f>
        <v>janeiro</v>
      </c>
      <c r="F450">
        <f>YEAR(Base_de_Dados[[#This Row],[Semana]])</f>
        <v>2023</v>
      </c>
      <c r="G450" t="str">
        <f>IF(MONTH( Base_de_Dados[[#This Row],[Semana]])&lt;=6,"1ª Semestre","2ª Semestre")</f>
        <v>1ª Semestre</v>
      </c>
    </row>
    <row r="451" spans="1:7" x14ac:dyDescent="0.25">
      <c r="A451" t="s">
        <v>11</v>
      </c>
      <c r="B451">
        <v>0</v>
      </c>
      <c r="C451" s="6">
        <v>0</v>
      </c>
      <c r="D451" s="54">
        <v>44935</v>
      </c>
      <c r="E451" s="54" t="str">
        <f>TEXT(Base_de_Dados[[#This Row],[Semana]],"Mmmm")</f>
        <v>janeiro</v>
      </c>
      <c r="F451">
        <f>YEAR(Base_de_Dados[[#This Row],[Semana]])</f>
        <v>2023</v>
      </c>
      <c r="G451" t="str">
        <f>IF(MONTH( Base_de_Dados[[#This Row],[Semana]])&lt;=6,"1ª Semestre","2ª Semestre")</f>
        <v>1ª Semestre</v>
      </c>
    </row>
    <row r="452" spans="1:7" x14ac:dyDescent="0.25">
      <c r="A452" t="s">
        <v>12</v>
      </c>
      <c r="B452">
        <v>1</v>
      </c>
      <c r="C452" s="6">
        <v>1</v>
      </c>
      <c r="D452" s="54">
        <v>44935</v>
      </c>
      <c r="E452" s="54" t="str">
        <f>TEXT(Base_de_Dados[[#This Row],[Semana]],"Mmmm")</f>
        <v>janeiro</v>
      </c>
      <c r="F452">
        <f>YEAR(Base_de_Dados[[#This Row],[Semana]])</f>
        <v>2023</v>
      </c>
      <c r="G452" t="str">
        <f>IF(MONTH( Base_de_Dados[[#This Row],[Semana]])&lt;=6,"1ª Semestre","2ª Semestre")</f>
        <v>1ª Semestre</v>
      </c>
    </row>
    <row r="453" spans="1:7" x14ac:dyDescent="0.25">
      <c r="A453" t="s">
        <v>132</v>
      </c>
      <c r="B453">
        <v>0</v>
      </c>
      <c r="C453" s="6">
        <v>0</v>
      </c>
      <c r="D453" s="54">
        <v>44935</v>
      </c>
      <c r="E453" s="54" t="str">
        <f>TEXT(Base_de_Dados[[#This Row],[Semana]],"Mmmm")</f>
        <v>janeiro</v>
      </c>
      <c r="F453">
        <f>YEAR(Base_de_Dados[[#This Row],[Semana]])</f>
        <v>2023</v>
      </c>
      <c r="G453" t="str">
        <f>IF(MONTH( Base_de_Dados[[#This Row],[Semana]])&lt;=6,"1ª Semestre","2ª Semestre")</f>
        <v>1ª Semestre</v>
      </c>
    </row>
    <row r="454" spans="1:7" x14ac:dyDescent="0.25">
      <c r="A454" t="s">
        <v>3</v>
      </c>
      <c r="B454">
        <v>0</v>
      </c>
      <c r="C454" s="6">
        <v>0</v>
      </c>
      <c r="D454" s="54">
        <v>44942</v>
      </c>
      <c r="E454" s="54" t="str">
        <f>TEXT(Base_de_Dados[[#This Row],[Semana]],"Mmmm")</f>
        <v>janeiro</v>
      </c>
      <c r="F454">
        <f>YEAR(Base_de_Dados[[#This Row],[Semana]])</f>
        <v>2023</v>
      </c>
      <c r="G454" t="str">
        <f>IF(MONTH( Base_de_Dados[[#This Row],[Semana]])&lt;=6,"1ª Semestre","2ª Semestre")</f>
        <v>1ª Semestre</v>
      </c>
    </row>
    <row r="455" spans="1:7" x14ac:dyDescent="0.25">
      <c r="A455" t="s">
        <v>4</v>
      </c>
      <c r="B455">
        <v>2</v>
      </c>
      <c r="C455" s="6">
        <v>1</v>
      </c>
      <c r="D455" s="54">
        <v>44942</v>
      </c>
      <c r="E455" s="54" t="str">
        <f>TEXT(Base_de_Dados[[#This Row],[Semana]],"Mmmm")</f>
        <v>janeiro</v>
      </c>
      <c r="F455">
        <f>YEAR(Base_de_Dados[[#This Row],[Semana]])</f>
        <v>2023</v>
      </c>
      <c r="G455" t="str">
        <f>IF(MONTH( Base_de_Dados[[#This Row],[Semana]])&lt;=6,"1ª Semestre","2ª Semestre")</f>
        <v>1ª Semestre</v>
      </c>
    </row>
    <row r="456" spans="1:7" x14ac:dyDescent="0.25">
      <c r="A456" t="s">
        <v>5</v>
      </c>
      <c r="B456">
        <v>0</v>
      </c>
      <c r="C456" s="6">
        <v>0</v>
      </c>
      <c r="D456" s="54">
        <v>44942</v>
      </c>
      <c r="E456" s="54" t="str">
        <f>TEXT(Base_de_Dados[[#This Row],[Semana]],"Mmmm")</f>
        <v>janeiro</v>
      </c>
      <c r="F456">
        <f>YEAR(Base_de_Dados[[#This Row],[Semana]])</f>
        <v>2023</v>
      </c>
      <c r="G456" t="str">
        <f>IF(MONTH( Base_de_Dados[[#This Row],[Semana]])&lt;=6,"1ª Semestre","2ª Semestre")</f>
        <v>1ª Semestre</v>
      </c>
    </row>
    <row r="457" spans="1:7" x14ac:dyDescent="0.25">
      <c r="A457" t="s">
        <v>6</v>
      </c>
      <c r="B457">
        <v>0</v>
      </c>
      <c r="C457" s="6">
        <v>0</v>
      </c>
      <c r="D457" s="54">
        <v>44942</v>
      </c>
      <c r="E457" s="54" t="str">
        <f>TEXT(Base_de_Dados[[#This Row],[Semana]],"Mmmm")</f>
        <v>janeiro</v>
      </c>
      <c r="F457">
        <f>YEAR(Base_de_Dados[[#This Row],[Semana]])</f>
        <v>2023</v>
      </c>
      <c r="G457" t="str">
        <f>IF(MONTH( Base_de_Dados[[#This Row],[Semana]])&lt;=6,"1ª Semestre","2ª Semestre")</f>
        <v>1ª Semestre</v>
      </c>
    </row>
    <row r="458" spans="1:7" x14ac:dyDescent="0.25">
      <c r="A458" t="s">
        <v>7</v>
      </c>
      <c r="B458">
        <v>0</v>
      </c>
      <c r="C458" s="6">
        <v>0</v>
      </c>
      <c r="D458" s="54">
        <v>44942</v>
      </c>
      <c r="E458" s="54" t="str">
        <f>TEXT(Base_de_Dados[[#This Row],[Semana]],"Mmmm")</f>
        <v>janeiro</v>
      </c>
      <c r="F458">
        <f>YEAR(Base_de_Dados[[#This Row],[Semana]])</f>
        <v>2023</v>
      </c>
      <c r="G458" t="str">
        <f>IF(MONTH( Base_de_Dados[[#This Row],[Semana]])&lt;=6,"1ª Semestre","2ª Semestre")</f>
        <v>1ª Semestre</v>
      </c>
    </row>
    <row r="459" spans="1:7" x14ac:dyDescent="0.25">
      <c r="A459" t="s">
        <v>8</v>
      </c>
      <c r="B459">
        <v>0</v>
      </c>
      <c r="C459" s="6">
        <v>0</v>
      </c>
      <c r="D459" s="54">
        <v>44942</v>
      </c>
      <c r="E459" s="54" t="str">
        <f>TEXT(Base_de_Dados[[#This Row],[Semana]],"Mmmm")</f>
        <v>janeiro</v>
      </c>
      <c r="F459">
        <f>YEAR(Base_de_Dados[[#This Row],[Semana]])</f>
        <v>2023</v>
      </c>
      <c r="G459" t="str">
        <f>IF(MONTH( Base_de_Dados[[#This Row],[Semana]])&lt;=6,"1ª Semestre","2ª Semestre")</f>
        <v>1ª Semestre</v>
      </c>
    </row>
    <row r="460" spans="1:7" x14ac:dyDescent="0.25">
      <c r="A460" t="s">
        <v>9</v>
      </c>
      <c r="B460">
        <v>0</v>
      </c>
      <c r="C460" s="6">
        <v>0</v>
      </c>
      <c r="D460" s="54">
        <v>44942</v>
      </c>
      <c r="E460" s="54" t="str">
        <f>TEXT(Base_de_Dados[[#This Row],[Semana]],"Mmmm")</f>
        <v>janeiro</v>
      </c>
      <c r="F460">
        <f>YEAR(Base_de_Dados[[#This Row],[Semana]])</f>
        <v>2023</v>
      </c>
      <c r="G460" t="str">
        <f>IF(MONTH( Base_de_Dados[[#This Row],[Semana]])&lt;=6,"1ª Semestre","2ª Semestre")</f>
        <v>1ª Semestre</v>
      </c>
    </row>
    <row r="461" spans="1:7" x14ac:dyDescent="0.25">
      <c r="A461" t="s">
        <v>10</v>
      </c>
      <c r="B461">
        <v>0</v>
      </c>
      <c r="C461" s="6">
        <v>0</v>
      </c>
      <c r="D461" s="54">
        <v>44942</v>
      </c>
      <c r="E461" s="54" t="str">
        <f>TEXT(Base_de_Dados[[#This Row],[Semana]],"Mmmm")</f>
        <v>janeiro</v>
      </c>
      <c r="F461">
        <f>YEAR(Base_de_Dados[[#This Row],[Semana]])</f>
        <v>2023</v>
      </c>
      <c r="G461" t="str">
        <f>IF(MONTH( Base_de_Dados[[#This Row],[Semana]])&lt;=6,"1ª Semestre","2ª Semestre")</f>
        <v>1ª Semestre</v>
      </c>
    </row>
    <row r="462" spans="1:7" x14ac:dyDescent="0.25">
      <c r="A462" t="s">
        <v>11</v>
      </c>
      <c r="B462">
        <v>0</v>
      </c>
      <c r="C462" s="6">
        <v>0</v>
      </c>
      <c r="D462" s="54">
        <v>44942</v>
      </c>
      <c r="E462" s="54" t="str">
        <f>TEXT(Base_de_Dados[[#This Row],[Semana]],"Mmmm")</f>
        <v>janeiro</v>
      </c>
      <c r="F462">
        <f>YEAR(Base_de_Dados[[#This Row],[Semana]])</f>
        <v>2023</v>
      </c>
      <c r="G462" t="str">
        <f>IF(MONTH( Base_de_Dados[[#This Row],[Semana]])&lt;=6,"1ª Semestre","2ª Semestre")</f>
        <v>1ª Semestre</v>
      </c>
    </row>
    <row r="463" spans="1:7" x14ac:dyDescent="0.25">
      <c r="A463" t="s">
        <v>12</v>
      </c>
      <c r="B463">
        <v>0</v>
      </c>
      <c r="C463" s="6">
        <v>0</v>
      </c>
      <c r="D463" s="54">
        <v>44942</v>
      </c>
      <c r="E463" s="54" t="str">
        <f>TEXT(Base_de_Dados[[#This Row],[Semana]],"Mmmm")</f>
        <v>janeiro</v>
      </c>
      <c r="F463">
        <f>YEAR(Base_de_Dados[[#This Row],[Semana]])</f>
        <v>2023</v>
      </c>
      <c r="G463" t="str">
        <f>IF(MONTH( Base_de_Dados[[#This Row],[Semana]])&lt;=6,"1ª Semestre","2ª Semestre")</f>
        <v>1ª Semestre</v>
      </c>
    </row>
    <row r="464" spans="1:7" x14ac:dyDescent="0.25">
      <c r="A464" t="s">
        <v>132</v>
      </c>
      <c r="B464">
        <v>0</v>
      </c>
      <c r="C464" s="6">
        <v>0</v>
      </c>
      <c r="D464" s="54">
        <v>44942</v>
      </c>
      <c r="E464" s="54" t="str">
        <f>TEXT(Base_de_Dados[[#This Row],[Semana]],"Mmmm")</f>
        <v>janeiro</v>
      </c>
      <c r="F464">
        <f>YEAR(Base_de_Dados[[#This Row],[Semana]])</f>
        <v>2023</v>
      </c>
      <c r="G464" t="str">
        <f>IF(MONTH( Base_de_Dados[[#This Row],[Semana]])&lt;=6,"1ª Semestre","2ª Semestre")</f>
        <v>1ª Semestre</v>
      </c>
    </row>
    <row r="465" spans="1:7" x14ac:dyDescent="0.25">
      <c r="A465" t="s">
        <v>3</v>
      </c>
      <c r="B465">
        <v>1</v>
      </c>
      <c r="C465" s="6">
        <v>0.16666666666666666</v>
      </c>
      <c r="D465" s="54">
        <v>44956</v>
      </c>
      <c r="E465" s="54" t="str">
        <f>TEXT(Base_de_Dados[[#This Row],[Semana]],"Mmmm")</f>
        <v>janeiro</v>
      </c>
      <c r="F465">
        <f>YEAR(Base_de_Dados[[#This Row],[Semana]])</f>
        <v>2023</v>
      </c>
      <c r="G465" t="str">
        <f>IF(MONTH( Base_de_Dados[[#This Row],[Semana]])&lt;=6,"1ª Semestre","2ª Semestre")</f>
        <v>1ª Semestre</v>
      </c>
    </row>
    <row r="466" spans="1:7" x14ac:dyDescent="0.25">
      <c r="A466" t="s">
        <v>4</v>
      </c>
      <c r="B466">
        <v>1</v>
      </c>
      <c r="C466" s="6">
        <v>0.16666666666666666</v>
      </c>
      <c r="D466" s="54">
        <v>44956</v>
      </c>
      <c r="E466" s="54" t="str">
        <f>TEXT(Base_de_Dados[[#This Row],[Semana]],"Mmmm")</f>
        <v>janeiro</v>
      </c>
      <c r="F466">
        <f>YEAR(Base_de_Dados[[#This Row],[Semana]])</f>
        <v>2023</v>
      </c>
      <c r="G466" t="str">
        <f>IF(MONTH( Base_de_Dados[[#This Row],[Semana]])&lt;=6,"1ª Semestre","2ª Semestre")</f>
        <v>1ª Semestre</v>
      </c>
    </row>
    <row r="467" spans="1:7" x14ac:dyDescent="0.25">
      <c r="A467" t="s">
        <v>5</v>
      </c>
      <c r="B467">
        <v>1</v>
      </c>
      <c r="C467" s="6">
        <v>0.16666666666666666</v>
      </c>
      <c r="D467" s="54">
        <v>44956</v>
      </c>
      <c r="E467" s="54" t="str">
        <f>TEXT(Base_de_Dados[[#This Row],[Semana]],"Mmmm")</f>
        <v>janeiro</v>
      </c>
      <c r="F467">
        <f>YEAR(Base_de_Dados[[#This Row],[Semana]])</f>
        <v>2023</v>
      </c>
      <c r="G467" t="str">
        <f>IF(MONTH( Base_de_Dados[[#This Row],[Semana]])&lt;=6,"1ª Semestre","2ª Semestre")</f>
        <v>1ª Semestre</v>
      </c>
    </row>
    <row r="468" spans="1:7" x14ac:dyDescent="0.25">
      <c r="A468" t="s">
        <v>6</v>
      </c>
      <c r="B468">
        <v>0</v>
      </c>
      <c r="C468" s="6">
        <v>0</v>
      </c>
      <c r="D468" s="54">
        <v>44956</v>
      </c>
      <c r="E468" s="54" t="str">
        <f>TEXT(Base_de_Dados[[#This Row],[Semana]],"Mmmm")</f>
        <v>janeiro</v>
      </c>
      <c r="F468">
        <f>YEAR(Base_de_Dados[[#This Row],[Semana]])</f>
        <v>2023</v>
      </c>
      <c r="G468" t="str">
        <f>IF(MONTH( Base_de_Dados[[#This Row],[Semana]])&lt;=6,"1ª Semestre","2ª Semestre")</f>
        <v>1ª Semestre</v>
      </c>
    </row>
    <row r="469" spans="1:7" x14ac:dyDescent="0.25">
      <c r="A469" t="s">
        <v>7</v>
      </c>
      <c r="B469">
        <v>1</v>
      </c>
      <c r="C469" s="6">
        <v>0.16666666666666666</v>
      </c>
      <c r="D469" s="54">
        <v>44956</v>
      </c>
      <c r="E469" s="54" t="str">
        <f>TEXT(Base_de_Dados[[#This Row],[Semana]],"Mmmm")</f>
        <v>janeiro</v>
      </c>
      <c r="F469">
        <f>YEAR(Base_de_Dados[[#This Row],[Semana]])</f>
        <v>2023</v>
      </c>
      <c r="G469" t="str">
        <f>IF(MONTH( Base_de_Dados[[#This Row],[Semana]])&lt;=6,"1ª Semestre","2ª Semestre")</f>
        <v>1ª Semestre</v>
      </c>
    </row>
    <row r="470" spans="1:7" x14ac:dyDescent="0.25">
      <c r="A470" t="s">
        <v>8</v>
      </c>
      <c r="B470">
        <v>0</v>
      </c>
      <c r="C470" s="6">
        <v>0</v>
      </c>
      <c r="D470" s="54">
        <v>44956</v>
      </c>
      <c r="E470" s="54" t="str">
        <f>TEXT(Base_de_Dados[[#This Row],[Semana]],"Mmmm")</f>
        <v>janeiro</v>
      </c>
      <c r="F470">
        <f>YEAR(Base_de_Dados[[#This Row],[Semana]])</f>
        <v>2023</v>
      </c>
      <c r="G470" t="str">
        <f>IF(MONTH( Base_de_Dados[[#This Row],[Semana]])&lt;=6,"1ª Semestre","2ª Semestre")</f>
        <v>1ª Semestre</v>
      </c>
    </row>
    <row r="471" spans="1:7" x14ac:dyDescent="0.25">
      <c r="A471" t="s">
        <v>9</v>
      </c>
      <c r="B471">
        <v>2</v>
      </c>
      <c r="C471" s="6">
        <v>0.33333333333333331</v>
      </c>
      <c r="D471" s="54">
        <v>44956</v>
      </c>
      <c r="E471" s="54" t="str">
        <f>TEXT(Base_de_Dados[[#This Row],[Semana]],"Mmmm")</f>
        <v>janeiro</v>
      </c>
      <c r="F471">
        <f>YEAR(Base_de_Dados[[#This Row],[Semana]])</f>
        <v>2023</v>
      </c>
      <c r="G471" t="str">
        <f>IF(MONTH( Base_de_Dados[[#This Row],[Semana]])&lt;=6,"1ª Semestre","2ª Semestre")</f>
        <v>1ª Semestre</v>
      </c>
    </row>
    <row r="472" spans="1:7" x14ac:dyDescent="0.25">
      <c r="A472" t="s">
        <v>10</v>
      </c>
      <c r="B472">
        <v>0</v>
      </c>
      <c r="C472" s="6">
        <v>0</v>
      </c>
      <c r="D472" s="54">
        <v>44956</v>
      </c>
      <c r="E472" s="54" t="str">
        <f>TEXT(Base_de_Dados[[#This Row],[Semana]],"Mmmm")</f>
        <v>janeiro</v>
      </c>
      <c r="F472">
        <f>YEAR(Base_de_Dados[[#This Row],[Semana]])</f>
        <v>2023</v>
      </c>
      <c r="G472" t="str">
        <f>IF(MONTH( Base_de_Dados[[#This Row],[Semana]])&lt;=6,"1ª Semestre","2ª Semestre")</f>
        <v>1ª Semestre</v>
      </c>
    </row>
    <row r="473" spans="1:7" x14ac:dyDescent="0.25">
      <c r="A473" t="s">
        <v>11</v>
      </c>
      <c r="B473">
        <v>0</v>
      </c>
      <c r="C473" s="6">
        <v>0</v>
      </c>
      <c r="D473" s="54">
        <v>44956</v>
      </c>
      <c r="E473" s="54" t="str">
        <f>TEXT(Base_de_Dados[[#This Row],[Semana]],"Mmmm")</f>
        <v>janeiro</v>
      </c>
      <c r="F473">
        <f>YEAR(Base_de_Dados[[#This Row],[Semana]])</f>
        <v>2023</v>
      </c>
      <c r="G473" t="str">
        <f>IF(MONTH( Base_de_Dados[[#This Row],[Semana]])&lt;=6,"1ª Semestre","2ª Semestre")</f>
        <v>1ª Semestre</v>
      </c>
    </row>
    <row r="474" spans="1:7" x14ac:dyDescent="0.25">
      <c r="A474" t="s">
        <v>12</v>
      </c>
      <c r="B474">
        <v>0</v>
      </c>
      <c r="C474" s="6">
        <v>0</v>
      </c>
      <c r="D474" s="54">
        <v>44956</v>
      </c>
      <c r="E474" s="54" t="str">
        <f>TEXT(Base_de_Dados[[#This Row],[Semana]],"Mmmm")</f>
        <v>janeiro</v>
      </c>
      <c r="F474">
        <f>YEAR(Base_de_Dados[[#This Row],[Semana]])</f>
        <v>2023</v>
      </c>
      <c r="G474" t="str">
        <f>IF(MONTH( Base_de_Dados[[#This Row],[Semana]])&lt;=6,"1ª Semestre","2ª Semestre")</f>
        <v>1ª Semestre</v>
      </c>
    </row>
    <row r="475" spans="1:7" x14ac:dyDescent="0.25">
      <c r="A475" t="s">
        <v>132</v>
      </c>
      <c r="B475">
        <v>0</v>
      </c>
      <c r="C475" s="6">
        <v>0</v>
      </c>
      <c r="D475" s="54">
        <v>44956</v>
      </c>
      <c r="E475" s="54" t="str">
        <f>TEXT(Base_de_Dados[[#This Row],[Semana]],"Mmmm")</f>
        <v>janeiro</v>
      </c>
      <c r="F475">
        <f>YEAR(Base_de_Dados[[#This Row],[Semana]])</f>
        <v>2023</v>
      </c>
      <c r="G475" t="str">
        <f>IF(MONTH( Base_de_Dados[[#This Row],[Semana]])&lt;=6,"1ª Semestre","2ª Semestre")</f>
        <v>1ª Semestre</v>
      </c>
    </row>
    <row r="476" spans="1:7" x14ac:dyDescent="0.25">
      <c r="A476" t="s">
        <v>3</v>
      </c>
      <c r="B476">
        <v>4</v>
      </c>
      <c r="C476" s="6">
        <v>0.26666666666666666</v>
      </c>
      <c r="D476" s="54">
        <v>44963</v>
      </c>
      <c r="E476" s="54" t="str">
        <f>TEXT(Base_de_Dados[[#This Row],[Semana]],"Mmmm")</f>
        <v>fevereiro</v>
      </c>
      <c r="F476">
        <f>YEAR(Base_de_Dados[[#This Row],[Semana]])</f>
        <v>2023</v>
      </c>
      <c r="G476" t="str">
        <f>IF(MONTH( Base_de_Dados[[#This Row],[Semana]])&lt;=6,"1ª Semestre","2ª Semestre")</f>
        <v>1ª Semestre</v>
      </c>
    </row>
    <row r="477" spans="1:7" x14ac:dyDescent="0.25">
      <c r="A477" t="s">
        <v>4</v>
      </c>
      <c r="B477">
        <v>0</v>
      </c>
      <c r="C477" s="6">
        <v>0</v>
      </c>
      <c r="D477" s="54">
        <v>44963</v>
      </c>
      <c r="E477" s="54" t="str">
        <f>TEXT(Base_de_Dados[[#This Row],[Semana]],"Mmmm")</f>
        <v>fevereiro</v>
      </c>
      <c r="F477">
        <f>YEAR(Base_de_Dados[[#This Row],[Semana]])</f>
        <v>2023</v>
      </c>
      <c r="G477" t="str">
        <f>IF(MONTH( Base_de_Dados[[#This Row],[Semana]])&lt;=6,"1ª Semestre","2ª Semestre")</f>
        <v>1ª Semestre</v>
      </c>
    </row>
    <row r="478" spans="1:7" x14ac:dyDescent="0.25">
      <c r="A478" t="s">
        <v>5</v>
      </c>
      <c r="B478">
        <v>1</v>
      </c>
      <c r="C478" s="6">
        <v>6.6666666666666666E-2</v>
      </c>
      <c r="D478" s="54">
        <v>44963</v>
      </c>
      <c r="E478" s="54" t="str">
        <f>TEXT(Base_de_Dados[[#This Row],[Semana]],"Mmmm")</f>
        <v>fevereiro</v>
      </c>
      <c r="F478">
        <f>YEAR(Base_de_Dados[[#This Row],[Semana]])</f>
        <v>2023</v>
      </c>
      <c r="G478" t="str">
        <f>IF(MONTH( Base_de_Dados[[#This Row],[Semana]])&lt;=6,"1ª Semestre","2ª Semestre")</f>
        <v>1ª Semestre</v>
      </c>
    </row>
    <row r="479" spans="1:7" x14ac:dyDescent="0.25">
      <c r="A479" t="s">
        <v>6</v>
      </c>
      <c r="B479">
        <v>0</v>
      </c>
      <c r="C479" s="6">
        <v>0</v>
      </c>
      <c r="D479" s="54">
        <v>44963</v>
      </c>
      <c r="E479" s="54" t="str">
        <f>TEXT(Base_de_Dados[[#This Row],[Semana]],"Mmmm")</f>
        <v>fevereiro</v>
      </c>
      <c r="F479">
        <f>YEAR(Base_de_Dados[[#This Row],[Semana]])</f>
        <v>2023</v>
      </c>
      <c r="G479" t="str">
        <f>IF(MONTH( Base_de_Dados[[#This Row],[Semana]])&lt;=6,"1ª Semestre","2ª Semestre")</f>
        <v>1ª Semestre</v>
      </c>
    </row>
    <row r="480" spans="1:7" x14ac:dyDescent="0.25">
      <c r="A480" t="s">
        <v>7</v>
      </c>
      <c r="B480">
        <v>0</v>
      </c>
      <c r="C480" s="6">
        <v>0</v>
      </c>
      <c r="D480" s="54">
        <v>44963</v>
      </c>
      <c r="E480" s="54" t="str">
        <f>TEXT(Base_de_Dados[[#This Row],[Semana]],"Mmmm")</f>
        <v>fevereiro</v>
      </c>
      <c r="F480">
        <f>YEAR(Base_de_Dados[[#This Row],[Semana]])</f>
        <v>2023</v>
      </c>
      <c r="G480" t="str">
        <f>IF(MONTH( Base_de_Dados[[#This Row],[Semana]])&lt;=6,"1ª Semestre","2ª Semestre")</f>
        <v>1ª Semestre</v>
      </c>
    </row>
    <row r="481" spans="1:7" x14ac:dyDescent="0.25">
      <c r="A481" t="s">
        <v>8</v>
      </c>
      <c r="B481">
        <v>0</v>
      </c>
      <c r="C481" s="6">
        <v>0</v>
      </c>
      <c r="D481" s="54">
        <v>44963</v>
      </c>
      <c r="E481" s="54" t="str">
        <f>TEXT(Base_de_Dados[[#This Row],[Semana]],"Mmmm")</f>
        <v>fevereiro</v>
      </c>
      <c r="F481">
        <f>YEAR(Base_de_Dados[[#This Row],[Semana]])</f>
        <v>2023</v>
      </c>
      <c r="G481" t="str">
        <f>IF(MONTH( Base_de_Dados[[#This Row],[Semana]])&lt;=6,"1ª Semestre","2ª Semestre")</f>
        <v>1ª Semestre</v>
      </c>
    </row>
    <row r="482" spans="1:7" x14ac:dyDescent="0.25">
      <c r="A482" t="s">
        <v>9</v>
      </c>
      <c r="B482">
        <v>7</v>
      </c>
      <c r="C482" s="6">
        <v>0.46666666666666667</v>
      </c>
      <c r="D482" s="54">
        <v>44963</v>
      </c>
      <c r="E482" s="54" t="str">
        <f>TEXT(Base_de_Dados[[#This Row],[Semana]],"Mmmm")</f>
        <v>fevereiro</v>
      </c>
      <c r="F482">
        <f>YEAR(Base_de_Dados[[#This Row],[Semana]])</f>
        <v>2023</v>
      </c>
      <c r="G482" t="str">
        <f>IF(MONTH( Base_de_Dados[[#This Row],[Semana]])&lt;=6,"1ª Semestre","2ª Semestre")</f>
        <v>1ª Semestre</v>
      </c>
    </row>
    <row r="483" spans="1:7" x14ac:dyDescent="0.25">
      <c r="A483" t="s">
        <v>10</v>
      </c>
      <c r="B483">
        <v>1</v>
      </c>
      <c r="C483" s="6">
        <v>6.6666666666666666E-2</v>
      </c>
      <c r="D483" s="54">
        <v>44963</v>
      </c>
      <c r="E483" s="54" t="str">
        <f>TEXT(Base_de_Dados[[#This Row],[Semana]],"Mmmm")</f>
        <v>fevereiro</v>
      </c>
      <c r="F483">
        <f>YEAR(Base_de_Dados[[#This Row],[Semana]])</f>
        <v>2023</v>
      </c>
      <c r="G483" t="str">
        <f>IF(MONTH( Base_de_Dados[[#This Row],[Semana]])&lt;=6,"1ª Semestre","2ª Semestre")</f>
        <v>1ª Semestre</v>
      </c>
    </row>
    <row r="484" spans="1:7" x14ac:dyDescent="0.25">
      <c r="A484" t="s">
        <v>11</v>
      </c>
      <c r="B484">
        <v>0</v>
      </c>
      <c r="C484" s="6">
        <v>0</v>
      </c>
      <c r="D484" s="54">
        <v>44963</v>
      </c>
      <c r="E484" s="54" t="str">
        <f>TEXT(Base_de_Dados[[#This Row],[Semana]],"Mmmm")</f>
        <v>fevereiro</v>
      </c>
      <c r="F484">
        <f>YEAR(Base_de_Dados[[#This Row],[Semana]])</f>
        <v>2023</v>
      </c>
      <c r="G484" t="str">
        <f>IF(MONTH( Base_de_Dados[[#This Row],[Semana]])&lt;=6,"1ª Semestre","2ª Semestre")</f>
        <v>1ª Semestre</v>
      </c>
    </row>
    <row r="485" spans="1:7" x14ac:dyDescent="0.25">
      <c r="A485" t="s">
        <v>12</v>
      </c>
      <c r="B485">
        <v>2</v>
      </c>
      <c r="C485" s="6">
        <v>0.13333333333333333</v>
      </c>
      <c r="D485" s="54">
        <v>44963</v>
      </c>
      <c r="E485" s="54" t="str">
        <f>TEXT(Base_de_Dados[[#This Row],[Semana]],"Mmmm")</f>
        <v>fevereiro</v>
      </c>
      <c r="F485">
        <f>YEAR(Base_de_Dados[[#This Row],[Semana]])</f>
        <v>2023</v>
      </c>
      <c r="G485" t="str">
        <f>IF(MONTH( Base_de_Dados[[#This Row],[Semana]])&lt;=6,"1ª Semestre","2ª Semestre")</f>
        <v>1ª Semestre</v>
      </c>
    </row>
    <row r="486" spans="1:7" x14ac:dyDescent="0.25">
      <c r="A486" t="s">
        <v>132</v>
      </c>
      <c r="B486">
        <v>0</v>
      </c>
      <c r="C486" s="6">
        <v>0</v>
      </c>
      <c r="D486" s="54">
        <v>44963</v>
      </c>
      <c r="E486" s="54" t="str">
        <f>TEXT(Base_de_Dados[[#This Row],[Semana]],"Mmmm")</f>
        <v>fevereiro</v>
      </c>
      <c r="F486">
        <f>YEAR(Base_de_Dados[[#This Row],[Semana]])</f>
        <v>2023</v>
      </c>
      <c r="G486" t="str">
        <f>IF(MONTH( Base_de_Dados[[#This Row],[Semana]])&lt;=6,"1ª Semestre","2ª Semestre")</f>
        <v>1ª Semestre</v>
      </c>
    </row>
    <row r="487" spans="1:7" x14ac:dyDescent="0.25">
      <c r="A487" t="s">
        <v>3</v>
      </c>
      <c r="B487">
        <v>3</v>
      </c>
      <c r="C487" s="6">
        <v>0.04</v>
      </c>
      <c r="D487" s="54">
        <v>44970</v>
      </c>
      <c r="E487" s="54" t="str">
        <f>TEXT(Base_de_Dados[[#This Row],[Semana]],"Mmmm")</f>
        <v>fevereiro</v>
      </c>
      <c r="F487">
        <f>YEAR(Base_de_Dados[[#This Row],[Semana]])</f>
        <v>2023</v>
      </c>
      <c r="G487" t="str">
        <f>IF(MONTH( Base_de_Dados[[#This Row],[Semana]])&lt;=6,"1ª Semestre","2ª Semestre")</f>
        <v>1ª Semestre</v>
      </c>
    </row>
    <row r="488" spans="1:7" x14ac:dyDescent="0.25">
      <c r="A488" t="s">
        <v>4</v>
      </c>
      <c r="B488">
        <v>0</v>
      </c>
      <c r="C488" s="6">
        <v>0</v>
      </c>
      <c r="D488" s="54">
        <v>44970</v>
      </c>
      <c r="E488" s="54" t="str">
        <f>TEXT(Base_de_Dados[[#This Row],[Semana]],"Mmmm")</f>
        <v>fevereiro</v>
      </c>
      <c r="F488">
        <f>YEAR(Base_de_Dados[[#This Row],[Semana]])</f>
        <v>2023</v>
      </c>
      <c r="G488" t="str">
        <f>IF(MONTH( Base_de_Dados[[#This Row],[Semana]])&lt;=6,"1ª Semestre","2ª Semestre")</f>
        <v>1ª Semestre</v>
      </c>
    </row>
    <row r="489" spans="1:7" x14ac:dyDescent="0.25">
      <c r="A489" t="s">
        <v>5</v>
      </c>
      <c r="B489">
        <v>0</v>
      </c>
      <c r="C489" s="6">
        <v>0</v>
      </c>
      <c r="D489" s="54">
        <v>44970</v>
      </c>
      <c r="E489" s="54" t="str">
        <f>TEXT(Base_de_Dados[[#This Row],[Semana]],"Mmmm")</f>
        <v>fevereiro</v>
      </c>
      <c r="F489">
        <f>YEAR(Base_de_Dados[[#This Row],[Semana]])</f>
        <v>2023</v>
      </c>
      <c r="G489" t="str">
        <f>IF(MONTH( Base_de_Dados[[#This Row],[Semana]])&lt;=6,"1ª Semestre","2ª Semestre")</f>
        <v>1ª Semestre</v>
      </c>
    </row>
    <row r="490" spans="1:7" x14ac:dyDescent="0.25">
      <c r="A490" t="s">
        <v>6</v>
      </c>
      <c r="B490">
        <v>0</v>
      </c>
      <c r="C490" s="6">
        <v>0</v>
      </c>
      <c r="D490" s="54">
        <v>44970</v>
      </c>
      <c r="E490" s="54" t="str">
        <f>TEXT(Base_de_Dados[[#This Row],[Semana]],"Mmmm")</f>
        <v>fevereiro</v>
      </c>
      <c r="F490">
        <f>YEAR(Base_de_Dados[[#This Row],[Semana]])</f>
        <v>2023</v>
      </c>
      <c r="G490" t="str">
        <f>IF(MONTH( Base_de_Dados[[#This Row],[Semana]])&lt;=6,"1ª Semestre","2ª Semestre")</f>
        <v>1ª Semestre</v>
      </c>
    </row>
    <row r="491" spans="1:7" x14ac:dyDescent="0.25">
      <c r="A491" t="s">
        <v>7</v>
      </c>
      <c r="B491">
        <v>1</v>
      </c>
      <c r="C491" s="6">
        <v>1.3333333333333334E-2</v>
      </c>
      <c r="D491" s="54">
        <v>44970</v>
      </c>
      <c r="E491" s="54" t="str">
        <f>TEXT(Base_de_Dados[[#This Row],[Semana]],"Mmmm")</f>
        <v>fevereiro</v>
      </c>
      <c r="F491">
        <f>YEAR(Base_de_Dados[[#This Row],[Semana]])</f>
        <v>2023</v>
      </c>
      <c r="G491" t="str">
        <f>IF(MONTH( Base_de_Dados[[#This Row],[Semana]])&lt;=6,"1ª Semestre","2ª Semestre")</f>
        <v>1ª Semestre</v>
      </c>
    </row>
    <row r="492" spans="1:7" x14ac:dyDescent="0.25">
      <c r="A492" t="s">
        <v>8</v>
      </c>
      <c r="B492">
        <v>0</v>
      </c>
      <c r="C492" s="6">
        <v>0</v>
      </c>
      <c r="D492" s="54">
        <v>44970</v>
      </c>
      <c r="E492" s="54" t="str">
        <f>TEXT(Base_de_Dados[[#This Row],[Semana]],"Mmmm")</f>
        <v>fevereiro</v>
      </c>
      <c r="F492">
        <f>YEAR(Base_de_Dados[[#This Row],[Semana]])</f>
        <v>2023</v>
      </c>
      <c r="G492" t="str">
        <f>IF(MONTH( Base_de_Dados[[#This Row],[Semana]])&lt;=6,"1ª Semestre","2ª Semestre")</f>
        <v>1ª Semestre</v>
      </c>
    </row>
    <row r="493" spans="1:7" x14ac:dyDescent="0.25">
      <c r="A493" t="s">
        <v>9</v>
      </c>
      <c r="B493">
        <v>3</v>
      </c>
      <c r="C493" s="6">
        <v>0.04</v>
      </c>
      <c r="D493" s="54">
        <v>44970</v>
      </c>
      <c r="E493" s="54" t="str">
        <f>TEXT(Base_de_Dados[[#This Row],[Semana]],"Mmmm")</f>
        <v>fevereiro</v>
      </c>
      <c r="F493">
        <f>YEAR(Base_de_Dados[[#This Row],[Semana]])</f>
        <v>2023</v>
      </c>
      <c r="G493" t="str">
        <f>IF(MONTH( Base_de_Dados[[#This Row],[Semana]])&lt;=6,"1ª Semestre","2ª Semestre")</f>
        <v>1ª Semestre</v>
      </c>
    </row>
    <row r="494" spans="1:7" x14ac:dyDescent="0.25">
      <c r="A494" t="s">
        <v>10</v>
      </c>
      <c r="B494">
        <v>3</v>
      </c>
      <c r="C494" s="6">
        <v>0.04</v>
      </c>
      <c r="D494" s="54">
        <v>44970</v>
      </c>
      <c r="E494" s="54" t="str">
        <f>TEXT(Base_de_Dados[[#This Row],[Semana]],"Mmmm")</f>
        <v>fevereiro</v>
      </c>
      <c r="F494">
        <f>YEAR(Base_de_Dados[[#This Row],[Semana]])</f>
        <v>2023</v>
      </c>
      <c r="G494" t="str">
        <f>IF(MONTH( Base_de_Dados[[#This Row],[Semana]])&lt;=6,"1ª Semestre","2ª Semestre")</f>
        <v>1ª Semestre</v>
      </c>
    </row>
    <row r="495" spans="1:7" x14ac:dyDescent="0.25">
      <c r="A495" t="s">
        <v>11</v>
      </c>
      <c r="B495">
        <v>60</v>
      </c>
      <c r="C495" s="6">
        <v>0.8</v>
      </c>
      <c r="D495" s="54">
        <v>44970</v>
      </c>
      <c r="E495" s="54" t="str">
        <f>TEXT(Base_de_Dados[[#This Row],[Semana]],"Mmmm")</f>
        <v>fevereiro</v>
      </c>
      <c r="F495">
        <f>YEAR(Base_de_Dados[[#This Row],[Semana]])</f>
        <v>2023</v>
      </c>
      <c r="G495" t="str">
        <f>IF(MONTH( Base_de_Dados[[#This Row],[Semana]])&lt;=6,"1ª Semestre","2ª Semestre")</f>
        <v>1ª Semestre</v>
      </c>
    </row>
    <row r="496" spans="1:7" x14ac:dyDescent="0.25">
      <c r="A496" t="s">
        <v>12</v>
      </c>
      <c r="B496">
        <v>5</v>
      </c>
      <c r="C496" s="6">
        <v>6.6666666666666666E-2</v>
      </c>
      <c r="D496" s="54">
        <v>44970</v>
      </c>
      <c r="E496" s="54" t="str">
        <f>TEXT(Base_de_Dados[[#This Row],[Semana]],"Mmmm")</f>
        <v>fevereiro</v>
      </c>
      <c r="F496">
        <f>YEAR(Base_de_Dados[[#This Row],[Semana]])</f>
        <v>2023</v>
      </c>
      <c r="G496" t="str">
        <f>IF(MONTH( Base_de_Dados[[#This Row],[Semana]])&lt;=6,"1ª Semestre","2ª Semestre")</f>
        <v>1ª Semestre</v>
      </c>
    </row>
    <row r="497" spans="1:7" x14ac:dyDescent="0.25">
      <c r="A497" t="s">
        <v>132</v>
      </c>
      <c r="B497">
        <v>0</v>
      </c>
      <c r="C497" s="6">
        <v>0</v>
      </c>
      <c r="D497" s="54">
        <v>44970</v>
      </c>
      <c r="E497" s="54" t="str">
        <f>TEXT(Base_de_Dados[[#This Row],[Semana]],"Mmmm")</f>
        <v>fevereiro</v>
      </c>
      <c r="F497">
        <f>YEAR(Base_de_Dados[[#This Row],[Semana]])</f>
        <v>2023</v>
      </c>
      <c r="G497" t="str">
        <f>IF(MONTH( Base_de_Dados[[#This Row],[Semana]])&lt;=6,"1ª Semestre","2ª Semestre")</f>
        <v>1ª Semestre</v>
      </c>
    </row>
    <row r="498" spans="1:7" x14ac:dyDescent="0.25">
      <c r="A498" t="s">
        <v>3</v>
      </c>
      <c r="B498">
        <v>7</v>
      </c>
      <c r="C498" s="6">
        <v>0.15555555555555556</v>
      </c>
      <c r="D498" s="54">
        <v>44977</v>
      </c>
      <c r="E498" s="54" t="str">
        <f>TEXT(Base_de_Dados[[#This Row],[Semana]],"Mmmm")</f>
        <v>fevereiro</v>
      </c>
      <c r="F498">
        <f>YEAR(Base_de_Dados[[#This Row],[Semana]])</f>
        <v>2023</v>
      </c>
      <c r="G498" t="str">
        <f>IF(MONTH( Base_de_Dados[[#This Row],[Semana]])&lt;=6,"1ª Semestre","2ª Semestre")</f>
        <v>1ª Semestre</v>
      </c>
    </row>
    <row r="499" spans="1:7" x14ac:dyDescent="0.25">
      <c r="A499" t="s">
        <v>4</v>
      </c>
      <c r="B499">
        <v>6</v>
      </c>
      <c r="C499" s="6">
        <v>0.13333333333333333</v>
      </c>
      <c r="D499" s="54">
        <v>44977</v>
      </c>
      <c r="E499" s="54" t="str">
        <f>TEXT(Base_de_Dados[[#This Row],[Semana]],"Mmmm")</f>
        <v>fevereiro</v>
      </c>
      <c r="F499">
        <f>YEAR(Base_de_Dados[[#This Row],[Semana]])</f>
        <v>2023</v>
      </c>
      <c r="G499" t="str">
        <f>IF(MONTH( Base_de_Dados[[#This Row],[Semana]])&lt;=6,"1ª Semestre","2ª Semestre")</f>
        <v>1ª Semestre</v>
      </c>
    </row>
    <row r="500" spans="1:7" x14ac:dyDescent="0.25">
      <c r="A500" t="s">
        <v>5</v>
      </c>
      <c r="B500">
        <v>0</v>
      </c>
      <c r="C500" s="6">
        <v>0</v>
      </c>
      <c r="D500" s="54">
        <v>44977</v>
      </c>
      <c r="E500" s="54" t="str">
        <f>TEXT(Base_de_Dados[[#This Row],[Semana]],"Mmmm")</f>
        <v>fevereiro</v>
      </c>
      <c r="F500">
        <f>YEAR(Base_de_Dados[[#This Row],[Semana]])</f>
        <v>2023</v>
      </c>
      <c r="G500" t="str">
        <f>IF(MONTH( Base_de_Dados[[#This Row],[Semana]])&lt;=6,"1ª Semestre","2ª Semestre")</f>
        <v>1ª Semestre</v>
      </c>
    </row>
    <row r="501" spans="1:7" x14ac:dyDescent="0.25">
      <c r="A501" t="s">
        <v>6</v>
      </c>
      <c r="B501">
        <v>0</v>
      </c>
      <c r="C501" s="6">
        <v>0</v>
      </c>
      <c r="D501" s="54">
        <v>44977</v>
      </c>
      <c r="E501" s="54" t="str">
        <f>TEXT(Base_de_Dados[[#This Row],[Semana]],"Mmmm")</f>
        <v>fevereiro</v>
      </c>
      <c r="F501">
        <f>YEAR(Base_de_Dados[[#This Row],[Semana]])</f>
        <v>2023</v>
      </c>
      <c r="G501" t="str">
        <f>IF(MONTH( Base_de_Dados[[#This Row],[Semana]])&lt;=6,"1ª Semestre","2ª Semestre")</f>
        <v>1ª Semestre</v>
      </c>
    </row>
    <row r="502" spans="1:7" x14ac:dyDescent="0.25">
      <c r="A502" t="s">
        <v>7</v>
      </c>
      <c r="B502">
        <v>5</v>
      </c>
      <c r="C502" s="6">
        <v>0.1111111111111111</v>
      </c>
      <c r="D502" s="54">
        <v>44977</v>
      </c>
      <c r="E502" s="54" t="str">
        <f>TEXT(Base_de_Dados[[#This Row],[Semana]],"Mmmm")</f>
        <v>fevereiro</v>
      </c>
      <c r="F502">
        <f>YEAR(Base_de_Dados[[#This Row],[Semana]])</f>
        <v>2023</v>
      </c>
      <c r="G502" t="str">
        <f>IF(MONTH( Base_de_Dados[[#This Row],[Semana]])&lt;=6,"1ª Semestre","2ª Semestre")</f>
        <v>1ª Semestre</v>
      </c>
    </row>
    <row r="503" spans="1:7" x14ac:dyDescent="0.25">
      <c r="A503" t="s">
        <v>8</v>
      </c>
      <c r="B503">
        <v>0</v>
      </c>
      <c r="C503" s="6">
        <v>0</v>
      </c>
      <c r="D503" s="54">
        <v>44977</v>
      </c>
      <c r="E503" s="54" t="str">
        <f>TEXT(Base_de_Dados[[#This Row],[Semana]],"Mmmm")</f>
        <v>fevereiro</v>
      </c>
      <c r="F503">
        <f>YEAR(Base_de_Dados[[#This Row],[Semana]])</f>
        <v>2023</v>
      </c>
      <c r="G503" t="str">
        <f>IF(MONTH( Base_de_Dados[[#This Row],[Semana]])&lt;=6,"1ª Semestre","2ª Semestre")</f>
        <v>1ª Semestre</v>
      </c>
    </row>
    <row r="504" spans="1:7" x14ac:dyDescent="0.25">
      <c r="A504" t="s">
        <v>9</v>
      </c>
      <c r="B504">
        <v>1</v>
      </c>
      <c r="C504" s="6">
        <v>2.2222222222222223E-2</v>
      </c>
      <c r="D504" s="54">
        <v>44977</v>
      </c>
      <c r="E504" s="54" t="str">
        <f>TEXT(Base_de_Dados[[#This Row],[Semana]],"Mmmm")</f>
        <v>fevereiro</v>
      </c>
      <c r="F504">
        <f>YEAR(Base_de_Dados[[#This Row],[Semana]])</f>
        <v>2023</v>
      </c>
      <c r="G504" t="str">
        <f>IF(MONTH( Base_de_Dados[[#This Row],[Semana]])&lt;=6,"1ª Semestre","2ª Semestre")</f>
        <v>1ª Semestre</v>
      </c>
    </row>
    <row r="505" spans="1:7" x14ac:dyDescent="0.25">
      <c r="A505" t="s">
        <v>10</v>
      </c>
      <c r="B505">
        <v>4</v>
      </c>
      <c r="C505" s="6">
        <v>8.8888888888888892E-2</v>
      </c>
      <c r="D505" s="54">
        <v>44977</v>
      </c>
      <c r="E505" s="54" t="str">
        <f>TEXT(Base_de_Dados[[#This Row],[Semana]],"Mmmm")</f>
        <v>fevereiro</v>
      </c>
      <c r="F505">
        <f>YEAR(Base_de_Dados[[#This Row],[Semana]])</f>
        <v>2023</v>
      </c>
      <c r="G505" t="str">
        <f>IF(MONTH( Base_de_Dados[[#This Row],[Semana]])&lt;=6,"1ª Semestre","2ª Semestre")</f>
        <v>1ª Semestre</v>
      </c>
    </row>
    <row r="506" spans="1:7" x14ac:dyDescent="0.25">
      <c r="A506" t="s">
        <v>11</v>
      </c>
      <c r="B506">
        <v>13</v>
      </c>
      <c r="C506" s="6">
        <v>0.28888888888888886</v>
      </c>
      <c r="D506" s="54">
        <v>44977</v>
      </c>
      <c r="E506" s="54" t="str">
        <f>TEXT(Base_de_Dados[[#This Row],[Semana]],"Mmmm")</f>
        <v>fevereiro</v>
      </c>
      <c r="F506">
        <f>YEAR(Base_de_Dados[[#This Row],[Semana]])</f>
        <v>2023</v>
      </c>
      <c r="G506" t="str">
        <f>IF(MONTH( Base_de_Dados[[#This Row],[Semana]])&lt;=6,"1ª Semestre","2ª Semestre")</f>
        <v>1ª Semestre</v>
      </c>
    </row>
    <row r="507" spans="1:7" x14ac:dyDescent="0.25">
      <c r="A507" t="s">
        <v>12</v>
      </c>
      <c r="B507">
        <v>9</v>
      </c>
      <c r="C507" s="6">
        <v>0.2</v>
      </c>
      <c r="D507" s="54">
        <v>44977</v>
      </c>
      <c r="E507" s="54" t="str">
        <f>TEXT(Base_de_Dados[[#This Row],[Semana]],"Mmmm")</f>
        <v>fevereiro</v>
      </c>
      <c r="F507">
        <f>YEAR(Base_de_Dados[[#This Row],[Semana]])</f>
        <v>2023</v>
      </c>
      <c r="G507" t="str">
        <f>IF(MONTH( Base_de_Dados[[#This Row],[Semana]])&lt;=6,"1ª Semestre","2ª Semestre")</f>
        <v>1ª Semestre</v>
      </c>
    </row>
    <row r="508" spans="1:7" x14ac:dyDescent="0.25">
      <c r="A508" t="s">
        <v>171</v>
      </c>
      <c r="B508">
        <v>3</v>
      </c>
      <c r="C508" s="6">
        <v>6.6666666666666666E-2</v>
      </c>
      <c r="D508" s="54">
        <v>44977</v>
      </c>
      <c r="E508" s="54" t="str">
        <f>TEXT(Base_de_Dados[[#This Row],[Semana]],"Mmmm")</f>
        <v>fevereiro</v>
      </c>
      <c r="F508">
        <f>YEAR(Base_de_Dados[[#This Row],[Semana]])</f>
        <v>2023</v>
      </c>
      <c r="G508" t="str">
        <f>IF(MONTH( Base_de_Dados[[#This Row],[Semana]])&lt;=6,"1ª Semestre","2ª Semestre")</f>
        <v>1ª Semestre</v>
      </c>
    </row>
    <row r="509" spans="1:7" x14ac:dyDescent="0.25">
      <c r="A509" t="s">
        <v>132</v>
      </c>
      <c r="B509">
        <v>0</v>
      </c>
      <c r="C509" s="6">
        <v>0</v>
      </c>
      <c r="D509" s="54">
        <v>44977</v>
      </c>
      <c r="E509" s="54" t="str">
        <f>TEXT(Base_de_Dados[[#This Row],[Semana]],"Mmmm")</f>
        <v>fevereiro</v>
      </c>
      <c r="F509">
        <f>YEAR(Base_de_Dados[[#This Row],[Semana]])</f>
        <v>2023</v>
      </c>
      <c r="G509" t="str">
        <f>IF(MONTH( Base_de_Dados[[#This Row],[Semana]])&lt;=6,"1ª Semestre","2ª Semestre")</f>
        <v>1ª Semestre</v>
      </c>
    </row>
    <row r="510" spans="1:7" x14ac:dyDescent="0.25">
      <c r="A510" t="s">
        <v>3</v>
      </c>
      <c r="B510">
        <v>6</v>
      </c>
      <c r="C510" s="6">
        <v>0.22222222222222221</v>
      </c>
      <c r="D510" s="54">
        <v>44984</v>
      </c>
      <c r="E510" s="54" t="str">
        <f>TEXT(Base_de_Dados[[#This Row],[Semana]],"Mmmm")</f>
        <v>fevereiro</v>
      </c>
      <c r="F510">
        <f>YEAR(Base_de_Dados[[#This Row],[Semana]])</f>
        <v>2023</v>
      </c>
      <c r="G510" t="str">
        <f>IF(MONTH( Base_de_Dados[[#This Row],[Semana]])&lt;=6,"1ª Semestre","2ª Semestre")</f>
        <v>1ª Semestre</v>
      </c>
    </row>
    <row r="511" spans="1:7" x14ac:dyDescent="0.25">
      <c r="A511" t="s">
        <v>4</v>
      </c>
      <c r="B511">
        <v>0</v>
      </c>
      <c r="C511" s="6">
        <v>0</v>
      </c>
      <c r="D511" s="54">
        <v>44984</v>
      </c>
      <c r="E511" s="54" t="str">
        <f>TEXT(Base_de_Dados[[#This Row],[Semana]],"Mmmm")</f>
        <v>fevereiro</v>
      </c>
      <c r="F511">
        <f>YEAR(Base_de_Dados[[#This Row],[Semana]])</f>
        <v>2023</v>
      </c>
      <c r="G511" t="str">
        <f>IF(MONTH( Base_de_Dados[[#This Row],[Semana]])&lt;=6,"1ª Semestre","2ª Semestre")</f>
        <v>1ª Semestre</v>
      </c>
    </row>
    <row r="512" spans="1:7" x14ac:dyDescent="0.25">
      <c r="A512" t="s">
        <v>5</v>
      </c>
      <c r="B512">
        <v>1</v>
      </c>
      <c r="C512" s="6">
        <v>3.7037037037037035E-2</v>
      </c>
      <c r="D512" s="54">
        <v>44984</v>
      </c>
      <c r="E512" s="54" t="str">
        <f>TEXT(Base_de_Dados[[#This Row],[Semana]],"Mmmm")</f>
        <v>fevereiro</v>
      </c>
      <c r="F512">
        <f>YEAR(Base_de_Dados[[#This Row],[Semana]])</f>
        <v>2023</v>
      </c>
      <c r="G512" t="str">
        <f>IF(MONTH( Base_de_Dados[[#This Row],[Semana]])&lt;=6,"1ª Semestre","2ª Semestre")</f>
        <v>1ª Semestre</v>
      </c>
    </row>
    <row r="513" spans="1:7" x14ac:dyDescent="0.25">
      <c r="A513" t="s">
        <v>6</v>
      </c>
      <c r="B513">
        <v>0</v>
      </c>
      <c r="C513" s="6">
        <v>0</v>
      </c>
      <c r="D513" s="54">
        <v>44984</v>
      </c>
      <c r="E513" s="54" t="str">
        <f>TEXT(Base_de_Dados[[#This Row],[Semana]],"Mmmm")</f>
        <v>fevereiro</v>
      </c>
      <c r="F513">
        <f>YEAR(Base_de_Dados[[#This Row],[Semana]])</f>
        <v>2023</v>
      </c>
      <c r="G513" t="str">
        <f>IF(MONTH( Base_de_Dados[[#This Row],[Semana]])&lt;=6,"1ª Semestre","2ª Semestre")</f>
        <v>1ª Semestre</v>
      </c>
    </row>
    <row r="514" spans="1:7" x14ac:dyDescent="0.25">
      <c r="A514" t="s">
        <v>7</v>
      </c>
      <c r="B514">
        <v>1</v>
      </c>
      <c r="C514" s="6">
        <v>3.7037037037037035E-2</v>
      </c>
      <c r="D514" s="54">
        <v>44984</v>
      </c>
      <c r="E514" s="54" t="str">
        <f>TEXT(Base_de_Dados[[#This Row],[Semana]],"Mmmm")</f>
        <v>fevereiro</v>
      </c>
      <c r="F514">
        <f>YEAR(Base_de_Dados[[#This Row],[Semana]])</f>
        <v>2023</v>
      </c>
      <c r="G514" t="str">
        <f>IF(MONTH( Base_de_Dados[[#This Row],[Semana]])&lt;=6,"1ª Semestre","2ª Semestre")</f>
        <v>1ª Semestre</v>
      </c>
    </row>
    <row r="515" spans="1:7" x14ac:dyDescent="0.25">
      <c r="A515" t="s">
        <v>8</v>
      </c>
      <c r="B515">
        <v>0</v>
      </c>
      <c r="C515" s="6">
        <v>0</v>
      </c>
      <c r="D515" s="54">
        <v>44984</v>
      </c>
      <c r="E515" s="54" t="str">
        <f>TEXT(Base_de_Dados[[#This Row],[Semana]],"Mmmm")</f>
        <v>fevereiro</v>
      </c>
      <c r="F515">
        <f>YEAR(Base_de_Dados[[#This Row],[Semana]])</f>
        <v>2023</v>
      </c>
      <c r="G515" t="str">
        <f>IF(MONTH( Base_de_Dados[[#This Row],[Semana]])&lt;=6,"1ª Semestre","2ª Semestre")</f>
        <v>1ª Semestre</v>
      </c>
    </row>
    <row r="516" spans="1:7" x14ac:dyDescent="0.25">
      <c r="A516" t="s">
        <v>9</v>
      </c>
      <c r="B516">
        <v>4</v>
      </c>
      <c r="C516" s="6">
        <v>0.14814814814814814</v>
      </c>
      <c r="D516" s="54">
        <v>44984</v>
      </c>
      <c r="E516" s="54" t="str">
        <f>TEXT(Base_de_Dados[[#This Row],[Semana]],"Mmmm")</f>
        <v>fevereiro</v>
      </c>
      <c r="F516">
        <f>YEAR(Base_de_Dados[[#This Row],[Semana]])</f>
        <v>2023</v>
      </c>
      <c r="G516" t="str">
        <f>IF(MONTH( Base_de_Dados[[#This Row],[Semana]])&lt;=6,"1ª Semestre","2ª Semestre")</f>
        <v>1ª Semestre</v>
      </c>
    </row>
    <row r="517" spans="1:7" x14ac:dyDescent="0.25">
      <c r="A517" t="s">
        <v>10</v>
      </c>
      <c r="B517">
        <v>1</v>
      </c>
      <c r="C517" s="6">
        <v>3.7037037037037035E-2</v>
      </c>
      <c r="D517" s="54">
        <v>44984</v>
      </c>
      <c r="E517" s="54" t="str">
        <f>TEXT(Base_de_Dados[[#This Row],[Semana]],"Mmmm")</f>
        <v>fevereiro</v>
      </c>
      <c r="F517">
        <f>YEAR(Base_de_Dados[[#This Row],[Semana]])</f>
        <v>2023</v>
      </c>
      <c r="G517" t="str">
        <f>IF(MONTH( Base_de_Dados[[#This Row],[Semana]])&lt;=6,"1ª Semestre","2ª Semestre")</f>
        <v>1ª Semestre</v>
      </c>
    </row>
    <row r="518" spans="1:7" x14ac:dyDescent="0.25">
      <c r="A518" t="s">
        <v>11</v>
      </c>
      <c r="B518">
        <v>13</v>
      </c>
      <c r="C518" s="6">
        <v>0.48148148148148145</v>
      </c>
      <c r="D518" s="54">
        <v>44984</v>
      </c>
      <c r="E518" s="54" t="str">
        <f>TEXT(Base_de_Dados[[#This Row],[Semana]],"Mmmm")</f>
        <v>fevereiro</v>
      </c>
      <c r="F518">
        <f>YEAR(Base_de_Dados[[#This Row],[Semana]])</f>
        <v>2023</v>
      </c>
      <c r="G518" t="str">
        <f>IF(MONTH( Base_de_Dados[[#This Row],[Semana]])&lt;=6,"1ª Semestre","2ª Semestre")</f>
        <v>1ª Semestre</v>
      </c>
    </row>
    <row r="519" spans="1:7" x14ac:dyDescent="0.25">
      <c r="A519" t="s">
        <v>12</v>
      </c>
      <c r="B519">
        <v>1</v>
      </c>
      <c r="C519" s="6">
        <v>3.7037037037037035E-2</v>
      </c>
      <c r="D519" s="54">
        <v>44984</v>
      </c>
      <c r="E519" s="54" t="str">
        <f>TEXT(Base_de_Dados[[#This Row],[Semana]],"Mmmm")</f>
        <v>fevereiro</v>
      </c>
      <c r="F519">
        <f>YEAR(Base_de_Dados[[#This Row],[Semana]])</f>
        <v>2023</v>
      </c>
      <c r="G519" t="str">
        <f>IF(MONTH( Base_de_Dados[[#This Row],[Semana]])&lt;=6,"1ª Semestre","2ª Semestre")</f>
        <v>1ª Semestre</v>
      </c>
    </row>
    <row r="520" spans="1:7" x14ac:dyDescent="0.25">
      <c r="A520" t="s">
        <v>171</v>
      </c>
      <c r="B520">
        <v>0</v>
      </c>
      <c r="C520" s="6">
        <v>0</v>
      </c>
      <c r="D520" s="54">
        <v>44984</v>
      </c>
      <c r="E520" s="54" t="str">
        <f>TEXT(Base_de_Dados[[#This Row],[Semana]],"Mmmm")</f>
        <v>fevereiro</v>
      </c>
      <c r="F520">
        <f>YEAR(Base_de_Dados[[#This Row],[Semana]])</f>
        <v>2023</v>
      </c>
      <c r="G520" t="str">
        <f>IF(MONTH( Base_de_Dados[[#This Row],[Semana]])&lt;=6,"1ª Semestre","2ª Semestre")</f>
        <v>1ª Semestre</v>
      </c>
    </row>
    <row r="521" spans="1:7" x14ac:dyDescent="0.25">
      <c r="A521" t="s">
        <v>132</v>
      </c>
      <c r="B521">
        <v>0</v>
      </c>
      <c r="C521" s="6">
        <v>0</v>
      </c>
      <c r="D521" s="54">
        <v>44984</v>
      </c>
      <c r="E521" s="54" t="str">
        <f>TEXT(Base_de_Dados[[#This Row],[Semana]],"Mmmm")</f>
        <v>fevereiro</v>
      </c>
      <c r="F521">
        <f>YEAR(Base_de_Dados[[#This Row],[Semana]])</f>
        <v>2023</v>
      </c>
      <c r="G521" t="str">
        <f>IF(MONTH( Base_de_Dados[[#This Row],[Semana]])&lt;=6,"1ª Semestre","2ª Semestre")</f>
        <v>1ª Semestre</v>
      </c>
    </row>
    <row r="522" spans="1:7" x14ac:dyDescent="0.25">
      <c r="A522" t="s">
        <v>3</v>
      </c>
      <c r="B522">
        <v>5</v>
      </c>
      <c r="C522" s="6">
        <v>0.33333333333333331</v>
      </c>
      <c r="D522" s="54">
        <v>44991</v>
      </c>
      <c r="E522" s="54" t="str">
        <f>TEXT(Base_de_Dados[[#This Row],[Semana]],"Mmmm")</f>
        <v>março</v>
      </c>
      <c r="F522">
        <f>YEAR(Base_de_Dados[[#This Row],[Semana]])</f>
        <v>2023</v>
      </c>
      <c r="G522" t="str">
        <f>IF(MONTH( Base_de_Dados[[#This Row],[Semana]])&lt;=6,"1ª Semestre","2ª Semestre")</f>
        <v>1ª Semestre</v>
      </c>
    </row>
    <row r="523" spans="1:7" x14ac:dyDescent="0.25">
      <c r="A523" t="s">
        <v>4</v>
      </c>
      <c r="B523">
        <v>0</v>
      </c>
      <c r="C523" s="6">
        <v>0</v>
      </c>
      <c r="D523" s="54">
        <v>44991</v>
      </c>
      <c r="E523" s="54" t="str">
        <f>TEXT(Base_de_Dados[[#This Row],[Semana]],"Mmmm")</f>
        <v>março</v>
      </c>
      <c r="F523">
        <f>YEAR(Base_de_Dados[[#This Row],[Semana]])</f>
        <v>2023</v>
      </c>
      <c r="G523" t="str">
        <f>IF(MONTH( Base_de_Dados[[#This Row],[Semana]])&lt;=6,"1ª Semestre","2ª Semestre")</f>
        <v>1ª Semestre</v>
      </c>
    </row>
    <row r="524" spans="1:7" x14ac:dyDescent="0.25">
      <c r="A524" t="s">
        <v>5</v>
      </c>
      <c r="B524">
        <v>0</v>
      </c>
      <c r="C524" s="6">
        <v>0</v>
      </c>
      <c r="D524" s="54">
        <v>44991</v>
      </c>
      <c r="E524" s="54" t="str">
        <f>TEXT(Base_de_Dados[[#This Row],[Semana]],"Mmmm")</f>
        <v>março</v>
      </c>
      <c r="F524">
        <f>YEAR(Base_de_Dados[[#This Row],[Semana]])</f>
        <v>2023</v>
      </c>
      <c r="G524" t="str">
        <f>IF(MONTH( Base_de_Dados[[#This Row],[Semana]])&lt;=6,"1ª Semestre","2ª Semestre")</f>
        <v>1ª Semestre</v>
      </c>
    </row>
    <row r="525" spans="1:7" x14ac:dyDescent="0.25">
      <c r="A525" t="s">
        <v>6</v>
      </c>
      <c r="B525">
        <v>0</v>
      </c>
      <c r="C525" s="6">
        <v>0</v>
      </c>
      <c r="D525" s="54">
        <v>44991</v>
      </c>
      <c r="E525" s="54" t="str">
        <f>TEXT(Base_de_Dados[[#This Row],[Semana]],"Mmmm")</f>
        <v>março</v>
      </c>
      <c r="F525">
        <f>YEAR(Base_de_Dados[[#This Row],[Semana]])</f>
        <v>2023</v>
      </c>
      <c r="G525" t="str">
        <f>IF(MONTH( Base_de_Dados[[#This Row],[Semana]])&lt;=6,"1ª Semestre","2ª Semestre")</f>
        <v>1ª Semestre</v>
      </c>
    </row>
    <row r="526" spans="1:7" x14ac:dyDescent="0.25">
      <c r="A526" t="s">
        <v>7</v>
      </c>
      <c r="B526">
        <v>5</v>
      </c>
      <c r="C526" s="6">
        <v>0.33333333333333331</v>
      </c>
      <c r="D526" s="54">
        <v>44991</v>
      </c>
      <c r="E526" s="54" t="str">
        <f>TEXT(Base_de_Dados[[#This Row],[Semana]],"Mmmm")</f>
        <v>março</v>
      </c>
      <c r="F526">
        <f>YEAR(Base_de_Dados[[#This Row],[Semana]])</f>
        <v>2023</v>
      </c>
      <c r="G526" t="str">
        <f>IF(MONTH( Base_de_Dados[[#This Row],[Semana]])&lt;=6,"1ª Semestre","2ª Semestre")</f>
        <v>1ª Semestre</v>
      </c>
    </row>
    <row r="527" spans="1:7" x14ac:dyDescent="0.25">
      <c r="A527" t="s">
        <v>8</v>
      </c>
      <c r="B527">
        <v>2</v>
      </c>
      <c r="C527" s="6">
        <v>0.13333333333333333</v>
      </c>
      <c r="D527" s="54">
        <v>44991</v>
      </c>
      <c r="E527" s="54" t="str">
        <f>TEXT(Base_de_Dados[[#This Row],[Semana]],"Mmmm")</f>
        <v>março</v>
      </c>
      <c r="F527">
        <f>YEAR(Base_de_Dados[[#This Row],[Semana]])</f>
        <v>2023</v>
      </c>
      <c r="G527" t="str">
        <f>IF(MONTH( Base_de_Dados[[#This Row],[Semana]])&lt;=6,"1ª Semestre","2ª Semestre")</f>
        <v>1ª Semestre</v>
      </c>
    </row>
    <row r="528" spans="1:7" x14ac:dyDescent="0.25">
      <c r="A528" t="s">
        <v>9</v>
      </c>
      <c r="B528">
        <v>2</v>
      </c>
      <c r="C528" s="6">
        <v>0.13333333333333333</v>
      </c>
      <c r="D528" s="54">
        <v>44991</v>
      </c>
      <c r="E528" s="54" t="str">
        <f>TEXT(Base_de_Dados[[#This Row],[Semana]],"Mmmm")</f>
        <v>março</v>
      </c>
      <c r="F528">
        <f>YEAR(Base_de_Dados[[#This Row],[Semana]])</f>
        <v>2023</v>
      </c>
      <c r="G528" t="str">
        <f>IF(MONTH( Base_de_Dados[[#This Row],[Semana]])&lt;=6,"1ª Semestre","2ª Semestre")</f>
        <v>1ª Semestre</v>
      </c>
    </row>
    <row r="529" spans="1:7" x14ac:dyDescent="0.25">
      <c r="A529" t="s">
        <v>10</v>
      </c>
      <c r="B529">
        <v>0</v>
      </c>
      <c r="C529" s="6">
        <v>0</v>
      </c>
      <c r="D529" s="54">
        <v>44991</v>
      </c>
      <c r="E529" s="54" t="str">
        <f>TEXT(Base_de_Dados[[#This Row],[Semana]],"Mmmm")</f>
        <v>março</v>
      </c>
      <c r="F529">
        <f>YEAR(Base_de_Dados[[#This Row],[Semana]])</f>
        <v>2023</v>
      </c>
      <c r="G529" t="str">
        <f>IF(MONTH( Base_de_Dados[[#This Row],[Semana]])&lt;=6,"1ª Semestre","2ª Semestre")</f>
        <v>1ª Semestre</v>
      </c>
    </row>
    <row r="530" spans="1:7" x14ac:dyDescent="0.25">
      <c r="A530" t="s">
        <v>11</v>
      </c>
      <c r="B530">
        <v>1</v>
      </c>
      <c r="C530" s="6">
        <v>6.6666666666666666E-2</v>
      </c>
      <c r="D530" s="54">
        <v>44991</v>
      </c>
      <c r="E530" s="54" t="str">
        <f>TEXT(Base_de_Dados[[#This Row],[Semana]],"Mmmm")</f>
        <v>março</v>
      </c>
      <c r="F530">
        <f>YEAR(Base_de_Dados[[#This Row],[Semana]])</f>
        <v>2023</v>
      </c>
      <c r="G530" t="str">
        <f>IF(MONTH( Base_de_Dados[[#This Row],[Semana]])&lt;=6,"1ª Semestre","2ª Semestre")</f>
        <v>1ª Semestre</v>
      </c>
    </row>
    <row r="531" spans="1:7" x14ac:dyDescent="0.25">
      <c r="A531" t="s">
        <v>12</v>
      </c>
      <c r="B531">
        <v>0</v>
      </c>
      <c r="C531" s="6">
        <v>0</v>
      </c>
      <c r="D531" s="54">
        <v>44991</v>
      </c>
      <c r="E531" s="54" t="str">
        <f>TEXT(Base_de_Dados[[#This Row],[Semana]],"Mmmm")</f>
        <v>março</v>
      </c>
      <c r="F531">
        <f>YEAR(Base_de_Dados[[#This Row],[Semana]])</f>
        <v>2023</v>
      </c>
      <c r="G531" t="str">
        <f>IF(MONTH( Base_de_Dados[[#This Row],[Semana]])&lt;=6,"1ª Semestre","2ª Semestre")</f>
        <v>1ª Semestre</v>
      </c>
    </row>
    <row r="532" spans="1:7" x14ac:dyDescent="0.25">
      <c r="A532" t="s">
        <v>171</v>
      </c>
      <c r="B532">
        <v>0</v>
      </c>
      <c r="C532" s="6">
        <v>0</v>
      </c>
      <c r="D532" s="54">
        <v>44991</v>
      </c>
      <c r="E532" s="54" t="str">
        <f>TEXT(Base_de_Dados[[#This Row],[Semana]],"Mmmm")</f>
        <v>março</v>
      </c>
      <c r="F532">
        <f>YEAR(Base_de_Dados[[#This Row],[Semana]])</f>
        <v>2023</v>
      </c>
      <c r="G532" t="str">
        <f>IF(MONTH( Base_de_Dados[[#This Row],[Semana]])&lt;=6,"1ª Semestre","2ª Semestre")</f>
        <v>1ª Semestre</v>
      </c>
    </row>
    <row r="533" spans="1:7" x14ac:dyDescent="0.25">
      <c r="A533" t="s">
        <v>132</v>
      </c>
      <c r="B533">
        <v>0</v>
      </c>
      <c r="C533" s="6">
        <v>0</v>
      </c>
      <c r="D533" s="54">
        <v>44991</v>
      </c>
      <c r="E533" s="54" t="str">
        <f>TEXT(Base_de_Dados[[#This Row],[Semana]],"Mmmm")</f>
        <v>março</v>
      </c>
      <c r="F533">
        <f>YEAR(Base_de_Dados[[#This Row],[Semana]])</f>
        <v>2023</v>
      </c>
      <c r="G533" t="str">
        <f>IF(MONTH( Base_de_Dados[[#This Row],[Semana]])&lt;=6,"1ª Semestre","2ª Semestre")</f>
        <v>1ª Semestre</v>
      </c>
    </row>
    <row r="534" spans="1:7" x14ac:dyDescent="0.25">
      <c r="A534" t="s">
        <v>3</v>
      </c>
      <c r="B534">
        <v>2</v>
      </c>
      <c r="C534" s="6">
        <v>0.15384615384615385</v>
      </c>
      <c r="D534" s="54">
        <v>44998</v>
      </c>
      <c r="E534" s="54" t="str">
        <f>TEXT(Base_de_Dados[[#This Row],[Semana]],"Mmmm")</f>
        <v>março</v>
      </c>
      <c r="F534">
        <f>YEAR(Base_de_Dados[[#This Row],[Semana]])</f>
        <v>2023</v>
      </c>
      <c r="G534" t="str">
        <f>IF(MONTH( Base_de_Dados[[#This Row],[Semana]])&lt;=6,"1ª Semestre","2ª Semestre")</f>
        <v>1ª Semestre</v>
      </c>
    </row>
    <row r="535" spans="1:7" x14ac:dyDescent="0.25">
      <c r="A535" t="s">
        <v>4</v>
      </c>
      <c r="B535">
        <v>2</v>
      </c>
      <c r="C535" s="6">
        <v>0.15384615384615385</v>
      </c>
      <c r="D535" s="54">
        <v>44998</v>
      </c>
      <c r="E535" s="54" t="str">
        <f>TEXT(Base_de_Dados[[#This Row],[Semana]],"Mmmm")</f>
        <v>março</v>
      </c>
      <c r="F535">
        <f>YEAR(Base_de_Dados[[#This Row],[Semana]])</f>
        <v>2023</v>
      </c>
      <c r="G535" t="str">
        <f>IF(MONTH( Base_de_Dados[[#This Row],[Semana]])&lt;=6,"1ª Semestre","2ª Semestre")</f>
        <v>1ª Semestre</v>
      </c>
    </row>
    <row r="536" spans="1:7" x14ac:dyDescent="0.25">
      <c r="A536" t="s">
        <v>5</v>
      </c>
      <c r="B536">
        <v>0</v>
      </c>
      <c r="C536" s="6">
        <v>0</v>
      </c>
      <c r="D536" s="54">
        <v>44998</v>
      </c>
      <c r="E536" s="54" t="str">
        <f>TEXT(Base_de_Dados[[#This Row],[Semana]],"Mmmm")</f>
        <v>março</v>
      </c>
      <c r="F536">
        <f>YEAR(Base_de_Dados[[#This Row],[Semana]])</f>
        <v>2023</v>
      </c>
      <c r="G536" t="str">
        <f>IF(MONTH( Base_de_Dados[[#This Row],[Semana]])&lt;=6,"1ª Semestre","2ª Semestre")</f>
        <v>1ª Semestre</v>
      </c>
    </row>
    <row r="537" spans="1:7" x14ac:dyDescent="0.25">
      <c r="A537" t="s">
        <v>6</v>
      </c>
      <c r="B537">
        <v>0</v>
      </c>
      <c r="C537" s="6">
        <v>0</v>
      </c>
      <c r="D537" s="54">
        <v>44998</v>
      </c>
      <c r="E537" s="54" t="str">
        <f>TEXT(Base_de_Dados[[#This Row],[Semana]],"Mmmm")</f>
        <v>março</v>
      </c>
      <c r="F537">
        <f>YEAR(Base_de_Dados[[#This Row],[Semana]])</f>
        <v>2023</v>
      </c>
      <c r="G537" t="str">
        <f>IF(MONTH( Base_de_Dados[[#This Row],[Semana]])&lt;=6,"1ª Semestre","2ª Semestre")</f>
        <v>1ª Semestre</v>
      </c>
    </row>
    <row r="538" spans="1:7" x14ac:dyDescent="0.25">
      <c r="A538" t="s">
        <v>7</v>
      </c>
      <c r="B538">
        <v>7</v>
      </c>
      <c r="C538" s="6">
        <v>0.53846153846153844</v>
      </c>
      <c r="D538" s="54">
        <v>44998</v>
      </c>
      <c r="E538" s="54" t="str">
        <f>TEXT(Base_de_Dados[[#This Row],[Semana]],"Mmmm")</f>
        <v>março</v>
      </c>
      <c r="F538">
        <f>YEAR(Base_de_Dados[[#This Row],[Semana]])</f>
        <v>2023</v>
      </c>
      <c r="G538" t="str">
        <f>IF(MONTH( Base_de_Dados[[#This Row],[Semana]])&lt;=6,"1ª Semestre","2ª Semestre")</f>
        <v>1ª Semestre</v>
      </c>
    </row>
    <row r="539" spans="1:7" x14ac:dyDescent="0.25">
      <c r="A539" t="s">
        <v>8</v>
      </c>
      <c r="B539">
        <v>2</v>
      </c>
      <c r="C539" s="6">
        <v>0.15384615384615385</v>
      </c>
      <c r="D539" s="54">
        <v>44998</v>
      </c>
      <c r="E539" s="54" t="str">
        <f>TEXT(Base_de_Dados[[#This Row],[Semana]],"Mmmm")</f>
        <v>março</v>
      </c>
      <c r="F539">
        <f>YEAR(Base_de_Dados[[#This Row],[Semana]])</f>
        <v>2023</v>
      </c>
      <c r="G539" t="str">
        <f>IF(MONTH( Base_de_Dados[[#This Row],[Semana]])&lt;=6,"1ª Semestre","2ª Semestre")</f>
        <v>1ª Semestre</v>
      </c>
    </row>
    <row r="540" spans="1:7" x14ac:dyDescent="0.25">
      <c r="A540" t="s">
        <v>9</v>
      </c>
      <c r="B540">
        <v>0</v>
      </c>
      <c r="C540" s="6">
        <v>0</v>
      </c>
      <c r="D540" s="54">
        <v>44998</v>
      </c>
      <c r="E540" s="54" t="str">
        <f>TEXT(Base_de_Dados[[#This Row],[Semana]],"Mmmm")</f>
        <v>março</v>
      </c>
      <c r="F540">
        <f>YEAR(Base_de_Dados[[#This Row],[Semana]])</f>
        <v>2023</v>
      </c>
      <c r="G540" t="str">
        <f>IF(MONTH( Base_de_Dados[[#This Row],[Semana]])&lt;=6,"1ª Semestre","2ª Semestre")</f>
        <v>1ª Semestre</v>
      </c>
    </row>
    <row r="541" spans="1:7" x14ac:dyDescent="0.25">
      <c r="A541" t="s">
        <v>10</v>
      </c>
      <c r="B541">
        <v>0</v>
      </c>
      <c r="C541" s="6">
        <v>0</v>
      </c>
      <c r="D541" s="54">
        <v>44998</v>
      </c>
      <c r="E541" s="54" t="str">
        <f>TEXT(Base_de_Dados[[#This Row],[Semana]],"Mmmm")</f>
        <v>março</v>
      </c>
      <c r="F541">
        <f>YEAR(Base_de_Dados[[#This Row],[Semana]])</f>
        <v>2023</v>
      </c>
      <c r="G541" t="str">
        <f>IF(MONTH( Base_de_Dados[[#This Row],[Semana]])&lt;=6,"1ª Semestre","2ª Semestre")</f>
        <v>1ª Semestre</v>
      </c>
    </row>
    <row r="542" spans="1:7" x14ac:dyDescent="0.25">
      <c r="A542" t="s">
        <v>11</v>
      </c>
      <c r="B542">
        <v>0</v>
      </c>
      <c r="C542" s="6">
        <v>0</v>
      </c>
      <c r="D542" s="54">
        <v>44998</v>
      </c>
      <c r="E542" s="54" t="str">
        <f>TEXT(Base_de_Dados[[#This Row],[Semana]],"Mmmm")</f>
        <v>março</v>
      </c>
      <c r="F542">
        <f>YEAR(Base_de_Dados[[#This Row],[Semana]])</f>
        <v>2023</v>
      </c>
      <c r="G542" t="str">
        <f>IF(MONTH( Base_de_Dados[[#This Row],[Semana]])&lt;=6,"1ª Semestre","2ª Semestre")</f>
        <v>1ª Semestre</v>
      </c>
    </row>
    <row r="543" spans="1:7" x14ac:dyDescent="0.25">
      <c r="A543" t="s">
        <v>12</v>
      </c>
      <c r="B543">
        <v>0</v>
      </c>
      <c r="C543" s="6">
        <v>0</v>
      </c>
      <c r="D543" s="54">
        <v>44998</v>
      </c>
      <c r="E543" s="54" t="str">
        <f>TEXT(Base_de_Dados[[#This Row],[Semana]],"Mmmm")</f>
        <v>março</v>
      </c>
      <c r="F543">
        <f>YEAR(Base_de_Dados[[#This Row],[Semana]])</f>
        <v>2023</v>
      </c>
      <c r="G543" t="str">
        <f>IF(MONTH( Base_de_Dados[[#This Row],[Semana]])&lt;=6,"1ª Semestre","2ª Semestre")</f>
        <v>1ª Semestre</v>
      </c>
    </row>
    <row r="544" spans="1:7" x14ac:dyDescent="0.25">
      <c r="A544" t="s">
        <v>171</v>
      </c>
      <c r="B544">
        <v>0</v>
      </c>
      <c r="C544" s="6">
        <v>0</v>
      </c>
      <c r="D544" s="54">
        <v>44998</v>
      </c>
      <c r="E544" s="54" t="str">
        <f>TEXT(Base_de_Dados[[#This Row],[Semana]],"Mmmm")</f>
        <v>março</v>
      </c>
      <c r="F544">
        <f>YEAR(Base_de_Dados[[#This Row],[Semana]])</f>
        <v>2023</v>
      </c>
      <c r="G544" t="str">
        <f>IF(MONTH( Base_de_Dados[[#This Row],[Semana]])&lt;=6,"1ª Semestre","2ª Semestre")</f>
        <v>1ª Semestre</v>
      </c>
    </row>
    <row r="545" spans="1:7" x14ac:dyDescent="0.25">
      <c r="A545" t="s">
        <v>132</v>
      </c>
      <c r="B545">
        <v>0</v>
      </c>
      <c r="C545" s="6">
        <v>0</v>
      </c>
      <c r="D545" s="54">
        <v>44998</v>
      </c>
      <c r="E545" s="54" t="str">
        <f>TEXT(Base_de_Dados[[#This Row],[Semana]],"Mmmm")</f>
        <v>março</v>
      </c>
      <c r="F545">
        <f>YEAR(Base_de_Dados[[#This Row],[Semana]])</f>
        <v>2023</v>
      </c>
      <c r="G545" t="str">
        <f>IF(MONTH( Base_de_Dados[[#This Row],[Semana]])&lt;=6,"1ª Semestre","2ª Semestre")</f>
        <v>1ª Semestre</v>
      </c>
    </row>
    <row r="546" spans="1:7" x14ac:dyDescent="0.25">
      <c r="A546" t="s">
        <v>3</v>
      </c>
      <c r="B546">
        <v>3</v>
      </c>
      <c r="C546" s="6">
        <v>0.25</v>
      </c>
      <c r="D546" s="54">
        <v>45005</v>
      </c>
      <c r="E546" s="54" t="str">
        <f>TEXT(Base_de_Dados[[#This Row],[Semana]],"Mmmm")</f>
        <v>março</v>
      </c>
      <c r="F546">
        <f>YEAR(Base_de_Dados[[#This Row],[Semana]])</f>
        <v>2023</v>
      </c>
      <c r="G546" t="str">
        <f>IF(MONTH( Base_de_Dados[[#This Row],[Semana]])&lt;=6,"1ª Semestre","2ª Semestre")</f>
        <v>1ª Semestre</v>
      </c>
    </row>
    <row r="547" spans="1:7" x14ac:dyDescent="0.25">
      <c r="A547" t="s">
        <v>4</v>
      </c>
      <c r="B547">
        <v>0</v>
      </c>
      <c r="C547" s="6">
        <v>0</v>
      </c>
      <c r="D547" s="54">
        <v>45005</v>
      </c>
      <c r="E547" s="54" t="str">
        <f>TEXT(Base_de_Dados[[#This Row],[Semana]],"Mmmm")</f>
        <v>março</v>
      </c>
      <c r="F547">
        <f>YEAR(Base_de_Dados[[#This Row],[Semana]])</f>
        <v>2023</v>
      </c>
      <c r="G547" t="str">
        <f>IF(MONTH( Base_de_Dados[[#This Row],[Semana]])&lt;=6,"1ª Semestre","2ª Semestre")</f>
        <v>1ª Semestre</v>
      </c>
    </row>
    <row r="548" spans="1:7" x14ac:dyDescent="0.25">
      <c r="A548" t="s">
        <v>5</v>
      </c>
      <c r="B548">
        <v>0</v>
      </c>
      <c r="C548" s="6">
        <v>0</v>
      </c>
      <c r="D548" s="54">
        <v>45005</v>
      </c>
      <c r="E548" s="54" t="str">
        <f>TEXT(Base_de_Dados[[#This Row],[Semana]],"Mmmm")</f>
        <v>março</v>
      </c>
      <c r="F548">
        <f>YEAR(Base_de_Dados[[#This Row],[Semana]])</f>
        <v>2023</v>
      </c>
      <c r="G548" t="str">
        <f>IF(MONTH( Base_de_Dados[[#This Row],[Semana]])&lt;=6,"1ª Semestre","2ª Semestre")</f>
        <v>1ª Semestre</v>
      </c>
    </row>
    <row r="549" spans="1:7" x14ac:dyDescent="0.25">
      <c r="A549" t="s">
        <v>6</v>
      </c>
      <c r="B549">
        <v>0</v>
      </c>
      <c r="C549" s="6">
        <v>0</v>
      </c>
      <c r="D549" s="54">
        <v>45005</v>
      </c>
      <c r="E549" s="54" t="str">
        <f>TEXT(Base_de_Dados[[#This Row],[Semana]],"Mmmm")</f>
        <v>março</v>
      </c>
      <c r="F549">
        <f>YEAR(Base_de_Dados[[#This Row],[Semana]])</f>
        <v>2023</v>
      </c>
      <c r="G549" t="str">
        <f>IF(MONTH( Base_de_Dados[[#This Row],[Semana]])&lt;=6,"1ª Semestre","2ª Semestre")</f>
        <v>1ª Semestre</v>
      </c>
    </row>
    <row r="550" spans="1:7" x14ac:dyDescent="0.25">
      <c r="A550" t="s">
        <v>7</v>
      </c>
      <c r="B550">
        <v>4</v>
      </c>
      <c r="C550" s="6">
        <v>0.33333333333333331</v>
      </c>
      <c r="D550" s="54">
        <v>45005</v>
      </c>
      <c r="E550" s="54" t="str">
        <f>TEXT(Base_de_Dados[[#This Row],[Semana]],"Mmmm")</f>
        <v>março</v>
      </c>
      <c r="F550">
        <f>YEAR(Base_de_Dados[[#This Row],[Semana]])</f>
        <v>2023</v>
      </c>
      <c r="G550" t="str">
        <f>IF(MONTH( Base_de_Dados[[#This Row],[Semana]])&lt;=6,"1ª Semestre","2ª Semestre")</f>
        <v>1ª Semestre</v>
      </c>
    </row>
    <row r="551" spans="1:7" x14ac:dyDescent="0.25">
      <c r="A551" t="s">
        <v>8</v>
      </c>
      <c r="B551">
        <v>1</v>
      </c>
      <c r="C551" s="6">
        <v>8.3333333333333329E-2</v>
      </c>
      <c r="D551" s="54">
        <v>45005</v>
      </c>
      <c r="E551" s="54" t="str">
        <f>TEXT(Base_de_Dados[[#This Row],[Semana]],"Mmmm")</f>
        <v>março</v>
      </c>
      <c r="F551">
        <f>YEAR(Base_de_Dados[[#This Row],[Semana]])</f>
        <v>2023</v>
      </c>
      <c r="G551" t="str">
        <f>IF(MONTH( Base_de_Dados[[#This Row],[Semana]])&lt;=6,"1ª Semestre","2ª Semestre")</f>
        <v>1ª Semestre</v>
      </c>
    </row>
    <row r="552" spans="1:7" x14ac:dyDescent="0.25">
      <c r="A552" t="s">
        <v>9</v>
      </c>
      <c r="B552">
        <v>0</v>
      </c>
      <c r="C552" s="6">
        <v>0</v>
      </c>
      <c r="D552" s="54">
        <v>45005</v>
      </c>
      <c r="E552" s="54" t="str">
        <f>TEXT(Base_de_Dados[[#This Row],[Semana]],"Mmmm")</f>
        <v>março</v>
      </c>
      <c r="F552">
        <f>YEAR(Base_de_Dados[[#This Row],[Semana]])</f>
        <v>2023</v>
      </c>
      <c r="G552" t="str">
        <f>IF(MONTH( Base_de_Dados[[#This Row],[Semana]])&lt;=6,"1ª Semestre","2ª Semestre")</f>
        <v>1ª Semestre</v>
      </c>
    </row>
    <row r="553" spans="1:7" x14ac:dyDescent="0.25">
      <c r="A553" t="s">
        <v>10</v>
      </c>
      <c r="B553">
        <v>1</v>
      </c>
      <c r="C553" s="6">
        <v>8.3333333333333329E-2</v>
      </c>
      <c r="D553" s="54">
        <v>45005</v>
      </c>
      <c r="E553" s="54" t="str">
        <f>TEXT(Base_de_Dados[[#This Row],[Semana]],"Mmmm")</f>
        <v>março</v>
      </c>
      <c r="F553">
        <f>YEAR(Base_de_Dados[[#This Row],[Semana]])</f>
        <v>2023</v>
      </c>
      <c r="G553" t="str">
        <f>IF(MONTH( Base_de_Dados[[#This Row],[Semana]])&lt;=6,"1ª Semestre","2ª Semestre")</f>
        <v>1ª Semestre</v>
      </c>
    </row>
    <row r="554" spans="1:7" x14ac:dyDescent="0.25">
      <c r="A554" t="s">
        <v>11</v>
      </c>
      <c r="B554">
        <v>0</v>
      </c>
      <c r="C554" s="6">
        <v>0</v>
      </c>
      <c r="D554" s="54">
        <v>45005</v>
      </c>
      <c r="E554" s="54" t="str">
        <f>TEXT(Base_de_Dados[[#This Row],[Semana]],"Mmmm")</f>
        <v>março</v>
      </c>
      <c r="F554">
        <f>YEAR(Base_de_Dados[[#This Row],[Semana]])</f>
        <v>2023</v>
      </c>
      <c r="G554" t="str">
        <f>IF(MONTH( Base_de_Dados[[#This Row],[Semana]])&lt;=6,"1ª Semestre","2ª Semestre")</f>
        <v>1ª Semestre</v>
      </c>
    </row>
    <row r="555" spans="1:7" x14ac:dyDescent="0.25">
      <c r="A555" t="s">
        <v>12</v>
      </c>
      <c r="B555">
        <v>3</v>
      </c>
      <c r="C555" s="6">
        <v>0.25</v>
      </c>
      <c r="D555" s="54">
        <v>45005</v>
      </c>
      <c r="E555" s="54" t="str">
        <f>TEXT(Base_de_Dados[[#This Row],[Semana]],"Mmmm")</f>
        <v>março</v>
      </c>
      <c r="F555">
        <f>YEAR(Base_de_Dados[[#This Row],[Semana]])</f>
        <v>2023</v>
      </c>
      <c r="G555" t="str">
        <f>IF(MONTH( Base_de_Dados[[#This Row],[Semana]])&lt;=6,"1ª Semestre","2ª Semestre")</f>
        <v>1ª Semestre</v>
      </c>
    </row>
    <row r="556" spans="1:7" x14ac:dyDescent="0.25">
      <c r="A556" t="s">
        <v>171</v>
      </c>
      <c r="B556">
        <v>0</v>
      </c>
      <c r="C556" s="6">
        <v>0</v>
      </c>
      <c r="D556" s="54">
        <v>45005</v>
      </c>
      <c r="E556" s="54" t="str">
        <f>TEXT(Base_de_Dados[[#This Row],[Semana]],"Mmmm")</f>
        <v>março</v>
      </c>
      <c r="F556">
        <f>YEAR(Base_de_Dados[[#This Row],[Semana]])</f>
        <v>2023</v>
      </c>
      <c r="G556" t="str">
        <f>IF(MONTH( Base_de_Dados[[#This Row],[Semana]])&lt;=6,"1ª Semestre","2ª Semestre")</f>
        <v>1ª Semestre</v>
      </c>
    </row>
    <row r="557" spans="1:7" x14ac:dyDescent="0.25">
      <c r="A557" t="s">
        <v>132</v>
      </c>
      <c r="B557">
        <v>0</v>
      </c>
      <c r="C557" s="6">
        <v>0</v>
      </c>
      <c r="D557" s="54">
        <v>45005</v>
      </c>
      <c r="E557" s="54" t="str">
        <f>TEXT(Base_de_Dados[[#This Row],[Semana]],"Mmmm")</f>
        <v>março</v>
      </c>
      <c r="F557">
        <f>YEAR(Base_de_Dados[[#This Row],[Semana]])</f>
        <v>2023</v>
      </c>
      <c r="G557" t="str">
        <f>IF(MONTH( Base_de_Dados[[#This Row],[Semana]])&lt;=6,"1ª Semestre","2ª Semestre")</f>
        <v>1ª Semestre</v>
      </c>
    </row>
    <row r="558" spans="1:7" x14ac:dyDescent="0.25">
      <c r="A558" t="s">
        <v>3</v>
      </c>
      <c r="B558">
        <v>2</v>
      </c>
      <c r="C558" s="6">
        <v>0.15384615384615385</v>
      </c>
      <c r="D558" s="54">
        <v>45012</v>
      </c>
      <c r="E558" s="54" t="str">
        <f>TEXT(Base_de_Dados[[#This Row],[Semana]],"Mmmm")</f>
        <v>março</v>
      </c>
      <c r="F558">
        <f>YEAR(Base_de_Dados[[#This Row],[Semana]])</f>
        <v>2023</v>
      </c>
      <c r="G558" t="str">
        <f>IF(MONTH( Base_de_Dados[[#This Row],[Semana]])&lt;=6,"1ª Semestre","2ª Semestre")</f>
        <v>1ª Semestre</v>
      </c>
    </row>
    <row r="559" spans="1:7" x14ac:dyDescent="0.25">
      <c r="A559" t="s">
        <v>4</v>
      </c>
      <c r="B559">
        <v>0</v>
      </c>
      <c r="C559" s="6">
        <v>0</v>
      </c>
      <c r="D559" s="54">
        <v>45012</v>
      </c>
      <c r="E559" s="54" t="str">
        <f>TEXT(Base_de_Dados[[#This Row],[Semana]],"Mmmm")</f>
        <v>março</v>
      </c>
      <c r="F559">
        <f>YEAR(Base_de_Dados[[#This Row],[Semana]])</f>
        <v>2023</v>
      </c>
      <c r="G559" t="str">
        <f>IF(MONTH( Base_de_Dados[[#This Row],[Semana]])&lt;=6,"1ª Semestre","2ª Semestre")</f>
        <v>1ª Semestre</v>
      </c>
    </row>
    <row r="560" spans="1:7" x14ac:dyDescent="0.25">
      <c r="A560" t="s">
        <v>5</v>
      </c>
      <c r="B560">
        <v>1</v>
      </c>
      <c r="C560" s="6">
        <v>0</v>
      </c>
      <c r="D560" s="54">
        <v>45012</v>
      </c>
      <c r="E560" s="54" t="str">
        <f>TEXT(Base_de_Dados[[#This Row],[Semana]],"Mmmm")</f>
        <v>março</v>
      </c>
      <c r="F560">
        <f>YEAR(Base_de_Dados[[#This Row],[Semana]])</f>
        <v>2023</v>
      </c>
      <c r="G560" t="str">
        <f>IF(MONTH( Base_de_Dados[[#This Row],[Semana]])&lt;=6,"1ª Semestre","2ª Semestre")</f>
        <v>1ª Semestre</v>
      </c>
    </row>
    <row r="561" spans="1:7" x14ac:dyDescent="0.25">
      <c r="A561" t="s">
        <v>6</v>
      </c>
      <c r="B561">
        <v>0</v>
      </c>
      <c r="C561" s="6">
        <v>0</v>
      </c>
      <c r="D561" s="54">
        <v>45012</v>
      </c>
      <c r="E561" s="54" t="str">
        <f>TEXT(Base_de_Dados[[#This Row],[Semana]],"Mmmm")</f>
        <v>março</v>
      </c>
      <c r="F561">
        <f>YEAR(Base_de_Dados[[#This Row],[Semana]])</f>
        <v>2023</v>
      </c>
      <c r="G561" t="str">
        <f>IF(MONTH( Base_de_Dados[[#This Row],[Semana]])&lt;=6,"1ª Semestre","2ª Semestre")</f>
        <v>1ª Semestre</v>
      </c>
    </row>
    <row r="562" spans="1:7" x14ac:dyDescent="0.25">
      <c r="A562" t="s">
        <v>7</v>
      </c>
      <c r="B562">
        <v>4</v>
      </c>
      <c r="C562" s="6">
        <v>0.15384615384615385</v>
      </c>
      <c r="D562" s="54">
        <v>45012</v>
      </c>
      <c r="E562" s="54" t="str">
        <f>TEXT(Base_de_Dados[[#This Row],[Semana]],"Mmmm")</f>
        <v>março</v>
      </c>
      <c r="F562">
        <f>YEAR(Base_de_Dados[[#This Row],[Semana]])</f>
        <v>2023</v>
      </c>
      <c r="G562" t="str">
        <f>IF(MONTH( Base_de_Dados[[#This Row],[Semana]])&lt;=6,"1ª Semestre","2ª Semestre")</f>
        <v>1ª Semestre</v>
      </c>
    </row>
    <row r="563" spans="1:7" x14ac:dyDescent="0.25">
      <c r="A563" t="s">
        <v>8</v>
      </c>
      <c r="B563">
        <v>29</v>
      </c>
      <c r="C563" s="6">
        <v>0.61538461538461542</v>
      </c>
      <c r="D563" s="54">
        <v>45012</v>
      </c>
      <c r="E563" s="54" t="str">
        <f>TEXT(Base_de_Dados[[#This Row],[Semana]],"Mmmm")</f>
        <v>março</v>
      </c>
      <c r="F563">
        <f>YEAR(Base_de_Dados[[#This Row],[Semana]])</f>
        <v>2023</v>
      </c>
      <c r="G563" t="str">
        <f>IF(MONTH( Base_de_Dados[[#This Row],[Semana]])&lt;=6,"1ª Semestre","2ª Semestre")</f>
        <v>1ª Semestre</v>
      </c>
    </row>
    <row r="564" spans="1:7" x14ac:dyDescent="0.25">
      <c r="A564" t="s">
        <v>9</v>
      </c>
      <c r="B564">
        <v>2</v>
      </c>
      <c r="C564" s="6">
        <v>0</v>
      </c>
      <c r="D564" s="54">
        <v>45012</v>
      </c>
      <c r="E564" s="54" t="str">
        <f>TEXT(Base_de_Dados[[#This Row],[Semana]],"Mmmm")</f>
        <v>março</v>
      </c>
      <c r="F564">
        <f>YEAR(Base_de_Dados[[#This Row],[Semana]])</f>
        <v>2023</v>
      </c>
      <c r="G564" t="str">
        <f>IF(MONTH( Base_de_Dados[[#This Row],[Semana]])&lt;=6,"1ª Semestre","2ª Semestre")</f>
        <v>1ª Semestre</v>
      </c>
    </row>
    <row r="565" spans="1:7" x14ac:dyDescent="0.25">
      <c r="A565" t="s">
        <v>10</v>
      </c>
      <c r="B565">
        <v>1</v>
      </c>
      <c r="C565" s="6">
        <v>0</v>
      </c>
      <c r="D565" s="54">
        <v>45012</v>
      </c>
      <c r="E565" s="54" t="str">
        <f>TEXT(Base_de_Dados[[#This Row],[Semana]],"Mmmm")</f>
        <v>março</v>
      </c>
      <c r="F565">
        <f>YEAR(Base_de_Dados[[#This Row],[Semana]])</f>
        <v>2023</v>
      </c>
      <c r="G565" t="str">
        <f>IF(MONTH( Base_de_Dados[[#This Row],[Semana]])&lt;=6,"1ª Semestre","2ª Semestre")</f>
        <v>1ª Semestre</v>
      </c>
    </row>
    <row r="566" spans="1:7" x14ac:dyDescent="0.25">
      <c r="A566" t="s">
        <v>11</v>
      </c>
      <c r="B566">
        <v>0</v>
      </c>
      <c r="C566" s="6">
        <v>0</v>
      </c>
      <c r="D566" s="54">
        <v>45012</v>
      </c>
      <c r="E566" s="54" t="str">
        <f>TEXT(Base_de_Dados[[#This Row],[Semana]],"Mmmm")</f>
        <v>março</v>
      </c>
      <c r="F566">
        <f>YEAR(Base_de_Dados[[#This Row],[Semana]])</f>
        <v>2023</v>
      </c>
      <c r="G566" t="str">
        <f>IF(MONTH( Base_de_Dados[[#This Row],[Semana]])&lt;=6,"1ª Semestre","2ª Semestre")</f>
        <v>1ª Semestre</v>
      </c>
    </row>
    <row r="567" spans="1:7" x14ac:dyDescent="0.25">
      <c r="A567" t="s">
        <v>12</v>
      </c>
      <c r="B567">
        <v>4</v>
      </c>
      <c r="C567" s="6">
        <v>7.6923076923076927E-2</v>
      </c>
      <c r="D567" s="54">
        <v>45012</v>
      </c>
      <c r="E567" s="54" t="str">
        <f>TEXT(Base_de_Dados[[#This Row],[Semana]],"Mmmm")</f>
        <v>março</v>
      </c>
      <c r="F567">
        <f>YEAR(Base_de_Dados[[#This Row],[Semana]])</f>
        <v>2023</v>
      </c>
      <c r="G567" t="str">
        <f>IF(MONTH( Base_de_Dados[[#This Row],[Semana]])&lt;=6,"1ª Semestre","2ª Semestre")</f>
        <v>1ª Semestre</v>
      </c>
    </row>
    <row r="568" spans="1:7" x14ac:dyDescent="0.25">
      <c r="A568" t="s">
        <v>171</v>
      </c>
      <c r="B568">
        <v>0</v>
      </c>
      <c r="C568" s="6">
        <v>0</v>
      </c>
      <c r="D568" s="54">
        <v>45012</v>
      </c>
      <c r="E568" s="54" t="str">
        <f>TEXT(Base_de_Dados[[#This Row],[Semana]],"Mmmm")</f>
        <v>março</v>
      </c>
      <c r="F568">
        <f>YEAR(Base_de_Dados[[#This Row],[Semana]])</f>
        <v>2023</v>
      </c>
      <c r="G568" t="str">
        <f>IF(MONTH( Base_de_Dados[[#This Row],[Semana]])&lt;=6,"1ª Semestre","2ª Semestre")</f>
        <v>1ª Semestre</v>
      </c>
    </row>
    <row r="569" spans="1:7" x14ac:dyDescent="0.25">
      <c r="A569" t="s">
        <v>132</v>
      </c>
      <c r="B569">
        <v>0</v>
      </c>
      <c r="C569" s="6">
        <v>0</v>
      </c>
      <c r="D569" s="54">
        <v>45012</v>
      </c>
      <c r="E569" s="54" t="str">
        <f>TEXT(Base_de_Dados[[#This Row],[Semana]],"Mmmm")</f>
        <v>março</v>
      </c>
      <c r="F569">
        <f>YEAR(Base_de_Dados[[#This Row],[Semana]])</f>
        <v>2023</v>
      </c>
      <c r="G569" t="str">
        <f>IF(MONTH( Base_de_Dados[[#This Row],[Semana]])&lt;=6,"1ª Semestre","2ª Semestre")</f>
        <v>1ª Semestre</v>
      </c>
    </row>
    <row r="570" spans="1:7" x14ac:dyDescent="0.25">
      <c r="A570" t="s">
        <v>3</v>
      </c>
      <c r="B570">
        <v>1</v>
      </c>
      <c r="C570" s="6">
        <v>0.25</v>
      </c>
      <c r="D570" s="54">
        <v>45019</v>
      </c>
      <c r="E570" s="54" t="str">
        <f>TEXT(Base_de_Dados[[#This Row],[Semana]],"Mmmm")</f>
        <v>abril</v>
      </c>
      <c r="F570">
        <f>YEAR(Base_de_Dados[[#This Row],[Semana]])</f>
        <v>2023</v>
      </c>
      <c r="G570" t="str">
        <f>IF(MONTH( Base_de_Dados[[#This Row],[Semana]])&lt;=6,"1ª Semestre","2ª Semestre")</f>
        <v>1ª Semestre</v>
      </c>
    </row>
    <row r="571" spans="1:7" x14ac:dyDescent="0.25">
      <c r="A571" t="s">
        <v>4</v>
      </c>
      <c r="B571">
        <v>0</v>
      </c>
      <c r="C571" s="6">
        <v>0</v>
      </c>
      <c r="D571" s="54">
        <v>45019</v>
      </c>
      <c r="E571" s="54" t="str">
        <f>TEXT(Base_de_Dados[[#This Row],[Semana]],"Mmmm")</f>
        <v>abril</v>
      </c>
      <c r="F571">
        <f>YEAR(Base_de_Dados[[#This Row],[Semana]])</f>
        <v>2023</v>
      </c>
      <c r="G571" t="str">
        <f>IF(MONTH( Base_de_Dados[[#This Row],[Semana]])&lt;=6,"1ª Semestre","2ª Semestre")</f>
        <v>1ª Semestre</v>
      </c>
    </row>
    <row r="572" spans="1:7" x14ac:dyDescent="0.25">
      <c r="A572" t="s">
        <v>5</v>
      </c>
      <c r="B572">
        <v>0</v>
      </c>
      <c r="C572" s="6">
        <v>0</v>
      </c>
      <c r="D572" s="54">
        <v>45019</v>
      </c>
      <c r="E572" s="54" t="str">
        <f>TEXT(Base_de_Dados[[#This Row],[Semana]],"Mmmm")</f>
        <v>abril</v>
      </c>
      <c r="F572">
        <f>YEAR(Base_de_Dados[[#This Row],[Semana]])</f>
        <v>2023</v>
      </c>
      <c r="G572" t="str">
        <f>IF(MONTH( Base_de_Dados[[#This Row],[Semana]])&lt;=6,"1ª Semestre","2ª Semestre")</f>
        <v>1ª Semestre</v>
      </c>
    </row>
    <row r="573" spans="1:7" x14ac:dyDescent="0.25">
      <c r="A573" t="s">
        <v>6</v>
      </c>
      <c r="B573">
        <v>0</v>
      </c>
      <c r="C573" s="6">
        <v>0</v>
      </c>
      <c r="D573" s="54">
        <v>45019</v>
      </c>
      <c r="E573" s="54" t="str">
        <f>TEXT(Base_de_Dados[[#This Row],[Semana]],"Mmmm")</f>
        <v>abril</v>
      </c>
      <c r="F573">
        <f>YEAR(Base_de_Dados[[#This Row],[Semana]])</f>
        <v>2023</v>
      </c>
      <c r="G573" t="str">
        <f>IF(MONTH( Base_de_Dados[[#This Row],[Semana]])&lt;=6,"1ª Semestre","2ª Semestre")</f>
        <v>1ª Semestre</v>
      </c>
    </row>
    <row r="574" spans="1:7" x14ac:dyDescent="0.25">
      <c r="A574" t="s">
        <v>7</v>
      </c>
      <c r="B574">
        <v>2</v>
      </c>
      <c r="C574" s="6">
        <v>0.5</v>
      </c>
      <c r="D574" s="54">
        <v>45019</v>
      </c>
      <c r="E574" s="54" t="str">
        <f>TEXT(Base_de_Dados[[#This Row],[Semana]],"Mmmm")</f>
        <v>abril</v>
      </c>
      <c r="F574">
        <f>YEAR(Base_de_Dados[[#This Row],[Semana]])</f>
        <v>2023</v>
      </c>
      <c r="G574" t="str">
        <f>IF(MONTH( Base_de_Dados[[#This Row],[Semana]])&lt;=6,"1ª Semestre","2ª Semestre")</f>
        <v>1ª Semestre</v>
      </c>
    </row>
    <row r="575" spans="1:7" x14ac:dyDescent="0.25">
      <c r="A575" t="s">
        <v>8</v>
      </c>
      <c r="B575">
        <v>0</v>
      </c>
      <c r="C575" s="6">
        <v>0</v>
      </c>
      <c r="D575" s="54">
        <v>45019</v>
      </c>
      <c r="E575" s="54" t="str">
        <f>TEXT(Base_de_Dados[[#This Row],[Semana]],"Mmmm")</f>
        <v>abril</v>
      </c>
      <c r="F575">
        <f>YEAR(Base_de_Dados[[#This Row],[Semana]])</f>
        <v>2023</v>
      </c>
      <c r="G575" t="str">
        <f>IF(MONTH( Base_de_Dados[[#This Row],[Semana]])&lt;=6,"1ª Semestre","2ª Semestre")</f>
        <v>1ª Semestre</v>
      </c>
    </row>
    <row r="576" spans="1:7" x14ac:dyDescent="0.25">
      <c r="A576" t="s">
        <v>9</v>
      </c>
      <c r="B576">
        <v>1</v>
      </c>
      <c r="C576" s="6">
        <v>0.25</v>
      </c>
      <c r="D576" s="54">
        <v>45019</v>
      </c>
      <c r="E576" s="54" t="str">
        <f>TEXT(Base_de_Dados[[#This Row],[Semana]],"Mmmm")</f>
        <v>abril</v>
      </c>
      <c r="F576">
        <f>YEAR(Base_de_Dados[[#This Row],[Semana]])</f>
        <v>2023</v>
      </c>
      <c r="G576" t="str">
        <f>IF(MONTH( Base_de_Dados[[#This Row],[Semana]])&lt;=6,"1ª Semestre","2ª Semestre")</f>
        <v>1ª Semestre</v>
      </c>
    </row>
    <row r="577" spans="1:7" x14ac:dyDescent="0.25">
      <c r="A577" t="s">
        <v>10</v>
      </c>
      <c r="B577">
        <v>0</v>
      </c>
      <c r="C577" s="6">
        <v>0</v>
      </c>
      <c r="D577" s="54">
        <v>45019</v>
      </c>
      <c r="E577" s="54" t="str">
        <f>TEXT(Base_de_Dados[[#This Row],[Semana]],"Mmmm")</f>
        <v>abril</v>
      </c>
      <c r="F577">
        <f>YEAR(Base_de_Dados[[#This Row],[Semana]])</f>
        <v>2023</v>
      </c>
      <c r="G577" t="str">
        <f>IF(MONTH( Base_de_Dados[[#This Row],[Semana]])&lt;=6,"1ª Semestre","2ª Semestre")</f>
        <v>1ª Semestre</v>
      </c>
    </row>
    <row r="578" spans="1:7" x14ac:dyDescent="0.25">
      <c r="A578" t="s">
        <v>11</v>
      </c>
      <c r="B578">
        <v>0</v>
      </c>
      <c r="C578" s="6">
        <v>0</v>
      </c>
      <c r="D578" s="54">
        <v>45019</v>
      </c>
      <c r="E578" s="54" t="str">
        <f>TEXT(Base_de_Dados[[#This Row],[Semana]],"Mmmm")</f>
        <v>abril</v>
      </c>
      <c r="F578">
        <f>YEAR(Base_de_Dados[[#This Row],[Semana]])</f>
        <v>2023</v>
      </c>
      <c r="G578" t="str">
        <f>IF(MONTH( Base_de_Dados[[#This Row],[Semana]])&lt;=6,"1ª Semestre","2ª Semestre")</f>
        <v>1ª Semestre</v>
      </c>
    </row>
    <row r="579" spans="1:7" x14ac:dyDescent="0.25">
      <c r="A579" t="s">
        <v>12</v>
      </c>
      <c r="B579">
        <v>0</v>
      </c>
      <c r="C579" s="6">
        <v>0</v>
      </c>
      <c r="D579" s="54">
        <v>45019</v>
      </c>
      <c r="E579" s="54" t="str">
        <f>TEXT(Base_de_Dados[[#This Row],[Semana]],"Mmmm")</f>
        <v>abril</v>
      </c>
      <c r="F579">
        <f>YEAR(Base_de_Dados[[#This Row],[Semana]])</f>
        <v>2023</v>
      </c>
      <c r="G579" t="str">
        <f>IF(MONTH( Base_de_Dados[[#This Row],[Semana]])&lt;=6,"1ª Semestre","2ª Semestre")</f>
        <v>1ª Semestre</v>
      </c>
    </row>
    <row r="580" spans="1:7" x14ac:dyDescent="0.25">
      <c r="A580" t="s">
        <v>171</v>
      </c>
      <c r="B580">
        <v>0</v>
      </c>
      <c r="C580" s="6">
        <v>0</v>
      </c>
      <c r="D580" s="54">
        <v>45019</v>
      </c>
      <c r="E580" s="54" t="str">
        <f>TEXT(Base_de_Dados[[#This Row],[Semana]],"Mmmm")</f>
        <v>abril</v>
      </c>
      <c r="F580">
        <f>YEAR(Base_de_Dados[[#This Row],[Semana]])</f>
        <v>2023</v>
      </c>
      <c r="G580" t="str">
        <f>IF(MONTH( Base_de_Dados[[#This Row],[Semana]])&lt;=6,"1ª Semestre","2ª Semestre")</f>
        <v>1ª Semestre</v>
      </c>
    </row>
    <row r="581" spans="1:7" x14ac:dyDescent="0.25">
      <c r="A581" t="s">
        <v>132</v>
      </c>
      <c r="B581">
        <v>0</v>
      </c>
      <c r="C581" s="6">
        <v>0</v>
      </c>
      <c r="D581" s="54">
        <v>45019</v>
      </c>
      <c r="E581" s="54" t="str">
        <f>TEXT(Base_de_Dados[[#This Row],[Semana]],"Mmmm")</f>
        <v>abril</v>
      </c>
      <c r="F581">
        <f>YEAR(Base_de_Dados[[#This Row],[Semana]])</f>
        <v>2023</v>
      </c>
      <c r="G581" t="str">
        <f>IF(MONTH( Base_de_Dados[[#This Row],[Semana]])&lt;=6,"1ª Semestre","2ª Semestre")</f>
        <v>1ª Semestre</v>
      </c>
    </row>
    <row r="582" spans="1:7" x14ac:dyDescent="0.25">
      <c r="A582" t="s">
        <v>3</v>
      </c>
      <c r="B582">
        <v>1</v>
      </c>
      <c r="C582" s="6">
        <v>0.125</v>
      </c>
      <c r="D582" s="54">
        <v>45026</v>
      </c>
      <c r="E582" s="54" t="str">
        <f>TEXT(Base_de_Dados[[#This Row],[Semana]],"Mmmm")</f>
        <v>abril</v>
      </c>
      <c r="F582">
        <f>YEAR(Base_de_Dados[[#This Row],[Semana]])</f>
        <v>2023</v>
      </c>
      <c r="G582" t="str">
        <f>IF(MONTH( Base_de_Dados[[#This Row],[Semana]])&lt;=6,"1ª Semestre","2ª Semestre")</f>
        <v>1ª Semestre</v>
      </c>
    </row>
    <row r="583" spans="1:7" x14ac:dyDescent="0.25">
      <c r="A583" t="s">
        <v>4</v>
      </c>
      <c r="B583">
        <v>0</v>
      </c>
      <c r="C583" s="6">
        <v>0</v>
      </c>
      <c r="D583" s="54">
        <v>45026</v>
      </c>
      <c r="E583" s="54" t="str">
        <f>TEXT(Base_de_Dados[[#This Row],[Semana]],"Mmmm")</f>
        <v>abril</v>
      </c>
      <c r="F583">
        <f>YEAR(Base_de_Dados[[#This Row],[Semana]])</f>
        <v>2023</v>
      </c>
      <c r="G583" t="str">
        <f>IF(MONTH( Base_de_Dados[[#This Row],[Semana]])&lt;=6,"1ª Semestre","2ª Semestre")</f>
        <v>1ª Semestre</v>
      </c>
    </row>
    <row r="584" spans="1:7" x14ac:dyDescent="0.25">
      <c r="A584" t="s">
        <v>5</v>
      </c>
      <c r="B584">
        <v>2</v>
      </c>
      <c r="C584" s="6">
        <v>0.25</v>
      </c>
      <c r="D584" s="54">
        <v>45026</v>
      </c>
      <c r="E584" s="54" t="str">
        <f>TEXT(Base_de_Dados[[#This Row],[Semana]],"Mmmm")</f>
        <v>abril</v>
      </c>
      <c r="F584">
        <f>YEAR(Base_de_Dados[[#This Row],[Semana]])</f>
        <v>2023</v>
      </c>
      <c r="G584" t="str">
        <f>IF(MONTH( Base_de_Dados[[#This Row],[Semana]])&lt;=6,"1ª Semestre","2ª Semestre")</f>
        <v>1ª Semestre</v>
      </c>
    </row>
    <row r="585" spans="1:7" x14ac:dyDescent="0.25">
      <c r="A585" t="s">
        <v>6</v>
      </c>
      <c r="B585">
        <v>0</v>
      </c>
      <c r="C585" s="6">
        <v>0</v>
      </c>
      <c r="D585" s="54">
        <v>45026</v>
      </c>
      <c r="E585" s="54" t="str">
        <f>TEXT(Base_de_Dados[[#This Row],[Semana]],"Mmmm")</f>
        <v>abril</v>
      </c>
      <c r="F585">
        <f>YEAR(Base_de_Dados[[#This Row],[Semana]])</f>
        <v>2023</v>
      </c>
      <c r="G585" t="str">
        <f>IF(MONTH( Base_de_Dados[[#This Row],[Semana]])&lt;=6,"1ª Semestre","2ª Semestre")</f>
        <v>1ª Semestre</v>
      </c>
    </row>
    <row r="586" spans="1:7" x14ac:dyDescent="0.25">
      <c r="A586" t="s">
        <v>7</v>
      </c>
      <c r="B586">
        <v>2</v>
      </c>
      <c r="C586" s="6">
        <v>0.25</v>
      </c>
      <c r="D586" s="54">
        <v>45026</v>
      </c>
      <c r="E586" s="54" t="str">
        <f>TEXT(Base_de_Dados[[#This Row],[Semana]],"Mmmm")</f>
        <v>abril</v>
      </c>
      <c r="F586">
        <f>YEAR(Base_de_Dados[[#This Row],[Semana]])</f>
        <v>2023</v>
      </c>
      <c r="G586" t="str">
        <f>IF(MONTH( Base_de_Dados[[#This Row],[Semana]])&lt;=6,"1ª Semestre","2ª Semestre")</f>
        <v>1ª Semestre</v>
      </c>
    </row>
    <row r="587" spans="1:7" x14ac:dyDescent="0.25">
      <c r="A587" t="s">
        <v>8</v>
      </c>
      <c r="B587">
        <v>0</v>
      </c>
      <c r="C587" s="6">
        <v>0</v>
      </c>
      <c r="D587" s="54">
        <v>45026</v>
      </c>
      <c r="E587" s="54" t="str">
        <f>TEXT(Base_de_Dados[[#This Row],[Semana]],"Mmmm")</f>
        <v>abril</v>
      </c>
      <c r="F587">
        <f>YEAR(Base_de_Dados[[#This Row],[Semana]])</f>
        <v>2023</v>
      </c>
      <c r="G587" t="str">
        <f>IF(MONTH( Base_de_Dados[[#This Row],[Semana]])&lt;=6,"1ª Semestre","2ª Semestre")</f>
        <v>1ª Semestre</v>
      </c>
    </row>
    <row r="588" spans="1:7" x14ac:dyDescent="0.25">
      <c r="A588" t="s">
        <v>9</v>
      </c>
      <c r="B588">
        <v>0</v>
      </c>
      <c r="C588" s="6">
        <v>0</v>
      </c>
      <c r="D588" s="54">
        <v>45026</v>
      </c>
      <c r="E588" s="54" t="str">
        <f>TEXT(Base_de_Dados[[#This Row],[Semana]],"Mmmm")</f>
        <v>abril</v>
      </c>
      <c r="F588">
        <f>YEAR(Base_de_Dados[[#This Row],[Semana]])</f>
        <v>2023</v>
      </c>
      <c r="G588" t="str">
        <f>IF(MONTH( Base_de_Dados[[#This Row],[Semana]])&lt;=6,"1ª Semestre","2ª Semestre")</f>
        <v>1ª Semestre</v>
      </c>
    </row>
    <row r="589" spans="1:7" x14ac:dyDescent="0.25">
      <c r="A589" t="s">
        <v>10</v>
      </c>
      <c r="B589">
        <v>1</v>
      </c>
      <c r="C589" s="6">
        <v>0.125</v>
      </c>
      <c r="D589" s="54">
        <v>45026</v>
      </c>
      <c r="E589" s="54" t="str">
        <f>TEXT(Base_de_Dados[[#This Row],[Semana]],"Mmmm")</f>
        <v>abril</v>
      </c>
      <c r="F589">
        <f>YEAR(Base_de_Dados[[#This Row],[Semana]])</f>
        <v>2023</v>
      </c>
      <c r="G589" t="str">
        <f>IF(MONTH( Base_de_Dados[[#This Row],[Semana]])&lt;=6,"1ª Semestre","2ª Semestre")</f>
        <v>1ª Semestre</v>
      </c>
    </row>
    <row r="590" spans="1:7" x14ac:dyDescent="0.25">
      <c r="A590" t="s">
        <v>11</v>
      </c>
      <c r="B590">
        <v>0</v>
      </c>
      <c r="C590" s="6">
        <v>0</v>
      </c>
      <c r="D590" s="54">
        <v>45026</v>
      </c>
      <c r="E590" s="54" t="str">
        <f>TEXT(Base_de_Dados[[#This Row],[Semana]],"Mmmm")</f>
        <v>abril</v>
      </c>
      <c r="F590">
        <f>YEAR(Base_de_Dados[[#This Row],[Semana]])</f>
        <v>2023</v>
      </c>
      <c r="G590" t="str">
        <f>IF(MONTH( Base_de_Dados[[#This Row],[Semana]])&lt;=6,"1ª Semestre","2ª Semestre")</f>
        <v>1ª Semestre</v>
      </c>
    </row>
    <row r="591" spans="1:7" x14ac:dyDescent="0.25">
      <c r="A591" t="s">
        <v>12</v>
      </c>
      <c r="B591">
        <v>2</v>
      </c>
      <c r="C591" s="6">
        <v>0.25</v>
      </c>
      <c r="D591" s="54">
        <v>45026</v>
      </c>
      <c r="E591" s="54" t="str">
        <f>TEXT(Base_de_Dados[[#This Row],[Semana]],"Mmmm")</f>
        <v>abril</v>
      </c>
      <c r="F591">
        <f>YEAR(Base_de_Dados[[#This Row],[Semana]])</f>
        <v>2023</v>
      </c>
      <c r="G591" t="str">
        <f>IF(MONTH( Base_de_Dados[[#This Row],[Semana]])&lt;=6,"1ª Semestre","2ª Semestre")</f>
        <v>1ª Semestre</v>
      </c>
    </row>
    <row r="592" spans="1:7" x14ac:dyDescent="0.25">
      <c r="A592" t="s">
        <v>171</v>
      </c>
      <c r="B592">
        <v>0</v>
      </c>
      <c r="C592" s="6">
        <v>0</v>
      </c>
      <c r="D592" s="54">
        <v>45026</v>
      </c>
      <c r="E592" s="54" t="str">
        <f>TEXT(Base_de_Dados[[#This Row],[Semana]],"Mmmm")</f>
        <v>abril</v>
      </c>
      <c r="F592">
        <f>YEAR(Base_de_Dados[[#This Row],[Semana]])</f>
        <v>2023</v>
      </c>
      <c r="G592" t="str">
        <f>IF(MONTH( Base_de_Dados[[#This Row],[Semana]])&lt;=6,"1ª Semestre","2ª Semestre")</f>
        <v>1ª Semestre</v>
      </c>
    </row>
    <row r="593" spans="1:7" x14ac:dyDescent="0.25">
      <c r="A593" t="s">
        <v>132</v>
      </c>
      <c r="B593">
        <v>0</v>
      </c>
      <c r="C593" s="6">
        <v>0</v>
      </c>
      <c r="D593" s="54">
        <v>45026</v>
      </c>
      <c r="E593" s="54" t="str">
        <f>TEXT(Base_de_Dados[[#This Row],[Semana]],"Mmmm")</f>
        <v>abril</v>
      </c>
      <c r="F593">
        <f>YEAR(Base_de_Dados[[#This Row],[Semana]])</f>
        <v>2023</v>
      </c>
      <c r="G593" t="str">
        <f>IF(MONTH( Base_de_Dados[[#This Row],[Semana]])&lt;=6,"1ª Semestre","2ª Semestre")</f>
        <v>1ª Semestre</v>
      </c>
    </row>
    <row r="594" spans="1:7" x14ac:dyDescent="0.25">
      <c r="A594" t="s">
        <v>3</v>
      </c>
      <c r="B594">
        <v>0</v>
      </c>
      <c r="C594" s="6">
        <v>0</v>
      </c>
      <c r="D594" s="54">
        <v>45033</v>
      </c>
      <c r="E594" s="54" t="str">
        <f>TEXT(Base_de_Dados[[#This Row],[Semana]],"Mmmm")</f>
        <v>abril</v>
      </c>
      <c r="F594">
        <f>YEAR(Base_de_Dados[[#This Row],[Semana]])</f>
        <v>2023</v>
      </c>
      <c r="G594" t="str">
        <f>IF(MONTH( Base_de_Dados[[#This Row],[Semana]])&lt;=6,"1ª Semestre","2ª Semestre")</f>
        <v>1ª Semestre</v>
      </c>
    </row>
    <row r="595" spans="1:7" x14ac:dyDescent="0.25">
      <c r="A595" t="s">
        <v>4</v>
      </c>
      <c r="B595">
        <v>0</v>
      </c>
      <c r="C595" s="6">
        <v>0</v>
      </c>
      <c r="D595" s="54">
        <v>45033</v>
      </c>
      <c r="E595" s="54" t="str">
        <f>TEXT(Base_de_Dados[[#This Row],[Semana]],"Mmmm")</f>
        <v>abril</v>
      </c>
      <c r="F595">
        <f>YEAR(Base_de_Dados[[#This Row],[Semana]])</f>
        <v>2023</v>
      </c>
      <c r="G595" t="str">
        <f>IF(MONTH( Base_de_Dados[[#This Row],[Semana]])&lt;=6,"1ª Semestre","2ª Semestre")</f>
        <v>1ª Semestre</v>
      </c>
    </row>
    <row r="596" spans="1:7" x14ac:dyDescent="0.25">
      <c r="A596" t="s">
        <v>5</v>
      </c>
      <c r="B596">
        <v>1</v>
      </c>
      <c r="C596" s="6">
        <v>0.5</v>
      </c>
      <c r="D596" s="54">
        <v>45033</v>
      </c>
      <c r="E596" s="54" t="str">
        <f>TEXT(Base_de_Dados[[#This Row],[Semana]],"Mmmm")</f>
        <v>abril</v>
      </c>
      <c r="F596">
        <f>YEAR(Base_de_Dados[[#This Row],[Semana]])</f>
        <v>2023</v>
      </c>
      <c r="G596" t="str">
        <f>IF(MONTH( Base_de_Dados[[#This Row],[Semana]])&lt;=6,"1ª Semestre","2ª Semestre")</f>
        <v>1ª Semestre</v>
      </c>
    </row>
    <row r="597" spans="1:7" x14ac:dyDescent="0.25">
      <c r="A597" t="s">
        <v>6</v>
      </c>
      <c r="B597">
        <v>0</v>
      </c>
      <c r="C597" s="6">
        <v>0</v>
      </c>
      <c r="D597" s="54">
        <v>45033</v>
      </c>
      <c r="E597" s="54" t="str">
        <f>TEXT(Base_de_Dados[[#This Row],[Semana]],"Mmmm")</f>
        <v>abril</v>
      </c>
      <c r="F597">
        <f>YEAR(Base_de_Dados[[#This Row],[Semana]])</f>
        <v>2023</v>
      </c>
      <c r="G597" t="str">
        <f>IF(MONTH( Base_de_Dados[[#This Row],[Semana]])&lt;=6,"1ª Semestre","2ª Semestre")</f>
        <v>1ª Semestre</v>
      </c>
    </row>
    <row r="598" spans="1:7" x14ac:dyDescent="0.25">
      <c r="A598" t="s">
        <v>7</v>
      </c>
      <c r="B598">
        <v>0</v>
      </c>
      <c r="C598" s="6">
        <v>0</v>
      </c>
      <c r="D598" s="54">
        <v>45033</v>
      </c>
      <c r="E598" s="54" t="str">
        <f>TEXT(Base_de_Dados[[#This Row],[Semana]],"Mmmm")</f>
        <v>abril</v>
      </c>
      <c r="F598">
        <f>YEAR(Base_de_Dados[[#This Row],[Semana]])</f>
        <v>2023</v>
      </c>
      <c r="G598" t="str">
        <f>IF(MONTH( Base_de_Dados[[#This Row],[Semana]])&lt;=6,"1ª Semestre","2ª Semestre")</f>
        <v>1ª Semestre</v>
      </c>
    </row>
    <row r="599" spans="1:7" x14ac:dyDescent="0.25">
      <c r="A599" t="s">
        <v>8</v>
      </c>
      <c r="B599">
        <v>1</v>
      </c>
      <c r="C599" s="6">
        <v>0.5</v>
      </c>
      <c r="D599" s="54">
        <v>45033</v>
      </c>
      <c r="E599" s="54" t="str">
        <f>TEXT(Base_de_Dados[[#This Row],[Semana]],"Mmmm")</f>
        <v>abril</v>
      </c>
      <c r="F599">
        <f>YEAR(Base_de_Dados[[#This Row],[Semana]])</f>
        <v>2023</v>
      </c>
      <c r="G599" t="str">
        <f>IF(MONTH( Base_de_Dados[[#This Row],[Semana]])&lt;=6,"1ª Semestre","2ª Semestre")</f>
        <v>1ª Semestre</v>
      </c>
    </row>
    <row r="600" spans="1:7" x14ac:dyDescent="0.25">
      <c r="A600" t="s">
        <v>9</v>
      </c>
      <c r="B600">
        <v>0</v>
      </c>
      <c r="C600" s="6">
        <v>0</v>
      </c>
      <c r="D600" s="54">
        <v>45033</v>
      </c>
      <c r="E600" s="54" t="str">
        <f>TEXT(Base_de_Dados[[#This Row],[Semana]],"Mmmm")</f>
        <v>abril</v>
      </c>
      <c r="F600">
        <f>YEAR(Base_de_Dados[[#This Row],[Semana]])</f>
        <v>2023</v>
      </c>
      <c r="G600" t="str">
        <f>IF(MONTH( Base_de_Dados[[#This Row],[Semana]])&lt;=6,"1ª Semestre","2ª Semestre")</f>
        <v>1ª Semestre</v>
      </c>
    </row>
    <row r="601" spans="1:7" x14ac:dyDescent="0.25">
      <c r="A601" t="s">
        <v>10</v>
      </c>
      <c r="B601">
        <v>0</v>
      </c>
      <c r="C601" s="6">
        <v>0</v>
      </c>
      <c r="D601" s="54">
        <v>45033</v>
      </c>
      <c r="E601" s="54" t="str">
        <f>TEXT(Base_de_Dados[[#This Row],[Semana]],"Mmmm")</f>
        <v>abril</v>
      </c>
      <c r="F601">
        <f>YEAR(Base_de_Dados[[#This Row],[Semana]])</f>
        <v>2023</v>
      </c>
      <c r="G601" t="str">
        <f>IF(MONTH( Base_de_Dados[[#This Row],[Semana]])&lt;=6,"1ª Semestre","2ª Semestre")</f>
        <v>1ª Semestre</v>
      </c>
    </row>
    <row r="602" spans="1:7" x14ac:dyDescent="0.25">
      <c r="A602" t="s">
        <v>11</v>
      </c>
      <c r="B602">
        <v>0</v>
      </c>
      <c r="C602" s="6">
        <v>0</v>
      </c>
      <c r="D602" s="54">
        <v>45033</v>
      </c>
      <c r="E602" s="54" t="str">
        <f>TEXT(Base_de_Dados[[#This Row],[Semana]],"Mmmm")</f>
        <v>abril</v>
      </c>
      <c r="F602">
        <f>YEAR(Base_de_Dados[[#This Row],[Semana]])</f>
        <v>2023</v>
      </c>
      <c r="G602" t="str">
        <f>IF(MONTH( Base_de_Dados[[#This Row],[Semana]])&lt;=6,"1ª Semestre","2ª Semestre")</f>
        <v>1ª Semestre</v>
      </c>
    </row>
    <row r="603" spans="1:7" x14ac:dyDescent="0.25">
      <c r="A603" t="s">
        <v>12</v>
      </c>
      <c r="B603">
        <v>0</v>
      </c>
      <c r="C603" s="6">
        <v>0</v>
      </c>
      <c r="D603" s="54">
        <v>45033</v>
      </c>
      <c r="E603" s="54" t="str">
        <f>TEXT(Base_de_Dados[[#This Row],[Semana]],"Mmmm")</f>
        <v>abril</v>
      </c>
      <c r="F603">
        <f>YEAR(Base_de_Dados[[#This Row],[Semana]])</f>
        <v>2023</v>
      </c>
      <c r="G603" t="str">
        <f>IF(MONTH( Base_de_Dados[[#This Row],[Semana]])&lt;=6,"1ª Semestre","2ª Semestre")</f>
        <v>1ª Semestre</v>
      </c>
    </row>
    <row r="604" spans="1:7" x14ac:dyDescent="0.25">
      <c r="A604" t="s">
        <v>171</v>
      </c>
      <c r="B604">
        <v>0</v>
      </c>
      <c r="C604" s="6">
        <v>0</v>
      </c>
      <c r="D604" s="54">
        <v>45033</v>
      </c>
      <c r="E604" s="54" t="str">
        <f>TEXT(Base_de_Dados[[#This Row],[Semana]],"Mmmm")</f>
        <v>abril</v>
      </c>
      <c r="F604">
        <f>YEAR(Base_de_Dados[[#This Row],[Semana]])</f>
        <v>2023</v>
      </c>
      <c r="G604" t="str">
        <f>IF(MONTH( Base_de_Dados[[#This Row],[Semana]])&lt;=6,"1ª Semestre","2ª Semestre")</f>
        <v>1ª Semestre</v>
      </c>
    </row>
    <row r="605" spans="1:7" x14ac:dyDescent="0.25">
      <c r="A605" t="s">
        <v>132</v>
      </c>
      <c r="B605">
        <v>0</v>
      </c>
      <c r="C605" s="6">
        <v>0</v>
      </c>
      <c r="D605" s="54">
        <v>45033</v>
      </c>
      <c r="E605" s="54" t="str">
        <f>TEXT(Base_de_Dados[[#This Row],[Semana]],"Mmmm")</f>
        <v>abril</v>
      </c>
      <c r="F605">
        <f>YEAR(Base_de_Dados[[#This Row],[Semana]])</f>
        <v>2023</v>
      </c>
      <c r="G605" t="str">
        <f>IF(MONTH( Base_de_Dados[[#This Row],[Semana]])&lt;=6,"1ª Semestre","2ª Semestre")</f>
        <v>1ª Semestre</v>
      </c>
    </row>
    <row r="606" spans="1:7" x14ac:dyDescent="0.25">
      <c r="A606" t="s">
        <v>3</v>
      </c>
      <c r="B606">
        <v>1</v>
      </c>
      <c r="C606" s="6">
        <v>0.125</v>
      </c>
      <c r="D606" s="54">
        <v>45040</v>
      </c>
      <c r="E606" s="54" t="str">
        <f>TEXT(Base_de_Dados[[#This Row],[Semana]],"Mmmm")</f>
        <v>abril</v>
      </c>
      <c r="F606">
        <f>YEAR(Base_de_Dados[[#This Row],[Semana]])</f>
        <v>2023</v>
      </c>
      <c r="G606" t="str">
        <f>IF(MONTH( Base_de_Dados[[#This Row],[Semana]])&lt;=6,"1ª Semestre","2ª Semestre")</f>
        <v>1ª Semestre</v>
      </c>
    </row>
    <row r="607" spans="1:7" x14ac:dyDescent="0.25">
      <c r="A607" t="s">
        <v>4</v>
      </c>
      <c r="B607">
        <v>1</v>
      </c>
      <c r="C607" s="6">
        <v>0.125</v>
      </c>
      <c r="D607" s="54">
        <v>45040</v>
      </c>
      <c r="E607" s="54" t="str">
        <f>TEXT(Base_de_Dados[[#This Row],[Semana]],"Mmmm")</f>
        <v>abril</v>
      </c>
      <c r="F607">
        <f>YEAR(Base_de_Dados[[#This Row],[Semana]])</f>
        <v>2023</v>
      </c>
      <c r="G607" t="str">
        <f>IF(MONTH( Base_de_Dados[[#This Row],[Semana]])&lt;=6,"1ª Semestre","2ª Semestre")</f>
        <v>1ª Semestre</v>
      </c>
    </row>
    <row r="608" spans="1:7" x14ac:dyDescent="0.25">
      <c r="A608" t="s">
        <v>5</v>
      </c>
      <c r="B608">
        <v>1</v>
      </c>
      <c r="C608" s="6">
        <v>0.125</v>
      </c>
      <c r="D608" s="54">
        <v>45040</v>
      </c>
      <c r="E608" s="54" t="str">
        <f>TEXT(Base_de_Dados[[#This Row],[Semana]],"Mmmm")</f>
        <v>abril</v>
      </c>
      <c r="F608">
        <f>YEAR(Base_de_Dados[[#This Row],[Semana]])</f>
        <v>2023</v>
      </c>
      <c r="G608" t="str">
        <f>IF(MONTH( Base_de_Dados[[#This Row],[Semana]])&lt;=6,"1ª Semestre","2ª Semestre")</f>
        <v>1ª Semestre</v>
      </c>
    </row>
    <row r="609" spans="1:7" x14ac:dyDescent="0.25">
      <c r="A609" t="s">
        <v>6</v>
      </c>
      <c r="B609">
        <v>0</v>
      </c>
      <c r="C609" s="6">
        <v>0</v>
      </c>
      <c r="D609" s="54">
        <v>45040</v>
      </c>
      <c r="E609" s="54" t="str">
        <f>TEXT(Base_de_Dados[[#This Row],[Semana]],"Mmmm")</f>
        <v>abril</v>
      </c>
      <c r="F609">
        <f>YEAR(Base_de_Dados[[#This Row],[Semana]])</f>
        <v>2023</v>
      </c>
      <c r="G609" t="str">
        <f>IF(MONTH( Base_de_Dados[[#This Row],[Semana]])&lt;=6,"1ª Semestre","2ª Semestre")</f>
        <v>1ª Semestre</v>
      </c>
    </row>
    <row r="610" spans="1:7" x14ac:dyDescent="0.25">
      <c r="A610" t="s">
        <v>7</v>
      </c>
      <c r="B610">
        <v>2</v>
      </c>
      <c r="C610" s="6">
        <v>0.25</v>
      </c>
      <c r="D610" s="54">
        <v>45040</v>
      </c>
      <c r="E610" s="54" t="str">
        <f>TEXT(Base_de_Dados[[#This Row],[Semana]],"Mmmm")</f>
        <v>abril</v>
      </c>
      <c r="F610">
        <f>YEAR(Base_de_Dados[[#This Row],[Semana]])</f>
        <v>2023</v>
      </c>
      <c r="G610" t="str">
        <f>IF(MONTH( Base_de_Dados[[#This Row],[Semana]])&lt;=6,"1ª Semestre","2ª Semestre")</f>
        <v>1ª Semestre</v>
      </c>
    </row>
    <row r="611" spans="1:7" x14ac:dyDescent="0.25">
      <c r="A611" t="s">
        <v>8</v>
      </c>
      <c r="B611">
        <v>1</v>
      </c>
      <c r="C611" s="6">
        <v>0.125</v>
      </c>
      <c r="D611" s="54">
        <v>45040</v>
      </c>
      <c r="E611" s="54" t="str">
        <f>TEXT(Base_de_Dados[[#This Row],[Semana]],"Mmmm")</f>
        <v>abril</v>
      </c>
      <c r="F611">
        <f>YEAR(Base_de_Dados[[#This Row],[Semana]])</f>
        <v>2023</v>
      </c>
      <c r="G611" t="str">
        <f>IF(MONTH( Base_de_Dados[[#This Row],[Semana]])&lt;=6,"1ª Semestre","2ª Semestre")</f>
        <v>1ª Semestre</v>
      </c>
    </row>
    <row r="612" spans="1:7" x14ac:dyDescent="0.25">
      <c r="A612" t="s">
        <v>9</v>
      </c>
      <c r="B612">
        <v>0</v>
      </c>
      <c r="C612" s="6">
        <v>0</v>
      </c>
      <c r="D612" s="54">
        <v>45040</v>
      </c>
      <c r="E612" s="54" t="str">
        <f>TEXT(Base_de_Dados[[#This Row],[Semana]],"Mmmm")</f>
        <v>abril</v>
      </c>
      <c r="F612">
        <f>YEAR(Base_de_Dados[[#This Row],[Semana]])</f>
        <v>2023</v>
      </c>
      <c r="G612" t="str">
        <f>IF(MONTH( Base_de_Dados[[#This Row],[Semana]])&lt;=6,"1ª Semestre","2ª Semestre")</f>
        <v>1ª Semestre</v>
      </c>
    </row>
    <row r="613" spans="1:7" x14ac:dyDescent="0.25">
      <c r="A613" t="s">
        <v>10</v>
      </c>
      <c r="B613">
        <v>0</v>
      </c>
      <c r="C613" s="6">
        <v>0</v>
      </c>
      <c r="D613" s="54">
        <v>45040</v>
      </c>
      <c r="E613" s="54" t="str">
        <f>TEXT(Base_de_Dados[[#This Row],[Semana]],"Mmmm")</f>
        <v>abril</v>
      </c>
      <c r="F613">
        <f>YEAR(Base_de_Dados[[#This Row],[Semana]])</f>
        <v>2023</v>
      </c>
      <c r="G613" t="str">
        <f>IF(MONTH( Base_de_Dados[[#This Row],[Semana]])&lt;=6,"1ª Semestre","2ª Semestre")</f>
        <v>1ª Semestre</v>
      </c>
    </row>
    <row r="614" spans="1:7" x14ac:dyDescent="0.25">
      <c r="A614" t="s">
        <v>11</v>
      </c>
      <c r="B614">
        <v>0</v>
      </c>
      <c r="C614" s="6">
        <v>0</v>
      </c>
      <c r="D614" s="54">
        <v>45040</v>
      </c>
      <c r="E614" s="54" t="str">
        <f>TEXT(Base_de_Dados[[#This Row],[Semana]],"Mmmm")</f>
        <v>abril</v>
      </c>
      <c r="F614">
        <f>YEAR(Base_de_Dados[[#This Row],[Semana]])</f>
        <v>2023</v>
      </c>
      <c r="G614" t="str">
        <f>IF(MONTH( Base_de_Dados[[#This Row],[Semana]])&lt;=6,"1ª Semestre","2ª Semestre")</f>
        <v>1ª Semestre</v>
      </c>
    </row>
    <row r="615" spans="1:7" x14ac:dyDescent="0.25">
      <c r="A615" t="s">
        <v>12</v>
      </c>
      <c r="B615">
        <v>2</v>
      </c>
      <c r="C615" s="6">
        <v>0.25</v>
      </c>
      <c r="D615" s="54">
        <v>45040</v>
      </c>
      <c r="E615" s="54" t="str">
        <f>TEXT(Base_de_Dados[[#This Row],[Semana]],"Mmmm")</f>
        <v>abril</v>
      </c>
      <c r="F615">
        <f>YEAR(Base_de_Dados[[#This Row],[Semana]])</f>
        <v>2023</v>
      </c>
      <c r="G615" t="str">
        <f>IF(MONTH( Base_de_Dados[[#This Row],[Semana]])&lt;=6,"1ª Semestre","2ª Semestre")</f>
        <v>1ª Semestre</v>
      </c>
    </row>
    <row r="616" spans="1:7" x14ac:dyDescent="0.25">
      <c r="A616" t="s">
        <v>171</v>
      </c>
      <c r="B616">
        <v>0</v>
      </c>
      <c r="C616" s="6">
        <v>0</v>
      </c>
      <c r="D616" s="54">
        <v>45040</v>
      </c>
      <c r="E616" s="54" t="str">
        <f>TEXT(Base_de_Dados[[#This Row],[Semana]],"Mmmm")</f>
        <v>abril</v>
      </c>
      <c r="F616">
        <f>YEAR(Base_de_Dados[[#This Row],[Semana]])</f>
        <v>2023</v>
      </c>
      <c r="G616" t="str">
        <f>IF(MONTH( Base_de_Dados[[#This Row],[Semana]])&lt;=6,"1ª Semestre","2ª Semestre")</f>
        <v>1ª Semestre</v>
      </c>
    </row>
    <row r="617" spans="1:7" x14ac:dyDescent="0.25">
      <c r="A617" t="s">
        <v>132</v>
      </c>
      <c r="B617">
        <v>0</v>
      </c>
      <c r="C617" s="6">
        <v>0</v>
      </c>
      <c r="D617" s="54">
        <v>45040</v>
      </c>
      <c r="E617" s="54" t="str">
        <f>TEXT(Base_de_Dados[[#This Row],[Semana]],"Mmmm")</f>
        <v>abril</v>
      </c>
      <c r="F617">
        <f>YEAR(Base_de_Dados[[#This Row],[Semana]])</f>
        <v>2023</v>
      </c>
      <c r="G617" t="str">
        <f>IF(MONTH( Base_de_Dados[[#This Row],[Semana]])&lt;=6,"1ª Semestre","2ª Semestre")</f>
        <v>1ª Semestre</v>
      </c>
    </row>
    <row r="618" spans="1:7" x14ac:dyDescent="0.25">
      <c r="A618" t="s">
        <v>3</v>
      </c>
      <c r="B618">
        <v>2</v>
      </c>
      <c r="C618" s="6">
        <v>0.2857142857142857</v>
      </c>
      <c r="D618" s="54">
        <v>45047</v>
      </c>
      <c r="E618" s="54" t="str">
        <f>TEXT(Base_de_Dados[[#This Row],[Semana]],"Mmmm")</f>
        <v>maio</v>
      </c>
      <c r="F618">
        <f>YEAR(Base_de_Dados[[#This Row],[Semana]])</f>
        <v>2023</v>
      </c>
      <c r="G618" t="str">
        <f>IF(MONTH( Base_de_Dados[[#This Row],[Semana]])&lt;=6,"1ª Semestre","2ª Semestre")</f>
        <v>1ª Semestre</v>
      </c>
    </row>
    <row r="619" spans="1:7" x14ac:dyDescent="0.25">
      <c r="A619" t="s">
        <v>4</v>
      </c>
      <c r="B619">
        <v>1</v>
      </c>
      <c r="C619" s="6">
        <v>0.14285714285714285</v>
      </c>
      <c r="D619" s="54">
        <v>45047</v>
      </c>
      <c r="E619" s="54" t="str">
        <f>TEXT(Base_de_Dados[[#This Row],[Semana]],"Mmmm")</f>
        <v>maio</v>
      </c>
      <c r="F619">
        <f>YEAR(Base_de_Dados[[#This Row],[Semana]])</f>
        <v>2023</v>
      </c>
      <c r="G619" t="str">
        <f>IF(MONTH( Base_de_Dados[[#This Row],[Semana]])&lt;=6,"1ª Semestre","2ª Semestre")</f>
        <v>1ª Semestre</v>
      </c>
    </row>
    <row r="620" spans="1:7" x14ac:dyDescent="0.25">
      <c r="A620" t="s">
        <v>5</v>
      </c>
      <c r="B620">
        <v>1</v>
      </c>
      <c r="C620" s="6">
        <v>0.14285714285714285</v>
      </c>
      <c r="D620" s="54">
        <v>45047</v>
      </c>
      <c r="E620" s="54" t="str">
        <f>TEXT(Base_de_Dados[[#This Row],[Semana]],"Mmmm")</f>
        <v>maio</v>
      </c>
      <c r="F620">
        <f>YEAR(Base_de_Dados[[#This Row],[Semana]])</f>
        <v>2023</v>
      </c>
      <c r="G620" t="str">
        <f>IF(MONTH( Base_de_Dados[[#This Row],[Semana]])&lt;=6,"1ª Semestre","2ª Semestre")</f>
        <v>1ª Semestre</v>
      </c>
    </row>
    <row r="621" spans="1:7" x14ac:dyDescent="0.25">
      <c r="A621" t="s">
        <v>6</v>
      </c>
      <c r="B621">
        <v>0</v>
      </c>
      <c r="C621" s="6">
        <v>0</v>
      </c>
      <c r="D621" s="54">
        <v>45047</v>
      </c>
      <c r="E621" s="54" t="str">
        <f>TEXT(Base_de_Dados[[#This Row],[Semana]],"Mmmm")</f>
        <v>maio</v>
      </c>
      <c r="F621">
        <f>YEAR(Base_de_Dados[[#This Row],[Semana]])</f>
        <v>2023</v>
      </c>
      <c r="G621" t="str">
        <f>IF(MONTH( Base_de_Dados[[#This Row],[Semana]])&lt;=6,"1ª Semestre","2ª Semestre")</f>
        <v>1ª Semestre</v>
      </c>
    </row>
    <row r="622" spans="1:7" x14ac:dyDescent="0.25">
      <c r="A622" t="s">
        <v>7</v>
      </c>
      <c r="B622">
        <v>3</v>
      </c>
      <c r="C622" s="6">
        <v>0.42857142857142855</v>
      </c>
      <c r="D622" s="54">
        <v>45047</v>
      </c>
      <c r="E622" s="54" t="str">
        <f>TEXT(Base_de_Dados[[#This Row],[Semana]],"Mmmm")</f>
        <v>maio</v>
      </c>
      <c r="F622">
        <f>YEAR(Base_de_Dados[[#This Row],[Semana]])</f>
        <v>2023</v>
      </c>
      <c r="G622" t="str">
        <f>IF(MONTH( Base_de_Dados[[#This Row],[Semana]])&lt;=6,"1ª Semestre","2ª Semestre")</f>
        <v>1ª Semestre</v>
      </c>
    </row>
    <row r="623" spans="1:7" x14ac:dyDescent="0.25">
      <c r="A623" t="s">
        <v>8</v>
      </c>
      <c r="B623">
        <v>0</v>
      </c>
      <c r="C623" s="6">
        <v>0</v>
      </c>
      <c r="D623" s="54">
        <v>45047</v>
      </c>
      <c r="E623" s="54" t="str">
        <f>TEXT(Base_de_Dados[[#This Row],[Semana]],"Mmmm")</f>
        <v>maio</v>
      </c>
      <c r="F623">
        <f>YEAR(Base_de_Dados[[#This Row],[Semana]])</f>
        <v>2023</v>
      </c>
      <c r="G623" t="str">
        <f>IF(MONTH( Base_de_Dados[[#This Row],[Semana]])&lt;=6,"1ª Semestre","2ª Semestre")</f>
        <v>1ª Semestre</v>
      </c>
    </row>
    <row r="624" spans="1:7" x14ac:dyDescent="0.25">
      <c r="A624" t="s">
        <v>9</v>
      </c>
      <c r="B624">
        <v>0</v>
      </c>
      <c r="C624" s="6">
        <v>0</v>
      </c>
      <c r="D624" s="54">
        <v>45047</v>
      </c>
      <c r="E624" s="54" t="str">
        <f>TEXT(Base_de_Dados[[#This Row],[Semana]],"Mmmm")</f>
        <v>maio</v>
      </c>
      <c r="F624">
        <f>YEAR(Base_de_Dados[[#This Row],[Semana]])</f>
        <v>2023</v>
      </c>
      <c r="G624" t="str">
        <f>IF(MONTH( Base_de_Dados[[#This Row],[Semana]])&lt;=6,"1ª Semestre","2ª Semestre")</f>
        <v>1ª Semestre</v>
      </c>
    </row>
    <row r="625" spans="1:7" x14ac:dyDescent="0.25">
      <c r="A625" t="s">
        <v>10</v>
      </c>
      <c r="B625">
        <v>0</v>
      </c>
      <c r="C625" s="6">
        <v>0</v>
      </c>
      <c r="D625" s="54">
        <v>45047</v>
      </c>
      <c r="E625" s="54" t="str">
        <f>TEXT(Base_de_Dados[[#This Row],[Semana]],"Mmmm")</f>
        <v>maio</v>
      </c>
      <c r="F625">
        <f>YEAR(Base_de_Dados[[#This Row],[Semana]])</f>
        <v>2023</v>
      </c>
      <c r="G625" t="str">
        <f>IF(MONTH( Base_de_Dados[[#This Row],[Semana]])&lt;=6,"1ª Semestre","2ª Semestre")</f>
        <v>1ª Semestre</v>
      </c>
    </row>
    <row r="626" spans="1:7" x14ac:dyDescent="0.25">
      <c r="A626" t="s">
        <v>11</v>
      </c>
      <c r="B626">
        <v>0</v>
      </c>
      <c r="C626" s="6">
        <v>0</v>
      </c>
      <c r="D626" s="54">
        <v>45047</v>
      </c>
      <c r="E626" s="54" t="str">
        <f>TEXT(Base_de_Dados[[#This Row],[Semana]],"Mmmm")</f>
        <v>maio</v>
      </c>
      <c r="F626">
        <f>YEAR(Base_de_Dados[[#This Row],[Semana]])</f>
        <v>2023</v>
      </c>
      <c r="G626" t="str">
        <f>IF(MONTH( Base_de_Dados[[#This Row],[Semana]])&lt;=6,"1ª Semestre","2ª Semestre")</f>
        <v>1ª Semestre</v>
      </c>
    </row>
    <row r="627" spans="1:7" x14ac:dyDescent="0.25">
      <c r="A627" t="s">
        <v>12</v>
      </c>
      <c r="B627">
        <v>0</v>
      </c>
      <c r="C627" s="6">
        <v>0</v>
      </c>
      <c r="D627" s="54">
        <v>45047</v>
      </c>
      <c r="E627" s="54" t="str">
        <f>TEXT(Base_de_Dados[[#This Row],[Semana]],"Mmmm")</f>
        <v>maio</v>
      </c>
      <c r="F627">
        <f>YEAR(Base_de_Dados[[#This Row],[Semana]])</f>
        <v>2023</v>
      </c>
      <c r="G627" t="str">
        <f>IF(MONTH( Base_de_Dados[[#This Row],[Semana]])&lt;=6,"1ª Semestre","2ª Semestre")</f>
        <v>1ª Semestre</v>
      </c>
    </row>
    <row r="628" spans="1:7" x14ac:dyDescent="0.25">
      <c r="A628" t="s">
        <v>171</v>
      </c>
      <c r="B628">
        <v>0</v>
      </c>
      <c r="C628" s="6">
        <v>0</v>
      </c>
      <c r="D628" s="54">
        <v>45047</v>
      </c>
      <c r="E628" s="54" t="str">
        <f>TEXT(Base_de_Dados[[#This Row],[Semana]],"Mmmm")</f>
        <v>maio</v>
      </c>
      <c r="F628">
        <f>YEAR(Base_de_Dados[[#This Row],[Semana]])</f>
        <v>2023</v>
      </c>
      <c r="G628" t="str">
        <f>IF(MONTH( Base_de_Dados[[#This Row],[Semana]])&lt;=6,"1ª Semestre","2ª Semestre")</f>
        <v>1ª Semestre</v>
      </c>
    </row>
    <row r="629" spans="1:7" x14ac:dyDescent="0.25">
      <c r="A629" t="s">
        <v>132</v>
      </c>
      <c r="B629">
        <v>0</v>
      </c>
      <c r="C629" s="6">
        <v>0</v>
      </c>
      <c r="D629" s="54">
        <v>45047</v>
      </c>
      <c r="E629" s="54" t="str">
        <f>TEXT(Base_de_Dados[[#This Row],[Semana]],"Mmmm")</f>
        <v>maio</v>
      </c>
      <c r="F629">
        <f>YEAR(Base_de_Dados[[#This Row],[Semana]])</f>
        <v>2023</v>
      </c>
      <c r="G629" t="str">
        <f>IF(MONTH( Base_de_Dados[[#This Row],[Semana]])&lt;=6,"1ª Semestre","2ª Semestre")</f>
        <v>1ª Semestre</v>
      </c>
    </row>
    <row r="630" spans="1:7" x14ac:dyDescent="0.25">
      <c r="A630" t="s">
        <v>3</v>
      </c>
      <c r="B630">
        <v>0</v>
      </c>
      <c r="C630" s="6">
        <v>0</v>
      </c>
      <c r="D630" s="54">
        <v>45054</v>
      </c>
      <c r="E630" s="54" t="str">
        <f>TEXT(Base_de_Dados[[#This Row],[Semana]],"Mmmm")</f>
        <v>maio</v>
      </c>
      <c r="F630">
        <f>YEAR(Base_de_Dados[[#This Row],[Semana]])</f>
        <v>2023</v>
      </c>
      <c r="G630" t="str">
        <f>IF(MONTH( Base_de_Dados[[#This Row],[Semana]])&lt;=6,"1ª Semestre","2ª Semestre")</f>
        <v>1ª Semestre</v>
      </c>
    </row>
    <row r="631" spans="1:7" x14ac:dyDescent="0.25">
      <c r="A631" t="s">
        <v>4</v>
      </c>
      <c r="B631">
        <v>0</v>
      </c>
      <c r="C631" s="6">
        <v>0</v>
      </c>
      <c r="D631" s="54">
        <v>45054</v>
      </c>
      <c r="E631" s="54" t="str">
        <f>TEXT(Base_de_Dados[[#This Row],[Semana]],"Mmmm")</f>
        <v>maio</v>
      </c>
      <c r="F631">
        <f>YEAR(Base_de_Dados[[#This Row],[Semana]])</f>
        <v>2023</v>
      </c>
      <c r="G631" t="str">
        <f>IF(MONTH( Base_de_Dados[[#This Row],[Semana]])&lt;=6,"1ª Semestre","2ª Semestre")</f>
        <v>1ª Semestre</v>
      </c>
    </row>
    <row r="632" spans="1:7" x14ac:dyDescent="0.25">
      <c r="A632" t="s">
        <v>5</v>
      </c>
      <c r="B632">
        <v>1</v>
      </c>
      <c r="C632" s="6">
        <v>0.33333333333333331</v>
      </c>
      <c r="D632" s="54">
        <v>45054</v>
      </c>
      <c r="E632" s="54" t="str">
        <f>TEXT(Base_de_Dados[[#This Row],[Semana]],"Mmmm")</f>
        <v>maio</v>
      </c>
      <c r="F632">
        <f>YEAR(Base_de_Dados[[#This Row],[Semana]])</f>
        <v>2023</v>
      </c>
      <c r="G632" t="str">
        <f>IF(MONTH( Base_de_Dados[[#This Row],[Semana]])&lt;=6,"1ª Semestre","2ª Semestre")</f>
        <v>1ª Semestre</v>
      </c>
    </row>
    <row r="633" spans="1:7" x14ac:dyDescent="0.25">
      <c r="A633" t="s">
        <v>6</v>
      </c>
      <c r="B633">
        <v>0</v>
      </c>
      <c r="C633" s="6">
        <v>0</v>
      </c>
      <c r="D633" s="54">
        <v>45054</v>
      </c>
      <c r="E633" s="54" t="str">
        <f>TEXT(Base_de_Dados[[#This Row],[Semana]],"Mmmm")</f>
        <v>maio</v>
      </c>
      <c r="F633">
        <f>YEAR(Base_de_Dados[[#This Row],[Semana]])</f>
        <v>2023</v>
      </c>
      <c r="G633" t="str">
        <f>IF(MONTH( Base_de_Dados[[#This Row],[Semana]])&lt;=6,"1ª Semestre","2ª Semestre")</f>
        <v>1ª Semestre</v>
      </c>
    </row>
    <row r="634" spans="1:7" x14ac:dyDescent="0.25">
      <c r="A634" t="s">
        <v>7</v>
      </c>
      <c r="B634">
        <v>0</v>
      </c>
      <c r="C634" s="6">
        <v>0</v>
      </c>
      <c r="D634" s="54">
        <v>45054</v>
      </c>
      <c r="E634" s="54" t="str">
        <f>TEXT(Base_de_Dados[[#This Row],[Semana]],"Mmmm")</f>
        <v>maio</v>
      </c>
      <c r="F634">
        <f>YEAR(Base_de_Dados[[#This Row],[Semana]])</f>
        <v>2023</v>
      </c>
      <c r="G634" t="str">
        <f>IF(MONTH( Base_de_Dados[[#This Row],[Semana]])&lt;=6,"1ª Semestre","2ª Semestre")</f>
        <v>1ª Semestre</v>
      </c>
    </row>
    <row r="635" spans="1:7" x14ac:dyDescent="0.25">
      <c r="A635" t="s">
        <v>8</v>
      </c>
      <c r="B635">
        <v>0</v>
      </c>
      <c r="C635" s="6">
        <v>0</v>
      </c>
      <c r="D635" s="54">
        <v>45054</v>
      </c>
      <c r="E635" s="54" t="str">
        <f>TEXT(Base_de_Dados[[#This Row],[Semana]],"Mmmm")</f>
        <v>maio</v>
      </c>
      <c r="F635">
        <f>YEAR(Base_de_Dados[[#This Row],[Semana]])</f>
        <v>2023</v>
      </c>
      <c r="G635" t="str">
        <f>IF(MONTH( Base_de_Dados[[#This Row],[Semana]])&lt;=6,"1ª Semestre","2ª Semestre")</f>
        <v>1ª Semestre</v>
      </c>
    </row>
    <row r="636" spans="1:7" x14ac:dyDescent="0.25">
      <c r="A636" t="s">
        <v>9</v>
      </c>
      <c r="B636">
        <v>0</v>
      </c>
      <c r="C636" s="6">
        <v>0</v>
      </c>
      <c r="D636" s="54">
        <v>45054</v>
      </c>
      <c r="E636" s="54" t="str">
        <f>TEXT(Base_de_Dados[[#This Row],[Semana]],"Mmmm")</f>
        <v>maio</v>
      </c>
      <c r="F636">
        <f>YEAR(Base_de_Dados[[#This Row],[Semana]])</f>
        <v>2023</v>
      </c>
      <c r="G636" t="str">
        <f>IF(MONTH( Base_de_Dados[[#This Row],[Semana]])&lt;=6,"1ª Semestre","2ª Semestre")</f>
        <v>1ª Semestre</v>
      </c>
    </row>
    <row r="637" spans="1:7" x14ac:dyDescent="0.25">
      <c r="A637" t="s">
        <v>10</v>
      </c>
      <c r="B637">
        <v>0</v>
      </c>
      <c r="C637" s="6">
        <v>0</v>
      </c>
      <c r="D637" s="54">
        <v>45054</v>
      </c>
      <c r="E637" s="54" t="str">
        <f>TEXT(Base_de_Dados[[#This Row],[Semana]],"Mmmm")</f>
        <v>maio</v>
      </c>
      <c r="F637">
        <f>YEAR(Base_de_Dados[[#This Row],[Semana]])</f>
        <v>2023</v>
      </c>
      <c r="G637" t="str">
        <f>IF(MONTH( Base_de_Dados[[#This Row],[Semana]])&lt;=6,"1ª Semestre","2ª Semestre")</f>
        <v>1ª Semestre</v>
      </c>
    </row>
    <row r="638" spans="1:7" x14ac:dyDescent="0.25">
      <c r="A638" t="s">
        <v>11</v>
      </c>
      <c r="B638">
        <v>0</v>
      </c>
      <c r="C638" s="6">
        <v>0</v>
      </c>
      <c r="D638" s="54">
        <v>45054</v>
      </c>
      <c r="E638" s="54" t="str">
        <f>TEXT(Base_de_Dados[[#This Row],[Semana]],"Mmmm")</f>
        <v>maio</v>
      </c>
      <c r="F638">
        <f>YEAR(Base_de_Dados[[#This Row],[Semana]])</f>
        <v>2023</v>
      </c>
      <c r="G638" t="str">
        <f>IF(MONTH( Base_de_Dados[[#This Row],[Semana]])&lt;=6,"1ª Semestre","2ª Semestre")</f>
        <v>1ª Semestre</v>
      </c>
    </row>
    <row r="639" spans="1:7" x14ac:dyDescent="0.25">
      <c r="A639" t="s">
        <v>173</v>
      </c>
      <c r="B639">
        <v>2</v>
      </c>
      <c r="C639" s="6">
        <v>0.66666666666666663</v>
      </c>
      <c r="D639" s="54">
        <v>45054</v>
      </c>
      <c r="E639" s="54" t="str">
        <f>TEXT(Base_de_Dados[[#This Row],[Semana]],"Mmmm")</f>
        <v>maio</v>
      </c>
      <c r="F639">
        <f>YEAR(Base_de_Dados[[#This Row],[Semana]])</f>
        <v>2023</v>
      </c>
      <c r="G639" t="str">
        <f>IF(MONTH( Base_de_Dados[[#This Row],[Semana]])&lt;=6,"1ª Semestre","2ª Semestre")</f>
        <v>1ª Semestre</v>
      </c>
    </row>
    <row r="640" spans="1:7" x14ac:dyDescent="0.25">
      <c r="A640" t="s">
        <v>171</v>
      </c>
      <c r="B640">
        <v>0</v>
      </c>
      <c r="C640" s="6">
        <v>0</v>
      </c>
      <c r="D640" s="54">
        <v>45054</v>
      </c>
      <c r="E640" s="54" t="str">
        <f>TEXT(Base_de_Dados[[#This Row],[Semana]],"Mmmm")</f>
        <v>maio</v>
      </c>
      <c r="F640">
        <f>YEAR(Base_de_Dados[[#This Row],[Semana]])</f>
        <v>2023</v>
      </c>
      <c r="G640" t="str">
        <f>IF(MONTH( Base_de_Dados[[#This Row],[Semana]])&lt;=6,"1ª Semestre","2ª Semestre")</f>
        <v>1ª Semestre</v>
      </c>
    </row>
    <row r="641" spans="1:7" x14ac:dyDescent="0.25">
      <c r="A641" t="s">
        <v>132</v>
      </c>
      <c r="B641">
        <v>0</v>
      </c>
      <c r="C641" s="6">
        <v>0</v>
      </c>
      <c r="D641" s="54">
        <v>45054</v>
      </c>
      <c r="E641" s="54" t="str">
        <f>TEXT(Base_de_Dados[[#This Row],[Semana]],"Mmmm")</f>
        <v>maio</v>
      </c>
      <c r="F641">
        <f>YEAR(Base_de_Dados[[#This Row],[Semana]])</f>
        <v>2023</v>
      </c>
      <c r="G641" t="str">
        <f>IF(MONTH( Base_de_Dados[[#This Row],[Semana]])&lt;=6,"1ª Semestre","2ª Semestre")</f>
        <v>1ª Semestre</v>
      </c>
    </row>
    <row r="642" spans="1:7" x14ac:dyDescent="0.25">
      <c r="A642" t="s">
        <v>3</v>
      </c>
      <c r="B642">
        <v>2</v>
      </c>
      <c r="C642" s="6">
        <v>0.15384615384615385</v>
      </c>
      <c r="D642" s="54">
        <v>45061</v>
      </c>
      <c r="E642" s="54" t="str">
        <f>TEXT(Base_de_Dados[[#This Row],[Semana]],"Mmmm")</f>
        <v>maio</v>
      </c>
      <c r="F642">
        <f>YEAR(Base_de_Dados[[#This Row],[Semana]])</f>
        <v>2023</v>
      </c>
      <c r="G642" t="str">
        <f>IF(MONTH( Base_de_Dados[[#This Row],[Semana]])&lt;=6,"1ª Semestre","2ª Semestre")</f>
        <v>1ª Semestre</v>
      </c>
    </row>
    <row r="643" spans="1:7" x14ac:dyDescent="0.25">
      <c r="A643" t="s">
        <v>4</v>
      </c>
      <c r="B643">
        <v>1</v>
      </c>
      <c r="C643" s="6">
        <v>7.6923076923076927E-2</v>
      </c>
      <c r="D643" s="54">
        <v>45061</v>
      </c>
      <c r="E643" s="54" t="str">
        <f>TEXT(Base_de_Dados[[#This Row],[Semana]],"Mmmm")</f>
        <v>maio</v>
      </c>
      <c r="F643">
        <f>YEAR(Base_de_Dados[[#This Row],[Semana]])</f>
        <v>2023</v>
      </c>
      <c r="G643" t="str">
        <f>IF(MONTH( Base_de_Dados[[#This Row],[Semana]])&lt;=6,"1ª Semestre","2ª Semestre")</f>
        <v>1ª Semestre</v>
      </c>
    </row>
    <row r="644" spans="1:7" x14ac:dyDescent="0.25">
      <c r="A644" t="s">
        <v>5</v>
      </c>
      <c r="B644">
        <v>1</v>
      </c>
      <c r="C644" s="6">
        <v>7.6923076923076927E-2</v>
      </c>
      <c r="D644" s="54">
        <v>45061</v>
      </c>
      <c r="E644" s="54" t="str">
        <f>TEXT(Base_de_Dados[[#This Row],[Semana]],"Mmmm")</f>
        <v>maio</v>
      </c>
      <c r="F644">
        <f>YEAR(Base_de_Dados[[#This Row],[Semana]])</f>
        <v>2023</v>
      </c>
      <c r="G644" t="str">
        <f>IF(MONTH( Base_de_Dados[[#This Row],[Semana]])&lt;=6,"1ª Semestre","2ª Semestre")</f>
        <v>1ª Semestre</v>
      </c>
    </row>
    <row r="645" spans="1:7" x14ac:dyDescent="0.25">
      <c r="A645" t="s">
        <v>6</v>
      </c>
      <c r="B645">
        <v>0</v>
      </c>
      <c r="C645" s="6">
        <v>0</v>
      </c>
      <c r="D645" s="54">
        <v>45061</v>
      </c>
      <c r="E645" s="54" t="str">
        <f>TEXT(Base_de_Dados[[#This Row],[Semana]],"Mmmm")</f>
        <v>maio</v>
      </c>
      <c r="F645">
        <f>YEAR(Base_de_Dados[[#This Row],[Semana]])</f>
        <v>2023</v>
      </c>
      <c r="G645" t="str">
        <f>IF(MONTH( Base_de_Dados[[#This Row],[Semana]])&lt;=6,"1ª Semestre","2ª Semestre")</f>
        <v>1ª Semestre</v>
      </c>
    </row>
    <row r="646" spans="1:7" x14ac:dyDescent="0.25">
      <c r="A646" t="s">
        <v>7</v>
      </c>
      <c r="B646">
        <v>5</v>
      </c>
      <c r="C646" s="6">
        <v>0.38461538461538464</v>
      </c>
      <c r="D646" s="54">
        <v>45061</v>
      </c>
      <c r="E646" s="54" t="str">
        <f>TEXT(Base_de_Dados[[#This Row],[Semana]],"Mmmm")</f>
        <v>maio</v>
      </c>
      <c r="F646">
        <f>YEAR(Base_de_Dados[[#This Row],[Semana]])</f>
        <v>2023</v>
      </c>
      <c r="G646" t="str">
        <f>IF(MONTH( Base_de_Dados[[#This Row],[Semana]])&lt;=6,"1ª Semestre","2ª Semestre")</f>
        <v>1ª Semestre</v>
      </c>
    </row>
    <row r="647" spans="1:7" x14ac:dyDescent="0.25">
      <c r="A647" t="s">
        <v>8</v>
      </c>
      <c r="B647">
        <v>0</v>
      </c>
      <c r="C647" s="6">
        <v>0</v>
      </c>
      <c r="D647" s="54">
        <v>45061</v>
      </c>
      <c r="E647" s="54" t="str">
        <f>TEXT(Base_de_Dados[[#This Row],[Semana]],"Mmmm")</f>
        <v>maio</v>
      </c>
      <c r="F647">
        <f>YEAR(Base_de_Dados[[#This Row],[Semana]])</f>
        <v>2023</v>
      </c>
      <c r="G647" t="str">
        <f>IF(MONTH( Base_de_Dados[[#This Row],[Semana]])&lt;=6,"1ª Semestre","2ª Semestre")</f>
        <v>1ª Semestre</v>
      </c>
    </row>
    <row r="648" spans="1:7" x14ac:dyDescent="0.25">
      <c r="A648" t="s">
        <v>9</v>
      </c>
      <c r="B648">
        <v>1</v>
      </c>
      <c r="C648" s="6">
        <v>7.6923076923076927E-2</v>
      </c>
      <c r="D648" s="54">
        <v>45061</v>
      </c>
      <c r="E648" s="54" t="str">
        <f>TEXT(Base_de_Dados[[#This Row],[Semana]],"Mmmm")</f>
        <v>maio</v>
      </c>
      <c r="F648">
        <f>YEAR(Base_de_Dados[[#This Row],[Semana]])</f>
        <v>2023</v>
      </c>
      <c r="G648" t="str">
        <f>IF(MONTH( Base_de_Dados[[#This Row],[Semana]])&lt;=6,"1ª Semestre","2ª Semestre")</f>
        <v>1ª Semestre</v>
      </c>
    </row>
    <row r="649" spans="1:7" x14ac:dyDescent="0.25">
      <c r="A649" t="s">
        <v>10</v>
      </c>
      <c r="B649">
        <v>0</v>
      </c>
      <c r="C649" s="6">
        <v>0</v>
      </c>
      <c r="D649" s="54">
        <v>45061</v>
      </c>
      <c r="E649" s="54" t="str">
        <f>TEXT(Base_de_Dados[[#This Row],[Semana]],"Mmmm")</f>
        <v>maio</v>
      </c>
      <c r="F649">
        <f>YEAR(Base_de_Dados[[#This Row],[Semana]])</f>
        <v>2023</v>
      </c>
      <c r="G649" t="str">
        <f>IF(MONTH( Base_de_Dados[[#This Row],[Semana]])&lt;=6,"1ª Semestre","2ª Semestre")</f>
        <v>1ª Semestre</v>
      </c>
    </row>
    <row r="650" spans="1:7" x14ac:dyDescent="0.25">
      <c r="A650" t="s">
        <v>11</v>
      </c>
      <c r="B650">
        <v>1</v>
      </c>
      <c r="C650" s="6">
        <v>7.6923076923076927E-2</v>
      </c>
      <c r="D650" s="54">
        <v>45061</v>
      </c>
      <c r="E650" s="54" t="str">
        <f>TEXT(Base_de_Dados[[#This Row],[Semana]],"Mmmm")</f>
        <v>maio</v>
      </c>
      <c r="F650">
        <f>YEAR(Base_de_Dados[[#This Row],[Semana]])</f>
        <v>2023</v>
      </c>
      <c r="G650" t="str">
        <f>IF(MONTH( Base_de_Dados[[#This Row],[Semana]])&lt;=6,"1ª Semestre","2ª Semestre")</f>
        <v>1ª Semestre</v>
      </c>
    </row>
    <row r="651" spans="1:7" x14ac:dyDescent="0.25">
      <c r="A651" t="s">
        <v>173</v>
      </c>
      <c r="B651">
        <v>2</v>
      </c>
      <c r="C651" s="6">
        <v>0.15384615384615385</v>
      </c>
      <c r="D651" s="54">
        <v>45061</v>
      </c>
      <c r="E651" s="54" t="str">
        <f>TEXT(Base_de_Dados[[#This Row],[Semana]],"Mmmm")</f>
        <v>maio</v>
      </c>
      <c r="F651">
        <f>YEAR(Base_de_Dados[[#This Row],[Semana]])</f>
        <v>2023</v>
      </c>
      <c r="G651" t="str">
        <f>IF(MONTH( Base_de_Dados[[#This Row],[Semana]])&lt;=6,"1ª Semestre","2ª Semestre")</f>
        <v>1ª Semestre</v>
      </c>
    </row>
    <row r="652" spans="1:7" x14ac:dyDescent="0.25">
      <c r="A652" t="s">
        <v>171</v>
      </c>
      <c r="B652">
        <v>0</v>
      </c>
      <c r="C652" s="6">
        <v>0</v>
      </c>
      <c r="D652" s="54">
        <v>45061</v>
      </c>
      <c r="E652" s="54" t="str">
        <f>TEXT(Base_de_Dados[[#This Row],[Semana]],"Mmmm")</f>
        <v>maio</v>
      </c>
      <c r="F652">
        <f>YEAR(Base_de_Dados[[#This Row],[Semana]])</f>
        <v>2023</v>
      </c>
      <c r="G652" t="str">
        <f>IF(MONTH( Base_de_Dados[[#This Row],[Semana]])&lt;=6,"1ª Semestre","2ª Semestre")</f>
        <v>1ª Semestre</v>
      </c>
    </row>
    <row r="653" spans="1:7" x14ac:dyDescent="0.25">
      <c r="A653" t="s">
        <v>132</v>
      </c>
      <c r="B653">
        <v>0</v>
      </c>
      <c r="C653" s="6">
        <v>0</v>
      </c>
      <c r="D653" s="54">
        <v>45061</v>
      </c>
      <c r="E653" s="54" t="str">
        <f>TEXT(Base_de_Dados[[#This Row],[Semana]],"Mmmm")</f>
        <v>maio</v>
      </c>
      <c r="F653">
        <f>YEAR(Base_de_Dados[[#This Row],[Semana]])</f>
        <v>2023</v>
      </c>
      <c r="G653" t="str">
        <f>IF(MONTH( Base_de_Dados[[#This Row],[Semana]])&lt;=6,"1ª Semestre","2ª Semestre")</f>
        <v>1ª Semestre</v>
      </c>
    </row>
    <row r="654" spans="1:7" x14ac:dyDescent="0.25">
      <c r="A654" t="s">
        <v>3</v>
      </c>
      <c r="B654">
        <v>5</v>
      </c>
      <c r="C654" s="6">
        <v>0.41666666666666669</v>
      </c>
      <c r="D654" s="54">
        <v>45068</v>
      </c>
      <c r="E654" s="54" t="str">
        <f>TEXT(Base_de_Dados[[#This Row],[Semana]],"Mmmm")</f>
        <v>maio</v>
      </c>
      <c r="F654">
        <f>YEAR(Base_de_Dados[[#This Row],[Semana]])</f>
        <v>2023</v>
      </c>
      <c r="G654" t="str">
        <f>IF(MONTH( Base_de_Dados[[#This Row],[Semana]])&lt;=6,"1ª Semestre","2ª Semestre")</f>
        <v>1ª Semestre</v>
      </c>
    </row>
    <row r="655" spans="1:7" x14ac:dyDescent="0.25">
      <c r="A655" t="s">
        <v>4</v>
      </c>
      <c r="B655">
        <v>0</v>
      </c>
      <c r="C655" s="6">
        <v>0</v>
      </c>
      <c r="D655" s="54">
        <v>45068</v>
      </c>
      <c r="E655" s="54" t="str">
        <f>TEXT(Base_de_Dados[[#This Row],[Semana]],"Mmmm")</f>
        <v>maio</v>
      </c>
      <c r="F655">
        <f>YEAR(Base_de_Dados[[#This Row],[Semana]])</f>
        <v>2023</v>
      </c>
      <c r="G655" t="str">
        <f>IF(MONTH( Base_de_Dados[[#This Row],[Semana]])&lt;=6,"1ª Semestre","2ª Semestre")</f>
        <v>1ª Semestre</v>
      </c>
    </row>
    <row r="656" spans="1:7" x14ac:dyDescent="0.25">
      <c r="A656" t="s">
        <v>5</v>
      </c>
      <c r="B656">
        <v>2</v>
      </c>
      <c r="C656" s="6">
        <v>0.16666666666666666</v>
      </c>
      <c r="D656" s="54">
        <v>45068</v>
      </c>
      <c r="E656" s="54" t="str">
        <f>TEXT(Base_de_Dados[[#This Row],[Semana]],"Mmmm")</f>
        <v>maio</v>
      </c>
      <c r="F656">
        <f>YEAR(Base_de_Dados[[#This Row],[Semana]])</f>
        <v>2023</v>
      </c>
      <c r="G656" t="str">
        <f>IF(MONTH( Base_de_Dados[[#This Row],[Semana]])&lt;=6,"1ª Semestre","2ª Semestre")</f>
        <v>1ª Semestre</v>
      </c>
    </row>
    <row r="657" spans="1:7" x14ac:dyDescent="0.25">
      <c r="A657" t="s">
        <v>6</v>
      </c>
      <c r="B657">
        <v>0</v>
      </c>
      <c r="C657" s="6">
        <v>0</v>
      </c>
      <c r="D657" s="54">
        <v>45068</v>
      </c>
      <c r="E657" s="54" t="str">
        <f>TEXT(Base_de_Dados[[#This Row],[Semana]],"Mmmm")</f>
        <v>maio</v>
      </c>
      <c r="F657">
        <f>YEAR(Base_de_Dados[[#This Row],[Semana]])</f>
        <v>2023</v>
      </c>
      <c r="G657" t="str">
        <f>IF(MONTH( Base_de_Dados[[#This Row],[Semana]])&lt;=6,"1ª Semestre","2ª Semestre")</f>
        <v>1ª Semestre</v>
      </c>
    </row>
    <row r="658" spans="1:7" x14ac:dyDescent="0.25">
      <c r="A658" t="s">
        <v>7</v>
      </c>
      <c r="B658">
        <v>5</v>
      </c>
      <c r="C658" s="6">
        <v>0.41666666666666669</v>
      </c>
      <c r="D658" s="54">
        <v>45068</v>
      </c>
      <c r="E658" s="54" t="str">
        <f>TEXT(Base_de_Dados[[#This Row],[Semana]],"Mmmm")</f>
        <v>maio</v>
      </c>
      <c r="F658">
        <f>YEAR(Base_de_Dados[[#This Row],[Semana]])</f>
        <v>2023</v>
      </c>
      <c r="G658" t="str">
        <f>IF(MONTH( Base_de_Dados[[#This Row],[Semana]])&lt;=6,"1ª Semestre","2ª Semestre")</f>
        <v>1ª Semestre</v>
      </c>
    </row>
    <row r="659" spans="1:7" x14ac:dyDescent="0.25">
      <c r="A659" t="s">
        <v>8</v>
      </c>
      <c r="B659">
        <v>0</v>
      </c>
      <c r="C659" s="6">
        <v>0</v>
      </c>
      <c r="D659" s="54">
        <v>45068</v>
      </c>
      <c r="E659" s="54" t="str">
        <f>TEXT(Base_de_Dados[[#This Row],[Semana]],"Mmmm")</f>
        <v>maio</v>
      </c>
      <c r="F659">
        <f>YEAR(Base_de_Dados[[#This Row],[Semana]])</f>
        <v>2023</v>
      </c>
      <c r="G659" t="str">
        <f>IF(MONTH( Base_de_Dados[[#This Row],[Semana]])&lt;=6,"1ª Semestre","2ª Semestre")</f>
        <v>1ª Semestre</v>
      </c>
    </row>
    <row r="660" spans="1:7" x14ac:dyDescent="0.25">
      <c r="A660" t="s">
        <v>9</v>
      </c>
      <c r="B660">
        <v>0</v>
      </c>
      <c r="C660" s="6">
        <v>0</v>
      </c>
      <c r="D660" s="54">
        <v>45068</v>
      </c>
      <c r="E660" s="54" t="str">
        <f>TEXT(Base_de_Dados[[#This Row],[Semana]],"Mmmm")</f>
        <v>maio</v>
      </c>
      <c r="F660">
        <f>YEAR(Base_de_Dados[[#This Row],[Semana]])</f>
        <v>2023</v>
      </c>
      <c r="G660" t="str">
        <f>IF(MONTH( Base_de_Dados[[#This Row],[Semana]])&lt;=6,"1ª Semestre","2ª Semestre")</f>
        <v>1ª Semestre</v>
      </c>
    </row>
    <row r="661" spans="1:7" x14ac:dyDescent="0.25">
      <c r="A661" t="s">
        <v>10</v>
      </c>
      <c r="B661">
        <v>0</v>
      </c>
      <c r="C661" s="6">
        <v>0</v>
      </c>
      <c r="D661" s="54">
        <v>45068</v>
      </c>
      <c r="E661" s="54" t="str">
        <f>TEXT(Base_de_Dados[[#This Row],[Semana]],"Mmmm")</f>
        <v>maio</v>
      </c>
      <c r="F661">
        <f>YEAR(Base_de_Dados[[#This Row],[Semana]])</f>
        <v>2023</v>
      </c>
      <c r="G661" t="str">
        <f>IF(MONTH( Base_de_Dados[[#This Row],[Semana]])&lt;=6,"1ª Semestre","2ª Semestre")</f>
        <v>1ª Semestre</v>
      </c>
    </row>
    <row r="662" spans="1:7" x14ac:dyDescent="0.25">
      <c r="A662" t="s">
        <v>11</v>
      </c>
      <c r="B662">
        <v>0</v>
      </c>
      <c r="C662" s="6">
        <v>0</v>
      </c>
      <c r="D662" s="54">
        <v>45068</v>
      </c>
      <c r="E662" s="54" t="str">
        <f>TEXT(Base_de_Dados[[#This Row],[Semana]],"Mmmm")</f>
        <v>maio</v>
      </c>
      <c r="F662">
        <f>YEAR(Base_de_Dados[[#This Row],[Semana]])</f>
        <v>2023</v>
      </c>
      <c r="G662" t="str">
        <f>IF(MONTH( Base_de_Dados[[#This Row],[Semana]])&lt;=6,"1ª Semestre","2ª Semestre")</f>
        <v>1ª Semestre</v>
      </c>
    </row>
    <row r="663" spans="1:7" x14ac:dyDescent="0.25">
      <c r="A663" t="s">
        <v>173</v>
      </c>
      <c r="B663">
        <v>0</v>
      </c>
      <c r="C663" s="6">
        <v>0</v>
      </c>
      <c r="D663" s="54">
        <v>45068</v>
      </c>
      <c r="E663" s="54" t="str">
        <f>TEXT(Base_de_Dados[[#This Row],[Semana]],"Mmmm")</f>
        <v>maio</v>
      </c>
      <c r="F663">
        <f>YEAR(Base_de_Dados[[#This Row],[Semana]])</f>
        <v>2023</v>
      </c>
      <c r="G663" t="str">
        <f>IF(MONTH( Base_de_Dados[[#This Row],[Semana]])&lt;=6,"1ª Semestre","2ª Semestre")</f>
        <v>1ª Semestre</v>
      </c>
    </row>
    <row r="664" spans="1:7" x14ac:dyDescent="0.25">
      <c r="A664" t="s">
        <v>171</v>
      </c>
      <c r="B664">
        <v>0</v>
      </c>
      <c r="C664" s="6">
        <v>0</v>
      </c>
      <c r="D664" s="54">
        <v>45068</v>
      </c>
      <c r="E664" s="54" t="str">
        <f>TEXT(Base_de_Dados[[#This Row],[Semana]],"Mmmm")</f>
        <v>maio</v>
      </c>
      <c r="F664">
        <f>YEAR(Base_de_Dados[[#This Row],[Semana]])</f>
        <v>2023</v>
      </c>
      <c r="G664" t="str">
        <f>IF(MONTH( Base_de_Dados[[#This Row],[Semana]])&lt;=6,"1ª Semestre","2ª Semestre")</f>
        <v>1ª Semestre</v>
      </c>
    </row>
    <row r="665" spans="1:7" x14ac:dyDescent="0.25">
      <c r="A665" t="s">
        <v>132</v>
      </c>
      <c r="B665">
        <v>0</v>
      </c>
      <c r="C665" s="6">
        <v>0</v>
      </c>
      <c r="D665" s="54">
        <v>45068</v>
      </c>
      <c r="E665" s="54" t="str">
        <f>TEXT(Base_de_Dados[[#This Row],[Semana]],"Mmmm")</f>
        <v>maio</v>
      </c>
      <c r="F665">
        <f>YEAR(Base_de_Dados[[#This Row],[Semana]])</f>
        <v>2023</v>
      </c>
      <c r="G665" t="str">
        <f>IF(MONTH( Base_de_Dados[[#This Row],[Semana]])&lt;=6,"1ª Semestre","2ª Semestre")</f>
        <v>1ª Semestre</v>
      </c>
    </row>
    <row r="666" spans="1:7" x14ac:dyDescent="0.25">
      <c r="A666" t="s">
        <v>3</v>
      </c>
      <c r="B666">
        <v>4</v>
      </c>
      <c r="C666" s="6">
        <v>0.5</v>
      </c>
      <c r="D666" s="54">
        <v>45075</v>
      </c>
      <c r="E666" s="54" t="str">
        <f>TEXT(Base_de_Dados[[#This Row],[Semana]],"Mmmm")</f>
        <v>maio</v>
      </c>
      <c r="F666">
        <f>YEAR(Base_de_Dados[[#This Row],[Semana]])</f>
        <v>2023</v>
      </c>
      <c r="G666" t="str">
        <f>IF(MONTH( Base_de_Dados[[#This Row],[Semana]])&lt;=6,"1ª Semestre","2ª Semestre")</f>
        <v>1ª Semestre</v>
      </c>
    </row>
    <row r="667" spans="1:7" x14ac:dyDescent="0.25">
      <c r="A667" t="s">
        <v>4</v>
      </c>
      <c r="B667">
        <v>0</v>
      </c>
      <c r="C667" s="6">
        <v>0</v>
      </c>
      <c r="D667" s="54">
        <v>45075</v>
      </c>
      <c r="E667" s="54" t="str">
        <f>TEXT(Base_de_Dados[[#This Row],[Semana]],"Mmmm")</f>
        <v>maio</v>
      </c>
      <c r="F667">
        <f>YEAR(Base_de_Dados[[#This Row],[Semana]])</f>
        <v>2023</v>
      </c>
      <c r="G667" t="str">
        <f>IF(MONTH( Base_de_Dados[[#This Row],[Semana]])&lt;=6,"1ª Semestre","2ª Semestre")</f>
        <v>1ª Semestre</v>
      </c>
    </row>
    <row r="668" spans="1:7" x14ac:dyDescent="0.25">
      <c r="A668" t="s">
        <v>5</v>
      </c>
      <c r="B668">
        <v>0</v>
      </c>
      <c r="C668" s="6">
        <v>0</v>
      </c>
      <c r="D668" s="54">
        <v>45075</v>
      </c>
      <c r="E668" s="54" t="str">
        <f>TEXT(Base_de_Dados[[#This Row],[Semana]],"Mmmm")</f>
        <v>maio</v>
      </c>
      <c r="F668">
        <f>YEAR(Base_de_Dados[[#This Row],[Semana]])</f>
        <v>2023</v>
      </c>
      <c r="G668" t="str">
        <f>IF(MONTH( Base_de_Dados[[#This Row],[Semana]])&lt;=6,"1ª Semestre","2ª Semestre")</f>
        <v>1ª Semestre</v>
      </c>
    </row>
    <row r="669" spans="1:7" x14ac:dyDescent="0.25">
      <c r="A669" t="s">
        <v>6</v>
      </c>
      <c r="B669">
        <v>0</v>
      </c>
      <c r="C669" s="6">
        <v>0</v>
      </c>
      <c r="D669" s="54">
        <v>45075</v>
      </c>
      <c r="E669" s="54" t="str">
        <f>TEXT(Base_de_Dados[[#This Row],[Semana]],"Mmmm")</f>
        <v>maio</v>
      </c>
      <c r="F669">
        <f>YEAR(Base_de_Dados[[#This Row],[Semana]])</f>
        <v>2023</v>
      </c>
      <c r="G669" t="str">
        <f>IF(MONTH( Base_de_Dados[[#This Row],[Semana]])&lt;=6,"1ª Semestre","2ª Semestre")</f>
        <v>1ª Semestre</v>
      </c>
    </row>
    <row r="670" spans="1:7" x14ac:dyDescent="0.25">
      <c r="A670" t="s">
        <v>7</v>
      </c>
      <c r="B670">
        <v>1</v>
      </c>
      <c r="C670" s="6">
        <v>0.125</v>
      </c>
      <c r="D670" s="54">
        <v>45075</v>
      </c>
      <c r="E670" s="54" t="str">
        <f>TEXT(Base_de_Dados[[#This Row],[Semana]],"Mmmm")</f>
        <v>maio</v>
      </c>
      <c r="F670">
        <f>YEAR(Base_de_Dados[[#This Row],[Semana]])</f>
        <v>2023</v>
      </c>
      <c r="G670" t="str">
        <f>IF(MONTH( Base_de_Dados[[#This Row],[Semana]])&lt;=6,"1ª Semestre","2ª Semestre")</f>
        <v>1ª Semestre</v>
      </c>
    </row>
    <row r="671" spans="1:7" x14ac:dyDescent="0.25">
      <c r="A671" t="s">
        <v>8</v>
      </c>
      <c r="B671">
        <v>0</v>
      </c>
      <c r="C671" s="6">
        <v>0</v>
      </c>
      <c r="D671" s="54">
        <v>45075</v>
      </c>
      <c r="E671" s="54" t="str">
        <f>TEXT(Base_de_Dados[[#This Row],[Semana]],"Mmmm")</f>
        <v>maio</v>
      </c>
      <c r="F671">
        <f>YEAR(Base_de_Dados[[#This Row],[Semana]])</f>
        <v>2023</v>
      </c>
      <c r="G671" t="str">
        <f>IF(MONTH( Base_de_Dados[[#This Row],[Semana]])&lt;=6,"1ª Semestre","2ª Semestre")</f>
        <v>1ª Semestre</v>
      </c>
    </row>
    <row r="672" spans="1:7" x14ac:dyDescent="0.25">
      <c r="A672" t="s">
        <v>9</v>
      </c>
      <c r="B672">
        <v>0</v>
      </c>
      <c r="C672" s="6">
        <v>0</v>
      </c>
      <c r="D672" s="54">
        <v>45075</v>
      </c>
      <c r="E672" s="54" t="str">
        <f>TEXT(Base_de_Dados[[#This Row],[Semana]],"Mmmm")</f>
        <v>maio</v>
      </c>
      <c r="F672">
        <f>YEAR(Base_de_Dados[[#This Row],[Semana]])</f>
        <v>2023</v>
      </c>
      <c r="G672" t="str">
        <f>IF(MONTH( Base_de_Dados[[#This Row],[Semana]])&lt;=6,"1ª Semestre","2ª Semestre")</f>
        <v>1ª Semestre</v>
      </c>
    </row>
    <row r="673" spans="1:7" x14ac:dyDescent="0.25">
      <c r="A673" t="s">
        <v>10</v>
      </c>
      <c r="B673">
        <v>0</v>
      </c>
      <c r="C673" s="6">
        <v>0</v>
      </c>
      <c r="D673" s="54">
        <v>45075</v>
      </c>
      <c r="E673" s="54" t="str">
        <f>TEXT(Base_de_Dados[[#This Row],[Semana]],"Mmmm")</f>
        <v>maio</v>
      </c>
      <c r="F673">
        <f>YEAR(Base_de_Dados[[#This Row],[Semana]])</f>
        <v>2023</v>
      </c>
      <c r="G673" t="str">
        <f>IF(MONTH( Base_de_Dados[[#This Row],[Semana]])&lt;=6,"1ª Semestre","2ª Semestre")</f>
        <v>1ª Semestre</v>
      </c>
    </row>
    <row r="674" spans="1:7" x14ac:dyDescent="0.25">
      <c r="A674" t="s">
        <v>11</v>
      </c>
      <c r="B674">
        <v>3</v>
      </c>
      <c r="C674" s="6">
        <v>0.375</v>
      </c>
      <c r="D674" s="54">
        <v>45075</v>
      </c>
      <c r="E674" s="54" t="str">
        <f>TEXT(Base_de_Dados[[#This Row],[Semana]],"Mmmm")</f>
        <v>maio</v>
      </c>
      <c r="F674">
        <f>YEAR(Base_de_Dados[[#This Row],[Semana]])</f>
        <v>2023</v>
      </c>
      <c r="G674" t="str">
        <f>IF(MONTH( Base_de_Dados[[#This Row],[Semana]])&lt;=6,"1ª Semestre","2ª Semestre")</f>
        <v>1ª Semestre</v>
      </c>
    </row>
    <row r="675" spans="1:7" x14ac:dyDescent="0.25">
      <c r="A675" t="s">
        <v>173</v>
      </c>
      <c r="B675">
        <v>0</v>
      </c>
      <c r="C675" s="6">
        <v>0</v>
      </c>
      <c r="D675" s="54">
        <v>45075</v>
      </c>
      <c r="E675" s="54" t="str">
        <f>TEXT(Base_de_Dados[[#This Row],[Semana]],"Mmmm")</f>
        <v>maio</v>
      </c>
      <c r="F675">
        <f>YEAR(Base_de_Dados[[#This Row],[Semana]])</f>
        <v>2023</v>
      </c>
      <c r="G675" t="str">
        <f>IF(MONTH( Base_de_Dados[[#This Row],[Semana]])&lt;=6,"1ª Semestre","2ª Semestre")</f>
        <v>1ª Semestre</v>
      </c>
    </row>
    <row r="676" spans="1:7" x14ac:dyDescent="0.25">
      <c r="A676" t="s">
        <v>171</v>
      </c>
      <c r="B676">
        <v>0</v>
      </c>
      <c r="C676" s="6">
        <v>0</v>
      </c>
      <c r="D676" s="54">
        <v>45075</v>
      </c>
      <c r="E676" s="54" t="str">
        <f>TEXT(Base_de_Dados[[#This Row],[Semana]],"Mmmm")</f>
        <v>maio</v>
      </c>
      <c r="F676">
        <f>YEAR(Base_de_Dados[[#This Row],[Semana]])</f>
        <v>2023</v>
      </c>
      <c r="G676" t="str">
        <f>IF(MONTH( Base_de_Dados[[#This Row],[Semana]])&lt;=6,"1ª Semestre","2ª Semestre")</f>
        <v>1ª Semestre</v>
      </c>
    </row>
    <row r="677" spans="1:7" x14ac:dyDescent="0.25">
      <c r="A677" t="s">
        <v>132</v>
      </c>
      <c r="B677">
        <v>0</v>
      </c>
      <c r="C677" s="6">
        <v>0</v>
      </c>
      <c r="D677" s="54">
        <v>45075</v>
      </c>
      <c r="E677" s="54" t="str">
        <f>TEXT(Base_de_Dados[[#This Row],[Semana]],"Mmmm")</f>
        <v>maio</v>
      </c>
      <c r="F677">
        <f>YEAR(Base_de_Dados[[#This Row],[Semana]])</f>
        <v>2023</v>
      </c>
      <c r="G677" t="str">
        <f>IF(MONTH( Base_de_Dados[[#This Row],[Semana]])&lt;=6,"1ª Semestre","2ª Semestre")</f>
        <v>1ª Semestre</v>
      </c>
    </row>
    <row r="678" spans="1:7" x14ac:dyDescent="0.25">
      <c r="A678" t="s">
        <v>3</v>
      </c>
      <c r="B678">
        <v>2</v>
      </c>
      <c r="C678" s="6">
        <v>0.16666666666666666</v>
      </c>
      <c r="D678" s="54">
        <v>45082</v>
      </c>
      <c r="E678" s="54" t="str">
        <f>TEXT(Base_de_Dados[[#This Row],[Semana]],"Mmmm")</f>
        <v>junho</v>
      </c>
      <c r="F678">
        <f>YEAR(Base_de_Dados[[#This Row],[Semana]])</f>
        <v>2023</v>
      </c>
      <c r="G678" t="str">
        <f>IF(MONTH( Base_de_Dados[[#This Row],[Semana]])&lt;=6,"1ª Semestre","2ª Semestre")</f>
        <v>1ª Semestre</v>
      </c>
    </row>
    <row r="679" spans="1:7" x14ac:dyDescent="0.25">
      <c r="A679" t="s">
        <v>4</v>
      </c>
      <c r="B679">
        <v>3</v>
      </c>
      <c r="C679" s="6">
        <v>0.25</v>
      </c>
      <c r="D679" s="54">
        <v>45082</v>
      </c>
      <c r="E679" s="54" t="str">
        <f>TEXT(Base_de_Dados[[#This Row],[Semana]],"Mmmm")</f>
        <v>junho</v>
      </c>
      <c r="F679">
        <f>YEAR(Base_de_Dados[[#This Row],[Semana]])</f>
        <v>2023</v>
      </c>
      <c r="G679" t="str">
        <f>IF(MONTH( Base_de_Dados[[#This Row],[Semana]])&lt;=6,"1ª Semestre","2ª Semestre")</f>
        <v>1ª Semestre</v>
      </c>
    </row>
    <row r="680" spans="1:7" x14ac:dyDescent="0.25">
      <c r="A680" t="s">
        <v>5</v>
      </c>
      <c r="B680">
        <v>0</v>
      </c>
      <c r="C680" s="6">
        <v>0</v>
      </c>
      <c r="D680" s="54">
        <v>45082</v>
      </c>
      <c r="E680" s="54" t="str">
        <f>TEXT(Base_de_Dados[[#This Row],[Semana]],"Mmmm")</f>
        <v>junho</v>
      </c>
      <c r="F680">
        <f>YEAR(Base_de_Dados[[#This Row],[Semana]])</f>
        <v>2023</v>
      </c>
      <c r="G680" t="str">
        <f>IF(MONTH( Base_de_Dados[[#This Row],[Semana]])&lt;=6,"1ª Semestre","2ª Semestre")</f>
        <v>1ª Semestre</v>
      </c>
    </row>
    <row r="681" spans="1:7" x14ac:dyDescent="0.25">
      <c r="A681" t="s">
        <v>6</v>
      </c>
      <c r="B681">
        <v>0</v>
      </c>
      <c r="C681" s="6">
        <v>0</v>
      </c>
      <c r="D681" s="54">
        <v>45082</v>
      </c>
      <c r="E681" s="54" t="str">
        <f>TEXT(Base_de_Dados[[#This Row],[Semana]],"Mmmm")</f>
        <v>junho</v>
      </c>
      <c r="F681">
        <f>YEAR(Base_de_Dados[[#This Row],[Semana]])</f>
        <v>2023</v>
      </c>
      <c r="G681" t="str">
        <f>IF(MONTH( Base_de_Dados[[#This Row],[Semana]])&lt;=6,"1ª Semestre","2ª Semestre")</f>
        <v>1ª Semestre</v>
      </c>
    </row>
    <row r="682" spans="1:7" x14ac:dyDescent="0.25">
      <c r="A682" t="s">
        <v>7</v>
      </c>
      <c r="B682">
        <v>1</v>
      </c>
      <c r="C682" s="6">
        <v>8.3333333333333329E-2</v>
      </c>
      <c r="D682" s="54">
        <v>45082</v>
      </c>
      <c r="E682" s="54" t="str">
        <f>TEXT(Base_de_Dados[[#This Row],[Semana]],"Mmmm")</f>
        <v>junho</v>
      </c>
      <c r="F682">
        <f>YEAR(Base_de_Dados[[#This Row],[Semana]])</f>
        <v>2023</v>
      </c>
      <c r="G682" t="str">
        <f>IF(MONTH( Base_de_Dados[[#This Row],[Semana]])&lt;=6,"1ª Semestre","2ª Semestre")</f>
        <v>1ª Semestre</v>
      </c>
    </row>
    <row r="683" spans="1:7" x14ac:dyDescent="0.25">
      <c r="A683" t="s">
        <v>8</v>
      </c>
      <c r="B683">
        <v>0</v>
      </c>
      <c r="C683" s="6">
        <v>0</v>
      </c>
      <c r="D683" s="54">
        <v>45082</v>
      </c>
      <c r="E683" s="54" t="str">
        <f>TEXT(Base_de_Dados[[#This Row],[Semana]],"Mmmm")</f>
        <v>junho</v>
      </c>
      <c r="F683">
        <f>YEAR(Base_de_Dados[[#This Row],[Semana]])</f>
        <v>2023</v>
      </c>
      <c r="G683" t="str">
        <f>IF(MONTH( Base_de_Dados[[#This Row],[Semana]])&lt;=6,"1ª Semestre","2ª Semestre")</f>
        <v>1ª Semestre</v>
      </c>
    </row>
    <row r="684" spans="1:7" x14ac:dyDescent="0.25">
      <c r="A684" t="s">
        <v>9</v>
      </c>
      <c r="B684">
        <v>1</v>
      </c>
      <c r="C684" s="6">
        <v>8.3333333333333329E-2</v>
      </c>
      <c r="D684" s="54">
        <v>45082</v>
      </c>
      <c r="E684" s="54" t="str">
        <f>TEXT(Base_de_Dados[[#This Row],[Semana]],"Mmmm")</f>
        <v>junho</v>
      </c>
      <c r="F684">
        <f>YEAR(Base_de_Dados[[#This Row],[Semana]])</f>
        <v>2023</v>
      </c>
      <c r="G684" t="str">
        <f>IF(MONTH( Base_de_Dados[[#This Row],[Semana]])&lt;=6,"1ª Semestre","2ª Semestre")</f>
        <v>1ª Semestre</v>
      </c>
    </row>
    <row r="685" spans="1:7" x14ac:dyDescent="0.25">
      <c r="A685" t="s">
        <v>10</v>
      </c>
      <c r="B685">
        <v>0</v>
      </c>
      <c r="C685" s="6">
        <v>0</v>
      </c>
      <c r="D685" s="54">
        <v>45082</v>
      </c>
      <c r="E685" s="54" t="str">
        <f>TEXT(Base_de_Dados[[#This Row],[Semana]],"Mmmm")</f>
        <v>junho</v>
      </c>
      <c r="F685">
        <f>YEAR(Base_de_Dados[[#This Row],[Semana]])</f>
        <v>2023</v>
      </c>
      <c r="G685" t="str">
        <f>IF(MONTH( Base_de_Dados[[#This Row],[Semana]])&lt;=6,"1ª Semestre","2ª Semestre")</f>
        <v>1ª Semestre</v>
      </c>
    </row>
    <row r="686" spans="1:7" x14ac:dyDescent="0.25">
      <c r="A686" t="s">
        <v>11</v>
      </c>
      <c r="B686">
        <v>0</v>
      </c>
      <c r="C686" s="6">
        <v>0</v>
      </c>
      <c r="D686" s="54">
        <v>45082</v>
      </c>
      <c r="E686" s="54" t="str">
        <f>TEXT(Base_de_Dados[[#This Row],[Semana]],"Mmmm")</f>
        <v>junho</v>
      </c>
      <c r="F686">
        <f>YEAR(Base_de_Dados[[#This Row],[Semana]])</f>
        <v>2023</v>
      </c>
      <c r="G686" t="str">
        <f>IF(MONTH( Base_de_Dados[[#This Row],[Semana]])&lt;=6,"1ª Semestre","2ª Semestre")</f>
        <v>1ª Semestre</v>
      </c>
    </row>
    <row r="687" spans="1:7" x14ac:dyDescent="0.25">
      <c r="A687" t="s">
        <v>173</v>
      </c>
      <c r="B687">
        <v>5</v>
      </c>
      <c r="C687" s="6">
        <v>0.41666666666666669</v>
      </c>
      <c r="D687" s="54">
        <v>45082</v>
      </c>
      <c r="E687" s="54" t="str">
        <f>TEXT(Base_de_Dados[[#This Row],[Semana]],"Mmmm")</f>
        <v>junho</v>
      </c>
      <c r="F687">
        <f>YEAR(Base_de_Dados[[#This Row],[Semana]])</f>
        <v>2023</v>
      </c>
      <c r="G687" t="str">
        <f>IF(MONTH( Base_de_Dados[[#This Row],[Semana]])&lt;=6,"1ª Semestre","2ª Semestre")</f>
        <v>1ª Semestre</v>
      </c>
    </row>
    <row r="688" spans="1:7" x14ac:dyDescent="0.25">
      <c r="A688" t="s">
        <v>171</v>
      </c>
      <c r="B688">
        <v>0</v>
      </c>
      <c r="C688" s="6">
        <v>0</v>
      </c>
      <c r="D688" s="54">
        <v>45082</v>
      </c>
      <c r="E688" s="54" t="str">
        <f>TEXT(Base_de_Dados[[#This Row],[Semana]],"Mmmm")</f>
        <v>junho</v>
      </c>
      <c r="F688">
        <f>YEAR(Base_de_Dados[[#This Row],[Semana]])</f>
        <v>2023</v>
      </c>
      <c r="G688" t="str">
        <f>IF(MONTH( Base_de_Dados[[#This Row],[Semana]])&lt;=6,"1ª Semestre","2ª Semestre")</f>
        <v>1ª Semestre</v>
      </c>
    </row>
    <row r="689" spans="1:7" x14ac:dyDescent="0.25">
      <c r="A689" t="s">
        <v>132</v>
      </c>
      <c r="B689">
        <v>0</v>
      </c>
      <c r="C689" s="6">
        <v>0</v>
      </c>
      <c r="D689" s="54">
        <v>45082</v>
      </c>
      <c r="E689" s="54" t="str">
        <f>TEXT(Base_de_Dados[[#This Row],[Semana]],"Mmmm")</f>
        <v>junho</v>
      </c>
      <c r="F689">
        <f>YEAR(Base_de_Dados[[#This Row],[Semana]])</f>
        <v>2023</v>
      </c>
      <c r="G689" t="str">
        <f>IF(MONTH( Base_de_Dados[[#This Row],[Semana]])&lt;=6,"1ª Semestre","2ª Semestre")</f>
        <v>1ª Semestre</v>
      </c>
    </row>
    <row r="690" spans="1:7" x14ac:dyDescent="0.25">
      <c r="A690" t="s">
        <v>3</v>
      </c>
      <c r="B690">
        <v>0</v>
      </c>
      <c r="C690" s="6">
        <v>0</v>
      </c>
      <c r="D690" s="54">
        <v>45089</v>
      </c>
      <c r="E690" s="54" t="str">
        <f>TEXT(Base_de_Dados[[#This Row],[Semana]],"Mmmm")</f>
        <v>junho</v>
      </c>
      <c r="F690">
        <f>YEAR(Base_de_Dados[[#This Row],[Semana]])</f>
        <v>2023</v>
      </c>
      <c r="G690" t="str">
        <f>IF(MONTH( Base_de_Dados[[#This Row],[Semana]])&lt;=6,"1ª Semestre","2ª Semestre")</f>
        <v>1ª Semestre</v>
      </c>
    </row>
    <row r="691" spans="1:7" x14ac:dyDescent="0.25">
      <c r="A691" t="s">
        <v>4</v>
      </c>
      <c r="B691">
        <v>0</v>
      </c>
      <c r="C691" s="6">
        <v>0</v>
      </c>
      <c r="D691" s="54">
        <v>45089</v>
      </c>
      <c r="E691" s="54" t="str">
        <f>TEXT(Base_de_Dados[[#This Row],[Semana]],"Mmmm")</f>
        <v>junho</v>
      </c>
      <c r="F691">
        <f>YEAR(Base_de_Dados[[#This Row],[Semana]])</f>
        <v>2023</v>
      </c>
      <c r="G691" t="str">
        <f>IF(MONTH( Base_de_Dados[[#This Row],[Semana]])&lt;=6,"1ª Semestre","2ª Semestre")</f>
        <v>1ª Semestre</v>
      </c>
    </row>
    <row r="692" spans="1:7" x14ac:dyDescent="0.25">
      <c r="A692" t="s">
        <v>5</v>
      </c>
      <c r="B692">
        <v>0</v>
      </c>
      <c r="C692" s="6">
        <v>0</v>
      </c>
      <c r="D692" s="54">
        <v>45089</v>
      </c>
      <c r="E692" s="54" t="str">
        <f>TEXT(Base_de_Dados[[#This Row],[Semana]],"Mmmm")</f>
        <v>junho</v>
      </c>
      <c r="F692">
        <f>YEAR(Base_de_Dados[[#This Row],[Semana]])</f>
        <v>2023</v>
      </c>
      <c r="G692" t="str">
        <f>IF(MONTH( Base_de_Dados[[#This Row],[Semana]])&lt;=6,"1ª Semestre","2ª Semestre")</f>
        <v>1ª Semestre</v>
      </c>
    </row>
    <row r="693" spans="1:7" x14ac:dyDescent="0.25">
      <c r="A693" t="s">
        <v>6</v>
      </c>
      <c r="B693">
        <v>0</v>
      </c>
      <c r="C693" s="6">
        <v>0</v>
      </c>
      <c r="D693" s="54">
        <v>45089</v>
      </c>
      <c r="E693" s="54" t="str">
        <f>TEXT(Base_de_Dados[[#This Row],[Semana]],"Mmmm")</f>
        <v>junho</v>
      </c>
      <c r="F693">
        <f>YEAR(Base_de_Dados[[#This Row],[Semana]])</f>
        <v>2023</v>
      </c>
      <c r="G693" t="str">
        <f>IF(MONTH( Base_de_Dados[[#This Row],[Semana]])&lt;=6,"1ª Semestre","2ª Semestre")</f>
        <v>1ª Semestre</v>
      </c>
    </row>
    <row r="694" spans="1:7" x14ac:dyDescent="0.25">
      <c r="A694" t="s">
        <v>7</v>
      </c>
      <c r="B694">
        <v>0</v>
      </c>
      <c r="C694" s="6">
        <v>0</v>
      </c>
      <c r="D694" s="54">
        <v>45089</v>
      </c>
      <c r="E694" s="54" t="str">
        <f>TEXT(Base_de_Dados[[#This Row],[Semana]],"Mmmm")</f>
        <v>junho</v>
      </c>
      <c r="F694">
        <f>YEAR(Base_de_Dados[[#This Row],[Semana]])</f>
        <v>2023</v>
      </c>
      <c r="G694" t="str">
        <f>IF(MONTH( Base_de_Dados[[#This Row],[Semana]])&lt;=6,"1ª Semestre","2ª Semestre")</f>
        <v>1ª Semestre</v>
      </c>
    </row>
    <row r="695" spans="1:7" x14ac:dyDescent="0.25">
      <c r="A695" t="s">
        <v>8</v>
      </c>
      <c r="B695">
        <v>1</v>
      </c>
      <c r="C695" s="6">
        <v>1</v>
      </c>
      <c r="D695" s="54">
        <v>45089</v>
      </c>
      <c r="E695" s="54" t="str">
        <f>TEXT(Base_de_Dados[[#This Row],[Semana]],"Mmmm")</f>
        <v>junho</v>
      </c>
      <c r="F695">
        <f>YEAR(Base_de_Dados[[#This Row],[Semana]])</f>
        <v>2023</v>
      </c>
      <c r="G695" t="str">
        <f>IF(MONTH( Base_de_Dados[[#This Row],[Semana]])&lt;=6,"1ª Semestre","2ª Semestre")</f>
        <v>1ª Semestre</v>
      </c>
    </row>
    <row r="696" spans="1:7" x14ac:dyDescent="0.25">
      <c r="A696" t="s">
        <v>9</v>
      </c>
      <c r="B696">
        <v>0</v>
      </c>
      <c r="C696" s="6">
        <v>0</v>
      </c>
      <c r="D696" s="54">
        <v>45089</v>
      </c>
      <c r="E696" s="54" t="str">
        <f>TEXT(Base_de_Dados[[#This Row],[Semana]],"Mmmm")</f>
        <v>junho</v>
      </c>
      <c r="F696">
        <f>YEAR(Base_de_Dados[[#This Row],[Semana]])</f>
        <v>2023</v>
      </c>
      <c r="G696" t="str">
        <f>IF(MONTH( Base_de_Dados[[#This Row],[Semana]])&lt;=6,"1ª Semestre","2ª Semestre")</f>
        <v>1ª Semestre</v>
      </c>
    </row>
    <row r="697" spans="1:7" x14ac:dyDescent="0.25">
      <c r="A697" t="s">
        <v>10</v>
      </c>
      <c r="B697">
        <v>0</v>
      </c>
      <c r="C697" s="6">
        <v>0</v>
      </c>
      <c r="D697" s="54">
        <v>45089</v>
      </c>
      <c r="E697" s="54" t="str">
        <f>TEXT(Base_de_Dados[[#This Row],[Semana]],"Mmmm")</f>
        <v>junho</v>
      </c>
      <c r="F697">
        <f>YEAR(Base_de_Dados[[#This Row],[Semana]])</f>
        <v>2023</v>
      </c>
      <c r="G697" t="str">
        <f>IF(MONTH( Base_de_Dados[[#This Row],[Semana]])&lt;=6,"1ª Semestre","2ª Semestre")</f>
        <v>1ª Semestre</v>
      </c>
    </row>
    <row r="698" spans="1:7" x14ac:dyDescent="0.25">
      <c r="A698" t="s">
        <v>11</v>
      </c>
      <c r="B698">
        <v>0</v>
      </c>
      <c r="C698" s="6">
        <v>0</v>
      </c>
      <c r="D698" s="54">
        <v>45089</v>
      </c>
      <c r="E698" s="54" t="str">
        <f>TEXT(Base_de_Dados[[#This Row],[Semana]],"Mmmm")</f>
        <v>junho</v>
      </c>
      <c r="F698">
        <f>YEAR(Base_de_Dados[[#This Row],[Semana]])</f>
        <v>2023</v>
      </c>
      <c r="G698" t="str">
        <f>IF(MONTH( Base_de_Dados[[#This Row],[Semana]])&lt;=6,"1ª Semestre","2ª Semestre")</f>
        <v>1ª Semestre</v>
      </c>
    </row>
    <row r="699" spans="1:7" x14ac:dyDescent="0.25">
      <c r="A699" t="s">
        <v>173</v>
      </c>
      <c r="B699">
        <v>0</v>
      </c>
      <c r="C699" s="6">
        <v>0</v>
      </c>
      <c r="D699" s="54">
        <v>45089</v>
      </c>
      <c r="E699" s="54" t="str">
        <f>TEXT(Base_de_Dados[[#This Row],[Semana]],"Mmmm")</f>
        <v>junho</v>
      </c>
      <c r="F699">
        <f>YEAR(Base_de_Dados[[#This Row],[Semana]])</f>
        <v>2023</v>
      </c>
      <c r="G699" t="str">
        <f>IF(MONTH( Base_de_Dados[[#This Row],[Semana]])&lt;=6,"1ª Semestre","2ª Semestre")</f>
        <v>1ª Semestre</v>
      </c>
    </row>
    <row r="700" spans="1:7" x14ac:dyDescent="0.25">
      <c r="A700" t="s">
        <v>171</v>
      </c>
      <c r="B700">
        <v>0</v>
      </c>
      <c r="C700" s="6">
        <v>0</v>
      </c>
      <c r="D700" s="54">
        <v>45089</v>
      </c>
      <c r="E700" s="54" t="str">
        <f>TEXT(Base_de_Dados[[#This Row],[Semana]],"Mmmm")</f>
        <v>junho</v>
      </c>
      <c r="F700">
        <f>YEAR(Base_de_Dados[[#This Row],[Semana]])</f>
        <v>2023</v>
      </c>
      <c r="G700" t="str">
        <f>IF(MONTH( Base_de_Dados[[#This Row],[Semana]])&lt;=6,"1ª Semestre","2ª Semestre")</f>
        <v>1ª Semestre</v>
      </c>
    </row>
    <row r="701" spans="1:7" x14ac:dyDescent="0.25">
      <c r="A701" t="s">
        <v>132</v>
      </c>
      <c r="B701">
        <v>0</v>
      </c>
      <c r="C701" s="6">
        <v>0</v>
      </c>
      <c r="D701" s="54">
        <v>45089</v>
      </c>
      <c r="E701" s="54" t="str">
        <f>TEXT(Base_de_Dados[[#This Row],[Semana]],"Mmmm")</f>
        <v>junho</v>
      </c>
      <c r="F701">
        <f>YEAR(Base_de_Dados[[#This Row],[Semana]])</f>
        <v>2023</v>
      </c>
      <c r="G701" t="str">
        <f>IF(MONTH( Base_de_Dados[[#This Row],[Semana]])&lt;=6,"1ª Semestre","2ª Semestre")</f>
        <v>1ª Semestre</v>
      </c>
    </row>
    <row r="702" spans="1:7" x14ac:dyDescent="0.25">
      <c r="A702" t="s">
        <v>3</v>
      </c>
      <c r="B702">
        <v>0</v>
      </c>
      <c r="C702" s="6">
        <v>0</v>
      </c>
      <c r="D702" s="54">
        <v>45096</v>
      </c>
      <c r="E702" s="54" t="str">
        <f>TEXT(Base_de_Dados[[#This Row],[Semana]],"Mmmm")</f>
        <v>junho</v>
      </c>
      <c r="F702">
        <f>YEAR(Base_de_Dados[[#This Row],[Semana]])</f>
        <v>2023</v>
      </c>
      <c r="G702" t="str">
        <f>IF(MONTH( Base_de_Dados[[#This Row],[Semana]])&lt;=6,"1ª Semestre","2ª Semestre")</f>
        <v>1ª Semestre</v>
      </c>
    </row>
    <row r="703" spans="1:7" x14ac:dyDescent="0.25">
      <c r="A703" t="s">
        <v>4</v>
      </c>
      <c r="B703">
        <v>0</v>
      </c>
      <c r="C703" s="6">
        <v>0</v>
      </c>
      <c r="D703" s="54">
        <v>45096</v>
      </c>
      <c r="E703" s="54" t="str">
        <f>TEXT(Base_de_Dados[[#This Row],[Semana]],"Mmmm")</f>
        <v>junho</v>
      </c>
      <c r="F703">
        <f>YEAR(Base_de_Dados[[#This Row],[Semana]])</f>
        <v>2023</v>
      </c>
      <c r="G703" t="str">
        <f>IF(MONTH( Base_de_Dados[[#This Row],[Semana]])&lt;=6,"1ª Semestre","2ª Semestre")</f>
        <v>1ª Semestre</v>
      </c>
    </row>
    <row r="704" spans="1:7" x14ac:dyDescent="0.25">
      <c r="A704" t="s">
        <v>5</v>
      </c>
      <c r="B704">
        <v>0</v>
      </c>
      <c r="C704" s="6">
        <v>0</v>
      </c>
      <c r="D704" s="54">
        <v>45096</v>
      </c>
      <c r="E704" s="54" t="str">
        <f>TEXT(Base_de_Dados[[#This Row],[Semana]],"Mmmm")</f>
        <v>junho</v>
      </c>
      <c r="F704">
        <f>YEAR(Base_de_Dados[[#This Row],[Semana]])</f>
        <v>2023</v>
      </c>
      <c r="G704" t="str">
        <f>IF(MONTH( Base_de_Dados[[#This Row],[Semana]])&lt;=6,"1ª Semestre","2ª Semestre")</f>
        <v>1ª Semestre</v>
      </c>
    </row>
    <row r="705" spans="1:7" x14ac:dyDescent="0.25">
      <c r="A705" t="s">
        <v>6</v>
      </c>
      <c r="B705">
        <v>1</v>
      </c>
      <c r="C705" s="6">
        <v>0.5</v>
      </c>
      <c r="D705" s="54">
        <v>45096</v>
      </c>
      <c r="E705" s="54" t="str">
        <f>TEXT(Base_de_Dados[[#This Row],[Semana]],"Mmmm")</f>
        <v>junho</v>
      </c>
      <c r="F705">
        <f>YEAR(Base_de_Dados[[#This Row],[Semana]])</f>
        <v>2023</v>
      </c>
      <c r="G705" t="str">
        <f>IF(MONTH( Base_de_Dados[[#This Row],[Semana]])&lt;=6,"1ª Semestre","2ª Semestre")</f>
        <v>1ª Semestre</v>
      </c>
    </row>
    <row r="706" spans="1:7" x14ac:dyDescent="0.25">
      <c r="A706" t="s">
        <v>7</v>
      </c>
      <c r="B706">
        <v>1</v>
      </c>
      <c r="C706" s="6">
        <v>0.5</v>
      </c>
      <c r="D706" s="54">
        <v>45096</v>
      </c>
      <c r="E706" s="54" t="str">
        <f>TEXT(Base_de_Dados[[#This Row],[Semana]],"Mmmm")</f>
        <v>junho</v>
      </c>
      <c r="F706">
        <f>YEAR(Base_de_Dados[[#This Row],[Semana]])</f>
        <v>2023</v>
      </c>
      <c r="G706" t="str">
        <f>IF(MONTH( Base_de_Dados[[#This Row],[Semana]])&lt;=6,"1ª Semestre","2ª Semestre")</f>
        <v>1ª Semestre</v>
      </c>
    </row>
    <row r="707" spans="1:7" x14ac:dyDescent="0.25">
      <c r="A707" t="s">
        <v>8</v>
      </c>
      <c r="B707">
        <v>0</v>
      </c>
      <c r="C707" s="6">
        <v>0</v>
      </c>
      <c r="D707" s="54">
        <v>45096</v>
      </c>
      <c r="E707" s="54" t="str">
        <f>TEXT(Base_de_Dados[[#This Row],[Semana]],"Mmmm")</f>
        <v>junho</v>
      </c>
      <c r="F707">
        <f>YEAR(Base_de_Dados[[#This Row],[Semana]])</f>
        <v>2023</v>
      </c>
      <c r="G707" t="str">
        <f>IF(MONTH( Base_de_Dados[[#This Row],[Semana]])&lt;=6,"1ª Semestre","2ª Semestre")</f>
        <v>1ª Semestre</v>
      </c>
    </row>
    <row r="708" spans="1:7" x14ac:dyDescent="0.25">
      <c r="A708" t="s">
        <v>9</v>
      </c>
      <c r="B708">
        <v>0</v>
      </c>
      <c r="C708" s="6">
        <v>0</v>
      </c>
      <c r="D708" s="54">
        <v>45096</v>
      </c>
      <c r="E708" s="54" t="str">
        <f>TEXT(Base_de_Dados[[#This Row],[Semana]],"Mmmm")</f>
        <v>junho</v>
      </c>
      <c r="F708">
        <f>YEAR(Base_de_Dados[[#This Row],[Semana]])</f>
        <v>2023</v>
      </c>
      <c r="G708" t="str">
        <f>IF(MONTH( Base_de_Dados[[#This Row],[Semana]])&lt;=6,"1ª Semestre","2ª Semestre")</f>
        <v>1ª Semestre</v>
      </c>
    </row>
    <row r="709" spans="1:7" x14ac:dyDescent="0.25">
      <c r="A709" t="s">
        <v>10</v>
      </c>
      <c r="B709">
        <v>0</v>
      </c>
      <c r="C709" s="6">
        <v>0</v>
      </c>
      <c r="D709" s="54">
        <v>45096</v>
      </c>
      <c r="E709" s="54" t="str">
        <f>TEXT(Base_de_Dados[[#This Row],[Semana]],"Mmmm")</f>
        <v>junho</v>
      </c>
      <c r="F709">
        <f>YEAR(Base_de_Dados[[#This Row],[Semana]])</f>
        <v>2023</v>
      </c>
      <c r="G709" t="str">
        <f>IF(MONTH( Base_de_Dados[[#This Row],[Semana]])&lt;=6,"1ª Semestre","2ª Semestre")</f>
        <v>1ª Semestre</v>
      </c>
    </row>
    <row r="710" spans="1:7" x14ac:dyDescent="0.25">
      <c r="A710" t="s">
        <v>11</v>
      </c>
      <c r="B710">
        <v>0</v>
      </c>
      <c r="C710" s="6">
        <v>0</v>
      </c>
      <c r="D710" s="54">
        <v>45096</v>
      </c>
      <c r="E710" s="54" t="str">
        <f>TEXT(Base_de_Dados[[#This Row],[Semana]],"Mmmm")</f>
        <v>junho</v>
      </c>
      <c r="F710">
        <f>YEAR(Base_de_Dados[[#This Row],[Semana]])</f>
        <v>2023</v>
      </c>
      <c r="G710" t="str">
        <f>IF(MONTH( Base_de_Dados[[#This Row],[Semana]])&lt;=6,"1ª Semestre","2ª Semestre")</f>
        <v>1ª Semestre</v>
      </c>
    </row>
    <row r="711" spans="1:7" x14ac:dyDescent="0.25">
      <c r="A711" t="s">
        <v>173</v>
      </c>
      <c r="B711">
        <v>0</v>
      </c>
      <c r="C711" s="6">
        <v>0</v>
      </c>
      <c r="D711" s="54">
        <v>45096</v>
      </c>
      <c r="E711" s="54" t="str">
        <f>TEXT(Base_de_Dados[[#This Row],[Semana]],"Mmmm")</f>
        <v>junho</v>
      </c>
      <c r="F711">
        <f>YEAR(Base_de_Dados[[#This Row],[Semana]])</f>
        <v>2023</v>
      </c>
      <c r="G711" t="str">
        <f>IF(MONTH( Base_de_Dados[[#This Row],[Semana]])&lt;=6,"1ª Semestre","2ª Semestre")</f>
        <v>1ª Semestre</v>
      </c>
    </row>
    <row r="712" spans="1:7" x14ac:dyDescent="0.25">
      <c r="A712" t="s">
        <v>171</v>
      </c>
      <c r="B712">
        <v>0</v>
      </c>
      <c r="C712" s="6">
        <v>0</v>
      </c>
      <c r="D712" s="54">
        <v>45096</v>
      </c>
      <c r="E712" s="54" t="str">
        <f>TEXT(Base_de_Dados[[#This Row],[Semana]],"Mmmm")</f>
        <v>junho</v>
      </c>
      <c r="F712">
        <f>YEAR(Base_de_Dados[[#This Row],[Semana]])</f>
        <v>2023</v>
      </c>
      <c r="G712" t="str">
        <f>IF(MONTH( Base_de_Dados[[#This Row],[Semana]])&lt;=6,"1ª Semestre","2ª Semestre")</f>
        <v>1ª Semestre</v>
      </c>
    </row>
    <row r="713" spans="1:7" x14ac:dyDescent="0.25">
      <c r="A713" t="s">
        <v>132</v>
      </c>
      <c r="B713">
        <v>0</v>
      </c>
      <c r="C713" s="6">
        <v>0</v>
      </c>
      <c r="D713" s="54">
        <v>45096</v>
      </c>
      <c r="E713" s="54" t="str">
        <f>TEXT(Base_de_Dados[[#This Row],[Semana]],"Mmmm")</f>
        <v>junho</v>
      </c>
      <c r="F713">
        <f>YEAR(Base_de_Dados[[#This Row],[Semana]])</f>
        <v>2023</v>
      </c>
      <c r="G713" t="str">
        <f>IF(MONTH( Base_de_Dados[[#This Row],[Semana]])&lt;=6,"1ª Semestre","2ª Semestre")</f>
        <v>1ª Semestre</v>
      </c>
    </row>
    <row r="714" spans="1:7" x14ac:dyDescent="0.25">
      <c r="A714" t="s">
        <v>3</v>
      </c>
      <c r="B714">
        <v>2</v>
      </c>
      <c r="C714" s="6">
        <v>0.25</v>
      </c>
      <c r="D714" s="54">
        <v>45103</v>
      </c>
      <c r="E714" s="54" t="str">
        <f>TEXT(Base_de_Dados[[#This Row],[Semana]],"Mmmm")</f>
        <v>junho</v>
      </c>
      <c r="F714">
        <f>YEAR(Base_de_Dados[[#This Row],[Semana]])</f>
        <v>2023</v>
      </c>
      <c r="G714" t="str">
        <f>IF(MONTH( Base_de_Dados[[#This Row],[Semana]])&lt;=6,"1ª Semestre","2ª Semestre")</f>
        <v>1ª Semestre</v>
      </c>
    </row>
    <row r="715" spans="1:7" x14ac:dyDescent="0.25">
      <c r="A715" t="s">
        <v>4</v>
      </c>
      <c r="B715">
        <v>1</v>
      </c>
      <c r="C715" s="6">
        <v>0.125</v>
      </c>
      <c r="D715" s="54">
        <v>45103</v>
      </c>
      <c r="E715" s="54" t="str">
        <f>TEXT(Base_de_Dados[[#This Row],[Semana]],"Mmmm")</f>
        <v>junho</v>
      </c>
      <c r="F715">
        <f>YEAR(Base_de_Dados[[#This Row],[Semana]])</f>
        <v>2023</v>
      </c>
      <c r="G715" t="str">
        <f>IF(MONTH( Base_de_Dados[[#This Row],[Semana]])&lt;=6,"1ª Semestre","2ª Semestre")</f>
        <v>1ª Semestre</v>
      </c>
    </row>
    <row r="716" spans="1:7" x14ac:dyDescent="0.25">
      <c r="A716" t="s">
        <v>5</v>
      </c>
      <c r="B716">
        <v>0</v>
      </c>
      <c r="C716" s="6">
        <v>0</v>
      </c>
      <c r="D716" s="54">
        <v>45103</v>
      </c>
      <c r="E716" s="54" t="str">
        <f>TEXT(Base_de_Dados[[#This Row],[Semana]],"Mmmm")</f>
        <v>junho</v>
      </c>
      <c r="F716">
        <f>YEAR(Base_de_Dados[[#This Row],[Semana]])</f>
        <v>2023</v>
      </c>
      <c r="G716" t="str">
        <f>IF(MONTH( Base_de_Dados[[#This Row],[Semana]])&lt;=6,"1ª Semestre","2ª Semestre")</f>
        <v>1ª Semestre</v>
      </c>
    </row>
    <row r="717" spans="1:7" x14ac:dyDescent="0.25">
      <c r="A717" t="s">
        <v>6</v>
      </c>
      <c r="B717">
        <v>1</v>
      </c>
      <c r="C717" s="6">
        <v>0.125</v>
      </c>
      <c r="D717" s="54">
        <v>45103</v>
      </c>
      <c r="E717" s="54" t="str">
        <f>TEXT(Base_de_Dados[[#This Row],[Semana]],"Mmmm")</f>
        <v>junho</v>
      </c>
      <c r="F717">
        <f>YEAR(Base_de_Dados[[#This Row],[Semana]])</f>
        <v>2023</v>
      </c>
      <c r="G717" t="str">
        <f>IF(MONTH( Base_de_Dados[[#This Row],[Semana]])&lt;=6,"1ª Semestre","2ª Semestre")</f>
        <v>1ª Semestre</v>
      </c>
    </row>
    <row r="718" spans="1:7" x14ac:dyDescent="0.25">
      <c r="A718" t="s">
        <v>7</v>
      </c>
      <c r="B718">
        <v>2</v>
      </c>
      <c r="C718" s="6">
        <v>0.25</v>
      </c>
      <c r="D718" s="54">
        <v>45103</v>
      </c>
      <c r="E718" s="54" t="str">
        <f>TEXT(Base_de_Dados[[#This Row],[Semana]],"Mmmm")</f>
        <v>junho</v>
      </c>
      <c r="F718">
        <f>YEAR(Base_de_Dados[[#This Row],[Semana]])</f>
        <v>2023</v>
      </c>
      <c r="G718" t="str">
        <f>IF(MONTH( Base_de_Dados[[#This Row],[Semana]])&lt;=6,"1ª Semestre","2ª Semestre")</f>
        <v>1ª Semestre</v>
      </c>
    </row>
    <row r="719" spans="1:7" x14ac:dyDescent="0.25">
      <c r="A719" t="s">
        <v>8</v>
      </c>
      <c r="B719">
        <v>0</v>
      </c>
      <c r="C719" s="6">
        <v>0</v>
      </c>
      <c r="D719" s="54">
        <v>45103</v>
      </c>
      <c r="E719" s="54" t="str">
        <f>TEXT(Base_de_Dados[[#This Row],[Semana]],"Mmmm")</f>
        <v>junho</v>
      </c>
      <c r="F719">
        <f>YEAR(Base_de_Dados[[#This Row],[Semana]])</f>
        <v>2023</v>
      </c>
      <c r="G719" t="str">
        <f>IF(MONTH( Base_de_Dados[[#This Row],[Semana]])&lt;=6,"1ª Semestre","2ª Semestre")</f>
        <v>1ª Semestre</v>
      </c>
    </row>
    <row r="720" spans="1:7" x14ac:dyDescent="0.25">
      <c r="A720" t="s">
        <v>9</v>
      </c>
      <c r="B720">
        <v>0</v>
      </c>
      <c r="C720" s="6">
        <v>0</v>
      </c>
      <c r="D720" s="54">
        <v>45103</v>
      </c>
      <c r="E720" s="54" t="str">
        <f>TEXT(Base_de_Dados[[#This Row],[Semana]],"Mmmm")</f>
        <v>junho</v>
      </c>
      <c r="F720">
        <f>YEAR(Base_de_Dados[[#This Row],[Semana]])</f>
        <v>2023</v>
      </c>
      <c r="G720" t="str">
        <f>IF(MONTH( Base_de_Dados[[#This Row],[Semana]])&lt;=6,"1ª Semestre","2ª Semestre")</f>
        <v>1ª Semestre</v>
      </c>
    </row>
    <row r="721" spans="1:7" x14ac:dyDescent="0.25">
      <c r="A721" t="s">
        <v>10</v>
      </c>
      <c r="B721">
        <v>1</v>
      </c>
      <c r="C721" s="6">
        <v>0.125</v>
      </c>
      <c r="D721" s="54">
        <v>45103</v>
      </c>
      <c r="E721" s="54" t="str">
        <f>TEXT(Base_de_Dados[[#This Row],[Semana]],"Mmmm")</f>
        <v>junho</v>
      </c>
      <c r="F721">
        <f>YEAR(Base_de_Dados[[#This Row],[Semana]])</f>
        <v>2023</v>
      </c>
      <c r="G721" t="str">
        <f>IF(MONTH( Base_de_Dados[[#This Row],[Semana]])&lt;=6,"1ª Semestre","2ª Semestre")</f>
        <v>1ª Semestre</v>
      </c>
    </row>
    <row r="722" spans="1:7" x14ac:dyDescent="0.25">
      <c r="A722" t="s">
        <v>11</v>
      </c>
      <c r="B722">
        <v>0</v>
      </c>
      <c r="C722" s="6">
        <v>0</v>
      </c>
      <c r="D722" s="54">
        <v>45103</v>
      </c>
      <c r="E722" s="54" t="str">
        <f>TEXT(Base_de_Dados[[#This Row],[Semana]],"Mmmm")</f>
        <v>junho</v>
      </c>
      <c r="F722">
        <f>YEAR(Base_de_Dados[[#This Row],[Semana]])</f>
        <v>2023</v>
      </c>
      <c r="G722" t="str">
        <f>IF(MONTH( Base_de_Dados[[#This Row],[Semana]])&lt;=6,"1ª Semestre","2ª Semestre")</f>
        <v>1ª Semestre</v>
      </c>
    </row>
    <row r="723" spans="1:7" x14ac:dyDescent="0.25">
      <c r="A723" t="s">
        <v>173</v>
      </c>
      <c r="B723">
        <v>0</v>
      </c>
      <c r="C723" s="6">
        <v>0</v>
      </c>
      <c r="D723" s="54">
        <v>45103</v>
      </c>
      <c r="E723" s="54" t="str">
        <f>TEXT(Base_de_Dados[[#This Row],[Semana]],"Mmmm")</f>
        <v>junho</v>
      </c>
      <c r="F723">
        <f>YEAR(Base_de_Dados[[#This Row],[Semana]])</f>
        <v>2023</v>
      </c>
      <c r="G723" t="str">
        <f>IF(MONTH( Base_de_Dados[[#This Row],[Semana]])&lt;=6,"1ª Semestre","2ª Semestre")</f>
        <v>1ª Semestre</v>
      </c>
    </row>
    <row r="724" spans="1:7" x14ac:dyDescent="0.25">
      <c r="A724" t="s">
        <v>171</v>
      </c>
      <c r="B724">
        <v>0</v>
      </c>
      <c r="C724" s="6">
        <v>0</v>
      </c>
      <c r="D724" s="54">
        <v>45103</v>
      </c>
      <c r="E724" s="54" t="str">
        <f>TEXT(Base_de_Dados[[#This Row],[Semana]],"Mmmm")</f>
        <v>junho</v>
      </c>
      <c r="F724">
        <f>YEAR(Base_de_Dados[[#This Row],[Semana]])</f>
        <v>2023</v>
      </c>
      <c r="G724" t="str">
        <f>IF(MONTH( Base_de_Dados[[#This Row],[Semana]])&lt;=6,"1ª Semestre","2ª Semestre")</f>
        <v>1ª Semestre</v>
      </c>
    </row>
    <row r="725" spans="1:7" x14ac:dyDescent="0.25">
      <c r="A725" t="s">
        <v>182</v>
      </c>
      <c r="B725">
        <v>1</v>
      </c>
      <c r="C725" s="6">
        <v>0.125</v>
      </c>
      <c r="D725" s="54">
        <v>45103</v>
      </c>
      <c r="E725" s="54" t="str">
        <f>TEXT(Base_de_Dados[[#This Row],[Semana]],"Mmmm")</f>
        <v>junho</v>
      </c>
      <c r="F725">
        <f>YEAR(Base_de_Dados[[#This Row],[Semana]])</f>
        <v>2023</v>
      </c>
      <c r="G725" t="str">
        <f>IF(MONTH( Base_de_Dados[[#This Row],[Semana]])&lt;=6,"1ª Semestre","2ª Semestre")</f>
        <v>1ª Semestre</v>
      </c>
    </row>
    <row r="726" spans="1:7" x14ac:dyDescent="0.25">
      <c r="A726" t="s">
        <v>132</v>
      </c>
      <c r="B726">
        <v>0</v>
      </c>
      <c r="C726" s="6">
        <v>0</v>
      </c>
      <c r="D726" s="54">
        <v>45103</v>
      </c>
      <c r="E726" s="54" t="str">
        <f>TEXT(Base_de_Dados[[#This Row],[Semana]],"Mmmm")</f>
        <v>junho</v>
      </c>
      <c r="F726">
        <f>YEAR(Base_de_Dados[[#This Row],[Semana]])</f>
        <v>2023</v>
      </c>
      <c r="G726" t="str">
        <f>IF(MONTH( Base_de_Dados[[#This Row],[Semana]])&lt;=6,"1ª Semestre","2ª Semestre")</f>
        <v>1ª Semestre</v>
      </c>
    </row>
    <row r="727" spans="1:7" x14ac:dyDescent="0.25">
      <c r="A727" t="s">
        <v>3</v>
      </c>
      <c r="B727">
        <v>1</v>
      </c>
      <c r="C727" s="6">
        <v>0.33333333333333331</v>
      </c>
      <c r="D727" s="54">
        <v>45110</v>
      </c>
      <c r="E727" s="54" t="str">
        <f>TEXT(Base_de_Dados[[#This Row],[Semana]],"Mmmm")</f>
        <v>julho</v>
      </c>
      <c r="F727">
        <f>YEAR(Base_de_Dados[[#This Row],[Semana]])</f>
        <v>2023</v>
      </c>
      <c r="G727" t="str">
        <f>IF(MONTH( Base_de_Dados[[#This Row],[Semana]])&lt;=6,"1ª Semestre","2ª Semestre")</f>
        <v>2ª Semestre</v>
      </c>
    </row>
    <row r="728" spans="1:7" x14ac:dyDescent="0.25">
      <c r="A728" t="s">
        <v>4</v>
      </c>
      <c r="B728">
        <v>0</v>
      </c>
      <c r="C728" s="6">
        <v>0</v>
      </c>
      <c r="D728" s="54">
        <v>45110</v>
      </c>
      <c r="E728" s="54" t="str">
        <f>TEXT(Base_de_Dados[[#This Row],[Semana]],"Mmmm")</f>
        <v>julho</v>
      </c>
      <c r="F728">
        <f>YEAR(Base_de_Dados[[#This Row],[Semana]])</f>
        <v>2023</v>
      </c>
      <c r="G728" t="str">
        <f>IF(MONTH( Base_de_Dados[[#This Row],[Semana]])&lt;=6,"1ª Semestre","2ª Semestre")</f>
        <v>2ª Semestre</v>
      </c>
    </row>
    <row r="729" spans="1:7" x14ac:dyDescent="0.25">
      <c r="A729" t="s">
        <v>5</v>
      </c>
      <c r="B729">
        <v>0</v>
      </c>
      <c r="C729" s="6">
        <v>0</v>
      </c>
      <c r="D729" s="54">
        <v>45110</v>
      </c>
      <c r="E729" s="54" t="str">
        <f>TEXT(Base_de_Dados[[#This Row],[Semana]],"Mmmm")</f>
        <v>julho</v>
      </c>
      <c r="F729">
        <f>YEAR(Base_de_Dados[[#This Row],[Semana]])</f>
        <v>2023</v>
      </c>
      <c r="G729" t="str">
        <f>IF(MONTH( Base_de_Dados[[#This Row],[Semana]])&lt;=6,"1ª Semestre","2ª Semestre")</f>
        <v>2ª Semestre</v>
      </c>
    </row>
    <row r="730" spans="1:7" x14ac:dyDescent="0.25">
      <c r="A730" t="s">
        <v>6</v>
      </c>
      <c r="B730">
        <v>0</v>
      </c>
      <c r="C730" s="6">
        <v>0</v>
      </c>
      <c r="D730" s="54">
        <v>45110</v>
      </c>
      <c r="E730" s="54" t="str">
        <f>TEXT(Base_de_Dados[[#This Row],[Semana]],"Mmmm")</f>
        <v>julho</v>
      </c>
      <c r="F730">
        <f>YEAR(Base_de_Dados[[#This Row],[Semana]])</f>
        <v>2023</v>
      </c>
      <c r="G730" t="str">
        <f>IF(MONTH( Base_de_Dados[[#This Row],[Semana]])&lt;=6,"1ª Semestre","2ª Semestre")</f>
        <v>2ª Semestre</v>
      </c>
    </row>
    <row r="731" spans="1:7" x14ac:dyDescent="0.25">
      <c r="A731" t="s">
        <v>7</v>
      </c>
      <c r="B731">
        <v>1</v>
      </c>
      <c r="C731" s="6">
        <v>0.33333333333333331</v>
      </c>
      <c r="D731" s="54">
        <v>45110</v>
      </c>
      <c r="E731" s="54" t="str">
        <f>TEXT(Base_de_Dados[[#This Row],[Semana]],"Mmmm")</f>
        <v>julho</v>
      </c>
      <c r="F731">
        <f>YEAR(Base_de_Dados[[#This Row],[Semana]])</f>
        <v>2023</v>
      </c>
      <c r="G731" t="str">
        <f>IF(MONTH( Base_de_Dados[[#This Row],[Semana]])&lt;=6,"1ª Semestre","2ª Semestre")</f>
        <v>2ª Semestre</v>
      </c>
    </row>
    <row r="732" spans="1:7" x14ac:dyDescent="0.25">
      <c r="A732" t="s">
        <v>8</v>
      </c>
      <c r="B732">
        <v>0</v>
      </c>
      <c r="C732" s="6">
        <v>0</v>
      </c>
      <c r="D732" s="54">
        <v>45110</v>
      </c>
      <c r="E732" s="54" t="str">
        <f>TEXT(Base_de_Dados[[#This Row],[Semana]],"Mmmm")</f>
        <v>julho</v>
      </c>
      <c r="F732">
        <f>YEAR(Base_de_Dados[[#This Row],[Semana]])</f>
        <v>2023</v>
      </c>
      <c r="G732" t="str">
        <f>IF(MONTH( Base_de_Dados[[#This Row],[Semana]])&lt;=6,"1ª Semestre","2ª Semestre")</f>
        <v>2ª Semestre</v>
      </c>
    </row>
    <row r="733" spans="1:7" x14ac:dyDescent="0.25">
      <c r="A733" t="s">
        <v>9</v>
      </c>
      <c r="B733">
        <v>1</v>
      </c>
      <c r="C733" s="6">
        <v>0.33333333333333331</v>
      </c>
      <c r="D733" s="54">
        <v>45110</v>
      </c>
      <c r="E733" s="54" t="str">
        <f>TEXT(Base_de_Dados[[#This Row],[Semana]],"Mmmm")</f>
        <v>julho</v>
      </c>
      <c r="F733">
        <f>YEAR(Base_de_Dados[[#This Row],[Semana]])</f>
        <v>2023</v>
      </c>
      <c r="G733" t="str">
        <f>IF(MONTH( Base_de_Dados[[#This Row],[Semana]])&lt;=6,"1ª Semestre","2ª Semestre")</f>
        <v>2ª Semestre</v>
      </c>
    </row>
    <row r="734" spans="1:7" x14ac:dyDescent="0.25">
      <c r="A734" t="s">
        <v>10</v>
      </c>
      <c r="B734">
        <v>0</v>
      </c>
      <c r="C734" s="6">
        <v>0</v>
      </c>
      <c r="D734" s="54">
        <v>45110</v>
      </c>
      <c r="E734" s="54" t="str">
        <f>TEXT(Base_de_Dados[[#This Row],[Semana]],"Mmmm")</f>
        <v>julho</v>
      </c>
      <c r="F734">
        <f>YEAR(Base_de_Dados[[#This Row],[Semana]])</f>
        <v>2023</v>
      </c>
      <c r="G734" t="str">
        <f>IF(MONTH( Base_de_Dados[[#This Row],[Semana]])&lt;=6,"1ª Semestre","2ª Semestre")</f>
        <v>2ª Semestre</v>
      </c>
    </row>
    <row r="735" spans="1:7" x14ac:dyDescent="0.25">
      <c r="A735" t="s">
        <v>11</v>
      </c>
      <c r="B735">
        <v>0</v>
      </c>
      <c r="C735" s="6">
        <v>0</v>
      </c>
      <c r="D735" s="54">
        <v>45110</v>
      </c>
      <c r="E735" s="54" t="str">
        <f>TEXT(Base_de_Dados[[#This Row],[Semana]],"Mmmm")</f>
        <v>julho</v>
      </c>
      <c r="F735">
        <f>YEAR(Base_de_Dados[[#This Row],[Semana]])</f>
        <v>2023</v>
      </c>
      <c r="G735" t="str">
        <f>IF(MONTH( Base_de_Dados[[#This Row],[Semana]])&lt;=6,"1ª Semestre","2ª Semestre")</f>
        <v>2ª Semestre</v>
      </c>
    </row>
    <row r="736" spans="1:7" x14ac:dyDescent="0.25">
      <c r="A736" t="s">
        <v>173</v>
      </c>
      <c r="B736">
        <v>0</v>
      </c>
      <c r="C736" s="6">
        <v>0</v>
      </c>
      <c r="D736" s="54">
        <v>45110</v>
      </c>
      <c r="E736" s="54" t="str">
        <f>TEXT(Base_de_Dados[[#This Row],[Semana]],"Mmmm")</f>
        <v>julho</v>
      </c>
      <c r="F736">
        <f>YEAR(Base_de_Dados[[#This Row],[Semana]])</f>
        <v>2023</v>
      </c>
      <c r="G736" t="str">
        <f>IF(MONTH( Base_de_Dados[[#This Row],[Semana]])&lt;=6,"1ª Semestre","2ª Semestre")</f>
        <v>2ª Semestre</v>
      </c>
    </row>
    <row r="737" spans="1:7" x14ac:dyDescent="0.25">
      <c r="A737" t="s">
        <v>171</v>
      </c>
      <c r="B737">
        <v>0</v>
      </c>
      <c r="C737" s="6">
        <v>0</v>
      </c>
      <c r="D737" s="54">
        <v>45110</v>
      </c>
      <c r="E737" s="54" t="str">
        <f>TEXT(Base_de_Dados[[#This Row],[Semana]],"Mmmm")</f>
        <v>julho</v>
      </c>
      <c r="F737">
        <f>YEAR(Base_de_Dados[[#This Row],[Semana]])</f>
        <v>2023</v>
      </c>
      <c r="G737" t="str">
        <f>IF(MONTH( Base_de_Dados[[#This Row],[Semana]])&lt;=6,"1ª Semestre","2ª Semestre")</f>
        <v>2ª Semestre</v>
      </c>
    </row>
    <row r="738" spans="1:7" x14ac:dyDescent="0.25">
      <c r="A738" t="s">
        <v>182</v>
      </c>
      <c r="B738">
        <v>0</v>
      </c>
      <c r="C738" s="6">
        <v>0</v>
      </c>
      <c r="D738" s="54">
        <v>45110</v>
      </c>
      <c r="E738" s="54" t="str">
        <f>TEXT(Base_de_Dados[[#This Row],[Semana]],"Mmmm")</f>
        <v>julho</v>
      </c>
      <c r="F738">
        <f>YEAR(Base_de_Dados[[#This Row],[Semana]])</f>
        <v>2023</v>
      </c>
      <c r="G738" t="str">
        <f>IF(MONTH( Base_de_Dados[[#This Row],[Semana]])&lt;=6,"1ª Semestre","2ª Semestre")</f>
        <v>2ª Semestre</v>
      </c>
    </row>
    <row r="739" spans="1:7" x14ac:dyDescent="0.25">
      <c r="A739" t="s">
        <v>132</v>
      </c>
      <c r="B739">
        <v>0</v>
      </c>
      <c r="C739" s="6">
        <v>0</v>
      </c>
      <c r="D739" s="54">
        <v>45110</v>
      </c>
      <c r="E739" s="54" t="str">
        <f>TEXT(Base_de_Dados[[#This Row],[Semana]],"Mmmm")</f>
        <v>julho</v>
      </c>
      <c r="F739">
        <f>YEAR(Base_de_Dados[[#This Row],[Semana]])</f>
        <v>2023</v>
      </c>
      <c r="G739" t="str">
        <f>IF(MONTH( Base_de_Dados[[#This Row],[Semana]])&lt;=6,"1ª Semestre","2ª Semestre")</f>
        <v>2ª Semestre</v>
      </c>
    </row>
    <row r="740" spans="1:7" x14ac:dyDescent="0.25">
      <c r="A740" t="s">
        <v>3</v>
      </c>
      <c r="B740">
        <v>2</v>
      </c>
      <c r="C740" s="6">
        <v>0.5</v>
      </c>
      <c r="D740" s="54">
        <v>45117</v>
      </c>
      <c r="E740" s="54" t="str">
        <f>TEXT(Base_de_Dados[[#This Row],[Semana]],"Mmmm")</f>
        <v>julho</v>
      </c>
      <c r="F740">
        <f>YEAR(Base_de_Dados[[#This Row],[Semana]])</f>
        <v>2023</v>
      </c>
      <c r="G740" t="str">
        <f>IF(MONTH( Base_de_Dados[[#This Row],[Semana]])&lt;=6,"1ª Semestre","2ª Semestre")</f>
        <v>2ª Semestre</v>
      </c>
    </row>
    <row r="741" spans="1:7" x14ac:dyDescent="0.25">
      <c r="A741" t="s">
        <v>4</v>
      </c>
      <c r="B741">
        <v>0</v>
      </c>
      <c r="C741" s="6">
        <v>0</v>
      </c>
      <c r="D741" s="54">
        <v>45117</v>
      </c>
      <c r="E741" s="54" t="str">
        <f>TEXT(Base_de_Dados[[#This Row],[Semana]],"Mmmm")</f>
        <v>julho</v>
      </c>
      <c r="F741">
        <f>YEAR(Base_de_Dados[[#This Row],[Semana]])</f>
        <v>2023</v>
      </c>
      <c r="G741" t="str">
        <f>IF(MONTH( Base_de_Dados[[#This Row],[Semana]])&lt;=6,"1ª Semestre","2ª Semestre")</f>
        <v>2ª Semestre</v>
      </c>
    </row>
    <row r="742" spans="1:7" x14ac:dyDescent="0.25">
      <c r="A742" t="s">
        <v>5</v>
      </c>
      <c r="B742">
        <v>0</v>
      </c>
      <c r="C742" s="6">
        <v>0</v>
      </c>
      <c r="D742" s="54">
        <v>45117</v>
      </c>
      <c r="E742" s="54" t="str">
        <f>TEXT(Base_de_Dados[[#This Row],[Semana]],"Mmmm")</f>
        <v>julho</v>
      </c>
      <c r="F742">
        <f>YEAR(Base_de_Dados[[#This Row],[Semana]])</f>
        <v>2023</v>
      </c>
      <c r="G742" t="str">
        <f>IF(MONTH( Base_de_Dados[[#This Row],[Semana]])&lt;=6,"1ª Semestre","2ª Semestre")</f>
        <v>2ª Semestre</v>
      </c>
    </row>
    <row r="743" spans="1:7" x14ac:dyDescent="0.25">
      <c r="A743" t="s">
        <v>6</v>
      </c>
      <c r="B743">
        <v>1</v>
      </c>
      <c r="C743" s="6">
        <v>0.25</v>
      </c>
      <c r="D743" s="54">
        <v>45117</v>
      </c>
      <c r="E743" s="54" t="str">
        <f>TEXT(Base_de_Dados[[#This Row],[Semana]],"Mmmm")</f>
        <v>julho</v>
      </c>
      <c r="F743">
        <f>YEAR(Base_de_Dados[[#This Row],[Semana]])</f>
        <v>2023</v>
      </c>
      <c r="G743" t="str">
        <f>IF(MONTH( Base_de_Dados[[#This Row],[Semana]])&lt;=6,"1ª Semestre","2ª Semestre")</f>
        <v>2ª Semestre</v>
      </c>
    </row>
    <row r="744" spans="1:7" x14ac:dyDescent="0.25">
      <c r="A744" t="s">
        <v>7</v>
      </c>
      <c r="B744">
        <v>0</v>
      </c>
      <c r="C744" s="6">
        <v>0</v>
      </c>
      <c r="D744" s="54">
        <v>45117</v>
      </c>
      <c r="E744" s="54" t="str">
        <f>TEXT(Base_de_Dados[[#This Row],[Semana]],"Mmmm")</f>
        <v>julho</v>
      </c>
      <c r="F744">
        <f>YEAR(Base_de_Dados[[#This Row],[Semana]])</f>
        <v>2023</v>
      </c>
      <c r="G744" t="str">
        <f>IF(MONTH( Base_de_Dados[[#This Row],[Semana]])&lt;=6,"1ª Semestre","2ª Semestre")</f>
        <v>2ª Semestre</v>
      </c>
    </row>
    <row r="745" spans="1:7" x14ac:dyDescent="0.25">
      <c r="A745" t="s">
        <v>8</v>
      </c>
      <c r="B745">
        <v>0</v>
      </c>
      <c r="C745" s="6">
        <v>0</v>
      </c>
      <c r="D745" s="54">
        <v>45117</v>
      </c>
      <c r="E745" s="54" t="str">
        <f>TEXT(Base_de_Dados[[#This Row],[Semana]],"Mmmm")</f>
        <v>julho</v>
      </c>
      <c r="F745">
        <f>YEAR(Base_de_Dados[[#This Row],[Semana]])</f>
        <v>2023</v>
      </c>
      <c r="G745" t="str">
        <f>IF(MONTH( Base_de_Dados[[#This Row],[Semana]])&lt;=6,"1ª Semestre","2ª Semestre")</f>
        <v>2ª Semestre</v>
      </c>
    </row>
    <row r="746" spans="1:7" x14ac:dyDescent="0.25">
      <c r="A746" t="s">
        <v>9</v>
      </c>
      <c r="B746">
        <v>0</v>
      </c>
      <c r="C746" s="6">
        <v>0</v>
      </c>
      <c r="D746" s="54">
        <v>45117</v>
      </c>
      <c r="E746" s="54" t="str">
        <f>TEXT(Base_de_Dados[[#This Row],[Semana]],"Mmmm")</f>
        <v>julho</v>
      </c>
      <c r="F746">
        <f>YEAR(Base_de_Dados[[#This Row],[Semana]])</f>
        <v>2023</v>
      </c>
      <c r="G746" t="str">
        <f>IF(MONTH( Base_de_Dados[[#This Row],[Semana]])&lt;=6,"1ª Semestre","2ª Semestre")</f>
        <v>2ª Semestre</v>
      </c>
    </row>
    <row r="747" spans="1:7" x14ac:dyDescent="0.25">
      <c r="A747" t="s">
        <v>10</v>
      </c>
      <c r="B747">
        <v>1</v>
      </c>
      <c r="C747" s="6">
        <v>0.25</v>
      </c>
      <c r="D747" s="54">
        <v>45117</v>
      </c>
      <c r="E747" s="54" t="str">
        <f>TEXT(Base_de_Dados[[#This Row],[Semana]],"Mmmm")</f>
        <v>julho</v>
      </c>
      <c r="F747">
        <f>YEAR(Base_de_Dados[[#This Row],[Semana]])</f>
        <v>2023</v>
      </c>
      <c r="G747" t="str">
        <f>IF(MONTH( Base_de_Dados[[#This Row],[Semana]])&lt;=6,"1ª Semestre","2ª Semestre")</f>
        <v>2ª Semestre</v>
      </c>
    </row>
    <row r="748" spans="1:7" x14ac:dyDescent="0.25">
      <c r="A748" t="s">
        <v>11</v>
      </c>
      <c r="B748">
        <v>0</v>
      </c>
      <c r="C748" s="6">
        <v>0</v>
      </c>
      <c r="D748" s="54">
        <v>45117</v>
      </c>
      <c r="E748" s="54" t="str">
        <f>TEXT(Base_de_Dados[[#This Row],[Semana]],"Mmmm")</f>
        <v>julho</v>
      </c>
      <c r="F748">
        <f>YEAR(Base_de_Dados[[#This Row],[Semana]])</f>
        <v>2023</v>
      </c>
      <c r="G748" t="str">
        <f>IF(MONTH( Base_de_Dados[[#This Row],[Semana]])&lt;=6,"1ª Semestre","2ª Semestre")</f>
        <v>2ª Semestre</v>
      </c>
    </row>
    <row r="749" spans="1:7" x14ac:dyDescent="0.25">
      <c r="A749" t="s">
        <v>173</v>
      </c>
      <c r="B749">
        <v>0</v>
      </c>
      <c r="C749" s="6">
        <v>0</v>
      </c>
      <c r="D749" s="54">
        <v>45117</v>
      </c>
      <c r="E749" s="54" t="str">
        <f>TEXT(Base_de_Dados[[#This Row],[Semana]],"Mmmm")</f>
        <v>julho</v>
      </c>
      <c r="F749">
        <f>YEAR(Base_de_Dados[[#This Row],[Semana]])</f>
        <v>2023</v>
      </c>
      <c r="G749" t="str">
        <f>IF(MONTH( Base_de_Dados[[#This Row],[Semana]])&lt;=6,"1ª Semestre","2ª Semestre")</f>
        <v>2ª Semestre</v>
      </c>
    </row>
    <row r="750" spans="1:7" x14ac:dyDescent="0.25">
      <c r="A750" t="s">
        <v>171</v>
      </c>
      <c r="B750">
        <v>0</v>
      </c>
      <c r="C750" s="6">
        <v>0</v>
      </c>
      <c r="D750" s="54">
        <v>45117</v>
      </c>
      <c r="E750" s="54" t="str">
        <f>TEXT(Base_de_Dados[[#This Row],[Semana]],"Mmmm")</f>
        <v>julho</v>
      </c>
      <c r="F750">
        <f>YEAR(Base_de_Dados[[#This Row],[Semana]])</f>
        <v>2023</v>
      </c>
      <c r="G750" t="str">
        <f>IF(MONTH( Base_de_Dados[[#This Row],[Semana]])&lt;=6,"1ª Semestre","2ª Semestre")</f>
        <v>2ª Semestre</v>
      </c>
    </row>
    <row r="751" spans="1:7" x14ac:dyDescent="0.25">
      <c r="A751" t="s">
        <v>182</v>
      </c>
      <c r="B751">
        <v>0</v>
      </c>
      <c r="C751" s="6">
        <v>0</v>
      </c>
      <c r="D751" s="54">
        <v>45117</v>
      </c>
      <c r="E751" s="54" t="str">
        <f>TEXT(Base_de_Dados[[#This Row],[Semana]],"Mmmm")</f>
        <v>julho</v>
      </c>
      <c r="F751">
        <f>YEAR(Base_de_Dados[[#This Row],[Semana]])</f>
        <v>2023</v>
      </c>
      <c r="G751" t="str">
        <f>IF(MONTH( Base_de_Dados[[#This Row],[Semana]])&lt;=6,"1ª Semestre","2ª Semestre")</f>
        <v>2ª Semestre</v>
      </c>
    </row>
    <row r="752" spans="1:7" x14ac:dyDescent="0.25">
      <c r="A752" t="s">
        <v>132</v>
      </c>
      <c r="B752">
        <v>0</v>
      </c>
      <c r="C752" s="6">
        <v>0</v>
      </c>
      <c r="D752" s="54">
        <v>45117</v>
      </c>
      <c r="E752" s="54" t="str">
        <f>TEXT(Base_de_Dados[[#This Row],[Semana]],"Mmmm")</f>
        <v>julho</v>
      </c>
      <c r="F752">
        <f>YEAR(Base_de_Dados[[#This Row],[Semana]])</f>
        <v>2023</v>
      </c>
      <c r="G752" t="str">
        <f>IF(MONTH( Base_de_Dados[[#This Row],[Semana]])&lt;=6,"1ª Semestre","2ª Semestre")</f>
        <v>2ª Semestre</v>
      </c>
    </row>
    <row r="753" spans="1:7" x14ac:dyDescent="0.25">
      <c r="A753" t="s">
        <v>3</v>
      </c>
      <c r="B753">
        <v>1</v>
      </c>
      <c r="C753" s="6">
        <v>1</v>
      </c>
      <c r="D753" s="54">
        <v>45124</v>
      </c>
      <c r="E753" s="54" t="str">
        <f>TEXT(Base_de_Dados[[#This Row],[Semana]],"Mmmm")</f>
        <v>julho</v>
      </c>
      <c r="F753">
        <f>YEAR(Base_de_Dados[[#This Row],[Semana]])</f>
        <v>2023</v>
      </c>
      <c r="G753" t="str">
        <f>IF(MONTH( Base_de_Dados[[#This Row],[Semana]])&lt;=6,"1ª Semestre","2ª Semestre")</f>
        <v>2ª Semestre</v>
      </c>
    </row>
    <row r="754" spans="1:7" x14ac:dyDescent="0.25">
      <c r="A754" t="s">
        <v>4</v>
      </c>
      <c r="B754">
        <v>0</v>
      </c>
      <c r="C754" s="6">
        <v>0</v>
      </c>
      <c r="D754" s="54">
        <v>45124</v>
      </c>
      <c r="E754" s="54" t="str">
        <f>TEXT(Base_de_Dados[[#This Row],[Semana]],"Mmmm")</f>
        <v>julho</v>
      </c>
      <c r="F754">
        <f>YEAR(Base_de_Dados[[#This Row],[Semana]])</f>
        <v>2023</v>
      </c>
      <c r="G754" t="str">
        <f>IF(MONTH( Base_de_Dados[[#This Row],[Semana]])&lt;=6,"1ª Semestre","2ª Semestre")</f>
        <v>2ª Semestre</v>
      </c>
    </row>
    <row r="755" spans="1:7" x14ac:dyDescent="0.25">
      <c r="A755" t="s">
        <v>5</v>
      </c>
      <c r="B755">
        <v>0</v>
      </c>
      <c r="C755" s="6">
        <v>0</v>
      </c>
      <c r="D755" s="54">
        <v>45124</v>
      </c>
      <c r="E755" s="54" t="str">
        <f>TEXT(Base_de_Dados[[#This Row],[Semana]],"Mmmm")</f>
        <v>julho</v>
      </c>
      <c r="F755">
        <f>YEAR(Base_de_Dados[[#This Row],[Semana]])</f>
        <v>2023</v>
      </c>
      <c r="G755" t="str">
        <f>IF(MONTH( Base_de_Dados[[#This Row],[Semana]])&lt;=6,"1ª Semestre","2ª Semestre")</f>
        <v>2ª Semestre</v>
      </c>
    </row>
    <row r="756" spans="1:7" x14ac:dyDescent="0.25">
      <c r="A756" t="s">
        <v>6</v>
      </c>
      <c r="B756">
        <v>0</v>
      </c>
      <c r="C756" s="6">
        <v>0</v>
      </c>
      <c r="D756" s="54">
        <v>45124</v>
      </c>
      <c r="E756" s="54" t="str">
        <f>TEXT(Base_de_Dados[[#This Row],[Semana]],"Mmmm")</f>
        <v>julho</v>
      </c>
      <c r="F756">
        <f>YEAR(Base_de_Dados[[#This Row],[Semana]])</f>
        <v>2023</v>
      </c>
      <c r="G756" t="str">
        <f>IF(MONTH( Base_de_Dados[[#This Row],[Semana]])&lt;=6,"1ª Semestre","2ª Semestre")</f>
        <v>2ª Semestre</v>
      </c>
    </row>
    <row r="757" spans="1:7" x14ac:dyDescent="0.25">
      <c r="A757" t="s">
        <v>7</v>
      </c>
      <c r="B757">
        <v>0</v>
      </c>
      <c r="C757" s="6">
        <v>0</v>
      </c>
      <c r="D757" s="54">
        <v>45124</v>
      </c>
      <c r="E757" s="54" t="str">
        <f>TEXT(Base_de_Dados[[#This Row],[Semana]],"Mmmm")</f>
        <v>julho</v>
      </c>
      <c r="F757">
        <f>YEAR(Base_de_Dados[[#This Row],[Semana]])</f>
        <v>2023</v>
      </c>
      <c r="G757" t="str">
        <f>IF(MONTH( Base_de_Dados[[#This Row],[Semana]])&lt;=6,"1ª Semestre","2ª Semestre")</f>
        <v>2ª Semestre</v>
      </c>
    </row>
    <row r="758" spans="1:7" x14ac:dyDescent="0.25">
      <c r="A758" t="s">
        <v>8</v>
      </c>
      <c r="B758">
        <v>0</v>
      </c>
      <c r="C758" s="6">
        <v>0</v>
      </c>
      <c r="D758" s="54">
        <v>45124</v>
      </c>
      <c r="E758" s="54" t="str">
        <f>TEXT(Base_de_Dados[[#This Row],[Semana]],"Mmmm")</f>
        <v>julho</v>
      </c>
      <c r="F758">
        <f>YEAR(Base_de_Dados[[#This Row],[Semana]])</f>
        <v>2023</v>
      </c>
      <c r="G758" t="str">
        <f>IF(MONTH( Base_de_Dados[[#This Row],[Semana]])&lt;=6,"1ª Semestre","2ª Semestre")</f>
        <v>2ª Semestre</v>
      </c>
    </row>
    <row r="759" spans="1:7" x14ac:dyDescent="0.25">
      <c r="A759" t="s">
        <v>9</v>
      </c>
      <c r="B759">
        <v>0</v>
      </c>
      <c r="C759" s="6">
        <v>0</v>
      </c>
      <c r="D759" s="54">
        <v>45124</v>
      </c>
      <c r="E759" s="54" t="str">
        <f>TEXT(Base_de_Dados[[#This Row],[Semana]],"Mmmm")</f>
        <v>julho</v>
      </c>
      <c r="F759">
        <f>YEAR(Base_de_Dados[[#This Row],[Semana]])</f>
        <v>2023</v>
      </c>
      <c r="G759" t="str">
        <f>IF(MONTH( Base_de_Dados[[#This Row],[Semana]])&lt;=6,"1ª Semestre","2ª Semestre")</f>
        <v>2ª Semestre</v>
      </c>
    </row>
    <row r="760" spans="1:7" x14ac:dyDescent="0.25">
      <c r="A760" t="s">
        <v>10</v>
      </c>
      <c r="B760">
        <v>0</v>
      </c>
      <c r="C760" s="6">
        <v>0</v>
      </c>
      <c r="D760" s="54">
        <v>45124</v>
      </c>
      <c r="E760" s="54" t="str">
        <f>TEXT(Base_de_Dados[[#This Row],[Semana]],"Mmmm")</f>
        <v>julho</v>
      </c>
      <c r="F760">
        <f>YEAR(Base_de_Dados[[#This Row],[Semana]])</f>
        <v>2023</v>
      </c>
      <c r="G760" t="str">
        <f>IF(MONTH( Base_de_Dados[[#This Row],[Semana]])&lt;=6,"1ª Semestre","2ª Semestre")</f>
        <v>2ª Semestre</v>
      </c>
    </row>
    <row r="761" spans="1:7" x14ac:dyDescent="0.25">
      <c r="A761" t="s">
        <v>11</v>
      </c>
      <c r="B761">
        <v>0</v>
      </c>
      <c r="C761" s="6">
        <v>0</v>
      </c>
      <c r="D761" s="54">
        <v>45124</v>
      </c>
      <c r="E761" s="54" t="str">
        <f>TEXT(Base_de_Dados[[#This Row],[Semana]],"Mmmm")</f>
        <v>julho</v>
      </c>
      <c r="F761">
        <f>YEAR(Base_de_Dados[[#This Row],[Semana]])</f>
        <v>2023</v>
      </c>
      <c r="G761" t="str">
        <f>IF(MONTH( Base_de_Dados[[#This Row],[Semana]])&lt;=6,"1ª Semestre","2ª Semestre")</f>
        <v>2ª Semestre</v>
      </c>
    </row>
    <row r="762" spans="1:7" x14ac:dyDescent="0.25">
      <c r="A762" t="s">
        <v>173</v>
      </c>
      <c r="B762">
        <v>0</v>
      </c>
      <c r="C762" s="6">
        <v>0</v>
      </c>
      <c r="D762" s="54">
        <v>45124</v>
      </c>
      <c r="E762" s="54" t="str">
        <f>TEXT(Base_de_Dados[[#This Row],[Semana]],"Mmmm")</f>
        <v>julho</v>
      </c>
      <c r="F762">
        <f>YEAR(Base_de_Dados[[#This Row],[Semana]])</f>
        <v>2023</v>
      </c>
      <c r="G762" t="str">
        <f>IF(MONTH( Base_de_Dados[[#This Row],[Semana]])&lt;=6,"1ª Semestre","2ª Semestre")</f>
        <v>2ª Semestre</v>
      </c>
    </row>
    <row r="763" spans="1:7" x14ac:dyDescent="0.25">
      <c r="A763" t="s">
        <v>171</v>
      </c>
      <c r="B763">
        <v>0</v>
      </c>
      <c r="C763" s="6">
        <v>0</v>
      </c>
      <c r="D763" s="54">
        <v>45124</v>
      </c>
      <c r="E763" s="54" t="str">
        <f>TEXT(Base_de_Dados[[#This Row],[Semana]],"Mmmm")</f>
        <v>julho</v>
      </c>
      <c r="F763">
        <f>YEAR(Base_de_Dados[[#This Row],[Semana]])</f>
        <v>2023</v>
      </c>
      <c r="G763" t="str">
        <f>IF(MONTH( Base_de_Dados[[#This Row],[Semana]])&lt;=6,"1ª Semestre","2ª Semestre")</f>
        <v>2ª Semestre</v>
      </c>
    </row>
    <row r="764" spans="1:7" x14ac:dyDescent="0.25">
      <c r="A764" t="s">
        <v>182</v>
      </c>
      <c r="B764">
        <v>0</v>
      </c>
      <c r="C764" s="6">
        <v>0</v>
      </c>
      <c r="D764" s="54">
        <v>45124</v>
      </c>
      <c r="E764" s="54" t="str">
        <f>TEXT(Base_de_Dados[[#This Row],[Semana]],"Mmmm")</f>
        <v>julho</v>
      </c>
      <c r="F764">
        <f>YEAR(Base_de_Dados[[#This Row],[Semana]])</f>
        <v>2023</v>
      </c>
      <c r="G764" t="str">
        <f>IF(MONTH( Base_de_Dados[[#This Row],[Semana]])&lt;=6,"1ª Semestre","2ª Semestre")</f>
        <v>2ª Semestre</v>
      </c>
    </row>
    <row r="765" spans="1:7" x14ac:dyDescent="0.25">
      <c r="A765" t="s">
        <v>132</v>
      </c>
      <c r="B765">
        <v>0</v>
      </c>
      <c r="C765" s="6">
        <v>0</v>
      </c>
      <c r="D765" s="54">
        <v>45124</v>
      </c>
      <c r="E765" s="54" t="str">
        <f>TEXT(Base_de_Dados[[#This Row],[Semana]],"Mmmm")</f>
        <v>julho</v>
      </c>
      <c r="F765">
        <f>YEAR(Base_de_Dados[[#This Row],[Semana]])</f>
        <v>2023</v>
      </c>
      <c r="G765" t="str">
        <f>IF(MONTH( Base_de_Dados[[#This Row],[Semana]])&lt;=6,"1ª Semestre","2ª Semestre")</f>
        <v>2ª Semestre</v>
      </c>
    </row>
    <row r="766" spans="1:7" x14ac:dyDescent="0.25">
      <c r="A766" t="s">
        <v>3</v>
      </c>
      <c r="B766">
        <v>3</v>
      </c>
      <c r="C766" s="6">
        <v>0.5</v>
      </c>
      <c r="D766" s="54">
        <v>45131</v>
      </c>
      <c r="E766" s="54" t="str">
        <f>TEXT(Base_de_Dados[[#This Row],[Semana]],"Mmmm")</f>
        <v>julho</v>
      </c>
      <c r="F766">
        <f>YEAR(Base_de_Dados[[#This Row],[Semana]])</f>
        <v>2023</v>
      </c>
      <c r="G766" t="str">
        <f>IF(MONTH( Base_de_Dados[[#This Row],[Semana]])&lt;=6,"1ª Semestre","2ª Semestre")</f>
        <v>2ª Semestre</v>
      </c>
    </row>
    <row r="767" spans="1:7" x14ac:dyDescent="0.25">
      <c r="A767" t="s">
        <v>4</v>
      </c>
      <c r="B767">
        <v>1</v>
      </c>
      <c r="C767" s="6">
        <v>0.16666666666666666</v>
      </c>
      <c r="D767" s="54">
        <v>45131</v>
      </c>
      <c r="E767" s="54" t="str">
        <f>TEXT(Base_de_Dados[[#This Row],[Semana]],"Mmmm")</f>
        <v>julho</v>
      </c>
      <c r="F767">
        <f>YEAR(Base_de_Dados[[#This Row],[Semana]])</f>
        <v>2023</v>
      </c>
      <c r="G767" t="str">
        <f>IF(MONTH( Base_de_Dados[[#This Row],[Semana]])&lt;=6,"1ª Semestre","2ª Semestre")</f>
        <v>2ª Semestre</v>
      </c>
    </row>
    <row r="768" spans="1:7" x14ac:dyDescent="0.25">
      <c r="A768" t="s">
        <v>5</v>
      </c>
      <c r="B768">
        <v>0</v>
      </c>
      <c r="C768" s="6">
        <v>0</v>
      </c>
      <c r="D768" s="54">
        <v>45131</v>
      </c>
      <c r="E768" s="54" t="str">
        <f>TEXT(Base_de_Dados[[#This Row],[Semana]],"Mmmm")</f>
        <v>julho</v>
      </c>
      <c r="F768">
        <f>YEAR(Base_de_Dados[[#This Row],[Semana]])</f>
        <v>2023</v>
      </c>
      <c r="G768" t="str">
        <f>IF(MONTH( Base_de_Dados[[#This Row],[Semana]])&lt;=6,"1ª Semestre","2ª Semestre")</f>
        <v>2ª Semestre</v>
      </c>
    </row>
    <row r="769" spans="1:7" x14ac:dyDescent="0.25">
      <c r="A769" t="s">
        <v>6</v>
      </c>
      <c r="B769">
        <v>0</v>
      </c>
      <c r="C769" s="6">
        <v>0</v>
      </c>
      <c r="D769" s="54">
        <v>45131</v>
      </c>
      <c r="E769" s="54" t="str">
        <f>TEXT(Base_de_Dados[[#This Row],[Semana]],"Mmmm")</f>
        <v>julho</v>
      </c>
      <c r="F769">
        <f>YEAR(Base_de_Dados[[#This Row],[Semana]])</f>
        <v>2023</v>
      </c>
      <c r="G769" t="str">
        <f>IF(MONTH( Base_de_Dados[[#This Row],[Semana]])&lt;=6,"1ª Semestre","2ª Semestre")</f>
        <v>2ª Semestre</v>
      </c>
    </row>
    <row r="770" spans="1:7" x14ac:dyDescent="0.25">
      <c r="A770" t="s">
        <v>7</v>
      </c>
      <c r="B770">
        <v>2</v>
      </c>
      <c r="C770" s="6">
        <v>0.33333333333333331</v>
      </c>
      <c r="D770" s="54">
        <v>45131</v>
      </c>
      <c r="E770" s="54" t="str">
        <f>TEXT(Base_de_Dados[[#This Row],[Semana]],"Mmmm")</f>
        <v>julho</v>
      </c>
      <c r="F770">
        <f>YEAR(Base_de_Dados[[#This Row],[Semana]])</f>
        <v>2023</v>
      </c>
      <c r="G770" t="str">
        <f>IF(MONTH( Base_de_Dados[[#This Row],[Semana]])&lt;=6,"1ª Semestre","2ª Semestre")</f>
        <v>2ª Semestre</v>
      </c>
    </row>
    <row r="771" spans="1:7" x14ac:dyDescent="0.25">
      <c r="A771" t="s">
        <v>8</v>
      </c>
      <c r="B771">
        <v>0</v>
      </c>
      <c r="C771" s="6">
        <v>0</v>
      </c>
      <c r="D771" s="54">
        <v>45131</v>
      </c>
      <c r="E771" s="54" t="str">
        <f>TEXT(Base_de_Dados[[#This Row],[Semana]],"Mmmm")</f>
        <v>julho</v>
      </c>
      <c r="F771">
        <f>YEAR(Base_de_Dados[[#This Row],[Semana]])</f>
        <v>2023</v>
      </c>
      <c r="G771" t="str">
        <f>IF(MONTH( Base_de_Dados[[#This Row],[Semana]])&lt;=6,"1ª Semestre","2ª Semestre")</f>
        <v>2ª Semestre</v>
      </c>
    </row>
    <row r="772" spans="1:7" x14ac:dyDescent="0.25">
      <c r="A772" t="s">
        <v>9</v>
      </c>
      <c r="B772">
        <v>0</v>
      </c>
      <c r="C772" s="6">
        <v>0</v>
      </c>
      <c r="D772" s="54">
        <v>45131</v>
      </c>
      <c r="E772" s="54" t="str">
        <f>TEXT(Base_de_Dados[[#This Row],[Semana]],"Mmmm")</f>
        <v>julho</v>
      </c>
      <c r="F772">
        <f>YEAR(Base_de_Dados[[#This Row],[Semana]])</f>
        <v>2023</v>
      </c>
      <c r="G772" t="str">
        <f>IF(MONTH( Base_de_Dados[[#This Row],[Semana]])&lt;=6,"1ª Semestre","2ª Semestre")</f>
        <v>2ª Semestre</v>
      </c>
    </row>
    <row r="773" spans="1:7" x14ac:dyDescent="0.25">
      <c r="A773" t="s">
        <v>10</v>
      </c>
      <c r="B773">
        <v>0</v>
      </c>
      <c r="C773" s="6">
        <v>0</v>
      </c>
      <c r="D773" s="54">
        <v>45131</v>
      </c>
      <c r="E773" s="54" t="str">
        <f>TEXT(Base_de_Dados[[#This Row],[Semana]],"Mmmm")</f>
        <v>julho</v>
      </c>
      <c r="F773">
        <f>YEAR(Base_de_Dados[[#This Row],[Semana]])</f>
        <v>2023</v>
      </c>
      <c r="G773" t="str">
        <f>IF(MONTH( Base_de_Dados[[#This Row],[Semana]])&lt;=6,"1ª Semestre","2ª Semestre")</f>
        <v>2ª Semestre</v>
      </c>
    </row>
    <row r="774" spans="1:7" x14ac:dyDescent="0.25">
      <c r="A774" t="s">
        <v>11</v>
      </c>
      <c r="B774">
        <v>0</v>
      </c>
      <c r="C774" s="6">
        <v>0</v>
      </c>
      <c r="D774" s="54">
        <v>45131</v>
      </c>
      <c r="E774" s="54" t="str">
        <f>TEXT(Base_de_Dados[[#This Row],[Semana]],"Mmmm")</f>
        <v>julho</v>
      </c>
      <c r="F774">
        <f>YEAR(Base_de_Dados[[#This Row],[Semana]])</f>
        <v>2023</v>
      </c>
      <c r="G774" t="str">
        <f>IF(MONTH( Base_de_Dados[[#This Row],[Semana]])&lt;=6,"1ª Semestre","2ª Semestre")</f>
        <v>2ª Semestre</v>
      </c>
    </row>
    <row r="775" spans="1:7" x14ac:dyDescent="0.25">
      <c r="A775" t="s">
        <v>173</v>
      </c>
      <c r="B775">
        <v>0</v>
      </c>
      <c r="C775" s="6">
        <v>0</v>
      </c>
      <c r="D775" s="54">
        <v>45131</v>
      </c>
      <c r="E775" s="54" t="str">
        <f>TEXT(Base_de_Dados[[#This Row],[Semana]],"Mmmm")</f>
        <v>julho</v>
      </c>
      <c r="F775">
        <f>YEAR(Base_de_Dados[[#This Row],[Semana]])</f>
        <v>2023</v>
      </c>
      <c r="G775" t="str">
        <f>IF(MONTH( Base_de_Dados[[#This Row],[Semana]])&lt;=6,"1ª Semestre","2ª Semestre")</f>
        <v>2ª Semestre</v>
      </c>
    </row>
    <row r="776" spans="1:7" x14ac:dyDescent="0.25">
      <c r="A776" t="s">
        <v>171</v>
      </c>
      <c r="B776">
        <v>0</v>
      </c>
      <c r="C776" s="6">
        <v>0</v>
      </c>
      <c r="D776" s="54">
        <v>45131</v>
      </c>
      <c r="E776" s="54" t="str">
        <f>TEXT(Base_de_Dados[[#This Row],[Semana]],"Mmmm")</f>
        <v>julho</v>
      </c>
      <c r="F776">
        <f>YEAR(Base_de_Dados[[#This Row],[Semana]])</f>
        <v>2023</v>
      </c>
      <c r="G776" t="str">
        <f>IF(MONTH( Base_de_Dados[[#This Row],[Semana]])&lt;=6,"1ª Semestre","2ª Semestre")</f>
        <v>2ª Semestre</v>
      </c>
    </row>
    <row r="777" spans="1:7" x14ac:dyDescent="0.25">
      <c r="A777" t="s">
        <v>182</v>
      </c>
      <c r="B777">
        <v>0</v>
      </c>
      <c r="C777" s="6">
        <v>0</v>
      </c>
      <c r="D777" s="54">
        <v>45131</v>
      </c>
      <c r="E777" s="54" t="str">
        <f>TEXT(Base_de_Dados[[#This Row],[Semana]],"Mmmm")</f>
        <v>julho</v>
      </c>
      <c r="F777">
        <f>YEAR(Base_de_Dados[[#This Row],[Semana]])</f>
        <v>2023</v>
      </c>
      <c r="G777" t="str">
        <f>IF(MONTH( Base_de_Dados[[#This Row],[Semana]])&lt;=6,"1ª Semestre","2ª Semestre")</f>
        <v>2ª Semestre</v>
      </c>
    </row>
    <row r="778" spans="1:7" x14ac:dyDescent="0.25">
      <c r="A778" t="s">
        <v>132</v>
      </c>
      <c r="B778">
        <v>0</v>
      </c>
      <c r="C778" s="6">
        <v>0</v>
      </c>
      <c r="D778" s="54">
        <v>45131</v>
      </c>
      <c r="E778" s="54" t="str">
        <f>TEXT(Base_de_Dados[[#This Row],[Semana]],"Mmmm")</f>
        <v>julho</v>
      </c>
      <c r="F778">
        <f>YEAR(Base_de_Dados[[#This Row],[Semana]])</f>
        <v>2023</v>
      </c>
      <c r="G778" t="str">
        <f>IF(MONTH( Base_de_Dados[[#This Row],[Semana]])&lt;=6,"1ª Semestre","2ª Semestre")</f>
        <v>2ª Semestre</v>
      </c>
    </row>
  </sheetData>
  <phoneticPr fontId="3" type="noConversion"/>
  <conditionalFormatting sqref="A2:G211">
    <cfRule type="containsText" dxfId="861" priority="2" operator="containsText" text="Adutora">
      <formula>NOT(ISERROR(SEARCH("Adutora",A2)))</formula>
    </cfRule>
  </conditionalFormatting>
  <conditionalFormatting sqref="A212:G1048576">
    <cfRule type="containsText" dxfId="860" priority="1" operator="containsText" text="Gerador">
      <formula>NOT(ISERROR(SEARCH("Gerador",A212)))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082-F1C3-4C8D-A72E-B09AA3DD1EA1}">
  <sheetPr codeName="Planilha40"/>
  <dimension ref="A3:E27"/>
  <sheetViews>
    <sheetView showGridLines="0" workbookViewId="0">
      <selection activeCell="J10" sqref="J10"/>
    </sheetView>
  </sheetViews>
  <sheetFormatPr defaultRowHeight="15" x14ac:dyDescent="0.25"/>
  <cols>
    <col min="1" max="1" width="18.28515625" bestFit="1" customWidth="1"/>
    <col min="2" max="2" width="21" bestFit="1" customWidth="1"/>
    <col min="4" max="5" width="18.28515625" bestFit="1" customWidth="1"/>
  </cols>
  <sheetData>
    <row r="3" spans="1:5" x14ac:dyDescent="0.25">
      <c r="A3" s="55" t="s">
        <v>177</v>
      </c>
      <c r="B3" t="s">
        <v>178</v>
      </c>
      <c r="D3" s="55" t="s">
        <v>177</v>
      </c>
      <c r="E3" t="s">
        <v>179</v>
      </c>
    </row>
    <row r="4" spans="1:5" x14ac:dyDescent="0.25">
      <c r="A4" s="56" t="s">
        <v>12</v>
      </c>
      <c r="B4" s="57">
        <v>1</v>
      </c>
      <c r="D4" s="56" t="s">
        <v>12</v>
      </c>
      <c r="E4">
        <v>1</v>
      </c>
    </row>
    <row r="16" spans="1:5" x14ac:dyDescent="0.25">
      <c r="B16" s="63" t="s">
        <v>180</v>
      </c>
      <c r="C16" s="63"/>
      <c r="D16" s="63"/>
    </row>
    <row r="17" spans="2:4" x14ac:dyDescent="0.25">
      <c r="B17" t="str">
        <f>A4</f>
        <v>Adutora</v>
      </c>
      <c r="C17">
        <f>E4</f>
        <v>1</v>
      </c>
      <c r="D17" s="58">
        <f>C17/$C$27</f>
        <v>1</v>
      </c>
    </row>
    <row r="18" spans="2:4" x14ac:dyDescent="0.25">
      <c r="B18">
        <f t="shared" ref="B18:B26" si="0">A5</f>
        <v>0</v>
      </c>
      <c r="C18">
        <f t="shared" ref="C18:C26" si="1">E5</f>
        <v>0</v>
      </c>
      <c r="D18" s="58">
        <f t="shared" ref="D18:D26" si="2">C18/$C$27</f>
        <v>0</v>
      </c>
    </row>
    <row r="19" spans="2:4" x14ac:dyDescent="0.25">
      <c r="B19">
        <f t="shared" si="0"/>
        <v>0</v>
      </c>
      <c r="C19">
        <f t="shared" si="1"/>
        <v>0</v>
      </c>
      <c r="D19" s="58">
        <f t="shared" si="2"/>
        <v>0</v>
      </c>
    </row>
    <row r="20" spans="2:4" x14ac:dyDescent="0.25">
      <c r="B20">
        <f t="shared" si="0"/>
        <v>0</v>
      </c>
      <c r="C20">
        <f t="shared" si="1"/>
        <v>0</v>
      </c>
      <c r="D20" s="58">
        <f t="shared" si="2"/>
        <v>0</v>
      </c>
    </row>
    <row r="21" spans="2:4" x14ac:dyDescent="0.25">
      <c r="B21">
        <f t="shared" si="0"/>
        <v>0</v>
      </c>
      <c r="C21">
        <f t="shared" si="1"/>
        <v>0</v>
      </c>
      <c r="D21" s="58">
        <f t="shared" si="2"/>
        <v>0</v>
      </c>
    </row>
    <row r="22" spans="2:4" x14ac:dyDescent="0.25">
      <c r="B22">
        <f t="shared" si="0"/>
        <v>0</v>
      </c>
      <c r="C22">
        <f t="shared" si="1"/>
        <v>0</v>
      </c>
      <c r="D22" s="58">
        <f t="shared" si="2"/>
        <v>0</v>
      </c>
    </row>
    <row r="23" spans="2:4" x14ac:dyDescent="0.25">
      <c r="B23">
        <f t="shared" si="0"/>
        <v>0</v>
      </c>
      <c r="C23">
        <f t="shared" si="1"/>
        <v>0</v>
      </c>
      <c r="D23" s="58">
        <f t="shared" si="2"/>
        <v>0</v>
      </c>
    </row>
    <row r="24" spans="2:4" x14ac:dyDescent="0.25">
      <c r="B24">
        <f t="shared" si="0"/>
        <v>0</v>
      </c>
      <c r="C24">
        <f t="shared" si="1"/>
        <v>0</v>
      </c>
      <c r="D24" s="58">
        <f t="shared" si="2"/>
        <v>0</v>
      </c>
    </row>
    <row r="25" spans="2:4" x14ac:dyDescent="0.25">
      <c r="B25">
        <f>A12</f>
        <v>0</v>
      </c>
      <c r="C25">
        <f t="shared" si="1"/>
        <v>0</v>
      </c>
      <c r="D25" s="58">
        <f t="shared" si="2"/>
        <v>0</v>
      </c>
    </row>
    <row r="26" spans="2:4" x14ac:dyDescent="0.25">
      <c r="B26">
        <f t="shared" si="0"/>
        <v>0</v>
      </c>
      <c r="C26">
        <f t="shared" si="1"/>
        <v>0</v>
      </c>
      <c r="D26" s="58">
        <f t="shared" si="2"/>
        <v>0</v>
      </c>
    </row>
    <row r="27" spans="2:4" x14ac:dyDescent="0.25">
      <c r="C27">
        <f>SUM(C17:C26)</f>
        <v>1</v>
      </c>
    </row>
  </sheetData>
  <mergeCells count="1">
    <mergeCell ref="B16:D16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BF5F-D0DC-4072-9378-EC916C43596B}">
  <sheetPr codeName="Planilha41"/>
  <dimension ref="A3:E31"/>
  <sheetViews>
    <sheetView showGridLines="0" workbookViewId="0">
      <selection activeCell="D8" sqref="D8"/>
    </sheetView>
  </sheetViews>
  <sheetFormatPr defaultRowHeight="15" x14ac:dyDescent="0.25"/>
  <cols>
    <col min="1" max="1" width="18.28515625" bestFit="1" customWidth="1"/>
    <col min="2" max="2" width="21" bestFit="1" customWidth="1"/>
    <col min="4" max="4" width="19.42578125" customWidth="1"/>
    <col min="5" max="5" width="21" bestFit="1" customWidth="1"/>
  </cols>
  <sheetData>
    <row r="3" spans="1:5" x14ac:dyDescent="0.25">
      <c r="A3" s="55" t="s">
        <v>177</v>
      </c>
      <c r="B3" t="s">
        <v>178</v>
      </c>
      <c r="D3" s="55" t="s">
        <v>177</v>
      </c>
      <c r="E3" t="s">
        <v>179</v>
      </c>
    </row>
    <row r="4" spans="1:5" x14ac:dyDescent="0.25">
      <c r="A4" s="56" t="s">
        <v>12</v>
      </c>
      <c r="B4" s="57">
        <v>9.0909090909090912E-2</v>
      </c>
      <c r="D4" s="56" t="s">
        <v>12</v>
      </c>
      <c r="E4">
        <v>11</v>
      </c>
    </row>
    <row r="5" spans="1:5" x14ac:dyDescent="0.25">
      <c r="A5" s="56" t="s">
        <v>9</v>
      </c>
      <c r="B5" s="57">
        <v>9.9173553719008267E-2</v>
      </c>
      <c r="D5" s="56" t="s">
        <v>9</v>
      </c>
      <c r="E5">
        <v>12</v>
      </c>
    </row>
    <row r="6" spans="1:5" x14ac:dyDescent="0.25">
      <c r="A6" s="56" t="s">
        <v>11</v>
      </c>
      <c r="B6" s="57">
        <v>0.60330578512396693</v>
      </c>
      <c r="D6" s="56" t="s">
        <v>11</v>
      </c>
      <c r="E6">
        <v>73</v>
      </c>
    </row>
    <row r="7" spans="1:5" x14ac:dyDescent="0.25">
      <c r="A7" s="56" t="s">
        <v>5</v>
      </c>
      <c r="B7" s="57">
        <v>2.4793388429752067E-2</v>
      </c>
      <c r="D7" s="56" t="s">
        <v>5</v>
      </c>
      <c r="E7">
        <v>3</v>
      </c>
    </row>
    <row r="8" spans="1:5" x14ac:dyDescent="0.25">
      <c r="A8" s="56" t="s">
        <v>10</v>
      </c>
      <c r="B8" s="57">
        <v>4.9586776859504134E-2</v>
      </c>
      <c r="D8" s="56" t="s">
        <v>10</v>
      </c>
      <c r="E8">
        <v>6</v>
      </c>
    </row>
    <row r="9" spans="1:5" x14ac:dyDescent="0.25">
      <c r="A9" s="56" t="s">
        <v>4</v>
      </c>
      <c r="B9" s="57">
        <v>4.1322314049586778E-2</v>
      </c>
      <c r="D9" s="56" t="s">
        <v>4</v>
      </c>
      <c r="E9">
        <v>5</v>
      </c>
    </row>
    <row r="10" spans="1:5" x14ac:dyDescent="0.25">
      <c r="A10" s="56" t="s">
        <v>7</v>
      </c>
      <c r="B10" s="57">
        <v>1.6528925619834711E-2</v>
      </c>
      <c r="D10" s="56" t="s">
        <v>7</v>
      </c>
      <c r="E10">
        <v>2</v>
      </c>
    </row>
    <row r="11" spans="1:5" x14ac:dyDescent="0.25">
      <c r="A11" s="56" t="s">
        <v>3</v>
      </c>
      <c r="B11" s="57">
        <v>7.43801652892562E-2</v>
      </c>
      <c r="D11" s="56" t="s">
        <v>3</v>
      </c>
      <c r="E11">
        <v>9</v>
      </c>
    </row>
    <row r="19" spans="2:4" x14ac:dyDescent="0.25">
      <c r="B19" s="63" t="s">
        <v>180</v>
      </c>
      <c r="C19" s="63"/>
      <c r="D19" s="63"/>
    </row>
    <row r="20" spans="2:4" x14ac:dyDescent="0.25">
      <c r="B20" t="str">
        <f>A4</f>
        <v>Adutora</v>
      </c>
      <c r="C20">
        <f>E4</f>
        <v>11</v>
      </c>
      <c r="D20" s="58">
        <f>C20/$C$31</f>
        <v>9.0909090909090912E-2</v>
      </c>
    </row>
    <row r="21" spans="2:4" x14ac:dyDescent="0.25">
      <c r="B21" t="str">
        <f t="shared" ref="B21:B29" si="0">A5</f>
        <v>Bomba/Sucção</v>
      </c>
      <c r="C21">
        <f t="shared" ref="C21:C29" si="1">E5</f>
        <v>12</v>
      </c>
      <c r="D21" s="58">
        <f t="shared" ref="D21:D29" si="2">C21/$C$31</f>
        <v>9.9173553719008267E-2</v>
      </c>
    </row>
    <row r="22" spans="2:4" x14ac:dyDescent="0.25">
      <c r="B22" t="str">
        <f t="shared" si="0"/>
        <v>Canal/Reservatório</v>
      </c>
      <c r="C22">
        <f t="shared" si="1"/>
        <v>73</v>
      </c>
      <c r="D22" s="58">
        <f t="shared" si="2"/>
        <v>0.60330578512396693</v>
      </c>
    </row>
    <row r="23" spans="2:4" x14ac:dyDescent="0.25">
      <c r="B23" t="str">
        <f t="shared" si="0"/>
        <v>Castanha</v>
      </c>
      <c r="C23">
        <f t="shared" si="1"/>
        <v>3</v>
      </c>
      <c r="D23" s="58">
        <f t="shared" si="2"/>
        <v>2.4793388429752067E-2</v>
      </c>
    </row>
    <row r="24" spans="2:4" x14ac:dyDescent="0.25">
      <c r="B24" t="str">
        <f t="shared" si="0"/>
        <v>Mangote</v>
      </c>
      <c r="C24">
        <f t="shared" si="1"/>
        <v>6</v>
      </c>
      <c r="D24" s="58">
        <f t="shared" si="2"/>
        <v>4.9586776859504134E-2</v>
      </c>
    </row>
    <row r="25" spans="2:4" x14ac:dyDescent="0.25">
      <c r="B25" t="str">
        <f t="shared" si="0"/>
        <v>Motorredutor</v>
      </c>
      <c r="C25">
        <f t="shared" si="1"/>
        <v>5</v>
      </c>
      <c r="D25" s="58">
        <f t="shared" si="2"/>
        <v>4.1322314049586778E-2</v>
      </c>
    </row>
    <row r="26" spans="2:4" x14ac:dyDescent="0.25">
      <c r="B26" t="str">
        <f t="shared" si="0"/>
        <v>Pneu</v>
      </c>
      <c r="C26">
        <f t="shared" si="1"/>
        <v>2</v>
      </c>
      <c r="D26" s="58">
        <f t="shared" si="2"/>
        <v>1.6528925619834711E-2</v>
      </c>
    </row>
    <row r="27" spans="2:4" x14ac:dyDescent="0.25">
      <c r="B27" t="str">
        <f t="shared" si="0"/>
        <v>Redutor</v>
      </c>
      <c r="C27">
        <f t="shared" si="1"/>
        <v>9</v>
      </c>
      <c r="D27" s="58">
        <f t="shared" si="2"/>
        <v>7.43801652892562E-2</v>
      </c>
    </row>
    <row r="28" spans="2:4" x14ac:dyDescent="0.25">
      <c r="B28">
        <f t="shared" si="0"/>
        <v>0</v>
      </c>
      <c r="C28">
        <f t="shared" si="1"/>
        <v>0</v>
      </c>
      <c r="D28" s="58">
        <f t="shared" si="2"/>
        <v>0</v>
      </c>
    </row>
    <row r="29" spans="2:4" x14ac:dyDescent="0.25">
      <c r="B29">
        <f t="shared" si="0"/>
        <v>0</v>
      </c>
      <c r="C29">
        <f t="shared" si="1"/>
        <v>0</v>
      </c>
      <c r="D29" s="58">
        <f t="shared" si="2"/>
        <v>0</v>
      </c>
    </row>
    <row r="30" spans="2:4" x14ac:dyDescent="0.25">
      <c r="D30" s="58"/>
    </row>
    <row r="31" spans="2:4" x14ac:dyDescent="0.25">
      <c r="C31">
        <f>SUM(C20:C30)</f>
        <v>121</v>
      </c>
    </row>
  </sheetData>
  <mergeCells count="1">
    <mergeCell ref="B19:D19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2842-3FC0-405C-9F44-B0D342C8FB2F}">
  <sheetPr codeName="Planilha42"/>
  <dimension ref="M38"/>
  <sheetViews>
    <sheetView showGridLines="0" showRowColHeaders="0" zoomScaleNormal="100" workbookViewId="0">
      <selection activeCell="R36" sqref="R36"/>
    </sheetView>
  </sheetViews>
  <sheetFormatPr defaultRowHeight="15" x14ac:dyDescent="0.25"/>
  <sheetData>
    <row r="38" spans="13:13" x14ac:dyDescent="0.25">
      <c r="M38" t="s">
        <v>181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0643A-6546-470F-8502-19FC13EB9B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75</vt:i4>
      </vt:variant>
    </vt:vector>
  </HeadingPairs>
  <TitlesOfParts>
    <vt:vector size="75" baseType="lpstr">
      <vt:lpstr>Acumulado</vt:lpstr>
      <vt:lpstr>21 02 2022</vt:lpstr>
      <vt:lpstr>28 02 2022 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 </vt:lpstr>
      <vt:lpstr>23 05 2022  </vt:lpstr>
      <vt:lpstr>30 05 2022   </vt:lpstr>
      <vt:lpstr>06 06 2022</vt:lpstr>
      <vt:lpstr>13 06 2022   </vt:lpstr>
      <vt:lpstr>20 06 2022   </vt:lpstr>
      <vt:lpstr>27 06 2022  </vt:lpstr>
      <vt:lpstr>04 07 2022</vt:lpstr>
      <vt:lpstr>11 07 2022 </vt:lpstr>
      <vt:lpstr>18 07 2022  </vt:lpstr>
      <vt:lpstr>25 07 2022   </vt:lpstr>
      <vt:lpstr>01 08 2022    </vt:lpstr>
      <vt:lpstr>08 08 2022     </vt:lpstr>
      <vt:lpstr>15 08 2022     </vt:lpstr>
      <vt:lpstr>22 08 2022      </vt:lpstr>
      <vt:lpstr>29 08 2022       </vt:lpstr>
      <vt:lpstr>05 09 2022       </vt:lpstr>
      <vt:lpstr>12 09 2022        </vt:lpstr>
      <vt:lpstr>19 09 2022         </vt:lpstr>
      <vt:lpstr>26 09 2022          </vt:lpstr>
      <vt:lpstr>03 10 2022         </vt:lpstr>
      <vt:lpstr>10 10 2022        </vt:lpstr>
      <vt:lpstr>17 10 2022       </vt:lpstr>
      <vt:lpstr>24 10 2022</vt:lpstr>
      <vt:lpstr>31 10 2022</vt:lpstr>
      <vt:lpstr>07 11 2022</vt:lpstr>
      <vt:lpstr>14 11 2022</vt:lpstr>
      <vt:lpstr>05 12 2022</vt:lpstr>
      <vt:lpstr>26 12 2022</vt:lpstr>
      <vt:lpstr>02 01 2023</vt:lpstr>
      <vt:lpstr>09 01 2023</vt:lpstr>
      <vt:lpstr>16 01 2023</vt:lpstr>
      <vt:lpstr>30 01 2023</vt:lpstr>
      <vt:lpstr>06 02 2023</vt:lpstr>
      <vt:lpstr>13 02 2023</vt:lpstr>
      <vt:lpstr>20 02 2023</vt:lpstr>
      <vt:lpstr>27 02 2023</vt:lpstr>
      <vt:lpstr>06 03 2023</vt:lpstr>
      <vt:lpstr>13 03 2023</vt:lpstr>
      <vt:lpstr>20 03 2023</vt:lpstr>
      <vt:lpstr>27 03 2023</vt:lpstr>
      <vt:lpstr>03 04 2023</vt:lpstr>
      <vt:lpstr>10 04 2023</vt:lpstr>
      <vt:lpstr>17 04 2023</vt:lpstr>
      <vt:lpstr>24 04 2023</vt:lpstr>
      <vt:lpstr>01 05 2023</vt:lpstr>
      <vt:lpstr>08 05 2023</vt:lpstr>
      <vt:lpstr>15 05 2023</vt:lpstr>
      <vt:lpstr>22 05 2023</vt:lpstr>
      <vt:lpstr>29 05 2023</vt:lpstr>
      <vt:lpstr>05 06 2023</vt:lpstr>
      <vt:lpstr>12 06 2023</vt:lpstr>
      <vt:lpstr>19 06 2023</vt:lpstr>
      <vt:lpstr>26 06 2023</vt:lpstr>
      <vt:lpstr>03 07 2023</vt:lpstr>
      <vt:lpstr>10 07 2023</vt:lpstr>
      <vt:lpstr>17 07 2023</vt:lpstr>
      <vt:lpstr>24 07 2023</vt:lpstr>
      <vt:lpstr>Base de Dados</vt:lpstr>
      <vt:lpstr>Analise Semanal</vt:lpstr>
      <vt:lpstr>Analise Anual</vt:lpstr>
      <vt:lpstr>Dashboard de Indicadores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Kalito Silva</dc:creator>
  <cp:keywords/>
  <dc:description/>
  <cp:lastModifiedBy>Kalito Silva</cp:lastModifiedBy>
  <cp:revision/>
  <dcterms:created xsi:type="dcterms:W3CDTF">2022-02-17T20:52:24Z</dcterms:created>
  <dcterms:modified xsi:type="dcterms:W3CDTF">2023-08-02T19:50:03Z</dcterms:modified>
  <cp:category/>
  <cp:contentStatus/>
</cp:coreProperties>
</file>